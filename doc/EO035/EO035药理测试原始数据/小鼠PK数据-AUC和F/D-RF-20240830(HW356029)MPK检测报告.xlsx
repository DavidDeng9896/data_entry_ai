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<sst xmlns="http://schemas.openxmlformats.org/spreadsheetml/2006/main" count="2662" uniqueCount="334">
  <si>
    <t>合肥中科普瑞昇生物医药科技有限公司</t>
  </si>
  <si>
    <t>项目编号：</t>
  </si>
  <si>
    <t>D-RF-20240830</t>
  </si>
  <si>
    <t>化合物名称</t>
  </si>
  <si>
    <t>HW356029</t>
  </si>
  <si>
    <t>项目名称：</t>
  </si>
  <si>
    <t>化合物HW356029在小鼠体内药代动力学研究</t>
  </si>
  <si>
    <t>关键时间结点：</t>
  </si>
  <si>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</si>
  <si>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2024-09-03
2024-09-04
2024-09-06
2024-09-09</t>
  </si>
  <si>
    <t>试验承担单位</t>
  </si>
  <si>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地址：安徽省合肥市高新区孔雀台路与习友路交叉路口国家健康大数据产业园A6栋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</si>
  <si>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t>委托单位</t>
  </si>
  <si>
    <r>
      <rPr>
        <sz val="12"/>
        <rFont val="宋体"/>
        <charset val="134"/>
      </rPr>
      <t>负责人：刘勇</t>
    </r>
    <r>
      <rPr>
        <sz val="12"/>
        <rFont val="Times New Roman"/>
        <charset val="134"/>
      </rPr>
      <t xml:space="preserve">
</t>
    </r>
    <r>
      <rPr>
        <sz val="12"/>
        <rFont val="宋体"/>
        <charset val="134"/>
      </rPr>
      <t>委托单位名称：人福医药</t>
    </r>
    <r>
      <rPr>
        <sz val="12"/>
        <rFont val="Times New Roman"/>
        <charset val="134"/>
      </rPr>
      <t xml:space="preserve">
</t>
    </r>
    <r>
      <rPr>
        <sz val="12"/>
        <rFont val="宋体"/>
        <charset val="134"/>
      </rPr>
      <t>邮箱：</t>
    </r>
    <r>
      <rPr>
        <sz val="12"/>
        <rFont val="Times New Roman"/>
        <charset val="134"/>
      </rPr>
      <t xml:space="preserve">liuyong@renfu.com
</t>
    </r>
    <r>
      <rPr>
        <sz val="12"/>
        <rFont val="宋体"/>
        <charset val="134"/>
      </rPr>
      <t>联系方式：</t>
    </r>
    <r>
      <rPr>
        <sz val="12"/>
        <rFont val="Times New Roman"/>
        <charset val="134"/>
      </rPr>
      <t>18062052364</t>
    </r>
  </si>
  <si>
    <t>质控人员</t>
  </si>
  <si>
    <t>葛瑞瑞</t>
  </si>
  <si>
    <t>分析负责人</t>
  </si>
  <si>
    <t>吴素娟</t>
  </si>
  <si>
    <t>动物负责人</t>
  </si>
  <si>
    <t>许晓慧</t>
  </si>
  <si>
    <t>HW356029 PK数据</t>
  </si>
  <si>
    <r>
      <rPr>
        <b/>
        <sz val="11"/>
        <rFont val="宋体"/>
        <charset val="134"/>
      </rPr>
      <t>化合物信息</t>
    </r>
  </si>
  <si>
    <t>表1：单次灌胃口服给予HW356029后小鼠血浆中药物浓度</t>
  </si>
  <si>
    <r>
      <rPr>
        <sz val="11"/>
        <rFont val="宋体"/>
        <charset val="134"/>
      </rPr>
      <t>化合物名称</t>
    </r>
  </si>
  <si>
    <r>
      <rPr>
        <sz val="11"/>
        <rFont val="宋体"/>
        <charset val="134"/>
      </rPr>
      <t>批号</t>
    </r>
  </si>
  <si>
    <r>
      <rPr>
        <sz val="11"/>
        <rFont val="宋体"/>
        <charset val="134"/>
      </rPr>
      <t>分子量</t>
    </r>
  </si>
  <si>
    <t>PO-10.0 mg/kg</t>
  </si>
  <si>
    <r>
      <rPr>
        <sz val="11"/>
        <rFont val="宋体"/>
        <charset val="134"/>
      </rPr>
      <t>纯度</t>
    </r>
  </si>
  <si>
    <t>Time (h)</t>
  </si>
  <si>
    <t>Mean</t>
  </si>
  <si>
    <t>SD</t>
  </si>
  <si>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</si>
  <si>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</si>
  <si>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r>
      <rPr>
        <sz val="11"/>
        <rFont val="宋体"/>
        <charset val="134"/>
      </rPr>
      <t>灌胃</t>
    </r>
  </si>
  <si>
    <r>
      <rPr>
        <b/>
        <sz val="11"/>
        <rFont val="宋体"/>
        <charset val="134"/>
      </rPr>
      <t>推荐溶媒</t>
    </r>
    <r>
      <rPr>
        <b/>
        <sz val="11"/>
        <rFont val="Times New Roman"/>
        <charset val="134"/>
      </rPr>
      <t>:</t>
    </r>
  </si>
  <si>
    <t>5% DMSO+10% Solutol+85% 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</si>
  <si>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</si>
  <si>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</si>
  <si>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</si>
  <si>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t>BQL</t>
  </si>
  <si>
    <t>NA</t>
  </si>
  <si>
    <t xml:space="preserve"> </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</si>
  <si>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</si>
  <si>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</si>
  <si>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</si>
  <si>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</si>
  <si>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</si>
  <si>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</si>
  <si>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</si>
  <si>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 xml:space="preserve">                (mL)</t>
    </r>
  </si>
  <si>
    <r>
      <rPr>
        <sz val="11"/>
        <rFont val="Times New Roman"/>
        <charset val="134"/>
      </rPr>
      <t>Solutol</t>
    </r>
    <r>
      <rPr>
        <sz val="11"/>
        <rFont val="宋体"/>
        <charset val="134"/>
      </rPr>
      <t>的体积</t>
    </r>
    <r>
      <rPr>
        <sz val="11"/>
        <rFont val="Times New Roman"/>
        <charset val="134"/>
      </rPr>
      <t xml:space="preserve">                (mL)</t>
    </r>
  </si>
  <si>
    <r>
      <rPr>
        <sz val="11"/>
        <rFont val="Times New Roman"/>
        <charset val="134"/>
      </rPr>
      <t>Saline</t>
    </r>
    <r>
      <rPr>
        <sz val="11"/>
        <rFont val="宋体"/>
        <charset val="134"/>
      </rPr>
      <t>的体积</t>
    </r>
    <r>
      <rPr>
        <sz val="11"/>
        <rFont val="Times New Roman"/>
        <charset val="134"/>
      </rPr>
      <t xml:space="preserve">                (mL)</t>
    </r>
  </si>
  <si>
    <r>
      <rPr>
        <b/>
        <sz val="11"/>
        <rFont val="Times New Roman"/>
        <charset val="134"/>
      </rPr>
      <t>PO</t>
    </r>
    <r>
      <rPr>
        <b/>
        <sz val="11"/>
        <rFont val="宋体"/>
        <charset val="134"/>
      </rPr>
      <t>制剂配制过程（给药当天现配现用）</t>
    </r>
  </si>
  <si>
    <r>
      <rPr>
        <sz val="11"/>
        <rFont val="Times New Roman"/>
        <charset val="134"/>
      </rPr>
      <t xml:space="preserve">(1) </t>
    </r>
    <r>
      <rPr>
        <sz val="11"/>
        <rFont val="宋体"/>
        <charset val="134"/>
      </rPr>
      <t>准确称取化合物</t>
    </r>
    <r>
      <rPr>
        <sz val="11"/>
        <rFont val="Times New Roman"/>
        <charset val="134"/>
      </rPr>
      <t>1.21 mg,</t>
    </r>
    <r>
      <rPr>
        <sz val="11"/>
        <rFont val="宋体"/>
        <charset val="134"/>
      </rPr>
      <t>放入</t>
    </r>
    <r>
      <rPr>
        <sz val="11"/>
        <rFont val="Times New Roman"/>
        <charset val="134"/>
      </rPr>
      <t xml:space="preserve">5 mL </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</si>
  <si>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0.058 mL DMSO,</t>
    </r>
    <r>
      <rPr>
        <sz val="11"/>
        <rFont val="宋体"/>
        <charset val="134"/>
      </rPr>
      <t>涡旋超声至化合物呈无色澄清状态</t>
    </r>
  </si>
  <si>
    <r>
      <rPr>
        <sz val="11"/>
        <rFont val="Times New Roman"/>
        <charset val="134"/>
      </rPr>
      <t xml:space="preserve">(3) </t>
    </r>
    <r>
      <rPr>
        <sz val="11"/>
        <rFont val="宋体"/>
        <charset val="134"/>
      </rPr>
      <t>加入</t>
    </r>
    <r>
      <rPr>
        <sz val="11"/>
        <rFont val="Times New Roman"/>
        <charset val="134"/>
      </rPr>
      <t>0.117 mL Solutol,</t>
    </r>
    <r>
      <rPr>
        <sz val="11"/>
        <rFont val="宋体"/>
        <charset val="134"/>
      </rPr>
      <t>涡旋超声至化合物呈无色澄清状态</t>
    </r>
  </si>
  <si>
    <r>
      <rPr>
        <sz val="11"/>
        <rFont val="Times New Roman"/>
        <charset val="134"/>
      </rPr>
      <t xml:space="preserve">(4) </t>
    </r>
    <r>
      <rPr>
        <sz val="11"/>
        <rFont val="宋体"/>
        <charset val="134"/>
      </rPr>
      <t>加入</t>
    </r>
    <r>
      <rPr>
        <sz val="11"/>
        <rFont val="Times New Roman"/>
        <charset val="134"/>
      </rPr>
      <t>0.994 mL Saline,</t>
    </r>
    <r>
      <rPr>
        <sz val="11"/>
        <rFont val="宋体"/>
        <charset val="134"/>
      </rPr>
      <t>涡旋超声至化合物呈无色澄清状态，即可得到</t>
    </r>
    <r>
      <rPr>
        <sz val="11"/>
        <rFont val="Times New Roman"/>
        <charset val="134"/>
      </rPr>
      <t>PO</t>
    </r>
    <r>
      <rPr>
        <sz val="11"/>
        <rFont val="宋体"/>
        <charset val="134"/>
      </rPr>
      <t>制剂</t>
    </r>
  </si>
  <si>
    <r>
      <rPr>
        <b/>
        <sz val="11"/>
        <rFont val="宋体"/>
        <charset val="134"/>
      </rPr>
      <t>动物临床观察：</t>
    </r>
  </si>
  <si>
    <r>
      <rPr>
        <b/>
        <sz val="11"/>
        <rFont val="宋体"/>
        <charset val="134"/>
      </rPr>
      <t>动物体重：</t>
    </r>
  </si>
  <si>
    <t>表2：单次灌胃给予HW356029后小鼠血浆PK数据</t>
  </si>
  <si>
    <r>
      <rPr>
        <sz val="11"/>
        <rFont val="宋体"/>
        <charset val="134"/>
      </rPr>
      <t>动物编号</t>
    </r>
  </si>
  <si>
    <r>
      <rPr>
        <sz val="11"/>
        <rFont val="宋体"/>
        <charset val="134"/>
      </rPr>
      <t>体重</t>
    </r>
    <r>
      <rPr>
        <sz val="11"/>
        <rFont val="Times New Roman"/>
        <charset val="134"/>
      </rPr>
      <t>(g)</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</si>
  <si>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</si>
  <si>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</si>
  <si>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</si>
  <si>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</si>
  <si>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</si>
  <si>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分组</t>
    </r>
  </si>
  <si>
    <r>
      <rPr>
        <sz val="11"/>
        <rFont val="宋体"/>
        <charset val="134"/>
      </rPr>
      <t>分析物</t>
    </r>
  </si>
  <si>
    <t>PO</t>
  </si>
  <si>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</si>
  <si>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</si>
  <si>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</si>
  <si>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</si>
  <si>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</si>
  <si>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</si>
  <si>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</si>
  <si>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</si>
  <si>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</si>
  <si>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</si>
  <si>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</si>
  <si>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</si>
  <si>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</si>
  <si>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</si>
  <si>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</si>
  <si>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</si>
  <si>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</si>
  <si>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</si>
  <si>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</si>
  <si>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</si>
  <si>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</si>
  <si>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</si>
  <si>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</si>
  <si>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</si>
  <si>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</si>
  <si>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</si>
  <si>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</si>
  <si>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</si>
  <si>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</si>
  <si>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</si>
  <si>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</si>
  <si>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</si>
  <si>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</si>
  <si>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</si>
  <si>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</si>
  <si>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</si>
  <si>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</si>
  <si>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</si>
  <si>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</si>
  <si>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</si>
  <si>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</si>
  <si>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</si>
  <si>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</si>
  <si>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</si>
  <si>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</si>
  <si>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</si>
  <si>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</si>
  <si>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</si>
  <si>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</si>
  <si>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</si>
  <si>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</si>
  <si>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</si>
  <si>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</si>
  <si>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</si>
  <si>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</si>
  <si>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</si>
  <si>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</si>
  <si>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</si>
  <si>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HW356029</t>
  </si>
  <si>
    <t>Internal Standard: Tolbutamide</t>
  </si>
  <si>
    <t>Q1/Q3 Masses: 458.00/310.30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</si>
  <si>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</si>
  <si>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</si>
  <si>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</si>
  <si>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</si>
  <si>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</si>
  <si>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</si>
  <si>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</si>
  <si>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</si>
  <si>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</si>
  <si>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</si>
  <si>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</si>
  <si>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</si>
  <si>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</si>
  <si>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</si>
  <si>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</si>
  <si>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</si>
  <si>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</si>
  <si>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</si>
  <si>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</si>
  <si>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</si>
  <si>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</si>
  <si>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</si>
  <si>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</si>
  <si>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</si>
  <si>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</si>
  <si>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 blank</t>
  </si>
  <si>
    <t>Unknown</t>
  </si>
  <si>
    <t>HW356029-20240906-Mouse-Plasma\SA.wiff</t>
  </si>
  <si>
    <t>N/A</t>
  </si>
  <si>
    <t>Blank</t>
  </si>
  <si>
    <t>No Peak</t>
  </si>
  <si>
    <t>B-STD1</t>
  </si>
  <si>
    <t>Standard</t>
  </si>
  <si>
    <t>B-STD2</t>
  </si>
  <si>
    <t>B-STD3</t>
  </si>
  <si>
    <t>B-STD4</t>
  </si>
  <si>
    <t>B-STD5</t>
  </si>
  <si>
    <t>B-STD6</t>
  </si>
  <si>
    <t>B-STD7</t>
  </si>
  <si>
    <t>B-STD8</t>
  </si>
  <si>
    <t>B-LQC-1</t>
  </si>
  <si>
    <t>Quality Control</t>
  </si>
  <si>
    <t>B-MQC-1</t>
  </si>
  <si>
    <t>B-HQC-1</t>
  </si>
  <si>
    <t>Doubleblank</t>
  </si>
  <si>
    <t>PO DOSE-1</t>
  </si>
  <si>
    <t>PO DOSE-2</t>
  </si>
  <si>
    <t>PO DOSE-3</t>
  </si>
  <si>
    <t xml:space="preserve">HW356029-Plasma-10mpk-PO-24hr-Mouse1 </t>
  </si>
  <si>
    <t xml:space="preserve">HW356029-Plasma-10mpk-PO-24hr-Mouse2 </t>
  </si>
  <si>
    <t xml:space="preserve">HW356029-Plasma-10mpk-PO-24hr-Mouse3 </t>
  </si>
  <si>
    <t xml:space="preserve">HW356029-Plasma-10mpk-PO-8hr-Mouse1 </t>
  </si>
  <si>
    <t xml:space="preserve">HW356029-Plasma-10mpk-PO-8hr-Mouse2 </t>
  </si>
  <si>
    <t xml:space="preserve">HW356029-Plasma-10mpk-PO-8hr-Mouse3 </t>
  </si>
  <si>
    <t xml:space="preserve">HW356029-Plasma-10mpk-PO-6hr-Mouse1 </t>
  </si>
  <si>
    <t xml:space="preserve">HW356029-Plasma-10mpk-PO-6hr-Mouse2 </t>
  </si>
  <si>
    <t xml:space="preserve">HW356029-Plasma-10mpk-PO-6hr-Mouse3 </t>
  </si>
  <si>
    <t xml:space="preserve">HW356029-Plasma-10mpk-PO-4hr-Mouse1 </t>
  </si>
  <si>
    <t xml:space="preserve">HW356029-Plasma-10mpk-PO-4hr-Mouse2 </t>
  </si>
  <si>
    <t xml:space="preserve">HW356029-Plasma-10mpk-PO-4hr-Mouse3 </t>
  </si>
  <si>
    <t xml:space="preserve">HW356029-Plasma-10mpk-PO-2hr-Mouse1 </t>
  </si>
  <si>
    <t xml:space="preserve">HW356029-Plasma-10mpk-PO-2hr-Mouse2 </t>
  </si>
  <si>
    <t xml:space="preserve">HW356029-Plasma-10mpk-PO-2hr-Mouse3 </t>
  </si>
  <si>
    <t xml:space="preserve">HW356029-Plasma-10mpk-PO-1hr-Mouse1 </t>
  </si>
  <si>
    <t xml:space="preserve">HW356029-Plasma-10mpk-PO-1hr-Mouse2 </t>
  </si>
  <si>
    <t xml:space="preserve">HW356029-Plasma-10mpk-PO-1hr-Mouse3 </t>
  </si>
  <si>
    <t xml:space="preserve">HW356029-Plasma-10mpk-PO-30min-Mouse1 </t>
  </si>
  <si>
    <t xml:space="preserve">HW356029-Plasma-10mpk-PO-30min-Mouse2 </t>
  </si>
  <si>
    <t xml:space="preserve">HW356029-Plasma-10mpk-PO-30min-Mouse3 </t>
  </si>
  <si>
    <t xml:space="preserve">HW356029-Plasma-10mpk-PO-15min-Mouse1 </t>
  </si>
  <si>
    <t xml:space="preserve">HW356029-Plasma-10mpk-PO-15min-Mouse2 </t>
  </si>
  <si>
    <t xml:space="preserve">HW356029-Plasma-10mpk-PO-15min-Mouse3 </t>
  </si>
  <si>
    <t xml:space="preserve">HW356029-Plasma-10mpk-PO-5min-Mouse1 </t>
  </si>
  <si>
    <t xml:space="preserve">HW356029-Plasma-10mpk-PO-5min-Mouse2 </t>
  </si>
  <si>
    <t xml:space="preserve">HW356029-Plasma-10mpk-PO-5min-Mouse3 </t>
  </si>
  <si>
    <t>B-LQC-2</t>
  </si>
  <si>
    <t>B-MQC-2</t>
  </si>
  <si>
    <t>B-HQC-2</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</si>
  <si>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</si>
  <si>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</si>
  <si>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</si>
  <si>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</si>
  <si>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</si>
  <si>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</si>
  <si>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t>Q1/Q3 Masses: 458.00/390.30 Da</t>
  </si>
  <si>
    <t>&lt; 0</t>
  </si>
  <si>
    <t>Q1/Q3 Masses: 458.00/232.20 Da</t>
  </si>
  <si>
    <t>Q1/Q3 Masses: 458.00/79.20 Da</t>
  </si>
  <si>
    <t>Q1/Q3 Masses: 458.00/215.40 Da</t>
  </si>
  <si>
    <t>Q1/Q3 Masses: 269.20/170.00 Da</t>
  </si>
  <si>
    <t>Q1/Q3 Masses: 456.00/376.00 Da</t>
  </si>
  <si>
    <t>HW356029-20240904-Mouse-Plasma\SA.wiff</t>
  </si>
  <si>
    <t>Q1/Q3 Masses: 456.00/78.70 Da</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</si>
  <si>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</si>
  <si>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</si>
  <si>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</si>
  <si>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</si>
  <si>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charset val="134"/>
      </rPr>
      <t>%</t>
    </r>
  </si>
  <si>
    <t>质控样本</t>
  </si>
  <si>
    <t>准确度%</t>
  </si>
  <si>
    <t>B-LQC</t>
  </si>
  <si>
    <t>B-MQC</t>
  </si>
  <si>
    <t>B-HQC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</si>
  <si>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</si>
  <si>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</si>
  <si>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将药制剂原液稀释2</t>
    </r>
    <r>
      <rPr>
        <sz val="11"/>
        <rFont val="Times New Roman"/>
        <charset val="134"/>
      </rPr>
      <t>0000</t>
    </r>
    <r>
      <rPr>
        <sz val="11"/>
        <rFont val="宋体"/>
        <charset val="134"/>
      </rPr>
      <t>倍后进行浓度检测</t>
    </r>
    <r>
      <rPr>
        <sz val="11"/>
        <rFont val="Times New Roman"/>
        <charset val="134"/>
      </rPr>
      <t>):</t>
    </r>
  </si>
  <si>
    <r>
      <rPr>
        <sz val="11"/>
        <rFont val="Times New Roman"/>
        <charset val="134"/>
      </rPr>
      <t xml:space="preserve">1) </t>
    </r>
    <r>
      <rPr>
        <sz val="11"/>
        <rFont val="宋体"/>
        <charset val="134"/>
      </rPr>
      <t>移取药制剂</t>
    </r>
    <r>
      <rPr>
        <sz val="11"/>
        <rFont val="Times New Roman"/>
        <charset val="134"/>
      </rPr>
      <t>50 μL</t>
    </r>
    <r>
      <rPr>
        <sz val="11"/>
        <rFont val="宋体"/>
        <charset val="134"/>
      </rPr>
      <t>，加入二甲基亚砜</t>
    </r>
    <r>
      <rPr>
        <sz val="11"/>
        <rFont val="Times New Roman"/>
        <charset val="134"/>
      </rPr>
      <t>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r>
      <rPr>
        <sz val="11"/>
        <rFont val="宋体"/>
        <charset val="134"/>
      </rPr>
      <t>；</t>
    </r>
  </si>
  <si>
    <r>
      <rPr>
        <sz val="11"/>
        <rFont val="Times New Roman"/>
        <charset val="134"/>
      </rPr>
      <t xml:space="preserve">2) </t>
    </r>
    <r>
      <rPr>
        <sz val="11"/>
        <rFont val="宋体"/>
        <charset val="134"/>
      </rPr>
      <t>将第一步中的药制剂稀释液移取</t>
    </r>
    <r>
      <rPr>
        <sz val="11"/>
        <rFont val="Times New Roman"/>
        <charset val="134"/>
      </rPr>
      <t>20 µL</t>
    </r>
    <r>
      <rPr>
        <sz val="11"/>
        <rFont val="宋体"/>
        <charset val="134"/>
      </rPr>
      <t>，准确加入二甲基亚砜</t>
    </r>
    <r>
      <rPr>
        <sz val="11"/>
        <rFont val="Times New Roman"/>
        <charset val="134"/>
      </rPr>
      <t>980 µL</t>
    </r>
    <r>
      <rPr>
        <sz val="11"/>
        <rFont val="宋体"/>
        <charset val="134"/>
      </rPr>
      <t>，混合均匀（该过程稀释</t>
    </r>
    <r>
      <rPr>
        <sz val="11"/>
        <rFont val="Times New Roman"/>
        <charset val="134"/>
      </rPr>
      <t>50</t>
    </r>
    <r>
      <rPr>
        <sz val="11"/>
        <rFont val="宋体"/>
        <charset val="134"/>
      </rPr>
      <t>倍）；</t>
    </r>
  </si>
  <si>
    <r>
      <rPr>
        <sz val="11"/>
        <rFont val="Times New Roman"/>
        <charset val="134"/>
      </rPr>
      <t xml:space="preserve">3) </t>
    </r>
    <r>
      <rPr>
        <sz val="11"/>
        <rFont val="宋体"/>
        <charset val="134"/>
      </rPr>
      <t>将第二步中的溶液移取</t>
    </r>
    <r>
      <rPr>
        <sz val="11"/>
        <rFont val="Times New Roman"/>
        <charset val="134"/>
      </rPr>
      <t xml:space="preserve">5.0 μL </t>
    </r>
    <r>
      <rPr>
        <sz val="11"/>
        <rFont val="宋体"/>
        <charset val="134"/>
      </rPr>
      <t>加入到</t>
    </r>
    <r>
      <rPr>
        <sz val="11"/>
        <rFont val="Times New Roman"/>
        <charset val="134"/>
      </rPr>
      <t>95.0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</si>
  <si>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</si>
  <si>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</si>
  <si>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</si>
  <si>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</si>
  <si>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</si>
  <si>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</si>
  <si>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</si>
  <si>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</si>
  <si>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</si>
  <si>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</si>
  <si>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</si>
  <si>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(PO:1.0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</si>
  <si>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t>分析方法</t>
  </si>
  <si>
    <t>设备型号</t>
  </si>
  <si>
    <t>LC-MS/MS ( Triple Quad 5500+)</t>
  </si>
  <si>
    <t>设备编号</t>
  </si>
  <si>
    <t>LC-MS/MS-004</t>
  </si>
  <si>
    <t>基质类型</t>
  </si>
  <si>
    <t>小鼠血浆</t>
  </si>
  <si>
    <t>分析物</t>
  </si>
  <si>
    <t>内标</t>
  </si>
  <si>
    <t>Tolbutamide</t>
  </si>
  <si>
    <t>质谱条件</t>
  </si>
  <si>
    <r>
      <rPr>
        <sz val="11"/>
        <color rgb="FF000000"/>
        <rFont val="Times New Roman"/>
        <charset val="134"/>
      </rPr>
      <t>ESI</t>
    </r>
    <r>
      <rPr>
        <sz val="11"/>
        <color rgb="FF000000"/>
        <rFont val="宋体"/>
        <charset val="134"/>
      </rPr>
      <t>源正离子模式</t>
    </r>
  </si>
  <si>
    <t>多反应监测</t>
  </si>
  <si>
    <t xml:space="preserve"> Tolbutamide</t>
  </si>
  <si>
    <t>液相条件</t>
  </si>
  <si>
    <t>色谱柱</t>
  </si>
  <si>
    <t>Synergi 4µm Fusion-RP 80A LC Column 50*2 mm</t>
  </si>
  <si>
    <t>色谱型号</t>
  </si>
  <si>
    <t>ExionLC</t>
  </si>
  <si>
    <t>流动相</t>
  </si>
  <si>
    <r>
      <rPr>
        <sz val="11"/>
        <rFont val="Times New Roman"/>
        <charset val="134"/>
      </rPr>
      <t xml:space="preserve">A: </t>
    </r>
    <r>
      <rPr>
        <sz val="11"/>
        <rFont val="宋体"/>
        <charset val="134"/>
      </rPr>
      <t>水（含</t>
    </r>
    <r>
      <rPr>
        <sz val="11"/>
        <rFont val="Times New Roman"/>
        <charset val="134"/>
      </rPr>
      <t>0.1%FA</t>
    </r>
    <r>
      <rPr>
        <sz val="11"/>
        <rFont val="宋体"/>
        <charset val="134"/>
      </rPr>
      <t>）</t>
    </r>
  </si>
  <si>
    <r>
      <rPr>
        <sz val="11"/>
        <rFont val="Times New Roman"/>
        <charset val="134"/>
      </rPr>
      <t>B:</t>
    </r>
    <r>
      <rPr>
        <sz val="11"/>
        <rFont val="宋体"/>
        <charset val="134"/>
      </rPr>
      <t>乙腈</t>
    </r>
  </si>
  <si>
    <t>液相程序</t>
  </si>
  <si>
    <r>
      <rPr>
        <sz val="11"/>
        <rFont val="宋体"/>
        <charset val="134"/>
      </rPr>
      <t>时间</t>
    </r>
    <r>
      <rPr>
        <sz val="11"/>
        <rFont val="Times New Roman"/>
        <charset val="134"/>
      </rPr>
      <t xml:space="preserve"> (min)</t>
    </r>
  </si>
  <si>
    <r>
      <rPr>
        <sz val="11"/>
        <rFont val="宋体"/>
        <charset val="134"/>
      </rPr>
      <t>流速</t>
    </r>
    <r>
      <rPr>
        <sz val="11"/>
        <rFont val="Times New Roman"/>
        <charset val="134"/>
      </rPr>
      <t xml:space="preserve"> (mL/min)</t>
    </r>
  </si>
  <si>
    <t>A (%)</t>
  </si>
  <si>
    <t>B (%)</t>
  </si>
  <si>
    <r>
      <rPr>
        <sz val="11"/>
        <rFont val="宋体"/>
        <charset val="134"/>
      </rPr>
      <t>柱温</t>
    </r>
    <r>
      <rPr>
        <sz val="11"/>
        <rFont val="Times New Roman"/>
        <charset val="134"/>
      </rPr>
      <t xml:space="preserve"> (°C):</t>
    </r>
  </si>
  <si>
    <r>
      <rPr>
        <sz val="11"/>
        <rFont val="宋体"/>
        <charset val="134"/>
      </rPr>
      <t>进样体积</t>
    </r>
    <r>
      <rPr>
        <sz val="11"/>
        <rFont val="Times New Roman"/>
        <charset val="134"/>
      </rPr>
      <t>(μL):</t>
    </r>
  </si>
  <si>
    <r>
      <rPr>
        <sz val="11"/>
        <color indexed="8"/>
        <rFont val="宋体"/>
        <charset val="134"/>
      </rPr>
      <t>保留时间</t>
    </r>
    <r>
      <rPr>
        <sz val="11"/>
        <color indexed="8"/>
        <rFont val="Times New Roman"/>
        <charset val="134"/>
      </rPr>
      <t>:</t>
    </r>
  </si>
  <si>
    <t>0.94 min</t>
  </si>
  <si>
    <t>IS:</t>
  </si>
  <si>
    <t>0.77 min</t>
  </si>
  <si>
    <r>
      <rPr>
        <b/>
        <sz val="11"/>
        <color rgb="FF000000"/>
        <rFont val="宋体"/>
        <charset val="134"/>
      </rPr>
      <t>样品前处理</t>
    </r>
    <r>
      <rPr>
        <b/>
        <sz val="11"/>
        <color rgb="FF000000"/>
        <rFont val="Times New Roman"/>
        <charset val="134"/>
      </rPr>
      <t xml:space="preserve"> </t>
    </r>
  </si>
  <si>
    <r>
      <rPr>
        <sz val="11"/>
        <rFont val="Times New Roman"/>
        <charset val="134"/>
      </rPr>
      <t xml:space="preserve">1. </t>
    </r>
    <r>
      <rPr>
        <sz val="11"/>
        <rFont val="宋体"/>
        <charset val="134"/>
      </rPr>
      <t>所有样品完全融化后，混匀</t>
    </r>
    <r>
      <rPr>
        <sz val="11"/>
        <rFont val="Times New Roman"/>
        <charset val="134"/>
      </rPr>
      <t>10</t>
    </r>
    <r>
      <rPr>
        <sz val="11"/>
        <rFont val="宋体"/>
        <charset val="134"/>
      </rPr>
      <t>～</t>
    </r>
    <r>
      <rPr>
        <sz val="11"/>
        <rFont val="Times New Roman"/>
        <charset val="134"/>
      </rPr>
      <t>30</t>
    </r>
    <r>
      <rPr>
        <sz val="11"/>
        <rFont val="宋体"/>
        <charset val="134"/>
      </rPr>
      <t>秒，</t>
    </r>
    <r>
      <rPr>
        <sz val="11"/>
        <rFont val="Times New Roman"/>
        <charset val="134"/>
      </rPr>
      <t>4000 rpm</t>
    </r>
    <r>
      <rPr>
        <sz val="11"/>
        <rFont val="宋体"/>
        <charset val="134"/>
      </rPr>
      <t>、</t>
    </r>
    <r>
      <rPr>
        <sz val="11"/>
        <rFont val="Times New Roman"/>
        <charset val="134"/>
      </rPr>
      <t>4°C</t>
    </r>
    <r>
      <rPr>
        <sz val="11"/>
        <rFont val="宋体"/>
        <charset val="134"/>
      </rPr>
      <t>条件下离心</t>
    </r>
    <r>
      <rPr>
        <sz val="11"/>
        <rFont val="Times New Roman"/>
        <charset val="134"/>
      </rPr>
      <t>0.5</t>
    </r>
    <r>
      <rPr>
        <sz val="11"/>
        <rFont val="宋体"/>
        <charset val="134"/>
      </rPr>
      <t>分钟。</t>
    </r>
    <r>
      <rPr>
        <sz val="11"/>
        <rFont val="Times New Roman"/>
        <charset val="134"/>
      </rPr>
      <t xml:space="preserve">
2.</t>
    </r>
    <r>
      <rPr>
        <sz val="11"/>
        <rFont val="宋体"/>
        <charset val="134"/>
      </rPr>
      <t>移取</t>
    </r>
    <r>
      <rPr>
        <sz val="11"/>
        <rFont val="Times New Roman"/>
        <charset val="134"/>
      </rPr>
      <t>20 μL</t>
    </r>
    <r>
      <rPr>
        <sz val="11"/>
        <rFont val="宋体"/>
        <charset val="134"/>
      </rPr>
      <t>血浆样品（空白样品和内标空白样品加</t>
    </r>
    <r>
      <rPr>
        <sz val="11"/>
        <rFont val="Times New Roman"/>
        <charset val="134"/>
      </rPr>
      <t>20 μL</t>
    </r>
    <r>
      <rPr>
        <sz val="11"/>
        <rFont val="宋体"/>
        <charset val="134"/>
      </rPr>
      <t>空白血浆）至</t>
    </r>
    <r>
      <rPr>
        <sz val="11"/>
        <rFont val="Times New Roman"/>
        <charset val="134"/>
      </rPr>
      <t>96</t>
    </r>
    <r>
      <rPr>
        <sz val="11"/>
        <rFont val="宋体"/>
        <charset val="134"/>
      </rPr>
      <t>孔板中，加入</t>
    </r>
    <r>
      <rPr>
        <sz val="11"/>
        <rFont val="Times New Roman"/>
        <charset val="134"/>
      </rPr>
      <t>200 μL</t>
    </r>
    <r>
      <rPr>
        <sz val="11"/>
        <rFont val="宋体"/>
        <charset val="134"/>
      </rPr>
      <t>含内标（</t>
    </r>
    <r>
      <rPr>
        <sz val="11"/>
        <rFont val="Times New Roman"/>
        <charset val="134"/>
      </rPr>
      <t>100 ng/mL</t>
    </r>
    <r>
      <rPr>
        <sz val="11"/>
        <rFont val="宋体"/>
        <charset val="134"/>
      </rPr>
      <t>）</t>
    </r>
    <r>
      <rPr>
        <sz val="11"/>
        <rFont val="Times New Roman"/>
        <charset val="134"/>
      </rPr>
      <t>50%</t>
    </r>
    <r>
      <rPr>
        <sz val="11"/>
        <rFont val="宋体"/>
        <charset val="134"/>
      </rPr>
      <t>甲醇乙腈溶液（</t>
    </r>
    <r>
      <rPr>
        <sz val="11"/>
        <rFont val="Times New Roman"/>
        <charset val="134"/>
      </rPr>
      <t>Doubleblank</t>
    </r>
    <r>
      <rPr>
        <sz val="11"/>
        <rFont val="宋体"/>
        <charset val="134"/>
      </rPr>
      <t>样品加入</t>
    </r>
    <r>
      <rPr>
        <sz val="11"/>
        <rFont val="Times New Roman"/>
        <charset val="134"/>
      </rPr>
      <t>200 μL 50%</t>
    </r>
    <r>
      <rPr>
        <sz val="11"/>
        <rFont val="宋体"/>
        <charset val="134"/>
      </rPr>
      <t>甲醇乙腈溶液）。</t>
    </r>
    <r>
      <rPr>
        <sz val="11"/>
        <rFont val="Times New Roman"/>
        <charset val="134"/>
      </rPr>
      <t xml:space="preserve">
3.</t>
    </r>
    <r>
      <rPr>
        <sz val="11"/>
        <rFont val="宋体"/>
        <charset val="134"/>
      </rPr>
      <t>将样品涡旋</t>
    </r>
    <r>
      <rPr>
        <sz val="11"/>
        <rFont val="Times New Roman"/>
        <charset val="134"/>
      </rPr>
      <t>5</t>
    </r>
    <r>
      <rPr>
        <sz val="11"/>
        <rFont val="宋体"/>
        <charset val="134"/>
      </rPr>
      <t>分钟后，在</t>
    </r>
    <r>
      <rPr>
        <sz val="11"/>
        <rFont val="Times New Roman"/>
        <charset val="134"/>
      </rPr>
      <t>4000rpm</t>
    </r>
    <r>
      <rPr>
        <sz val="11"/>
        <rFont val="宋体"/>
        <charset val="134"/>
      </rPr>
      <t>、</t>
    </r>
    <r>
      <rPr>
        <sz val="11"/>
        <rFont val="Times New Roman"/>
        <charset val="134"/>
      </rPr>
      <t>4°C</t>
    </r>
    <r>
      <rPr>
        <sz val="11"/>
        <rFont val="宋体"/>
        <charset val="134"/>
      </rPr>
      <t>条件下离心</t>
    </r>
    <r>
      <rPr>
        <sz val="11"/>
        <rFont val="Times New Roman"/>
        <charset val="134"/>
      </rPr>
      <t>10</t>
    </r>
    <r>
      <rPr>
        <sz val="11"/>
        <rFont val="宋体"/>
        <charset val="134"/>
      </rPr>
      <t>分钟，移取</t>
    </r>
    <r>
      <rPr>
        <sz val="11"/>
        <rFont val="Times New Roman"/>
        <charset val="134"/>
      </rPr>
      <t>100μL</t>
    </r>
    <r>
      <rPr>
        <sz val="11"/>
        <rFont val="宋体"/>
        <charset val="134"/>
      </rPr>
      <t>加入到</t>
    </r>
    <r>
      <rPr>
        <sz val="11"/>
        <rFont val="Times New Roman"/>
        <charset val="134"/>
      </rPr>
      <t>100μL</t>
    </r>
    <r>
      <rPr>
        <sz val="11"/>
        <rFont val="宋体"/>
        <charset val="134"/>
      </rPr>
      <t>的水中，混合均匀，交由</t>
    </r>
    <r>
      <rPr>
        <sz val="11"/>
        <rFont val="Times New Roman"/>
        <charset val="134"/>
      </rPr>
      <t>LC-MS/MS</t>
    </r>
    <r>
      <rPr>
        <sz val="11"/>
        <rFont val="宋体"/>
        <charset val="134"/>
      </rPr>
      <t>分析。</t>
    </r>
    <r>
      <rPr>
        <sz val="11"/>
        <rFont val="Times New Roman"/>
        <charset val="134"/>
      </rPr>
      <t xml:space="preserve">
</t>
    </r>
  </si>
  <si>
    <t>线性范围</t>
  </si>
  <si>
    <t xml:space="preserve">2-2000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</si>
  <si>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</si>
  <si>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</si>
  <si>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</si>
  <si>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</si>
  <si>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</si>
  <si>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</si>
  <si>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</si>
  <si>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r>
      <rPr>
        <sz val="11"/>
        <color theme="1"/>
        <rFont val="Times New Roman"/>
        <charset val="134"/>
      </rPr>
      <t>4</t>
    </r>
    <r>
      <rPr>
        <sz val="11"/>
        <color theme="1"/>
        <rFont val="宋体"/>
        <charset val="134"/>
      </rPr>
      <t>℃</t>
    </r>
  </si>
  <si>
    <r>
      <rPr>
        <sz val="11"/>
        <color rgb="FF000000"/>
        <rFont val="宋体"/>
        <charset val="134"/>
      </rPr>
      <t>游离形式</t>
    </r>
  </si>
  <si>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</si>
  <si>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</si>
  <si>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</si>
  <si>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 DMSO+10% Solutol+85% Saline</t>
    </r>
  </si>
  <si>
    <r>
      <rPr>
        <b/>
        <sz val="11"/>
        <color indexed="8"/>
        <rFont val="宋体"/>
        <charset val="134"/>
      </rPr>
      <t>实验动物</t>
    </r>
  </si>
  <si>
    <r>
      <rPr>
        <sz val="11"/>
        <color rgb="FF000000"/>
        <rFont val="宋体"/>
        <charset val="134"/>
      </rPr>
      <t>种属：</t>
    </r>
    <r>
      <rPr>
        <sz val="11"/>
        <color rgb="FF000000"/>
        <rFont val="Times New Roman"/>
        <charset val="134"/>
      </rPr>
      <t>ICR</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</si>
  <si>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</si>
  <si>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5</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</si>
  <si>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</si>
  <si>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</si>
  <si>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</si>
  <si>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</si>
  <si>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</si>
  <si>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</si>
  <si>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</si>
  <si>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</si>
  <si>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</si>
  <si>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</si>
  <si>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indexed="8"/>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</si>
  <si>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</si>
  <si>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</si>
  <si>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</si>
  <si>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</si>
  <si>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rgb="FF000000"/>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</si>
  <si>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</si>
  <si>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</si>
  <si>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给药前称重，根据体重，计算给药量。通过灌胃口服给药。</t>
    </r>
  </si>
  <si>
    <r>
      <rPr>
        <b/>
        <sz val="11"/>
        <color indexed="8"/>
        <rFont val="宋体"/>
        <charset val="134"/>
      </rPr>
      <t>采血时间点：</t>
    </r>
  </si>
  <si>
    <r>
      <rPr>
        <sz val="11"/>
        <color rgb="FF000000"/>
        <rFont val="宋体"/>
        <charset val="134"/>
      </rPr>
      <t>给药后：</t>
    </r>
    <r>
      <rPr>
        <sz val="11"/>
        <color rgb="FF000000"/>
        <rFont val="Times New Roman"/>
        <charset val="134"/>
      </rPr>
      <t>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</si>
  <si>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EDTA-2K</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</si>
  <si>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</si>
  <si>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</si>
  <si>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</si>
  <si>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</si>
  <si>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</si>
  <si>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rgb="FF000000"/>
        <rFont val="宋体"/>
        <charset val="134"/>
      </rPr>
      <t>剩余供试品和剩余血浆样品在试验结束后继续存放于</t>
    </r>
    <r>
      <rPr>
        <sz val="11"/>
        <color rgb="FF000000"/>
        <rFont val="Times New Roman"/>
        <charset val="134"/>
      </rPr>
      <t>-80 °C</t>
    </r>
    <r>
      <rPr>
        <sz val="11"/>
        <color rgb="FF000000"/>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</si>
</sst>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 numFmtId="178" formatCode="0.0"/>
    <numFmt numFmtId="179" formatCode="0.0_ "/>
    <numFmt numFmtId="180" formatCode="0.000_ "/>
    <numFmt numFmtId="181" formatCode="0_);[Red]\(0\)"/>
    <numFmt numFmtId="182" formatCode="0.000000_ "/>
    <numFmt numFmtId="183" formatCode="0.00000000_ "/>
    <numFmt numFmtId="184" formatCode="0.0000_ "/>
    <numFmt numFmtId="185" formatCode="0.000"/>
    <numFmt numFmtId="186" formatCode="0.0000"/>
  </numFmts>
  <fonts count="64">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name val="Times New Roman"/>
      <charset val="134"/>
    </font>
    <font>
      <sz val="11"/>
      <color rgb="FF000000"/>
      <name val="Times New Roman"/>
      <charset val="134"/>
    </font>
    <font>
      <b/>
      <sz val="11"/>
      <color indexed="8"/>
      <name val="宋体"/>
      <charset val="134"/>
    </font>
    <font>
      <sz val="11"/>
      <color indexed="8"/>
      <name val="宋体"/>
      <charset val="134"/>
    </font>
    <font>
      <sz val="11"/>
      <name val="宋体"/>
      <charset val="134"/>
    </font>
    <font>
      <sz val="10.5"/>
      <color theme="1"/>
      <name val="Times New Roman"/>
      <charset val="134"/>
    </font>
    <font>
      <b/>
      <sz val="11"/>
      <color rgb="FF000000"/>
      <name val="宋体"/>
      <charset val="134"/>
    </font>
    <font>
      <b/>
      <sz val="11"/>
      <name val="Times New Roman"/>
      <charset val="134"/>
    </font>
    <font>
      <b/>
      <u/>
      <sz val="11"/>
      <name val="Times New Roman"/>
      <charset val="134"/>
    </font>
    <font>
      <b/>
      <sz val="11"/>
      <color theme="1"/>
      <name val="Times New Roman"/>
      <charset val="134"/>
    </font>
    <font>
      <b/>
      <sz val="14"/>
      <name val="Times New Roman"/>
      <charset val="134"/>
    </font>
    <font>
      <b/>
      <sz val="12"/>
      <name val="Times New Roman"/>
      <charset val="134"/>
    </font>
    <font>
      <sz val="11"/>
      <color rgb="FFFF0000"/>
      <name val="Times New Roman"/>
      <charset val="134"/>
    </font>
    <font>
      <sz val="12"/>
      <name val="Times New Roman"/>
      <charset val="134"/>
    </font>
    <font>
      <sz val="16"/>
      <name val="宋体"/>
      <charset val="134"/>
    </font>
    <font>
      <sz val="16"/>
      <name val="Times New Roman"/>
      <charset val="134"/>
    </font>
    <font>
      <b/>
      <sz val="12"/>
      <name val="宋体"/>
      <charset val="134"/>
    </font>
    <font>
      <sz val="12"/>
      <name val="宋体"/>
      <charset val="134"/>
    </font>
    <font>
      <sz val="1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2"/>
      <color indexed="14"/>
      <name val="Calibri"/>
      <charset val="134"/>
    </font>
    <font>
      <b/>
      <sz val="12"/>
      <color indexed="52"/>
      <name val="Calibri"/>
      <charset val="134"/>
    </font>
    <font>
      <b/>
      <sz val="12"/>
      <color indexed="9"/>
      <name val="Calibri"/>
      <charset val="134"/>
    </font>
    <font>
      <sz val="12"/>
      <color indexed="17"/>
      <name val="Calibri"/>
      <charset val="134"/>
    </font>
    <font>
      <sz val="12"/>
      <color indexed="62"/>
      <name val="Calibri"/>
      <charset val="134"/>
    </font>
    <font>
      <sz val="12"/>
      <color indexed="60"/>
      <name val="Calibri"/>
      <charset val="134"/>
    </font>
    <font>
      <sz val="10"/>
      <color indexed="0"/>
      <name val="Arial"/>
      <charset val="134"/>
    </font>
    <font>
      <sz val="10"/>
      <name val="Arial"/>
      <charset val="134"/>
    </font>
    <font>
      <sz val="10"/>
      <color indexed="8"/>
      <name val="Arial"/>
      <charset val="134"/>
    </font>
    <font>
      <b/>
      <sz val="12"/>
      <color indexed="63"/>
      <name val="Calibri"/>
      <charset val="134"/>
    </font>
    <font>
      <b/>
      <sz val="12"/>
      <color indexed="8"/>
      <name val="Calibri"/>
      <charset val="134"/>
    </font>
    <font>
      <sz val="10"/>
      <name val="Tahoma"/>
      <charset val="134"/>
    </font>
    <font>
      <sz val="10"/>
      <name val="MS Sans Serif"/>
      <charset val="134"/>
    </font>
    <font>
      <sz val="11"/>
      <color theme="1"/>
      <name val="宋体"/>
      <charset val="134"/>
    </font>
    <font>
      <sz val="11"/>
      <color rgb="FF000000"/>
      <name val="宋体"/>
      <charset val="134"/>
    </font>
    <font>
      <b/>
      <sz val="11"/>
      <name val="宋体"/>
      <charset val="134"/>
    </font>
    <font>
      <vertAlign val="subscript"/>
      <sz val="11"/>
      <name val="Times New Roman"/>
      <charset val="134"/>
    </font>
    <font>
      <vertAlign val="subscript"/>
      <sz val="11"/>
      <name val="宋体"/>
      <charset val="134"/>
    </font>
    <font>
      <b/>
      <u/>
      <sz val="11"/>
      <name val="宋体"/>
      <charset val="134"/>
    </font>
    <font>
      <b/>
      <sz val="11"/>
      <color rgb="FF000000"/>
      <name val="Times New Roman"/>
      <charset val="134"/>
    </font>
  </fonts>
  <fills count="60">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theme="5" tint="0.799645985290078"/>
        <bgColor indexed="64"/>
      </patternFill>
    </fill>
    <fill>
      <patternFill patternType="solid">
        <fgColor indexed="47"/>
        <bgColor indexed="64"/>
      </patternFill>
    </fill>
    <fill>
      <patternFill patternType="solid">
        <fgColor theme="5" tint="0.799615466780602"/>
        <bgColor indexed="64"/>
      </patternFill>
    </fill>
    <fill>
      <patternFill patternType="solid">
        <fgColor theme="5" tint="0.799676503799554"/>
        <bgColor indexed="64"/>
      </patternFill>
    </fill>
    <fill>
      <patternFill patternType="solid">
        <fgColor theme="5" tint="0.79970702230903"/>
        <bgColor indexed="64"/>
      </patternFill>
    </fill>
    <fill>
      <patternFill patternType="solid">
        <fgColor indexed="26"/>
        <bgColor indexed="64"/>
      </patternFill>
    </fill>
    <fill>
      <patternFill patternType="solid">
        <fgColor theme="7" tint="0.799645985290078"/>
        <bgColor indexed="64"/>
      </patternFill>
    </fill>
    <fill>
      <patternFill patternType="solid">
        <fgColor theme="7" tint="0.799615466780602"/>
        <bgColor indexed="64"/>
      </patternFill>
    </fill>
    <fill>
      <patternFill patternType="solid">
        <fgColor theme="7" tint="0.799676503799554"/>
        <bgColor indexed="64"/>
      </patternFill>
    </fill>
    <fill>
      <patternFill patternType="solid">
        <fgColor theme="7" tint="0.79970702230903"/>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s>
  <borders count="4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right style="medium">
        <color auto="1"/>
      </right>
      <top/>
      <bottom style="thin">
        <color auto="1"/>
      </bottom>
      <diagonal/>
    </border>
    <border>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60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4" borderId="33"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34" applyNumberFormat="0" applyFill="0" applyAlignment="0" applyProtection="0">
      <alignment vertical="center"/>
    </xf>
    <xf numFmtId="0" fontId="29" fillId="0" borderId="34" applyNumberFormat="0" applyFill="0" applyAlignment="0" applyProtection="0">
      <alignment vertical="center"/>
    </xf>
    <xf numFmtId="0" fontId="30" fillId="0" borderId="35" applyNumberFormat="0" applyFill="0" applyAlignment="0" applyProtection="0">
      <alignment vertical="center"/>
    </xf>
    <xf numFmtId="0" fontId="30" fillId="0" borderId="0" applyNumberFormat="0" applyFill="0" applyBorder="0" applyAlignment="0" applyProtection="0">
      <alignment vertical="center"/>
    </xf>
    <xf numFmtId="0" fontId="31" fillId="5" borderId="36" applyNumberFormat="0" applyAlignment="0" applyProtection="0">
      <alignment vertical="center"/>
    </xf>
    <xf numFmtId="0" fontId="32" fillId="6" borderId="37" applyNumberFormat="0" applyAlignment="0" applyProtection="0">
      <alignment vertical="center"/>
    </xf>
    <xf numFmtId="0" fontId="33" fillId="6" borderId="36" applyNumberFormat="0" applyAlignment="0" applyProtection="0">
      <alignment vertical="center"/>
    </xf>
    <xf numFmtId="0" fontId="34" fillId="7" borderId="38" applyNumberFormat="0" applyAlignment="0" applyProtection="0">
      <alignment vertical="center"/>
    </xf>
    <xf numFmtId="0" fontId="35" fillId="0" borderId="39" applyNumberFormat="0" applyFill="0" applyAlignment="0" applyProtection="0">
      <alignment vertical="center"/>
    </xf>
    <xf numFmtId="0" fontId="36" fillId="0" borderId="40" applyNumberFormat="0" applyFill="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40" fillId="11" borderId="0" applyNumberFormat="0" applyBorder="0" applyAlignment="0" applyProtection="0">
      <alignment vertical="center"/>
    </xf>
    <xf numFmtId="0" fontId="41" fillId="12" borderId="0" applyNumberFormat="0" applyBorder="0" applyAlignment="0" applyProtection="0">
      <alignment vertical="center"/>
    </xf>
    <xf numFmtId="0" fontId="41" fillId="13" borderId="0" applyNumberFormat="0" applyBorder="0" applyAlignment="0" applyProtection="0">
      <alignment vertical="center"/>
    </xf>
    <xf numFmtId="0" fontId="40"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0" fillId="34" borderId="0" applyNumberFormat="0" applyBorder="0" applyAlignment="0" applyProtection="0">
      <alignment vertical="center"/>
    </xf>
    <xf numFmtId="0" fontId="42" fillId="35" borderId="0" applyNumberFormat="0" applyBorder="0" applyAlignment="0" applyProtection="0"/>
    <xf numFmtId="0" fontId="0" fillId="36" borderId="0" applyNumberFormat="0" applyBorder="0" applyAlignment="0" applyProtection="0">
      <alignment vertical="center"/>
    </xf>
    <xf numFmtId="0" fontId="42" fillId="37" borderId="0" applyNumberFormat="0" applyBorder="0" applyAlignment="0" applyProtection="0"/>
    <xf numFmtId="0" fontId="0" fillId="36"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6" borderId="0" applyNumberFormat="0" applyBorder="0" applyAlignment="0" applyProtection="0">
      <alignment vertical="center"/>
    </xf>
    <xf numFmtId="0" fontId="0" fillId="40" borderId="0" applyNumberFormat="0" applyBorder="0" applyAlignment="0" applyProtection="0">
      <alignment vertical="center"/>
    </xf>
    <xf numFmtId="0" fontId="0" fillId="36" borderId="0" applyNumberFormat="0" applyBorder="0" applyAlignment="0" applyProtection="0">
      <alignment vertical="center"/>
    </xf>
    <xf numFmtId="0" fontId="0" fillId="40" borderId="0" applyNumberFormat="0" applyBorder="0" applyAlignment="0" applyProtection="0">
      <alignment vertical="center"/>
    </xf>
    <xf numFmtId="0" fontId="42" fillId="37" borderId="0" applyNumberFormat="0" applyBorder="0" applyAlignment="0" applyProtection="0"/>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40"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40" borderId="0" applyNumberFormat="0" applyBorder="0" applyAlignment="0" applyProtection="0">
      <alignment vertical="center"/>
    </xf>
    <xf numFmtId="0" fontId="42" fillId="41" borderId="0" applyNumberFormat="0" applyBorder="0" applyAlignment="0" applyProtection="0"/>
    <xf numFmtId="0" fontId="0" fillId="42" borderId="0" applyNumberFormat="0" applyBorder="0" applyAlignment="0" applyProtection="0">
      <alignment vertical="center"/>
    </xf>
    <xf numFmtId="0" fontId="42" fillId="35" borderId="0" applyNumberFormat="0" applyBorder="0" applyAlignment="0" applyProtection="0"/>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42" fillId="35" borderId="0" applyNumberFormat="0" applyBorder="0" applyAlignment="0" applyProtection="0"/>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42" fillId="46" borderId="0" applyNumberFormat="0" applyBorder="0" applyAlignment="0" applyProtection="0"/>
    <xf numFmtId="0" fontId="42" fillId="37"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49" borderId="0" applyNumberFormat="0" applyBorder="0" applyAlignment="0" applyProtection="0"/>
    <xf numFmtId="0" fontId="42" fillId="47" borderId="0" applyNumberFormat="0" applyBorder="0" applyAlignment="0" applyProtection="0"/>
    <xf numFmtId="0" fontId="42" fillId="50" borderId="0" applyNumberFormat="0" applyBorder="0" applyAlignment="0" applyProtection="0"/>
    <xf numFmtId="0" fontId="0" fillId="51" borderId="0" applyNumberFormat="0" applyBorder="0" applyAlignment="0" applyProtection="0">
      <alignment vertical="center"/>
    </xf>
    <xf numFmtId="0" fontId="42" fillId="37" borderId="0" applyNumberFormat="0" applyBorder="0" applyAlignment="0" applyProtection="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42" fillId="37" borderId="0" applyNumberFormat="0" applyBorder="0" applyAlignment="0" applyProtection="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43" fillId="52" borderId="0" applyNumberFormat="0" applyBorder="0" applyAlignment="0" applyProtection="0"/>
    <xf numFmtId="0" fontId="43" fillId="48" borderId="0" applyNumberFormat="0" applyBorder="0" applyAlignment="0" applyProtection="0"/>
    <xf numFmtId="0" fontId="43" fillId="49" borderId="0" applyNumberFormat="0" applyBorder="0" applyAlignment="0" applyProtection="0"/>
    <xf numFmtId="0" fontId="43" fillId="47" borderId="0" applyNumberFormat="0" applyBorder="0" applyAlignment="0" applyProtection="0"/>
    <xf numFmtId="0" fontId="43" fillId="52" borderId="0" applyNumberFormat="0" applyBorder="0" applyAlignment="0" applyProtection="0"/>
    <xf numFmtId="0" fontId="43" fillId="37" borderId="0" applyNumberFormat="0" applyBorder="0" applyAlignment="0" applyProtection="0"/>
    <xf numFmtId="0" fontId="43" fillId="52" borderId="0" applyNumberFormat="0" applyBorder="0" applyAlignment="0" applyProtection="0"/>
    <xf numFmtId="0" fontId="43" fillId="53" borderId="0" applyNumberFormat="0" applyBorder="0" applyAlignment="0" applyProtection="0"/>
    <xf numFmtId="0" fontId="43" fillId="53" borderId="0" applyNumberFormat="0" applyBorder="0" applyAlignment="0" applyProtection="0"/>
    <xf numFmtId="0" fontId="43" fillId="54" borderId="0" applyNumberFormat="0" applyBorder="0" applyAlignment="0" applyProtection="0"/>
    <xf numFmtId="0" fontId="43" fillId="52" borderId="0" applyNumberFormat="0" applyBorder="0" applyAlignment="0" applyProtection="0"/>
    <xf numFmtId="0" fontId="43" fillId="55" borderId="0" applyNumberFormat="0" applyBorder="0" applyAlignment="0" applyProtection="0"/>
    <xf numFmtId="0" fontId="44" fillId="56" borderId="0" applyNumberFormat="0" applyBorder="0" applyAlignment="0" applyProtection="0"/>
    <xf numFmtId="0" fontId="45" fillId="35" borderId="41" applyNumberFormat="0" applyAlignment="0" applyProtection="0"/>
    <xf numFmtId="0" fontId="45" fillId="35" borderId="41" applyNumberFormat="0" applyAlignment="0" applyProtection="0"/>
    <xf numFmtId="0" fontId="45" fillId="35" borderId="41" applyNumberFormat="0" applyAlignment="0" applyProtection="0"/>
    <xf numFmtId="0" fontId="45" fillId="35" borderId="41" applyNumberFormat="0" applyAlignment="0" applyProtection="0"/>
    <xf numFmtId="0" fontId="45" fillId="35" borderId="41" applyNumberFormat="0" applyAlignment="0" applyProtection="0"/>
    <xf numFmtId="0" fontId="46" fillId="57" borderId="42" applyNumberFormat="0" applyAlignment="0" applyProtection="0"/>
    <xf numFmtId="0" fontId="47" fillId="58" borderId="0" applyNumberFormat="0" applyBorder="0" applyAlignment="0" applyProtection="0"/>
    <xf numFmtId="0" fontId="48" fillId="37" borderId="41" applyNumberFormat="0" applyAlignment="0" applyProtection="0"/>
    <xf numFmtId="0" fontId="48" fillId="37" borderId="41" applyNumberFormat="0" applyAlignment="0" applyProtection="0"/>
    <xf numFmtId="0" fontId="48" fillId="37" borderId="41" applyNumberFormat="0" applyAlignment="0" applyProtection="0"/>
    <xf numFmtId="0" fontId="48" fillId="37" borderId="41" applyNumberFormat="0" applyAlignment="0" applyProtection="0"/>
    <xf numFmtId="0" fontId="48" fillId="37" borderId="41" applyNumberFormat="0" applyAlignment="0" applyProtection="0"/>
    <xf numFmtId="0" fontId="49" fillId="49" borderId="0" applyNumberFormat="0" applyBorder="0" applyAlignment="0" applyProtection="0"/>
    <xf numFmtId="0" fontId="50" fillId="0" borderId="0"/>
    <xf numFmtId="0" fontId="51"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alignment vertical="center"/>
    </xf>
    <xf numFmtId="0" fontId="21" fillId="0" borderId="0">
      <alignment vertical="center"/>
    </xf>
    <xf numFmtId="0" fontId="52" fillId="0" borderId="0">
      <alignment vertical="top"/>
    </xf>
    <xf numFmtId="0" fontId="21" fillId="0" borderId="0">
      <alignment vertical="center"/>
    </xf>
    <xf numFmtId="0" fontId="21" fillId="0" borderId="0">
      <alignment vertical="center"/>
    </xf>
    <xf numFmtId="0" fontId="0" fillId="0" borderId="0">
      <alignment vertical="center"/>
    </xf>
    <xf numFmtId="0" fontId="0" fillId="0" borderId="0">
      <alignment vertical="center"/>
    </xf>
    <xf numFmtId="0" fontId="51" fillId="0" borderId="0"/>
    <xf numFmtId="0" fontId="21" fillId="41" borderId="43" applyNumberFormat="0" applyFont="0" applyAlignment="0" applyProtection="0"/>
    <xf numFmtId="0" fontId="0" fillId="59" borderId="33" applyNumberFormat="0" applyFont="0" applyAlignment="0" applyProtection="0"/>
    <xf numFmtId="0" fontId="0" fillId="59" borderId="33" applyNumberFormat="0" applyFont="0" applyAlignment="0" applyProtection="0"/>
    <xf numFmtId="0" fontId="0"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0"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0"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0"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0" fillId="59" borderId="33" applyNumberFormat="0" applyFont="0" applyAlignment="0" applyProtection="0"/>
    <xf numFmtId="0" fontId="0"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0"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0"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0" fillId="59" borderId="33" applyNumberFormat="0" applyFont="0" applyAlignment="0" applyProtection="0"/>
    <xf numFmtId="0" fontId="0" fillId="59" borderId="33" applyNumberFormat="0" applyFont="0" applyAlignment="0" applyProtection="0"/>
    <xf numFmtId="0" fontId="0" fillId="59" borderId="33" applyNumberFormat="0" applyFont="0" applyAlignment="0" applyProtection="0"/>
    <xf numFmtId="0" fontId="0"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7" fillId="59" borderId="3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21" fillId="41" borderId="43" applyNumberFormat="0" applyFont="0" applyAlignment="0" applyProtection="0"/>
    <xf numFmtId="0" fontId="53" fillId="35" borderId="44" applyNumberFormat="0" applyAlignment="0" applyProtection="0"/>
    <xf numFmtId="0" fontId="53" fillId="35" borderId="44" applyNumberFormat="0" applyAlignment="0" applyProtection="0"/>
    <xf numFmtId="0" fontId="53" fillId="35" borderId="44" applyNumberFormat="0" applyAlignment="0" applyProtection="0"/>
    <xf numFmtId="0" fontId="53" fillId="35" borderId="44" applyNumberFormat="0" applyAlignment="0" applyProtection="0"/>
    <xf numFmtId="0" fontId="53" fillId="35" borderId="44" applyNumberFormat="0" applyAlignment="0" applyProtection="0"/>
    <xf numFmtId="0" fontId="52" fillId="0" borderId="0">
      <alignment vertical="top"/>
    </xf>
    <xf numFmtId="0" fontId="52" fillId="0" borderId="0">
      <alignment vertical="top"/>
    </xf>
    <xf numFmtId="0" fontId="52" fillId="0" borderId="0">
      <alignment vertical="top"/>
    </xf>
    <xf numFmtId="0" fontId="54" fillId="0" borderId="45" applyNumberFormat="0" applyFill="0" applyAlignment="0" applyProtection="0"/>
    <xf numFmtId="0" fontId="54" fillId="0" borderId="45" applyNumberFormat="0" applyFill="0" applyAlignment="0" applyProtection="0"/>
    <xf numFmtId="0" fontId="54" fillId="0" borderId="45" applyNumberFormat="0" applyFill="0" applyAlignment="0" applyProtection="0"/>
    <xf numFmtId="0" fontId="54" fillId="0" borderId="45" applyNumberFormat="0" applyFill="0" applyAlignment="0" applyProtection="0"/>
    <xf numFmtId="0" fontId="54" fillId="0" borderId="45" applyNumberFormat="0" applyFill="0" applyAlignment="0" applyProtection="0"/>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0" fontId="55" fillId="0" borderId="0"/>
    <xf numFmtId="0" fontId="0" fillId="0" borderId="0">
      <alignment vertical="center"/>
    </xf>
    <xf numFmtId="0" fontId="55"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55" fillId="0" borderId="0"/>
    <xf numFmtId="0" fontId="0" fillId="0" borderId="0"/>
    <xf numFmtId="0" fontId="0" fillId="0" borderId="0"/>
    <xf numFmtId="0" fontId="0" fillId="0" borderId="0">
      <alignment vertical="center"/>
    </xf>
    <xf numFmtId="0" fontId="5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alignment vertical="center"/>
    </xf>
    <xf numFmtId="0" fontId="0" fillId="0" borderId="0"/>
    <xf numFmtId="0" fontId="0" fillId="0" borderId="0"/>
    <xf numFmtId="0" fontId="0" fillId="0" borderId="0"/>
    <xf numFmtId="0" fontId="0" fillId="0" borderId="0"/>
    <xf numFmtId="0" fontId="21" fillId="0" borderId="0">
      <alignment vertical="center"/>
    </xf>
    <xf numFmtId="0" fontId="55" fillId="0" borderId="0"/>
    <xf numFmtId="0" fontId="55" fillId="0" borderId="0"/>
    <xf numFmtId="0" fontId="55" fillId="0" borderId="0"/>
    <xf numFmtId="0" fontId="5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5" fillId="0" borderId="0"/>
    <xf numFmtId="0" fontId="21" fillId="0" borderId="0">
      <alignment vertical="top"/>
    </xf>
    <xf numFmtId="0" fontId="21" fillId="0" borderId="0">
      <alignment vertical="top"/>
    </xf>
    <xf numFmtId="0" fontId="55" fillId="0" borderId="0"/>
    <xf numFmtId="0" fontId="0" fillId="0" borderId="0">
      <alignment vertical="center"/>
    </xf>
    <xf numFmtId="0" fontId="55"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lignment vertical="top"/>
    </xf>
    <xf numFmtId="0" fontId="21" fillId="0" borderId="0">
      <alignment vertical="top"/>
    </xf>
    <xf numFmtId="0" fontId="21" fillId="0" borderId="0"/>
    <xf numFmtId="0" fontId="21" fillId="0" borderId="0">
      <alignment vertical="top"/>
    </xf>
    <xf numFmtId="0" fontId="21" fillId="0" borderId="0">
      <alignment vertical="top"/>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alignment vertical="top"/>
    </xf>
    <xf numFmtId="0" fontId="21" fillId="0" borderId="0">
      <alignment vertical="top"/>
    </xf>
    <xf numFmtId="0" fontId="0" fillId="0" borderId="0">
      <alignment vertical="center"/>
    </xf>
    <xf numFmtId="0" fontId="0" fillId="0" borderId="0">
      <alignment vertical="center"/>
    </xf>
    <xf numFmtId="0" fontId="0"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0" fillId="0" borderId="0">
      <alignment vertical="center"/>
    </xf>
    <xf numFmtId="0" fontId="5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5" fillId="0" borderId="0"/>
    <xf numFmtId="0" fontId="55" fillId="0" borderId="0"/>
    <xf numFmtId="0" fontId="55" fillId="0" borderId="0"/>
    <xf numFmtId="0" fontId="55" fillId="0" borderId="0"/>
    <xf numFmtId="0" fontId="55" fillId="0" borderId="0"/>
    <xf numFmtId="0" fontId="0" fillId="0" borderId="0"/>
    <xf numFmtId="0" fontId="0"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56" fillId="0" borderId="0">
      <alignment vertical="top"/>
    </xf>
    <xf numFmtId="0" fontId="21" fillId="0" borderId="0">
      <alignment vertical="top"/>
    </xf>
    <xf numFmtId="0" fontId="21" fillId="0" borderId="0">
      <alignment vertical="top"/>
    </xf>
    <xf numFmtId="0" fontId="56"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55" fillId="0" borderId="0"/>
    <xf numFmtId="0" fontId="0" fillId="0" borderId="0"/>
    <xf numFmtId="0" fontId="0" fillId="0" borderId="0"/>
    <xf numFmtId="0" fontId="55" fillId="0" borderId="0"/>
    <xf numFmtId="0" fontId="0" fillId="0" borderId="0"/>
    <xf numFmtId="0" fontId="5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5" fillId="0" borderId="0"/>
    <xf numFmtId="0" fontId="0" fillId="0" borderId="0">
      <alignment vertical="center"/>
    </xf>
    <xf numFmtId="0" fontId="0" fillId="0" borderId="0">
      <alignment vertical="center"/>
    </xf>
    <xf numFmtId="0" fontId="55"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52" fillId="0" borderId="0">
      <alignment vertical="top"/>
    </xf>
    <xf numFmtId="0" fontId="51" fillId="0" borderId="0">
      <alignment vertical="top"/>
    </xf>
    <xf numFmtId="0" fontId="52" fillId="0" borderId="0">
      <alignment vertical="top"/>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59" borderId="33" applyNumberFormat="0" applyFont="0" applyAlignment="0" applyProtection="0">
      <alignment vertical="center"/>
    </xf>
  </cellStyleXfs>
  <cellXfs count="505">
    <xf numFmtId="0" fontId="0" fillId="0" borderId="0" xfId="0"/>
    <xf numFmtId="0" fontId="1" fillId="2" borderId="0" xfId="0" applyFont="1" applyFill="1"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176" fontId="4"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0" fontId="2" fillId="2" borderId="4"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177" fontId="2" fillId="2" borderId="4" xfId="0" applyNumberFormat="1" applyFont="1" applyFill="1" applyBorder="1" applyAlignment="1">
      <alignment horizontal="center" vertical="center" wrapText="1"/>
    </xf>
    <xf numFmtId="0" fontId="3" fillId="2" borderId="0" xfId="0" applyFont="1" applyFill="1" applyBorder="1" applyAlignment="1">
      <alignment horizontal="left" vertical="top"/>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9" fontId="5" fillId="2" borderId="7" xfId="0" applyNumberFormat="1" applyFont="1" applyFill="1" applyBorder="1" applyAlignment="1">
      <alignment horizontal="left" vertical="top" wrapText="1"/>
    </xf>
    <xf numFmtId="9" fontId="5" fillId="2" borderId="8" xfId="0" applyNumberFormat="1" applyFont="1" applyFill="1" applyBorder="1" applyAlignment="1">
      <alignment horizontal="left" vertical="top" wrapText="1"/>
    </xf>
    <xf numFmtId="0" fontId="5" fillId="2" borderId="5" xfId="0" applyFont="1" applyFill="1" applyBorder="1" applyAlignment="1"/>
    <xf numFmtId="0" fontId="2" fillId="2" borderId="6" xfId="0" applyFont="1" applyFill="1" applyBorder="1" applyAlignment="1"/>
    <xf numFmtId="0" fontId="5"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5"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5" fillId="2" borderId="0" xfId="0" applyFont="1" applyFill="1" applyAlignment="1"/>
    <xf numFmtId="0" fontId="5" fillId="2" borderId="12" xfId="0" applyFont="1" applyFill="1" applyBorder="1" applyAlignment="1"/>
    <xf numFmtId="0" fontId="2" fillId="2" borderId="13" xfId="0" applyFont="1" applyFill="1" applyBorder="1" applyAlignment="1"/>
    <xf numFmtId="0" fontId="5" fillId="2" borderId="5" xfId="0" applyFont="1" applyFill="1" applyBorder="1" applyAlignment="1">
      <alignment horizontal="left" vertical="top" wrapText="1"/>
    </xf>
    <xf numFmtId="0" fontId="5" fillId="2" borderId="7" xfId="0" applyFont="1" applyFill="1" applyBorder="1" applyAlignment="1">
      <alignment horizontal="left" vertical="center"/>
    </xf>
    <xf numFmtId="0" fontId="5" fillId="2" borderId="8" xfId="0" applyFont="1" applyFill="1" applyBorder="1" applyAlignment="1">
      <alignment horizontal="left" vertical="center"/>
    </xf>
    <xf numFmtId="0" fontId="2" fillId="2" borderId="0" xfId="0" applyFont="1" applyFill="1" applyBorder="1" applyAlignment="1">
      <alignment horizontal="left" vertical="top" wrapText="1"/>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8"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3" fillId="2" borderId="0" xfId="0" applyFont="1" applyFill="1" applyBorder="1" applyAlignment="1">
      <alignment horizontal="left" vertical="center" wrapText="1"/>
    </xf>
    <xf numFmtId="0" fontId="5"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9" fontId="5" fillId="2" borderId="19" xfId="0" applyNumberFormat="1" applyFont="1" applyFill="1" applyBorder="1" applyAlignment="1">
      <alignment horizontal="left" vertical="top" wrapText="1"/>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2" fillId="2" borderId="21" xfId="0" applyFont="1" applyFill="1" applyBorder="1" applyAlignment="1"/>
    <xf numFmtId="0" fontId="5" fillId="2" borderId="19" xfId="0" applyFont="1" applyFill="1" applyBorder="1" applyAlignment="1">
      <alignment horizontal="left" vertical="center"/>
    </xf>
    <xf numFmtId="0" fontId="5" fillId="2" borderId="18" xfId="0" applyFont="1" applyFill="1" applyBorder="1" applyAlignment="1">
      <alignment horizontal="left" vertical="center" wrapText="1"/>
    </xf>
    <xf numFmtId="0" fontId="5" fillId="2" borderId="19"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1" fillId="2" borderId="0" xfId="0" applyFont="1" applyFill="1" applyAlignment="1">
      <alignment horizontal="left" vertical="center"/>
    </xf>
    <xf numFmtId="0" fontId="6" fillId="0" borderId="1" xfId="253" applyFont="1" applyFill="1" applyBorder="1" applyAlignment="1">
      <alignment horizontal="left" vertical="center"/>
    </xf>
    <xf numFmtId="0" fontId="1" fillId="0" borderId="2" xfId="253" applyFont="1" applyFill="1" applyBorder="1" applyAlignment="1">
      <alignment horizontal="left" vertical="center"/>
    </xf>
    <xf numFmtId="0" fontId="2" fillId="0" borderId="2" xfId="0" applyFont="1" applyFill="1" applyBorder="1" applyAlignment="1">
      <alignment horizontal="left" vertical="center"/>
    </xf>
    <xf numFmtId="0" fontId="1" fillId="0" borderId="3" xfId="253" applyFont="1" applyFill="1" applyBorder="1" applyAlignment="1">
      <alignment horizontal="left" vertical="center"/>
    </xf>
    <xf numFmtId="0" fontId="6" fillId="0" borderId="0" xfId="253" applyFont="1" applyFill="1" applyBorder="1" applyAlignment="1">
      <alignment horizontal="left" vertical="center" wrapText="1"/>
    </xf>
    <xf numFmtId="0" fontId="1" fillId="2" borderId="0" xfId="255" applyFont="1" applyFill="1" applyAlignment="1">
      <alignment horizontal="left" vertical="center"/>
    </xf>
    <xf numFmtId="0" fontId="1" fillId="0" borderId="0" xfId="253" applyFont="1" applyFill="1" applyBorder="1" applyAlignment="1">
      <alignment horizontal="left" vertical="center"/>
    </xf>
    <xf numFmtId="0" fontId="2" fillId="0" borderId="0" xfId="0" applyFont="1" applyFill="1" applyBorder="1" applyAlignment="1">
      <alignment horizontal="left" vertical="center"/>
    </xf>
    <xf numFmtId="0" fontId="3" fillId="0" borderId="0" xfId="253" applyFont="1" applyFill="1" applyBorder="1" applyAlignment="1">
      <alignment horizontal="left" vertical="center" wrapText="1"/>
    </xf>
    <xf numFmtId="0" fontId="1" fillId="2" borderId="0" xfId="253" applyFont="1" applyFill="1" applyBorder="1" applyAlignment="1">
      <alignment horizontal="left" vertical="center"/>
    </xf>
    <xf numFmtId="0" fontId="7" fillId="0" borderId="0" xfId="253" applyFont="1" applyFill="1" applyBorder="1" applyAlignment="1">
      <alignment horizontal="left" vertical="center"/>
    </xf>
    <xf numFmtId="0" fontId="4" fillId="0" borderId="0" xfId="253" applyFont="1" applyFill="1" applyBorder="1" applyAlignment="1">
      <alignment horizontal="left" vertical="center"/>
    </xf>
    <xf numFmtId="0" fontId="2" fillId="0" borderId="3" xfId="253" applyFont="1" applyFill="1" applyBorder="1" applyAlignment="1">
      <alignment horizontal="left" vertical="center"/>
    </xf>
    <xf numFmtId="0" fontId="2" fillId="0" borderId="0" xfId="253" applyFont="1" applyFill="1" applyBorder="1" applyAlignment="1">
      <alignment horizontal="left" vertical="center"/>
    </xf>
    <xf numFmtId="0" fontId="3" fillId="0" borderId="0" xfId="253" applyFont="1" applyFill="1" applyBorder="1" applyAlignment="1">
      <alignment horizontal="left" vertical="center"/>
    </xf>
    <xf numFmtId="0" fontId="5" fillId="0" borderId="0" xfId="253" applyFont="1" applyFill="1" applyBorder="1" applyAlignment="1">
      <alignment horizontal="left" vertical="center"/>
    </xf>
    <xf numFmtId="0" fontId="4" fillId="0" borderId="0" xfId="253" applyFont="1" applyFill="1" applyBorder="1" applyAlignment="1">
      <alignment horizontal="left" vertical="center" wrapText="1"/>
    </xf>
    <xf numFmtId="0" fontId="8" fillId="0" borderId="0" xfId="0" applyFont="1" applyBorder="1" applyAlignment="1">
      <alignment horizontal="left" vertical="center"/>
    </xf>
    <xf numFmtId="0" fontId="9" fillId="2" borderId="0" xfId="0" applyFont="1" applyFill="1" applyAlignment="1">
      <alignment horizontal="left"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xf>
    <xf numFmtId="0" fontId="1" fillId="2" borderId="0" xfId="520" applyFont="1" applyFill="1" applyAlignment="1">
      <alignment horizontal="left" vertical="center"/>
    </xf>
    <xf numFmtId="0" fontId="4" fillId="0" borderId="0" xfId="0" applyFont="1" applyBorder="1" applyAlignment="1">
      <alignment horizontal="left" vertical="center"/>
    </xf>
    <xf numFmtId="2" fontId="4" fillId="0" borderId="0" xfId="0" applyNumberFormat="1" applyFont="1" applyFill="1" applyBorder="1" applyAlignment="1">
      <alignment horizontal="left" vertical="center"/>
    </xf>
    <xf numFmtId="178" fontId="8" fillId="0" borderId="0" xfId="0" applyNumberFormat="1" applyFont="1" applyFill="1" applyBorder="1" applyAlignment="1">
      <alignment horizontal="left" vertical="center"/>
    </xf>
    <xf numFmtId="178" fontId="4" fillId="0" borderId="0" xfId="0" applyNumberFormat="1" applyFont="1" applyFill="1" applyBorder="1" applyAlignment="1">
      <alignment horizontal="left" vertical="center"/>
    </xf>
    <xf numFmtId="0" fontId="4" fillId="0" borderId="4" xfId="0" applyFont="1" applyFill="1" applyBorder="1" applyAlignment="1">
      <alignment horizontal="left" vertical="center" wrapText="1"/>
    </xf>
    <xf numFmtId="2" fontId="4" fillId="0" borderId="4" xfId="0" applyNumberFormat="1" applyFont="1" applyFill="1" applyBorder="1" applyAlignment="1">
      <alignment horizontal="left" vertical="center" wrapText="1"/>
    </xf>
    <xf numFmtId="178" fontId="4" fillId="0" borderId="4" xfId="0" applyNumberFormat="1" applyFont="1" applyFill="1" applyBorder="1" applyAlignment="1">
      <alignment horizontal="left" vertical="center" wrapText="1"/>
    </xf>
    <xf numFmtId="2" fontId="2" fillId="0" borderId="4" xfId="0" applyNumberFormat="1" applyFont="1" applyFill="1" applyBorder="1" applyAlignment="1">
      <alignment horizontal="left" vertical="center"/>
    </xf>
    <xf numFmtId="178" fontId="1" fillId="0" borderId="4" xfId="0" applyNumberFormat="1" applyFont="1" applyFill="1" applyBorder="1" applyAlignment="1">
      <alignment horizontal="left" vertical="center"/>
    </xf>
    <xf numFmtId="0" fontId="4" fillId="0" borderId="0" xfId="0" applyFont="1" applyBorder="1" applyAlignment="1">
      <alignment horizontal="left" vertical="center" wrapText="1"/>
    </xf>
    <xf numFmtId="0" fontId="1" fillId="0" borderId="0" xfId="253" applyFont="1" applyFill="1" applyBorder="1" applyAlignment="1">
      <alignment horizontal="left" vertical="center" wrapText="1"/>
    </xf>
    <xf numFmtId="0" fontId="10" fillId="0" borderId="0" xfId="253" applyFont="1" applyFill="1" applyBorder="1" applyAlignment="1">
      <alignment horizontal="left" vertical="center" wrapText="1"/>
    </xf>
    <xf numFmtId="0" fontId="4" fillId="0" borderId="0" xfId="253" applyFont="1" applyAlignment="1">
      <alignment horizontal="left" vertical="center" wrapText="1"/>
    </xf>
    <xf numFmtId="0" fontId="1" fillId="0" borderId="14" xfId="253" applyFont="1" applyFill="1" applyBorder="1" applyAlignment="1">
      <alignment horizontal="left" vertical="center"/>
    </xf>
    <xf numFmtId="0" fontId="6" fillId="0" borderId="15" xfId="253" applyFont="1" applyFill="1" applyBorder="1" applyAlignment="1">
      <alignment horizontal="left" vertical="center" wrapText="1"/>
    </xf>
    <xf numFmtId="0" fontId="2" fillId="0" borderId="15" xfId="253" applyFont="1" applyFill="1" applyBorder="1" applyAlignment="1">
      <alignment horizontal="left" vertical="center"/>
    </xf>
    <xf numFmtId="0" fontId="2" fillId="0" borderId="15" xfId="253" applyFont="1" applyFill="1" applyBorder="1" applyAlignment="1">
      <alignment horizontal="left" vertical="center" wrapText="1"/>
    </xf>
    <xf numFmtId="0" fontId="2" fillId="0" borderId="15" xfId="0" applyFont="1" applyFill="1" applyBorder="1" applyAlignment="1">
      <alignment horizontal="left" vertical="center"/>
    </xf>
    <xf numFmtId="0" fontId="2" fillId="0" borderId="16" xfId="0" applyFont="1" applyFill="1" applyBorder="1" applyAlignment="1">
      <alignment horizontal="left" vertical="center"/>
    </xf>
    <xf numFmtId="0" fontId="2" fillId="0" borderId="17" xfId="0" applyFont="1" applyFill="1" applyBorder="1" applyAlignment="1">
      <alignment horizontal="left" vertical="center"/>
    </xf>
    <xf numFmtId="2" fontId="1" fillId="2" borderId="0" xfId="0" applyNumberFormat="1" applyFont="1" applyFill="1" applyAlignment="1">
      <alignment horizontal="left" vertical="center"/>
    </xf>
    <xf numFmtId="0" fontId="2" fillId="0" borderId="22" xfId="0" applyFont="1" applyFill="1" applyBorder="1" applyAlignment="1">
      <alignment horizontal="left" vertical="center"/>
    </xf>
    <xf numFmtId="178" fontId="1" fillId="2" borderId="0" xfId="0" applyNumberFormat="1" applyFont="1" applyFill="1" applyAlignment="1">
      <alignment horizontal="left" vertical="center"/>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2" xfId="0" applyFont="1" applyFill="1" applyBorder="1" applyAlignment="1">
      <alignment vertical="top"/>
    </xf>
    <xf numFmtId="0" fontId="11" fillId="0" borderId="1" xfId="0" applyFont="1" applyBorder="1" applyAlignment="1">
      <alignment vertical="top"/>
    </xf>
    <xf numFmtId="0" fontId="4" fillId="0" borderId="2" xfId="0" applyFont="1" applyBorder="1" applyAlignment="1">
      <alignment vertical="top"/>
    </xf>
    <xf numFmtId="0" fontId="4" fillId="0" borderId="3" xfId="0" applyFont="1" applyBorder="1" applyAlignment="1">
      <alignment horizontal="right"/>
    </xf>
    <xf numFmtId="0" fontId="8" fillId="0" borderId="0" xfId="0" applyFont="1" applyAlignment="1">
      <alignment vertical="top"/>
    </xf>
    <xf numFmtId="0" fontId="4" fillId="0" borderId="0" xfId="0" applyFont="1" applyAlignment="1">
      <alignment vertical="top"/>
    </xf>
    <xf numFmtId="0" fontId="2" fillId="0" borderId="3" xfId="0" applyFont="1" applyBorder="1" applyAlignment="1">
      <alignment horizontal="right"/>
    </xf>
    <xf numFmtId="0" fontId="4" fillId="0" borderId="0" xfId="0" applyFont="1" applyAlignment="1">
      <alignment horizontal="left" vertical="top" wrapText="1"/>
    </xf>
    <xf numFmtId="0" fontId="4" fillId="0" borderId="3" xfId="0" applyFont="1" applyBorder="1" applyAlignment="1">
      <alignment vertical="top"/>
    </xf>
    <xf numFmtId="0" fontId="4" fillId="0" borderId="4" xfId="578" applyFont="1" applyBorder="1" applyAlignment="1">
      <alignment horizontal="center" vertical="center" wrapText="1"/>
    </xf>
    <xf numFmtId="0" fontId="4" fillId="0" borderId="10" xfId="578" applyFont="1" applyBorder="1" applyAlignment="1">
      <alignment horizontal="center" vertical="center"/>
    </xf>
    <xf numFmtId="0" fontId="4" fillId="0" borderId="10" xfId="578" applyFont="1" applyBorder="1" applyAlignment="1">
      <alignment horizontal="center" vertical="center" wrapText="1"/>
    </xf>
    <xf numFmtId="177" fontId="4" fillId="0" borderId="10" xfId="578" applyNumberFormat="1" applyFont="1" applyBorder="1" applyAlignment="1">
      <alignment horizontal="center" vertical="center" wrapText="1"/>
    </xf>
    <xf numFmtId="179" fontId="4" fillId="0" borderId="4" xfId="578" applyNumberFormat="1" applyFont="1" applyBorder="1" applyAlignment="1">
      <alignment horizontal="center" vertical="center" wrapText="1"/>
    </xf>
    <xf numFmtId="177" fontId="4" fillId="0" borderId="4" xfId="578" applyNumberFormat="1" applyFont="1" applyFill="1" applyBorder="1" applyAlignment="1">
      <alignment horizontal="center" vertical="center"/>
    </xf>
    <xf numFmtId="0" fontId="4" fillId="0" borderId="23" xfId="578" applyFont="1" applyBorder="1" applyAlignment="1">
      <alignment horizontal="center" vertical="center"/>
    </xf>
    <xf numFmtId="0" fontId="4" fillId="0" borderId="23" xfId="578" applyFont="1" applyBorder="1" applyAlignment="1">
      <alignment horizontal="center" vertical="center" wrapText="1"/>
    </xf>
    <xf numFmtId="177" fontId="4" fillId="0" borderId="23" xfId="578" applyNumberFormat="1" applyFont="1" applyBorder="1" applyAlignment="1">
      <alignment horizontal="center" vertical="center" wrapText="1"/>
    </xf>
    <xf numFmtId="0" fontId="4" fillId="0" borderId="11" xfId="578" applyFont="1" applyBorder="1" applyAlignment="1">
      <alignment horizontal="center" vertical="center"/>
    </xf>
    <xf numFmtId="0" fontId="4" fillId="0" borderId="11" xfId="578" applyFont="1" applyBorder="1" applyAlignment="1">
      <alignment horizontal="center" vertical="center" wrapText="1"/>
    </xf>
    <xf numFmtId="177" fontId="4" fillId="0" borderId="11" xfId="578" applyNumberFormat="1" applyFont="1" applyBorder="1" applyAlignment="1">
      <alignment horizontal="center" vertical="center" wrapText="1"/>
    </xf>
    <xf numFmtId="0" fontId="12" fillId="0" borderId="0" xfId="0" applyFont="1" applyAlignment="1">
      <alignment vertical="top"/>
    </xf>
    <xf numFmtId="0" fontId="4" fillId="0" borderId="0" xfId="578" applyFont="1" applyAlignment="1">
      <alignment horizontal="center" vertical="center"/>
    </xf>
    <xf numFmtId="177" fontId="4" fillId="0" borderId="0" xfId="578" applyNumberFormat="1" applyFont="1" applyAlignment="1">
      <alignment horizontal="center" vertical="center"/>
    </xf>
    <xf numFmtId="0" fontId="4" fillId="0" borderId="0" xfId="0" applyFont="1" applyAlignment="1">
      <alignment horizontal="center"/>
    </xf>
    <xf numFmtId="180" fontId="4" fillId="0" borderId="0" xfId="578" applyNumberFormat="1" applyFont="1" applyAlignment="1">
      <alignment horizontal="center" vertical="center"/>
    </xf>
    <xf numFmtId="0" fontId="4" fillId="0" borderId="14" xfId="0" applyFont="1" applyBorder="1" applyAlignment="1">
      <alignment vertical="top" wrapText="1"/>
    </xf>
    <xf numFmtId="0" fontId="4" fillId="0" borderId="15" xfId="239" applyFont="1" applyBorder="1" applyAlignment="1"/>
    <xf numFmtId="0" fontId="4" fillId="0" borderId="15" xfId="239" applyFont="1" applyBorder="1" applyAlignment="1">
      <alignment wrapText="1"/>
    </xf>
    <xf numFmtId="0" fontId="4" fillId="0" borderId="2" xfId="0" applyFont="1" applyBorder="1"/>
    <xf numFmtId="0" fontId="4" fillId="0" borderId="16" xfId="0" applyFont="1" applyBorder="1"/>
    <xf numFmtId="0" fontId="4" fillId="0" borderId="17" xfId="0" applyFont="1" applyBorder="1"/>
    <xf numFmtId="0" fontId="2" fillId="0" borderId="0" xfId="0" applyFont="1" applyAlignment="1">
      <alignment vertical="top"/>
    </xf>
    <xf numFmtId="0" fontId="2" fillId="0" borderId="17" xfId="0" applyFont="1" applyBorder="1" applyAlignment="1">
      <alignment vertical="top"/>
    </xf>
    <xf numFmtId="0" fontId="4" fillId="0" borderId="4" xfId="0" applyFont="1" applyBorder="1" applyAlignment="1">
      <alignment horizontal="center" vertical="center" wrapText="1"/>
    </xf>
    <xf numFmtId="0" fontId="4" fillId="0" borderId="0" xfId="0" applyFont="1"/>
    <xf numFmtId="2" fontId="4" fillId="0" borderId="4" xfId="0" applyNumberFormat="1"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11" xfId="0" applyFont="1" applyBorder="1" applyAlignment="1">
      <alignment horizontal="center" vertical="center" wrapText="1"/>
    </xf>
    <xf numFmtId="179" fontId="4" fillId="0" borderId="0" xfId="578" applyNumberFormat="1" applyFont="1" applyAlignment="1">
      <alignment horizontal="center" vertical="center"/>
    </xf>
    <xf numFmtId="0" fontId="4" fillId="0" borderId="0" xfId="0" applyFont="1" applyAlignment="1">
      <alignment horizontal="center" vertical="center" wrapText="1"/>
    </xf>
    <xf numFmtId="0" fontId="4" fillId="0" borderId="15" xfId="0" applyFont="1" applyBorder="1" applyAlignment="1">
      <alignment wrapText="1"/>
    </xf>
    <xf numFmtId="0" fontId="4" fillId="0" borderId="22" xfId="0" applyFont="1" applyBorder="1" applyAlignment="1">
      <alignment wrapText="1"/>
    </xf>
    <xf numFmtId="0" fontId="4" fillId="0" borderId="0" xfId="579" applyFont="1" applyFill="1" applyAlignment="1">
      <alignment horizontal="center" vertical="center"/>
    </xf>
    <xf numFmtId="0" fontId="12" fillId="0" borderId="1" xfId="0" applyFont="1" applyBorder="1" applyAlignment="1"/>
    <xf numFmtId="14" fontId="4" fillId="0" borderId="2" xfId="0" applyNumberFormat="1" applyFont="1" applyBorder="1" applyAlignment="1"/>
    <xf numFmtId="0" fontId="4" fillId="0" borderId="2" xfId="0" applyFont="1" applyBorder="1" applyAlignment="1"/>
    <xf numFmtId="181" fontId="12" fillId="0" borderId="3" xfId="0" applyNumberFormat="1" applyFont="1" applyBorder="1" applyAlignment="1"/>
    <xf numFmtId="0" fontId="11" fillId="0" borderId="0" xfId="579" applyFont="1" applyFill="1" applyBorder="1" applyAlignment="1">
      <alignment vertical="center"/>
    </xf>
    <xf numFmtId="0" fontId="4" fillId="0" borderId="0" xfId="579" applyFont="1" applyFill="1" applyBorder="1" applyAlignment="1">
      <alignment horizontal="center" vertical="center"/>
    </xf>
    <xf numFmtId="0" fontId="12" fillId="0" borderId="3" xfId="0" applyFont="1" applyBorder="1" applyAlignment="1"/>
    <xf numFmtId="0" fontId="3" fillId="0" borderId="4" xfId="579" applyFont="1" applyFill="1" applyBorder="1" applyAlignment="1">
      <alignment horizontal="center" vertical="center" wrapText="1"/>
    </xf>
    <xf numFmtId="0" fontId="3" fillId="0" borderId="4" xfId="0" applyFont="1" applyFill="1" applyBorder="1" applyAlignment="1">
      <alignment horizontal="center" vertical="center" wrapText="1"/>
    </xf>
    <xf numFmtId="0" fontId="1" fillId="0" borderId="0" xfId="147" applyFont="1" applyFill="1" applyBorder="1" applyAlignment="1">
      <alignment vertical="center"/>
    </xf>
    <xf numFmtId="0" fontId="1" fillId="0" borderId="4" xfId="0" applyFont="1" applyBorder="1" applyAlignment="1">
      <alignment horizontal="center" vertical="center"/>
    </xf>
    <xf numFmtId="0" fontId="1" fillId="0" borderId="4" xfId="295" applyFont="1" applyBorder="1" applyAlignment="1">
      <alignment horizontal="center" vertical="center"/>
    </xf>
    <xf numFmtId="180" fontId="1" fillId="0" borderId="4" xfId="295" applyNumberFormat="1" applyFont="1" applyBorder="1" applyAlignment="1">
      <alignment horizontal="center" vertical="center"/>
    </xf>
    <xf numFmtId="0" fontId="4" fillId="0" borderId="4" xfId="0" applyFont="1" applyFill="1" applyBorder="1" applyAlignment="1">
      <alignment horizontal="center" vertical="center"/>
    </xf>
    <xf numFmtId="177" fontId="1" fillId="0" borderId="4" xfId="295" applyNumberFormat="1" applyFont="1" applyBorder="1" applyAlignment="1">
      <alignment horizontal="center" vertical="center"/>
    </xf>
    <xf numFmtId="2" fontId="4" fillId="0" borderId="4" xfId="0" applyNumberFormat="1" applyFont="1" applyFill="1" applyBorder="1" applyAlignment="1">
      <alignment horizontal="center" vertical="center"/>
    </xf>
    <xf numFmtId="0" fontId="1" fillId="0" borderId="4" xfId="295" applyNumberFormat="1" applyFont="1" applyBorder="1" applyAlignment="1">
      <alignment horizontal="center" vertical="center"/>
    </xf>
    <xf numFmtId="177" fontId="4" fillId="0" borderId="4" xfId="0" applyNumberFormat="1" applyFont="1" applyFill="1" applyBorder="1" applyAlignment="1">
      <alignment horizontal="center" vertical="center"/>
    </xf>
    <xf numFmtId="0" fontId="4" fillId="0" borderId="0" xfId="579" applyFont="1" applyFill="1" applyBorder="1" applyAlignment="1">
      <alignment horizontal="left" vertical="center"/>
    </xf>
    <xf numFmtId="0" fontId="11" fillId="0" borderId="4" xfId="579" applyFont="1" applyFill="1" applyBorder="1" applyAlignment="1">
      <alignment horizontal="center" vertical="center"/>
    </xf>
    <xf numFmtId="0" fontId="4" fillId="0" borderId="0" xfId="0" applyFont="1" applyBorder="1" applyAlignment="1">
      <alignment horizontal="center" vertical="center"/>
    </xf>
    <xf numFmtId="0" fontId="4" fillId="0" borderId="3" xfId="579" applyFont="1" applyFill="1" applyBorder="1" applyAlignment="1">
      <alignment horizontal="center" vertical="center"/>
    </xf>
    <xf numFmtId="0" fontId="4" fillId="0" borderId="0" xfId="579" applyFont="1" applyFill="1" applyBorder="1" applyAlignment="1">
      <alignment horizontal="left" vertical="center" wrapText="1"/>
    </xf>
    <xf numFmtId="0" fontId="4" fillId="0" borderId="14" xfId="579" applyFont="1" applyFill="1" applyBorder="1" applyAlignment="1">
      <alignment horizontal="center" vertical="center"/>
    </xf>
    <xf numFmtId="0" fontId="4" fillId="0" borderId="15" xfId="579" applyFont="1" applyFill="1" applyBorder="1" applyAlignment="1">
      <alignment horizontal="center" vertical="center"/>
    </xf>
    <xf numFmtId="178" fontId="4" fillId="0" borderId="0" xfId="579" applyNumberFormat="1" applyFont="1" applyFill="1" applyAlignment="1">
      <alignment horizontal="center" vertical="center"/>
    </xf>
    <xf numFmtId="0" fontId="4" fillId="0" borderId="2" xfId="579" applyFont="1" applyFill="1" applyBorder="1" applyAlignment="1">
      <alignment horizontal="center" vertical="center"/>
    </xf>
    <xf numFmtId="0" fontId="4" fillId="0" borderId="16" xfId="579" applyFont="1" applyFill="1" applyBorder="1" applyAlignment="1">
      <alignment horizontal="center" vertical="center"/>
    </xf>
    <xf numFmtId="0" fontId="4" fillId="0" borderId="17" xfId="579" applyFont="1" applyFill="1" applyBorder="1" applyAlignment="1">
      <alignment horizontal="center" vertical="center"/>
    </xf>
    <xf numFmtId="11" fontId="1" fillId="0" borderId="17" xfId="147" applyNumberFormat="1" applyFont="1" applyFill="1" applyBorder="1" applyAlignment="1">
      <alignment vertical="center"/>
    </xf>
    <xf numFmtId="2" fontId="4" fillId="0" borderId="0" xfId="579" applyNumberFormat="1" applyFont="1" applyFill="1" applyAlignment="1">
      <alignment horizontal="center" vertical="center"/>
    </xf>
    <xf numFmtId="0" fontId="4" fillId="0" borderId="22" xfId="579" applyFont="1" applyFill="1" applyBorder="1" applyAlignment="1">
      <alignment horizontal="center" vertical="center"/>
    </xf>
    <xf numFmtId="0" fontId="11" fillId="0" borderId="0" xfId="0" applyFont="1" applyFill="1" applyBorder="1" applyAlignment="1">
      <alignment horizontal="left" vertical="center"/>
    </xf>
    <xf numFmtId="0" fontId="4" fillId="0" borderId="0" xfId="0" applyFont="1" applyBorder="1" applyAlignment="1">
      <alignment horizontal="left"/>
    </xf>
    <xf numFmtId="49" fontId="4" fillId="0" borderId="0" xfId="0" applyNumberFormat="1" applyFont="1" applyBorder="1" applyAlignment="1">
      <alignment horizontal="left"/>
    </xf>
    <xf numFmtId="181" fontId="4" fillId="0" borderId="0" xfId="0" applyNumberFormat="1" applyFont="1" applyBorder="1" applyAlignment="1">
      <alignment horizontal="left"/>
    </xf>
    <xf numFmtId="0" fontId="4" fillId="0" borderId="0" xfId="0" applyNumberFormat="1" applyFont="1" applyBorder="1" applyAlignment="1">
      <alignment horizontal="left"/>
    </xf>
    <xf numFmtId="0" fontId="1" fillId="0" borderId="0" xfId="295" applyFont="1" applyBorder="1" applyAlignment="1">
      <alignment horizontal="left" vertical="center"/>
    </xf>
    <xf numFmtId="0" fontId="1" fillId="0" borderId="0" xfId="295" applyFont="1" applyBorder="1" applyAlignment="1">
      <alignment horizontal="center" vertical="center"/>
    </xf>
    <xf numFmtId="0" fontId="1" fillId="0" borderId="0" xfId="295" applyNumberFormat="1" applyFont="1" applyBorder="1" applyAlignment="1">
      <alignment horizontal="center" vertical="center"/>
    </xf>
    <xf numFmtId="0" fontId="1" fillId="0" borderId="1" xfId="295" applyFont="1" applyBorder="1" applyAlignment="1">
      <alignment horizontal="left" vertical="center"/>
    </xf>
    <xf numFmtId="0" fontId="1" fillId="0" borderId="2" xfId="295" applyFont="1" applyBorder="1" applyAlignment="1">
      <alignment horizontal="left" vertical="center"/>
    </xf>
    <xf numFmtId="0" fontId="1" fillId="0" borderId="2" xfId="295" applyFont="1" applyBorder="1" applyAlignment="1">
      <alignment horizontal="center" vertical="center"/>
    </xf>
    <xf numFmtId="0" fontId="1" fillId="0" borderId="2" xfId="295" applyNumberFormat="1" applyFont="1" applyBorder="1" applyAlignment="1">
      <alignment horizontal="center" vertical="center"/>
    </xf>
    <xf numFmtId="0" fontId="1" fillId="0" borderId="3" xfId="295" applyFont="1" applyBorder="1" applyAlignment="1">
      <alignment horizontal="left" vertical="center"/>
    </xf>
    <xf numFmtId="0" fontId="1" fillId="0" borderId="3" xfId="0" applyFont="1" applyBorder="1" applyAlignment="1">
      <alignment horizontal="left" vertical="center"/>
    </xf>
    <xf numFmtId="0" fontId="1" fillId="0" borderId="0" xfId="0" applyFont="1" applyBorder="1" applyAlignment="1">
      <alignment horizontal="left" vertical="center"/>
    </xf>
    <xf numFmtId="0" fontId="1" fillId="0" borderId="0" xfId="0" applyFont="1" applyBorder="1" applyAlignment="1">
      <alignment horizontal="center" vertical="center"/>
    </xf>
    <xf numFmtId="49" fontId="1" fillId="0" borderId="0" xfId="0" applyNumberFormat="1" applyFont="1" applyBorder="1" applyAlignment="1">
      <alignment horizontal="center" vertical="center"/>
    </xf>
    <xf numFmtId="0" fontId="1" fillId="0" borderId="0" xfId="0" applyNumberFormat="1" applyFont="1" applyBorder="1" applyAlignment="1">
      <alignment horizontal="center" vertical="center"/>
    </xf>
    <xf numFmtId="182" fontId="1" fillId="0" borderId="0" xfId="295" applyNumberFormat="1" applyFont="1" applyBorder="1" applyAlignment="1">
      <alignment horizontal="left" vertical="center"/>
    </xf>
    <xf numFmtId="183" fontId="1" fillId="0" borderId="0" xfId="295" applyNumberFormat="1" applyFont="1" applyBorder="1" applyAlignment="1">
      <alignment horizontal="left" vertical="center"/>
    </xf>
    <xf numFmtId="11" fontId="1" fillId="0" borderId="0" xfId="295" applyNumberFormat="1" applyFont="1" applyBorder="1" applyAlignment="1">
      <alignment horizontal="left" vertical="center"/>
    </xf>
    <xf numFmtId="0" fontId="13" fillId="0" borderId="3" xfId="295" applyFont="1" applyBorder="1" applyAlignment="1">
      <alignment horizontal="left" vertical="center"/>
    </xf>
    <xf numFmtId="0" fontId="13" fillId="0" borderId="0" xfId="295" applyFont="1" applyBorder="1" applyAlignment="1">
      <alignment horizontal="left" vertical="center"/>
    </xf>
    <xf numFmtId="0" fontId="13" fillId="0" borderId="0" xfId="295" applyFont="1" applyBorder="1" applyAlignment="1">
      <alignment horizontal="left" vertical="center" wrapText="1"/>
    </xf>
    <xf numFmtId="0" fontId="13" fillId="0" borderId="0" xfId="295" applyNumberFormat="1" applyFont="1" applyBorder="1" applyAlignment="1">
      <alignment horizontal="left" vertical="center" wrapText="1"/>
    </xf>
    <xf numFmtId="0" fontId="1" fillId="0" borderId="0" xfId="295" applyNumberFormat="1" applyFont="1" applyBorder="1" applyAlignment="1">
      <alignment horizontal="left" vertical="center"/>
    </xf>
    <xf numFmtId="177" fontId="1" fillId="0" borderId="0" xfId="295" applyNumberFormat="1" applyFont="1" applyBorder="1" applyAlignment="1">
      <alignment horizontal="left" vertical="center"/>
    </xf>
    <xf numFmtId="179" fontId="1" fillId="0" borderId="0" xfId="295" applyNumberFormat="1" applyFont="1" applyBorder="1" applyAlignment="1">
      <alignment horizontal="left" vertical="center"/>
    </xf>
    <xf numFmtId="0" fontId="4" fillId="0" borderId="2" xfId="0" applyFont="1" applyFill="1" applyBorder="1" applyAlignment="1">
      <alignment horizontal="left" vertical="center"/>
    </xf>
    <xf numFmtId="0" fontId="4" fillId="0" borderId="16" xfId="0" applyFont="1" applyFill="1" applyBorder="1" applyAlignment="1">
      <alignment horizontal="left" vertical="center"/>
    </xf>
    <xf numFmtId="0" fontId="4" fillId="0" borderId="17" xfId="0" applyFont="1" applyFill="1" applyBorder="1" applyAlignment="1">
      <alignment horizontal="left" vertical="center"/>
    </xf>
    <xf numFmtId="0" fontId="11" fillId="0" borderId="0" xfId="0" applyFont="1" applyFill="1" applyBorder="1" applyAlignment="1">
      <alignment horizontal="left" vertical="center" wrapText="1"/>
    </xf>
    <xf numFmtId="0" fontId="11" fillId="0" borderId="17" xfId="0" applyFont="1" applyFill="1" applyBorder="1" applyAlignment="1">
      <alignment horizontal="left" vertical="center" wrapText="1"/>
    </xf>
    <xf numFmtId="177" fontId="4" fillId="0" borderId="0" xfId="0" applyNumberFormat="1" applyFont="1" applyFill="1" applyBorder="1" applyAlignment="1">
      <alignment horizontal="left" vertical="center"/>
    </xf>
    <xf numFmtId="49" fontId="1" fillId="0" borderId="0" xfId="0" applyNumberFormat="1" applyFont="1" applyBorder="1" applyAlignment="1">
      <alignment horizontal="left" vertical="center"/>
    </xf>
    <xf numFmtId="0" fontId="1" fillId="0" borderId="0" xfId="0" applyNumberFormat="1" applyFont="1" applyBorder="1" applyAlignment="1">
      <alignment horizontal="left" vertical="center"/>
    </xf>
    <xf numFmtId="0" fontId="11" fillId="0" borderId="1" xfId="238" applyFont="1" applyFill="1" applyBorder="1" applyAlignment="1">
      <alignment horizontal="left" vertical="top"/>
    </xf>
    <xf numFmtId="0" fontId="4" fillId="0" borderId="2" xfId="580" applyFont="1" applyFill="1" applyBorder="1" applyAlignment="1">
      <alignment horizontal="left" vertical="center"/>
    </xf>
    <xf numFmtId="181" fontId="4" fillId="0" borderId="2" xfId="580" applyNumberFormat="1" applyFont="1" applyFill="1" applyBorder="1" applyAlignment="1">
      <alignment horizontal="left" vertical="center"/>
    </xf>
    <xf numFmtId="49" fontId="4" fillId="0" borderId="2" xfId="580" applyNumberFormat="1" applyFont="1" applyFill="1" applyBorder="1" applyAlignment="1">
      <alignment horizontal="left" vertical="center"/>
    </xf>
    <xf numFmtId="11" fontId="4" fillId="0" borderId="16" xfId="580" applyNumberFormat="1" applyFont="1" applyFill="1" applyBorder="1" applyAlignment="1">
      <alignment horizontal="left" vertical="center"/>
    </xf>
    <xf numFmtId="0" fontId="4" fillId="0" borderId="3" xfId="580" applyFont="1" applyFill="1" applyBorder="1" applyAlignment="1">
      <alignment horizontal="left" vertical="center"/>
    </xf>
    <xf numFmtId="11" fontId="4" fillId="0" borderId="0" xfId="580" applyNumberFormat="1" applyFont="1" applyFill="1" applyBorder="1" applyAlignment="1">
      <alignment horizontal="left" vertical="center"/>
    </xf>
    <xf numFmtId="11" fontId="4" fillId="0" borderId="17" xfId="580" applyNumberFormat="1" applyFont="1" applyFill="1" applyBorder="1" applyAlignment="1">
      <alignment horizontal="left" vertical="center"/>
    </xf>
    <xf numFmtId="0" fontId="11" fillId="0" borderId="3" xfId="580" applyFont="1" applyFill="1" applyBorder="1" applyAlignment="1">
      <alignment horizontal="left" vertical="center"/>
    </xf>
    <xf numFmtId="177" fontId="11" fillId="0" borderId="0" xfId="580" applyNumberFormat="1" applyFont="1" applyFill="1" applyBorder="1" applyAlignment="1">
      <alignment horizontal="left" vertical="center"/>
    </xf>
    <xf numFmtId="49" fontId="11" fillId="0" borderId="0" xfId="580" applyNumberFormat="1" applyFont="1" applyFill="1" applyBorder="1" applyAlignment="1">
      <alignment horizontal="left" vertical="center"/>
    </xf>
    <xf numFmtId="11" fontId="11" fillId="0" borderId="17" xfId="580" applyNumberFormat="1" applyFont="1" applyFill="1" applyBorder="1" applyAlignment="1">
      <alignment horizontal="left" vertical="center"/>
    </xf>
    <xf numFmtId="0" fontId="4" fillId="0" borderId="1" xfId="0" applyFont="1" applyBorder="1" applyAlignment="1">
      <alignment horizontal="left"/>
    </xf>
    <xf numFmtId="0" fontId="4" fillId="0" borderId="2" xfId="0" applyFont="1" applyBorder="1" applyAlignment="1">
      <alignment horizontal="left"/>
    </xf>
    <xf numFmtId="49" fontId="4" fillId="0" borderId="2" xfId="0" applyNumberFormat="1" applyFont="1" applyBorder="1" applyAlignment="1">
      <alignment horizontal="left"/>
    </xf>
    <xf numFmtId="181" fontId="4" fillId="0" borderId="2" xfId="0" applyNumberFormat="1" applyFont="1" applyBorder="1" applyAlignment="1">
      <alignment horizontal="left"/>
    </xf>
    <xf numFmtId="0" fontId="4" fillId="0" borderId="2" xfId="0" applyNumberFormat="1" applyFont="1" applyBorder="1" applyAlignment="1">
      <alignment horizontal="left"/>
    </xf>
    <xf numFmtId="0" fontId="4" fillId="0" borderId="3" xfId="0" applyFont="1" applyBorder="1" applyAlignment="1">
      <alignment horizontal="left"/>
    </xf>
    <xf numFmtId="0" fontId="4" fillId="0" borderId="14" xfId="0" applyFont="1" applyBorder="1" applyAlignment="1">
      <alignment horizontal="left"/>
    </xf>
    <xf numFmtId="0" fontId="4" fillId="0" borderId="15" xfId="0" applyFont="1" applyBorder="1" applyAlignment="1">
      <alignment horizontal="left"/>
    </xf>
    <xf numFmtId="49" fontId="4" fillId="0" borderId="15" xfId="0" applyNumberFormat="1" applyFont="1" applyBorder="1" applyAlignment="1">
      <alignment horizontal="left"/>
    </xf>
    <xf numFmtId="181" fontId="4" fillId="0" borderId="15" xfId="0" applyNumberFormat="1" applyFont="1" applyBorder="1" applyAlignment="1">
      <alignment horizontal="left"/>
    </xf>
    <xf numFmtId="0" fontId="4" fillId="0" borderId="15" xfId="0" applyNumberFormat="1" applyFont="1" applyBorder="1" applyAlignment="1">
      <alignment horizontal="left"/>
    </xf>
    <xf numFmtId="0" fontId="4" fillId="0" borderId="17" xfId="0" applyFont="1" applyBorder="1" applyAlignment="1">
      <alignment horizontal="left"/>
    </xf>
    <xf numFmtId="0" fontId="4" fillId="0" borderId="16" xfId="0" applyFont="1" applyBorder="1" applyAlignment="1">
      <alignment horizontal="left"/>
    </xf>
    <xf numFmtId="0" fontId="4" fillId="0" borderId="22" xfId="0" applyFont="1" applyBorder="1" applyAlignment="1">
      <alignment horizontal="left"/>
    </xf>
    <xf numFmtId="0" fontId="11"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11" fillId="0" borderId="0" xfId="0" applyFont="1" applyFill="1" applyBorder="1" applyAlignment="1">
      <alignment horizontal="right" vertical="center"/>
    </xf>
    <xf numFmtId="0" fontId="11" fillId="0" borderId="0" xfId="0" applyFont="1" applyFill="1" applyBorder="1" applyAlignment="1">
      <alignment vertical="center"/>
    </xf>
    <xf numFmtId="0" fontId="11" fillId="0" borderId="1"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4" fillId="0" borderId="0" xfId="294" applyFont="1" applyFill="1" applyBorder="1" applyAlignment="1">
      <alignment horizontal="center" vertical="center"/>
    </xf>
    <xf numFmtId="0" fontId="11" fillId="0" borderId="14" xfId="0" applyFont="1" applyFill="1" applyBorder="1" applyAlignment="1">
      <alignment horizontal="center" vertical="center" wrapText="1"/>
    </xf>
    <xf numFmtId="0" fontId="4" fillId="0" borderId="15" xfId="0" applyFont="1" applyFill="1" applyBorder="1" applyAlignment="1">
      <alignment horizontal="center" vertical="center"/>
    </xf>
    <xf numFmtId="0" fontId="4" fillId="0" borderId="15" xfId="294" applyFont="1" applyFill="1" applyBorder="1" applyAlignment="1">
      <alignment horizontal="center" vertical="center"/>
    </xf>
    <xf numFmtId="0" fontId="11" fillId="0" borderId="16" xfId="0" applyFont="1" applyFill="1" applyBorder="1" applyAlignment="1">
      <alignment horizontal="center" vertical="center" wrapText="1"/>
    </xf>
    <xf numFmtId="0" fontId="11" fillId="0" borderId="0" xfId="294" applyFont="1" applyFill="1" applyBorder="1" applyAlignment="1">
      <alignment horizontal="center" vertical="center" wrapText="1"/>
    </xf>
    <xf numFmtId="0" fontId="11" fillId="0" borderId="0" xfId="0" applyFont="1" applyFill="1" applyAlignment="1">
      <alignment horizontal="center" vertical="center" wrapText="1"/>
    </xf>
    <xf numFmtId="0" fontId="4" fillId="0" borderId="17" xfId="0" applyFont="1" applyFill="1" applyBorder="1" applyAlignment="1">
      <alignment horizontal="center" vertical="center"/>
    </xf>
    <xf numFmtId="0" fontId="4" fillId="0" borderId="0" xfId="0" applyFont="1" applyFill="1" applyAlignment="1">
      <alignment horizontal="center" vertical="center"/>
    </xf>
    <xf numFmtId="0" fontId="4" fillId="0" borderId="22" xfId="0" applyFont="1" applyFill="1" applyBorder="1" applyAlignment="1">
      <alignment horizontal="center" vertical="center"/>
    </xf>
    <xf numFmtId="0" fontId="4" fillId="2" borderId="0" xfId="500" applyFont="1" applyFill="1" applyAlignment="1">
      <alignment vertical="center"/>
    </xf>
    <xf numFmtId="0" fontId="4" fillId="2" borderId="0" xfId="500" applyFont="1" applyFill="1"/>
    <xf numFmtId="0" fontId="1" fillId="0" borderId="0" xfId="0" applyFont="1" applyFill="1" applyAlignment="1">
      <alignment vertical="center"/>
    </xf>
    <xf numFmtId="0" fontId="14" fillId="2" borderId="15" xfId="500" applyFont="1" applyFill="1" applyBorder="1" applyAlignment="1">
      <alignment horizontal="center" vertical="center"/>
    </xf>
    <xf numFmtId="0" fontId="11" fillId="2" borderId="1" xfId="500" applyFont="1" applyFill="1" applyBorder="1" applyAlignment="1">
      <alignment vertical="center"/>
    </xf>
    <xf numFmtId="0" fontId="4" fillId="2" borderId="2" xfId="500" applyFont="1" applyFill="1" applyBorder="1" applyAlignment="1">
      <alignment vertical="center"/>
    </xf>
    <xf numFmtId="0" fontId="4" fillId="2" borderId="3" xfId="500" applyFont="1" applyFill="1" applyBorder="1" applyAlignment="1">
      <alignment vertical="center"/>
    </xf>
    <xf numFmtId="0" fontId="15" fillId="2" borderId="0" xfId="0" applyFont="1" applyFill="1" applyBorder="1" applyAlignment="1">
      <alignment horizontal="center"/>
    </xf>
    <xf numFmtId="0" fontId="4" fillId="2" borderId="0" xfId="500" applyFont="1" applyFill="1" applyBorder="1" applyAlignment="1">
      <alignment vertical="center"/>
    </xf>
    <xf numFmtId="0" fontId="11" fillId="2" borderId="12" xfId="582" applyFont="1" applyFill="1" applyBorder="1" applyAlignment="1">
      <alignment horizontal="center" vertical="center"/>
    </xf>
    <xf numFmtId="0" fontId="11" fillId="2" borderId="13" xfId="582" applyFont="1" applyFill="1" applyBorder="1" applyAlignment="1">
      <alignment horizontal="center" vertical="center"/>
    </xf>
    <xf numFmtId="0" fontId="11" fillId="2" borderId="21" xfId="582" applyFont="1" applyFill="1" applyBorder="1" applyAlignment="1">
      <alignment horizontal="center" vertical="center"/>
    </xf>
    <xf numFmtId="177" fontId="11" fillId="2" borderId="12" xfId="149" applyNumberFormat="1" applyFont="1" applyFill="1" applyBorder="1" applyAlignment="1">
      <alignment horizontal="center" vertical="center"/>
    </xf>
    <xf numFmtId="177" fontId="11" fillId="2" borderId="13" xfId="149" applyNumberFormat="1" applyFont="1" applyFill="1" applyBorder="1" applyAlignment="1">
      <alignment horizontal="center" vertical="center"/>
    </xf>
    <xf numFmtId="177" fontId="11" fillId="2" borderId="21" xfId="149" applyNumberFormat="1" applyFont="1" applyFill="1" applyBorder="1" applyAlignment="1">
      <alignment horizontal="center" vertical="center"/>
    </xf>
    <xf numFmtId="0" fontId="11" fillId="2" borderId="4" xfId="149" applyFont="1" applyFill="1" applyBorder="1" applyAlignment="1">
      <alignment horizontal="center" vertical="center"/>
    </xf>
    <xf numFmtId="0" fontId="11" fillId="2" borderId="5" xfId="149" applyFont="1" applyFill="1" applyBorder="1" applyAlignment="1">
      <alignment horizontal="center"/>
    </xf>
    <xf numFmtId="0" fontId="11" fillId="2" borderId="6" xfId="149" applyFont="1" applyFill="1" applyBorder="1" applyAlignment="1">
      <alignment horizontal="center"/>
    </xf>
    <xf numFmtId="0" fontId="11" fillId="2" borderId="18" xfId="149" applyFont="1" applyFill="1" applyBorder="1" applyAlignment="1">
      <alignment horizontal="center"/>
    </xf>
    <xf numFmtId="0" fontId="11" fillId="2" borderId="10" xfId="149" applyFont="1" applyFill="1" applyBorder="1" applyAlignment="1">
      <alignment horizontal="center" vertical="center"/>
    </xf>
    <xf numFmtId="184" fontId="4" fillId="2" borderId="5" xfId="583" applyNumberFormat="1" applyFont="1" applyFill="1" applyBorder="1" applyAlignment="1">
      <alignment horizontal="center" vertical="center"/>
    </xf>
    <xf numFmtId="1" fontId="5" fillId="0" borderId="5" xfId="0" applyNumberFormat="1" applyFont="1" applyBorder="1" applyAlignment="1">
      <alignment horizontal="center" vertical="center"/>
    </xf>
    <xf numFmtId="1" fontId="5" fillId="0" borderId="6" xfId="0" applyNumberFormat="1" applyFont="1" applyBorder="1" applyAlignment="1">
      <alignment horizontal="center" vertical="center"/>
    </xf>
    <xf numFmtId="1" fontId="4" fillId="0" borderId="5" xfId="149" applyNumberFormat="1" applyFont="1" applyFill="1" applyBorder="1" applyAlignment="1">
      <alignment horizontal="center" vertical="center"/>
    </xf>
    <xf numFmtId="178" fontId="4" fillId="0" borderId="10" xfId="149" applyNumberFormat="1" applyFont="1" applyFill="1" applyBorder="1" applyAlignment="1">
      <alignment horizontal="center" vertical="center"/>
    </xf>
    <xf numFmtId="180" fontId="4" fillId="2" borderId="9" xfId="583" applyNumberFormat="1" applyFont="1" applyFill="1" applyBorder="1" applyAlignment="1">
      <alignment horizontal="center" vertical="center"/>
    </xf>
    <xf numFmtId="1" fontId="5" fillId="0" borderId="9" xfId="0" applyNumberFormat="1" applyFont="1" applyBorder="1" applyAlignment="1">
      <alignment horizontal="center" vertical="center"/>
    </xf>
    <xf numFmtId="1" fontId="5" fillId="0" borderId="0" xfId="0" applyNumberFormat="1" applyFont="1" applyAlignment="1">
      <alignment horizontal="center" vertical="center"/>
    </xf>
    <xf numFmtId="1" fontId="5" fillId="0" borderId="0" xfId="0" applyNumberFormat="1" applyFont="1" applyBorder="1" applyAlignment="1">
      <alignment horizontal="center" vertical="center"/>
    </xf>
    <xf numFmtId="1" fontId="4" fillId="0" borderId="9" xfId="149" applyNumberFormat="1" applyFont="1" applyFill="1" applyBorder="1" applyAlignment="1">
      <alignment horizontal="center" vertical="center"/>
    </xf>
    <xf numFmtId="178" fontId="4" fillId="0" borderId="23" xfId="149" applyNumberFormat="1" applyFont="1" applyFill="1" applyBorder="1" applyAlignment="1">
      <alignment horizontal="center" vertical="center"/>
    </xf>
    <xf numFmtId="177" fontId="4" fillId="2" borderId="9" xfId="583" applyNumberFormat="1" applyFont="1" applyFill="1" applyBorder="1" applyAlignment="1">
      <alignment horizontal="center" vertical="center"/>
    </xf>
    <xf numFmtId="178" fontId="5" fillId="0" borderId="9" xfId="0" applyNumberFormat="1" applyFont="1" applyBorder="1" applyAlignment="1">
      <alignment horizontal="center" vertical="center"/>
    </xf>
    <xf numFmtId="179" fontId="4" fillId="2" borderId="9" xfId="583" applyNumberFormat="1" applyFont="1" applyFill="1" applyBorder="1" applyAlignment="1">
      <alignment horizontal="center" vertical="center"/>
    </xf>
    <xf numFmtId="178" fontId="5" fillId="0" borderId="0" xfId="0" applyNumberFormat="1" applyFont="1" applyBorder="1" applyAlignment="1">
      <alignment horizontal="center" vertical="center"/>
    </xf>
    <xf numFmtId="2" fontId="5" fillId="0" borderId="0" xfId="0" applyNumberFormat="1" applyFont="1" applyBorder="1" applyAlignment="1">
      <alignment horizontal="center" vertical="center"/>
    </xf>
    <xf numFmtId="178" fontId="4" fillId="0" borderId="9" xfId="149" applyNumberFormat="1" applyFont="1" applyFill="1" applyBorder="1" applyAlignment="1">
      <alignment horizontal="center" vertical="center"/>
    </xf>
    <xf numFmtId="2" fontId="4" fillId="0" borderId="23" xfId="149" applyNumberFormat="1" applyFont="1" applyFill="1" applyBorder="1" applyAlignment="1">
      <alignment horizontal="center" vertical="center"/>
    </xf>
    <xf numFmtId="176" fontId="4" fillId="2" borderId="9" xfId="583" applyNumberFormat="1" applyFont="1" applyFill="1" applyBorder="1" applyAlignment="1">
      <alignment horizontal="center" vertical="center"/>
    </xf>
    <xf numFmtId="2" fontId="5" fillId="0" borderId="9" xfId="0" applyNumberFormat="1" applyFont="1" applyBorder="1" applyAlignment="1">
      <alignment horizontal="center" vertical="center"/>
    </xf>
    <xf numFmtId="2" fontId="4" fillId="0" borderId="9" xfId="149" applyNumberFormat="1" applyFont="1" applyFill="1" applyBorder="1" applyAlignment="1">
      <alignment horizontal="center" vertical="center"/>
    </xf>
    <xf numFmtId="176" fontId="4" fillId="2" borderId="9" xfId="582" applyNumberFormat="1" applyFont="1" applyFill="1" applyBorder="1" applyAlignment="1">
      <alignment horizontal="center" vertical="center"/>
    </xf>
    <xf numFmtId="176" fontId="4" fillId="2" borderId="7" xfId="582" applyNumberFormat="1" applyFont="1" applyFill="1" applyBorder="1" applyAlignment="1">
      <alignment horizontal="center" vertical="center"/>
    </xf>
    <xf numFmtId="2" fontId="5" fillId="0" borderId="7" xfId="0" applyNumberFormat="1" applyFont="1" applyBorder="1" applyAlignment="1">
      <alignment horizontal="center" vertical="center"/>
    </xf>
    <xf numFmtId="1" fontId="5" fillId="0" borderId="8" xfId="0" applyNumberFormat="1" applyFont="1" applyBorder="1" applyAlignment="1">
      <alignment horizontal="center" vertical="center"/>
    </xf>
    <xf numFmtId="2" fontId="4" fillId="0" borderId="7" xfId="149" applyNumberFormat="1" applyFont="1" applyFill="1" applyBorder="1" applyAlignment="1">
      <alignment horizontal="center" vertical="center"/>
    </xf>
    <xf numFmtId="1" fontId="4" fillId="0" borderId="11" xfId="149" applyNumberFormat="1" applyFont="1" applyFill="1" applyBorder="1" applyAlignment="1">
      <alignment horizontal="center" vertical="center"/>
    </xf>
    <xf numFmtId="0" fontId="4" fillId="2" borderId="14" xfId="500" applyFont="1" applyFill="1" applyBorder="1" applyAlignment="1">
      <alignment vertical="center"/>
    </xf>
    <xf numFmtId="0" fontId="4" fillId="2" borderId="15" xfId="500" applyFont="1" applyFill="1" applyBorder="1" applyAlignment="1">
      <alignment vertical="center"/>
    </xf>
    <xf numFmtId="0" fontId="4" fillId="2" borderId="1" xfId="500" applyFont="1" applyFill="1" applyBorder="1" applyAlignment="1">
      <alignment vertical="center"/>
    </xf>
    <xf numFmtId="0" fontId="15" fillId="2" borderId="2" xfId="0" applyFont="1" applyFill="1" applyBorder="1" applyAlignment="1">
      <alignment horizontal="center" vertical="center"/>
    </xf>
    <xf numFmtId="0" fontId="15" fillId="2" borderId="8"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4"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21" xfId="0" applyFont="1" applyBorder="1" applyAlignment="1">
      <alignment horizontal="center" vertical="center"/>
    </xf>
    <xf numFmtId="0" fontId="11" fillId="0" borderId="10" xfId="0" applyFont="1" applyBorder="1" applyAlignment="1">
      <alignment horizontal="center" vertical="center"/>
    </xf>
    <xf numFmtId="0" fontId="4" fillId="0" borderId="3" xfId="501" applyFont="1" applyFill="1" applyBorder="1" applyAlignment="1">
      <alignment horizontal="center" vertical="center"/>
    </xf>
    <xf numFmtId="0" fontId="4" fillId="0" borderId="11" xfId="0" applyFont="1" applyBorder="1" applyAlignment="1">
      <alignment horizontal="center" vertical="center"/>
    </xf>
    <xf numFmtId="0" fontId="4" fillId="0" borderId="19" xfId="0" applyFont="1" applyBorder="1" applyAlignment="1">
      <alignment horizontal="center" vertical="center"/>
    </xf>
    <xf numFmtId="0" fontId="11" fillId="0" borderId="23" xfId="0" applyFont="1" applyBorder="1" applyAlignment="1">
      <alignment horizontal="center" vertical="center"/>
    </xf>
    <xf numFmtId="0" fontId="4" fillId="0" borderId="3" xfId="501" applyFont="1" applyFill="1" applyBorder="1" applyAlignment="1">
      <alignment horizontal="center" vertical="center" wrapText="1"/>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1" xfId="0" applyFont="1" applyFill="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21" xfId="0" applyFont="1" applyBorder="1" applyAlignment="1">
      <alignment horizontal="center" vertical="center"/>
    </xf>
    <xf numFmtId="179" fontId="4" fillId="0" borderId="12" xfId="0" applyNumberFormat="1" applyFont="1" applyBorder="1" applyAlignment="1">
      <alignment vertical="center"/>
    </xf>
    <xf numFmtId="0" fontId="4" fillId="0" borderId="13" xfId="0" applyFont="1" applyBorder="1" applyAlignment="1">
      <alignment horizontal="left" vertical="center"/>
    </xf>
    <xf numFmtId="0" fontId="4" fillId="0" borderId="21" xfId="0" applyFont="1" applyBorder="1" applyAlignment="1">
      <alignment horizontal="left" vertical="center"/>
    </xf>
    <xf numFmtId="0" fontId="11" fillId="0" borderId="11" xfId="0" applyFont="1" applyBorder="1" applyAlignment="1">
      <alignment horizontal="center" vertical="center"/>
    </xf>
    <xf numFmtId="0" fontId="4" fillId="0" borderId="3" xfId="0" applyFont="1" applyFill="1" applyBorder="1" applyAlignment="1">
      <alignment horizontal="center" vertical="center" wrapText="1"/>
    </xf>
    <xf numFmtId="180" fontId="1" fillId="0" borderId="4" xfId="0" applyNumberFormat="1" applyFont="1" applyBorder="1" applyAlignment="1">
      <alignment horizontal="center"/>
    </xf>
    <xf numFmtId="185" fontId="4" fillId="3" borderId="19" xfId="0" applyNumberFormat="1" applyFont="1" applyFill="1" applyBorder="1" applyAlignment="1">
      <alignment horizontal="center" vertical="center"/>
    </xf>
    <xf numFmtId="177" fontId="1" fillId="0" borderId="4" xfId="0" applyNumberFormat="1" applyFont="1" applyBorder="1" applyAlignment="1">
      <alignment horizontal="center"/>
    </xf>
    <xf numFmtId="2" fontId="4" fillId="3" borderId="19" xfId="0" applyNumberFormat="1" applyFont="1" applyFill="1" applyBorder="1" applyAlignment="1">
      <alignment horizontal="center" vertical="center"/>
    </xf>
    <xf numFmtId="184" fontId="1" fillId="0" borderId="4" xfId="0" applyNumberFormat="1" applyFont="1" applyBorder="1" applyAlignment="1">
      <alignment horizontal="center"/>
    </xf>
    <xf numFmtId="186" fontId="4" fillId="3" borderId="19" xfId="0" applyNumberFormat="1" applyFont="1" applyFill="1" applyBorder="1" applyAlignment="1">
      <alignment horizontal="center" vertical="center"/>
    </xf>
    <xf numFmtId="0" fontId="4" fillId="3" borderId="11" xfId="0" applyFont="1" applyFill="1" applyBorder="1" applyAlignment="1">
      <alignment horizontal="center" vertical="center"/>
    </xf>
    <xf numFmtId="0" fontId="1" fillId="0" borderId="4" xfId="0" applyFont="1" applyBorder="1" applyAlignment="1">
      <alignment horizontal="center"/>
    </xf>
    <xf numFmtId="1" fontId="4" fillId="3" borderId="19" xfId="0" applyNumberFormat="1" applyFont="1" applyFill="1" applyBorder="1" applyAlignment="1">
      <alignment horizontal="center" vertical="center"/>
    </xf>
    <xf numFmtId="176" fontId="1" fillId="0" borderId="4" xfId="0" applyNumberFormat="1" applyFont="1" applyFill="1" applyBorder="1" applyAlignment="1">
      <alignment horizontal="center"/>
    </xf>
    <xf numFmtId="0" fontId="4" fillId="0" borderId="3" xfId="294" applyFont="1" applyFill="1" applyBorder="1" applyAlignment="1">
      <alignment horizontal="center" vertical="center" wrapText="1"/>
    </xf>
    <xf numFmtId="0" fontId="11" fillId="0" borderId="0" xfId="0" applyFont="1" applyFill="1" applyBorder="1" applyAlignment="1">
      <alignment horizontal="center" vertical="center"/>
    </xf>
    <xf numFmtId="0" fontId="11" fillId="0" borderId="0" xfId="501" applyFont="1" applyFill="1" applyBorder="1" applyAlignment="1">
      <alignment vertical="center"/>
    </xf>
    <xf numFmtId="0" fontId="8" fillId="2" borderId="2" xfId="500" applyFont="1" applyFill="1" applyBorder="1" applyAlignment="1">
      <alignment horizontal="left" vertical="center" wrapText="1"/>
    </xf>
    <xf numFmtId="0" fontId="4" fillId="2" borderId="2" xfId="500" applyFont="1" applyFill="1" applyBorder="1" applyAlignment="1">
      <alignment horizontal="left" vertical="center"/>
    </xf>
    <xf numFmtId="0" fontId="11" fillId="2" borderId="15" xfId="500" applyFont="1" applyFill="1" applyBorder="1" applyAlignment="1">
      <alignment horizontal="right" vertical="center"/>
    </xf>
    <xf numFmtId="0" fontId="15" fillId="2" borderId="15" xfId="500" applyFont="1" applyFill="1" applyBorder="1" applyAlignment="1">
      <alignment horizontal="right" vertical="center"/>
    </xf>
    <xf numFmtId="0" fontId="4" fillId="2" borderId="16" xfId="500" applyFont="1" applyFill="1" applyBorder="1"/>
    <xf numFmtId="0" fontId="11" fillId="2" borderId="1" xfId="584" applyFont="1" applyFill="1" applyBorder="1" applyAlignment="1">
      <alignment vertical="center"/>
    </xf>
    <xf numFmtId="0" fontId="4" fillId="2" borderId="2" xfId="584" applyFont="1" applyFill="1" applyBorder="1" applyAlignment="1">
      <alignment horizontal="right" vertical="center"/>
    </xf>
    <xf numFmtId="0" fontId="4" fillId="2" borderId="2" xfId="584" applyFont="1" applyFill="1" applyBorder="1" applyAlignment="1">
      <alignment horizontal="left" vertical="center"/>
    </xf>
    <xf numFmtId="0" fontId="4" fillId="2" borderId="2" xfId="584" applyFont="1" applyFill="1" applyBorder="1" applyAlignment="1">
      <alignment vertical="center"/>
    </xf>
    <xf numFmtId="0" fontId="4" fillId="2" borderId="17" xfId="500" applyFont="1" applyFill="1" applyBorder="1" applyAlignment="1">
      <alignment vertical="center"/>
    </xf>
    <xf numFmtId="0" fontId="11" fillId="2" borderId="3" xfId="584" applyFont="1" applyFill="1" applyBorder="1" applyAlignment="1">
      <alignment vertical="center"/>
    </xf>
    <xf numFmtId="0" fontId="4" fillId="2" borderId="0" xfId="584" applyFont="1" applyFill="1" applyBorder="1" applyAlignment="1">
      <alignment horizontal="right" vertical="center"/>
    </xf>
    <xf numFmtId="0" fontId="4" fillId="2" borderId="0" xfId="584" applyFont="1" applyFill="1" applyBorder="1" applyAlignment="1">
      <alignment horizontal="left" vertical="center"/>
    </xf>
    <xf numFmtId="0" fontId="4" fillId="2" borderId="0" xfId="581" applyFont="1" applyFill="1" applyBorder="1" applyAlignment="1">
      <alignment vertical="center"/>
    </xf>
    <xf numFmtId="0" fontId="4" fillId="2" borderId="3" xfId="584" applyFont="1" applyFill="1" applyBorder="1" applyAlignment="1">
      <alignment horizontal="right" vertical="center"/>
    </xf>
    <xf numFmtId="0" fontId="4" fillId="2" borderId="0" xfId="584" applyNumberFormat="1" applyFont="1" applyFill="1" applyBorder="1" applyAlignment="1">
      <alignment horizontal="left" vertical="center"/>
    </xf>
    <xf numFmtId="49" fontId="4" fillId="2" borderId="0" xfId="584" applyNumberFormat="1" applyFont="1" applyFill="1" applyBorder="1" applyAlignment="1">
      <alignment horizontal="left" vertical="center"/>
    </xf>
    <xf numFmtId="2" fontId="4" fillId="2" borderId="0" xfId="584" applyNumberFormat="1" applyFont="1" applyFill="1" applyBorder="1" applyAlignment="1">
      <alignment horizontal="left" vertical="center"/>
    </xf>
    <xf numFmtId="0" fontId="4" fillId="2" borderId="14" xfId="584" applyFont="1" applyFill="1" applyBorder="1" applyAlignment="1">
      <alignment horizontal="right" vertical="center"/>
    </xf>
    <xf numFmtId="0" fontId="4" fillId="2" borderId="15" xfId="584" applyFont="1" applyFill="1" applyBorder="1" applyAlignment="1">
      <alignment horizontal="right" vertical="center"/>
    </xf>
    <xf numFmtId="10" fontId="4" fillId="2" borderId="15" xfId="0" applyNumberFormat="1" applyFont="1" applyFill="1" applyBorder="1" applyAlignment="1">
      <alignment horizontal="left" vertical="center" wrapText="1"/>
    </xf>
    <xf numFmtId="180" fontId="4" fillId="2" borderId="15" xfId="584" applyNumberFormat="1" applyFont="1" applyFill="1" applyBorder="1" applyAlignment="1">
      <alignment horizontal="left" vertical="center"/>
    </xf>
    <xf numFmtId="0" fontId="11" fillId="2" borderId="3" xfId="584" applyFont="1" applyFill="1" applyBorder="1" applyAlignment="1">
      <alignment horizontal="left" vertical="center"/>
    </xf>
    <xf numFmtId="14" fontId="11" fillId="2" borderId="0" xfId="584" applyNumberFormat="1" applyFont="1" applyFill="1" applyBorder="1" applyAlignment="1">
      <alignment vertical="center"/>
    </xf>
    <xf numFmtId="0" fontId="4" fillId="2" borderId="0" xfId="584" applyFont="1" applyFill="1" applyBorder="1" applyAlignment="1">
      <alignment vertical="center"/>
    </xf>
    <xf numFmtId="0" fontId="4" fillId="2" borderId="1" xfId="584" applyFont="1" applyFill="1" applyBorder="1" applyAlignment="1">
      <alignment vertical="center"/>
    </xf>
    <xf numFmtId="0" fontId="11" fillId="2" borderId="2" xfId="584" applyFont="1" applyFill="1" applyBorder="1" applyAlignment="1">
      <alignment horizontal="right" vertical="center"/>
    </xf>
    <xf numFmtId="0" fontId="4" fillId="2" borderId="3" xfId="584" applyFont="1" applyFill="1" applyBorder="1" applyAlignment="1">
      <alignment vertical="center"/>
    </xf>
    <xf numFmtId="0" fontId="4" fillId="2" borderId="14" xfId="584" applyFont="1" applyFill="1" applyBorder="1" applyAlignment="1">
      <alignment vertical="center"/>
    </xf>
    <xf numFmtId="0" fontId="4" fillId="2" borderId="15" xfId="584" applyFont="1" applyFill="1" applyBorder="1" applyAlignment="1">
      <alignment vertical="center"/>
    </xf>
    <xf numFmtId="0" fontId="1" fillId="2" borderId="3" xfId="0" applyFont="1" applyFill="1" applyBorder="1" applyAlignment="1">
      <alignment vertical="center"/>
    </xf>
    <xf numFmtId="0" fontId="11" fillId="2" borderId="24" xfId="0" applyFont="1" applyFill="1" applyBorder="1" applyAlignment="1">
      <alignment horizontal="center" vertical="center"/>
    </xf>
    <xf numFmtId="0" fontId="4" fillId="2" borderId="25" xfId="0" applyFont="1" applyFill="1" applyBorder="1" applyAlignment="1"/>
    <xf numFmtId="0" fontId="4" fillId="2" borderId="26" xfId="584" applyFont="1" applyFill="1" applyBorder="1" applyAlignment="1">
      <alignment horizontal="center" vertical="center" wrapText="1"/>
    </xf>
    <xf numFmtId="0" fontId="4" fillId="2" borderId="23" xfId="584" applyFont="1" applyFill="1" applyBorder="1" applyAlignment="1">
      <alignment horizontal="center" vertical="center"/>
    </xf>
    <xf numFmtId="0" fontId="4" fillId="2" borderId="23" xfId="584" applyFont="1" applyFill="1" applyBorder="1" applyAlignment="1">
      <alignment horizontal="center" vertical="center" wrapText="1"/>
    </xf>
    <xf numFmtId="0" fontId="4" fillId="2" borderId="27" xfId="584" applyFont="1" applyFill="1" applyBorder="1" applyAlignment="1">
      <alignment horizontal="center" vertical="center" wrapText="1"/>
    </xf>
    <xf numFmtId="0" fontId="4" fillId="2" borderId="11" xfId="584" applyFont="1" applyFill="1" applyBorder="1" applyAlignment="1">
      <alignment horizontal="center" vertical="center"/>
    </xf>
    <xf numFmtId="0" fontId="4" fillId="2" borderId="11" xfId="584" applyFont="1" applyFill="1" applyBorder="1" applyAlignment="1">
      <alignment horizontal="center" vertical="center" wrapText="1"/>
    </xf>
    <xf numFmtId="0" fontId="4" fillId="2" borderId="28" xfId="584" applyFont="1" applyFill="1" applyBorder="1" applyAlignment="1">
      <alignment horizontal="center" vertical="center"/>
    </xf>
    <xf numFmtId="49" fontId="4" fillId="2" borderId="10" xfId="584" applyNumberFormat="1" applyFont="1" applyFill="1" applyBorder="1" applyAlignment="1">
      <alignment horizontal="center" vertical="center" wrapText="1"/>
    </xf>
    <xf numFmtId="0" fontId="4" fillId="2" borderId="10" xfId="584" applyFont="1" applyFill="1" applyBorder="1" applyAlignment="1">
      <alignment horizontal="center" vertical="center" wrapText="1"/>
    </xf>
    <xf numFmtId="179" fontId="4" fillId="2" borderId="10" xfId="584" applyNumberFormat="1" applyFont="1" applyFill="1" applyBorder="1" applyAlignment="1">
      <alignment horizontal="center" vertical="center" wrapText="1"/>
    </xf>
    <xf numFmtId="177" fontId="4" fillId="2" borderId="10" xfId="584" applyNumberFormat="1" applyFont="1" applyFill="1" applyBorder="1" applyAlignment="1">
      <alignment horizontal="center" vertical="center"/>
    </xf>
    <xf numFmtId="0" fontId="4" fillId="2" borderId="26" xfId="584" applyFont="1" applyFill="1" applyBorder="1" applyAlignment="1">
      <alignment horizontal="center" vertical="center"/>
    </xf>
    <xf numFmtId="49" fontId="4" fillId="2" borderId="23" xfId="584" applyNumberFormat="1" applyFont="1" applyFill="1" applyBorder="1" applyAlignment="1">
      <alignment horizontal="center" vertical="center" wrapText="1"/>
    </xf>
    <xf numFmtId="179" fontId="4" fillId="2" borderId="23" xfId="584" applyNumberFormat="1" applyFont="1" applyFill="1" applyBorder="1" applyAlignment="1">
      <alignment horizontal="center" vertical="center" wrapText="1"/>
    </xf>
    <xf numFmtId="177" fontId="4" fillId="2" borderId="23" xfId="584" applyNumberFormat="1" applyFont="1" applyFill="1" applyBorder="1" applyAlignment="1">
      <alignment horizontal="center" vertical="center"/>
    </xf>
    <xf numFmtId="0" fontId="4" fillId="2" borderId="27" xfId="584" applyFont="1" applyFill="1" applyBorder="1" applyAlignment="1">
      <alignment horizontal="center" vertical="center"/>
    </xf>
    <xf numFmtId="49" fontId="4" fillId="2" borderId="11" xfId="584" applyNumberFormat="1" applyFont="1" applyFill="1" applyBorder="1" applyAlignment="1">
      <alignment horizontal="center" vertical="center" wrapText="1"/>
    </xf>
    <xf numFmtId="179" fontId="4" fillId="2" borderId="11" xfId="584" applyNumberFormat="1" applyFont="1" applyFill="1" applyBorder="1" applyAlignment="1">
      <alignment horizontal="center" vertical="center" wrapText="1"/>
    </xf>
    <xf numFmtId="177" fontId="4" fillId="2" borderId="11" xfId="584" applyNumberFormat="1" applyFont="1" applyFill="1" applyBorder="1" applyAlignment="1">
      <alignment horizontal="center" vertical="center"/>
    </xf>
    <xf numFmtId="0" fontId="4" fillId="2" borderId="3" xfId="584" applyFont="1" applyFill="1" applyBorder="1" applyAlignment="1">
      <alignment horizontal="center" vertical="center"/>
    </xf>
    <xf numFmtId="49" fontId="4" fillId="2" borderId="0" xfId="584" applyNumberFormat="1" applyFont="1" applyFill="1" applyBorder="1" applyAlignment="1">
      <alignment horizontal="center" vertical="center" wrapText="1"/>
    </xf>
    <xf numFmtId="0" fontId="4" fillId="2" borderId="0" xfId="584" applyFont="1" applyFill="1" applyBorder="1" applyAlignment="1">
      <alignment horizontal="center" vertical="center" wrapText="1"/>
    </xf>
    <xf numFmtId="179" fontId="4" fillId="2" borderId="0" xfId="584" applyNumberFormat="1" applyFont="1" applyFill="1" applyBorder="1" applyAlignment="1">
      <alignment horizontal="center" vertical="center" wrapText="1"/>
    </xf>
    <xf numFmtId="179" fontId="4" fillId="2" borderId="0" xfId="584" applyNumberFormat="1" applyFont="1" applyFill="1" applyBorder="1" applyAlignment="1">
      <alignment horizontal="center" vertical="center"/>
    </xf>
    <xf numFmtId="0" fontId="1" fillId="2" borderId="0" xfId="0" applyFont="1" applyFill="1" applyBorder="1" applyAlignment="1">
      <alignment vertical="center"/>
    </xf>
    <xf numFmtId="0" fontId="4" fillId="2" borderId="0" xfId="584" applyFont="1" applyFill="1" applyBorder="1" applyAlignment="1">
      <alignment horizontal="left" vertical="center" wrapText="1"/>
    </xf>
    <xf numFmtId="0" fontId="4" fillId="2" borderId="17" xfId="500" applyFont="1" applyFill="1" applyBorder="1"/>
    <xf numFmtId="0" fontId="4" fillId="2" borderId="0" xfId="500" applyFont="1" applyFill="1" applyAlignment="1">
      <alignment horizontal="center" vertical="center"/>
    </xf>
    <xf numFmtId="0" fontId="4" fillId="2" borderId="22" xfId="500" applyFont="1" applyFill="1" applyBorder="1"/>
    <xf numFmtId="0" fontId="4" fillId="2" borderId="4" xfId="500" applyFont="1" applyFill="1" applyBorder="1" applyAlignment="1">
      <alignment vertical="center"/>
    </xf>
    <xf numFmtId="0" fontId="4" fillId="2" borderId="4" xfId="500" applyFont="1" applyFill="1" applyBorder="1" applyAlignment="1">
      <alignment horizontal="center" vertical="center"/>
    </xf>
    <xf numFmtId="179" fontId="4" fillId="2" borderId="4" xfId="500" applyNumberFormat="1" applyFont="1" applyFill="1" applyBorder="1" applyAlignment="1">
      <alignment horizontal="center" vertical="center"/>
    </xf>
    <xf numFmtId="0" fontId="1" fillId="0" borderId="2" xfId="0" applyFont="1" applyFill="1" applyBorder="1" applyAlignment="1">
      <alignment vertical="center"/>
    </xf>
    <xf numFmtId="178" fontId="4" fillId="3" borderId="19" xfId="0" applyNumberFormat="1" applyFont="1" applyFill="1" applyBorder="1" applyAlignment="1">
      <alignment horizontal="center" vertical="center"/>
    </xf>
    <xf numFmtId="0" fontId="11" fillId="2" borderId="15" xfId="500" applyFont="1" applyFill="1" applyBorder="1" applyAlignment="1">
      <alignment horizontal="left" vertical="center"/>
    </xf>
    <xf numFmtId="0" fontId="4" fillId="2" borderId="16" xfId="584" applyFont="1" applyFill="1" applyBorder="1" applyAlignment="1">
      <alignment vertical="center"/>
    </xf>
    <xf numFmtId="0" fontId="4" fillId="2" borderId="17" xfId="584" applyFont="1" applyFill="1" applyBorder="1" applyAlignment="1">
      <alignment vertical="center"/>
    </xf>
    <xf numFmtId="10" fontId="4" fillId="2" borderId="15" xfId="584" applyNumberFormat="1" applyFont="1" applyFill="1" applyBorder="1" applyAlignment="1">
      <alignment horizontal="left" vertical="center"/>
    </xf>
    <xf numFmtId="0" fontId="4" fillId="2" borderId="22" xfId="584" applyFont="1" applyFill="1" applyBorder="1" applyAlignment="1">
      <alignment horizontal="left" vertical="center"/>
    </xf>
    <xf numFmtId="0" fontId="4" fillId="2" borderId="17" xfId="584" applyFont="1" applyFill="1" applyBorder="1" applyAlignment="1">
      <alignment horizontal="left" vertical="center"/>
    </xf>
    <xf numFmtId="0" fontId="4" fillId="2" borderId="22" xfId="584" applyFont="1" applyFill="1" applyBorder="1" applyAlignment="1">
      <alignment vertical="center"/>
    </xf>
    <xf numFmtId="0" fontId="1" fillId="2" borderId="17" xfId="0" applyFont="1" applyFill="1" applyBorder="1" applyAlignment="1">
      <alignment vertical="center"/>
    </xf>
    <xf numFmtId="0" fontId="4" fillId="2" borderId="2" xfId="0" applyFont="1" applyFill="1" applyBorder="1" applyAlignment="1"/>
    <xf numFmtId="0" fontId="4" fillId="2" borderId="16" xfId="0" applyFont="1" applyFill="1" applyBorder="1" applyAlignment="1"/>
    <xf numFmtId="0" fontId="4" fillId="2" borderId="29" xfId="584" applyFont="1" applyFill="1" applyBorder="1" applyAlignment="1">
      <alignment horizontal="center" vertical="center" wrapText="1"/>
    </xf>
    <xf numFmtId="0" fontId="4" fillId="2" borderId="30" xfId="584" applyFont="1" applyFill="1" applyBorder="1" applyAlignment="1">
      <alignment horizontal="center" vertical="center" wrapText="1"/>
    </xf>
    <xf numFmtId="0" fontId="4" fillId="2" borderId="16" xfId="584" applyFont="1" applyFill="1" applyBorder="1" applyAlignment="1">
      <alignment horizontal="center" vertical="center" wrapText="1"/>
    </xf>
    <xf numFmtId="0" fontId="4" fillId="2" borderId="19" xfId="584" applyFont="1" applyFill="1" applyBorder="1" applyAlignment="1">
      <alignment horizontal="center" vertical="center" wrapText="1"/>
    </xf>
    <xf numFmtId="0" fontId="4" fillId="2" borderId="31" xfId="584" applyFont="1" applyFill="1" applyBorder="1" applyAlignment="1">
      <alignment horizontal="center" vertical="center" wrapText="1"/>
    </xf>
    <xf numFmtId="180" fontId="4" fillId="2" borderId="10" xfId="584" applyNumberFormat="1" applyFont="1" applyFill="1" applyBorder="1" applyAlignment="1">
      <alignment horizontal="center" vertical="center"/>
    </xf>
    <xf numFmtId="180" fontId="4" fillId="2" borderId="10" xfId="584" applyNumberFormat="1" applyFont="1" applyFill="1" applyBorder="1" applyAlignment="1">
      <alignment horizontal="center" vertical="center" wrapText="1"/>
    </xf>
    <xf numFmtId="180" fontId="4" fillId="2" borderId="18" xfId="584" applyNumberFormat="1" applyFont="1" applyFill="1" applyBorder="1" applyAlignment="1">
      <alignment horizontal="center" vertical="center" wrapText="1"/>
    </xf>
    <xf numFmtId="180" fontId="4" fillId="2" borderId="32" xfId="584" applyNumberFormat="1" applyFont="1" applyFill="1" applyBorder="1" applyAlignment="1">
      <alignment horizontal="center" vertical="center" wrapText="1"/>
    </xf>
    <xf numFmtId="180" fontId="4" fillId="2" borderId="23" xfId="584" applyNumberFormat="1" applyFont="1" applyFill="1" applyBorder="1" applyAlignment="1">
      <alignment horizontal="center" vertical="center"/>
    </xf>
    <xf numFmtId="180" fontId="4" fillId="2" borderId="23" xfId="584" applyNumberFormat="1" applyFont="1" applyFill="1" applyBorder="1" applyAlignment="1">
      <alignment horizontal="center" vertical="center" wrapText="1"/>
    </xf>
    <xf numFmtId="180" fontId="4" fillId="2" borderId="20" xfId="584" applyNumberFormat="1" applyFont="1" applyFill="1" applyBorder="1" applyAlignment="1">
      <alignment horizontal="center" vertical="center" wrapText="1"/>
    </xf>
    <xf numFmtId="180" fontId="4" fillId="2" borderId="17" xfId="584" applyNumberFormat="1" applyFont="1" applyFill="1" applyBorder="1" applyAlignment="1">
      <alignment horizontal="center" vertical="center" wrapText="1"/>
    </xf>
    <xf numFmtId="180" fontId="4" fillId="2" borderId="11" xfId="584" applyNumberFormat="1" applyFont="1" applyFill="1" applyBorder="1" applyAlignment="1">
      <alignment horizontal="center" vertical="center"/>
    </xf>
    <xf numFmtId="180" fontId="4" fillId="2" borderId="11" xfId="584" applyNumberFormat="1" applyFont="1" applyFill="1" applyBorder="1" applyAlignment="1">
      <alignment horizontal="center" vertical="center" wrapText="1"/>
    </xf>
    <xf numFmtId="180" fontId="4" fillId="2" borderId="19" xfId="584" applyNumberFormat="1" applyFont="1" applyFill="1" applyBorder="1" applyAlignment="1">
      <alignment horizontal="center" vertical="center" wrapText="1"/>
    </xf>
    <xf numFmtId="180" fontId="4" fillId="2" borderId="31" xfId="584" applyNumberFormat="1" applyFont="1" applyFill="1" applyBorder="1" applyAlignment="1">
      <alignment horizontal="center" vertical="center" wrapText="1"/>
    </xf>
    <xf numFmtId="180" fontId="4" fillId="2" borderId="0" xfId="584" applyNumberFormat="1" applyFont="1" applyFill="1" applyBorder="1" applyAlignment="1">
      <alignment horizontal="center" vertical="center"/>
    </xf>
    <xf numFmtId="180" fontId="4" fillId="2" borderId="0" xfId="584" applyNumberFormat="1" applyFont="1" applyFill="1" applyBorder="1" applyAlignment="1">
      <alignment horizontal="center" vertical="center" wrapText="1"/>
    </xf>
    <xf numFmtId="180" fontId="1" fillId="2" borderId="0" xfId="0" applyNumberFormat="1" applyFont="1" applyFill="1" applyBorder="1" applyAlignment="1">
      <alignment horizontal="center" vertical="center"/>
    </xf>
    <xf numFmtId="180" fontId="1" fillId="2" borderId="17" xfId="0" applyNumberFormat="1" applyFont="1" applyFill="1" applyBorder="1" applyAlignment="1">
      <alignment horizontal="center" vertical="center"/>
    </xf>
    <xf numFmtId="0" fontId="4" fillId="2" borderId="17" xfId="584" applyFont="1" applyFill="1" applyBorder="1" applyAlignment="1">
      <alignment horizontal="left" vertical="center" wrapText="1"/>
    </xf>
    <xf numFmtId="0" fontId="16" fillId="2" borderId="2" xfId="500" applyFont="1" applyFill="1" applyBorder="1" applyAlignment="1">
      <alignment vertical="center"/>
    </xf>
    <xf numFmtId="0" fontId="16" fillId="2" borderId="16" xfId="500" applyFont="1" applyFill="1" applyBorder="1"/>
    <xf numFmtId="0" fontId="16" fillId="2" borderId="0" xfId="500" applyFont="1" applyFill="1" applyBorder="1" applyAlignment="1">
      <alignment vertical="center"/>
    </xf>
    <xf numFmtId="0" fontId="16" fillId="2" borderId="17" xfId="500" applyFont="1" applyFill="1" applyBorder="1"/>
    <xf numFmtId="0" fontId="4" fillId="2" borderId="17" xfId="500" applyFont="1" applyFill="1" applyBorder="1" applyAlignment="1">
      <alignment horizontal="center" vertical="center"/>
    </xf>
    <xf numFmtId="0" fontId="16" fillId="2" borderId="15" xfId="500" applyFont="1" applyFill="1" applyBorder="1" applyAlignment="1">
      <alignment vertical="center"/>
    </xf>
    <xf numFmtId="0" fontId="16" fillId="2" borderId="22" xfId="500" applyFont="1" applyFill="1" applyBorder="1"/>
    <xf numFmtId="0" fontId="16" fillId="2" borderId="0" xfId="500" applyFont="1" applyFill="1" applyAlignment="1">
      <alignment vertical="center"/>
    </xf>
    <xf numFmtId="0" fontId="4" fillId="2" borderId="0" xfId="500" applyFont="1" applyFill="1" applyBorder="1" applyAlignment="1">
      <alignment horizontal="center" vertical="center"/>
    </xf>
    <xf numFmtId="0" fontId="17" fillId="2" borderId="0" xfId="338" applyFont="1" applyFill="1" applyBorder="1" applyAlignment="1">
      <alignment horizontal="center" vertical="top"/>
    </xf>
    <xf numFmtId="0" fontId="17" fillId="2" borderId="0" xfId="338" applyFont="1" applyFill="1" applyBorder="1" applyAlignment="1">
      <alignment horizontal="center" vertical="center"/>
    </xf>
    <xf numFmtId="0" fontId="18" fillId="2" borderId="0" xfId="338" applyFont="1" applyFill="1" applyBorder="1" applyAlignment="1">
      <alignment horizontal="center" vertical="center"/>
    </xf>
    <xf numFmtId="0" fontId="19" fillId="2" borderId="0" xfId="338" applyFont="1" applyFill="1" applyBorder="1" applyAlignment="1">
      <alignment horizontal="center" vertical="center"/>
    </xf>
    <xf numFmtId="0" fontId="15" fillId="2" borderId="0" xfId="338" applyFont="1" applyFill="1" applyBorder="1" applyAlignment="1">
      <alignment horizontal="center" vertical="top"/>
    </xf>
    <xf numFmtId="0" fontId="20" fillId="2" borderId="0" xfId="500" applyFont="1" applyFill="1" applyBorder="1" applyAlignment="1">
      <alignment horizontal="center" vertical="center"/>
    </xf>
    <xf numFmtId="0" fontId="15" fillId="2" borderId="0" xfId="338" applyFont="1" applyFill="1" applyBorder="1" applyAlignment="1">
      <alignment vertical="top" wrapText="1"/>
    </xf>
    <xf numFmtId="0" fontId="15" fillId="2" borderId="0" xfId="500" applyFont="1" applyFill="1" applyBorder="1" applyAlignment="1">
      <alignment horizontal="center" vertical="center"/>
    </xf>
    <xf numFmtId="0" fontId="15" fillId="2" borderId="0" xfId="338" applyFont="1" applyFill="1" applyBorder="1" applyAlignment="1">
      <alignment horizontal="left" vertical="top" wrapText="1"/>
    </xf>
    <xf numFmtId="0" fontId="15" fillId="2" borderId="0" xfId="338" applyFont="1" applyFill="1" applyBorder="1" applyAlignment="1">
      <alignment horizontal="left" vertical="top"/>
    </xf>
    <xf numFmtId="0" fontId="20" fillId="2" borderId="0" xfId="338" applyFont="1" applyFill="1" applyBorder="1" applyAlignment="1">
      <alignment horizontal="left" vertical="center" wrapText="1"/>
    </xf>
    <xf numFmtId="0" fontId="15" fillId="2" borderId="0" xfId="338" applyFont="1" applyFill="1" applyBorder="1" applyAlignment="1">
      <alignment horizontal="left" vertical="center" wrapText="1"/>
    </xf>
    <xf numFmtId="0" fontId="21" fillId="2" borderId="0" xfId="338" applyFont="1" applyFill="1" applyBorder="1" applyAlignment="1">
      <alignment horizontal="left" vertical="top" wrapText="1"/>
    </xf>
    <xf numFmtId="0" fontId="15" fillId="2" borderId="0" xfId="338" applyFont="1" applyFill="1" applyBorder="1" applyAlignment="1">
      <alignment horizontal="center" vertical="center"/>
    </xf>
    <xf numFmtId="0" fontId="21" fillId="2" borderId="0" xfId="338" applyFont="1" applyFill="1" applyBorder="1" applyAlignment="1">
      <alignment horizontal="left" vertical="center" wrapText="1"/>
    </xf>
    <xf numFmtId="0" fontId="17" fillId="2" borderId="0" xfId="338" applyFont="1" applyFill="1" applyBorder="1" applyAlignment="1">
      <alignment horizontal="left" vertical="center" wrapText="1"/>
    </xf>
    <xf numFmtId="0" fontId="20" fillId="2" borderId="0" xfId="0" applyFont="1" applyFill="1" applyBorder="1" applyAlignment="1">
      <alignment horizontal="center" vertical="center"/>
    </xf>
    <xf numFmtId="0" fontId="21" fillId="0" borderId="0" xfId="338" applyFont="1" applyFill="1" applyBorder="1" applyAlignment="1">
      <alignment horizontal="left" vertical="center" wrapText="1"/>
    </xf>
    <xf numFmtId="0" fontId="17" fillId="0" borderId="0" xfId="338" applyFont="1" applyFill="1" applyBorder="1" applyAlignment="1">
      <alignment horizontal="left" vertical="center" wrapText="1"/>
    </xf>
    <xf numFmtId="0" fontId="17" fillId="2" borderId="0" xfId="0" applyFont="1" applyFill="1" applyBorder="1" applyAlignment="1">
      <alignment horizontal="center"/>
    </xf>
    <xf numFmtId="0" fontId="17" fillId="2" borderId="0" xfId="338" applyFont="1" applyFill="1" applyBorder="1" applyAlignment="1">
      <alignment horizontal="center" vertical="top" wrapText="1"/>
    </xf>
    <xf numFmtId="0" fontId="15" fillId="2" borderId="0" xfId="0" applyFont="1" applyFill="1" applyBorder="1" applyAlignment="1">
      <alignment horizontal="center" vertical="center"/>
    </xf>
    <xf numFmtId="0" fontId="4" fillId="2" borderId="0" xfId="0" applyFont="1" applyFill="1" applyBorder="1" applyAlignment="1">
      <alignment horizontal="center"/>
    </xf>
    <xf numFmtId="0" fontId="22" fillId="2" borderId="0" xfId="0" applyFont="1" applyFill="1" applyBorder="1" applyAlignment="1">
      <alignment horizontal="center"/>
    </xf>
    <xf numFmtId="2" fontId="17" fillId="2" borderId="0" xfId="338" applyNumberFormat="1" applyFont="1" applyFill="1" applyBorder="1" applyAlignment="1">
      <alignment horizontal="center" vertical="center"/>
    </xf>
    <xf numFmtId="0" fontId="17" fillId="2" borderId="0" xfId="0" applyFont="1" applyFill="1" applyBorder="1" applyAlignment="1">
      <alignment horizontal="center" vertical="top" wrapText="1"/>
    </xf>
    <xf numFmtId="178" fontId="17" fillId="2" borderId="0" xfId="338" applyNumberFormat="1" applyFont="1" applyFill="1" applyBorder="1" applyAlignment="1">
      <alignment horizontal="center" vertical="center"/>
    </xf>
    <xf numFmtId="49" fontId="22" fillId="2" borderId="0" xfId="0" applyNumberFormat="1" applyFont="1" applyFill="1" applyBorder="1" applyAlignment="1" applyProtection="1">
      <alignment vertical="center"/>
      <protection locked="0"/>
    </xf>
    <xf numFmtId="14" fontId="17" fillId="2" borderId="0" xfId="338" applyNumberFormat="1" applyFont="1" applyFill="1" applyBorder="1" applyAlignment="1">
      <alignment horizontal="left" vertical="top" wrapText="1"/>
    </xf>
    <xf numFmtId="14" fontId="15" fillId="2" borderId="0" xfId="338" applyNumberFormat="1" applyFont="1" applyFill="1" applyBorder="1" applyAlignment="1">
      <alignment horizontal="left" vertical="top" wrapText="1"/>
    </xf>
  </cellXfs>
  <cellStyles count="60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2 2 2" xfId="51"/>
    <cellStyle name="20% - Accent2 2 3" xfId="52"/>
    <cellStyle name="20% - Accent2 2 3 2" xfId="53"/>
    <cellStyle name="20% - Accent2 2 3 2 2" xfId="54"/>
    <cellStyle name="20% - Accent2 2 3 2 3" xfId="55"/>
    <cellStyle name="20% - Accent2 2 3 3" xfId="56"/>
    <cellStyle name="20% - Accent2 2 3 4" xfId="57"/>
    <cellStyle name="20% - Accent2 2 4" xfId="58"/>
    <cellStyle name="20% - Accent2 2 5" xfId="59"/>
    <cellStyle name="20% - Accent2 3" xfId="60"/>
    <cellStyle name="20% - Accent2 3 2" xfId="61"/>
    <cellStyle name="20% - Accent2 3 2 2" xfId="62"/>
    <cellStyle name="20% - Accent2 3 2 3" xfId="63"/>
    <cellStyle name="20% - Accent2 3 3" xfId="64"/>
    <cellStyle name="20% - Accent2 3 3 2" xfId="65"/>
    <cellStyle name="20% - Accent2 3 3 3" xfId="66"/>
    <cellStyle name="20% - Accent2 4" xfId="67"/>
    <cellStyle name="20% - Accent2 4 2" xfId="68"/>
    <cellStyle name="20% - Accent2 4 3" xfId="69"/>
    <cellStyle name="20% - Accent3 2" xfId="70"/>
    <cellStyle name="20% - Accent4 2" xfId="71"/>
    <cellStyle name="20% - Accent4 2 2" xfId="72"/>
    <cellStyle name="20% - Accent4 2 3" xfId="73"/>
    <cellStyle name="20% - Accent4 2 3 2" xfId="74"/>
    <cellStyle name="20% - Accent4 2 3 2 2" xfId="75"/>
    <cellStyle name="20% - Accent4 2 3 2 3" xfId="76"/>
    <cellStyle name="20% - Accent4 2 3 3" xfId="77"/>
    <cellStyle name="20% - Accent4 2 3 4" xfId="78"/>
    <cellStyle name="20% - Accent4 2 4" xfId="79"/>
    <cellStyle name="20% - Accent4 2 5" xfId="80"/>
    <cellStyle name="20% - Accent4 3" xfId="81"/>
    <cellStyle name="20% - Accent4 3 2" xfId="82"/>
    <cellStyle name="20% - Accent4 3 2 2" xfId="83"/>
    <cellStyle name="20% - Accent4 3 2 3" xfId="84"/>
    <cellStyle name="20% - Accent4 3 3" xfId="85"/>
    <cellStyle name="20% - Accent4 3 3 2" xfId="86"/>
    <cellStyle name="20% - Accent4 3 3 3" xfId="87"/>
    <cellStyle name="20% - Accent4 4" xfId="88"/>
    <cellStyle name="20% - Accent4 4 2" xfId="89"/>
    <cellStyle name="20% - Accent4 4 3" xfId="90"/>
    <cellStyle name="20% - Accent5 2" xfId="91"/>
    <cellStyle name="20% - Accent6 2" xfId="92"/>
    <cellStyle name="40% - Accent1 2" xfId="93"/>
    <cellStyle name="40% - Accent2 2" xfId="94"/>
    <cellStyle name="40% - Accent3 2" xfId="95"/>
    <cellStyle name="40% - Accent4 2" xfId="96"/>
    <cellStyle name="40% - Accent5 2" xfId="97"/>
    <cellStyle name="40% - Accent6 2" xfId="98"/>
    <cellStyle name="40% - Accent6 2 2" xfId="99"/>
    <cellStyle name="40% - Accent6 2 3" xfId="100"/>
    <cellStyle name="40% - Accent6 2 3 2" xfId="101"/>
    <cellStyle name="40% - Accent6 2 4" xfId="102"/>
    <cellStyle name="40% - Accent6 3" xfId="103"/>
    <cellStyle name="40% - Accent6 3 2" xfId="104"/>
    <cellStyle name="40% - Accent6 3 2 2" xfId="105"/>
    <cellStyle name="40% - Accent6 3 3" xfId="106"/>
    <cellStyle name="40% - Accent6 3 3 2" xfId="107"/>
    <cellStyle name="40% - Accent6 4" xfId="108"/>
    <cellStyle name="40% - Accent6 4 2" xfId="109"/>
    <cellStyle name="60% - Accent1 2" xfId="110"/>
    <cellStyle name="60% - Accent2 2" xfId="111"/>
    <cellStyle name="60% - Accent3 2" xfId="112"/>
    <cellStyle name="60% - Accent4 2" xfId="113"/>
    <cellStyle name="60% - Accent5 2" xfId="114"/>
    <cellStyle name="60% - Accent6 2" xfId="115"/>
    <cellStyle name="Accent1 2" xfId="116"/>
    <cellStyle name="Accent2 2" xfId="117"/>
    <cellStyle name="Accent3 2" xfId="118"/>
    <cellStyle name="Accent4 2" xfId="119"/>
    <cellStyle name="Accent5 2" xfId="120"/>
    <cellStyle name="Accent6 2" xfId="121"/>
    <cellStyle name="Bad 2" xfId="122"/>
    <cellStyle name="Calculation 2" xfId="123"/>
    <cellStyle name="Calculation 2 2" xfId="124"/>
    <cellStyle name="Calculation 2 3" xfId="125"/>
    <cellStyle name="Calculation 3" xfId="126"/>
    <cellStyle name="Calculation 4" xfId="127"/>
    <cellStyle name="Check Cell 2" xfId="128"/>
    <cellStyle name="Good 2" xfId="129"/>
    <cellStyle name="Input 2" xfId="130"/>
    <cellStyle name="Input 2 2" xfId="131"/>
    <cellStyle name="Input 2 3" xfId="132"/>
    <cellStyle name="Input 3" xfId="133"/>
    <cellStyle name="Input 4" xfId="134"/>
    <cellStyle name="Neutral 2" xfId="135"/>
    <cellStyle name="Normal 2" xfId="136"/>
    <cellStyle name="Normal 2 2 2 2" xfId="137"/>
    <cellStyle name="Normal 27" xfId="138"/>
    <cellStyle name="Normal 27 2" xfId="139"/>
    <cellStyle name="Normal 27 4" xfId="140"/>
    <cellStyle name="Normal 27 4 2" xfId="141"/>
    <cellStyle name="Normal 28 2" xfId="142"/>
    <cellStyle name="Normal 28 2 2" xfId="143"/>
    <cellStyle name="Normal 3" xfId="144"/>
    <cellStyle name="Normal 30" xfId="145"/>
    <cellStyle name="Normal 30 2" xfId="146"/>
    <cellStyle name="Normal 31" xfId="147"/>
    <cellStyle name="Normal 31 2" xfId="148"/>
    <cellStyle name="Normal_request in life week 52" xfId="149"/>
    <cellStyle name="Note 10" xfId="150"/>
    <cellStyle name="Note 2" xfId="151"/>
    <cellStyle name="Note 2 10" xfId="152"/>
    <cellStyle name="Note 2 2" xfId="153"/>
    <cellStyle name="Note 2 2 2" xfId="154"/>
    <cellStyle name="Note 2 2 2 2" xfId="155"/>
    <cellStyle name="Note 2 2 2 2 2" xfId="156"/>
    <cellStyle name="Note 2 2 2 3" xfId="157"/>
    <cellStyle name="Note 2 2 2 3 2" xfId="158"/>
    <cellStyle name="Note 2 2 2 4" xfId="159"/>
    <cellStyle name="Note 2 2 3" xfId="160"/>
    <cellStyle name="Note 2 2 3 2" xfId="161"/>
    <cellStyle name="Note 2 2 3 2 2" xfId="162"/>
    <cellStyle name="Note 2 2 3 3" xfId="163"/>
    <cellStyle name="Note 2 2 4" xfId="164"/>
    <cellStyle name="Note 2 2 4 2" xfId="165"/>
    <cellStyle name="Note 2 2 5" xfId="166"/>
    <cellStyle name="Note 2 3" xfId="167"/>
    <cellStyle name="Note 2 3 2" xfId="168"/>
    <cellStyle name="Note 2 3 2 2" xfId="169"/>
    <cellStyle name="Note 2 3 3" xfId="170"/>
    <cellStyle name="Note 2 3 3 2" xfId="171"/>
    <cellStyle name="Note 2 3 4" xfId="172"/>
    <cellStyle name="Note 2 4" xfId="173"/>
    <cellStyle name="Note 2 4 2" xfId="174"/>
    <cellStyle name="Note 2 4 2 2" xfId="175"/>
    <cellStyle name="Note 2 4 2 2 2" xfId="176"/>
    <cellStyle name="Note 2 4 2 3" xfId="177"/>
    <cellStyle name="Note 2 4 3" xfId="178"/>
    <cellStyle name="Note 2 4 3 2" xfId="179"/>
    <cellStyle name="Note 2 4 4" xfId="180"/>
    <cellStyle name="Note 2 5" xfId="181"/>
    <cellStyle name="Note 2 5 2" xfId="182"/>
    <cellStyle name="Note 2 5 2 2" xfId="183"/>
    <cellStyle name="Note 2 5 3" xfId="184"/>
    <cellStyle name="Note 2 6" xfId="185"/>
    <cellStyle name="Note 2 6 2" xfId="186"/>
    <cellStyle name="Note 2 6 2 2" xfId="187"/>
    <cellStyle name="Note 2 6 3" xfId="188"/>
    <cellStyle name="Note 2 7" xfId="189"/>
    <cellStyle name="Note 2 7 2" xfId="190"/>
    <cellStyle name="Note 2 8" xfId="191"/>
    <cellStyle name="Note 2 8 2" xfId="192"/>
    <cellStyle name="Note 2 9" xfId="193"/>
    <cellStyle name="Note 2 9 2" xfId="194"/>
    <cellStyle name="Note 3" xfId="195"/>
    <cellStyle name="Note 3 2" xfId="196"/>
    <cellStyle name="Note 3 2 2" xfId="197"/>
    <cellStyle name="Note 3 2 3" xfId="198"/>
    <cellStyle name="Note 3 2 4" xfId="199"/>
    <cellStyle name="Note 3 3" xfId="200"/>
    <cellStyle name="Note 3 3 2" xfId="201"/>
    <cellStyle name="Note 3 3 3" xfId="202"/>
    <cellStyle name="Note 3 3 4" xfId="203"/>
    <cellStyle name="Note 3 4" xfId="204"/>
    <cellStyle name="Note 3 5" xfId="205"/>
    <cellStyle name="Note 3 6" xfId="206"/>
    <cellStyle name="Note 4" xfId="207"/>
    <cellStyle name="Note 4 2" xfId="208"/>
    <cellStyle name="Note 4 2 2" xfId="209"/>
    <cellStyle name="Note 4 2 3" xfId="210"/>
    <cellStyle name="Note 4 2 4" xfId="211"/>
    <cellStyle name="Note 4 3" xfId="212"/>
    <cellStyle name="Note 4 3 2" xfId="213"/>
    <cellStyle name="Note 4 3 3" xfId="214"/>
    <cellStyle name="Note 4 3 4" xfId="215"/>
    <cellStyle name="Note 4 4" xfId="216"/>
    <cellStyle name="Note 4 5" xfId="217"/>
    <cellStyle name="Note 4 6" xfId="218"/>
    <cellStyle name="Note 5" xfId="219"/>
    <cellStyle name="Note 5 2" xfId="220"/>
    <cellStyle name="Note 5 3" xfId="221"/>
    <cellStyle name="Note 5 4" xfId="222"/>
    <cellStyle name="Note 6" xfId="223"/>
    <cellStyle name="Note 6 2" xfId="224"/>
    <cellStyle name="Note 6 3" xfId="225"/>
    <cellStyle name="Note 6 4" xfId="226"/>
    <cellStyle name="Note 7" xfId="227"/>
    <cellStyle name="Note 7 2" xfId="228"/>
    <cellStyle name="Note 7 3" xfId="229"/>
    <cellStyle name="Note 7 4" xfId="230"/>
    <cellStyle name="Note 8" xfId="231"/>
    <cellStyle name="Note 9" xfId="232"/>
    <cellStyle name="Output 2" xfId="233"/>
    <cellStyle name="Output 2 2" xfId="234"/>
    <cellStyle name="Output 2 3" xfId="235"/>
    <cellStyle name="Output 3" xfId="236"/>
    <cellStyle name="Output 4" xfId="237"/>
    <cellStyle name="Style 1" xfId="238"/>
    <cellStyle name="Style 1 2 2" xfId="239"/>
    <cellStyle name="Style 1 3" xfId="240"/>
    <cellStyle name="Total 2" xfId="241"/>
    <cellStyle name="Total 2 2" xfId="242"/>
    <cellStyle name="Total 2 3" xfId="243"/>
    <cellStyle name="Total 3" xfId="244"/>
    <cellStyle name="Total 4" xfId="245"/>
    <cellStyle name="百分比 2" xfId="246"/>
    <cellStyle name="百分比 2 2" xfId="247"/>
    <cellStyle name="常规 10" xfId="248"/>
    <cellStyle name="常规 10 2" xfId="249"/>
    <cellStyle name="常规 10 2 2" xfId="250"/>
    <cellStyle name="常规 10 2 3" xfId="251"/>
    <cellStyle name="常规 10 3" xfId="252"/>
    <cellStyle name="常规 10 3 2" xfId="253"/>
    <cellStyle name="常规 10 3 2 2" xfId="254"/>
    <cellStyle name="常规 10 3 2 3" xfId="255"/>
    <cellStyle name="常规 10 3 3" xfId="256"/>
    <cellStyle name="常规 10 4" xfId="257"/>
    <cellStyle name="常规 10 5" xfId="258"/>
    <cellStyle name="常规 10 5 2" xfId="259"/>
    <cellStyle name="常规 11" xfId="260"/>
    <cellStyle name="常规 11 2" xfId="261"/>
    <cellStyle name="常规 11 2 2" xfId="262"/>
    <cellStyle name="常规 11 2 2 2" xfId="263"/>
    <cellStyle name="常规 11 2 3" xfId="264"/>
    <cellStyle name="常规 11 2 3 2" xfId="265"/>
    <cellStyle name="常规 11 3" xfId="266"/>
    <cellStyle name="常规 11 3 2" xfId="267"/>
    <cellStyle name="常规 11 4" xfId="268"/>
    <cellStyle name="常规 11 4 2" xfId="269"/>
    <cellStyle name="常规 11 5" xfId="270"/>
    <cellStyle name="常规 11 5 2" xfId="271"/>
    <cellStyle name="常规 11 6" xfId="272"/>
    <cellStyle name="常规 11 6 2" xfId="273"/>
    <cellStyle name="常规 11 7" xfId="274"/>
    <cellStyle name="常规 11 7 2" xfId="275"/>
    <cellStyle name="常规 11 8" xfId="276"/>
    <cellStyle name="常规 12" xfId="277"/>
    <cellStyle name="常规 12 2" xfId="278"/>
    <cellStyle name="常规 12 2 2" xfId="279"/>
    <cellStyle name="常规 12 3" xfId="280"/>
    <cellStyle name="常规 12 3 2" xfId="281"/>
    <cellStyle name="常规 12 4" xfId="282"/>
    <cellStyle name="常规 13" xfId="283"/>
    <cellStyle name="常规 13 2" xfId="284"/>
    <cellStyle name="常规 13 3" xfId="285"/>
    <cellStyle name="常规 13 4" xfId="286"/>
    <cellStyle name="常规 14" xfId="287"/>
    <cellStyle name="常规 14 2" xfId="288"/>
    <cellStyle name="常规 15" xfId="289"/>
    <cellStyle name="常规 15 2" xfId="290"/>
    <cellStyle name="常规 16" xfId="291"/>
    <cellStyle name="常规 17" xfId="292"/>
    <cellStyle name="常规 17 2" xfId="293"/>
    <cellStyle name="常规 18" xfId="294"/>
    <cellStyle name="常规 19" xfId="295"/>
    <cellStyle name="常规 2" xfId="296"/>
    <cellStyle name="常规 2 2" xfId="297"/>
    <cellStyle name="常规 2 2 2" xfId="298"/>
    <cellStyle name="常规 2 2 2 2" xfId="299"/>
    <cellStyle name="常规 2 2 2 2 2" xfId="300"/>
    <cellStyle name="常规 2 2 2 3" xfId="301"/>
    <cellStyle name="常规 2 2 3" xfId="302"/>
    <cellStyle name="常规 2 2 3 2" xfId="303"/>
    <cellStyle name="常规 2 2 3 2 2" xfId="304"/>
    <cellStyle name="常规 2 2 3 3" xfId="305"/>
    <cellStyle name="常规 2 2 4" xfId="306"/>
    <cellStyle name="常规 2 2 4 2" xfId="307"/>
    <cellStyle name="常规 2 2 5" xfId="308"/>
    <cellStyle name="常规 2 2 5 2" xfId="309"/>
    <cellStyle name="常规 2 2 6" xfId="310"/>
    <cellStyle name="常规 2 3" xfId="311"/>
    <cellStyle name="常规 2 3 2" xfId="312"/>
    <cellStyle name="常规 2 3 2 2" xfId="313"/>
    <cellStyle name="常规 2 3 2 2 2" xfId="314"/>
    <cellStyle name="常规 2 3 2 3" xfId="315"/>
    <cellStyle name="常规 2 3 3" xfId="316"/>
    <cellStyle name="常规 2 3 3 2" xfId="317"/>
    <cellStyle name="常规 2 3 4" xfId="318"/>
    <cellStyle name="常规 2 3 4 2" xfId="319"/>
    <cellStyle name="常规 2 3 5" xfId="320"/>
    <cellStyle name="常规 2 4" xfId="321"/>
    <cellStyle name="常规 2 4 2" xfId="322"/>
    <cellStyle name="常规 20" xfId="323"/>
    <cellStyle name="常规 3" xfId="324"/>
    <cellStyle name="常规 3 10" xfId="325"/>
    <cellStyle name="常规 3 10 2" xfId="326"/>
    <cellStyle name="常规 3 10 2 2" xfId="327"/>
    <cellStyle name="常规 3 10 3" xfId="328"/>
    <cellStyle name="常规 3 10 3 2" xfId="329"/>
    <cellStyle name="常规 3 10 4" xfId="330"/>
    <cellStyle name="常规 3 11" xfId="331"/>
    <cellStyle name="常规 3 11 2" xfId="332"/>
    <cellStyle name="常规 3 12" xfId="333"/>
    <cellStyle name="常规 3 12 2" xfId="334"/>
    <cellStyle name="常规 3 13" xfId="335"/>
    <cellStyle name="常规 3 13 2" xfId="336"/>
    <cellStyle name="常规 3 14" xfId="337"/>
    <cellStyle name="常规 3 2" xfId="338"/>
    <cellStyle name="常规 3 2 2" xfId="339"/>
    <cellStyle name="常规 3 2 2 2" xfId="340"/>
    <cellStyle name="常规 3 2 2 2 2" xfId="341"/>
    <cellStyle name="常规 3 2 2 2 2 2" xfId="342"/>
    <cellStyle name="常规 3 2 2 2 3" xfId="343"/>
    <cellStyle name="常规 3 2 2 2 3 2" xfId="344"/>
    <cellStyle name="常规 3 2 2 2 4" xfId="345"/>
    <cellStyle name="常规 3 2 2 3" xfId="346"/>
    <cellStyle name="常规 3 2 2 3 2" xfId="347"/>
    <cellStyle name="常规 3 2 2 4" xfId="348"/>
    <cellStyle name="常规 3 2 3" xfId="349"/>
    <cellStyle name="常规 3 2 3 2" xfId="350"/>
    <cellStyle name="常规 3 2 3 2 2" xfId="351"/>
    <cellStyle name="常规 3 2 3 3" xfId="352"/>
    <cellStyle name="常规 3 2 4" xfId="353"/>
    <cellStyle name="常规 3 2 4 2" xfId="354"/>
    <cellStyle name="常规 3 2 5" xfId="355"/>
    <cellStyle name="常规 3 2 5 2" xfId="356"/>
    <cellStyle name="常规 3 2 6" xfId="357"/>
    <cellStyle name="常规 3 3" xfId="358"/>
    <cellStyle name="常规 3 3 2" xfId="359"/>
    <cellStyle name="常规 3 3 2 2" xfId="360"/>
    <cellStyle name="常规 3 3 2 2 2" xfId="361"/>
    <cellStyle name="常规 3 3 2 2 2 2" xfId="362"/>
    <cellStyle name="常规 3 3 2 2 3" xfId="363"/>
    <cellStyle name="常规 3 3 2 3" xfId="364"/>
    <cellStyle name="常规 3 3 2 3 2" xfId="365"/>
    <cellStyle name="常规 3 3 3" xfId="366"/>
    <cellStyle name="常规 3 3 3 2" xfId="367"/>
    <cellStyle name="常规 3 3 3 2 2" xfId="368"/>
    <cellStyle name="常规 3 3 3 3" xfId="369"/>
    <cellStyle name="常规 3 3 3 3 2" xfId="370"/>
    <cellStyle name="常规 3 3 3 4" xfId="371"/>
    <cellStyle name="常规 3 3 3 4 2" xfId="372"/>
    <cellStyle name="常规 3 3 3 5" xfId="373"/>
    <cellStyle name="常规 3 3 3 5 2" xfId="374"/>
    <cellStyle name="常规 3 3 3 6" xfId="375"/>
    <cellStyle name="常规 3 3 4" xfId="376"/>
    <cellStyle name="常规 3 3 4 2" xfId="377"/>
    <cellStyle name="常规 3 3 4 2 2" xfId="378"/>
    <cellStyle name="常规 3 3 4 3" xfId="379"/>
    <cellStyle name="常规 3 3 4 3 2" xfId="380"/>
    <cellStyle name="常规 3 3 4 4" xfId="381"/>
    <cellStyle name="常规 3 3 4 4 2" xfId="382"/>
    <cellStyle name="常规 3 3 4 5" xfId="383"/>
    <cellStyle name="常规 3 3 5" xfId="384"/>
    <cellStyle name="常规 3 3 5 2" xfId="385"/>
    <cellStyle name="常规 3 3 6" xfId="386"/>
    <cellStyle name="常规 3 4" xfId="387"/>
    <cellStyle name="常规 3 4 2" xfId="388"/>
    <cellStyle name="常规 3 4 2 2" xfId="389"/>
    <cellStyle name="常规 3 4 2 2 2" xfId="390"/>
    <cellStyle name="常规 3 4 2 3" xfId="391"/>
    <cellStyle name="常规 3 4 2 3 2" xfId="392"/>
    <cellStyle name="常规 3 4 2 4" xfId="393"/>
    <cellStyle name="常规 3 4 2 4 2" xfId="394"/>
    <cellStyle name="常规 3 4 2 5" xfId="395"/>
    <cellStyle name="常规 3 4 2 5 2" xfId="396"/>
    <cellStyle name="常规 3 4 2 6" xfId="397"/>
    <cellStyle name="常规 3 4 3" xfId="398"/>
    <cellStyle name="常规 3 4 3 2" xfId="399"/>
    <cellStyle name="常规 3 4 3 2 2" xfId="400"/>
    <cellStyle name="常规 3 4 3 3" xfId="401"/>
    <cellStyle name="常规 3 4 3 3 2" xfId="402"/>
    <cellStyle name="常规 3 4 3 4" xfId="403"/>
    <cellStyle name="常规 3 4 3 4 2" xfId="404"/>
    <cellStyle name="常规 3 4 3 5" xfId="405"/>
    <cellStyle name="常规 3 4 4" xfId="406"/>
    <cellStyle name="常规 3 4 4 2" xfId="407"/>
    <cellStyle name="常规 3 4 4 2 2" xfId="408"/>
    <cellStyle name="常规 3 4 4 3" xfId="409"/>
    <cellStyle name="常规 3 4 5" xfId="410"/>
    <cellStyle name="常规 3 5" xfId="411"/>
    <cellStyle name="常规 3 5 2" xfId="412"/>
    <cellStyle name="常规 3 5 2 2" xfId="413"/>
    <cellStyle name="常规 3 5 2 2 2" xfId="414"/>
    <cellStyle name="常规 3 5 2 3" xfId="415"/>
    <cellStyle name="常规 3 5 2 3 2" xfId="416"/>
    <cellStyle name="常规 3 5 2 4" xfId="417"/>
    <cellStyle name="常规 3 5 2 4 2" xfId="418"/>
    <cellStyle name="常规 3 5 2 5" xfId="419"/>
    <cellStyle name="常规 3 5 3" xfId="420"/>
    <cellStyle name="常规 3 5 3 2" xfId="421"/>
    <cellStyle name="常规 3 5 3 2 2" xfId="422"/>
    <cellStyle name="常规 3 5 3 3" xfId="423"/>
    <cellStyle name="常规 3 5 3 3 2" xfId="424"/>
    <cellStyle name="常规 3 5 3 4" xfId="425"/>
    <cellStyle name="常规 3 5 3 4 2" xfId="426"/>
    <cellStyle name="常规 3 5 3 5" xfId="427"/>
    <cellStyle name="常规 3 5 4" xfId="428"/>
    <cellStyle name="常规 3 5 4 2" xfId="429"/>
    <cellStyle name="常规 3 5 5" xfId="430"/>
    <cellStyle name="常规 3 5 5 2" xfId="431"/>
    <cellStyle name="常规 3 5 6" xfId="432"/>
    <cellStyle name="常规 3 5 6 2" xfId="433"/>
    <cellStyle name="常规 3 5 7" xfId="434"/>
    <cellStyle name="常规 3 5 7 2" xfId="435"/>
    <cellStyle name="常规 3 5 8" xfId="436"/>
    <cellStyle name="常规 3 6" xfId="437"/>
    <cellStyle name="常规 3 6 2" xfId="438"/>
    <cellStyle name="常规 3 6 2 2" xfId="439"/>
    <cellStyle name="常规 3 6 3" xfId="440"/>
    <cellStyle name="常规 3 6 3 2" xfId="441"/>
    <cellStyle name="常规 3 6 4" xfId="442"/>
    <cellStyle name="常规 3 6 4 2" xfId="443"/>
    <cellStyle name="常规 3 6 5" xfId="444"/>
    <cellStyle name="常规 3 6 5 2" xfId="445"/>
    <cellStyle name="常规 3 6 6" xfId="446"/>
    <cellStyle name="常规 3 6 6 2" xfId="447"/>
    <cellStyle name="常规 3 6 7" xfId="448"/>
    <cellStyle name="常规 3 6 7 2" xfId="449"/>
    <cellStyle name="常规 3 6 8" xfId="450"/>
    <cellStyle name="常规 3 7" xfId="451"/>
    <cellStyle name="常规 3 7 2" xfId="452"/>
    <cellStyle name="常规 3 7 2 2" xfId="453"/>
    <cellStyle name="常规 3 7 3" xfId="454"/>
    <cellStyle name="常规 3 7 3 2" xfId="455"/>
    <cellStyle name="常规 3 7 4" xfId="456"/>
    <cellStyle name="常规 3 7 4 2" xfId="457"/>
    <cellStyle name="常规 3 7 5" xfId="458"/>
    <cellStyle name="常规 3 8" xfId="459"/>
    <cellStyle name="常规 3 8 2" xfId="460"/>
    <cellStyle name="常规 3 8 2 2" xfId="461"/>
    <cellStyle name="常规 3 8 3" xfId="462"/>
    <cellStyle name="常规 3 8 3 2" xfId="463"/>
    <cellStyle name="常规 3 8 4" xfId="464"/>
    <cellStyle name="常规 3 8 4 2" xfId="465"/>
    <cellStyle name="常规 3 8 5" xfId="466"/>
    <cellStyle name="常规 3 9" xfId="467"/>
    <cellStyle name="常规 3 9 2" xfId="468"/>
    <cellStyle name="常规 3 9 2 2" xfId="469"/>
    <cellStyle name="常规 3 9 3" xfId="470"/>
    <cellStyle name="常规 3 9 3 2" xfId="471"/>
    <cellStyle name="常规 3 9 4" xfId="472"/>
    <cellStyle name="常规 3 9 4 2" xfId="473"/>
    <cellStyle name="常规 3 9 5" xfId="474"/>
    <cellStyle name="常规 4" xfId="475"/>
    <cellStyle name="常规 4 2" xfId="476"/>
    <cellStyle name="常规 4 3" xfId="477"/>
    <cellStyle name="常规 4 4" xfId="478"/>
    <cellStyle name="常规 4 5" xfId="479"/>
    <cellStyle name="常规 4 6" xfId="480"/>
    <cellStyle name="常规 4 6 2" xfId="481"/>
    <cellStyle name="常规 5" xfId="482"/>
    <cellStyle name="常规 5 2" xfId="483"/>
    <cellStyle name="常规 5 2 2" xfId="484"/>
    <cellStyle name="常规 5 2 2 2" xfId="485"/>
    <cellStyle name="常规 5 2 3" xfId="486"/>
    <cellStyle name="常规 5 3" xfId="487"/>
    <cellStyle name="常规 5 3 2" xfId="488"/>
    <cellStyle name="常规 5 3 2 2" xfId="489"/>
    <cellStyle name="常规 5 3 3" xfId="490"/>
    <cellStyle name="常规 5 4" xfId="491"/>
    <cellStyle name="常规 5 4 2" xfId="492"/>
    <cellStyle name="常规 5 5" xfId="493"/>
    <cellStyle name="常规 5 5 2" xfId="494"/>
    <cellStyle name="常规 5 6" xfId="495"/>
    <cellStyle name="常规 6" xfId="496"/>
    <cellStyle name="常规 6 2" xfId="497"/>
    <cellStyle name="常规 6 2 2" xfId="498"/>
    <cellStyle name="常规 6 3" xfId="499"/>
    <cellStyle name="常规 7" xfId="500"/>
    <cellStyle name="常规 7 2" xfId="501"/>
    <cellStyle name="常规 7 2 2" xfId="502"/>
    <cellStyle name="常规 7 2 2 2" xfId="503"/>
    <cellStyle name="常规 7 2 3" xfId="504"/>
    <cellStyle name="常规 7 2 3 2" xfId="505"/>
    <cellStyle name="常规 7 2 4" xfId="506"/>
    <cellStyle name="常规 7 2 4 2" xfId="507"/>
    <cellStyle name="常规 7 2 5" xfId="508"/>
    <cellStyle name="常规 7 3" xfId="509"/>
    <cellStyle name="常规 7 3 2" xfId="510"/>
    <cellStyle name="常规 7 3 2 2" xfId="511"/>
    <cellStyle name="常规 7 3 3" xfId="512"/>
    <cellStyle name="常规 7 4" xfId="513"/>
    <cellStyle name="常规 7 4 2" xfId="514"/>
    <cellStyle name="常规 7 4 2 2" xfId="515"/>
    <cellStyle name="常规 7 4 3" xfId="516"/>
    <cellStyle name="常规 7 5" xfId="517"/>
    <cellStyle name="常规 7 5 2" xfId="518"/>
    <cellStyle name="常规 7 6" xfId="519"/>
    <cellStyle name="常规 7 7" xfId="520"/>
    <cellStyle name="常规 8" xfId="521"/>
    <cellStyle name="常规 8 2" xfId="522"/>
    <cellStyle name="常规 8 2 2" xfId="523"/>
    <cellStyle name="常规 8 2 2 2" xfId="524"/>
    <cellStyle name="常规 8 2 2 2 2" xfId="525"/>
    <cellStyle name="常规 8 2 2 3" xfId="526"/>
    <cellStyle name="常规 8 2 3" xfId="527"/>
    <cellStyle name="常规 8 3" xfId="528"/>
    <cellStyle name="常规 8 3 2" xfId="529"/>
    <cellStyle name="常规 8 3 2 2" xfId="530"/>
    <cellStyle name="常规 8 4" xfId="531"/>
    <cellStyle name="常规 8 5" xfId="532"/>
    <cellStyle name="常规 9" xfId="533"/>
    <cellStyle name="常规 9 10" xfId="534"/>
    <cellStyle name="常规 9 10 2" xfId="535"/>
    <cellStyle name="常规 9 10 2 2" xfId="536"/>
    <cellStyle name="常规 9 10 3" xfId="537"/>
    <cellStyle name="常规 9 11" xfId="538"/>
    <cellStyle name="常规 9 11 2" xfId="539"/>
    <cellStyle name="常规 9 12" xfId="540"/>
    <cellStyle name="常规 9 13" xfId="541"/>
    <cellStyle name="常规 9 13 2" xfId="542"/>
    <cellStyle name="常规 9 14" xfId="543"/>
    <cellStyle name="常规 9 2" xfId="544"/>
    <cellStyle name="常规 9 2 2" xfId="545"/>
    <cellStyle name="常规 9 2 2 2" xfId="546"/>
    <cellStyle name="常规 9 2 3" xfId="547"/>
    <cellStyle name="常规 9 3" xfId="548"/>
    <cellStyle name="常规 9 3 2" xfId="549"/>
    <cellStyle name="常规 9 4" xfId="550"/>
    <cellStyle name="常规 9 4 2" xfId="551"/>
    <cellStyle name="常规 9 5" xfId="552"/>
    <cellStyle name="常规 9 5 2" xfId="553"/>
    <cellStyle name="常规 9 5 2 2" xfId="554"/>
    <cellStyle name="常规 9 5 3" xfId="555"/>
    <cellStyle name="常规 9 5 3 2" xfId="556"/>
    <cellStyle name="常规 9 5 4" xfId="557"/>
    <cellStyle name="常规 9 6" xfId="558"/>
    <cellStyle name="常规 9 6 2" xfId="559"/>
    <cellStyle name="常规 9 6 2 2" xfId="560"/>
    <cellStyle name="常规 9 6 3" xfId="561"/>
    <cellStyle name="常规 9 6 3 2" xfId="562"/>
    <cellStyle name="常规 9 6 4" xfId="563"/>
    <cellStyle name="常规 9 7" xfId="564"/>
    <cellStyle name="常规 9 7 2" xfId="565"/>
    <cellStyle name="常规 9 7 2 2" xfId="566"/>
    <cellStyle name="常规 9 7 3" xfId="567"/>
    <cellStyle name="常规 9 7 3 2" xfId="568"/>
    <cellStyle name="常规 9 7 4" xfId="569"/>
    <cellStyle name="常规 9 8" xfId="570"/>
    <cellStyle name="常规 9 8 2" xfId="571"/>
    <cellStyle name="常规 9 9" xfId="572"/>
    <cellStyle name="常规 9 9 2" xfId="573"/>
    <cellStyle name="常规 9 9 2 2" xfId="574"/>
    <cellStyle name="常规 9 9 3" xfId="575"/>
    <cellStyle name="常规 9 9 3 2" xfId="576"/>
    <cellStyle name="常规 9 9 4" xfId="577"/>
    <cellStyle name="常规_080520 KG5 rat PK" xfId="578"/>
    <cellStyle name="常规_080727 JNJ-17156516 Rat PK reinjection" xfId="579"/>
    <cellStyle name="常规_080925 JNJ-41462304 rat PK retest 3" xfId="580"/>
    <cellStyle name="常规_PF-05297909-01-0008 3" xfId="581"/>
    <cellStyle name="常规_Report_AF34686 2_LDBK-20111214-RPK02_20111222" xfId="582"/>
    <cellStyle name="常规_result of 01Q675_20100407 (2)" xfId="583"/>
    <cellStyle name="常规_Sheet1_PF-05297909-01-0008" xfId="584"/>
    <cellStyle name="千位分隔 2" xfId="585"/>
    <cellStyle name="千位分隔 2 2" xfId="586"/>
    <cellStyle name="千位分隔 2 2 2" xfId="587"/>
    <cellStyle name="千位分隔 2 3" xfId="588"/>
    <cellStyle name="千位分隔 2 3 2" xfId="589"/>
    <cellStyle name="千位分隔 2 4" xfId="590"/>
    <cellStyle name="千位分隔 2 4 2" xfId="591"/>
    <cellStyle name="千位分隔 2 5" xfId="592"/>
    <cellStyle name="千位分隔 2 5 2" xfId="593"/>
    <cellStyle name="千位分隔 2 6" xfId="594"/>
    <cellStyle name="千位分隔 3" xfId="595"/>
    <cellStyle name="千位分隔 3 2" xfId="596"/>
    <cellStyle name="千位分隔 3 2 2" xfId="597"/>
    <cellStyle name="千位分隔 3 3" xfId="598"/>
    <cellStyle name="千位分隔 4" xfId="599"/>
    <cellStyle name="千位分隔 4 2" xfId="600"/>
    <cellStyle name="注释 2" xfId="601"/>
  </cellStyles>
  <dxfs count="1">
    <dxf>
      <fill>
        <patternFill patternType="solid">
          <bgColor indexed="45"/>
        </patternFill>
      </fill>
    </dxf>
  </dxf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506118324791"/>
          <c:y val="0.0266286297608036"/>
          <c:w val="0.684885549748688"/>
          <c:h val="0.7977454089359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0</c:formatCode>
                <c:ptCount val="9"/>
                <c:pt idx="0">
                  <c:v>312</c:v>
                </c:pt>
                <c:pt idx="1">
                  <c:v>207</c:v>
                </c:pt>
                <c:pt idx="2" c:formatCode="0.0">
                  <c:v>46.1</c:v>
                </c:pt>
                <c:pt idx="3" c:formatCode="0.0">
                  <c:v>12.4</c:v>
                </c:pt>
                <c:pt idx="4" c:formatCode="0.00">
                  <c:v>4.77</c:v>
                </c:pt>
                <c:pt idx="5" c:formatCode="0.0">
                  <c:v>0</c:v>
                </c:pt>
                <c:pt idx="6" c:formatCode="0.0">
                  <c:v>0</c:v>
                </c:pt>
                <c:pt idx="7" c:formatCode="0.00">
                  <c:v>0</c:v>
                </c:pt>
                <c:pt idx="8" c:formatCode="0.00">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0</c:formatCode>
                <c:ptCount val="9"/>
                <c:pt idx="0">
                  <c:v>496</c:v>
                </c:pt>
                <c:pt idx="1">
                  <c:v>338</c:v>
                </c:pt>
                <c:pt idx="2">
                  <c:v>192</c:v>
                </c:pt>
                <c:pt idx="3" c:formatCode="0.0">
                  <c:v>27.3</c:v>
                </c:pt>
                <c:pt idx="4" c:formatCode="0.0">
                  <c:v>12.4</c:v>
                </c:pt>
                <c:pt idx="5" c:formatCode="0.00">
                  <c:v>7.04</c:v>
                </c:pt>
                <c:pt idx="6" c:formatCode="0.0">
                  <c:v>0</c:v>
                </c:pt>
                <c:pt idx="7" c:formatCode="0.00">
                  <c:v>0</c:v>
                </c:pt>
                <c:pt idx="8">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0</c:formatCode>
                <c:ptCount val="9"/>
                <c:pt idx="0">
                  <c:v>424</c:v>
                </c:pt>
                <c:pt idx="1">
                  <c:v>339</c:v>
                </c:pt>
                <c:pt idx="2">
                  <c:v>127</c:v>
                </c:pt>
                <c:pt idx="3" c:formatCode="0.00">
                  <c:v>8.67</c:v>
                </c:pt>
                <c:pt idx="4" c:formatCode="0.00">
                  <c:v>4.52</c:v>
                </c:pt>
                <c:pt idx="5" c:formatCode="0.0">
                  <c:v>0</c:v>
                </c:pt>
                <c:pt idx="6" c:formatCode="0.00">
                  <c:v>0</c:v>
                </c:pt>
                <c:pt idx="7" c:formatCode="0.00">
                  <c:v>0</c:v>
                </c:pt>
                <c:pt idx="8">
                  <c:v>0</c:v>
                </c:pt>
              </c:numCache>
            </c:numRef>
          </c:yVal>
          <c:smooth val="0"/>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50016"/>
        <c:crosses val="autoZero"/>
        <c:crossBetween val="midCat"/>
        <c:majorUnit val="2"/>
      </c:valAx>
      <c:valAx>
        <c:axId val="1009500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338472122123597"/>
              <c:y val="0.283925184688458"/>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35552"/>
        <c:crosses val="autoZero"/>
        <c:crossBetween val="midCat"/>
        <c:majorUnit val="10"/>
      </c:valAx>
      <c:spPr>
        <a:noFill/>
        <a:ln>
          <a:noFill/>
        </a:ln>
        <a:effectLst/>
      </c:spPr>
    </c:plotArea>
    <c:legend>
      <c:legendPos val="r"/>
      <c:layout>
        <c:manualLayout>
          <c:xMode val="edge"/>
          <c:yMode val="edge"/>
          <c:x val="0.824579837338357"/>
          <c:y val="0.101219442923902"/>
          <c:w val="0.120874402839218"/>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150714470678"/>
          <c:y val="0.0431231534909535"/>
          <c:w val="0.796132135407662"/>
          <c:h val="0.782803153145228"/>
        </c:manualLayout>
      </c:layout>
      <c:scatterChart>
        <c:scatterStyle val="lineMarker"/>
        <c:varyColors val="0"/>
        <c:ser>
          <c:idx val="0"/>
          <c:order val="0"/>
          <c:tx>
            <c:strRef>
              <c:f>结果汇总!$G$7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c:formatCode>
                <c:ptCount val="9"/>
                <c:pt idx="0">
                  <c:v>410.666666666667</c:v>
                </c:pt>
                <c:pt idx="1">
                  <c:v>294.666666666667</c:v>
                </c:pt>
                <c:pt idx="2">
                  <c:v>121.7</c:v>
                </c:pt>
                <c:pt idx="3" c:formatCode="0.0">
                  <c:v>16.1233333333333</c:v>
                </c:pt>
                <c:pt idx="4" c:formatCode="0.00">
                  <c:v>7.23</c:v>
                </c:pt>
                <c:pt idx="5" c:formatCode="0.00">
                  <c:v>7.04</c:v>
                </c:pt>
                <c:pt idx="6">
                  <c:v>0</c:v>
                </c:pt>
                <c:pt idx="7">
                  <c:v>0</c:v>
                </c:pt>
                <c:pt idx="8" c:formatCode="0.00">
                  <c:v>0</c:v>
                </c:pt>
              </c:numCache>
            </c:numRef>
          </c:yVal>
          <c:smooth val="0"/>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7216"/>
        <c:crosses val="autoZero"/>
        <c:crossBetween val="midCat"/>
        <c:majorUnit val="2"/>
      </c:valAx>
      <c:valAx>
        <c:axId val="1436572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197517244525571"/>
              <c:y val="0.2972852169076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5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112797</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7035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112395</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7035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6" name="图片 5"/>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7" name="图片 6"/>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8" name="图片 7"/>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9" name="图片 8"/>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71437</xdr:colOff>
      <xdr:row>16</xdr:row>
      <xdr:rowOff>164306</xdr:rowOff>
    </xdr:from>
    <xdr:to>
      <xdr:col>4</xdr:col>
      <xdr:colOff>538162</xdr:colOff>
      <xdr:row>31</xdr:row>
      <xdr:rowOff>50006</xdr:rowOff>
    </xdr:to>
    <xdr:graphicFrame>
      <xdr:nvGraphicFramePr>
        <xdr:cNvPr id="8" name="图表 7"/>
        <xdr:cNvGraphicFramePr/>
      </xdr:nvGraphicFramePr>
      <xdr:xfrm>
        <a:off x="333375" y="3262630"/>
        <a:ext cx="3375025" cy="3098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635793</xdr:colOff>
      <xdr:row>16</xdr:row>
      <xdr:rowOff>200025</xdr:rowOff>
    </xdr:from>
    <xdr:to>
      <xdr:col>9</xdr:col>
      <xdr:colOff>419100</xdr:colOff>
      <xdr:row>31</xdr:row>
      <xdr:rowOff>85725</xdr:rowOff>
    </xdr:to>
    <xdr:graphicFrame>
      <xdr:nvGraphicFramePr>
        <xdr:cNvPr id="9" name="图表 8"/>
        <xdr:cNvGraphicFramePr/>
      </xdr:nvGraphicFramePr>
      <xdr:xfrm>
        <a:off x="3806190" y="3276600"/>
        <a:ext cx="3539490" cy="31210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245110</xdr:colOff>
      <xdr:row>80</xdr:row>
      <xdr:rowOff>71755</xdr:rowOff>
    </xdr:from>
    <xdr:to>
      <xdr:col>7</xdr:col>
      <xdr:colOff>0</xdr:colOff>
      <xdr:row>112</xdr:row>
      <xdr:rowOff>62230</xdr:rowOff>
    </xdr:to>
    <xdr:pic>
      <xdr:nvPicPr>
        <xdr:cNvPr id="2" name="图片 1"/>
        <xdr:cNvPicPr>
          <a:picLocks noChangeAspect="1"/>
        </xdr:cNvPicPr>
      </xdr:nvPicPr>
      <xdr:blipFill>
        <a:blip r:embed="rId1"/>
        <a:stretch>
          <a:fillRect/>
        </a:stretch>
      </xdr:blipFill>
      <xdr:spPr>
        <a:xfrm>
          <a:off x="472440" y="15594330"/>
          <a:ext cx="9001760" cy="568007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X93"/>
  <sheetViews>
    <sheetView zoomScale="80" zoomScaleNormal="80" workbookViewId="0">
      <selection activeCell="IW25" sqref="IW25"/>
    </sheetView>
  </sheetViews>
  <sheetFormatPr defaultColWidth="0" defaultRowHeight="15.5"/>
  <cols>
    <col min="1" max="1" width="20.8727272727273" style="475" customWidth="1"/>
    <col min="2" max="2" width="32" style="475" customWidth="1"/>
    <col min="3" max="8" width="0" style="476" hidden="1"/>
    <col min="9" max="255" width="9" style="476" hidden="1"/>
    <col min="256" max="256" width="20" style="476" hidden="1" customWidth="1"/>
    <col min="257" max="257" width="66.3727272727273" style="476" customWidth="1"/>
    <col min="258" max="258" width="65" style="476" customWidth="1"/>
    <col min="259" max="512" width="9" style="476" hidden="1"/>
    <col min="513" max="513" width="33.3727272727273" style="476" customWidth="1"/>
    <col min="514" max="514" width="65" style="476" customWidth="1"/>
    <col min="515" max="768" width="9" style="476" hidden="1"/>
    <col min="769" max="769" width="33.3727272727273" style="476" customWidth="1"/>
    <col min="770" max="770" width="65" style="476" customWidth="1"/>
    <col min="771" max="1024" width="9" style="476" hidden="1"/>
    <col min="1025" max="1025" width="33.3727272727273" style="476" customWidth="1"/>
    <col min="1026" max="1026" width="65" style="476" customWidth="1"/>
    <col min="1027" max="1280" width="9" style="476" hidden="1"/>
    <col min="1281" max="1281" width="33.3727272727273" style="476" customWidth="1"/>
    <col min="1282" max="1282" width="65" style="476" customWidth="1"/>
    <col min="1283" max="1536" width="9" style="476" hidden="1"/>
    <col min="1537" max="1537" width="33.3727272727273" style="476" customWidth="1"/>
    <col min="1538" max="1538" width="65" style="476" customWidth="1"/>
    <col min="1539" max="1792" width="9" style="476" hidden="1"/>
    <col min="1793" max="1793" width="33.3727272727273" style="476" customWidth="1"/>
    <col min="1794" max="1794" width="65" style="476" customWidth="1"/>
    <col min="1795" max="2048" width="9" style="476" hidden="1"/>
    <col min="2049" max="2049" width="33.3727272727273" style="476" customWidth="1"/>
    <col min="2050" max="2050" width="65" style="476" customWidth="1"/>
    <col min="2051" max="2304" width="9" style="476" hidden="1"/>
    <col min="2305" max="2305" width="33.3727272727273" style="476" customWidth="1"/>
    <col min="2306" max="2306" width="65" style="476" customWidth="1"/>
    <col min="2307" max="2560" width="9" style="476" hidden="1"/>
    <col min="2561" max="2561" width="33.3727272727273" style="476" customWidth="1"/>
    <col min="2562" max="2562" width="65" style="476" customWidth="1"/>
    <col min="2563" max="2816" width="9" style="476" hidden="1"/>
    <col min="2817" max="2817" width="33.3727272727273" style="476" customWidth="1"/>
    <col min="2818" max="2818" width="65" style="476" customWidth="1"/>
    <col min="2819" max="3072" width="9" style="476" hidden="1"/>
    <col min="3073" max="3073" width="33.3727272727273" style="476" customWidth="1"/>
    <col min="3074" max="3074" width="65" style="476" customWidth="1"/>
    <col min="3075" max="3328" width="9" style="476" hidden="1"/>
    <col min="3329" max="3329" width="33.3727272727273" style="476" customWidth="1"/>
    <col min="3330" max="3330" width="65" style="476" customWidth="1"/>
    <col min="3331" max="3584" width="9" style="476" hidden="1"/>
    <col min="3585" max="3585" width="33.3727272727273" style="476" customWidth="1"/>
    <col min="3586" max="3586" width="65" style="476" customWidth="1"/>
    <col min="3587" max="3840" width="9" style="476" hidden="1"/>
    <col min="3841" max="3841" width="33.3727272727273" style="476" customWidth="1"/>
    <col min="3842" max="3842" width="65" style="476" customWidth="1"/>
    <col min="3843" max="4096" width="9" style="476" hidden="1"/>
    <col min="4097" max="4097" width="33.3727272727273" style="476" customWidth="1"/>
    <col min="4098" max="4098" width="65" style="476" customWidth="1"/>
    <col min="4099" max="4352" width="9" style="476" hidden="1"/>
    <col min="4353" max="4353" width="33.3727272727273" style="476" customWidth="1"/>
    <col min="4354" max="4354" width="65" style="476" customWidth="1"/>
    <col min="4355" max="4608" width="9" style="476" hidden="1"/>
    <col min="4609" max="4609" width="33.3727272727273" style="476" customWidth="1"/>
    <col min="4610" max="4610" width="65" style="476" customWidth="1"/>
    <col min="4611" max="4864" width="9" style="476" hidden="1"/>
    <col min="4865" max="4865" width="33.3727272727273" style="476" customWidth="1"/>
    <col min="4866" max="4866" width="65" style="476" customWidth="1"/>
    <col min="4867" max="5120" width="9" style="476" hidden="1"/>
    <col min="5121" max="5121" width="33.3727272727273" style="476" customWidth="1"/>
    <col min="5122" max="5122" width="65" style="476" customWidth="1"/>
    <col min="5123" max="5376" width="9" style="476" hidden="1"/>
    <col min="5377" max="5377" width="33.3727272727273" style="476" customWidth="1"/>
    <col min="5378" max="5378" width="65" style="476" customWidth="1"/>
    <col min="5379" max="5632" width="9" style="476" hidden="1"/>
    <col min="5633" max="5633" width="33.3727272727273" style="476" customWidth="1"/>
    <col min="5634" max="5634" width="65" style="476" customWidth="1"/>
    <col min="5635" max="5888" width="9" style="476" hidden="1"/>
    <col min="5889" max="5889" width="33.3727272727273" style="476" customWidth="1"/>
    <col min="5890" max="5890" width="65" style="476" customWidth="1"/>
    <col min="5891" max="6144" width="9" style="476" hidden="1"/>
    <col min="6145" max="6145" width="33.3727272727273" style="476" customWidth="1"/>
    <col min="6146" max="6146" width="65" style="476" customWidth="1"/>
    <col min="6147" max="6400" width="9" style="476" hidden="1"/>
    <col min="6401" max="6401" width="33.3727272727273" style="476" customWidth="1"/>
    <col min="6402" max="6402" width="65" style="476" customWidth="1"/>
    <col min="6403" max="6656" width="9" style="476" hidden="1"/>
    <col min="6657" max="6657" width="33.3727272727273" style="476" customWidth="1"/>
    <col min="6658" max="6658" width="65" style="476" customWidth="1"/>
    <col min="6659" max="6912" width="9" style="476" hidden="1"/>
    <col min="6913" max="6913" width="33.3727272727273" style="476" customWidth="1"/>
    <col min="6914" max="6914" width="65" style="476" customWidth="1"/>
    <col min="6915" max="7168" width="9" style="476" hidden="1"/>
    <col min="7169" max="7169" width="33.3727272727273" style="476" customWidth="1"/>
    <col min="7170" max="7170" width="65" style="476" customWidth="1"/>
    <col min="7171" max="7424" width="9" style="476" hidden="1"/>
    <col min="7425" max="7425" width="33.3727272727273" style="476" customWidth="1"/>
    <col min="7426" max="7426" width="65" style="476" customWidth="1"/>
    <col min="7427" max="7680" width="9" style="476" hidden="1"/>
    <col min="7681" max="7681" width="33.3727272727273" style="476" customWidth="1"/>
    <col min="7682" max="7682" width="65" style="476" customWidth="1"/>
    <col min="7683" max="7936" width="9" style="476" hidden="1"/>
    <col min="7937" max="7937" width="33.3727272727273" style="476" customWidth="1"/>
    <col min="7938" max="7938" width="65" style="476" customWidth="1"/>
    <col min="7939" max="8192" width="9" style="476" hidden="1"/>
    <col min="8193" max="8193" width="33.3727272727273" style="476" customWidth="1"/>
    <col min="8194" max="8194" width="65" style="476" customWidth="1"/>
    <col min="8195" max="8448" width="9" style="476" hidden="1"/>
    <col min="8449" max="8449" width="33.3727272727273" style="476" customWidth="1"/>
    <col min="8450" max="8450" width="65" style="476" customWidth="1"/>
    <col min="8451" max="8704" width="9" style="476" hidden="1"/>
    <col min="8705" max="8705" width="33.3727272727273" style="476" customWidth="1"/>
    <col min="8706" max="8706" width="65" style="476" customWidth="1"/>
    <col min="8707" max="8960" width="9" style="476" hidden="1"/>
    <col min="8961" max="8961" width="33.3727272727273" style="476" customWidth="1"/>
    <col min="8962" max="8962" width="65" style="476" customWidth="1"/>
    <col min="8963" max="9216" width="9" style="476" hidden="1"/>
    <col min="9217" max="9217" width="33.3727272727273" style="476" customWidth="1"/>
    <col min="9218" max="9218" width="65" style="476" customWidth="1"/>
    <col min="9219" max="9472" width="9" style="476" hidden="1"/>
    <col min="9473" max="9473" width="33.3727272727273" style="476" customWidth="1"/>
    <col min="9474" max="9474" width="65" style="476" customWidth="1"/>
    <col min="9475" max="9728" width="9" style="476" hidden="1"/>
    <col min="9729" max="9729" width="33.3727272727273" style="476" customWidth="1"/>
    <col min="9730" max="9730" width="65" style="476" customWidth="1"/>
    <col min="9731" max="9984" width="9" style="476" hidden="1"/>
    <col min="9985" max="9985" width="33.3727272727273" style="476" customWidth="1"/>
    <col min="9986" max="9986" width="65" style="476" customWidth="1"/>
    <col min="9987" max="10240" width="9" style="476" hidden="1"/>
    <col min="10241" max="10241" width="33.3727272727273" style="476" customWidth="1"/>
    <col min="10242" max="10242" width="65" style="476" customWidth="1"/>
    <col min="10243" max="10496" width="9" style="476" hidden="1"/>
    <col min="10497" max="10497" width="33.3727272727273" style="476" customWidth="1"/>
    <col min="10498" max="10498" width="65" style="476" customWidth="1"/>
    <col min="10499" max="10752" width="9" style="476" hidden="1"/>
    <col min="10753" max="10753" width="33.3727272727273" style="476" customWidth="1"/>
    <col min="10754" max="10754" width="65" style="476" customWidth="1"/>
    <col min="10755" max="11008" width="9" style="476" hidden="1"/>
    <col min="11009" max="11009" width="33.3727272727273" style="476" customWidth="1"/>
    <col min="11010" max="11010" width="65" style="476" customWidth="1"/>
    <col min="11011" max="11264" width="9" style="476" hidden="1"/>
    <col min="11265" max="11265" width="33.3727272727273" style="476" customWidth="1"/>
    <col min="11266" max="11266" width="65" style="476" customWidth="1"/>
    <col min="11267" max="11520" width="9" style="476" hidden="1"/>
    <col min="11521" max="11521" width="33.3727272727273" style="476" customWidth="1"/>
    <col min="11522" max="11522" width="65" style="476" customWidth="1"/>
    <col min="11523" max="11776" width="9" style="476" hidden="1"/>
    <col min="11777" max="11777" width="33.3727272727273" style="476" customWidth="1"/>
    <col min="11778" max="11778" width="65" style="476" customWidth="1"/>
    <col min="11779" max="12032" width="9" style="476" hidden="1"/>
    <col min="12033" max="12033" width="33.3727272727273" style="476" customWidth="1"/>
    <col min="12034" max="12034" width="65" style="476" customWidth="1"/>
    <col min="12035" max="12288" width="9" style="476" hidden="1"/>
    <col min="12289" max="12289" width="33.3727272727273" style="476" customWidth="1"/>
    <col min="12290" max="12290" width="65" style="476" customWidth="1"/>
    <col min="12291" max="12544" width="9" style="476" hidden="1"/>
    <col min="12545" max="12545" width="33.3727272727273" style="476" customWidth="1"/>
    <col min="12546" max="12546" width="65" style="476" customWidth="1"/>
    <col min="12547" max="12800" width="9" style="476" hidden="1"/>
    <col min="12801" max="12801" width="33.3727272727273" style="476" customWidth="1"/>
    <col min="12802" max="12802" width="65" style="476" customWidth="1"/>
    <col min="12803" max="13056" width="9" style="476" hidden="1"/>
    <col min="13057" max="13057" width="33.3727272727273" style="476" customWidth="1"/>
    <col min="13058" max="13058" width="65" style="476" customWidth="1"/>
    <col min="13059" max="13312" width="9" style="476" hidden="1"/>
    <col min="13313" max="13313" width="33.3727272727273" style="476" customWidth="1"/>
    <col min="13314" max="13314" width="65" style="476" customWidth="1"/>
    <col min="13315" max="13568" width="9" style="476" hidden="1"/>
    <col min="13569" max="13569" width="33.3727272727273" style="476" customWidth="1"/>
    <col min="13570" max="13570" width="65" style="476" customWidth="1"/>
    <col min="13571" max="13824" width="9" style="476" hidden="1"/>
    <col min="13825" max="13825" width="33.3727272727273" style="476" customWidth="1"/>
    <col min="13826" max="13826" width="65" style="476" customWidth="1"/>
    <col min="13827" max="14080" width="9" style="476" hidden="1"/>
    <col min="14081" max="14081" width="33.3727272727273" style="476" customWidth="1"/>
    <col min="14082" max="14082" width="65" style="476" customWidth="1"/>
    <col min="14083" max="14336" width="9" style="476" hidden="1"/>
    <col min="14337" max="14337" width="33.3727272727273" style="476" customWidth="1"/>
    <col min="14338" max="14338" width="65" style="476" customWidth="1"/>
    <col min="14339" max="14592" width="9" style="476" hidden="1"/>
    <col min="14593" max="14593" width="33.3727272727273" style="476" customWidth="1"/>
    <col min="14594" max="14594" width="65" style="476" customWidth="1"/>
    <col min="14595" max="14848" width="9" style="476" hidden="1"/>
    <col min="14849" max="14849" width="33.3727272727273" style="476" customWidth="1"/>
    <col min="14850" max="14850" width="65" style="476" customWidth="1"/>
    <col min="14851" max="15104" width="9" style="476" hidden="1"/>
    <col min="15105" max="15105" width="33.3727272727273" style="476" customWidth="1"/>
    <col min="15106" max="15106" width="65" style="476" customWidth="1"/>
    <col min="15107" max="15360" width="9" style="476" hidden="1"/>
    <col min="15361" max="15361" width="33.3727272727273" style="476" customWidth="1"/>
    <col min="15362" max="15362" width="65" style="476" customWidth="1"/>
    <col min="15363" max="15616" width="9" style="476" hidden="1"/>
    <col min="15617" max="15617" width="33.3727272727273" style="476" customWidth="1"/>
    <col min="15618" max="15618" width="65" style="476" customWidth="1"/>
    <col min="15619" max="15872" width="9" style="476" hidden="1"/>
    <col min="15873" max="15873" width="33.3727272727273" style="476" customWidth="1"/>
    <col min="15874" max="15874" width="65" style="476" customWidth="1"/>
    <col min="15875" max="16128" width="9" style="476" hidden="1"/>
    <col min="16129" max="16129" width="33.3727272727273" style="476" customWidth="1"/>
    <col min="16130" max="16130" width="65" style="476" customWidth="1"/>
    <col min="16131" max="16384" width="9" style="476" hidden="1"/>
  </cols>
  <sheetData>
    <row r="1" ht="15.6" customHeight="1" spans="2:257">
      <c r="B1" s="477" t="s">
        <v>0</v>
      </c>
      <c r="C1" s="478"/>
      <c r="D1" s="478"/>
      <c r="E1" s="478"/>
      <c r="F1" s="478"/>
      <c r="G1" s="478"/>
      <c r="H1" s="478"/>
      <c r="I1" s="478"/>
      <c r="J1" s="478"/>
      <c r="K1" s="478"/>
      <c r="L1" s="478"/>
      <c r="M1" s="478"/>
      <c r="N1" s="478"/>
      <c r="O1" s="478"/>
      <c r="P1" s="478"/>
      <c r="Q1" s="478"/>
      <c r="R1" s="478"/>
      <c r="S1" s="478"/>
      <c r="T1" s="478"/>
      <c r="U1" s="478"/>
      <c r="V1" s="478"/>
      <c r="W1" s="478"/>
      <c r="X1" s="478"/>
      <c r="Y1" s="478"/>
      <c r="Z1" s="478"/>
      <c r="AA1" s="478"/>
      <c r="AB1" s="478"/>
      <c r="AC1" s="478"/>
      <c r="AD1" s="478"/>
      <c r="AE1" s="478"/>
      <c r="AF1" s="478"/>
      <c r="AG1" s="478"/>
      <c r="AH1" s="478"/>
      <c r="AI1" s="478"/>
      <c r="AJ1" s="478"/>
      <c r="AK1" s="478"/>
      <c r="AL1" s="478"/>
      <c r="AM1" s="478"/>
      <c r="AN1" s="478"/>
      <c r="AO1" s="478"/>
      <c r="AP1" s="478"/>
      <c r="AQ1" s="478"/>
      <c r="AR1" s="478"/>
      <c r="AS1" s="478"/>
      <c r="AT1" s="478"/>
      <c r="AU1" s="478"/>
      <c r="AV1" s="478"/>
      <c r="AW1" s="478"/>
      <c r="AX1" s="478"/>
      <c r="AY1" s="478"/>
      <c r="AZ1" s="478"/>
      <c r="BA1" s="478"/>
      <c r="BB1" s="478"/>
      <c r="BC1" s="478"/>
      <c r="BD1" s="478"/>
      <c r="BE1" s="478"/>
      <c r="BF1" s="478"/>
      <c r="BG1" s="478"/>
      <c r="BH1" s="478"/>
      <c r="BI1" s="478"/>
      <c r="BJ1" s="478"/>
      <c r="BK1" s="478"/>
      <c r="BL1" s="478"/>
      <c r="BM1" s="478"/>
      <c r="BN1" s="478"/>
      <c r="BO1" s="478"/>
      <c r="BP1" s="478"/>
      <c r="BQ1" s="478"/>
      <c r="BR1" s="478"/>
      <c r="BS1" s="478"/>
      <c r="BT1" s="478"/>
      <c r="BU1" s="478"/>
      <c r="BV1" s="478"/>
      <c r="BW1" s="478"/>
      <c r="BX1" s="478"/>
      <c r="BY1" s="478"/>
      <c r="BZ1" s="478"/>
      <c r="CA1" s="478"/>
      <c r="CB1" s="478"/>
      <c r="CC1" s="478"/>
      <c r="CD1" s="478"/>
      <c r="CE1" s="478"/>
      <c r="CF1" s="478"/>
      <c r="CG1" s="478"/>
      <c r="CH1" s="478"/>
      <c r="CI1" s="478"/>
      <c r="CJ1" s="478"/>
      <c r="CK1" s="478"/>
      <c r="CL1" s="478"/>
      <c r="CM1" s="478"/>
      <c r="CN1" s="478"/>
      <c r="CO1" s="478"/>
      <c r="CP1" s="478"/>
      <c r="CQ1" s="478"/>
      <c r="CR1" s="478"/>
      <c r="CS1" s="478"/>
      <c r="CT1" s="478"/>
      <c r="CU1" s="478"/>
      <c r="CV1" s="478"/>
      <c r="CW1" s="478"/>
      <c r="CX1" s="478"/>
      <c r="CY1" s="478"/>
      <c r="CZ1" s="478"/>
      <c r="DA1" s="478"/>
      <c r="DB1" s="478"/>
      <c r="DC1" s="478"/>
      <c r="DD1" s="478"/>
      <c r="DE1" s="478"/>
      <c r="DF1" s="478"/>
      <c r="DG1" s="478"/>
      <c r="DH1" s="478"/>
      <c r="DI1" s="478"/>
      <c r="DJ1" s="478"/>
      <c r="DK1" s="478"/>
      <c r="DL1" s="478"/>
      <c r="DM1" s="478"/>
      <c r="DN1" s="478"/>
      <c r="DO1" s="478"/>
      <c r="DP1" s="478"/>
      <c r="DQ1" s="478"/>
      <c r="DR1" s="478"/>
      <c r="DS1" s="478"/>
      <c r="DT1" s="478"/>
      <c r="DU1" s="478"/>
      <c r="DV1" s="478"/>
      <c r="DW1" s="478"/>
      <c r="DX1" s="478"/>
      <c r="DY1" s="478"/>
      <c r="DZ1" s="478"/>
      <c r="EA1" s="478"/>
      <c r="EB1" s="478"/>
      <c r="EC1" s="478"/>
      <c r="ED1" s="478"/>
      <c r="EE1" s="478"/>
      <c r="EF1" s="478"/>
      <c r="EG1" s="478"/>
      <c r="EH1" s="478"/>
      <c r="EI1" s="478"/>
      <c r="EJ1" s="478"/>
      <c r="EK1" s="478"/>
      <c r="EL1" s="478"/>
      <c r="EM1" s="478"/>
      <c r="EN1" s="478"/>
      <c r="EO1" s="478"/>
      <c r="EP1" s="478"/>
      <c r="EQ1" s="478"/>
      <c r="ER1" s="478"/>
      <c r="ES1" s="478"/>
      <c r="ET1" s="478"/>
      <c r="EU1" s="478"/>
      <c r="EV1" s="478"/>
      <c r="EW1" s="478"/>
      <c r="EX1" s="478"/>
      <c r="EY1" s="478"/>
      <c r="EZ1" s="478"/>
      <c r="FA1" s="478"/>
      <c r="FB1" s="478"/>
      <c r="FC1" s="478"/>
      <c r="FD1" s="478"/>
      <c r="FE1" s="478"/>
      <c r="FF1" s="478"/>
      <c r="FG1" s="478"/>
      <c r="FH1" s="478"/>
      <c r="FI1" s="478"/>
      <c r="FJ1" s="478"/>
      <c r="FK1" s="478"/>
      <c r="FL1" s="478"/>
      <c r="FM1" s="478"/>
      <c r="FN1" s="478"/>
      <c r="FO1" s="478"/>
      <c r="FP1" s="478"/>
      <c r="FQ1" s="478"/>
      <c r="FR1" s="478"/>
      <c r="FS1" s="478"/>
      <c r="FT1" s="478"/>
      <c r="FU1" s="478"/>
      <c r="FV1" s="478"/>
      <c r="FW1" s="478"/>
      <c r="FX1" s="478"/>
      <c r="FY1" s="478"/>
      <c r="FZ1" s="478"/>
      <c r="GA1" s="478"/>
      <c r="GB1" s="478"/>
      <c r="GC1" s="478"/>
      <c r="GD1" s="478"/>
      <c r="GE1" s="478"/>
      <c r="GF1" s="478"/>
      <c r="GG1" s="478"/>
      <c r="GH1" s="478"/>
      <c r="GI1" s="478"/>
      <c r="GJ1" s="478"/>
      <c r="GK1" s="478"/>
      <c r="GL1" s="478"/>
      <c r="GM1" s="478"/>
      <c r="GN1" s="478"/>
      <c r="GO1" s="478"/>
      <c r="GP1" s="478"/>
      <c r="GQ1" s="478"/>
      <c r="GR1" s="478"/>
      <c r="GS1" s="478"/>
      <c r="GT1" s="478"/>
      <c r="GU1" s="478"/>
      <c r="GV1" s="478"/>
      <c r="GW1" s="478"/>
      <c r="GX1" s="478"/>
      <c r="GY1" s="478"/>
      <c r="GZ1" s="478"/>
      <c r="HA1" s="478"/>
      <c r="HB1" s="478"/>
      <c r="HC1" s="478"/>
      <c r="HD1" s="478"/>
      <c r="HE1" s="478"/>
      <c r="HF1" s="478"/>
      <c r="HG1" s="478"/>
      <c r="HH1" s="478"/>
      <c r="HI1" s="478"/>
      <c r="HJ1" s="478"/>
      <c r="HK1" s="478"/>
      <c r="HL1" s="478"/>
      <c r="HM1" s="478"/>
      <c r="HN1" s="478"/>
      <c r="HO1" s="478"/>
      <c r="HP1" s="478"/>
      <c r="HQ1" s="478"/>
      <c r="HR1" s="478"/>
      <c r="HS1" s="478"/>
      <c r="HT1" s="478"/>
      <c r="HU1" s="478"/>
      <c r="HV1" s="478"/>
      <c r="HW1" s="478"/>
      <c r="HX1" s="478"/>
      <c r="HY1" s="478"/>
      <c r="HZ1" s="478"/>
      <c r="IA1" s="478"/>
      <c r="IB1" s="478"/>
      <c r="IC1" s="478"/>
      <c r="ID1" s="478"/>
      <c r="IE1" s="478"/>
      <c r="IF1" s="478"/>
      <c r="IG1" s="478"/>
      <c r="IH1" s="478"/>
      <c r="II1" s="478"/>
      <c r="IJ1" s="478"/>
      <c r="IK1" s="478"/>
      <c r="IL1" s="478"/>
      <c r="IM1" s="478"/>
      <c r="IN1" s="478"/>
      <c r="IO1" s="478"/>
      <c r="IP1" s="478"/>
      <c r="IQ1" s="478"/>
      <c r="IR1" s="478"/>
      <c r="IS1" s="478"/>
      <c r="IT1" s="478"/>
      <c r="IU1" s="478"/>
      <c r="IV1" s="478"/>
      <c r="IW1" s="478"/>
    </row>
    <row r="2" ht="15.6" customHeight="1" spans="2:257">
      <c r="B2" s="478"/>
      <c r="C2" s="478"/>
      <c r="D2" s="478"/>
      <c r="E2" s="478"/>
      <c r="F2" s="478"/>
      <c r="G2" s="478"/>
      <c r="H2" s="478"/>
      <c r="I2" s="478"/>
      <c r="J2" s="478"/>
      <c r="K2" s="478"/>
      <c r="L2" s="478"/>
      <c r="M2" s="478"/>
      <c r="N2" s="478"/>
      <c r="O2" s="478"/>
      <c r="P2" s="478"/>
      <c r="Q2" s="478"/>
      <c r="R2" s="478"/>
      <c r="S2" s="478"/>
      <c r="T2" s="478"/>
      <c r="U2" s="478"/>
      <c r="V2" s="478"/>
      <c r="W2" s="478"/>
      <c r="X2" s="478"/>
      <c r="Y2" s="478"/>
      <c r="Z2" s="478"/>
      <c r="AA2" s="478"/>
      <c r="AB2" s="478"/>
      <c r="AC2" s="478"/>
      <c r="AD2" s="478"/>
      <c r="AE2" s="478"/>
      <c r="AF2" s="478"/>
      <c r="AG2" s="478"/>
      <c r="AH2" s="478"/>
      <c r="AI2" s="478"/>
      <c r="AJ2" s="478"/>
      <c r="AK2" s="478"/>
      <c r="AL2" s="478"/>
      <c r="AM2" s="478"/>
      <c r="AN2" s="478"/>
      <c r="AO2" s="478"/>
      <c r="AP2" s="478"/>
      <c r="AQ2" s="478"/>
      <c r="AR2" s="478"/>
      <c r="AS2" s="478"/>
      <c r="AT2" s="478"/>
      <c r="AU2" s="478"/>
      <c r="AV2" s="478"/>
      <c r="AW2" s="478"/>
      <c r="AX2" s="478"/>
      <c r="AY2" s="478"/>
      <c r="AZ2" s="478"/>
      <c r="BA2" s="478"/>
      <c r="BB2" s="478"/>
      <c r="BC2" s="478"/>
      <c r="BD2" s="478"/>
      <c r="BE2" s="478"/>
      <c r="BF2" s="478"/>
      <c r="BG2" s="478"/>
      <c r="BH2" s="478"/>
      <c r="BI2" s="478"/>
      <c r="BJ2" s="478"/>
      <c r="BK2" s="478"/>
      <c r="BL2" s="478"/>
      <c r="BM2" s="478"/>
      <c r="BN2" s="478"/>
      <c r="BO2" s="478"/>
      <c r="BP2" s="478"/>
      <c r="BQ2" s="478"/>
      <c r="BR2" s="478"/>
      <c r="BS2" s="478"/>
      <c r="BT2" s="478"/>
      <c r="BU2" s="478"/>
      <c r="BV2" s="478"/>
      <c r="BW2" s="478"/>
      <c r="BX2" s="478"/>
      <c r="BY2" s="478"/>
      <c r="BZ2" s="478"/>
      <c r="CA2" s="478"/>
      <c r="CB2" s="478"/>
      <c r="CC2" s="478"/>
      <c r="CD2" s="478"/>
      <c r="CE2" s="478"/>
      <c r="CF2" s="478"/>
      <c r="CG2" s="478"/>
      <c r="CH2" s="478"/>
      <c r="CI2" s="478"/>
      <c r="CJ2" s="478"/>
      <c r="CK2" s="478"/>
      <c r="CL2" s="478"/>
      <c r="CM2" s="478"/>
      <c r="CN2" s="478"/>
      <c r="CO2" s="478"/>
      <c r="CP2" s="478"/>
      <c r="CQ2" s="478"/>
      <c r="CR2" s="478"/>
      <c r="CS2" s="478"/>
      <c r="CT2" s="478"/>
      <c r="CU2" s="478"/>
      <c r="CV2" s="478"/>
      <c r="CW2" s="478"/>
      <c r="CX2" s="478"/>
      <c r="CY2" s="478"/>
      <c r="CZ2" s="478"/>
      <c r="DA2" s="478"/>
      <c r="DB2" s="478"/>
      <c r="DC2" s="478"/>
      <c r="DD2" s="478"/>
      <c r="DE2" s="478"/>
      <c r="DF2" s="478"/>
      <c r="DG2" s="478"/>
      <c r="DH2" s="478"/>
      <c r="DI2" s="478"/>
      <c r="DJ2" s="478"/>
      <c r="DK2" s="478"/>
      <c r="DL2" s="478"/>
      <c r="DM2" s="478"/>
      <c r="DN2" s="478"/>
      <c r="DO2" s="478"/>
      <c r="DP2" s="478"/>
      <c r="DQ2" s="478"/>
      <c r="DR2" s="478"/>
      <c r="DS2" s="478"/>
      <c r="DT2" s="478"/>
      <c r="DU2" s="478"/>
      <c r="DV2" s="478"/>
      <c r="DW2" s="478"/>
      <c r="DX2" s="478"/>
      <c r="DY2" s="478"/>
      <c r="DZ2" s="478"/>
      <c r="EA2" s="478"/>
      <c r="EB2" s="478"/>
      <c r="EC2" s="478"/>
      <c r="ED2" s="478"/>
      <c r="EE2" s="478"/>
      <c r="EF2" s="478"/>
      <c r="EG2" s="478"/>
      <c r="EH2" s="478"/>
      <c r="EI2" s="478"/>
      <c r="EJ2" s="478"/>
      <c r="EK2" s="478"/>
      <c r="EL2" s="478"/>
      <c r="EM2" s="478"/>
      <c r="EN2" s="478"/>
      <c r="EO2" s="478"/>
      <c r="EP2" s="478"/>
      <c r="EQ2" s="478"/>
      <c r="ER2" s="478"/>
      <c r="ES2" s="478"/>
      <c r="ET2" s="478"/>
      <c r="EU2" s="478"/>
      <c r="EV2" s="478"/>
      <c r="EW2" s="478"/>
      <c r="EX2" s="478"/>
      <c r="EY2" s="478"/>
      <c r="EZ2" s="478"/>
      <c r="FA2" s="478"/>
      <c r="FB2" s="478"/>
      <c r="FC2" s="478"/>
      <c r="FD2" s="478"/>
      <c r="FE2" s="478"/>
      <c r="FF2" s="478"/>
      <c r="FG2" s="478"/>
      <c r="FH2" s="478"/>
      <c r="FI2" s="478"/>
      <c r="FJ2" s="478"/>
      <c r="FK2" s="478"/>
      <c r="FL2" s="478"/>
      <c r="FM2" s="478"/>
      <c r="FN2" s="478"/>
      <c r="FO2" s="478"/>
      <c r="FP2" s="478"/>
      <c r="FQ2" s="478"/>
      <c r="FR2" s="478"/>
      <c r="FS2" s="478"/>
      <c r="FT2" s="478"/>
      <c r="FU2" s="478"/>
      <c r="FV2" s="478"/>
      <c r="FW2" s="478"/>
      <c r="FX2" s="478"/>
      <c r="FY2" s="478"/>
      <c r="FZ2" s="478"/>
      <c r="GA2" s="478"/>
      <c r="GB2" s="478"/>
      <c r="GC2" s="478"/>
      <c r="GD2" s="478"/>
      <c r="GE2" s="478"/>
      <c r="GF2" s="478"/>
      <c r="GG2" s="478"/>
      <c r="GH2" s="478"/>
      <c r="GI2" s="478"/>
      <c r="GJ2" s="478"/>
      <c r="GK2" s="478"/>
      <c r="GL2" s="478"/>
      <c r="GM2" s="478"/>
      <c r="GN2" s="478"/>
      <c r="GO2" s="478"/>
      <c r="GP2" s="478"/>
      <c r="GQ2" s="478"/>
      <c r="GR2" s="478"/>
      <c r="GS2" s="478"/>
      <c r="GT2" s="478"/>
      <c r="GU2" s="478"/>
      <c r="GV2" s="478"/>
      <c r="GW2" s="478"/>
      <c r="GX2" s="478"/>
      <c r="GY2" s="478"/>
      <c r="GZ2" s="478"/>
      <c r="HA2" s="478"/>
      <c r="HB2" s="478"/>
      <c r="HC2" s="478"/>
      <c r="HD2" s="478"/>
      <c r="HE2" s="478"/>
      <c r="HF2" s="478"/>
      <c r="HG2" s="478"/>
      <c r="HH2" s="478"/>
      <c r="HI2" s="478"/>
      <c r="HJ2" s="478"/>
      <c r="HK2" s="478"/>
      <c r="HL2" s="478"/>
      <c r="HM2" s="478"/>
      <c r="HN2" s="478"/>
      <c r="HO2" s="478"/>
      <c r="HP2" s="478"/>
      <c r="HQ2" s="478"/>
      <c r="HR2" s="478"/>
      <c r="HS2" s="478"/>
      <c r="HT2" s="478"/>
      <c r="HU2" s="478"/>
      <c r="HV2" s="478"/>
      <c r="HW2" s="478"/>
      <c r="HX2" s="478"/>
      <c r="HY2" s="478"/>
      <c r="HZ2" s="478"/>
      <c r="IA2" s="478"/>
      <c r="IB2" s="478"/>
      <c r="IC2" s="478"/>
      <c r="ID2" s="478"/>
      <c r="IE2" s="478"/>
      <c r="IF2" s="478"/>
      <c r="IG2" s="478"/>
      <c r="IH2" s="478"/>
      <c r="II2" s="478"/>
      <c r="IJ2" s="478"/>
      <c r="IK2" s="478"/>
      <c r="IL2" s="478"/>
      <c r="IM2" s="478"/>
      <c r="IN2" s="478"/>
      <c r="IO2" s="478"/>
      <c r="IP2" s="478"/>
      <c r="IQ2" s="478"/>
      <c r="IR2" s="478"/>
      <c r="IS2" s="478"/>
      <c r="IT2" s="478"/>
      <c r="IU2" s="478"/>
      <c r="IV2" s="478"/>
      <c r="IW2" s="478"/>
    </row>
    <row r="3" ht="15.6" customHeight="1" spans="2:257">
      <c r="B3" s="478"/>
      <c r="C3" s="478"/>
      <c r="D3" s="478"/>
      <c r="E3" s="478"/>
      <c r="F3" s="478"/>
      <c r="G3" s="478"/>
      <c r="H3" s="478"/>
      <c r="I3" s="478"/>
      <c r="J3" s="478"/>
      <c r="K3" s="478"/>
      <c r="L3" s="478"/>
      <c r="M3" s="478"/>
      <c r="N3" s="478"/>
      <c r="O3" s="478"/>
      <c r="P3" s="478"/>
      <c r="Q3" s="478"/>
      <c r="R3" s="478"/>
      <c r="S3" s="478"/>
      <c r="T3" s="478"/>
      <c r="U3" s="478"/>
      <c r="V3" s="478"/>
      <c r="W3" s="478"/>
      <c r="X3" s="478"/>
      <c r="Y3" s="478"/>
      <c r="Z3" s="478"/>
      <c r="AA3" s="478"/>
      <c r="AB3" s="478"/>
      <c r="AC3" s="478"/>
      <c r="AD3" s="478"/>
      <c r="AE3" s="478"/>
      <c r="AF3" s="478"/>
      <c r="AG3" s="478"/>
      <c r="AH3" s="478"/>
      <c r="AI3" s="478"/>
      <c r="AJ3" s="478"/>
      <c r="AK3" s="478"/>
      <c r="AL3" s="478"/>
      <c r="AM3" s="478"/>
      <c r="AN3" s="478"/>
      <c r="AO3" s="478"/>
      <c r="AP3" s="478"/>
      <c r="AQ3" s="478"/>
      <c r="AR3" s="478"/>
      <c r="AS3" s="478"/>
      <c r="AT3" s="478"/>
      <c r="AU3" s="478"/>
      <c r="AV3" s="478"/>
      <c r="AW3" s="478"/>
      <c r="AX3" s="478"/>
      <c r="AY3" s="478"/>
      <c r="AZ3" s="478"/>
      <c r="BA3" s="478"/>
      <c r="BB3" s="478"/>
      <c r="BC3" s="478"/>
      <c r="BD3" s="478"/>
      <c r="BE3" s="478"/>
      <c r="BF3" s="478"/>
      <c r="BG3" s="478"/>
      <c r="BH3" s="478"/>
      <c r="BI3" s="478"/>
      <c r="BJ3" s="478"/>
      <c r="BK3" s="478"/>
      <c r="BL3" s="478"/>
      <c r="BM3" s="478"/>
      <c r="BN3" s="478"/>
      <c r="BO3" s="478"/>
      <c r="BP3" s="478"/>
      <c r="BQ3" s="478"/>
      <c r="BR3" s="478"/>
      <c r="BS3" s="478"/>
      <c r="BT3" s="478"/>
      <c r="BU3" s="478"/>
      <c r="BV3" s="478"/>
      <c r="BW3" s="478"/>
      <c r="BX3" s="478"/>
      <c r="BY3" s="478"/>
      <c r="BZ3" s="478"/>
      <c r="CA3" s="478"/>
      <c r="CB3" s="478"/>
      <c r="CC3" s="478"/>
      <c r="CD3" s="478"/>
      <c r="CE3" s="478"/>
      <c r="CF3" s="478"/>
      <c r="CG3" s="478"/>
      <c r="CH3" s="478"/>
      <c r="CI3" s="478"/>
      <c r="CJ3" s="478"/>
      <c r="CK3" s="478"/>
      <c r="CL3" s="478"/>
      <c r="CM3" s="478"/>
      <c r="CN3" s="478"/>
      <c r="CO3" s="478"/>
      <c r="CP3" s="478"/>
      <c r="CQ3" s="478"/>
      <c r="CR3" s="478"/>
      <c r="CS3" s="478"/>
      <c r="CT3" s="478"/>
      <c r="CU3" s="478"/>
      <c r="CV3" s="478"/>
      <c r="CW3" s="478"/>
      <c r="CX3" s="478"/>
      <c r="CY3" s="478"/>
      <c r="CZ3" s="478"/>
      <c r="DA3" s="478"/>
      <c r="DB3" s="478"/>
      <c r="DC3" s="478"/>
      <c r="DD3" s="478"/>
      <c r="DE3" s="478"/>
      <c r="DF3" s="478"/>
      <c r="DG3" s="478"/>
      <c r="DH3" s="478"/>
      <c r="DI3" s="478"/>
      <c r="DJ3" s="478"/>
      <c r="DK3" s="478"/>
      <c r="DL3" s="478"/>
      <c r="DM3" s="478"/>
      <c r="DN3" s="478"/>
      <c r="DO3" s="478"/>
      <c r="DP3" s="478"/>
      <c r="DQ3" s="478"/>
      <c r="DR3" s="478"/>
      <c r="DS3" s="478"/>
      <c r="DT3" s="478"/>
      <c r="DU3" s="478"/>
      <c r="DV3" s="478"/>
      <c r="DW3" s="478"/>
      <c r="DX3" s="478"/>
      <c r="DY3" s="478"/>
      <c r="DZ3" s="478"/>
      <c r="EA3" s="478"/>
      <c r="EB3" s="478"/>
      <c r="EC3" s="478"/>
      <c r="ED3" s="478"/>
      <c r="EE3" s="478"/>
      <c r="EF3" s="478"/>
      <c r="EG3" s="478"/>
      <c r="EH3" s="478"/>
      <c r="EI3" s="478"/>
      <c r="EJ3" s="478"/>
      <c r="EK3" s="478"/>
      <c r="EL3" s="478"/>
      <c r="EM3" s="478"/>
      <c r="EN3" s="478"/>
      <c r="EO3" s="478"/>
      <c r="EP3" s="478"/>
      <c r="EQ3" s="478"/>
      <c r="ER3" s="478"/>
      <c r="ES3" s="478"/>
      <c r="ET3" s="478"/>
      <c r="EU3" s="478"/>
      <c r="EV3" s="478"/>
      <c r="EW3" s="478"/>
      <c r="EX3" s="478"/>
      <c r="EY3" s="478"/>
      <c r="EZ3" s="478"/>
      <c r="FA3" s="478"/>
      <c r="FB3" s="478"/>
      <c r="FC3" s="478"/>
      <c r="FD3" s="478"/>
      <c r="FE3" s="478"/>
      <c r="FF3" s="478"/>
      <c r="FG3" s="478"/>
      <c r="FH3" s="478"/>
      <c r="FI3" s="478"/>
      <c r="FJ3" s="478"/>
      <c r="FK3" s="478"/>
      <c r="FL3" s="478"/>
      <c r="FM3" s="478"/>
      <c r="FN3" s="478"/>
      <c r="FO3" s="478"/>
      <c r="FP3" s="478"/>
      <c r="FQ3" s="478"/>
      <c r="FR3" s="478"/>
      <c r="FS3" s="478"/>
      <c r="FT3" s="478"/>
      <c r="FU3" s="478"/>
      <c r="FV3" s="478"/>
      <c r="FW3" s="478"/>
      <c r="FX3" s="478"/>
      <c r="FY3" s="478"/>
      <c r="FZ3" s="478"/>
      <c r="GA3" s="478"/>
      <c r="GB3" s="478"/>
      <c r="GC3" s="478"/>
      <c r="GD3" s="478"/>
      <c r="GE3" s="478"/>
      <c r="GF3" s="478"/>
      <c r="GG3" s="478"/>
      <c r="GH3" s="478"/>
      <c r="GI3" s="478"/>
      <c r="GJ3" s="478"/>
      <c r="GK3" s="478"/>
      <c r="GL3" s="478"/>
      <c r="GM3" s="478"/>
      <c r="GN3" s="478"/>
      <c r="GO3" s="478"/>
      <c r="GP3" s="478"/>
      <c r="GQ3" s="478"/>
      <c r="GR3" s="478"/>
      <c r="GS3" s="478"/>
      <c r="GT3" s="478"/>
      <c r="GU3" s="478"/>
      <c r="GV3" s="478"/>
      <c r="GW3" s="478"/>
      <c r="GX3" s="478"/>
      <c r="GY3" s="478"/>
      <c r="GZ3" s="478"/>
      <c r="HA3" s="478"/>
      <c r="HB3" s="478"/>
      <c r="HC3" s="478"/>
      <c r="HD3" s="478"/>
      <c r="HE3" s="478"/>
      <c r="HF3" s="478"/>
      <c r="HG3" s="478"/>
      <c r="HH3" s="478"/>
      <c r="HI3" s="478"/>
      <c r="HJ3" s="478"/>
      <c r="HK3" s="478"/>
      <c r="HL3" s="478"/>
      <c r="HM3" s="478"/>
      <c r="HN3" s="478"/>
      <c r="HO3" s="478"/>
      <c r="HP3" s="478"/>
      <c r="HQ3" s="478"/>
      <c r="HR3" s="478"/>
      <c r="HS3" s="478"/>
      <c r="HT3" s="478"/>
      <c r="HU3" s="478"/>
      <c r="HV3" s="478"/>
      <c r="HW3" s="478"/>
      <c r="HX3" s="478"/>
      <c r="HY3" s="478"/>
      <c r="HZ3" s="478"/>
      <c r="IA3" s="478"/>
      <c r="IB3" s="478"/>
      <c r="IC3" s="478"/>
      <c r="ID3" s="478"/>
      <c r="IE3" s="478"/>
      <c r="IF3" s="478"/>
      <c r="IG3" s="478"/>
      <c r="IH3" s="478"/>
      <c r="II3" s="478"/>
      <c r="IJ3" s="478"/>
      <c r="IK3" s="478"/>
      <c r="IL3" s="478"/>
      <c r="IM3" s="478"/>
      <c r="IN3" s="478"/>
      <c r="IO3" s="478"/>
      <c r="IP3" s="478"/>
      <c r="IQ3" s="478"/>
      <c r="IR3" s="478"/>
      <c r="IS3" s="478"/>
      <c r="IT3" s="478"/>
      <c r="IU3" s="478"/>
      <c r="IV3" s="478"/>
      <c r="IW3" s="478"/>
    </row>
    <row r="4" spans="1:2">
      <c r="A4" s="479"/>
      <c r="B4" s="479"/>
    </row>
    <row r="5" spans="1:257">
      <c r="A5" s="480" t="s">
        <v>1</v>
      </c>
      <c r="B5" s="481" t="s">
        <v>2</v>
      </c>
      <c r="C5" s="481"/>
      <c r="D5" s="481"/>
      <c r="E5" s="481"/>
      <c r="F5" s="481"/>
      <c r="G5" s="481"/>
      <c r="H5" s="481"/>
      <c r="I5" s="481"/>
      <c r="J5" s="481"/>
      <c r="K5" s="481"/>
      <c r="L5" s="481"/>
      <c r="M5" s="481"/>
      <c r="N5" s="481"/>
      <c r="O5" s="481"/>
      <c r="P5" s="481"/>
      <c r="Q5" s="481"/>
      <c r="R5" s="481"/>
      <c r="S5" s="481"/>
      <c r="T5" s="481"/>
      <c r="U5" s="481"/>
      <c r="V5" s="481"/>
      <c r="W5" s="481"/>
      <c r="X5" s="481"/>
      <c r="Y5" s="481"/>
      <c r="Z5" s="481"/>
      <c r="AA5" s="481"/>
      <c r="AB5" s="481"/>
      <c r="AC5" s="481"/>
      <c r="AD5" s="481"/>
      <c r="AE5" s="481"/>
      <c r="AF5" s="481"/>
      <c r="AG5" s="481"/>
      <c r="AH5" s="481"/>
      <c r="AI5" s="481"/>
      <c r="AJ5" s="481"/>
      <c r="AK5" s="481"/>
      <c r="AL5" s="481"/>
      <c r="AM5" s="481"/>
      <c r="AN5" s="481"/>
      <c r="AO5" s="481"/>
      <c r="AP5" s="481"/>
      <c r="AQ5" s="481"/>
      <c r="AR5" s="481"/>
      <c r="AS5" s="481"/>
      <c r="AT5" s="481"/>
      <c r="AU5" s="481"/>
      <c r="AV5" s="481"/>
      <c r="AW5" s="481"/>
      <c r="AX5" s="481"/>
      <c r="AY5" s="481"/>
      <c r="AZ5" s="481"/>
      <c r="BA5" s="481"/>
      <c r="BB5" s="481"/>
      <c r="BC5" s="481"/>
      <c r="BD5" s="481"/>
      <c r="BE5" s="481"/>
      <c r="BF5" s="481"/>
      <c r="BG5" s="481"/>
      <c r="BH5" s="481"/>
      <c r="BI5" s="481"/>
      <c r="BJ5" s="481"/>
      <c r="BK5" s="481"/>
      <c r="BL5" s="481"/>
      <c r="BM5" s="481"/>
      <c r="BN5" s="481"/>
      <c r="BO5" s="481"/>
      <c r="BP5" s="481"/>
      <c r="BQ5" s="481"/>
      <c r="BR5" s="481"/>
      <c r="BS5" s="481"/>
      <c r="BT5" s="481"/>
      <c r="BU5" s="481"/>
      <c r="BV5" s="481"/>
      <c r="BW5" s="481"/>
      <c r="BX5" s="481"/>
      <c r="BY5" s="481"/>
      <c r="BZ5" s="481"/>
      <c r="CA5" s="481"/>
      <c r="CB5" s="481"/>
      <c r="CC5" s="481"/>
      <c r="CD5" s="481"/>
      <c r="CE5" s="481"/>
      <c r="CF5" s="481"/>
      <c r="CG5" s="481"/>
      <c r="CH5" s="481"/>
      <c r="CI5" s="481"/>
      <c r="CJ5" s="481"/>
      <c r="CK5" s="481"/>
      <c r="CL5" s="481"/>
      <c r="CM5" s="481"/>
      <c r="CN5" s="481"/>
      <c r="CO5" s="481"/>
      <c r="CP5" s="481"/>
      <c r="CQ5" s="481"/>
      <c r="CR5" s="481"/>
      <c r="CS5" s="481"/>
      <c r="CT5" s="481"/>
      <c r="CU5" s="481"/>
      <c r="CV5" s="481"/>
      <c r="CW5" s="481"/>
      <c r="CX5" s="481"/>
      <c r="CY5" s="481"/>
      <c r="CZ5" s="481"/>
      <c r="DA5" s="481"/>
      <c r="DB5" s="481"/>
      <c r="DC5" s="481"/>
      <c r="DD5" s="481"/>
      <c r="DE5" s="481"/>
      <c r="DF5" s="481"/>
      <c r="DG5" s="481"/>
      <c r="DH5" s="481"/>
      <c r="DI5" s="481"/>
      <c r="DJ5" s="481"/>
      <c r="DK5" s="481"/>
      <c r="DL5" s="481"/>
      <c r="DM5" s="481"/>
      <c r="DN5" s="481"/>
      <c r="DO5" s="481"/>
      <c r="DP5" s="481"/>
      <c r="DQ5" s="481"/>
      <c r="DR5" s="481"/>
      <c r="DS5" s="481"/>
      <c r="DT5" s="481"/>
      <c r="DU5" s="481"/>
      <c r="DV5" s="481"/>
      <c r="DW5" s="481"/>
      <c r="DX5" s="481"/>
      <c r="DY5" s="481"/>
      <c r="DZ5" s="481"/>
      <c r="EA5" s="481"/>
      <c r="EB5" s="481"/>
      <c r="EC5" s="481"/>
      <c r="ED5" s="481"/>
      <c r="EE5" s="481"/>
      <c r="EF5" s="481"/>
      <c r="EG5" s="481"/>
      <c r="EH5" s="481"/>
      <c r="EI5" s="481"/>
      <c r="EJ5" s="481"/>
      <c r="EK5" s="481"/>
      <c r="EL5" s="481"/>
      <c r="EM5" s="481"/>
      <c r="EN5" s="481"/>
      <c r="EO5" s="481"/>
      <c r="EP5" s="481"/>
      <c r="EQ5" s="481"/>
      <c r="ER5" s="481"/>
      <c r="ES5" s="481"/>
      <c r="ET5" s="481"/>
      <c r="EU5" s="481"/>
      <c r="EV5" s="481"/>
      <c r="EW5" s="481"/>
      <c r="EX5" s="481"/>
      <c r="EY5" s="481"/>
      <c r="EZ5" s="481"/>
      <c r="FA5" s="481"/>
      <c r="FB5" s="481"/>
      <c r="FC5" s="481"/>
      <c r="FD5" s="481"/>
      <c r="FE5" s="481"/>
      <c r="FF5" s="481"/>
      <c r="FG5" s="481"/>
      <c r="FH5" s="481"/>
      <c r="FI5" s="481"/>
      <c r="FJ5" s="481"/>
      <c r="FK5" s="481"/>
      <c r="FL5" s="481"/>
      <c r="FM5" s="481"/>
      <c r="FN5" s="481"/>
      <c r="FO5" s="481"/>
      <c r="FP5" s="481"/>
      <c r="FQ5" s="481"/>
      <c r="FR5" s="481"/>
      <c r="FS5" s="481"/>
      <c r="FT5" s="481"/>
      <c r="FU5" s="481"/>
      <c r="FV5" s="481"/>
      <c r="FW5" s="481"/>
      <c r="FX5" s="481"/>
      <c r="FY5" s="481"/>
      <c r="FZ5" s="481"/>
      <c r="GA5" s="481"/>
      <c r="GB5" s="481"/>
      <c r="GC5" s="481"/>
      <c r="GD5" s="481"/>
      <c r="GE5" s="481"/>
      <c r="GF5" s="481"/>
      <c r="GG5" s="481"/>
      <c r="GH5" s="481"/>
      <c r="GI5" s="481"/>
      <c r="GJ5" s="481"/>
      <c r="GK5" s="481"/>
      <c r="GL5" s="481"/>
      <c r="GM5" s="481"/>
      <c r="GN5" s="481"/>
      <c r="GO5" s="481"/>
      <c r="GP5" s="481"/>
      <c r="GQ5" s="481"/>
      <c r="GR5" s="481"/>
      <c r="GS5" s="481"/>
      <c r="GT5" s="481"/>
      <c r="GU5" s="481"/>
      <c r="GV5" s="481"/>
      <c r="GW5" s="481"/>
      <c r="GX5" s="481"/>
      <c r="GY5" s="481"/>
      <c r="GZ5" s="481"/>
      <c r="HA5" s="481"/>
      <c r="HB5" s="481"/>
      <c r="HC5" s="481"/>
      <c r="HD5" s="481"/>
      <c r="HE5" s="481"/>
      <c r="HF5" s="481"/>
      <c r="HG5" s="481"/>
      <c r="HH5" s="481"/>
      <c r="HI5" s="481"/>
      <c r="HJ5" s="481"/>
      <c r="HK5" s="481"/>
      <c r="HL5" s="481"/>
      <c r="HM5" s="481"/>
      <c r="HN5" s="481"/>
      <c r="HO5" s="481"/>
      <c r="HP5" s="481"/>
      <c r="HQ5" s="481"/>
      <c r="HR5" s="481"/>
      <c r="HS5" s="481"/>
      <c r="HT5" s="481"/>
      <c r="HU5" s="481"/>
      <c r="HV5" s="481"/>
      <c r="HW5" s="481"/>
      <c r="HX5" s="481"/>
      <c r="HY5" s="481"/>
      <c r="HZ5" s="481"/>
      <c r="IA5" s="481"/>
      <c r="IB5" s="481"/>
      <c r="IC5" s="481"/>
      <c r="ID5" s="481"/>
      <c r="IE5" s="481"/>
      <c r="IF5" s="481"/>
      <c r="IG5" s="481"/>
      <c r="IH5" s="481"/>
      <c r="II5" s="481"/>
      <c r="IJ5" s="481"/>
      <c r="IK5" s="481"/>
      <c r="IL5" s="481"/>
      <c r="IM5" s="481"/>
      <c r="IN5" s="481"/>
      <c r="IO5" s="481"/>
      <c r="IP5" s="481"/>
      <c r="IQ5" s="481"/>
      <c r="IR5" s="481"/>
      <c r="IS5" s="481"/>
      <c r="IT5" s="481"/>
      <c r="IU5" s="481"/>
      <c r="IV5" s="481"/>
      <c r="IW5" s="481"/>
    </row>
    <row r="6" spans="1:257">
      <c r="A6" s="482"/>
      <c r="B6" s="483"/>
      <c r="C6" s="483"/>
      <c r="D6" s="483"/>
      <c r="E6" s="483"/>
      <c r="F6" s="483"/>
      <c r="G6" s="483"/>
      <c r="H6" s="483"/>
      <c r="I6" s="483"/>
      <c r="J6" s="483"/>
      <c r="K6" s="483"/>
      <c r="L6" s="483"/>
      <c r="M6" s="483"/>
      <c r="N6" s="483"/>
      <c r="O6" s="483"/>
      <c r="P6" s="483"/>
      <c r="Q6" s="483"/>
      <c r="R6" s="483"/>
      <c r="S6" s="483"/>
      <c r="T6" s="483"/>
      <c r="U6" s="483"/>
      <c r="V6" s="483"/>
      <c r="W6" s="483"/>
      <c r="X6" s="483"/>
      <c r="Y6" s="483"/>
      <c r="Z6" s="483"/>
      <c r="AA6" s="483"/>
      <c r="AB6" s="483"/>
      <c r="AC6" s="483"/>
      <c r="AD6" s="483"/>
      <c r="AE6" s="483"/>
      <c r="AF6" s="483"/>
      <c r="AG6" s="483"/>
      <c r="AH6" s="483"/>
      <c r="AI6" s="483"/>
      <c r="AJ6" s="483"/>
      <c r="AK6" s="483"/>
      <c r="AL6" s="483"/>
      <c r="AM6" s="483"/>
      <c r="AN6" s="483"/>
      <c r="AO6" s="483"/>
      <c r="AP6" s="483"/>
      <c r="AQ6" s="483"/>
      <c r="AR6" s="483"/>
      <c r="AS6" s="483"/>
      <c r="AT6" s="483"/>
      <c r="AU6" s="483"/>
      <c r="AV6" s="483"/>
      <c r="AW6" s="483"/>
      <c r="AX6" s="483"/>
      <c r="AY6" s="483"/>
      <c r="AZ6" s="483"/>
      <c r="BA6" s="483"/>
      <c r="BB6" s="483"/>
      <c r="BC6" s="483"/>
      <c r="BD6" s="483"/>
      <c r="BE6" s="483"/>
      <c r="BF6" s="483"/>
      <c r="BG6" s="483"/>
      <c r="BH6" s="483"/>
      <c r="BI6" s="483"/>
      <c r="BJ6" s="483"/>
      <c r="BK6" s="483"/>
      <c r="BL6" s="483"/>
      <c r="BM6" s="483"/>
      <c r="BN6" s="483"/>
      <c r="BO6" s="483"/>
      <c r="BP6" s="483"/>
      <c r="BQ6" s="483"/>
      <c r="BR6" s="483"/>
      <c r="BS6" s="483"/>
      <c r="BT6" s="483"/>
      <c r="BU6" s="483"/>
      <c r="BV6" s="483"/>
      <c r="BW6" s="483"/>
      <c r="BX6" s="483"/>
      <c r="BY6" s="483"/>
      <c r="BZ6" s="483"/>
      <c r="CA6" s="483"/>
      <c r="CB6" s="483"/>
      <c r="CC6" s="483"/>
      <c r="CD6" s="483"/>
      <c r="CE6" s="483"/>
      <c r="CF6" s="483"/>
      <c r="CG6" s="483"/>
      <c r="CH6" s="483"/>
      <c r="CI6" s="483"/>
      <c r="CJ6" s="483"/>
      <c r="CK6" s="483"/>
      <c r="CL6" s="483"/>
      <c r="CM6" s="483"/>
      <c r="CN6" s="483"/>
      <c r="CO6" s="483"/>
      <c r="CP6" s="483"/>
      <c r="CQ6" s="483"/>
      <c r="CR6" s="483"/>
      <c r="CS6" s="483"/>
      <c r="CT6" s="483"/>
      <c r="CU6" s="483"/>
      <c r="CV6" s="483"/>
      <c r="CW6" s="483"/>
      <c r="CX6" s="483"/>
      <c r="CY6" s="483"/>
      <c r="CZ6" s="483"/>
      <c r="DA6" s="483"/>
      <c r="DB6" s="483"/>
      <c r="DC6" s="483"/>
      <c r="DD6" s="483"/>
      <c r="DE6" s="483"/>
      <c r="DF6" s="483"/>
      <c r="DG6" s="483"/>
      <c r="DH6" s="483"/>
      <c r="DI6" s="483"/>
      <c r="DJ6" s="483"/>
      <c r="DK6" s="483"/>
      <c r="DL6" s="483"/>
      <c r="DM6" s="483"/>
      <c r="DN6" s="483"/>
      <c r="DO6" s="483"/>
      <c r="DP6" s="483"/>
      <c r="DQ6" s="483"/>
      <c r="DR6" s="483"/>
      <c r="DS6" s="483"/>
      <c r="DT6" s="483"/>
      <c r="DU6" s="483"/>
      <c r="DV6" s="483"/>
      <c r="DW6" s="483"/>
      <c r="DX6" s="483"/>
      <c r="DY6" s="483"/>
      <c r="DZ6" s="483"/>
      <c r="EA6" s="483"/>
      <c r="EB6" s="483"/>
      <c r="EC6" s="483"/>
      <c r="ED6" s="483"/>
      <c r="EE6" s="483"/>
      <c r="EF6" s="483"/>
      <c r="EG6" s="483"/>
      <c r="EH6" s="483"/>
      <c r="EI6" s="483"/>
      <c r="EJ6" s="483"/>
      <c r="EK6" s="483"/>
      <c r="EL6" s="483"/>
      <c r="EM6" s="483"/>
      <c r="EN6" s="483"/>
      <c r="EO6" s="483"/>
      <c r="EP6" s="483"/>
      <c r="EQ6" s="483"/>
      <c r="ER6" s="483"/>
      <c r="ES6" s="483"/>
      <c r="ET6" s="483"/>
      <c r="EU6" s="483"/>
      <c r="EV6" s="483"/>
      <c r="EW6" s="483"/>
      <c r="EX6" s="483"/>
      <c r="EY6" s="483"/>
      <c r="EZ6" s="483"/>
      <c r="FA6" s="483"/>
      <c r="FB6" s="483"/>
      <c r="FC6" s="483"/>
      <c r="FD6" s="483"/>
      <c r="FE6" s="483"/>
      <c r="FF6" s="483"/>
      <c r="FG6" s="483"/>
      <c r="FH6" s="483"/>
      <c r="FI6" s="483"/>
      <c r="FJ6" s="483"/>
      <c r="FK6" s="483"/>
      <c r="FL6" s="483"/>
      <c r="FM6" s="483"/>
      <c r="FN6" s="483"/>
      <c r="FO6" s="483"/>
      <c r="FP6" s="483"/>
      <c r="FQ6" s="483"/>
      <c r="FR6" s="483"/>
      <c r="FS6" s="483"/>
      <c r="FT6" s="483"/>
      <c r="FU6" s="483"/>
      <c r="FV6" s="483"/>
      <c r="FW6" s="483"/>
      <c r="FX6" s="483"/>
      <c r="FY6" s="483"/>
      <c r="FZ6" s="483"/>
      <c r="GA6" s="483"/>
      <c r="GB6" s="483"/>
      <c r="GC6" s="483"/>
      <c r="GD6" s="483"/>
      <c r="GE6" s="483"/>
      <c r="GF6" s="483"/>
      <c r="GG6" s="483"/>
      <c r="GH6" s="483"/>
      <c r="GI6" s="483"/>
      <c r="GJ6" s="483"/>
      <c r="GK6" s="483"/>
      <c r="GL6" s="483"/>
      <c r="GM6" s="483"/>
      <c r="GN6" s="483"/>
      <c r="GO6" s="483"/>
      <c r="GP6" s="483"/>
      <c r="GQ6" s="483"/>
      <c r="GR6" s="483"/>
      <c r="GS6" s="483"/>
      <c r="GT6" s="483"/>
      <c r="GU6" s="483"/>
      <c r="GV6" s="483"/>
      <c r="GW6" s="483"/>
      <c r="GX6" s="483"/>
      <c r="GY6" s="483"/>
      <c r="GZ6" s="483"/>
      <c r="HA6" s="483"/>
      <c r="HB6" s="483"/>
      <c r="HC6" s="483"/>
      <c r="HD6" s="483"/>
      <c r="HE6" s="483"/>
      <c r="HF6" s="483"/>
      <c r="HG6" s="483"/>
      <c r="HH6" s="483"/>
      <c r="HI6" s="483"/>
      <c r="HJ6" s="483"/>
      <c r="HK6" s="483"/>
      <c r="HL6" s="483"/>
      <c r="HM6" s="483"/>
      <c r="HN6" s="483"/>
      <c r="HO6" s="483"/>
      <c r="HP6" s="483"/>
      <c r="HQ6" s="483"/>
      <c r="HR6" s="483"/>
      <c r="HS6" s="483"/>
      <c r="HT6" s="483"/>
      <c r="HU6" s="483"/>
      <c r="HV6" s="483"/>
      <c r="HW6" s="483"/>
      <c r="HX6" s="483"/>
      <c r="HY6" s="483"/>
      <c r="HZ6" s="483"/>
      <c r="IA6" s="483"/>
      <c r="IB6" s="483"/>
      <c r="IC6" s="483"/>
      <c r="ID6" s="483"/>
      <c r="IE6" s="483"/>
      <c r="IF6" s="483"/>
      <c r="IG6" s="483"/>
      <c r="IH6" s="483"/>
      <c r="II6" s="483"/>
      <c r="IJ6" s="483"/>
      <c r="IK6" s="483"/>
      <c r="IL6" s="483"/>
      <c r="IM6" s="483"/>
      <c r="IN6" s="483"/>
      <c r="IO6" s="483"/>
      <c r="IP6" s="483"/>
      <c r="IQ6" s="483"/>
      <c r="IR6" s="483"/>
      <c r="IS6" s="483"/>
      <c r="IT6" s="483"/>
      <c r="IU6" s="483"/>
      <c r="IV6" s="483"/>
      <c r="IW6" s="483"/>
    </row>
    <row r="7" spans="1:257">
      <c r="A7" s="480" t="s">
        <v>3</v>
      </c>
      <c r="B7" s="484" t="s">
        <v>4</v>
      </c>
      <c r="C7" s="483"/>
      <c r="D7" s="483"/>
      <c r="E7" s="483"/>
      <c r="F7" s="483"/>
      <c r="G7" s="483"/>
      <c r="H7" s="483"/>
      <c r="I7" s="483"/>
      <c r="J7" s="483"/>
      <c r="K7" s="483"/>
      <c r="L7" s="483"/>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3"/>
      <c r="BL7" s="483"/>
      <c r="BM7" s="483"/>
      <c r="BN7" s="483"/>
      <c r="BO7" s="483"/>
      <c r="BP7" s="483"/>
      <c r="BQ7" s="483"/>
      <c r="BR7" s="483"/>
      <c r="BS7" s="483"/>
      <c r="BT7" s="483"/>
      <c r="BU7" s="483"/>
      <c r="BV7" s="483"/>
      <c r="BW7" s="483"/>
      <c r="BX7" s="483"/>
      <c r="BY7" s="483"/>
      <c r="BZ7" s="483"/>
      <c r="CA7" s="483"/>
      <c r="CB7" s="483"/>
      <c r="CC7" s="483"/>
      <c r="CD7" s="483"/>
      <c r="CE7" s="483"/>
      <c r="CF7" s="483"/>
      <c r="CG7" s="483"/>
      <c r="CH7" s="483"/>
      <c r="CI7" s="483"/>
      <c r="CJ7" s="483"/>
      <c r="CK7" s="483"/>
      <c r="CL7" s="483"/>
      <c r="CM7" s="483"/>
      <c r="CN7" s="483"/>
      <c r="CO7" s="483"/>
      <c r="CP7" s="483"/>
      <c r="CQ7" s="483"/>
      <c r="CR7" s="483"/>
      <c r="CS7" s="483"/>
      <c r="CT7" s="483"/>
      <c r="CU7" s="483"/>
      <c r="CV7" s="483"/>
      <c r="CW7" s="483"/>
      <c r="CX7" s="483"/>
      <c r="CY7" s="483"/>
      <c r="CZ7" s="483"/>
      <c r="DA7" s="483"/>
      <c r="DB7" s="483"/>
      <c r="DC7" s="483"/>
      <c r="DD7" s="483"/>
      <c r="DE7" s="483"/>
      <c r="DF7" s="483"/>
      <c r="DG7" s="483"/>
      <c r="DH7" s="483"/>
      <c r="DI7" s="483"/>
      <c r="DJ7" s="483"/>
      <c r="DK7" s="483"/>
      <c r="DL7" s="483"/>
      <c r="DM7" s="483"/>
      <c r="DN7" s="483"/>
      <c r="DO7" s="483"/>
      <c r="DP7" s="483"/>
      <c r="DQ7" s="483"/>
      <c r="DR7" s="483"/>
      <c r="DS7" s="483"/>
      <c r="DT7" s="483"/>
      <c r="DU7" s="483"/>
      <c r="DV7" s="483"/>
      <c r="DW7" s="483"/>
      <c r="DX7" s="483"/>
      <c r="DY7" s="483"/>
      <c r="DZ7" s="483"/>
      <c r="EA7" s="483"/>
      <c r="EB7" s="483"/>
      <c r="EC7" s="483"/>
      <c r="ED7" s="483"/>
      <c r="EE7" s="483"/>
      <c r="EF7" s="483"/>
      <c r="EG7" s="483"/>
      <c r="EH7" s="483"/>
      <c r="EI7" s="483"/>
      <c r="EJ7" s="483"/>
      <c r="EK7" s="483"/>
      <c r="EL7" s="483"/>
      <c r="EM7" s="483"/>
      <c r="EN7" s="483"/>
      <c r="EO7" s="483"/>
      <c r="EP7" s="483"/>
      <c r="EQ7" s="483"/>
      <c r="ER7" s="483"/>
      <c r="ES7" s="483"/>
      <c r="ET7" s="483"/>
      <c r="EU7" s="483"/>
      <c r="EV7" s="483"/>
      <c r="EW7" s="483"/>
      <c r="EX7" s="483"/>
      <c r="EY7" s="483"/>
      <c r="EZ7" s="483"/>
      <c r="FA7" s="483"/>
      <c r="FB7" s="483"/>
      <c r="FC7" s="483"/>
      <c r="FD7" s="483"/>
      <c r="FE7" s="483"/>
      <c r="FF7" s="483"/>
      <c r="FG7" s="483"/>
      <c r="FH7" s="483"/>
      <c r="FI7" s="483"/>
      <c r="FJ7" s="483"/>
      <c r="FK7" s="483"/>
      <c r="FL7" s="483"/>
      <c r="FM7" s="483"/>
      <c r="FN7" s="483"/>
      <c r="FO7" s="483"/>
      <c r="FP7" s="483"/>
      <c r="FQ7" s="483"/>
      <c r="FR7" s="483"/>
      <c r="FS7" s="483"/>
      <c r="FT7" s="483"/>
      <c r="FU7" s="483"/>
      <c r="FV7" s="483"/>
      <c r="FW7" s="483"/>
      <c r="FX7" s="483"/>
      <c r="FY7" s="483"/>
      <c r="FZ7" s="483"/>
      <c r="GA7" s="483"/>
      <c r="GB7" s="483"/>
      <c r="GC7" s="483"/>
      <c r="GD7" s="483"/>
      <c r="GE7" s="483"/>
      <c r="GF7" s="483"/>
      <c r="GG7" s="483"/>
      <c r="GH7" s="483"/>
      <c r="GI7" s="483"/>
      <c r="GJ7" s="483"/>
      <c r="GK7" s="483"/>
      <c r="GL7" s="483"/>
      <c r="GM7" s="483"/>
      <c r="GN7" s="483"/>
      <c r="GO7" s="483"/>
      <c r="GP7" s="483"/>
      <c r="GQ7" s="483"/>
      <c r="GR7" s="483"/>
      <c r="GS7" s="483"/>
      <c r="GT7" s="483"/>
      <c r="GU7" s="483"/>
      <c r="GV7" s="483"/>
      <c r="GW7" s="483"/>
      <c r="GX7" s="483"/>
      <c r="GY7" s="483"/>
      <c r="GZ7" s="483"/>
      <c r="HA7" s="483"/>
      <c r="HB7" s="483"/>
      <c r="HC7" s="483"/>
      <c r="HD7" s="483"/>
      <c r="HE7" s="483"/>
      <c r="HF7" s="483"/>
      <c r="HG7" s="483"/>
      <c r="HH7" s="483"/>
      <c r="HI7" s="483"/>
      <c r="HJ7" s="483"/>
      <c r="HK7" s="483"/>
      <c r="HL7" s="483"/>
      <c r="HM7" s="483"/>
      <c r="HN7" s="483"/>
      <c r="HO7" s="483"/>
      <c r="HP7" s="483"/>
      <c r="HQ7" s="483"/>
      <c r="HR7" s="483"/>
      <c r="HS7" s="483"/>
      <c r="HT7" s="483"/>
      <c r="HU7" s="483"/>
      <c r="HV7" s="483"/>
      <c r="HW7" s="483"/>
      <c r="HX7" s="483"/>
      <c r="HY7" s="483"/>
      <c r="HZ7" s="483"/>
      <c r="IA7" s="483"/>
      <c r="IB7" s="483"/>
      <c r="IC7" s="483"/>
      <c r="ID7" s="483"/>
      <c r="IE7" s="483"/>
      <c r="IF7" s="483"/>
      <c r="IG7" s="483"/>
      <c r="IH7" s="483"/>
      <c r="II7" s="483"/>
      <c r="IJ7" s="483"/>
      <c r="IK7" s="483"/>
      <c r="IL7" s="483"/>
      <c r="IM7" s="483"/>
      <c r="IN7" s="483"/>
      <c r="IO7" s="483"/>
      <c r="IP7" s="483"/>
      <c r="IQ7" s="483"/>
      <c r="IR7" s="483"/>
      <c r="IS7" s="483"/>
      <c r="IT7" s="483"/>
      <c r="IU7" s="483"/>
      <c r="IV7" s="483"/>
      <c r="IW7" s="483"/>
    </row>
    <row r="8" spans="1:258">
      <c r="A8" s="482"/>
      <c r="B8" s="483"/>
      <c r="C8" s="483"/>
      <c r="D8" s="483"/>
      <c r="E8" s="483"/>
      <c r="F8" s="483"/>
      <c r="G8" s="483"/>
      <c r="H8" s="483"/>
      <c r="I8" s="483"/>
      <c r="J8" s="483"/>
      <c r="K8" s="483"/>
      <c r="L8" s="483"/>
      <c r="M8" s="483"/>
      <c r="N8" s="483"/>
      <c r="O8" s="483"/>
      <c r="P8" s="483"/>
      <c r="Q8" s="483"/>
      <c r="R8" s="483"/>
      <c r="S8" s="483"/>
      <c r="T8" s="483"/>
      <c r="U8" s="483"/>
      <c r="V8" s="483"/>
      <c r="W8" s="483"/>
      <c r="X8" s="483"/>
      <c r="Y8" s="483"/>
      <c r="Z8" s="483"/>
      <c r="AA8" s="483"/>
      <c r="AB8" s="483"/>
      <c r="AC8" s="483"/>
      <c r="AD8" s="483"/>
      <c r="AE8" s="483"/>
      <c r="AF8" s="483"/>
      <c r="AG8" s="483"/>
      <c r="AH8" s="483"/>
      <c r="AI8" s="483"/>
      <c r="AJ8" s="483"/>
      <c r="AK8" s="483"/>
      <c r="AL8" s="483"/>
      <c r="AM8" s="483"/>
      <c r="AN8" s="483"/>
      <c r="AO8" s="483"/>
      <c r="AP8" s="483"/>
      <c r="AQ8" s="483"/>
      <c r="AR8" s="483"/>
      <c r="AS8" s="483"/>
      <c r="AT8" s="483"/>
      <c r="AU8" s="483"/>
      <c r="AV8" s="483"/>
      <c r="AW8" s="483"/>
      <c r="AX8" s="483"/>
      <c r="AY8" s="483"/>
      <c r="AZ8" s="483"/>
      <c r="BA8" s="483"/>
      <c r="BB8" s="483"/>
      <c r="BC8" s="483"/>
      <c r="BD8" s="483"/>
      <c r="BE8" s="483"/>
      <c r="BF8" s="483"/>
      <c r="BG8" s="483"/>
      <c r="BH8" s="483"/>
      <c r="BI8" s="483"/>
      <c r="BJ8" s="483"/>
      <c r="BK8" s="483"/>
      <c r="BL8" s="483"/>
      <c r="BM8" s="483"/>
      <c r="BN8" s="483"/>
      <c r="BO8" s="483"/>
      <c r="BP8" s="483"/>
      <c r="BQ8" s="483"/>
      <c r="BR8" s="483"/>
      <c r="BS8" s="483"/>
      <c r="BT8" s="483"/>
      <c r="BU8" s="483"/>
      <c r="BV8" s="483"/>
      <c r="BW8" s="483"/>
      <c r="BX8" s="483"/>
      <c r="BY8" s="483"/>
      <c r="BZ8" s="483"/>
      <c r="CA8" s="483"/>
      <c r="CB8" s="483"/>
      <c r="CC8" s="483"/>
      <c r="CD8" s="483"/>
      <c r="CE8" s="483"/>
      <c r="CF8" s="483"/>
      <c r="CG8" s="483"/>
      <c r="CH8" s="483"/>
      <c r="CI8" s="483"/>
      <c r="CJ8" s="483"/>
      <c r="CK8" s="483"/>
      <c r="CL8" s="483"/>
      <c r="CM8" s="483"/>
      <c r="CN8" s="483"/>
      <c r="CO8" s="483"/>
      <c r="CP8" s="483"/>
      <c r="CQ8" s="483"/>
      <c r="CR8" s="483"/>
      <c r="CS8" s="483"/>
      <c r="CT8" s="483"/>
      <c r="CU8" s="483"/>
      <c r="CV8" s="483"/>
      <c r="CW8" s="483"/>
      <c r="CX8" s="483"/>
      <c r="CY8" s="483"/>
      <c r="CZ8" s="483"/>
      <c r="DA8" s="483"/>
      <c r="DB8" s="483"/>
      <c r="DC8" s="483"/>
      <c r="DD8" s="483"/>
      <c r="DE8" s="483"/>
      <c r="DF8" s="483"/>
      <c r="DG8" s="483"/>
      <c r="DH8" s="483"/>
      <c r="DI8" s="483"/>
      <c r="DJ8" s="483"/>
      <c r="DK8" s="483"/>
      <c r="DL8" s="483"/>
      <c r="DM8" s="483"/>
      <c r="DN8" s="483"/>
      <c r="DO8" s="483"/>
      <c r="DP8" s="483"/>
      <c r="DQ8" s="483"/>
      <c r="DR8" s="483"/>
      <c r="DS8" s="483"/>
      <c r="DT8" s="483"/>
      <c r="DU8" s="483"/>
      <c r="DV8" s="483"/>
      <c r="DW8" s="483"/>
      <c r="DX8" s="483"/>
      <c r="DY8" s="483"/>
      <c r="DZ8" s="483"/>
      <c r="EA8" s="483"/>
      <c r="EB8" s="483"/>
      <c r="EC8" s="483"/>
      <c r="ED8" s="483"/>
      <c r="EE8" s="483"/>
      <c r="EF8" s="483"/>
      <c r="EG8" s="483"/>
      <c r="EH8" s="483"/>
      <c r="EI8" s="483"/>
      <c r="EJ8" s="483"/>
      <c r="EK8" s="483"/>
      <c r="EL8" s="483"/>
      <c r="EM8" s="483"/>
      <c r="EN8" s="483"/>
      <c r="EO8" s="483"/>
      <c r="EP8" s="483"/>
      <c r="EQ8" s="483"/>
      <c r="ER8" s="483"/>
      <c r="ES8" s="483"/>
      <c r="ET8" s="483"/>
      <c r="EU8" s="483"/>
      <c r="EV8" s="483"/>
      <c r="EW8" s="483"/>
      <c r="EX8" s="483"/>
      <c r="EY8" s="483"/>
      <c r="EZ8" s="483"/>
      <c r="FA8" s="483"/>
      <c r="FB8" s="483"/>
      <c r="FC8" s="483"/>
      <c r="FD8" s="483"/>
      <c r="FE8" s="483"/>
      <c r="FF8" s="483"/>
      <c r="FG8" s="483"/>
      <c r="FH8" s="483"/>
      <c r="FI8" s="483"/>
      <c r="FJ8" s="483"/>
      <c r="FK8" s="483"/>
      <c r="FL8" s="483"/>
      <c r="FM8" s="483"/>
      <c r="FN8" s="483"/>
      <c r="FO8" s="483"/>
      <c r="FP8" s="483"/>
      <c r="FQ8" s="483"/>
      <c r="FR8" s="483"/>
      <c r="FS8" s="483"/>
      <c r="FT8" s="483"/>
      <c r="FU8" s="483"/>
      <c r="FV8" s="483"/>
      <c r="FW8" s="483"/>
      <c r="FX8" s="483"/>
      <c r="FY8" s="483"/>
      <c r="FZ8" s="483"/>
      <c r="GA8" s="483"/>
      <c r="GB8" s="483"/>
      <c r="GC8" s="483"/>
      <c r="GD8" s="483"/>
      <c r="GE8" s="483"/>
      <c r="GF8" s="483"/>
      <c r="GG8" s="483"/>
      <c r="GH8" s="483"/>
      <c r="GI8" s="483"/>
      <c r="GJ8" s="483"/>
      <c r="GK8" s="483"/>
      <c r="GL8" s="483"/>
      <c r="GM8" s="483"/>
      <c r="GN8" s="483"/>
      <c r="GO8" s="483"/>
      <c r="GP8" s="483"/>
      <c r="GQ8" s="483"/>
      <c r="GR8" s="483"/>
      <c r="GS8" s="483"/>
      <c r="GT8" s="483"/>
      <c r="GU8" s="483"/>
      <c r="GV8" s="483"/>
      <c r="GW8" s="483"/>
      <c r="GX8" s="483"/>
      <c r="GY8" s="483"/>
      <c r="GZ8" s="483"/>
      <c r="HA8" s="483"/>
      <c r="HB8" s="483"/>
      <c r="HC8" s="483"/>
      <c r="HD8" s="483"/>
      <c r="HE8" s="483"/>
      <c r="HF8" s="483"/>
      <c r="HG8" s="483"/>
      <c r="HH8" s="483"/>
      <c r="HI8" s="483"/>
      <c r="HJ8" s="483"/>
      <c r="HK8" s="483"/>
      <c r="HL8" s="483"/>
      <c r="HM8" s="483"/>
      <c r="HN8" s="483"/>
      <c r="HO8" s="483"/>
      <c r="HP8" s="483"/>
      <c r="HQ8" s="483"/>
      <c r="HR8" s="483"/>
      <c r="HS8" s="483"/>
      <c r="HT8" s="483"/>
      <c r="HU8" s="483"/>
      <c r="HV8" s="483"/>
      <c r="HW8" s="483"/>
      <c r="HX8" s="483"/>
      <c r="HY8" s="483"/>
      <c r="HZ8" s="483"/>
      <c r="IA8" s="483"/>
      <c r="IB8" s="483"/>
      <c r="IC8" s="483"/>
      <c r="ID8" s="483"/>
      <c r="IE8" s="483"/>
      <c r="IF8" s="483"/>
      <c r="IG8" s="483"/>
      <c r="IH8" s="483"/>
      <c r="II8" s="483"/>
      <c r="IJ8" s="483"/>
      <c r="IK8" s="483"/>
      <c r="IL8" s="483"/>
      <c r="IM8" s="483"/>
      <c r="IN8" s="483"/>
      <c r="IO8" s="483"/>
      <c r="IP8" s="483"/>
      <c r="IQ8" s="483"/>
      <c r="IR8" s="483"/>
      <c r="IS8" s="483"/>
      <c r="IT8" s="483"/>
      <c r="IU8" s="483"/>
      <c r="IV8" s="483"/>
      <c r="IW8" s="502"/>
      <c r="IX8" s="502"/>
    </row>
    <row r="9" ht="15.6" customHeight="1" spans="1:257">
      <c r="A9" s="480" t="s">
        <v>5</v>
      </c>
      <c r="B9" s="485" t="s">
        <v>6</v>
      </c>
      <c r="C9" s="486"/>
      <c r="D9" s="486"/>
      <c r="E9" s="486"/>
      <c r="F9" s="486"/>
      <c r="G9" s="486"/>
      <c r="H9" s="486"/>
      <c r="I9" s="486"/>
      <c r="J9" s="486"/>
      <c r="K9" s="486"/>
      <c r="L9" s="486"/>
      <c r="M9" s="486"/>
      <c r="N9" s="486"/>
      <c r="O9" s="486"/>
      <c r="P9" s="486"/>
      <c r="Q9" s="486"/>
      <c r="R9" s="486"/>
      <c r="S9" s="486"/>
      <c r="T9" s="486"/>
      <c r="U9" s="486"/>
      <c r="V9" s="486"/>
      <c r="W9" s="486"/>
      <c r="X9" s="486"/>
      <c r="Y9" s="486"/>
      <c r="Z9" s="486"/>
      <c r="AA9" s="486"/>
      <c r="AB9" s="486"/>
      <c r="AC9" s="486"/>
      <c r="AD9" s="486"/>
      <c r="AE9" s="486"/>
      <c r="AF9" s="486"/>
      <c r="AG9" s="486"/>
      <c r="AH9" s="486"/>
      <c r="AI9" s="486"/>
      <c r="AJ9" s="486"/>
      <c r="AK9" s="486"/>
      <c r="AL9" s="486"/>
      <c r="AM9" s="486"/>
      <c r="AN9" s="486"/>
      <c r="AO9" s="486"/>
      <c r="AP9" s="486"/>
      <c r="AQ9" s="486"/>
      <c r="AR9" s="486"/>
      <c r="AS9" s="486"/>
      <c r="AT9" s="486"/>
      <c r="AU9" s="486"/>
      <c r="AV9" s="486"/>
      <c r="AW9" s="486"/>
      <c r="AX9" s="486"/>
      <c r="AY9" s="486"/>
      <c r="AZ9" s="486"/>
      <c r="BA9" s="486"/>
      <c r="BB9" s="486"/>
      <c r="BC9" s="486"/>
      <c r="BD9" s="486"/>
      <c r="BE9" s="486"/>
      <c r="BF9" s="486"/>
      <c r="BG9" s="486"/>
      <c r="BH9" s="486"/>
      <c r="BI9" s="486"/>
      <c r="BJ9" s="486"/>
      <c r="BK9" s="486"/>
      <c r="BL9" s="486"/>
      <c r="BM9" s="486"/>
      <c r="BN9" s="486"/>
      <c r="BO9" s="486"/>
      <c r="BP9" s="486"/>
      <c r="BQ9" s="486"/>
      <c r="BR9" s="486"/>
      <c r="BS9" s="486"/>
      <c r="BT9" s="486"/>
      <c r="BU9" s="486"/>
      <c r="BV9" s="486"/>
      <c r="BW9" s="486"/>
      <c r="BX9" s="486"/>
      <c r="BY9" s="486"/>
      <c r="BZ9" s="486"/>
      <c r="CA9" s="486"/>
      <c r="CB9" s="486"/>
      <c r="CC9" s="486"/>
      <c r="CD9" s="486"/>
      <c r="CE9" s="486"/>
      <c r="CF9" s="486"/>
      <c r="CG9" s="486"/>
      <c r="CH9" s="486"/>
      <c r="CI9" s="486"/>
      <c r="CJ9" s="486"/>
      <c r="CK9" s="486"/>
      <c r="CL9" s="486"/>
      <c r="CM9" s="486"/>
      <c r="CN9" s="486"/>
      <c r="CO9" s="486"/>
      <c r="CP9" s="486"/>
      <c r="CQ9" s="486"/>
      <c r="CR9" s="486"/>
      <c r="CS9" s="486"/>
      <c r="CT9" s="486"/>
      <c r="CU9" s="486"/>
      <c r="CV9" s="486"/>
      <c r="CW9" s="486"/>
      <c r="CX9" s="486"/>
      <c r="CY9" s="486"/>
      <c r="CZ9" s="486"/>
      <c r="DA9" s="486"/>
      <c r="DB9" s="486"/>
      <c r="DC9" s="486"/>
      <c r="DD9" s="486"/>
      <c r="DE9" s="486"/>
      <c r="DF9" s="486"/>
      <c r="DG9" s="486"/>
      <c r="DH9" s="486"/>
      <c r="DI9" s="486"/>
      <c r="DJ9" s="486"/>
      <c r="DK9" s="486"/>
      <c r="DL9" s="486"/>
      <c r="DM9" s="486"/>
      <c r="DN9" s="486"/>
      <c r="DO9" s="486"/>
      <c r="DP9" s="486"/>
      <c r="DQ9" s="486"/>
      <c r="DR9" s="486"/>
      <c r="DS9" s="486"/>
      <c r="DT9" s="486"/>
      <c r="DU9" s="486"/>
      <c r="DV9" s="486"/>
      <c r="DW9" s="486"/>
      <c r="DX9" s="486"/>
      <c r="DY9" s="486"/>
      <c r="DZ9" s="486"/>
      <c r="EA9" s="486"/>
      <c r="EB9" s="486"/>
      <c r="EC9" s="486"/>
      <c r="ED9" s="486"/>
      <c r="EE9" s="486"/>
      <c r="EF9" s="486"/>
      <c r="EG9" s="486"/>
      <c r="EH9" s="486"/>
      <c r="EI9" s="486"/>
      <c r="EJ9" s="486"/>
      <c r="EK9" s="486"/>
      <c r="EL9" s="486"/>
      <c r="EM9" s="486"/>
      <c r="EN9" s="486"/>
      <c r="EO9" s="486"/>
      <c r="EP9" s="486"/>
      <c r="EQ9" s="486"/>
      <c r="ER9" s="486"/>
      <c r="ES9" s="486"/>
      <c r="ET9" s="486"/>
      <c r="EU9" s="486"/>
      <c r="EV9" s="486"/>
      <c r="EW9" s="486"/>
      <c r="EX9" s="486"/>
      <c r="EY9" s="486"/>
      <c r="EZ9" s="486"/>
      <c r="FA9" s="486"/>
      <c r="FB9" s="486"/>
      <c r="FC9" s="486"/>
      <c r="FD9" s="486"/>
      <c r="FE9" s="486"/>
      <c r="FF9" s="486"/>
      <c r="FG9" s="486"/>
      <c r="FH9" s="486"/>
      <c r="FI9" s="486"/>
      <c r="FJ9" s="486"/>
      <c r="FK9" s="486"/>
      <c r="FL9" s="486"/>
      <c r="FM9" s="486"/>
      <c r="FN9" s="486"/>
      <c r="FO9" s="486"/>
      <c r="FP9" s="486"/>
      <c r="FQ9" s="486"/>
      <c r="FR9" s="486"/>
      <c r="FS9" s="486"/>
      <c r="FT9" s="486"/>
      <c r="FU9" s="486"/>
      <c r="FV9" s="486"/>
      <c r="FW9" s="486"/>
      <c r="FX9" s="486"/>
      <c r="FY9" s="486"/>
      <c r="FZ9" s="486"/>
      <c r="GA9" s="486"/>
      <c r="GB9" s="486"/>
      <c r="GC9" s="486"/>
      <c r="GD9" s="486"/>
      <c r="GE9" s="486"/>
      <c r="GF9" s="486"/>
      <c r="GG9" s="486"/>
      <c r="GH9" s="486"/>
      <c r="GI9" s="486"/>
      <c r="GJ9" s="486"/>
      <c r="GK9" s="486"/>
      <c r="GL9" s="486"/>
      <c r="GM9" s="486"/>
      <c r="GN9" s="486"/>
      <c r="GO9" s="486"/>
      <c r="GP9" s="486"/>
      <c r="GQ9" s="486"/>
      <c r="GR9" s="486"/>
      <c r="GS9" s="486"/>
      <c r="GT9" s="486"/>
      <c r="GU9" s="486"/>
      <c r="GV9" s="486"/>
      <c r="GW9" s="486"/>
      <c r="GX9" s="486"/>
      <c r="GY9" s="486"/>
      <c r="GZ9" s="486"/>
      <c r="HA9" s="486"/>
      <c r="HB9" s="486"/>
      <c r="HC9" s="486"/>
      <c r="HD9" s="486"/>
      <c r="HE9" s="486"/>
      <c r="HF9" s="486"/>
      <c r="HG9" s="486"/>
      <c r="HH9" s="486"/>
      <c r="HI9" s="486"/>
      <c r="HJ9" s="486"/>
      <c r="HK9" s="486"/>
      <c r="HL9" s="486"/>
      <c r="HM9" s="486"/>
      <c r="HN9" s="486"/>
      <c r="HO9" s="486"/>
      <c r="HP9" s="486"/>
      <c r="HQ9" s="486"/>
      <c r="HR9" s="486"/>
      <c r="HS9" s="486"/>
      <c r="HT9" s="486"/>
      <c r="HU9" s="486"/>
      <c r="HV9" s="486"/>
      <c r="HW9" s="486"/>
      <c r="HX9" s="486"/>
      <c r="HY9" s="486"/>
      <c r="HZ9" s="486"/>
      <c r="IA9" s="486"/>
      <c r="IB9" s="486"/>
      <c r="IC9" s="486"/>
      <c r="ID9" s="486"/>
      <c r="IE9" s="486"/>
      <c r="IF9" s="486"/>
      <c r="IG9" s="486"/>
      <c r="IH9" s="486"/>
      <c r="II9" s="486"/>
      <c r="IJ9" s="486"/>
      <c r="IK9" s="486"/>
      <c r="IL9" s="486"/>
      <c r="IM9" s="486"/>
      <c r="IN9" s="486"/>
      <c r="IO9" s="486"/>
      <c r="IP9" s="486"/>
      <c r="IQ9" s="486"/>
      <c r="IR9" s="486"/>
      <c r="IS9" s="486"/>
      <c r="IT9" s="486"/>
      <c r="IU9" s="486"/>
      <c r="IV9" s="486"/>
      <c r="IW9" s="486"/>
    </row>
    <row r="10" spans="1:257">
      <c r="A10" s="482"/>
      <c r="B10" s="486"/>
      <c r="C10" s="486"/>
      <c r="D10" s="486"/>
      <c r="E10" s="486"/>
      <c r="F10" s="486"/>
      <c r="G10" s="486"/>
      <c r="H10" s="486"/>
      <c r="I10" s="486"/>
      <c r="J10" s="486"/>
      <c r="K10" s="486"/>
      <c r="L10" s="486"/>
      <c r="M10" s="486"/>
      <c r="N10" s="486"/>
      <c r="O10" s="486"/>
      <c r="P10" s="486"/>
      <c r="Q10" s="486"/>
      <c r="R10" s="486"/>
      <c r="S10" s="486"/>
      <c r="T10" s="486"/>
      <c r="U10" s="486"/>
      <c r="V10" s="486"/>
      <c r="W10" s="486"/>
      <c r="X10" s="486"/>
      <c r="Y10" s="486"/>
      <c r="Z10" s="486"/>
      <c r="AA10" s="486"/>
      <c r="AB10" s="486"/>
      <c r="AC10" s="486"/>
      <c r="AD10" s="486"/>
      <c r="AE10" s="486"/>
      <c r="AF10" s="486"/>
      <c r="AG10" s="486"/>
      <c r="AH10" s="486"/>
      <c r="AI10" s="486"/>
      <c r="AJ10" s="486"/>
      <c r="AK10" s="486"/>
      <c r="AL10" s="486"/>
      <c r="AM10" s="486"/>
      <c r="AN10" s="486"/>
      <c r="AO10" s="486"/>
      <c r="AP10" s="486"/>
      <c r="AQ10" s="486"/>
      <c r="AR10" s="486"/>
      <c r="AS10" s="486"/>
      <c r="AT10" s="486"/>
      <c r="AU10" s="486"/>
      <c r="AV10" s="486"/>
      <c r="AW10" s="486"/>
      <c r="AX10" s="486"/>
      <c r="AY10" s="486"/>
      <c r="AZ10" s="486"/>
      <c r="BA10" s="486"/>
      <c r="BB10" s="486"/>
      <c r="BC10" s="486"/>
      <c r="BD10" s="486"/>
      <c r="BE10" s="486"/>
      <c r="BF10" s="486"/>
      <c r="BG10" s="486"/>
      <c r="BH10" s="486"/>
      <c r="BI10" s="486"/>
      <c r="BJ10" s="486"/>
      <c r="BK10" s="486"/>
      <c r="BL10" s="486"/>
      <c r="BM10" s="486"/>
      <c r="BN10" s="486"/>
      <c r="BO10" s="486"/>
      <c r="BP10" s="486"/>
      <c r="BQ10" s="486"/>
      <c r="BR10" s="486"/>
      <c r="BS10" s="486"/>
      <c r="BT10" s="486"/>
      <c r="BU10" s="486"/>
      <c r="BV10" s="486"/>
      <c r="BW10" s="486"/>
      <c r="BX10" s="486"/>
      <c r="BY10" s="486"/>
      <c r="BZ10" s="486"/>
      <c r="CA10" s="486"/>
      <c r="CB10" s="486"/>
      <c r="CC10" s="486"/>
      <c r="CD10" s="486"/>
      <c r="CE10" s="486"/>
      <c r="CF10" s="486"/>
      <c r="CG10" s="486"/>
      <c r="CH10" s="486"/>
      <c r="CI10" s="486"/>
      <c r="CJ10" s="486"/>
      <c r="CK10" s="486"/>
      <c r="CL10" s="486"/>
      <c r="CM10" s="486"/>
      <c r="CN10" s="486"/>
      <c r="CO10" s="486"/>
      <c r="CP10" s="486"/>
      <c r="CQ10" s="486"/>
      <c r="CR10" s="486"/>
      <c r="CS10" s="486"/>
      <c r="CT10" s="486"/>
      <c r="CU10" s="486"/>
      <c r="CV10" s="486"/>
      <c r="CW10" s="486"/>
      <c r="CX10" s="486"/>
      <c r="CY10" s="486"/>
      <c r="CZ10" s="486"/>
      <c r="DA10" s="486"/>
      <c r="DB10" s="486"/>
      <c r="DC10" s="486"/>
      <c r="DD10" s="486"/>
      <c r="DE10" s="486"/>
      <c r="DF10" s="486"/>
      <c r="DG10" s="486"/>
      <c r="DH10" s="486"/>
      <c r="DI10" s="486"/>
      <c r="DJ10" s="486"/>
      <c r="DK10" s="486"/>
      <c r="DL10" s="486"/>
      <c r="DM10" s="486"/>
      <c r="DN10" s="486"/>
      <c r="DO10" s="486"/>
      <c r="DP10" s="486"/>
      <c r="DQ10" s="486"/>
      <c r="DR10" s="486"/>
      <c r="DS10" s="486"/>
      <c r="DT10" s="486"/>
      <c r="DU10" s="486"/>
      <c r="DV10" s="486"/>
      <c r="DW10" s="486"/>
      <c r="DX10" s="486"/>
      <c r="DY10" s="486"/>
      <c r="DZ10" s="486"/>
      <c r="EA10" s="486"/>
      <c r="EB10" s="486"/>
      <c r="EC10" s="486"/>
      <c r="ED10" s="486"/>
      <c r="EE10" s="486"/>
      <c r="EF10" s="486"/>
      <c r="EG10" s="486"/>
      <c r="EH10" s="486"/>
      <c r="EI10" s="486"/>
      <c r="EJ10" s="486"/>
      <c r="EK10" s="486"/>
      <c r="EL10" s="486"/>
      <c r="EM10" s="486"/>
      <c r="EN10" s="486"/>
      <c r="EO10" s="486"/>
      <c r="EP10" s="486"/>
      <c r="EQ10" s="486"/>
      <c r="ER10" s="486"/>
      <c r="ES10" s="486"/>
      <c r="ET10" s="486"/>
      <c r="EU10" s="486"/>
      <c r="EV10" s="486"/>
      <c r="EW10" s="486"/>
      <c r="EX10" s="486"/>
      <c r="EY10" s="486"/>
      <c r="EZ10" s="486"/>
      <c r="FA10" s="486"/>
      <c r="FB10" s="486"/>
      <c r="FC10" s="486"/>
      <c r="FD10" s="486"/>
      <c r="FE10" s="486"/>
      <c r="FF10" s="486"/>
      <c r="FG10" s="486"/>
      <c r="FH10" s="486"/>
      <c r="FI10" s="486"/>
      <c r="FJ10" s="486"/>
      <c r="FK10" s="486"/>
      <c r="FL10" s="486"/>
      <c r="FM10" s="486"/>
      <c r="FN10" s="486"/>
      <c r="FO10" s="486"/>
      <c r="FP10" s="486"/>
      <c r="FQ10" s="486"/>
      <c r="FR10" s="486"/>
      <c r="FS10" s="486"/>
      <c r="FT10" s="486"/>
      <c r="FU10" s="486"/>
      <c r="FV10" s="486"/>
      <c r="FW10" s="486"/>
      <c r="FX10" s="486"/>
      <c r="FY10" s="486"/>
      <c r="FZ10" s="486"/>
      <c r="GA10" s="486"/>
      <c r="GB10" s="486"/>
      <c r="GC10" s="486"/>
      <c r="GD10" s="486"/>
      <c r="GE10" s="486"/>
      <c r="GF10" s="486"/>
      <c r="GG10" s="486"/>
      <c r="GH10" s="486"/>
      <c r="GI10" s="486"/>
      <c r="GJ10" s="486"/>
      <c r="GK10" s="486"/>
      <c r="GL10" s="486"/>
      <c r="GM10" s="486"/>
      <c r="GN10" s="486"/>
      <c r="GO10" s="486"/>
      <c r="GP10" s="486"/>
      <c r="GQ10" s="486"/>
      <c r="GR10" s="486"/>
      <c r="GS10" s="486"/>
      <c r="GT10" s="486"/>
      <c r="GU10" s="486"/>
      <c r="GV10" s="486"/>
      <c r="GW10" s="486"/>
      <c r="GX10" s="486"/>
      <c r="GY10" s="486"/>
      <c r="GZ10" s="486"/>
      <c r="HA10" s="486"/>
      <c r="HB10" s="486"/>
      <c r="HC10" s="486"/>
      <c r="HD10" s="486"/>
      <c r="HE10" s="486"/>
      <c r="HF10" s="486"/>
      <c r="HG10" s="486"/>
      <c r="HH10" s="486"/>
      <c r="HI10" s="486"/>
      <c r="HJ10" s="486"/>
      <c r="HK10" s="486"/>
      <c r="HL10" s="486"/>
      <c r="HM10" s="486"/>
      <c r="HN10" s="486"/>
      <c r="HO10" s="486"/>
      <c r="HP10" s="486"/>
      <c r="HQ10" s="486"/>
      <c r="HR10" s="486"/>
      <c r="HS10" s="486"/>
      <c r="HT10" s="486"/>
      <c r="HU10" s="486"/>
      <c r="HV10" s="486"/>
      <c r="HW10" s="486"/>
      <c r="HX10" s="486"/>
      <c r="HY10" s="486"/>
      <c r="HZ10" s="486"/>
      <c r="IA10" s="486"/>
      <c r="IB10" s="486"/>
      <c r="IC10" s="486"/>
      <c r="ID10" s="486"/>
      <c r="IE10" s="486"/>
      <c r="IF10" s="486"/>
      <c r="IG10" s="486"/>
      <c r="IH10" s="486"/>
      <c r="II10" s="486"/>
      <c r="IJ10" s="486"/>
      <c r="IK10" s="486"/>
      <c r="IL10" s="486"/>
      <c r="IM10" s="486"/>
      <c r="IN10" s="486"/>
      <c r="IO10" s="486"/>
      <c r="IP10" s="486"/>
      <c r="IQ10" s="486"/>
      <c r="IR10" s="486"/>
      <c r="IS10" s="486"/>
      <c r="IT10" s="486"/>
      <c r="IU10" s="486"/>
      <c r="IV10" s="486"/>
      <c r="IW10" s="486"/>
    </row>
    <row r="11" ht="62" spans="1:257">
      <c r="A11" s="480" t="s">
        <v>7</v>
      </c>
      <c r="B11" s="487" t="s">
        <v>8</v>
      </c>
      <c r="IW11" s="503" t="s">
        <v>9</v>
      </c>
    </row>
    <row r="12" spans="1:257">
      <c r="A12" s="482"/>
      <c r="B12" s="483"/>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c r="AA12" s="488"/>
      <c r="AB12" s="488"/>
      <c r="AC12" s="488"/>
      <c r="AD12" s="488"/>
      <c r="AE12" s="488"/>
      <c r="AF12" s="488"/>
      <c r="AG12" s="488"/>
      <c r="AH12" s="488"/>
      <c r="AI12" s="488"/>
      <c r="AJ12" s="488"/>
      <c r="AK12" s="488"/>
      <c r="AL12" s="488"/>
      <c r="AM12" s="488"/>
      <c r="AN12" s="488"/>
      <c r="AO12" s="488"/>
      <c r="AP12" s="488"/>
      <c r="AQ12" s="488"/>
      <c r="AR12" s="488"/>
      <c r="AS12" s="488"/>
      <c r="AT12" s="488"/>
      <c r="AU12" s="488"/>
      <c r="AV12" s="488"/>
      <c r="AW12" s="488"/>
      <c r="AX12" s="488"/>
      <c r="AY12" s="488"/>
      <c r="AZ12" s="488"/>
      <c r="BA12" s="488"/>
      <c r="BB12" s="488"/>
      <c r="BC12" s="488"/>
      <c r="BD12" s="488"/>
      <c r="BE12" s="488"/>
      <c r="BF12" s="488"/>
      <c r="BG12" s="488"/>
      <c r="BH12" s="488"/>
      <c r="BI12" s="488"/>
      <c r="BJ12" s="488"/>
      <c r="BK12" s="488"/>
      <c r="BL12" s="488"/>
      <c r="BM12" s="488"/>
      <c r="BN12" s="488"/>
      <c r="BO12" s="488"/>
      <c r="BP12" s="488"/>
      <c r="BQ12" s="488"/>
      <c r="BR12" s="488"/>
      <c r="BS12" s="488"/>
      <c r="BT12" s="488"/>
      <c r="BU12" s="488"/>
      <c r="BV12" s="488"/>
      <c r="BW12" s="488"/>
      <c r="BX12" s="488"/>
      <c r="BY12" s="488"/>
      <c r="BZ12" s="488"/>
      <c r="CA12" s="488"/>
      <c r="CB12" s="488"/>
      <c r="CC12" s="488"/>
      <c r="CD12" s="488"/>
      <c r="CE12" s="488"/>
      <c r="CF12" s="488"/>
      <c r="CG12" s="488"/>
      <c r="CH12" s="488"/>
      <c r="CI12" s="488"/>
      <c r="CJ12" s="488"/>
      <c r="CK12" s="488"/>
      <c r="CL12" s="488"/>
      <c r="CM12" s="488"/>
      <c r="CN12" s="488"/>
      <c r="CO12" s="488"/>
      <c r="CP12" s="488"/>
      <c r="CQ12" s="488"/>
      <c r="CR12" s="488"/>
      <c r="CS12" s="488"/>
      <c r="CT12" s="488"/>
      <c r="CU12" s="488"/>
      <c r="CV12" s="488"/>
      <c r="CW12" s="488"/>
      <c r="CX12" s="488"/>
      <c r="CY12" s="488"/>
      <c r="CZ12" s="488"/>
      <c r="DA12" s="488"/>
      <c r="DB12" s="488"/>
      <c r="DC12" s="488"/>
      <c r="DD12" s="488"/>
      <c r="DE12" s="488"/>
      <c r="DF12" s="488"/>
      <c r="DG12" s="488"/>
      <c r="DH12" s="488"/>
      <c r="DI12" s="488"/>
      <c r="DJ12" s="488"/>
      <c r="DK12" s="488"/>
      <c r="DL12" s="488"/>
      <c r="DM12" s="488"/>
      <c r="DN12" s="488"/>
      <c r="DO12" s="488"/>
      <c r="DP12" s="488"/>
      <c r="DQ12" s="488"/>
      <c r="DR12" s="488"/>
      <c r="DS12" s="488"/>
      <c r="DT12" s="488"/>
      <c r="DU12" s="488"/>
      <c r="DV12" s="488"/>
      <c r="DW12" s="488"/>
      <c r="DX12" s="488"/>
      <c r="DY12" s="488"/>
      <c r="DZ12" s="488"/>
      <c r="EA12" s="488"/>
      <c r="EB12" s="488"/>
      <c r="EC12" s="488"/>
      <c r="ED12" s="488"/>
      <c r="EE12" s="488"/>
      <c r="EF12" s="488"/>
      <c r="EG12" s="488"/>
      <c r="EH12" s="488"/>
      <c r="EI12" s="488"/>
      <c r="EJ12" s="488"/>
      <c r="EK12" s="488"/>
      <c r="EL12" s="488"/>
      <c r="EM12" s="488"/>
      <c r="EN12" s="488"/>
      <c r="EO12" s="488"/>
      <c r="EP12" s="488"/>
      <c r="EQ12" s="488"/>
      <c r="ER12" s="488"/>
      <c r="ES12" s="488"/>
      <c r="ET12" s="488"/>
      <c r="EU12" s="488"/>
      <c r="EV12" s="488"/>
      <c r="EW12" s="488"/>
      <c r="EX12" s="488"/>
      <c r="EY12" s="488"/>
      <c r="EZ12" s="488"/>
      <c r="FA12" s="488"/>
      <c r="FB12" s="488"/>
      <c r="FC12" s="488"/>
      <c r="FD12" s="488"/>
      <c r="FE12" s="488"/>
      <c r="FF12" s="488"/>
      <c r="FG12" s="488"/>
      <c r="FH12" s="488"/>
      <c r="FI12" s="488"/>
      <c r="FJ12" s="488"/>
      <c r="FK12" s="488"/>
      <c r="FL12" s="488"/>
      <c r="FM12" s="488"/>
      <c r="FN12" s="488"/>
      <c r="FO12" s="488"/>
      <c r="FP12" s="488"/>
      <c r="FQ12" s="488"/>
      <c r="FR12" s="488"/>
      <c r="FS12" s="488"/>
      <c r="FT12" s="488"/>
      <c r="FU12" s="488"/>
      <c r="FV12" s="488"/>
      <c r="FW12" s="488"/>
      <c r="FX12" s="488"/>
      <c r="FY12" s="488"/>
      <c r="FZ12" s="488"/>
      <c r="GA12" s="488"/>
      <c r="GB12" s="488"/>
      <c r="GC12" s="488"/>
      <c r="GD12" s="488"/>
      <c r="GE12" s="488"/>
      <c r="GF12" s="488"/>
      <c r="GG12" s="488"/>
      <c r="GH12" s="488"/>
      <c r="GI12" s="488"/>
      <c r="GJ12" s="488"/>
      <c r="GK12" s="488"/>
      <c r="GL12" s="488"/>
      <c r="GM12" s="488"/>
      <c r="GN12" s="488"/>
      <c r="GO12" s="488"/>
      <c r="GP12" s="488"/>
      <c r="GQ12" s="488"/>
      <c r="GR12" s="488"/>
      <c r="GS12" s="488"/>
      <c r="GT12" s="488"/>
      <c r="GU12" s="488"/>
      <c r="GV12" s="488"/>
      <c r="GW12" s="488"/>
      <c r="GX12" s="488"/>
      <c r="GY12" s="488"/>
      <c r="GZ12" s="488"/>
      <c r="HA12" s="488"/>
      <c r="HB12" s="488"/>
      <c r="HC12" s="488"/>
      <c r="HD12" s="488"/>
      <c r="HE12" s="488"/>
      <c r="HF12" s="488"/>
      <c r="HG12" s="488"/>
      <c r="HH12" s="488"/>
      <c r="HI12" s="488"/>
      <c r="HJ12" s="488"/>
      <c r="HK12" s="488"/>
      <c r="HL12" s="488"/>
      <c r="HM12" s="488"/>
      <c r="HN12" s="488"/>
      <c r="HO12" s="488"/>
      <c r="HP12" s="488"/>
      <c r="HQ12" s="488"/>
      <c r="HR12" s="488"/>
      <c r="HS12" s="488"/>
      <c r="HT12" s="488"/>
      <c r="HU12" s="488"/>
      <c r="HV12" s="488"/>
      <c r="HW12" s="488"/>
      <c r="HX12" s="488"/>
      <c r="HY12" s="488"/>
      <c r="HZ12" s="488"/>
      <c r="IA12" s="488"/>
      <c r="IB12" s="488"/>
      <c r="IC12" s="488"/>
      <c r="ID12" s="488"/>
      <c r="IE12" s="488"/>
      <c r="IF12" s="488"/>
      <c r="IG12" s="488"/>
      <c r="IH12" s="488"/>
      <c r="II12" s="488"/>
      <c r="IJ12" s="488"/>
      <c r="IK12" s="488"/>
      <c r="IL12" s="488"/>
      <c r="IM12" s="488"/>
      <c r="IN12" s="488"/>
      <c r="IO12" s="488"/>
      <c r="IP12" s="488"/>
      <c r="IQ12" s="488"/>
      <c r="IR12" s="488"/>
      <c r="IS12" s="488"/>
      <c r="IT12" s="488"/>
      <c r="IU12" s="488"/>
      <c r="IV12" s="488"/>
      <c r="IW12" s="504"/>
    </row>
    <row r="13" ht="116.25" customHeight="1" spans="1:257">
      <c r="A13" s="480" t="s">
        <v>10</v>
      </c>
      <c r="B13" s="489" t="s">
        <v>11</v>
      </c>
      <c r="C13" s="490"/>
      <c r="D13" s="490"/>
      <c r="E13" s="490"/>
      <c r="F13" s="490"/>
      <c r="G13" s="490"/>
      <c r="H13" s="490"/>
      <c r="I13" s="490"/>
      <c r="J13" s="490"/>
      <c r="K13" s="490"/>
      <c r="L13" s="490"/>
      <c r="M13" s="490"/>
      <c r="N13" s="490"/>
      <c r="O13" s="490"/>
      <c r="P13" s="490"/>
      <c r="Q13" s="490"/>
      <c r="R13" s="490"/>
      <c r="S13" s="490"/>
      <c r="T13" s="490"/>
      <c r="U13" s="490"/>
      <c r="V13" s="490"/>
      <c r="W13" s="490"/>
      <c r="X13" s="490"/>
      <c r="Y13" s="490"/>
      <c r="Z13" s="490"/>
      <c r="AA13" s="490"/>
      <c r="AB13" s="490"/>
      <c r="AC13" s="490"/>
      <c r="AD13" s="490"/>
      <c r="AE13" s="490"/>
      <c r="AF13" s="490"/>
      <c r="AG13" s="490"/>
      <c r="AH13" s="490"/>
      <c r="AI13" s="490"/>
      <c r="AJ13" s="490"/>
      <c r="AK13" s="490"/>
      <c r="AL13" s="490"/>
      <c r="AM13" s="490"/>
      <c r="AN13" s="490"/>
      <c r="AO13" s="490"/>
      <c r="AP13" s="490"/>
      <c r="AQ13" s="490"/>
      <c r="AR13" s="490"/>
      <c r="AS13" s="490"/>
      <c r="AT13" s="490"/>
      <c r="AU13" s="490"/>
      <c r="AV13" s="490"/>
      <c r="AW13" s="490"/>
      <c r="AX13" s="490"/>
      <c r="AY13" s="490"/>
      <c r="AZ13" s="490"/>
      <c r="BA13" s="490"/>
      <c r="BB13" s="490"/>
      <c r="BC13" s="490"/>
      <c r="BD13" s="490"/>
      <c r="BE13" s="490"/>
      <c r="BF13" s="490"/>
      <c r="BG13" s="490"/>
      <c r="BH13" s="490"/>
      <c r="BI13" s="490"/>
      <c r="BJ13" s="490"/>
      <c r="BK13" s="490"/>
      <c r="BL13" s="490"/>
      <c r="BM13" s="490"/>
      <c r="BN13" s="490"/>
      <c r="BO13" s="490"/>
      <c r="BP13" s="490"/>
      <c r="BQ13" s="490"/>
      <c r="BR13" s="490"/>
      <c r="BS13" s="490"/>
      <c r="BT13" s="490"/>
      <c r="BU13" s="490"/>
      <c r="BV13" s="490"/>
      <c r="BW13" s="490"/>
      <c r="BX13" s="490"/>
      <c r="BY13" s="490"/>
      <c r="BZ13" s="490"/>
      <c r="CA13" s="490"/>
      <c r="CB13" s="490"/>
      <c r="CC13" s="490"/>
      <c r="CD13" s="490"/>
      <c r="CE13" s="490"/>
      <c r="CF13" s="490"/>
      <c r="CG13" s="490"/>
      <c r="CH13" s="490"/>
      <c r="CI13" s="490"/>
      <c r="CJ13" s="490"/>
      <c r="CK13" s="490"/>
      <c r="CL13" s="490"/>
      <c r="CM13" s="490"/>
      <c r="CN13" s="490"/>
      <c r="CO13" s="490"/>
      <c r="CP13" s="490"/>
      <c r="CQ13" s="490"/>
      <c r="CR13" s="490"/>
      <c r="CS13" s="490"/>
      <c r="CT13" s="490"/>
      <c r="CU13" s="490"/>
      <c r="CV13" s="490"/>
      <c r="CW13" s="490"/>
      <c r="CX13" s="490"/>
      <c r="CY13" s="490"/>
      <c r="CZ13" s="490"/>
      <c r="DA13" s="490"/>
      <c r="DB13" s="490"/>
      <c r="DC13" s="490"/>
      <c r="DD13" s="490"/>
      <c r="DE13" s="490"/>
      <c r="DF13" s="490"/>
      <c r="DG13" s="490"/>
      <c r="DH13" s="490"/>
      <c r="DI13" s="490"/>
      <c r="DJ13" s="490"/>
      <c r="DK13" s="490"/>
      <c r="DL13" s="490"/>
      <c r="DM13" s="490"/>
      <c r="DN13" s="490"/>
      <c r="DO13" s="490"/>
      <c r="DP13" s="490"/>
      <c r="DQ13" s="490"/>
      <c r="DR13" s="490"/>
      <c r="DS13" s="490"/>
      <c r="DT13" s="490"/>
      <c r="DU13" s="490"/>
      <c r="DV13" s="490"/>
      <c r="DW13" s="490"/>
      <c r="DX13" s="490"/>
      <c r="DY13" s="490"/>
      <c r="DZ13" s="490"/>
      <c r="EA13" s="490"/>
      <c r="EB13" s="490"/>
      <c r="EC13" s="490"/>
      <c r="ED13" s="490"/>
      <c r="EE13" s="490"/>
      <c r="EF13" s="490"/>
      <c r="EG13" s="490"/>
      <c r="EH13" s="490"/>
      <c r="EI13" s="490"/>
      <c r="EJ13" s="490"/>
      <c r="EK13" s="490"/>
      <c r="EL13" s="490"/>
      <c r="EM13" s="490"/>
      <c r="EN13" s="490"/>
      <c r="EO13" s="490"/>
      <c r="EP13" s="490"/>
      <c r="EQ13" s="490"/>
      <c r="ER13" s="490"/>
      <c r="ES13" s="490"/>
      <c r="ET13" s="490"/>
      <c r="EU13" s="490"/>
      <c r="EV13" s="490"/>
      <c r="EW13" s="490"/>
      <c r="EX13" s="490"/>
      <c r="EY13" s="490"/>
      <c r="EZ13" s="490"/>
      <c r="FA13" s="490"/>
      <c r="FB13" s="490"/>
      <c r="FC13" s="490"/>
      <c r="FD13" s="490"/>
      <c r="FE13" s="490"/>
      <c r="FF13" s="490"/>
      <c r="FG13" s="490"/>
      <c r="FH13" s="490"/>
      <c r="FI13" s="490"/>
      <c r="FJ13" s="490"/>
      <c r="FK13" s="490"/>
      <c r="FL13" s="490"/>
      <c r="FM13" s="490"/>
      <c r="FN13" s="490"/>
      <c r="FO13" s="490"/>
      <c r="FP13" s="490"/>
      <c r="FQ13" s="490"/>
      <c r="FR13" s="490"/>
      <c r="FS13" s="490"/>
      <c r="FT13" s="490"/>
      <c r="FU13" s="490"/>
      <c r="FV13" s="490"/>
      <c r="FW13" s="490"/>
      <c r="FX13" s="490"/>
      <c r="FY13" s="490"/>
      <c r="FZ13" s="490"/>
      <c r="GA13" s="490"/>
      <c r="GB13" s="490"/>
      <c r="GC13" s="490"/>
      <c r="GD13" s="490"/>
      <c r="GE13" s="490"/>
      <c r="GF13" s="490"/>
      <c r="GG13" s="490"/>
      <c r="GH13" s="490"/>
      <c r="GI13" s="490"/>
      <c r="GJ13" s="490"/>
      <c r="GK13" s="490"/>
      <c r="GL13" s="490"/>
      <c r="GM13" s="490"/>
      <c r="GN13" s="490"/>
      <c r="GO13" s="490"/>
      <c r="GP13" s="490"/>
      <c r="GQ13" s="490"/>
      <c r="GR13" s="490"/>
      <c r="GS13" s="490"/>
      <c r="GT13" s="490"/>
      <c r="GU13" s="490"/>
      <c r="GV13" s="490"/>
      <c r="GW13" s="490"/>
      <c r="GX13" s="490"/>
      <c r="GY13" s="490"/>
      <c r="GZ13" s="490"/>
      <c r="HA13" s="490"/>
      <c r="HB13" s="490"/>
      <c r="HC13" s="490"/>
      <c r="HD13" s="490"/>
      <c r="HE13" s="490"/>
      <c r="HF13" s="490"/>
      <c r="HG13" s="490"/>
      <c r="HH13" s="490"/>
      <c r="HI13" s="490"/>
      <c r="HJ13" s="490"/>
      <c r="HK13" s="490"/>
      <c r="HL13" s="490"/>
      <c r="HM13" s="490"/>
      <c r="HN13" s="490"/>
      <c r="HO13" s="490"/>
      <c r="HP13" s="490"/>
      <c r="HQ13" s="490"/>
      <c r="HR13" s="490"/>
      <c r="HS13" s="490"/>
      <c r="HT13" s="490"/>
      <c r="HU13" s="490"/>
      <c r="HV13" s="490"/>
      <c r="HW13" s="490"/>
      <c r="HX13" s="490"/>
      <c r="HY13" s="490"/>
      <c r="HZ13" s="490"/>
      <c r="IA13" s="490"/>
      <c r="IB13" s="490"/>
      <c r="IC13" s="490"/>
      <c r="ID13" s="490"/>
      <c r="IE13" s="490"/>
      <c r="IF13" s="490"/>
      <c r="IG13" s="490"/>
      <c r="IH13" s="490"/>
      <c r="II13" s="490"/>
      <c r="IJ13" s="490"/>
      <c r="IK13" s="490"/>
      <c r="IL13" s="490"/>
      <c r="IM13" s="490"/>
      <c r="IN13" s="490"/>
      <c r="IO13" s="490"/>
      <c r="IP13" s="490"/>
      <c r="IQ13" s="490"/>
      <c r="IR13" s="490"/>
      <c r="IS13" s="490"/>
      <c r="IT13" s="490"/>
      <c r="IU13" s="490"/>
      <c r="IV13" s="490"/>
      <c r="IW13" s="490"/>
    </row>
    <row r="14" ht="88.5" customHeight="1" spans="1:257">
      <c r="A14" s="491" t="s">
        <v>12</v>
      </c>
      <c r="B14" s="492" t="s">
        <v>13</v>
      </c>
      <c r="C14" s="493"/>
      <c r="D14" s="493"/>
      <c r="E14" s="493"/>
      <c r="F14" s="493"/>
      <c r="G14" s="493"/>
      <c r="H14" s="493"/>
      <c r="I14" s="493"/>
      <c r="J14" s="493"/>
      <c r="K14" s="493"/>
      <c r="L14" s="493"/>
      <c r="M14" s="493"/>
      <c r="N14" s="493"/>
      <c r="O14" s="493"/>
      <c r="P14" s="493"/>
      <c r="Q14" s="493"/>
      <c r="R14" s="493"/>
      <c r="S14" s="493"/>
      <c r="T14" s="493"/>
      <c r="U14" s="493"/>
      <c r="V14" s="493"/>
      <c r="W14" s="493"/>
      <c r="X14" s="493"/>
      <c r="Y14" s="493"/>
      <c r="Z14" s="493"/>
      <c r="AA14" s="493"/>
      <c r="AB14" s="493"/>
      <c r="AC14" s="493"/>
      <c r="AD14" s="493"/>
      <c r="AE14" s="493"/>
      <c r="AF14" s="493"/>
      <c r="AG14" s="493"/>
      <c r="AH14" s="493"/>
      <c r="AI14" s="493"/>
      <c r="AJ14" s="493"/>
      <c r="AK14" s="493"/>
      <c r="AL14" s="493"/>
      <c r="AM14" s="493"/>
      <c r="AN14" s="493"/>
      <c r="AO14" s="493"/>
      <c r="AP14" s="493"/>
      <c r="AQ14" s="493"/>
      <c r="AR14" s="493"/>
      <c r="AS14" s="493"/>
      <c r="AT14" s="493"/>
      <c r="AU14" s="493"/>
      <c r="AV14" s="493"/>
      <c r="AW14" s="493"/>
      <c r="AX14" s="493"/>
      <c r="AY14" s="493"/>
      <c r="AZ14" s="493"/>
      <c r="BA14" s="493"/>
      <c r="BB14" s="493"/>
      <c r="BC14" s="493"/>
      <c r="BD14" s="493"/>
      <c r="BE14" s="493"/>
      <c r="BF14" s="493"/>
      <c r="BG14" s="493"/>
      <c r="BH14" s="493"/>
      <c r="BI14" s="493"/>
      <c r="BJ14" s="493"/>
      <c r="BK14" s="493"/>
      <c r="BL14" s="493"/>
      <c r="BM14" s="493"/>
      <c r="BN14" s="493"/>
      <c r="BO14" s="493"/>
      <c r="BP14" s="493"/>
      <c r="BQ14" s="493"/>
      <c r="BR14" s="493"/>
      <c r="BS14" s="493"/>
      <c r="BT14" s="493"/>
      <c r="BU14" s="493"/>
      <c r="BV14" s="493"/>
      <c r="BW14" s="493"/>
      <c r="BX14" s="493"/>
      <c r="BY14" s="493"/>
      <c r="BZ14" s="493"/>
      <c r="CA14" s="493"/>
      <c r="CB14" s="493"/>
      <c r="CC14" s="493"/>
      <c r="CD14" s="493"/>
      <c r="CE14" s="493"/>
      <c r="CF14" s="493"/>
      <c r="CG14" s="493"/>
      <c r="CH14" s="493"/>
      <c r="CI14" s="493"/>
      <c r="CJ14" s="493"/>
      <c r="CK14" s="493"/>
      <c r="CL14" s="493"/>
      <c r="CM14" s="493"/>
      <c r="CN14" s="493"/>
      <c r="CO14" s="493"/>
      <c r="CP14" s="493"/>
      <c r="CQ14" s="493"/>
      <c r="CR14" s="493"/>
      <c r="CS14" s="493"/>
      <c r="CT14" s="493"/>
      <c r="CU14" s="493"/>
      <c r="CV14" s="493"/>
      <c r="CW14" s="493"/>
      <c r="CX14" s="493"/>
      <c r="CY14" s="493"/>
      <c r="CZ14" s="493"/>
      <c r="DA14" s="493"/>
      <c r="DB14" s="493"/>
      <c r="DC14" s="493"/>
      <c r="DD14" s="493"/>
      <c r="DE14" s="493"/>
      <c r="DF14" s="493"/>
      <c r="DG14" s="493"/>
      <c r="DH14" s="493"/>
      <c r="DI14" s="493"/>
      <c r="DJ14" s="493"/>
      <c r="DK14" s="493"/>
      <c r="DL14" s="493"/>
      <c r="DM14" s="493"/>
      <c r="DN14" s="493"/>
      <c r="DO14" s="493"/>
      <c r="DP14" s="493"/>
      <c r="DQ14" s="493"/>
      <c r="DR14" s="493"/>
      <c r="DS14" s="493"/>
      <c r="DT14" s="493"/>
      <c r="DU14" s="493"/>
      <c r="DV14" s="493"/>
      <c r="DW14" s="493"/>
      <c r="DX14" s="493"/>
      <c r="DY14" s="493"/>
      <c r="DZ14" s="493"/>
      <c r="EA14" s="493"/>
      <c r="EB14" s="493"/>
      <c r="EC14" s="493"/>
      <c r="ED14" s="493"/>
      <c r="EE14" s="493"/>
      <c r="EF14" s="493"/>
      <c r="EG14" s="493"/>
      <c r="EH14" s="493"/>
      <c r="EI14" s="493"/>
      <c r="EJ14" s="493"/>
      <c r="EK14" s="493"/>
      <c r="EL14" s="493"/>
      <c r="EM14" s="493"/>
      <c r="EN14" s="493"/>
      <c r="EO14" s="493"/>
      <c r="EP14" s="493"/>
      <c r="EQ14" s="493"/>
      <c r="ER14" s="493"/>
      <c r="ES14" s="493"/>
      <c r="ET14" s="493"/>
      <c r="EU14" s="493"/>
      <c r="EV14" s="493"/>
      <c r="EW14" s="493"/>
      <c r="EX14" s="493"/>
      <c r="EY14" s="493"/>
      <c r="EZ14" s="493"/>
      <c r="FA14" s="493"/>
      <c r="FB14" s="493"/>
      <c r="FC14" s="493"/>
      <c r="FD14" s="493"/>
      <c r="FE14" s="493"/>
      <c r="FF14" s="493"/>
      <c r="FG14" s="493"/>
      <c r="FH14" s="493"/>
      <c r="FI14" s="493"/>
      <c r="FJ14" s="493"/>
      <c r="FK14" s="493"/>
      <c r="FL14" s="493"/>
      <c r="FM14" s="493"/>
      <c r="FN14" s="493"/>
      <c r="FO14" s="493"/>
      <c r="FP14" s="493"/>
      <c r="FQ14" s="493"/>
      <c r="FR14" s="493"/>
      <c r="FS14" s="493"/>
      <c r="FT14" s="493"/>
      <c r="FU14" s="493"/>
      <c r="FV14" s="493"/>
      <c r="FW14" s="493"/>
      <c r="FX14" s="493"/>
      <c r="FY14" s="493"/>
      <c r="FZ14" s="493"/>
      <c r="GA14" s="493"/>
      <c r="GB14" s="493"/>
      <c r="GC14" s="493"/>
      <c r="GD14" s="493"/>
      <c r="GE14" s="493"/>
      <c r="GF14" s="493"/>
      <c r="GG14" s="493"/>
      <c r="GH14" s="493"/>
      <c r="GI14" s="493"/>
      <c r="GJ14" s="493"/>
      <c r="GK14" s="493"/>
      <c r="GL14" s="493"/>
      <c r="GM14" s="493"/>
      <c r="GN14" s="493"/>
      <c r="GO14" s="493"/>
      <c r="GP14" s="493"/>
      <c r="GQ14" s="493"/>
      <c r="GR14" s="493"/>
      <c r="GS14" s="493"/>
      <c r="GT14" s="493"/>
      <c r="GU14" s="493"/>
      <c r="GV14" s="493"/>
      <c r="GW14" s="493"/>
      <c r="GX14" s="493"/>
      <c r="GY14" s="493"/>
      <c r="GZ14" s="493"/>
      <c r="HA14" s="493"/>
      <c r="HB14" s="493"/>
      <c r="HC14" s="493"/>
      <c r="HD14" s="493"/>
      <c r="HE14" s="493"/>
      <c r="HF14" s="493"/>
      <c r="HG14" s="493"/>
      <c r="HH14" s="493"/>
      <c r="HI14" s="493"/>
      <c r="HJ14" s="493"/>
      <c r="HK14" s="493"/>
      <c r="HL14" s="493"/>
      <c r="HM14" s="493"/>
      <c r="HN14" s="493"/>
      <c r="HO14" s="493"/>
      <c r="HP14" s="493"/>
      <c r="HQ14" s="493"/>
      <c r="HR14" s="493"/>
      <c r="HS14" s="493"/>
      <c r="HT14" s="493"/>
      <c r="HU14" s="493"/>
      <c r="HV14" s="493"/>
      <c r="HW14" s="493"/>
      <c r="HX14" s="493"/>
      <c r="HY14" s="493"/>
      <c r="HZ14" s="493"/>
      <c r="IA14" s="493"/>
      <c r="IB14" s="493"/>
      <c r="IC14" s="493"/>
      <c r="ID14" s="493"/>
      <c r="IE14" s="493"/>
      <c r="IF14" s="493"/>
      <c r="IG14" s="493"/>
      <c r="IH14" s="493"/>
      <c r="II14" s="493"/>
      <c r="IJ14" s="493"/>
      <c r="IK14" s="493"/>
      <c r="IL14" s="493"/>
      <c r="IM14" s="493"/>
      <c r="IN14" s="493"/>
      <c r="IO14" s="493"/>
      <c r="IP14" s="493"/>
      <c r="IQ14" s="493"/>
      <c r="IR14" s="493"/>
      <c r="IS14" s="493"/>
      <c r="IT14" s="493"/>
      <c r="IU14" s="493"/>
      <c r="IV14" s="493"/>
      <c r="IW14" s="493"/>
    </row>
    <row r="15" ht="54" customHeight="1" spans="1:4">
      <c r="A15" s="480" t="s">
        <v>14</v>
      </c>
      <c r="B15" s="489" t="s">
        <v>15</v>
      </c>
      <c r="C15" s="494"/>
      <c r="D15" s="494"/>
    </row>
    <row r="16" ht="24.75" customHeight="1" spans="1:2">
      <c r="A16" s="480" t="s">
        <v>16</v>
      </c>
      <c r="B16" s="489" t="s">
        <v>17</v>
      </c>
    </row>
    <row r="17" ht="42" customHeight="1" spans="1:2">
      <c r="A17" s="480" t="s">
        <v>18</v>
      </c>
      <c r="B17" s="492" t="s">
        <v>19</v>
      </c>
    </row>
    <row r="18" spans="1:2">
      <c r="A18" s="482"/>
      <c r="B18" s="495"/>
    </row>
    <row r="19" spans="1:2">
      <c r="A19" s="496"/>
      <c r="B19" s="494"/>
    </row>
    <row r="20" spans="1:2">
      <c r="A20" s="497"/>
      <c r="B20" s="494"/>
    </row>
    <row r="21" spans="1:6">
      <c r="A21" s="287"/>
      <c r="B21" s="498"/>
      <c r="F21" s="499"/>
    </row>
    <row r="22" spans="1:6">
      <c r="A22" s="500"/>
      <c r="B22" s="500"/>
      <c r="E22" s="501"/>
      <c r="F22" s="501"/>
    </row>
    <row r="23" spans="1:2">
      <c r="A23" s="500"/>
      <c r="B23" s="500"/>
    </row>
    <row r="35" spans="12:12">
      <c r="L35" s="499"/>
    </row>
    <row r="77" spans="6:6">
      <c r="F77" s="501"/>
    </row>
    <row r="93" spans="6:6">
      <c r="F93" s="501"/>
    </row>
  </sheetData>
  <protectedRanges>
    <protectedRange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U68"/>
  <sheetViews>
    <sheetView showGridLines="0" tabSelected="1" zoomScale="80" zoomScaleNormal="80" topLeftCell="A20" workbookViewId="0">
      <selection activeCell="H47" sqref="H47"/>
    </sheetView>
  </sheetViews>
  <sheetFormatPr defaultColWidth="9" defaultRowHeight="14"/>
  <cols>
    <col min="1" max="1" width="3.75454545454545" style="280" customWidth="1"/>
    <col min="2" max="2" width="10.7545454545455" style="280" customWidth="1"/>
    <col min="3" max="3" width="20.1272727272727" style="280" customWidth="1"/>
    <col min="4" max="9" width="10.7545454545455" style="280" customWidth="1"/>
    <col min="10" max="10" width="10.7545454545455" style="281" customWidth="1"/>
    <col min="11" max="11" width="6.5" style="282" customWidth="1"/>
    <col min="12" max="12" width="14.5" style="282" customWidth="1"/>
    <col min="13" max="13" width="13" style="282" customWidth="1"/>
    <col min="14" max="14" width="17.7545454545455" style="282" customWidth="1"/>
    <col min="15" max="15" width="10" style="282" customWidth="1"/>
    <col min="16" max="16" width="10.3727272727273" style="282" customWidth="1"/>
    <col min="17" max="17" width="12.7545454545455" style="282" customWidth="1"/>
    <col min="18" max="18" width="14.2545454545455" style="282" customWidth="1"/>
    <col min="19" max="19" width="14.5" style="282" customWidth="1"/>
    <col min="20" max="20" width="12.3727272727273" style="282" customWidth="1"/>
    <col min="21" max="21" width="9" style="282"/>
    <col min="22" max="16384" width="9" style="280"/>
  </cols>
  <sheetData>
    <row r="1" ht="29.25" customHeight="1" spans="2:20">
      <c r="B1" s="283" t="s">
        <v>20</v>
      </c>
      <c r="C1" s="283"/>
      <c r="D1" s="283"/>
      <c r="E1" s="283"/>
      <c r="F1" s="283"/>
      <c r="G1" s="283"/>
      <c r="H1" s="283"/>
      <c r="I1" s="283"/>
      <c r="J1" s="283"/>
      <c r="L1" s="369" t="s">
        <v>4</v>
      </c>
      <c r="M1" s="369"/>
      <c r="N1" s="369"/>
      <c r="O1" s="369"/>
      <c r="P1" s="370"/>
      <c r="Q1" s="434"/>
      <c r="R1" s="434"/>
      <c r="S1" s="434"/>
      <c r="T1" s="434"/>
    </row>
    <row r="2" spans="2:20">
      <c r="B2" s="284"/>
      <c r="C2" s="285"/>
      <c r="D2" s="285"/>
      <c r="E2" s="285"/>
      <c r="F2" s="285"/>
      <c r="G2" s="285"/>
      <c r="H2" s="285"/>
      <c r="I2" s="285"/>
      <c r="J2" s="371"/>
      <c r="L2" s="372" t="s">
        <v>21</v>
      </c>
      <c r="M2" s="373"/>
      <c r="N2" s="374"/>
      <c r="O2" s="375"/>
      <c r="P2" s="373"/>
      <c r="Q2" s="375"/>
      <c r="R2" s="375"/>
      <c r="S2" s="375"/>
      <c r="T2" s="435"/>
    </row>
    <row r="3" ht="15" spans="2:20">
      <c r="B3" s="286"/>
      <c r="C3" s="287" t="s">
        <v>22</v>
      </c>
      <c r="D3" s="287"/>
      <c r="E3" s="287"/>
      <c r="F3" s="287"/>
      <c r="G3" s="287"/>
      <c r="H3" s="287"/>
      <c r="I3" s="288"/>
      <c r="J3" s="376"/>
      <c r="L3" s="377"/>
      <c r="M3" s="378" t="s">
        <v>23</v>
      </c>
      <c r="N3" s="379" t="s">
        <v>4</v>
      </c>
      <c r="O3" s="380"/>
      <c r="P3" s="379"/>
      <c r="Q3" s="380"/>
      <c r="R3" s="379"/>
      <c r="S3" s="380"/>
      <c r="T3" s="436"/>
    </row>
    <row r="4" spans="2:20">
      <c r="B4" s="286"/>
      <c r="C4" s="288"/>
      <c r="D4" s="288"/>
      <c r="E4" s="288"/>
      <c r="F4" s="288"/>
      <c r="G4" s="288"/>
      <c r="H4" s="288"/>
      <c r="I4" s="288"/>
      <c r="J4" s="376"/>
      <c r="L4" s="381"/>
      <c r="M4" s="378" t="s">
        <v>24</v>
      </c>
      <c r="N4" s="382">
        <v>20240819</v>
      </c>
      <c r="O4" s="380"/>
      <c r="P4" s="383"/>
      <c r="Q4" s="380"/>
      <c r="R4" s="383"/>
      <c r="S4" s="391"/>
      <c r="T4" s="436"/>
    </row>
    <row r="5" spans="2:20">
      <c r="B5" s="286"/>
      <c r="C5" s="289" t="s">
        <v>4</v>
      </c>
      <c r="D5" s="290"/>
      <c r="E5" s="290"/>
      <c r="F5" s="290"/>
      <c r="G5" s="290"/>
      <c r="H5" s="291"/>
      <c r="I5" s="288"/>
      <c r="J5" s="376"/>
      <c r="L5" s="381"/>
      <c r="M5" s="378" t="s">
        <v>25</v>
      </c>
      <c r="N5" s="384">
        <v>457.55</v>
      </c>
      <c r="O5" s="380"/>
      <c r="P5" s="384"/>
      <c r="Q5" s="380"/>
      <c r="R5" s="384"/>
      <c r="S5" s="391"/>
      <c r="T5" s="436"/>
    </row>
    <row r="6" ht="14.75" spans="2:20">
      <c r="B6" s="286"/>
      <c r="C6" s="292" t="s">
        <v>26</v>
      </c>
      <c r="D6" s="293"/>
      <c r="E6" s="293"/>
      <c r="F6" s="293"/>
      <c r="G6" s="293"/>
      <c r="H6" s="294"/>
      <c r="I6" s="288"/>
      <c r="J6" s="376"/>
      <c r="L6" s="385"/>
      <c r="M6" s="386" t="s">
        <v>27</v>
      </c>
      <c r="N6" s="387">
        <v>0.966</v>
      </c>
      <c r="O6" s="388"/>
      <c r="P6" s="386"/>
      <c r="Q6" s="437"/>
      <c r="R6" s="386"/>
      <c r="S6" s="437"/>
      <c r="T6" s="438"/>
    </row>
    <row r="7" ht="14.75" spans="2:20">
      <c r="B7" s="286"/>
      <c r="C7" s="295" t="s">
        <v>28</v>
      </c>
      <c r="D7" s="296">
        <v>1</v>
      </c>
      <c r="E7" s="297">
        <v>2</v>
      </c>
      <c r="F7" s="298">
        <v>3</v>
      </c>
      <c r="G7" s="299" t="s">
        <v>29</v>
      </c>
      <c r="H7" s="299" t="s">
        <v>30</v>
      </c>
      <c r="I7" s="288"/>
      <c r="J7" s="376"/>
      <c r="L7" s="389" t="s">
        <v>31</v>
      </c>
      <c r="M7" s="378"/>
      <c r="N7" s="390"/>
      <c r="O7" s="391"/>
      <c r="P7" s="378"/>
      <c r="Q7" s="379"/>
      <c r="R7" s="379"/>
      <c r="S7" s="379"/>
      <c r="T7" s="439"/>
    </row>
    <row r="8" spans="2:20">
      <c r="B8" s="286"/>
      <c r="C8" s="300">
        <v>0.0833</v>
      </c>
      <c r="D8" s="301">
        <v>312</v>
      </c>
      <c r="E8" s="302">
        <v>496</v>
      </c>
      <c r="F8" s="302">
        <v>424</v>
      </c>
      <c r="G8" s="303">
        <f t="shared" ref="G8:G13" si="0">AVERAGE(D8:F8)</f>
        <v>410.666666666667</v>
      </c>
      <c r="H8" s="304">
        <f>STDEV(D8:F8)</f>
        <v>92.7218061371398</v>
      </c>
      <c r="I8" s="288"/>
      <c r="J8" s="376"/>
      <c r="L8" s="392"/>
      <c r="M8" s="373" t="s">
        <v>32</v>
      </c>
      <c r="N8" s="375" t="s">
        <v>33</v>
      </c>
      <c r="O8" s="375"/>
      <c r="P8" s="393" t="s">
        <v>34</v>
      </c>
      <c r="Q8" s="375" t="s">
        <v>35</v>
      </c>
      <c r="R8" s="375"/>
      <c r="S8" s="375"/>
      <c r="T8" s="435"/>
    </row>
    <row r="9" spans="2:20">
      <c r="B9" s="286"/>
      <c r="C9" s="305">
        <v>0.25</v>
      </c>
      <c r="D9" s="306">
        <v>207</v>
      </c>
      <c r="E9" s="307">
        <v>338</v>
      </c>
      <c r="F9" s="308">
        <v>339</v>
      </c>
      <c r="G9" s="309">
        <f t="shared" si="0"/>
        <v>294.666666666667</v>
      </c>
      <c r="H9" s="310">
        <f>STDEV(D9:F9)</f>
        <v>75.9232068167127</v>
      </c>
      <c r="I9" s="288"/>
      <c r="J9" s="376"/>
      <c r="L9" s="394"/>
      <c r="M9" s="378" t="s">
        <v>36</v>
      </c>
      <c r="N9" s="379">
        <v>10</v>
      </c>
      <c r="O9" s="391"/>
      <c r="P9" s="391"/>
      <c r="Q9" s="391"/>
      <c r="R9" s="391"/>
      <c r="S9" s="391"/>
      <c r="T9" s="436"/>
    </row>
    <row r="10" spans="2:20">
      <c r="B10" s="286"/>
      <c r="C10" s="311">
        <v>0.5</v>
      </c>
      <c r="D10" s="312">
        <v>46.1</v>
      </c>
      <c r="E10" s="307">
        <v>192</v>
      </c>
      <c r="F10" s="308">
        <v>127</v>
      </c>
      <c r="G10" s="309">
        <f t="shared" si="0"/>
        <v>121.7</v>
      </c>
      <c r="H10" s="310">
        <f>STDEV(D10:F10)</f>
        <v>73.0942542201506</v>
      </c>
      <c r="I10" s="288"/>
      <c r="J10" s="376"/>
      <c r="L10" s="394"/>
      <c r="M10" s="378" t="s">
        <v>37</v>
      </c>
      <c r="N10" s="379">
        <v>1</v>
      </c>
      <c r="O10" s="391"/>
      <c r="P10" s="391"/>
      <c r="Q10" s="391"/>
      <c r="R10" s="391"/>
      <c r="S10" s="391"/>
      <c r="T10" s="436"/>
    </row>
    <row r="11" spans="2:20">
      <c r="B11" s="286"/>
      <c r="C11" s="313">
        <v>1</v>
      </c>
      <c r="D11" s="312">
        <v>12.4</v>
      </c>
      <c r="E11" s="314">
        <v>27.3</v>
      </c>
      <c r="F11" s="315">
        <v>8.67</v>
      </c>
      <c r="G11" s="316">
        <f t="shared" si="0"/>
        <v>16.1233333333333</v>
      </c>
      <c r="H11" s="317">
        <f>STDEV(D11:F11)</f>
        <v>9.85731369762236</v>
      </c>
      <c r="I11" s="288"/>
      <c r="J11" s="376"/>
      <c r="L11" s="394"/>
      <c r="M11" s="378" t="s">
        <v>38</v>
      </c>
      <c r="N11" s="379">
        <v>10</v>
      </c>
      <c r="O11" s="391"/>
      <c r="P11" s="391"/>
      <c r="Q11" s="391"/>
      <c r="R11" s="391"/>
      <c r="S11" s="391"/>
      <c r="T11" s="436"/>
    </row>
    <row r="12" ht="14.75" spans="2:20">
      <c r="B12" s="286"/>
      <c r="C12" s="318">
        <v>2</v>
      </c>
      <c r="D12" s="319">
        <v>4.77</v>
      </c>
      <c r="E12" s="314">
        <v>12.4</v>
      </c>
      <c r="F12" s="315">
        <v>4.52</v>
      </c>
      <c r="G12" s="320">
        <f t="shared" si="0"/>
        <v>7.23</v>
      </c>
      <c r="H12" s="317">
        <f>STDEV(D12:F12)</f>
        <v>4.4790958909137</v>
      </c>
      <c r="I12" s="288"/>
      <c r="J12" s="376"/>
      <c r="L12" s="395"/>
      <c r="M12" s="396"/>
      <c r="N12" s="396"/>
      <c r="O12" s="396"/>
      <c r="P12" s="396"/>
      <c r="Q12" s="396"/>
      <c r="R12" s="396"/>
      <c r="S12" s="396"/>
      <c r="T12" s="440"/>
    </row>
    <row r="13" ht="14.75" spans="2:20">
      <c r="B13" s="286"/>
      <c r="C13" s="318">
        <v>4</v>
      </c>
      <c r="D13" s="312" t="s">
        <v>39</v>
      </c>
      <c r="E13" s="315">
        <v>7.04</v>
      </c>
      <c r="F13" s="314" t="s">
        <v>39</v>
      </c>
      <c r="G13" s="320">
        <f t="shared" si="0"/>
        <v>7.04</v>
      </c>
      <c r="H13" s="310" t="s">
        <v>40</v>
      </c>
      <c r="I13" s="288"/>
      <c r="J13" s="376" t="s">
        <v>41</v>
      </c>
      <c r="L13" s="397"/>
      <c r="M13" s="1"/>
      <c r="N13" s="1"/>
      <c r="O13" s="1"/>
      <c r="P13" s="1"/>
      <c r="Q13" s="1"/>
      <c r="R13" s="1"/>
      <c r="S13" s="1"/>
      <c r="T13" s="441"/>
    </row>
    <row r="14" ht="14.75" spans="2:20">
      <c r="B14" s="286"/>
      <c r="C14" s="321">
        <v>6</v>
      </c>
      <c r="D14" s="312" t="s">
        <v>39</v>
      </c>
      <c r="E14" s="314" t="s">
        <v>39</v>
      </c>
      <c r="F14" s="315" t="s">
        <v>39</v>
      </c>
      <c r="G14" s="309" t="s">
        <v>40</v>
      </c>
      <c r="H14" s="310" t="s">
        <v>40</v>
      </c>
      <c r="I14" s="288"/>
      <c r="J14" s="376"/>
      <c r="L14" s="398" t="s">
        <v>42</v>
      </c>
      <c r="M14" s="399"/>
      <c r="N14" s="399"/>
      <c r="O14" s="399"/>
      <c r="P14" s="399"/>
      <c r="Q14" s="399"/>
      <c r="R14" s="442"/>
      <c r="S14" s="442"/>
      <c r="T14" s="443"/>
    </row>
    <row r="15" spans="2:20">
      <c r="B15" s="286"/>
      <c r="C15" s="321">
        <v>8</v>
      </c>
      <c r="D15" s="319" t="s">
        <v>39</v>
      </c>
      <c r="E15" s="315" t="s">
        <v>39</v>
      </c>
      <c r="F15" s="315" t="s">
        <v>39</v>
      </c>
      <c r="G15" s="309" t="s">
        <v>40</v>
      </c>
      <c r="H15" s="310" t="s">
        <v>40</v>
      </c>
      <c r="I15" s="288"/>
      <c r="J15" s="376"/>
      <c r="L15" s="400" t="s">
        <v>43</v>
      </c>
      <c r="M15" s="401" t="s">
        <v>44</v>
      </c>
      <c r="N15" s="401" t="s">
        <v>45</v>
      </c>
      <c r="O15" s="402" t="s">
        <v>46</v>
      </c>
      <c r="P15" s="402" t="s">
        <v>47</v>
      </c>
      <c r="Q15" s="402" t="s">
        <v>48</v>
      </c>
      <c r="R15" s="444" t="s">
        <v>49</v>
      </c>
      <c r="S15" s="445" t="s">
        <v>50</v>
      </c>
      <c r="T15" s="446" t="s">
        <v>51</v>
      </c>
    </row>
    <row r="16" spans="2:20">
      <c r="B16" s="286"/>
      <c r="C16" s="322">
        <v>24</v>
      </c>
      <c r="D16" s="323" t="s">
        <v>39</v>
      </c>
      <c r="E16" s="324" t="s">
        <v>39</v>
      </c>
      <c r="F16" s="324" t="s">
        <v>39</v>
      </c>
      <c r="G16" s="325" t="s">
        <v>40</v>
      </c>
      <c r="H16" s="326" t="s">
        <v>40</v>
      </c>
      <c r="I16" s="288"/>
      <c r="J16" s="376"/>
      <c r="L16" s="403"/>
      <c r="M16" s="404"/>
      <c r="N16" s="404"/>
      <c r="O16" s="405"/>
      <c r="P16" s="405"/>
      <c r="Q16" s="405"/>
      <c r="R16" s="405"/>
      <c r="S16" s="447"/>
      <c r="T16" s="448"/>
    </row>
    <row r="17" spans="2:20">
      <c r="B17" s="286"/>
      <c r="C17" s="288"/>
      <c r="D17" s="288"/>
      <c r="E17" s="288"/>
      <c r="F17" s="288"/>
      <c r="G17" s="288"/>
      <c r="H17" s="288"/>
      <c r="I17" s="288"/>
      <c r="J17" s="376"/>
      <c r="L17" s="406" t="s">
        <v>33</v>
      </c>
      <c r="M17" s="407" t="s">
        <v>4</v>
      </c>
      <c r="N17" s="408" t="s">
        <v>35</v>
      </c>
      <c r="O17" s="409">
        <v>1</v>
      </c>
      <c r="P17" s="410">
        <v>1.21</v>
      </c>
      <c r="Q17" s="449">
        <v>1.169</v>
      </c>
      <c r="R17" s="450">
        <v>0.058</v>
      </c>
      <c r="S17" s="451">
        <v>0.117</v>
      </c>
      <c r="T17" s="452">
        <v>0.994</v>
      </c>
    </row>
    <row r="18" spans="2:20">
      <c r="B18" s="286"/>
      <c r="C18" s="288"/>
      <c r="D18" s="288"/>
      <c r="E18" s="288"/>
      <c r="F18" s="288"/>
      <c r="G18" s="288"/>
      <c r="H18" s="288"/>
      <c r="I18" s="288"/>
      <c r="J18" s="376"/>
      <c r="L18" s="411"/>
      <c r="M18" s="412"/>
      <c r="N18" s="402"/>
      <c r="O18" s="413"/>
      <c r="P18" s="414"/>
      <c r="Q18" s="453"/>
      <c r="R18" s="454"/>
      <c r="S18" s="455"/>
      <c r="T18" s="456"/>
    </row>
    <row r="19" spans="2:20">
      <c r="B19" s="286"/>
      <c r="C19" s="288"/>
      <c r="D19" s="288"/>
      <c r="E19" s="288"/>
      <c r="F19" s="288"/>
      <c r="G19" s="288"/>
      <c r="H19" s="288"/>
      <c r="I19" s="288"/>
      <c r="J19" s="376"/>
      <c r="L19" s="415"/>
      <c r="M19" s="416"/>
      <c r="N19" s="405"/>
      <c r="O19" s="417"/>
      <c r="P19" s="418"/>
      <c r="Q19" s="457"/>
      <c r="R19" s="458"/>
      <c r="S19" s="459"/>
      <c r="T19" s="460"/>
    </row>
    <row r="20" ht="33.75" customHeight="1" spans="2:20">
      <c r="B20" s="286"/>
      <c r="C20" s="288"/>
      <c r="D20" s="288"/>
      <c r="E20" s="288"/>
      <c r="F20" s="288"/>
      <c r="G20" s="288"/>
      <c r="H20" s="288"/>
      <c r="I20" s="288"/>
      <c r="J20" s="376"/>
      <c r="L20" s="419"/>
      <c r="M20" s="420"/>
      <c r="N20" s="421"/>
      <c r="O20" s="422"/>
      <c r="P20" s="423"/>
      <c r="Q20" s="461"/>
      <c r="R20" s="462"/>
      <c r="S20" s="462"/>
      <c r="T20" s="456"/>
    </row>
    <row r="21" ht="15" customHeight="1" spans="2:20">
      <c r="B21" s="286"/>
      <c r="C21" s="288"/>
      <c r="D21" s="288"/>
      <c r="E21" s="288"/>
      <c r="F21" s="288"/>
      <c r="G21" s="288"/>
      <c r="H21" s="288"/>
      <c r="I21" s="288"/>
      <c r="J21" s="376"/>
      <c r="L21" s="377" t="s">
        <v>52</v>
      </c>
      <c r="M21" s="391"/>
      <c r="N21" s="424"/>
      <c r="O21" s="424"/>
      <c r="P21" s="424"/>
      <c r="Q21" s="424"/>
      <c r="R21" s="463"/>
      <c r="S21" s="463"/>
      <c r="T21" s="464"/>
    </row>
    <row r="22" spans="2:20">
      <c r="B22" s="286"/>
      <c r="C22" s="288"/>
      <c r="D22" s="288"/>
      <c r="E22" s="288"/>
      <c r="F22" s="288"/>
      <c r="G22" s="288"/>
      <c r="H22" s="288"/>
      <c r="I22" s="288"/>
      <c r="J22" s="376"/>
      <c r="L22" s="394" t="s">
        <v>53</v>
      </c>
      <c r="M22" s="1"/>
      <c r="N22" s="425"/>
      <c r="O22" s="425"/>
      <c r="P22" s="425"/>
      <c r="Q22" s="391"/>
      <c r="R22" s="425"/>
      <c r="S22" s="425"/>
      <c r="T22" s="465"/>
    </row>
    <row r="23" ht="34.5" customHeight="1" spans="2:20">
      <c r="B23" s="286"/>
      <c r="C23" s="288"/>
      <c r="D23" s="288"/>
      <c r="E23" s="288"/>
      <c r="F23" s="288"/>
      <c r="G23" s="288"/>
      <c r="H23" s="288"/>
      <c r="I23" s="288"/>
      <c r="J23" s="376"/>
      <c r="L23" s="394" t="s">
        <v>54</v>
      </c>
      <c r="M23" s="391"/>
      <c r="N23" s="379"/>
      <c r="O23" s="379"/>
      <c r="P23" s="379"/>
      <c r="Q23" s="391"/>
      <c r="R23" s="391"/>
      <c r="S23" s="379"/>
      <c r="T23" s="439"/>
    </row>
    <row r="24" spans="2:20">
      <c r="B24" s="286"/>
      <c r="C24" s="288"/>
      <c r="D24" s="288"/>
      <c r="E24" s="288"/>
      <c r="F24" s="288"/>
      <c r="G24" s="288"/>
      <c r="H24" s="288"/>
      <c r="I24" s="288"/>
      <c r="J24" s="376"/>
      <c r="L24" s="394" t="s">
        <v>55</v>
      </c>
      <c r="M24" s="391"/>
      <c r="N24" s="379"/>
      <c r="O24" s="379"/>
      <c r="P24" s="379"/>
      <c r="Q24" s="391"/>
      <c r="R24" s="391"/>
      <c r="S24" s="425"/>
      <c r="T24" s="465"/>
    </row>
    <row r="25" spans="2:20">
      <c r="B25" s="286"/>
      <c r="C25" s="288"/>
      <c r="D25" s="288"/>
      <c r="E25" s="288"/>
      <c r="F25" s="288"/>
      <c r="G25" s="288"/>
      <c r="H25" s="288"/>
      <c r="I25" s="288"/>
      <c r="J25" s="376"/>
      <c r="L25" s="394" t="s">
        <v>56</v>
      </c>
      <c r="M25" s="391"/>
      <c r="N25" s="379"/>
      <c r="O25" s="379"/>
      <c r="P25" s="379"/>
      <c r="Q25" s="391"/>
      <c r="R25" s="391"/>
      <c r="S25" s="425"/>
      <c r="T25" s="465"/>
    </row>
    <row r="26" spans="2:20">
      <c r="B26" s="286"/>
      <c r="C26" s="288"/>
      <c r="D26" s="288"/>
      <c r="E26" s="288"/>
      <c r="F26" s="288"/>
      <c r="G26" s="288"/>
      <c r="H26" s="288"/>
      <c r="I26" s="288"/>
      <c r="J26" s="376"/>
      <c r="L26" s="377"/>
      <c r="M26" s="391"/>
      <c r="N26" s="1"/>
      <c r="O26" s="1"/>
      <c r="P26" s="1"/>
      <c r="Q26" s="1"/>
      <c r="R26" s="425"/>
      <c r="S26" s="425"/>
      <c r="T26" s="465"/>
    </row>
    <row r="27" ht="14.75" spans="2:20">
      <c r="B27" s="286"/>
      <c r="C27" s="288"/>
      <c r="D27" s="288"/>
      <c r="E27" s="288"/>
      <c r="F27" s="288"/>
      <c r="G27" s="288"/>
      <c r="H27" s="288"/>
      <c r="I27" s="288"/>
      <c r="J27" s="376"/>
      <c r="L27" s="394"/>
      <c r="M27" s="425"/>
      <c r="N27" s="425"/>
      <c r="O27" s="425"/>
      <c r="P27" s="425"/>
      <c r="Q27" s="391"/>
      <c r="R27" s="425"/>
      <c r="S27" s="425"/>
      <c r="T27" s="465"/>
    </row>
    <row r="28" spans="2:20">
      <c r="B28" s="286"/>
      <c r="C28" s="288"/>
      <c r="D28" s="288"/>
      <c r="E28" s="288"/>
      <c r="F28" s="288"/>
      <c r="G28" s="288"/>
      <c r="H28" s="288"/>
      <c r="I28" s="288"/>
      <c r="J28" s="426"/>
      <c r="L28" s="284" t="s">
        <v>57</v>
      </c>
      <c r="M28" s="285"/>
      <c r="N28" s="285"/>
      <c r="O28" s="285"/>
      <c r="P28" s="285"/>
      <c r="Q28" s="466"/>
      <c r="R28" s="466"/>
      <c r="S28" s="466"/>
      <c r="T28" s="467"/>
    </row>
    <row r="29" spans="2:20">
      <c r="B29" s="286"/>
      <c r="C29" s="288"/>
      <c r="D29" s="288"/>
      <c r="E29" s="288"/>
      <c r="F29" s="288"/>
      <c r="G29" s="288"/>
      <c r="H29" s="288"/>
      <c r="I29" s="288"/>
      <c r="J29" s="426"/>
      <c r="L29" s="286"/>
      <c r="M29" s="288"/>
      <c r="N29" s="288"/>
      <c r="O29" s="288"/>
      <c r="P29" s="288"/>
      <c r="Q29" s="468"/>
      <c r="R29" s="468"/>
      <c r="S29" s="468"/>
      <c r="T29" s="469"/>
    </row>
    <row r="30" spans="2:20">
      <c r="B30" s="286"/>
      <c r="C30" s="288"/>
      <c r="D30" s="288"/>
      <c r="E30" s="288"/>
      <c r="F30" s="288"/>
      <c r="G30" s="288"/>
      <c r="H30" s="288"/>
      <c r="I30" s="288"/>
      <c r="J30" s="426"/>
      <c r="M30" s="427"/>
      <c r="N30" s="427"/>
      <c r="O30" s="427"/>
      <c r="P30" s="427"/>
      <c r="Q30" s="427"/>
      <c r="R30" s="427"/>
      <c r="S30" s="427"/>
      <c r="T30" s="470"/>
    </row>
    <row r="31" ht="15" customHeight="1" spans="2:20">
      <c r="B31" s="286"/>
      <c r="C31" s="288"/>
      <c r="D31" s="288"/>
      <c r="E31" s="288"/>
      <c r="F31" s="288"/>
      <c r="G31" s="288"/>
      <c r="H31" s="288"/>
      <c r="I31" s="288"/>
      <c r="J31" s="426"/>
      <c r="L31" s="327"/>
      <c r="M31" s="328"/>
      <c r="N31" s="328"/>
      <c r="O31" s="328"/>
      <c r="P31" s="328"/>
      <c r="Q31" s="471"/>
      <c r="R31" s="471"/>
      <c r="S31" s="471"/>
      <c r="T31" s="472"/>
    </row>
    <row r="32" ht="14.75" spans="2:20">
      <c r="B32" s="286"/>
      <c r="C32" s="288"/>
      <c r="D32" s="288"/>
      <c r="E32" s="288"/>
      <c r="F32" s="288"/>
      <c r="G32" s="288"/>
      <c r="H32" s="288"/>
      <c r="I32" s="288"/>
      <c r="J32" s="426"/>
      <c r="L32" s="286"/>
      <c r="M32" s="280"/>
      <c r="N32" s="280"/>
      <c r="O32" s="280"/>
      <c r="P32" s="280"/>
      <c r="Q32" s="473"/>
      <c r="R32" s="473"/>
      <c r="S32" s="473"/>
      <c r="T32" s="469"/>
    </row>
    <row r="33" ht="14.75" spans="2:20">
      <c r="B33" s="327"/>
      <c r="C33" s="328"/>
      <c r="D33" s="328"/>
      <c r="E33" s="328"/>
      <c r="F33" s="328"/>
      <c r="G33" s="328"/>
      <c r="H33" s="328"/>
      <c r="I33" s="328"/>
      <c r="J33" s="428"/>
      <c r="L33" s="284" t="s">
        <v>58</v>
      </c>
      <c r="M33" s="285"/>
      <c r="N33" s="285"/>
      <c r="O33" s="285"/>
      <c r="P33" s="285"/>
      <c r="Q33" s="466"/>
      <c r="R33" s="466"/>
      <c r="S33" s="466"/>
      <c r="T33" s="467"/>
    </row>
    <row r="34" ht="15" customHeight="1" spans="2:20">
      <c r="B34" s="329"/>
      <c r="C34" s="330" t="s">
        <v>59</v>
      </c>
      <c r="D34" s="330"/>
      <c r="E34" s="330"/>
      <c r="F34" s="330"/>
      <c r="G34" s="330"/>
      <c r="H34" s="330"/>
      <c r="I34" s="330"/>
      <c r="J34" s="371"/>
      <c r="L34" s="286"/>
      <c r="M34" s="429" t="s">
        <v>60</v>
      </c>
      <c r="N34" s="430">
        <v>1</v>
      </c>
      <c r="O34" s="430">
        <v>2</v>
      </c>
      <c r="P34" s="430">
        <v>3</v>
      </c>
      <c r="Q34" s="474"/>
      <c r="R34" s="474"/>
      <c r="S34" s="474"/>
      <c r="T34" s="470"/>
    </row>
    <row r="35" ht="15" customHeight="1" spans="2:20">
      <c r="B35" s="286"/>
      <c r="C35" s="331"/>
      <c r="D35" s="331"/>
      <c r="E35" s="331"/>
      <c r="F35" s="331"/>
      <c r="G35" s="331"/>
      <c r="H35" s="331"/>
      <c r="I35" s="331"/>
      <c r="J35" s="426"/>
      <c r="L35" s="286"/>
      <c r="M35" s="429" t="s">
        <v>61</v>
      </c>
      <c r="N35" s="430">
        <v>19.8</v>
      </c>
      <c r="O35" s="431">
        <v>20.3</v>
      </c>
      <c r="P35" s="431">
        <v>20.1</v>
      </c>
      <c r="Q35" s="474"/>
      <c r="R35" s="474"/>
      <c r="S35" s="474"/>
      <c r="T35" s="470"/>
    </row>
    <row r="36" ht="14.75" spans="2:20">
      <c r="B36" s="332"/>
      <c r="C36" s="333" t="s">
        <v>62</v>
      </c>
      <c r="D36" s="334" t="s">
        <v>63</v>
      </c>
      <c r="E36" s="335"/>
      <c r="F36" s="336"/>
      <c r="G36" s="337" t="s">
        <v>64</v>
      </c>
      <c r="H36" s="337" t="s">
        <v>65</v>
      </c>
      <c r="I36" s="337" t="s">
        <v>66</v>
      </c>
      <c r="J36" s="426"/>
      <c r="L36" s="286"/>
      <c r="M36" s="288"/>
      <c r="N36" s="288"/>
      <c r="O36" s="288"/>
      <c r="P36" s="288"/>
      <c r="Q36" s="468"/>
      <c r="R36" s="468"/>
      <c r="S36" s="468"/>
      <c r="T36" s="469"/>
    </row>
    <row r="37" spans="2:20">
      <c r="B37" s="338"/>
      <c r="C37" s="339" t="s">
        <v>67</v>
      </c>
      <c r="D37" s="340">
        <v>1</v>
      </c>
      <c r="E37" s="340">
        <v>2</v>
      </c>
      <c r="F37" s="340">
        <v>3</v>
      </c>
      <c r="G37" s="341"/>
      <c r="H37" s="341"/>
      <c r="I37" s="341"/>
      <c r="J37" s="426"/>
      <c r="L37" s="432"/>
      <c r="M37" s="432"/>
      <c r="N37" s="432"/>
      <c r="O37" s="432"/>
      <c r="P37" s="432"/>
      <c r="Q37" s="432"/>
      <c r="R37" s="432"/>
      <c r="S37" s="432"/>
      <c r="T37" s="432"/>
    </row>
    <row r="38" spans="2:10">
      <c r="B38" s="342"/>
      <c r="C38" s="163" t="s">
        <v>68</v>
      </c>
      <c r="D38" s="343" t="s">
        <v>4</v>
      </c>
      <c r="E38" s="344"/>
      <c r="F38" s="345"/>
      <c r="G38" s="341"/>
      <c r="H38" s="341"/>
      <c r="I38" s="341"/>
      <c r="J38" s="426"/>
    </row>
    <row r="39" spans="2:10">
      <c r="B39" s="342"/>
      <c r="C39" s="163" t="s">
        <v>43</v>
      </c>
      <c r="D39" s="346" t="s">
        <v>69</v>
      </c>
      <c r="E39" s="347"/>
      <c r="F39" s="348"/>
      <c r="G39" s="341"/>
      <c r="H39" s="341"/>
      <c r="I39" s="341"/>
      <c r="J39" s="426"/>
    </row>
    <row r="40" spans="2:10">
      <c r="B40" s="342"/>
      <c r="C40" s="163" t="s">
        <v>70</v>
      </c>
      <c r="D40" s="349">
        <v>10</v>
      </c>
      <c r="E40" s="350" t="s">
        <v>71</v>
      </c>
      <c r="F40" s="351"/>
      <c r="G40" s="352"/>
      <c r="H40" s="352"/>
      <c r="I40" s="352"/>
      <c r="J40" s="426"/>
    </row>
    <row r="41" spans="2:10">
      <c r="B41" s="353"/>
      <c r="C41" s="163" t="s">
        <v>72</v>
      </c>
      <c r="D41" s="354">
        <f>'PK 参数'!F3</f>
        <v>0.84626484</v>
      </c>
      <c r="E41" s="354">
        <f>'PK 参数'!F4</f>
        <v>0.67381687</v>
      </c>
      <c r="F41" s="354">
        <f>'PK 参数'!F5</f>
        <v>0.7405341</v>
      </c>
      <c r="G41" s="340">
        <v>3</v>
      </c>
      <c r="H41" s="355">
        <f>AVERAGE(D41:F41)</f>
        <v>0.753538603333333</v>
      </c>
      <c r="I41" s="359">
        <f>STDEV(D41:F41)</f>
        <v>0.0869563880315313</v>
      </c>
      <c r="J41" s="426"/>
    </row>
    <row r="42" ht="21" customHeight="1" spans="2:10">
      <c r="B42" s="353"/>
      <c r="C42" s="163" t="s">
        <v>73</v>
      </c>
      <c r="D42" s="356">
        <f>'PK 参数'!H3</f>
        <v>3</v>
      </c>
      <c r="E42" s="356">
        <f>'PK 参数'!H4</f>
        <v>5</v>
      </c>
      <c r="F42" s="356">
        <f>'PK 参数'!H5</f>
        <v>4</v>
      </c>
      <c r="G42" s="340">
        <v>3</v>
      </c>
      <c r="H42" s="357">
        <f>AVERAGE(D42:F42)</f>
        <v>4</v>
      </c>
      <c r="I42" s="355">
        <f t="shared" ref="I42:I52" si="1">STDEV(D42:F42)</f>
        <v>1</v>
      </c>
      <c r="J42" s="426"/>
    </row>
    <row r="43" spans="2:10">
      <c r="B43" s="353"/>
      <c r="C43" s="163" t="s">
        <v>74</v>
      </c>
      <c r="D43" s="356">
        <f>'PK 参数'!S3</f>
        <v>2</v>
      </c>
      <c r="E43" s="356">
        <f>'PK 参数'!S4</f>
        <v>4</v>
      </c>
      <c r="F43" s="356">
        <f>'PK 参数'!S5</f>
        <v>2</v>
      </c>
      <c r="G43" s="340">
        <v>3</v>
      </c>
      <c r="H43" s="357">
        <f t="shared" ref="H43:H52" si="2">AVERAGE(D43:F43)</f>
        <v>2.66666666666667</v>
      </c>
      <c r="I43" s="357">
        <f t="shared" si="1"/>
        <v>1.15470053837925</v>
      </c>
      <c r="J43" s="426"/>
    </row>
    <row r="44" ht="17.5" spans="2:10">
      <c r="B44" s="338"/>
      <c r="C44" s="339" t="s">
        <v>75</v>
      </c>
      <c r="D44" s="354">
        <f>'PK 参数'!M3</f>
        <v>0.48378955</v>
      </c>
      <c r="E44" s="356">
        <f>'PK 参数'!M4</f>
        <v>0.71667301</v>
      </c>
      <c r="F44" s="354">
        <f>'PK 参数'!M5</f>
        <v>0.28391184</v>
      </c>
      <c r="G44" s="340">
        <v>3</v>
      </c>
      <c r="H44" s="355">
        <f t="shared" si="2"/>
        <v>0.494791466666667</v>
      </c>
      <c r="I44" s="355">
        <f t="shared" si="1"/>
        <v>0.216590256458358</v>
      </c>
      <c r="J44" s="426"/>
    </row>
    <row r="45" ht="17.5" spans="2:10">
      <c r="B45" s="338"/>
      <c r="C45" s="339" t="s">
        <v>76</v>
      </c>
      <c r="D45" s="358">
        <f>'PK 参数'!P3</f>
        <v>0.0833</v>
      </c>
      <c r="E45" s="358">
        <f>'PK 参数'!P4</f>
        <v>0.0833</v>
      </c>
      <c r="F45" s="358">
        <f>'PK 参数'!P5</f>
        <v>0.0833</v>
      </c>
      <c r="G45" s="340">
        <v>3</v>
      </c>
      <c r="H45" s="359">
        <f t="shared" si="2"/>
        <v>0.0833</v>
      </c>
      <c r="I45" s="355">
        <f t="shared" si="1"/>
        <v>0</v>
      </c>
      <c r="J45" s="426"/>
    </row>
    <row r="46" ht="17.5" spans="2:10">
      <c r="B46" s="338"/>
      <c r="C46" s="360" t="s">
        <v>77</v>
      </c>
      <c r="D46" s="361">
        <f>'PK 参数'!Q3</f>
        <v>312</v>
      </c>
      <c r="E46" s="361">
        <f>'PK 参数'!Q4</f>
        <v>496</v>
      </c>
      <c r="F46" s="361">
        <f>'PK 参数'!Q5</f>
        <v>424</v>
      </c>
      <c r="G46" s="340">
        <v>3</v>
      </c>
      <c r="H46" s="362">
        <f t="shared" si="2"/>
        <v>410.666666666667</v>
      </c>
      <c r="I46" s="433">
        <f t="shared" si="1"/>
        <v>92.7218061371398</v>
      </c>
      <c r="J46" s="426"/>
    </row>
    <row r="47" ht="17.5" spans="2:10">
      <c r="B47" s="338"/>
      <c r="C47" s="360" t="s">
        <v>78</v>
      </c>
      <c r="D47" s="363">
        <f>'PK 参数'!V3</f>
        <v>111.10095</v>
      </c>
      <c r="E47" s="363">
        <f>'PK 参数'!V4</f>
        <v>250.5373</v>
      </c>
      <c r="F47" s="363">
        <f>'PK 参数'!V5</f>
        <v>180.01815</v>
      </c>
      <c r="G47" s="340">
        <v>3</v>
      </c>
      <c r="H47" s="362">
        <f t="shared" si="2"/>
        <v>180.552133333333</v>
      </c>
      <c r="I47" s="433">
        <f t="shared" si="1"/>
        <v>69.7197086839929</v>
      </c>
      <c r="J47" s="426"/>
    </row>
    <row r="48" ht="17.5" spans="2:10">
      <c r="B48" s="338"/>
      <c r="C48" s="360" t="s">
        <v>79</v>
      </c>
      <c r="D48" s="363">
        <f>'PK 参数'!Y3</f>
        <v>114.43022</v>
      </c>
      <c r="E48" s="363">
        <f>'PK 参数'!Y4</f>
        <v>257.81624</v>
      </c>
      <c r="F48" s="363">
        <f>'PK 参数'!Y5</f>
        <v>181.86953</v>
      </c>
      <c r="G48" s="340">
        <v>3</v>
      </c>
      <c r="H48" s="362">
        <f t="shared" si="2"/>
        <v>184.70533</v>
      </c>
      <c r="I48" s="433">
        <f t="shared" si="1"/>
        <v>71.7350611910947</v>
      </c>
      <c r="J48" s="426"/>
    </row>
    <row r="49" ht="17.5" spans="2:10">
      <c r="B49" s="338"/>
      <c r="C49" s="339" t="s">
        <v>80</v>
      </c>
      <c r="D49" s="354">
        <f>'PK 参数'!AN3</f>
        <v>0.33073131</v>
      </c>
      <c r="E49" s="354">
        <f>'PK 参数'!AN4</f>
        <v>0.57718022</v>
      </c>
      <c r="F49" s="354">
        <f>'PK 参数'!AN5</f>
        <v>0.31612125</v>
      </c>
      <c r="G49" s="340">
        <v>3</v>
      </c>
      <c r="H49" s="355">
        <f t="shared" si="2"/>
        <v>0.408010926666667</v>
      </c>
      <c r="I49" s="355">
        <f t="shared" si="1"/>
        <v>0.146686914271435</v>
      </c>
      <c r="J49" s="426"/>
    </row>
    <row r="50" ht="17.5" spans="2:10">
      <c r="B50" s="338"/>
      <c r="C50" s="339" t="s">
        <v>81</v>
      </c>
      <c r="D50" s="354">
        <f>'PK 参数'!AO3</f>
        <v>0.39960431</v>
      </c>
      <c r="E50" s="354">
        <f>'PK 参数'!AO4</f>
        <v>0.70300821</v>
      </c>
      <c r="F50" s="354">
        <f>'PK 参数'!AO5</f>
        <v>0.33743229</v>
      </c>
      <c r="G50" s="340">
        <v>3</v>
      </c>
      <c r="H50" s="355">
        <f t="shared" si="2"/>
        <v>0.480014936666667</v>
      </c>
      <c r="I50" s="355">
        <f t="shared" si="1"/>
        <v>0.195603783147607</v>
      </c>
      <c r="J50" s="426"/>
    </row>
    <row r="51" ht="17.5" spans="2:10">
      <c r="B51" s="353"/>
      <c r="C51" s="163" t="s">
        <v>82</v>
      </c>
      <c r="D51" s="356">
        <f>'PK 参数'!AA3</f>
        <v>2.909435</v>
      </c>
      <c r="E51" s="356">
        <f>'PK 参数'!AA4</f>
        <v>2.8233061</v>
      </c>
      <c r="F51" s="356">
        <f>'PK 参数'!AA5</f>
        <v>1.0179736</v>
      </c>
      <c r="G51" s="340">
        <v>3</v>
      </c>
      <c r="H51" s="357">
        <f t="shared" si="2"/>
        <v>2.25023823333333</v>
      </c>
      <c r="I51" s="357">
        <f t="shared" si="1"/>
        <v>1.06804103000629</v>
      </c>
      <c r="J51" s="426"/>
    </row>
    <row r="52" ht="20.25" customHeight="1" spans="2:10">
      <c r="B52" s="364"/>
      <c r="C52" s="163" t="s">
        <v>83</v>
      </c>
      <c r="D52" s="356">
        <f>'PK 参数'!AK3</f>
        <v>19.643285</v>
      </c>
      <c r="E52" s="356">
        <f>'PK 参数'!AK4</f>
        <v>20.216486</v>
      </c>
      <c r="F52" s="356">
        <f>'PK 参数'!AK5</f>
        <v>7.2693321</v>
      </c>
      <c r="G52" s="340">
        <v>3</v>
      </c>
      <c r="H52" s="357">
        <f t="shared" si="2"/>
        <v>15.7097010333333</v>
      </c>
      <c r="I52" s="357">
        <f t="shared" si="1"/>
        <v>7.31519040385717</v>
      </c>
      <c r="J52" s="426"/>
    </row>
    <row r="53" spans="2:10">
      <c r="B53" s="286"/>
      <c r="C53" s="288"/>
      <c r="D53" s="288"/>
      <c r="E53" s="288"/>
      <c r="F53" s="288"/>
      <c r="G53" s="288"/>
      <c r="H53" s="288"/>
      <c r="I53" s="288"/>
      <c r="J53" s="426"/>
    </row>
    <row r="54" spans="2:10">
      <c r="B54" s="286"/>
      <c r="C54" s="365"/>
      <c r="D54" s="266"/>
      <c r="E54" s="266"/>
      <c r="F54" s="266"/>
      <c r="G54" s="366"/>
      <c r="H54" s="366"/>
      <c r="I54" s="366"/>
      <c r="J54" s="426"/>
    </row>
    <row r="55" ht="14.75" spans="2:10">
      <c r="B55" s="327"/>
      <c r="C55" s="328"/>
      <c r="D55" s="328"/>
      <c r="E55" s="328"/>
      <c r="F55" s="328"/>
      <c r="G55" s="328"/>
      <c r="H55" s="328"/>
      <c r="I55" s="328"/>
      <c r="J55" s="428"/>
    </row>
    <row r="56" ht="67.5" customHeight="1" spans="2:10">
      <c r="B56" s="367" t="s">
        <v>84</v>
      </c>
      <c r="C56" s="368"/>
      <c r="D56" s="368"/>
      <c r="E56" s="368"/>
      <c r="F56" s="368"/>
      <c r="G56" s="368"/>
      <c r="H56" s="368"/>
      <c r="I56" s="368"/>
      <c r="J56" s="368"/>
    </row>
    <row r="59" spans="10:10">
      <c r="J59" s="280"/>
    </row>
    <row r="60" spans="10:10">
      <c r="J60" s="280"/>
    </row>
    <row r="61" spans="10:10">
      <c r="J61" s="280"/>
    </row>
    <row r="62" spans="10:10">
      <c r="J62" s="280"/>
    </row>
    <row r="63" spans="10:10">
      <c r="J63" s="280"/>
    </row>
    <row r="64" spans="10:10">
      <c r="J64" s="280"/>
    </row>
    <row r="65" spans="10:10">
      <c r="J65" s="280"/>
    </row>
    <row r="66" spans="10:10">
      <c r="J66" s="280"/>
    </row>
    <row r="67" spans="10:10">
      <c r="J67" s="280"/>
    </row>
    <row r="68" spans="10:10">
      <c r="J68" s="280"/>
    </row>
  </sheetData>
  <protectedRanges>
    <protectedRange sqref="O5" name="送样单_8_1"/>
    <protectedRange sqref="N4" name="送样单_8"/>
    <protectedRange sqref="N5" name="送样单_8_1_1"/>
    <protectedRange sqref="N6" name="送样单_8_2"/>
  </protectedRanges>
  <mergeCells count="34">
    <mergeCell ref="B1:J1"/>
    <mergeCell ref="L1:O1"/>
    <mergeCell ref="Q1:U1"/>
    <mergeCell ref="C3:H3"/>
    <mergeCell ref="C5:H5"/>
    <mergeCell ref="C6:H6"/>
    <mergeCell ref="M30:U30"/>
    <mergeCell ref="D36:F36"/>
    <mergeCell ref="D38:F38"/>
    <mergeCell ref="D39:F39"/>
    <mergeCell ref="E40:F40"/>
    <mergeCell ref="B56:J56"/>
    <mergeCell ref="G36:G40"/>
    <mergeCell ref="H36:H40"/>
    <mergeCell ref="I36:I40"/>
    <mergeCell ref="L15:L16"/>
    <mergeCell ref="L17:L19"/>
    <mergeCell ref="M15:M16"/>
    <mergeCell ref="M17:M19"/>
    <mergeCell ref="N15:N16"/>
    <mergeCell ref="N17:N19"/>
    <mergeCell ref="O15:O16"/>
    <mergeCell ref="O17:O19"/>
    <mergeCell ref="P15:P16"/>
    <mergeCell ref="P17:P19"/>
    <mergeCell ref="Q15:Q16"/>
    <mergeCell ref="Q17:Q19"/>
    <mergeCell ref="R15:R16"/>
    <mergeCell ref="R17:R19"/>
    <mergeCell ref="S15:S16"/>
    <mergeCell ref="S17:S19"/>
    <mergeCell ref="T15:T16"/>
    <mergeCell ref="T17:T19"/>
    <mergeCell ref="C34:I35"/>
  </mergeCells>
  <conditionalFormatting sqref="C8:C14">
    <cfRule type="cellIs" dxfId="0" priority="1" stopIfTrue="1" operator="equal">
      <formula>""</formula>
    </cfRule>
  </conditionalFormatting>
  <pageMargins left="0.7" right="0.7" top="0.75" bottom="0.75" header="0.3" footer="0.3"/>
  <pageSetup paperSize="9" scale="48"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T5"/>
  <sheetViews>
    <sheetView showGridLines="0" zoomScale="80" zoomScaleNormal="80" workbookViewId="0">
      <pane xSplit="2" topLeftCell="C1" activePane="topRight" state="frozen"/>
      <selection/>
      <selection pane="topRight" activeCell="M29" sqref="M29"/>
    </sheetView>
  </sheetViews>
  <sheetFormatPr defaultColWidth="9" defaultRowHeight="14" outlineLevelRow="4"/>
  <cols>
    <col min="1" max="1" width="16.8727272727273" style="264" customWidth="1"/>
    <col min="2" max="2" width="15.7545454545455" style="264" customWidth="1"/>
    <col min="3" max="3" width="11.7545454545455" style="264" customWidth="1"/>
    <col min="4" max="6" width="9.25454545454545" style="264" customWidth="1"/>
    <col min="7" max="7" width="10.1272727272727" style="264" customWidth="1"/>
    <col min="8" max="8" width="11.2545454545455" style="264" customWidth="1"/>
    <col min="9" max="9" width="9.25454545454545" style="264" customWidth="1"/>
    <col min="10" max="10" width="20.8727272727273" style="264" customWidth="1"/>
    <col min="11" max="11" width="11.2545454545455" style="264" customWidth="1"/>
    <col min="12" max="13" width="9.25454545454545" style="264" customWidth="1"/>
    <col min="14" max="14" width="11.1272727272727" style="264" customWidth="1"/>
    <col min="15" max="17" width="9.25454545454545" style="264" customWidth="1"/>
    <col min="18" max="18" width="11.8727272727273" style="264" customWidth="1"/>
    <col min="19" max="19" width="19" style="264" customWidth="1"/>
    <col min="20" max="21" width="9.25454545454545" style="264" customWidth="1"/>
    <col min="22" max="22" width="13.7545454545455" style="264" customWidth="1"/>
    <col min="23" max="23" width="9.25454545454545" style="264" customWidth="1"/>
    <col min="24" max="24" width="14.2545454545455" style="264" customWidth="1"/>
    <col min="25" max="28" width="9.25454545454545" style="264" customWidth="1"/>
    <col min="29" max="29" width="9.75454545454545" style="264" customWidth="1"/>
    <col min="30" max="30" width="20" style="264" customWidth="1"/>
    <col min="31" max="31" width="14.2545454545455" style="264" customWidth="1"/>
    <col min="32" max="32" width="10.7545454545455" style="264" customWidth="1"/>
    <col min="33" max="42" width="9.25454545454545" style="264" customWidth="1"/>
    <col min="43" max="45" width="10.7545454545455" style="264" customWidth="1"/>
    <col min="46" max="46" width="9.12727272727273" style="264" customWidth="1"/>
    <col min="47" max="16384" width="9" style="264"/>
  </cols>
  <sheetData>
    <row r="1" ht="18" customHeight="1" spans="1:2">
      <c r="A1" s="265" t="str">
        <f>封面!B7</f>
        <v>HW356029</v>
      </c>
      <c r="B1" s="266" t="s">
        <v>85</v>
      </c>
    </row>
    <row r="2" s="263" customFormat="1" ht="58.5" customHeight="1" spans="1:46">
      <c r="A2" s="267" t="s">
        <v>69</v>
      </c>
      <c r="B2" s="268" t="s">
        <v>86</v>
      </c>
      <c r="C2" s="268" t="s">
        <v>87</v>
      </c>
      <c r="D2" s="268" t="s">
        <v>88</v>
      </c>
      <c r="E2" s="268" t="s">
        <v>89</v>
      </c>
      <c r="F2" s="268" t="s">
        <v>72</v>
      </c>
      <c r="G2" s="268" t="s">
        <v>90</v>
      </c>
      <c r="H2" s="268" t="s">
        <v>73</v>
      </c>
      <c r="I2" s="268" t="s">
        <v>91</v>
      </c>
      <c r="J2" s="268" t="s">
        <v>92</v>
      </c>
      <c r="K2" s="268" t="s">
        <v>93</v>
      </c>
      <c r="L2" s="268" t="s">
        <v>94</v>
      </c>
      <c r="M2" s="268" t="s">
        <v>95</v>
      </c>
      <c r="N2" s="268" t="s">
        <v>96</v>
      </c>
      <c r="O2" s="268" t="s">
        <v>97</v>
      </c>
      <c r="P2" s="268" t="s">
        <v>98</v>
      </c>
      <c r="Q2" s="268" t="s">
        <v>99</v>
      </c>
      <c r="R2" s="268" t="s">
        <v>100</v>
      </c>
      <c r="S2" s="268" t="s">
        <v>101</v>
      </c>
      <c r="T2" s="268" t="s">
        <v>102</v>
      </c>
      <c r="U2" s="268" t="s">
        <v>103</v>
      </c>
      <c r="V2" s="268" t="s">
        <v>104</v>
      </c>
      <c r="W2" s="268" t="s">
        <v>105</v>
      </c>
      <c r="X2" s="268" t="s">
        <v>106</v>
      </c>
      <c r="Y2" s="268" t="s">
        <v>107</v>
      </c>
      <c r="Z2" s="268" t="s">
        <v>108</v>
      </c>
      <c r="AA2" s="268" t="s">
        <v>109</v>
      </c>
      <c r="AB2" s="268" t="s">
        <v>110</v>
      </c>
      <c r="AC2" s="268" t="s">
        <v>111</v>
      </c>
      <c r="AD2" s="268" t="s">
        <v>112</v>
      </c>
      <c r="AE2" s="268" t="s">
        <v>113</v>
      </c>
      <c r="AF2" s="268" t="s">
        <v>114</v>
      </c>
      <c r="AG2" s="268" t="s">
        <v>115</v>
      </c>
      <c r="AH2" s="268" t="s">
        <v>116</v>
      </c>
      <c r="AI2" s="268" t="s">
        <v>117</v>
      </c>
      <c r="AJ2" s="268" t="s">
        <v>118</v>
      </c>
      <c r="AK2" s="268" t="s">
        <v>119</v>
      </c>
      <c r="AL2" s="268" t="s">
        <v>120</v>
      </c>
      <c r="AM2" s="268" t="s">
        <v>121</v>
      </c>
      <c r="AN2" s="268" t="s">
        <v>122</v>
      </c>
      <c r="AO2" s="268" t="s">
        <v>123</v>
      </c>
      <c r="AP2" s="274" t="s">
        <v>124</v>
      </c>
      <c r="AQ2" s="275"/>
      <c r="AR2" s="275"/>
      <c r="AS2" s="275"/>
      <c r="AT2" s="276"/>
    </row>
    <row r="3" spans="1:46">
      <c r="A3" s="269"/>
      <c r="B3" s="264">
        <v>1</v>
      </c>
      <c r="C3" s="264">
        <v>5</v>
      </c>
      <c r="D3" s="264">
        <v>10</v>
      </c>
      <c r="E3" s="264">
        <v>0.92313242</v>
      </c>
      <c r="F3" s="270">
        <v>0.84626484</v>
      </c>
      <c r="G3" s="264">
        <v>-0.96079781</v>
      </c>
      <c r="H3" s="270">
        <v>3</v>
      </c>
      <c r="I3" s="264">
        <v>1.4327452</v>
      </c>
      <c r="J3" s="264">
        <v>4.308488</v>
      </c>
      <c r="K3" s="264">
        <v>0.5</v>
      </c>
      <c r="L3" s="264">
        <v>2</v>
      </c>
      <c r="M3" s="270">
        <v>0.48378955</v>
      </c>
      <c r="N3" s="264">
        <v>3.1005217</v>
      </c>
      <c r="O3" s="264">
        <v>0</v>
      </c>
      <c r="P3" s="270">
        <v>0.0833</v>
      </c>
      <c r="Q3" s="270">
        <v>312</v>
      </c>
      <c r="R3" s="270">
        <v>31.2</v>
      </c>
      <c r="S3" s="270">
        <v>2</v>
      </c>
      <c r="T3" s="264">
        <v>4.77</v>
      </c>
      <c r="U3" s="264">
        <v>4.2333665</v>
      </c>
      <c r="V3" s="270">
        <v>111.10095</v>
      </c>
      <c r="W3" s="264">
        <v>11.110095</v>
      </c>
      <c r="X3" s="264">
        <v>111.10095</v>
      </c>
      <c r="Y3" s="270">
        <v>114.43022</v>
      </c>
      <c r="Z3" s="264">
        <v>11.443022</v>
      </c>
      <c r="AA3" s="270">
        <v>2.909435</v>
      </c>
      <c r="AB3" s="264">
        <v>60.994444</v>
      </c>
      <c r="AC3" s="270">
        <v>87.3895</v>
      </c>
      <c r="AD3" s="270">
        <v>114.05567</v>
      </c>
      <c r="AE3" s="270">
        <v>11.405567</v>
      </c>
      <c r="AF3" s="264">
        <v>2.5905978</v>
      </c>
      <c r="AG3" s="264">
        <v>61.194745</v>
      </c>
      <c r="AH3" s="264">
        <v>87.67648</v>
      </c>
      <c r="AI3" s="264">
        <v>36.744563</v>
      </c>
      <c r="AJ3" s="264">
        <v>45.72681</v>
      </c>
      <c r="AK3" s="264">
        <v>19.643285</v>
      </c>
      <c r="AL3" s="264">
        <v>44.716291</v>
      </c>
      <c r="AM3" s="264">
        <v>17.827348</v>
      </c>
      <c r="AN3" s="270">
        <v>0.33073131</v>
      </c>
      <c r="AO3" s="270">
        <v>0.39960431</v>
      </c>
      <c r="AP3" s="277">
        <v>0.3920567</v>
      </c>
      <c r="AQ3" s="270"/>
      <c r="AR3" s="270"/>
      <c r="AS3" s="270"/>
      <c r="AT3" s="278"/>
    </row>
    <row r="4" spans="1:46">
      <c r="A4" s="269"/>
      <c r="B4" s="264">
        <v>2</v>
      </c>
      <c r="C4" s="264">
        <v>6</v>
      </c>
      <c r="D4" s="264">
        <v>10</v>
      </c>
      <c r="E4" s="264">
        <v>0.75536265</v>
      </c>
      <c r="F4" s="270">
        <v>0.67381687</v>
      </c>
      <c r="G4" s="264">
        <v>-0.86911602</v>
      </c>
      <c r="H4" s="270">
        <v>5</v>
      </c>
      <c r="I4" s="264">
        <v>0.96717355</v>
      </c>
      <c r="J4" s="264">
        <v>5.2704655</v>
      </c>
      <c r="K4" s="264">
        <v>0.25</v>
      </c>
      <c r="L4" s="264">
        <v>4</v>
      </c>
      <c r="M4" s="270">
        <v>0.71667301</v>
      </c>
      <c r="N4" s="264">
        <v>5.2325118</v>
      </c>
      <c r="O4" s="264">
        <v>0</v>
      </c>
      <c r="P4" s="270">
        <v>0.0833</v>
      </c>
      <c r="Q4" s="270">
        <v>496</v>
      </c>
      <c r="R4" s="270">
        <v>49.6</v>
      </c>
      <c r="S4" s="270">
        <v>4</v>
      </c>
      <c r="T4" s="264">
        <v>7.04</v>
      </c>
      <c r="U4" s="264">
        <v>4.0623894</v>
      </c>
      <c r="V4" s="270">
        <v>250.5373</v>
      </c>
      <c r="W4" s="264">
        <v>25.05373</v>
      </c>
      <c r="X4" s="264">
        <v>250.5373</v>
      </c>
      <c r="Y4" s="270">
        <v>257.81624</v>
      </c>
      <c r="Z4" s="264">
        <v>25.781624</v>
      </c>
      <c r="AA4" s="270">
        <v>2.8233061</v>
      </c>
      <c r="AB4" s="264">
        <v>40.10378</v>
      </c>
      <c r="AC4" s="270">
        <v>38.787316</v>
      </c>
      <c r="AD4" s="270">
        <v>254.73757</v>
      </c>
      <c r="AE4" s="270">
        <v>25.473757</v>
      </c>
      <c r="AF4" s="264">
        <v>1.6488613</v>
      </c>
      <c r="AG4" s="264">
        <v>40.588461</v>
      </c>
      <c r="AH4" s="264">
        <v>39.256086</v>
      </c>
      <c r="AI4" s="264">
        <v>144.60518</v>
      </c>
      <c r="AJ4" s="264">
        <v>181.24694</v>
      </c>
      <c r="AK4" s="264">
        <v>20.216486</v>
      </c>
      <c r="AL4" s="264">
        <v>165.74908</v>
      </c>
      <c r="AM4" s="264">
        <v>12.756575</v>
      </c>
      <c r="AN4" s="270">
        <v>0.57718022</v>
      </c>
      <c r="AO4" s="270">
        <v>0.70300821</v>
      </c>
      <c r="AP4" s="277">
        <v>0.65066602</v>
      </c>
      <c r="AQ4" s="270"/>
      <c r="AR4" s="270"/>
      <c r="AS4" s="270"/>
      <c r="AT4" s="278"/>
    </row>
    <row r="5" ht="14.75" spans="1:42">
      <c r="A5" s="271"/>
      <c r="B5" s="272">
        <v>3</v>
      </c>
      <c r="C5" s="272">
        <v>5</v>
      </c>
      <c r="D5" s="272">
        <v>10</v>
      </c>
      <c r="E5" s="272">
        <v>0.82702273</v>
      </c>
      <c r="F5" s="273">
        <v>0.7405341</v>
      </c>
      <c r="G5" s="272">
        <v>-0.9094079</v>
      </c>
      <c r="H5" s="273">
        <v>4</v>
      </c>
      <c r="I5" s="272">
        <v>2.441417</v>
      </c>
      <c r="J5" s="272">
        <v>5.8734704</v>
      </c>
      <c r="K5" s="272">
        <v>0.25</v>
      </c>
      <c r="L5" s="272">
        <v>2</v>
      </c>
      <c r="M5" s="273">
        <v>0.28391184</v>
      </c>
      <c r="N5" s="272">
        <v>6.1638853</v>
      </c>
      <c r="O5" s="272">
        <v>0</v>
      </c>
      <c r="P5" s="273">
        <v>0.0833</v>
      </c>
      <c r="Q5" s="273">
        <v>424</v>
      </c>
      <c r="R5" s="273">
        <v>42.4</v>
      </c>
      <c r="S5" s="273">
        <v>2</v>
      </c>
      <c r="T5" s="272">
        <v>4.52</v>
      </c>
      <c r="U5" s="272">
        <v>2.6929479</v>
      </c>
      <c r="V5" s="273">
        <v>180.01815</v>
      </c>
      <c r="W5" s="272">
        <v>18.001815</v>
      </c>
      <c r="X5" s="272">
        <v>180.01815</v>
      </c>
      <c r="Y5" s="273">
        <v>181.86953</v>
      </c>
      <c r="Z5" s="272">
        <v>18.186953</v>
      </c>
      <c r="AA5" s="273">
        <v>1.0179736</v>
      </c>
      <c r="AB5" s="272">
        <v>22.52154</v>
      </c>
      <c r="AC5" s="272">
        <v>54.98447</v>
      </c>
      <c r="AD5" s="272">
        <v>181.12118</v>
      </c>
      <c r="AE5" s="272">
        <v>18.112118</v>
      </c>
      <c r="AF5" s="272">
        <v>0.60899925</v>
      </c>
      <c r="AG5" s="272">
        <v>22.614595</v>
      </c>
      <c r="AH5" s="272">
        <v>55.211655</v>
      </c>
      <c r="AI5" s="272">
        <v>56.907563</v>
      </c>
      <c r="AJ5" s="272">
        <v>61.368654</v>
      </c>
      <c r="AK5" s="272">
        <v>7.2693321</v>
      </c>
      <c r="AL5" s="272">
        <v>59.565413</v>
      </c>
      <c r="AM5" s="272">
        <v>4.4620708</v>
      </c>
      <c r="AN5" s="273">
        <v>0.31612125</v>
      </c>
      <c r="AO5" s="273">
        <v>0.33743229</v>
      </c>
      <c r="AP5" s="279">
        <v>0.32887051</v>
      </c>
    </row>
  </sheetData>
  <mergeCells count="1">
    <mergeCell ref="A2:A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P549"/>
  <sheetViews>
    <sheetView showGridLines="0" zoomScale="80" zoomScaleNormal="80" workbookViewId="0">
      <selection activeCell="S28" sqref="S28"/>
    </sheetView>
  </sheetViews>
  <sheetFormatPr defaultColWidth="9" defaultRowHeight="14"/>
  <cols>
    <col min="1" max="1" width="3.25454545454545" style="202" customWidth="1"/>
    <col min="2" max="2" width="43.3727272727273" style="202" customWidth="1"/>
    <col min="3" max="3" width="13.6272727272727" style="202" customWidth="1"/>
    <col min="4" max="4" width="40.3727272727273" style="202" customWidth="1"/>
    <col min="5" max="5" width="11.1272727272727" style="203" customWidth="1"/>
    <col min="6" max="6" width="10.7545454545455" style="204" customWidth="1"/>
    <col min="7" max="7" width="13.1272727272727" style="205" customWidth="1"/>
    <col min="8" max="8" width="10.8727272727273" style="202" customWidth="1"/>
    <col min="9" max="9" width="10.7545454545455" style="202" customWidth="1"/>
    <col min="10" max="10" width="10.7545454545455" style="202"/>
    <col min="11" max="11" width="11.7545454545455" style="202" customWidth="1"/>
    <col min="12" max="12" width="13.1272727272727" style="202" customWidth="1"/>
    <col min="13" max="14" width="9" style="202"/>
    <col min="15" max="15" width="10.3727272727273" style="202" customWidth="1"/>
    <col min="16" max="16384" width="9" style="202"/>
  </cols>
  <sheetData>
    <row r="1" s="95" customFormat="1" ht="14.25" customHeight="1" spans="2:8">
      <c r="B1" s="206"/>
      <c r="C1" s="206"/>
      <c r="D1" s="207"/>
      <c r="E1" s="207"/>
      <c r="F1" s="207"/>
      <c r="G1" s="208"/>
      <c r="H1" s="207"/>
    </row>
    <row r="2" s="95" customFormat="1" ht="14.25" customHeight="1" spans="2:16">
      <c r="B2" s="209" t="s">
        <v>125</v>
      </c>
      <c r="C2" s="210"/>
      <c r="D2" s="211"/>
      <c r="E2" s="211"/>
      <c r="F2" s="211"/>
      <c r="G2" s="212"/>
      <c r="H2" s="211"/>
      <c r="I2" s="229"/>
      <c r="J2" s="229"/>
      <c r="K2" s="229"/>
      <c r="L2" s="229"/>
      <c r="M2" s="229"/>
      <c r="N2" s="229"/>
      <c r="O2" s="229"/>
      <c r="P2" s="230"/>
    </row>
    <row r="3" s="95" customFormat="1" ht="14.25" customHeight="1" spans="2:16">
      <c r="B3" s="213" t="s">
        <v>126</v>
      </c>
      <c r="C3" s="206"/>
      <c r="D3" s="207"/>
      <c r="E3" s="207"/>
      <c r="F3" s="207"/>
      <c r="G3" s="208"/>
      <c r="H3" s="207"/>
      <c r="P3" s="231"/>
    </row>
    <row r="4" s="95" customFormat="1" ht="14.25" customHeight="1" spans="2:16">
      <c r="B4" s="214" t="s">
        <v>127</v>
      </c>
      <c r="C4" s="215"/>
      <c r="D4" s="216"/>
      <c r="E4" s="217"/>
      <c r="F4" s="216"/>
      <c r="G4" s="218"/>
      <c r="H4" s="216"/>
      <c r="P4" s="231"/>
    </row>
    <row r="5" s="95" customFormat="1" ht="14.25" customHeight="1" spans="2:16">
      <c r="B5" s="213"/>
      <c r="C5" s="206"/>
      <c r="D5" s="207"/>
      <c r="E5" s="207"/>
      <c r="F5" s="207"/>
      <c r="G5" s="208"/>
      <c r="H5" s="207"/>
      <c r="P5" s="231"/>
    </row>
    <row r="6" s="95" customFormat="1" ht="14.25" customHeight="1" spans="2:16">
      <c r="B6" s="213" t="s">
        <v>128</v>
      </c>
      <c r="C6" s="206"/>
      <c r="D6" s="207"/>
      <c r="E6" s="207"/>
      <c r="F6" s="207"/>
      <c r="G6" s="208"/>
      <c r="H6" s="207"/>
      <c r="P6" s="231"/>
    </row>
    <row r="7" s="95" customFormat="1" ht="14.25" customHeight="1" spans="2:16">
      <c r="B7" s="213" t="s">
        <v>129</v>
      </c>
      <c r="C7" s="206"/>
      <c r="D7" s="207"/>
      <c r="E7" s="207"/>
      <c r="F7" s="207"/>
      <c r="G7" s="208"/>
      <c r="H7" s="207"/>
      <c r="P7" s="231"/>
    </row>
    <row r="8" s="95" customFormat="1" ht="14.25" customHeight="1" spans="2:16">
      <c r="B8" s="214" t="s">
        <v>130</v>
      </c>
      <c r="C8" s="215"/>
      <c r="D8" s="216"/>
      <c r="E8" s="217"/>
      <c r="F8" s="216"/>
      <c r="G8" s="218"/>
      <c r="H8" s="216"/>
      <c r="P8" s="231"/>
    </row>
    <row r="9" s="95" customFormat="1" ht="14.25" customHeight="1" spans="2:16">
      <c r="B9" s="213"/>
      <c r="C9" s="206"/>
      <c r="D9" s="207"/>
      <c r="E9" s="207"/>
      <c r="F9" s="207"/>
      <c r="G9" s="208"/>
      <c r="H9" s="207"/>
      <c r="P9" s="231"/>
    </row>
    <row r="10" s="95" customFormat="1" ht="14.25" customHeight="1" spans="2:16">
      <c r="B10" s="213" t="s">
        <v>131</v>
      </c>
      <c r="C10" s="219" t="s">
        <v>132</v>
      </c>
      <c r="D10" s="207" t="s">
        <v>133</v>
      </c>
      <c r="E10" s="207" t="s">
        <v>134</v>
      </c>
      <c r="F10" s="207" t="s">
        <v>135</v>
      </c>
      <c r="G10" s="208" t="s">
        <v>136</v>
      </c>
      <c r="H10" s="207"/>
      <c r="P10" s="231"/>
    </row>
    <row r="11" s="95" customFormat="1" ht="14.25" customHeight="1" spans="2:16">
      <c r="B11" s="213" t="s">
        <v>137</v>
      </c>
      <c r="C11" s="220">
        <v>0.000105</v>
      </c>
      <c r="D11" s="207"/>
      <c r="E11" s="207"/>
      <c r="F11" s="207"/>
      <c r="G11" s="208"/>
      <c r="H11" s="207"/>
      <c r="P11" s="231"/>
    </row>
    <row r="12" s="95" customFormat="1" ht="14.25" customHeight="1" spans="2:16">
      <c r="B12" s="213" t="s">
        <v>138</v>
      </c>
      <c r="C12" s="221">
        <v>0.000182</v>
      </c>
      <c r="D12" s="207"/>
      <c r="E12" s="207"/>
      <c r="F12" s="207"/>
      <c r="G12" s="208"/>
      <c r="H12" s="207"/>
      <c r="P12" s="231"/>
    </row>
    <row r="13" s="95" customFormat="1" ht="14.25" customHeight="1" spans="2:16">
      <c r="B13" s="213" t="s">
        <v>139</v>
      </c>
      <c r="C13" s="206">
        <v>0.998</v>
      </c>
      <c r="D13" s="207"/>
      <c r="E13" s="207"/>
      <c r="F13" s="207"/>
      <c r="G13" s="208"/>
      <c r="H13" s="207"/>
      <c r="P13" s="231"/>
    </row>
    <row r="14" s="95" customFormat="1" ht="14.25" customHeight="1" spans="2:16">
      <c r="B14" s="214" t="s">
        <v>140</v>
      </c>
      <c r="C14" s="215"/>
      <c r="D14" s="216"/>
      <c r="E14" s="217"/>
      <c r="F14" s="216"/>
      <c r="G14" s="218"/>
      <c r="H14" s="216"/>
      <c r="P14" s="231"/>
    </row>
    <row r="15" s="95" customFormat="1" ht="14.25" customHeight="1" spans="2:16">
      <c r="B15" s="214"/>
      <c r="C15" s="215"/>
      <c r="D15" s="216"/>
      <c r="E15" s="217"/>
      <c r="F15" s="216"/>
      <c r="G15" s="218"/>
      <c r="H15" s="216"/>
      <c r="P15" s="231"/>
    </row>
    <row r="16" s="201" customFormat="1" ht="54" customHeight="1" spans="2:16">
      <c r="B16" s="222"/>
      <c r="C16" s="223"/>
      <c r="D16" s="223"/>
      <c r="E16" s="224"/>
      <c r="F16" s="224"/>
      <c r="G16" s="225"/>
      <c r="H16" s="224"/>
      <c r="I16" s="232"/>
      <c r="J16" s="232"/>
      <c r="K16" s="232"/>
      <c r="L16" s="232"/>
      <c r="M16" s="232"/>
      <c r="N16" s="232"/>
      <c r="O16" s="232"/>
      <c r="P16" s="233"/>
    </row>
    <row r="17" s="95" customFormat="1" ht="15" customHeight="1" spans="2:16">
      <c r="B17" s="213"/>
      <c r="C17" s="206"/>
      <c r="D17" s="206"/>
      <c r="E17" s="206"/>
      <c r="F17" s="206"/>
      <c r="G17" s="226"/>
      <c r="H17" s="206"/>
      <c r="P17" s="231"/>
    </row>
    <row r="18" s="95" customFormat="1" ht="15" customHeight="1" spans="2:16">
      <c r="B18" s="213" t="s">
        <v>141</v>
      </c>
      <c r="C18" s="206" t="s">
        <v>142</v>
      </c>
      <c r="D18" s="206" t="s">
        <v>143</v>
      </c>
      <c r="E18" s="206" t="s">
        <v>144</v>
      </c>
      <c r="F18" s="206" t="s">
        <v>145</v>
      </c>
      <c r="G18" s="226" t="s">
        <v>146</v>
      </c>
      <c r="H18" s="206" t="s">
        <v>147</v>
      </c>
      <c r="I18" s="95" t="s">
        <v>148</v>
      </c>
      <c r="J18" s="95" t="s">
        <v>149</v>
      </c>
      <c r="K18" s="95" t="s">
        <v>150</v>
      </c>
      <c r="L18" s="95" t="s">
        <v>151</v>
      </c>
      <c r="M18" s="95" t="s">
        <v>152</v>
      </c>
      <c r="N18" s="95" t="s">
        <v>153</v>
      </c>
      <c r="O18" s="95" t="s">
        <v>154</v>
      </c>
      <c r="P18" s="231" t="s">
        <v>155</v>
      </c>
    </row>
    <row r="19" s="95" customFormat="1" ht="15" customHeight="1" spans="2:16">
      <c r="B19" s="213" t="s">
        <v>156</v>
      </c>
      <c r="C19" s="206" t="s">
        <v>157</v>
      </c>
      <c r="D19" s="206" t="s">
        <v>158</v>
      </c>
      <c r="E19" s="206" t="s">
        <v>4</v>
      </c>
      <c r="F19" s="206" t="s">
        <v>159</v>
      </c>
      <c r="G19" s="227" t="e">
        <v>#DIV/0!</v>
      </c>
      <c r="H19" s="206">
        <v>0</v>
      </c>
      <c r="I19" s="95">
        <v>0</v>
      </c>
      <c r="J19" s="95" t="e">
        <v>#DIV/0!</v>
      </c>
      <c r="K19" s="95">
        <v>0</v>
      </c>
      <c r="L19" s="95">
        <v>0</v>
      </c>
      <c r="N19" s="95">
        <v>0</v>
      </c>
      <c r="O19" s="95" t="s">
        <v>159</v>
      </c>
      <c r="P19" s="231">
        <v>1</v>
      </c>
    </row>
    <row r="20" s="95" customFormat="1" ht="15" customHeight="1" spans="2:16">
      <c r="B20" s="213" t="s">
        <v>156</v>
      </c>
      <c r="C20" s="206" t="s">
        <v>157</v>
      </c>
      <c r="D20" s="206" t="s">
        <v>158</v>
      </c>
      <c r="E20" s="206" t="s">
        <v>4</v>
      </c>
      <c r="F20" s="206" t="s">
        <v>159</v>
      </c>
      <c r="G20" s="227" t="e">
        <v>#DIV/0!</v>
      </c>
      <c r="H20" s="206">
        <v>0</v>
      </c>
      <c r="I20" s="95">
        <v>0</v>
      </c>
      <c r="J20" s="95" t="e">
        <v>#DIV/0!</v>
      </c>
      <c r="K20" s="95">
        <v>0</v>
      </c>
      <c r="L20" s="95">
        <v>0</v>
      </c>
      <c r="N20" s="95">
        <v>0</v>
      </c>
      <c r="O20" s="234" t="s">
        <v>159</v>
      </c>
      <c r="P20" s="231">
        <v>1</v>
      </c>
    </row>
    <row r="21" s="95" customFormat="1" ht="15" customHeight="1" spans="2:16">
      <c r="B21" s="213" t="s">
        <v>156</v>
      </c>
      <c r="C21" s="206" t="s">
        <v>157</v>
      </c>
      <c r="D21" s="206" t="s">
        <v>158</v>
      </c>
      <c r="E21" s="206" t="s">
        <v>4</v>
      </c>
      <c r="F21" s="206" t="s">
        <v>159</v>
      </c>
      <c r="G21" s="227" t="e">
        <v>#DIV/0!</v>
      </c>
      <c r="H21" s="206">
        <v>0</v>
      </c>
      <c r="I21" s="95">
        <v>0</v>
      </c>
      <c r="J21" s="95" t="e">
        <v>#DIV/0!</v>
      </c>
      <c r="K21" s="95">
        <v>0</v>
      </c>
      <c r="L21" s="95">
        <v>0</v>
      </c>
      <c r="N21" s="95">
        <v>0</v>
      </c>
      <c r="O21" s="234" t="s">
        <v>159</v>
      </c>
      <c r="P21" s="231">
        <v>1</v>
      </c>
    </row>
    <row r="22" s="95" customFormat="1" ht="15" customHeight="1" spans="2:16">
      <c r="B22" s="213" t="s">
        <v>160</v>
      </c>
      <c r="C22" s="206" t="s">
        <v>157</v>
      </c>
      <c r="D22" s="206" t="s">
        <v>158</v>
      </c>
      <c r="E22" s="206" t="s">
        <v>4</v>
      </c>
      <c r="F22" s="206" t="s">
        <v>159</v>
      </c>
      <c r="G22" s="227" t="s">
        <v>161</v>
      </c>
      <c r="H22" s="206">
        <v>0</v>
      </c>
      <c r="I22" s="95">
        <v>0</v>
      </c>
      <c r="J22" s="95">
        <v>0</v>
      </c>
      <c r="K22" s="95">
        <v>823000</v>
      </c>
      <c r="L22" s="95">
        <v>0.764</v>
      </c>
      <c r="N22" s="95">
        <v>0</v>
      </c>
      <c r="O22" s="234" t="s">
        <v>159</v>
      </c>
      <c r="P22" s="231">
        <v>1</v>
      </c>
    </row>
    <row r="23" s="95" customFormat="1" ht="15" customHeight="1" spans="2:16">
      <c r="B23" s="213" t="s">
        <v>162</v>
      </c>
      <c r="C23" s="206" t="s">
        <v>163</v>
      </c>
      <c r="D23" s="206" t="s">
        <v>158</v>
      </c>
      <c r="E23" s="206" t="s">
        <v>4</v>
      </c>
      <c r="F23" s="206">
        <v>1</v>
      </c>
      <c r="G23" s="227" t="s">
        <v>161</v>
      </c>
      <c r="H23" s="206">
        <v>0</v>
      </c>
      <c r="I23" s="95">
        <v>0</v>
      </c>
      <c r="J23" s="95">
        <v>0</v>
      </c>
      <c r="K23" s="95">
        <v>625000</v>
      </c>
      <c r="L23" s="95">
        <v>0.765</v>
      </c>
      <c r="M23" s="95">
        <v>0</v>
      </c>
      <c r="N23" s="95">
        <v>0</v>
      </c>
      <c r="O23" s="234">
        <v>0</v>
      </c>
      <c r="P23" s="231">
        <v>1</v>
      </c>
    </row>
    <row r="24" s="95" customFormat="1" ht="15" customHeight="1" spans="2:16">
      <c r="B24" s="213" t="s">
        <v>164</v>
      </c>
      <c r="C24" s="206" t="s">
        <v>163</v>
      </c>
      <c r="D24" s="206" t="s">
        <v>158</v>
      </c>
      <c r="E24" s="206" t="s">
        <v>4</v>
      </c>
      <c r="F24" s="206">
        <v>2</v>
      </c>
      <c r="G24" s="227">
        <v>1.98</v>
      </c>
      <c r="H24" s="206">
        <v>285</v>
      </c>
      <c r="I24" s="95">
        <v>0.948</v>
      </c>
      <c r="J24" s="95">
        <v>0.000467</v>
      </c>
      <c r="K24" s="95">
        <v>610000</v>
      </c>
      <c r="L24" s="95">
        <v>0.766</v>
      </c>
      <c r="M24" s="95">
        <v>1</v>
      </c>
      <c r="N24" s="95">
        <v>0</v>
      </c>
      <c r="O24" s="234">
        <v>99.13</v>
      </c>
      <c r="P24" s="231">
        <v>1</v>
      </c>
    </row>
    <row r="25" s="95" customFormat="1" ht="15" customHeight="1" spans="2:16">
      <c r="B25" s="213" t="s">
        <v>165</v>
      </c>
      <c r="C25" s="206" t="s">
        <v>163</v>
      </c>
      <c r="D25" s="206" t="s">
        <v>158</v>
      </c>
      <c r="E25" s="206" t="s">
        <v>4</v>
      </c>
      <c r="F25" s="206">
        <v>10</v>
      </c>
      <c r="G25" s="227">
        <v>10.3</v>
      </c>
      <c r="H25" s="206">
        <v>1210</v>
      </c>
      <c r="I25" s="95">
        <v>0.933</v>
      </c>
      <c r="J25" s="95">
        <v>0.00198</v>
      </c>
      <c r="K25" s="95">
        <v>613000</v>
      </c>
      <c r="L25" s="95">
        <v>0.765</v>
      </c>
      <c r="M25" s="95">
        <v>1</v>
      </c>
      <c r="N25" s="95">
        <v>0</v>
      </c>
      <c r="O25" s="234">
        <v>102.94</v>
      </c>
      <c r="P25" s="231">
        <v>1</v>
      </c>
    </row>
    <row r="26" s="95" customFormat="1" ht="15" customHeight="1" spans="2:16">
      <c r="B26" s="213" t="s">
        <v>166</v>
      </c>
      <c r="C26" s="206" t="s">
        <v>163</v>
      </c>
      <c r="D26" s="206" t="s">
        <v>158</v>
      </c>
      <c r="E26" s="206" t="s">
        <v>4</v>
      </c>
      <c r="F26" s="206">
        <v>50</v>
      </c>
      <c r="G26" s="227">
        <v>54.7</v>
      </c>
      <c r="H26" s="206">
        <v>6110</v>
      </c>
      <c r="I26" s="95">
        <v>0.942</v>
      </c>
      <c r="J26" s="95">
        <v>0.0101</v>
      </c>
      <c r="K26" s="95">
        <v>606000</v>
      </c>
      <c r="L26" s="95">
        <v>0.774</v>
      </c>
      <c r="M26" s="95">
        <v>1</v>
      </c>
      <c r="N26" s="95">
        <v>0</v>
      </c>
      <c r="O26" s="234">
        <v>109.47</v>
      </c>
      <c r="P26" s="231">
        <v>1</v>
      </c>
    </row>
    <row r="27" s="95" customFormat="1" ht="15" customHeight="1" spans="2:16">
      <c r="B27" s="213" t="s">
        <v>167</v>
      </c>
      <c r="C27" s="206" t="s">
        <v>163</v>
      </c>
      <c r="D27" s="206" t="s">
        <v>158</v>
      </c>
      <c r="E27" s="206" t="s">
        <v>4</v>
      </c>
      <c r="F27" s="206">
        <v>200</v>
      </c>
      <c r="G27" s="227">
        <v>181</v>
      </c>
      <c r="H27" s="206">
        <v>20500</v>
      </c>
      <c r="I27" s="95">
        <v>0.934</v>
      </c>
      <c r="J27" s="95">
        <v>0.0331</v>
      </c>
      <c r="K27" s="95">
        <v>618000</v>
      </c>
      <c r="L27" s="95">
        <v>0.767</v>
      </c>
      <c r="M27" s="95">
        <v>1</v>
      </c>
      <c r="N27" s="95">
        <v>0</v>
      </c>
      <c r="O27" s="234">
        <v>90.51</v>
      </c>
      <c r="P27" s="231">
        <v>1</v>
      </c>
    </row>
    <row r="28" s="95" customFormat="1" ht="15" customHeight="1" spans="2:16">
      <c r="B28" s="213" t="s">
        <v>168</v>
      </c>
      <c r="C28" s="206" t="s">
        <v>163</v>
      </c>
      <c r="D28" s="206" t="s">
        <v>158</v>
      </c>
      <c r="E28" s="206" t="s">
        <v>4</v>
      </c>
      <c r="F28" s="206">
        <v>1000</v>
      </c>
      <c r="G28" s="227">
        <v>957</v>
      </c>
      <c r="H28" s="206">
        <v>106000</v>
      </c>
      <c r="I28" s="95">
        <v>0.933</v>
      </c>
      <c r="J28" s="95">
        <v>0.175</v>
      </c>
      <c r="K28" s="95">
        <v>607000</v>
      </c>
      <c r="L28" s="95">
        <v>0.765</v>
      </c>
      <c r="M28" s="95">
        <v>1</v>
      </c>
      <c r="N28" s="95">
        <v>0</v>
      </c>
      <c r="O28" s="234">
        <v>95.67</v>
      </c>
      <c r="P28" s="231">
        <v>1</v>
      </c>
    </row>
    <row r="29" s="95" customFormat="1" ht="15" customHeight="1" spans="2:16">
      <c r="B29" s="213" t="s">
        <v>169</v>
      </c>
      <c r="C29" s="206" t="s">
        <v>163</v>
      </c>
      <c r="D29" s="206" t="s">
        <v>158</v>
      </c>
      <c r="E29" s="206" t="s">
        <v>4</v>
      </c>
      <c r="F29" s="206">
        <v>1800</v>
      </c>
      <c r="G29" s="227">
        <v>1770</v>
      </c>
      <c r="H29" s="206">
        <v>195000</v>
      </c>
      <c r="I29" s="95">
        <v>0.934</v>
      </c>
      <c r="J29" s="95">
        <v>0.324</v>
      </c>
      <c r="K29" s="95">
        <v>603000</v>
      </c>
      <c r="L29" s="95">
        <v>0.767</v>
      </c>
      <c r="M29" s="95">
        <v>1</v>
      </c>
      <c r="N29" s="95">
        <v>0</v>
      </c>
      <c r="O29" s="234">
        <v>98.56</v>
      </c>
      <c r="P29" s="231">
        <v>1</v>
      </c>
    </row>
    <row r="30" s="95" customFormat="1" ht="15" customHeight="1" spans="2:16">
      <c r="B30" s="213" t="s">
        <v>170</v>
      </c>
      <c r="C30" s="206" t="s">
        <v>163</v>
      </c>
      <c r="D30" s="206" t="s">
        <v>158</v>
      </c>
      <c r="E30" s="206" t="s">
        <v>4</v>
      </c>
      <c r="F30" s="206">
        <v>2000</v>
      </c>
      <c r="G30" s="227">
        <v>2070</v>
      </c>
      <c r="H30" s="206">
        <v>225000</v>
      </c>
      <c r="I30" s="95">
        <v>0.933</v>
      </c>
      <c r="J30" s="95">
        <v>0.378</v>
      </c>
      <c r="K30" s="95">
        <v>595000</v>
      </c>
      <c r="L30" s="95">
        <v>0.765</v>
      </c>
      <c r="M30" s="95">
        <v>1</v>
      </c>
      <c r="N30" s="95">
        <v>0</v>
      </c>
      <c r="O30" s="234">
        <v>103.71</v>
      </c>
      <c r="P30" s="231">
        <v>1</v>
      </c>
    </row>
    <row r="31" s="95" customFormat="1" ht="15" customHeight="1" spans="2:16">
      <c r="B31" s="213" t="s">
        <v>156</v>
      </c>
      <c r="C31" s="206" t="s">
        <v>157</v>
      </c>
      <c r="D31" s="206" t="s">
        <v>158</v>
      </c>
      <c r="E31" s="206" t="s">
        <v>4</v>
      </c>
      <c r="F31" s="206" t="s">
        <v>159</v>
      </c>
      <c r="G31" s="227" t="e">
        <v>#DIV/0!</v>
      </c>
      <c r="H31" s="206">
        <v>0</v>
      </c>
      <c r="I31" s="95">
        <v>0</v>
      </c>
      <c r="J31" s="95" t="e">
        <v>#DIV/0!</v>
      </c>
      <c r="K31" s="95">
        <v>0</v>
      </c>
      <c r="L31" s="95">
        <v>0</v>
      </c>
      <c r="N31" s="95">
        <v>0</v>
      </c>
      <c r="O31" s="234" t="s">
        <v>159</v>
      </c>
      <c r="P31" s="231">
        <v>1</v>
      </c>
    </row>
    <row r="32" s="95" customFormat="1" ht="15" customHeight="1" spans="2:16">
      <c r="B32" s="213" t="s">
        <v>156</v>
      </c>
      <c r="C32" s="206" t="s">
        <v>157</v>
      </c>
      <c r="D32" s="206" t="s">
        <v>158</v>
      </c>
      <c r="E32" s="206" t="s">
        <v>4</v>
      </c>
      <c r="F32" s="206" t="s">
        <v>159</v>
      </c>
      <c r="G32" s="227" t="e">
        <v>#DIV/0!</v>
      </c>
      <c r="H32" s="206">
        <v>0</v>
      </c>
      <c r="I32" s="95">
        <v>0</v>
      </c>
      <c r="J32" s="95" t="e">
        <v>#DIV/0!</v>
      </c>
      <c r="K32" s="95">
        <v>0</v>
      </c>
      <c r="L32" s="95">
        <v>0</v>
      </c>
      <c r="N32" s="95">
        <v>0</v>
      </c>
      <c r="O32" s="234" t="s">
        <v>159</v>
      </c>
      <c r="P32" s="231">
        <v>1</v>
      </c>
    </row>
    <row r="33" s="95" customFormat="1" ht="15" customHeight="1" spans="2:16">
      <c r="B33" s="213" t="s">
        <v>156</v>
      </c>
      <c r="C33" s="206" t="s">
        <v>157</v>
      </c>
      <c r="D33" s="206" t="s">
        <v>158</v>
      </c>
      <c r="E33" s="206" t="s">
        <v>4</v>
      </c>
      <c r="F33" s="206" t="s">
        <v>159</v>
      </c>
      <c r="G33" s="227" t="e">
        <v>#DIV/0!</v>
      </c>
      <c r="H33" s="206">
        <v>0</v>
      </c>
      <c r="I33" s="95">
        <v>0</v>
      </c>
      <c r="J33" s="95" t="e">
        <v>#DIV/0!</v>
      </c>
      <c r="K33" s="95">
        <v>0</v>
      </c>
      <c r="L33" s="95">
        <v>0</v>
      </c>
      <c r="N33" s="95">
        <v>0</v>
      </c>
      <c r="O33" s="234" t="s">
        <v>159</v>
      </c>
      <c r="P33" s="231">
        <v>1</v>
      </c>
    </row>
    <row r="34" s="95" customFormat="1" ht="15" customHeight="1" spans="2:16">
      <c r="B34" s="213" t="s">
        <v>171</v>
      </c>
      <c r="C34" s="206" t="s">
        <v>172</v>
      </c>
      <c r="D34" s="206" t="s">
        <v>158</v>
      </c>
      <c r="E34" s="206" t="s">
        <v>4</v>
      </c>
      <c r="F34" s="206">
        <v>3</v>
      </c>
      <c r="G34" s="227">
        <v>3.35</v>
      </c>
      <c r="H34" s="206">
        <v>330</v>
      </c>
      <c r="I34" s="95">
        <v>0.96</v>
      </c>
      <c r="J34" s="95">
        <v>0.000717</v>
      </c>
      <c r="K34" s="95">
        <v>460000</v>
      </c>
      <c r="L34" s="95">
        <v>0.791</v>
      </c>
      <c r="M34" s="95">
        <v>1</v>
      </c>
      <c r="N34" s="95">
        <v>0</v>
      </c>
      <c r="O34" s="234">
        <v>111.74</v>
      </c>
      <c r="P34" s="231">
        <v>1</v>
      </c>
    </row>
    <row r="35" s="95" customFormat="1" ht="15" customHeight="1" spans="2:16">
      <c r="B35" s="213" t="s">
        <v>173</v>
      </c>
      <c r="C35" s="206" t="s">
        <v>172</v>
      </c>
      <c r="D35" s="206" t="s">
        <v>158</v>
      </c>
      <c r="E35" s="206" t="s">
        <v>4</v>
      </c>
      <c r="F35" s="206">
        <v>100</v>
      </c>
      <c r="G35" s="227">
        <v>95.4</v>
      </c>
      <c r="H35" s="206">
        <v>10300</v>
      </c>
      <c r="I35" s="95">
        <v>0.932</v>
      </c>
      <c r="J35" s="95">
        <v>0.0175</v>
      </c>
      <c r="K35" s="95">
        <v>589000</v>
      </c>
      <c r="L35" s="95">
        <v>0.764</v>
      </c>
      <c r="M35" s="95">
        <v>1</v>
      </c>
      <c r="N35" s="95">
        <v>0</v>
      </c>
      <c r="O35" s="234">
        <v>95.36</v>
      </c>
      <c r="P35" s="231">
        <v>1</v>
      </c>
    </row>
    <row r="36" s="95" customFormat="1" ht="15" customHeight="1" spans="2:16">
      <c r="B36" s="213" t="s">
        <v>174</v>
      </c>
      <c r="C36" s="206" t="s">
        <v>172</v>
      </c>
      <c r="D36" s="206" t="s">
        <v>158</v>
      </c>
      <c r="E36" s="206" t="s">
        <v>4</v>
      </c>
      <c r="F36" s="206">
        <v>1600</v>
      </c>
      <c r="G36" s="227">
        <v>1500</v>
      </c>
      <c r="H36" s="206">
        <v>163000</v>
      </c>
      <c r="I36" s="95">
        <v>0.939</v>
      </c>
      <c r="J36" s="95">
        <v>0.273</v>
      </c>
      <c r="K36" s="95">
        <v>597000</v>
      </c>
      <c r="L36" s="95">
        <v>0.769</v>
      </c>
      <c r="M36" s="95">
        <v>1</v>
      </c>
      <c r="N36" s="95">
        <v>0</v>
      </c>
      <c r="O36" s="234">
        <v>93.61</v>
      </c>
      <c r="P36" s="231">
        <v>1</v>
      </c>
    </row>
    <row r="37" s="95" customFormat="1" ht="15" customHeight="1" spans="2:16">
      <c r="B37" s="213" t="s">
        <v>175</v>
      </c>
      <c r="C37" s="206" t="s">
        <v>157</v>
      </c>
      <c r="D37" s="206" t="s">
        <v>158</v>
      </c>
      <c r="E37" s="206" t="s">
        <v>4</v>
      </c>
      <c r="F37" s="206" t="s">
        <v>159</v>
      </c>
      <c r="G37" s="227" t="e">
        <v>#DIV/0!</v>
      </c>
      <c r="H37" s="206">
        <v>0</v>
      </c>
      <c r="I37" s="95">
        <v>0</v>
      </c>
      <c r="J37" s="95" t="e">
        <v>#DIV/0!</v>
      </c>
      <c r="K37" s="95">
        <v>0</v>
      </c>
      <c r="L37" s="95">
        <v>0</v>
      </c>
      <c r="N37" s="95">
        <v>0</v>
      </c>
      <c r="O37" s="234" t="s">
        <v>159</v>
      </c>
      <c r="P37" s="231">
        <v>1</v>
      </c>
    </row>
    <row r="38" s="95" customFormat="1" ht="15" customHeight="1" spans="2:16">
      <c r="B38" s="213" t="s">
        <v>176</v>
      </c>
      <c r="C38" s="206" t="s">
        <v>172</v>
      </c>
      <c r="D38" s="206" t="s">
        <v>158</v>
      </c>
      <c r="E38" s="206" t="s">
        <v>4</v>
      </c>
      <c r="F38" s="206">
        <v>50</v>
      </c>
      <c r="G38" s="227">
        <v>40.1</v>
      </c>
      <c r="H38" s="206">
        <v>4700</v>
      </c>
      <c r="I38" s="95">
        <v>0.944</v>
      </c>
      <c r="J38" s="95">
        <v>0.00742</v>
      </c>
      <c r="K38" s="95">
        <v>633000</v>
      </c>
      <c r="L38" s="95">
        <v>0.773</v>
      </c>
      <c r="M38" s="95">
        <v>1</v>
      </c>
      <c r="N38" s="95">
        <v>0</v>
      </c>
      <c r="O38" s="234">
        <v>80.23</v>
      </c>
      <c r="P38" s="231">
        <v>1</v>
      </c>
    </row>
    <row r="39" s="95" customFormat="1" ht="15" customHeight="1" spans="2:16">
      <c r="B39" s="213" t="s">
        <v>177</v>
      </c>
      <c r="C39" s="206" t="s">
        <v>172</v>
      </c>
      <c r="D39" s="206" t="s">
        <v>158</v>
      </c>
      <c r="E39" s="206" t="s">
        <v>4</v>
      </c>
      <c r="F39" s="206">
        <v>50</v>
      </c>
      <c r="G39" s="227">
        <v>40.6</v>
      </c>
      <c r="H39" s="206">
        <v>4910</v>
      </c>
      <c r="I39" s="95">
        <v>0.935</v>
      </c>
      <c r="J39" s="95">
        <v>0.00752</v>
      </c>
      <c r="K39" s="95">
        <v>653000</v>
      </c>
      <c r="L39" s="95">
        <v>0.766</v>
      </c>
      <c r="M39" s="95">
        <v>1</v>
      </c>
      <c r="N39" s="95">
        <v>0</v>
      </c>
      <c r="O39" s="234">
        <v>81.29</v>
      </c>
      <c r="P39" s="231">
        <v>1</v>
      </c>
    </row>
    <row r="40" s="95" customFormat="1" ht="15" customHeight="1" spans="2:16">
      <c r="B40" s="213" t="s">
        <v>178</v>
      </c>
      <c r="C40" s="206" t="s">
        <v>172</v>
      </c>
      <c r="D40" s="206" t="s">
        <v>158</v>
      </c>
      <c r="E40" s="206" t="s">
        <v>4</v>
      </c>
      <c r="F40" s="206">
        <v>50</v>
      </c>
      <c r="G40" s="227">
        <v>43.3</v>
      </c>
      <c r="H40" s="206">
        <v>4910</v>
      </c>
      <c r="I40" s="95">
        <v>0.934</v>
      </c>
      <c r="J40" s="95">
        <v>0.00801</v>
      </c>
      <c r="K40" s="95">
        <v>612000</v>
      </c>
      <c r="L40" s="95">
        <v>0.764</v>
      </c>
      <c r="M40" s="95">
        <v>1</v>
      </c>
      <c r="N40" s="95">
        <v>0</v>
      </c>
      <c r="O40" s="234">
        <v>86.69</v>
      </c>
      <c r="P40" s="231">
        <v>1</v>
      </c>
    </row>
    <row r="41" s="95" customFormat="1" ht="15" customHeight="1" spans="2:16">
      <c r="B41" s="213" t="s">
        <v>175</v>
      </c>
      <c r="C41" s="206" t="s">
        <v>157</v>
      </c>
      <c r="D41" s="206" t="s">
        <v>158</v>
      </c>
      <c r="E41" s="206" t="s">
        <v>4</v>
      </c>
      <c r="F41" s="206" t="s">
        <v>159</v>
      </c>
      <c r="G41" s="227" t="e">
        <v>#DIV/0!</v>
      </c>
      <c r="H41" s="206">
        <v>0</v>
      </c>
      <c r="I41" s="95">
        <v>0</v>
      </c>
      <c r="J41" s="95" t="e">
        <v>#DIV/0!</v>
      </c>
      <c r="K41" s="95">
        <v>0</v>
      </c>
      <c r="L41" s="95">
        <v>0</v>
      </c>
      <c r="N41" s="95">
        <v>0</v>
      </c>
      <c r="O41" s="234" t="s">
        <v>159</v>
      </c>
      <c r="P41" s="231">
        <v>1</v>
      </c>
    </row>
    <row r="42" s="95" customFormat="1" ht="15" customHeight="1" spans="2:16">
      <c r="B42" s="213" t="s">
        <v>179</v>
      </c>
      <c r="C42" s="206" t="s">
        <v>157</v>
      </c>
      <c r="D42" s="206" t="s">
        <v>158</v>
      </c>
      <c r="E42" s="206" t="s">
        <v>4</v>
      </c>
      <c r="F42" s="206" t="s">
        <v>159</v>
      </c>
      <c r="G42" s="226" t="s">
        <v>161</v>
      </c>
      <c r="H42" s="206">
        <v>0</v>
      </c>
      <c r="I42" s="95">
        <v>0</v>
      </c>
      <c r="J42" s="95">
        <v>0</v>
      </c>
      <c r="K42" s="95">
        <v>606000</v>
      </c>
      <c r="L42" s="95">
        <v>0.771</v>
      </c>
      <c r="N42" s="95">
        <v>0</v>
      </c>
      <c r="O42" s="95" t="s">
        <v>159</v>
      </c>
      <c r="P42" s="231">
        <v>1</v>
      </c>
    </row>
    <row r="43" s="95" customFormat="1" ht="15" customHeight="1" spans="2:16">
      <c r="B43" s="213" t="s">
        <v>180</v>
      </c>
      <c r="C43" s="206" t="s">
        <v>157</v>
      </c>
      <c r="D43" s="206" t="s">
        <v>158</v>
      </c>
      <c r="E43" s="206" t="s">
        <v>4</v>
      </c>
      <c r="F43" s="206" t="s">
        <v>159</v>
      </c>
      <c r="G43" s="226" t="s">
        <v>161</v>
      </c>
      <c r="H43" s="206">
        <v>0</v>
      </c>
      <c r="I43" s="95">
        <v>0</v>
      </c>
      <c r="J43" s="95">
        <v>0</v>
      </c>
      <c r="K43" s="95">
        <v>595000</v>
      </c>
      <c r="L43" s="95">
        <v>0.767</v>
      </c>
      <c r="N43" s="95">
        <v>0</v>
      </c>
      <c r="O43" s="234" t="s">
        <v>159</v>
      </c>
      <c r="P43" s="231">
        <v>1</v>
      </c>
    </row>
    <row r="44" s="95" customFormat="1" ht="15" customHeight="1" spans="2:16">
      <c r="B44" s="213" t="s">
        <v>181</v>
      </c>
      <c r="C44" s="206" t="s">
        <v>157</v>
      </c>
      <c r="D44" s="206" t="s">
        <v>158</v>
      </c>
      <c r="E44" s="206" t="s">
        <v>4</v>
      </c>
      <c r="F44" s="206" t="s">
        <v>159</v>
      </c>
      <c r="G44" s="226" t="s">
        <v>161</v>
      </c>
      <c r="H44" s="206">
        <v>0</v>
      </c>
      <c r="I44" s="95">
        <v>0</v>
      </c>
      <c r="J44" s="95">
        <v>0</v>
      </c>
      <c r="K44" s="95">
        <v>567000</v>
      </c>
      <c r="L44" s="95">
        <v>0.765</v>
      </c>
      <c r="N44" s="95">
        <v>0</v>
      </c>
      <c r="O44" s="95" t="s">
        <v>159</v>
      </c>
      <c r="P44" s="231">
        <v>1</v>
      </c>
    </row>
    <row r="45" s="95" customFormat="1" ht="15" customHeight="1" spans="2:16">
      <c r="B45" s="213" t="s">
        <v>182</v>
      </c>
      <c r="C45" s="206" t="s">
        <v>157</v>
      </c>
      <c r="D45" s="206" t="s">
        <v>158</v>
      </c>
      <c r="E45" s="206" t="s">
        <v>4</v>
      </c>
      <c r="F45" s="206" t="s">
        <v>159</v>
      </c>
      <c r="G45" s="226" t="s">
        <v>161</v>
      </c>
      <c r="H45" s="206">
        <v>0</v>
      </c>
      <c r="I45" s="95">
        <v>0</v>
      </c>
      <c r="J45" s="95">
        <v>0</v>
      </c>
      <c r="K45" s="95">
        <v>460000</v>
      </c>
      <c r="L45" s="95">
        <v>0.773</v>
      </c>
      <c r="N45" s="95">
        <v>0</v>
      </c>
      <c r="O45" s="95" t="s">
        <v>159</v>
      </c>
      <c r="P45" s="231">
        <v>1</v>
      </c>
    </row>
    <row r="46" s="95" customFormat="1" ht="15" customHeight="1" spans="2:16">
      <c r="B46" s="213" t="s">
        <v>183</v>
      </c>
      <c r="C46" s="206" t="s">
        <v>157</v>
      </c>
      <c r="D46" s="206" t="s">
        <v>158</v>
      </c>
      <c r="E46" s="206" t="s">
        <v>4</v>
      </c>
      <c r="F46" s="206" t="s">
        <v>159</v>
      </c>
      <c r="G46" s="228" t="s">
        <v>161</v>
      </c>
      <c r="H46" s="206">
        <v>0</v>
      </c>
      <c r="I46" s="95">
        <v>0</v>
      </c>
      <c r="J46" s="95">
        <v>0</v>
      </c>
      <c r="K46" s="95">
        <v>561000</v>
      </c>
      <c r="L46" s="95">
        <v>0.766</v>
      </c>
      <c r="N46" s="95">
        <v>0</v>
      </c>
      <c r="O46" s="95" t="s">
        <v>159</v>
      </c>
      <c r="P46" s="231">
        <v>1</v>
      </c>
    </row>
    <row r="47" s="95" customFormat="1" ht="15" customHeight="1" spans="2:16">
      <c r="B47" s="213" t="s">
        <v>184</v>
      </c>
      <c r="C47" s="206" t="s">
        <v>157</v>
      </c>
      <c r="D47" s="206" t="s">
        <v>158</v>
      </c>
      <c r="E47" s="206" t="s">
        <v>4</v>
      </c>
      <c r="F47" s="206" t="s">
        <v>159</v>
      </c>
      <c r="G47" s="226" t="s">
        <v>161</v>
      </c>
      <c r="H47" s="206">
        <v>0</v>
      </c>
      <c r="I47" s="95">
        <v>0</v>
      </c>
      <c r="J47" s="95">
        <v>0</v>
      </c>
      <c r="K47" s="95">
        <v>537000</v>
      </c>
      <c r="L47" s="95">
        <v>0.765</v>
      </c>
      <c r="N47" s="95">
        <v>0</v>
      </c>
      <c r="O47" s="95" t="s">
        <v>159</v>
      </c>
      <c r="P47" s="231">
        <v>1</v>
      </c>
    </row>
    <row r="48" s="95" customFormat="1" ht="15" customHeight="1" spans="2:16">
      <c r="B48" s="213" t="s">
        <v>185</v>
      </c>
      <c r="C48" s="206" t="s">
        <v>157</v>
      </c>
      <c r="D48" s="206" t="s">
        <v>158</v>
      </c>
      <c r="E48" s="206" t="s">
        <v>4</v>
      </c>
      <c r="F48" s="206" t="s">
        <v>159</v>
      </c>
      <c r="G48" s="226" t="s">
        <v>161</v>
      </c>
      <c r="H48" s="206">
        <v>0</v>
      </c>
      <c r="I48" s="95">
        <v>0</v>
      </c>
      <c r="J48" s="95">
        <v>0</v>
      </c>
      <c r="K48" s="95">
        <v>498000</v>
      </c>
      <c r="L48" s="95">
        <v>0.769</v>
      </c>
      <c r="N48" s="95">
        <v>0</v>
      </c>
      <c r="O48" s="95" t="s">
        <v>159</v>
      </c>
      <c r="P48" s="231">
        <v>1</v>
      </c>
    </row>
    <row r="49" s="95" customFormat="1" ht="15" customHeight="1" spans="2:16">
      <c r="B49" s="213" t="s">
        <v>186</v>
      </c>
      <c r="C49" s="206" t="s">
        <v>157</v>
      </c>
      <c r="D49" s="206" t="s">
        <v>158</v>
      </c>
      <c r="E49" s="206" t="s">
        <v>4</v>
      </c>
      <c r="F49" s="206" t="s">
        <v>159</v>
      </c>
      <c r="G49" s="226" t="s">
        <v>161</v>
      </c>
      <c r="H49" s="206">
        <v>0</v>
      </c>
      <c r="I49" s="95">
        <v>0</v>
      </c>
      <c r="J49" s="95">
        <v>0</v>
      </c>
      <c r="K49" s="95">
        <v>529000</v>
      </c>
      <c r="L49" s="95">
        <v>0.766</v>
      </c>
      <c r="N49" s="95">
        <v>0</v>
      </c>
      <c r="O49" s="95" t="s">
        <v>159</v>
      </c>
      <c r="P49" s="231">
        <v>1</v>
      </c>
    </row>
    <row r="50" s="95" customFormat="1" ht="15" customHeight="1" spans="2:16">
      <c r="B50" s="213" t="s">
        <v>187</v>
      </c>
      <c r="C50" s="206" t="s">
        <v>157</v>
      </c>
      <c r="D50" s="206" t="s">
        <v>158</v>
      </c>
      <c r="E50" s="206" t="s">
        <v>4</v>
      </c>
      <c r="F50" s="206" t="s">
        <v>159</v>
      </c>
      <c r="G50" s="226" t="s">
        <v>161</v>
      </c>
      <c r="H50" s="206">
        <v>0</v>
      </c>
      <c r="I50" s="95">
        <v>0</v>
      </c>
      <c r="J50" s="95">
        <v>0</v>
      </c>
      <c r="K50" s="95">
        <v>495000</v>
      </c>
      <c r="L50" s="95">
        <v>0.771</v>
      </c>
      <c r="N50" s="95">
        <v>0</v>
      </c>
      <c r="O50" s="95" t="s">
        <v>159</v>
      </c>
      <c r="P50" s="231">
        <v>1</v>
      </c>
    </row>
    <row r="51" s="95" customFormat="1" ht="15" customHeight="1" spans="2:16">
      <c r="B51" s="213" t="s">
        <v>188</v>
      </c>
      <c r="C51" s="206" t="s">
        <v>157</v>
      </c>
      <c r="D51" s="206" t="s">
        <v>158</v>
      </c>
      <c r="E51" s="206" t="s">
        <v>4</v>
      </c>
      <c r="F51" s="206" t="s">
        <v>159</v>
      </c>
      <c r="G51" s="226" t="s">
        <v>161</v>
      </c>
      <c r="H51" s="206">
        <v>0</v>
      </c>
      <c r="I51" s="95">
        <v>0</v>
      </c>
      <c r="J51" s="95">
        <v>0</v>
      </c>
      <c r="K51" s="95">
        <v>454000</v>
      </c>
      <c r="L51" s="95">
        <v>0.765</v>
      </c>
      <c r="N51" s="95">
        <v>0</v>
      </c>
      <c r="O51" s="95" t="s">
        <v>159</v>
      </c>
      <c r="P51" s="231">
        <v>1</v>
      </c>
    </row>
    <row r="52" s="95" customFormat="1" ht="15" customHeight="1" spans="2:16">
      <c r="B52" s="213" t="s">
        <v>189</v>
      </c>
      <c r="C52" s="206" t="s">
        <v>157</v>
      </c>
      <c r="D52" s="206" t="s">
        <v>158</v>
      </c>
      <c r="E52" s="206" t="s">
        <v>4</v>
      </c>
      <c r="F52" s="206" t="s">
        <v>159</v>
      </c>
      <c r="G52" s="226">
        <v>7.04</v>
      </c>
      <c r="H52" s="206">
        <v>686</v>
      </c>
      <c r="I52" s="95">
        <v>0.941</v>
      </c>
      <c r="J52" s="95">
        <v>0.00139</v>
      </c>
      <c r="K52" s="95">
        <v>494000</v>
      </c>
      <c r="L52" s="95">
        <v>0.769</v>
      </c>
      <c r="N52" s="95">
        <v>0</v>
      </c>
      <c r="O52" s="95" t="s">
        <v>159</v>
      </c>
      <c r="P52" s="231">
        <v>1</v>
      </c>
    </row>
    <row r="53" s="95" customFormat="1" ht="15" customHeight="1" spans="2:16">
      <c r="B53" s="213" t="s">
        <v>190</v>
      </c>
      <c r="C53" s="206" t="s">
        <v>157</v>
      </c>
      <c r="D53" s="206" t="s">
        <v>158</v>
      </c>
      <c r="E53" s="206" t="s">
        <v>4</v>
      </c>
      <c r="F53" s="206" t="s">
        <v>159</v>
      </c>
      <c r="G53" s="226" t="s">
        <v>161</v>
      </c>
      <c r="H53" s="206">
        <v>0</v>
      </c>
      <c r="I53" s="95">
        <v>0</v>
      </c>
      <c r="J53" s="95">
        <v>0</v>
      </c>
      <c r="K53" s="95">
        <v>470000</v>
      </c>
      <c r="L53" s="95">
        <v>0.767</v>
      </c>
      <c r="N53" s="95">
        <v>0</v>
      </c>
      <c r="O53" s="95" t="s">
        <v>159</v>
      </c>
      <c r="P53" s="231">
        <v>1</v>
      </c>
    </row>
    <row r="54" s="95" customFormat="1" ht="15" customHeight="1" spans="2:16">
      <c r="B54" s="213" t="s">
        <v>191</v>
      </c>
      <c r="C54" s="206" t="s">
        <v>157</v>
      </c>
      <c r="D54" s="206" t="s">
        <v>158</v>
      </c>
      <c r="E54" s="206" t="s">
        <v>4</v>
      </c>
      <c r="F54" s="206" t="s">
        <v>159</v>
      </c>
      <c r="G54" s="226">
        <v>4.77</v>
      </c>
      <c r="H54" s="206">
        <v>490</v>
      </c>
      <c r="I54" s="95">
        <v>0.93</v>
      </c>
      <c r="J54" s="95">
        <v>0.000976</v>
      </c>
      <c r="K54" s="95">
        <v>502000</v>
      </c>
      <c r="L54" s="95">
        <v>0.765</v>
      </c>
      <c r="N54" s="95">
        <v>0</v>
      </c>
      <c r="O54" s="95" t="s">
        <v>159</v>
      </c>
      <c r="P54" s="231">
        <v>1</v>
      </c>
    </row>
    <row r="55" s="95" customFormat="1" ht="15" customHeight="1" spans="2:16">
      <c r="B55" s="213" t="s">
        <v>192</v>
      </c>
      <c r="C55" s="206" t="s">
        <v>157</v>
      </c>
      <c r="D55" s="206" t="s">
        <v>158</v>
      </c>
      <c r="E55" s="206" t="s">
        <v>4</v>
      </c>
      <c r="F55" s="206" t="s">
        <v>159</v>
      </c>
      <c r="G55" s="226">
        <v>12.4</v>
      </c>
      <c r="H55" s="206">
        <v>1130</v>
      </c>
      <c r="I55" s="95">
        <v>0.931</v>
      </c>
      <c r="J55" s="95">
        <v>0.00236</v>
      </c>
      <c r="K55" s="95">
        <v>479000</v>
      </c>
      <c r="L55" s="95">
        <v>0.767</v>
      </c>
      <c r="N55" s="95">
        <v>0</v>
      </c>
      <c r="O55" s="95" t="s">
        <v>159</v>
      </c>
      <c r="P55" s="231">
        <v>1</v>
      </c>
    </row>
    <row r="56" s="95" customFormat="1" ht="15" customHeight="1" spans="2:16">
      <c r="B56" s="213" t="s">
        <v>193</v>
      </c>
      <c r="C56" s="206" t="s">
        <v>157</v>
      </c>
      <c r="D56" s="206" t="s">
        <v>158</v>
      </c>
      <c r="E56" s="206" t="s">
        <v>4</v>
      </c>
      <c r="F56" s="206" t="s">
        <v>159</v>
      </c>
      <c r="G56" s="226">
        <v>4.52</v>
      </c>
      <c r="H56" s="206">
        <v>414</v>
      </c>
      <c r="I56" s="95">
        <v>0.935</v>
      </c>
      <c r="J56" s="95">
        <v>0.000929</v>
      </c>
      <c r="K56" s="95">
        <v>445000</v>
      </c>
      <c r="L56" s="95">
        <v>0.768</v>
      </c>
      <c r="N56" s="95">
        <v>0</v>
      </c>
      <c r="O56" s="95" t="s">
        <v>159</v>
      </c>
      <c r="P56" s="231">
        <v>1</v>
      </c>
    </row>
    <row r="57" s="95" customFormat="1" ht="15" customHeight="1" spans="2:16">
      <c r="B57" s="213" t="s">
        <v>194</v>
      </c>
      <c r="C57" s="206" t="s">
        <v>157</v>
      </c>
      <c r="D57" s="206" t="s">
        <v>158</v>
      </c>
      <c r="E57" s="206" t="s">
        <v>4</v>
      </c>
      <c r="F57" s="206" t="s">
        <v>159</v>
      </c>
      <c r="G57" s="226">
        <v>12.4</v>
      </c>
      <c r="H57" s="206">
        <v>1150</v>
      </c>
      <c r="I57" s="95">
        <v>0.928</v>
      </c>
      <c r="J57" s="95">
        <v>0.00238</v>
      </c>
      <c r="K57" s="95">
        <v>484000</v>
      </c>
      <c r="L57" s="95">
        <v>0.764</v>
      </c>
      <c r="N57" s="95">
        <v>0</v>
      </c>
      <c r="O57" s="95" t="s">
        <v>159</v>
      </c>
      <c r="P57" s="231">
        <v>1</v>
      </c>
    </row>
    <row r="58" s="95" customFormat="1" ht="15" customHeight="1" spans="2:16">
      <c r="B58" s="213" t="s">
        <v>195</v>
      </c>
      <c r="C58" s="206" t="s">
        <v>157</v>
      </c>
      <c r="D58" s="206" t="s">
        <v>158</v>
      </c>
      <c r="E58" s="206" t="s">
        <v>4</v>
      </c>
      <c r="F58" s="206" t="s">
        <v>159</v>
      </c>
      <c r="G58" s="226">
        <v>27.3</v>
      </c>
      <c r="H58" s="206">
        <v>2470</v>
      </c>
      <c r="I58" s="95">
        <v>0.936</v>
      </c>
      <c r="J58" s="95">
        <v>0.00508</v>
      </c>
      <c r="K58" s="95">
        <v>486000</v>
      </c>
      <c r="L58" s="95">
        <v>0.769</v>
      </c>
      <c r="N58" s="95">
        <v>0</v>
      </c>
      <c r="O58" s="95" t="s">
        <v>159</v>
      </c>
      <c r="P58" s="231">
        <v>1</v>
      </c>
    </row>
    <row r="59" s="95" customFormat="1" ht="15" customHeight="1" spans="2:16">
      <c r="B59" s="213" t="s">
        <v>196</v>
      </c>
      <c r="C59" s="206" t="s">
        <v>157</v>
      </c>
      <c r="D59" s="206" t="s">
        <v>158</v>
      </c>
      <c r="E59" s="206" t="s">
        <v>4</v>
      </c>
      <c r="F59" s="206" t="s">
        <v>159</v>
      </c>
      <c r="G59" s="226">
        <v>8.67</v>
      </c>
      <c r="H59" s="206">
        <v>789</v>
      </c>
      <c r="I59" s="95">
        <v>0.933</v>
      </c>
      <c r="J59" s="95">
        <v>0.00169</v>
      </c>
      <c r="K59" s="95">
        <v>468000</v>
      </c>
      <c r="L59" s="95">
        <v>0.77</v>
      </c>
      <c r="N59" s="95">
        <v>0</v>
      </c>
      <c r="O59" s="95" t="s">
        <v>159</v>
      </c>
      <c r="P59" s="231">
        <v>1</v>
      </c>
    </row>
    <row r="60" s="95" customFormat="1" ht="15" customHeight="1" spans="2:16">
      <c r="B60" s="213" t="s">
        <v>197</v>
      </c>
      <c r="C60" s="206" t="s">
        <v>157</v>
      </c>
      <c r="D60" s="206" t="s">
        <v>158</v>
      </c>
      <c r="E60" s="206" t="s">
        <v>4</v>
      </c>
      <c r="F60" s="206" t="s">
        <v>159</v>
      </c>
      <c r="G60" s="226">
        <v>46.1</v>
      </c>
      <c r="H60" s="206">
        <v>3690</v>
      </c>
      <c r="I60" s="95">
        <v>0.941</v>
      </c>
      <c r="J60" s="95">
        <v>0.0085</v>
      </c>
      <c r="K60" s="95">
        <v>434000</v>
      </c>
      <c r="L60" s="95">
        <v>0.773</v>
      </c>
      <c r="N60" s="95">
        <v>0</v>
      </c>
      <c r="O60" s="95" t="s">
        <v>159</v>
      </c>
      <c r="P60" s="231">
        <v>1</v>
      </c>
    </row>
    <row r="61" s="95" customFormat="1" ht="15" customHeight="1" spans="2:16">
      <c r="B61" s="213" t="s">
        <v>198</v>
      </c>
      <c r="C61" s="206" t="s">
        <v>157</v>
      </c>
      <c r="D61" s="206" t="s">
        <v>158</v>
      </c>
      <c r="E61" s="206" t="s">
        <v>4</v>
      </c>
      <c r="F61" s="206" t="s">
        <v>159</v>
      </c>
      <c r="G61" s="226">
        <v>192</v>
      </c>
      <c r="H61" s="206">
        <v>15900</v>
      </c>
      <c r="I61" s="95">
        <v>0.935</v>
      </c>
      <c r="J61" s="95">
        <v>0.0351</v>
      </c>
      <c r="K61" s="95">
        <v>452000</v>
      </c>
      <c r="L61" s="95">
        <v>0.77</v>
      </c>
      <c r="N61" s="95">
        <v>0</v>
      </c>
      <c r="O61" s="95" t="s">
        <v>159</v>
      </c>
      <c r="P61" s="231">
        <v>1</v>
      </c>
    </row>
    <row r="62" s="95" customFormat="1" ht="15" customHeight="1" spans="2:16">
      <c r="B62" s="213" t="s">
        <v>199</v>
      </c>
      <c r="C62" s="206" t="s">
        <v>157</v>
      </c>
      <c r="D62" s="206" t="s">
        <v>158</v>
      </c>
      <c r="E62" s="206" t="s">
        <v>4</v>
      </c>
      <c r="F62" s="206" t="s">
        <v>159</v>
      </c>
      <c r="G62" s="226">
        <v>127</v>
      </c>
      <c r="H62" s="206">
        <v>10600</v>
      </c>
      <c r="I62" s="95">
        <v>0.935</v>
      </c>
      <c r="J62" s="95">
        <v>0.0233</v>
      </c>
      <c r="K62" s="95">
        <v>454000</v>
      </c>
      <c r="L62" s="95">
        <v>0.772</v>
      </c>
      <c r="N62" s="95">
        <v>0</v>
      </c>
      <c r="O62" s="95" t="s">
        <v>159</v>
      </c>
      <c r="P62" s="231">
        <v>1</v>
      </c>
    </row>
    <row r="63" s="95" customFormat="1" ht="15" customHeight="1" spans="2:16">
      <c r="B63" s="213" t="s">
        <v>200</v>
      </c>
      <c r="C63" s="206" t="s">
        <v>157</v>
      </c>
      <c r="D63" s="206" t="s">
        <v>158</v>
      </c>
      <c r="E63" s="206" t="s">
        <v>4</v>
      </c>
      <c r="F63" s="206" t="s">
        <v>159</v>
      </c>
      <c r="G63" s="226">
        <v>207</v>
      </c>
      <c r="H63" s="206">
        <v>18200</v>
      </c>
      <c r="I63" s="95">
        <v>0.936</v>
      </c>
      <c r="J63" s="95">
        <v>0.0379</v>
      </c>
      <c r="K63" s="95">
        <v>479000</v>
      </c>
      <c r="L63" s="95">
        <v>0.771</v>
      </c>
      <c r="N63" s="95">
        <v>0</v>
      </c>
      <c r="O63" s="95" t="s">
        <v>159</v>
      </c>
      <c r="P63" s="231">
        <v>1</v>
      </c>
    </row>
    <row r="64" s="95" customFormat="1" ht="15" customHeight="1" spans="2:16">
      <c r="B64" s="213" t="s">
        <v>201</v>
      </c>
      <c r="C64" s="206" t="s">
        <v>157</v>
      </c>
      <c r="D64" s="206" t="s">
        <v>158</v>
      </c>
      <c r="E64" s="206" t="s">
        <v>4</v>
      </c>
      <c r="F64" s="206" t="s">
        <v>159</v>
      </c>
      <c r="G64" s="226">
        <v>338</v>
      </c>
      <c r="H64" s="206">
        <v>29100</v>
      </c>
      <c r="I64" s="95">
        <v>0.932</v>
      </c>
      <c r="J64" s="95">
        <v>0.0618</v>
      </c>
      <c r="K64" s="95">
        <v>471000</v>
      </c>
      <c r="L64" s="95">
        <v>0.767</v>
      </c>
      <c r="N64" s="95">
        <v>0</v>
      </c>
      <c r="O64" s="95" t="s">
        <v>159</v>
      </c>
      <c r="P64" s="231">
        <v>1</v>
      </c>
    </row>
    <row r="65" s="95" customFormat="1" ht="15" customHeight="1" spans="2:16">
      <c r="B65" s="213" t="s">
        <v>202</v>
      </c>
      <c r="C65" s="206" t="s">
        <v>157</v>
      </c>
      <c r="D65" s="206" t="s">
        <v>158</v>
      </c>
      <c r="E65" s="206" t="s">
        <v>4</v>
      </c>
      <c r="F65" s="206" t="s">
        <v>159</v>
      </c>
      <c r="G65" s="226">
        <v>339</v>
      </c>
      <c r="H65" s="206">
        <v>28000</v>
      </c>
      <c r="I65" s="95">
        <v>0.934</v>
      </c>
      <c r="J65" s="95">
        <v>0.0619</v>
      </c>
      <c r="K65" s="95">
        <v>453000</v>
      </c>
      <c r="L65" s="95">
        <v>0.768</v>
      </c>
      <c r="N65" s="95">
        <v>0</v>
      </c>
      <c r="O65" s="95" t="s">
        <v>159</v>
      </c>
      <c r="P65" s="231">
        <v>1</v>
      </c>
    </row>
    <row r="66" s="95" customFormat="1" ht="15" customHeight="1" spans="2:16">
      <c r="B66" s="213" t="s">
        <v>203</v>
      </c>
      <c r="C66" s="206" t="s">
        <v>157</v>
      </c>
      <c r="D66" s="206" t="s">
        <v>158</v>
      </c>
      <c r="E66" s="206" t="s">
        <v>4</v>
      </c>
      <c r="F66" s="206" t="s">
        <v>159</v>
      </c>
      <c r="G66" s="226">
        <v>312</v>
      </c>
      <c r="H66" s="206">
        <v>26800</v>
      </c>
      <c r="I66" s="95">
        <v>0.934</v>
      </c>
      <c r="J66" s="95">
        <v>0.0569</v>
      </c>
      <c r="K66" s="95">
        <v>470000</v>
      </c>
      <c r="L66" s="95">
        <v>0.768</v>
      </c>
      <c r="N66" s="95">
        <v>0</v>
      </c>
      <c r="O66" s="95" t="s">
        <v>159</v>
      </c>
      <c r="P66" s="231">
        <v>1</v>
      </c>
    </row>
    <row r="67" s="95" customFormat="1" ht="15" customHeight="1" spans="2:16">
      <c r="B67" s="213" t="s">
        <v>204</v>
      </c>
      <c r="C67" s="206" t="s">
        <v>157</v>
      </c>
      <c r="D67" s="206" t="s">
        <v>158</v>
      </c>
      <c r="E67" s="206" t="s">
        <v>4</v>
      </c>
      <c r="F67" s="206" t="s">
        <v>159</v>
      </c>
      <c r="G67" s="226">
        <v>496</v>
      </c>
      <c r="H67" s="206">
        <v>41800</v>
      </c>
      <c r="I67" s="95">
        <v>0.936</v>
      </c>
      <c r="J67" s="95">
        <v>0.0906</v>
      </c>
      <c r="K67" s="95">
        <v>462000</v>
      </c>
      <c r="L67" s="95">
        <v>0.77</v>
      </c>
      <c r="N67" s="95">
        <v>0</v>
      </c>
      <c r="O67" s="95" t="s">
        <v>159</v>
      </c>
      <c r="P67" s="231">
        <v>1</v>
      </c>
    </row>
    <row r="68" s="95" customFormat="1" ht="15" customHeight="1" spans="2:16">
      <c r="B68" s="213" t="s">
        <v>205</v>
      </c>
      <c r="C68" s="206" t="s">
        <v>157</v>
      </c>
      <c r="D68" s="206" t="s">
        <v>158</v>
      </c>
      <c r="E68" s="206" t="s">
        <v>4</v>
      </c>
      <c r="F68" s="206" t="s">
        <v>159</v>
      </c>
      <c r="G68" s="226">
        <v>424</v>
      </c>
      <c r="H68" s="206">
        <v>34500</v>
      </c>
      <c r="I68" s="95">
        <v>0.933</v>
      </c>
      <c r="J68" s="95">
        <v>0.0774</v>
      </c>
      <c r="K68" s="95">
        <v>445000</v>
      </c>
      <c r="L68" s="95">
        <v>0.768</v>
      </c>
      <c r="N68" s="95">
        <v>0</v>
      </c>
      <c r="O68" s="95" t="s">
        <v>159</v>
      </c>
      <c r="P68" s="231">
        <v>1</v>
      </c>
    </row>
    <row r="69" s="95" customFormat="1" ht="15" customHeight="1" spans="2:16">
      <c r="B69" s="213" t="s">
        <v>175</v>
      </c>
      <c r="C69" s="206" t="s">
        <v>157</v>
      </c>
      <c r="D69" s="206" t="s">
        <v>158</v>
      </c>
      <c r="E69" s="206" t="s">
        <v>4</v>
      </c>
      <c r="F69" s="206" t="s">
        <v>159</v>
      </c>
      <c r="G69" s="226" t="e">
        <v>#DIV/0!</v>
      </c>
      <c r="H69" s="206">
        <v>0</v>
      </c>
      <c r="I69" s="95">
        <v>0</v>
      </c>
      <c r="J69" s="95" t="e">
        <v>#DIV/0!</v>
      </c>
      <c r="K69" s="95">
        <v>0</v>
      </c>
      <c r="L69" s="95">
        <v>0</v>
      </c>
      <c r="N69" s="95">
        <v>0</v>
      </c>
      <c r="O69" s="95" t="s">
        <v>159</v>
      </c>
      <c r="P69" s="231">
        <v>1</v>
      </c>
    </row>
    <row r="70" s="95" customFormat="1" ht="15" customHeight="1" spans="2:16">
      <c r="B70" s="213" t="s">
        <v>175</v>
      </c>
      <c r="C70" s="206" t="s">
        <v>157</v>
      </c>
      <c r="D70" s="206" t="s">
        <v>158</v>
      </c>
      <c r="E70" s="206" t="s">
        <v>4</v>
      </c>
      <c r="F70" s="206" t="s">
        <v>159</v>
      </c>
      <c r="G70" s="228" t="e">
        <v>#DIV/0!</v>
      </c>
      <c r="H70" s="206">
        <v>0</v>
      </c>
      <c r="I70" s="95">
        <v>0</v>
      </c>
      <c r="J70" s="95" t="e">
        <v>#DIV/0!</v>
      </c>
      <c r="K70" s="95">
        <v>0</v>
      </c>
      <c r="L70" s="95">
        <v>0</v>
      </c>
      <c r="N70" s="95">
        <v>0</v>
      </c>
      <c r="O70" s="95" t="s">
        <v>159</v>
      </c>
      <c r="P70" s="231">
        <v>1</v>
      </c>
    </row>
    <row r="71" s="95" customFormat="1" ht="15" customHeight="1" spans="2:16">
      <c r="B71" s="213" t="s">
        <v>206</v>
      </c>
      <c r="C71" s="206" t="s">
        <v>172</v>
      </c>
      <c r="D71" s="206" t="s">
        <v>158</v>
      </c>
      <c r="E71" s="206" t="s">
        <v>4</v>
      </c>
      <c r="F71" s="206">
        <v>3</v>
      </c>
      <c r="G71" s="228">
        <v>4.63</v>
      </c>
      <c r="H71" s="206">
        <v>517</v>
      </c>
      <c r="I71" s="95">
        <v>0.955</v>
      </c>
      <c r="J71" s="95">
        <v>0.00095</v>
      </c>
      <c r="K71" s="95">
        <v>545000</v>
      </c>
      <c r="L71" s="95">
        <v>0.765</v>
      </c>
      <c r="M71" s="95">
        <v>1</v>
      </c>
      <c r="N71" s="95">
        <v>0</v>
      </c>
      <c r="O71" s="95">
        <v>154.35</v>
      </c>
      <c r="P71" s="231">
        <v>1</v>
      </c>
    </row>
    <row r="72" s="95" customFormat="1" ht="15" customHeight="1" spans="2:16">
      <c r="B72" s="213" t="s">
        <v>207</v>
      </c>
      <c r="C72" s="206" t="s">
        <v>172</v>
      </c>
      <c r="D72" s="206" t="s">
        <v>158</v>
      </c>
      <c r="E72" s="206" t="s">
        <v>4</v>
      </c>
      <c r="F72" s="206">
        <v>100</v>
      </c>
      <c r="G72" s="228">
        <v>108</v>
      </c>
      <c r="H72" s="206">
        <v>10700</v>
      </c>
      <c r="I72" s="95">
        <v>0.942</v>
      </c>
      <c r="J72" s="95">
        <v>0.0197</v>
      </c>
      <c r="K72" s="95">
        <v>542000</v>
      </c>
      <c r="L72" s="95">
        <v>0.77</v>
      </c>
      <c r="M72" s="95">
        <v>1</v>
      </c>
      <c r="N72" s="95">
        <v>0</v>
      </c>
      <c r="O72" s="95">
        <v>107.7</v>
      </c>
      <c r="P72" s="231">
        <v>1</v>
      </c>
    </row>
    <row r="73" s="95" customFormat="1" ht="15" customHeight="1" spans="2:16">
      <c r="B73" s="213" t="s">
        <v>208</v>
      </c>
      <c r="C73" s="206" t="s">
        <v>172</v>
      </c>
      <c r="D73" s="206" t="s">
        <v>158</v>
      </c>
      <c r="E73" s="206" t="s">
        <v>4</v>
      </c>
      <c r="F73" s="206">
        <v>1600</v>
      </c>
      <c r="G73" s="228">
        <v>1480</v>
      </c>
      <c r="H73" s="206">
        <v>144000</v>
      </c>
      <c r="I73" s="95">
        <v>0.94</v>
      </c>
      <c r="J73" s="95">
        <v>0.27</v>
      </c>
      <c r="K73" s="95">
        <v>533000</v>
      </c>
      <c r="L73" s="95">
        <v>0.769</v>
      </c>
      <c r="M73" s="95">
        <v>1</v>
      </c>
      <c r="N73" s="95">
        <v>0</v>
      </c>
      <c r="O73" s="95">
        <v>92.53</v>
      </c>
      <c r="P73" s="231">
        <v>1</v>
      </c>
    </row>
    <row r="74" ht="14.75" spans="2:16">
      <c r="B74" s="214"/>
      <c r="C74" s="215"/>
      <c r="D74" s="215"/>
      <c r="E74" s="235"/>
      <c r="F74" s="215"/>
      <c r="G74" s="236"/>
      <c r="H74" s="215"/>
      <c r="P74" s="260"/>
    </row>
    <row r="75" spans="2:16">
      <c r="B75" s="237" t="s">
        <v>209</v>
      </c>
      <c r="C75" s="238"/>
      <c r="D75" s="239"/>
      <c r="E75" s="240"/>
      <c r="F75" s="241"/>
      <c r="P75" s="260"/>
    </row>
    <row r="76" spans="2:16">
      <c r="B76" s="242" t="s">
        <v>210</v>
      </c>
      <c r="C76" s="243">
        <f>AVERAGE(K22:K30,K34:K36,K38:K40,K42:K68,K71:K73)</f>
        <v>535866.666666667</v>
      </c>
      <c r="D76" s="243"/>
      <c r="E76" s="243"/>
      <c r="F76" s="244"/>
      <c r="P76" s="260"/>
    </row>
    <row r="77" spans="2:16">
      <c r="B77" s="242" t="s">
        <v>211</v>
      </c>
      <c r="C77" s="243">
        <f>STDEV(K22:K30,K34:K36,K38:K40,K42:K68,K71:K73)</f>
        <v>79568.6096168812</v>
      </c>
      <c r="D77" s="243"/>
      <c r="E77" s="243"/>
      <c r="F77" s="244"/>
      <c r="P77" s="260"/>
    </row>
    <row r="78" ht="14.75" spans="2:16">
      <c r="B78" s="245" t="s">
        <v>212</v>
      </c>
      <c r="C78" s="246">
        <f>C77/C76*100</f>
        <v>14.8485835313911</v>
      </c>
      <c r="D78" s="246"/>
      <c r="E78" s="247" t="s">
        <v>213</v>
      </c>
      <c r="F78" s="248" t="s">
        <v>214</v>
      </c>
      <c r="P78" s="260"/>
    </row>
    <row r="79" spans="2:16">
      <c r="B79" s="249"/>
      <c r="C79" s="250"/>
      <c r="D79" s="250"/>
      <c r="E79" s="251"/>
      <c r="F79" s="252"/>
      <c r="G79" s="253"/>
      <c r="H79" s="250"/>
      <c r="I79" s="250"/>
      <c r="J79" s="250"/>
      <c r="K79" s="250"/>
      <c r="L79" s="250"/>
      <c r="M79" s="250"/>
      <c r="N79" s="250"/>
      <c r="O79" s="250"/>
      <c r="P79" s="261"/>
    </row>
    <row r="80" spans="2:16">
      <c r="B80" s="254"/>
      <c r="P80" s="260"/>
    </row>
    <row r="81" spans="2:16">
      <c r="B81" s="254"/>
      <c r="P81" s="260"/>
    </row>
    <row r="82" spans="2:16">
      <c r="B82" s="254"/>
      <c r="P82" s="260"/>
    </row>
    <row r="83" spans="2:16">
      <c r="B83" s="254"/>
      <c r="P83" s="260"/>
    </row>
    <row r="84" spans="2:16">
      <c r="B84" s="254"/>
      <c r="P84" s="260"/>
    </row>
    <row r="85" spans="2:16">
      <c r="B85" s="254"/>
      <c r="P85" s="260"/>
    </row>
    <row r="86" spans="2:16">
      <c r="B86" s="254"/>
      <c r="P86" s="260"/>
    </row>
    <row r="87" spans="2:16">
      <c r="B87" s="254"/>
      <c r="P87" s="260"/>
    </row>
    <row r="88" spans="2:16">
      <c r="B88" s="254"/>
      <c r="P88" s="260"/>
    </row>
    <row r="89" spans="2:16">
      <c r="B89" s="254"/>
      <c r="P89" s="260"/>
    </row>
    <row r="90" spans="2:16">
      <c r="B90" s="254"/>
      <c r="P90" s="260"/>
    </row>
    <row r="91" spans="2:16">
      <c r="B91" s="254"/>
      <c r="P91" s="260"/>
    </row>
    <row r="92" spans="2:16">
      <c r="B92" s="254"/>
      <c r="P92" s="260"/>
    </row>
    <row r="93" spans="2:16">
      <c r="B93" s="254"/>
      <c r="P93" s="260"/>
    </row>
    <row r="94" spans="2:16">
      <c r="B94" s="254"/>
      <c r="P94" s="260"/>
    </row>
    <row r="95" spans="2:16">
      <c r="B95" s="254"/>
      <c r="P95" s="260"/>
    </row>
    <row r="96" spans="2:16">
      <c r="B96" s="254"/>
      <c r="P96" s="260"/>
    </row>
    <row r="97" spans="2:16">
      <c r="B97" s="254"/>
      <c r="P97" s="260"/>
    </row>
    <row r="98" spans="2:16">
      <c r="B98" s="254"/>
      <c r="P98" s="260"/>
    </row>
    <row r="99" spans="2:16">
      <c r="B99" s="254"/>
      <c r="P99" s="260"/>
    </row>
    <row r="100" spans="2:16">
      <c r="B100" s="254"/>
      <c r="P100" s="260"/>
    </row>
    <row r="101" spans="2:16">
      <c r="B101" s="254"/>
      <c r="P101" s="260"/>
    </row>
    <row r="102" spans="2:16">
      <c r="B102" s="254"/>
      <c r="P102" s="260"/>
    </row>
    <row r="103" spans="2:16">
      <c r="B103" s="254"/>
      <c r="P103" s="260"/>
    </row>
    <row r="104" spans="2:16">
      <c r="B104" s="254"/>
      <c r="P104" s="260"/>
    </row>
    <row r="105" spans="2:16">
      <c r="B105" s="254"/>
      <c r="P105" s="260"/>
    </row>
    <row r="106" spans="2:16">
      <c r="B106" s="254"/>
      <c r="P106" s="260"/>
    </row>
    <row r="107" spans="2:16">
      <c r="B107" s="254"/>
      <c r="P107" s="260"/>
    </row>
    <row r="108" spans="2:16">
      <c r="B108" s="254"/>
      <c r="P108" s="260"/>
    </row>
    <row r="109" spans="2:16">
      <c r="B109" s="254"/>
      <c r="P109" s="260"/>
    </row>
    <row r="110" spans="2:16">
      <c r="B110" s="254"/>
      <c r="P110" s="260"/>
    </row>
    <row r="111" spans="2:16">
      <c r="B111" s="254"/>
      <c r="P111" s="260"/>
    </row>
    <row r="112" spans="2:16">
      <c r="B112" s="254"/>
      <c r="P112" s="260"/>
    </row>
    <row r="113" spans="2:16">
      <c r="B113" s="254"/>
      <c r="P113" s="260"/>
    </row>
    <row r="114" ht="14.75" spans="2:16">
      <c r="B114" s="255"/>
      <c r="C114" s="256"/>
      <c r="D114" s="256"/>
      <c r="E114" s="257"/>
      <c r="F114" s="258"/>
      <c r="G114" s="259"/>
      <c r="H114" s="256"/>
      <c r="I114" s="256"/>
      <c r="J114" s="256"/>
      <c r="K114" s="256"/>
      <c r="L114" s="256"/>
      <c r="M114" s="256"/>
      <c r="N114" s="256"/>
      <c r="O114" s="256"/>
      <c r="P114" s="262"/>
    </row>
    <row r="116" ht="14.75"/>
    <row r="117" spans="2:16">
      <c r="B117" s="249" t="s">
        <v>125</v>
      </c>
      <c r="C117" s="250"/>
      <c r="D117" s="250"/>
      <c r="E117" s="251"/>
      <c r="F117" s="252"/>
      <c r="G117" s="253"/>
      <c r="H117" s="250"/>
      <c r="I117" s="250"/>
      <c r="J117" s="250"/>
      <c r="K117" s="250"/>
      <c r="L117" s="250"/>
      <c r="M117" s="250"/>
      <c r="N117" s="250"/>
      <c r="O117" s="250"/>
      <c r="P117" s="261"/>
    </row>
    <row r="118" spans="2:16">
      <c r="B118" s="254" t="s">
        <v>126</v>
      </c>
      <c r="P118" s="260"/>
    </row>
    <row r="119" spans="2:16">
      <c r="B119" s="254" t="s">
        <v>127</v>
      </c>
      <c r="P119" s="260"/>
    </row>
    <row r="120" spans="2:16">
      <c r="B120" s="254"/>
      <c r="P120" s="260"/>
    </row>
    <row r="121" spans="2:16">
      <c r="B121" s="254" t="s">
        <v>128</v>
      </c>
      <c r="P121" s="260"/>
    </row>
    <row r="122" spans="2:16">
      <c r="B122" s="254" t="s">
        <v>129</v>
      </c>
      <c r="P122" s="260"/>
    </row>
    <row r="123" spans="2:16">
      <c r="B123" s="254" t="s">
        <v>215</v>
      </c>
      <c r="P123" s="260"/>
    </row>
    <row r="124" spans="2:16">
      <c r="B124" s="254"/>
      <c r="P124" s="260"/>
    </row>
    <row r="125" spans="2:16">
      <c r="B125" s="254" t="s">
        <v>131</v>
      </c>
      <c r="C125" s="202" t="s">
        <v>132</v>
      </c>
      <c r="D125" s="202" t="s">
        <v>133</v>
      </c>
      <c r="E125" s="203" t="s">
        <v>134</v>
      </c>
      <c r="F125" s="204" t="s">
        <v>135</v>
      </c>
      <c r="G125" s="205" t="s">
        <v>136</v>
      </c>
      <c r="P125" s="260"/>
    </row>
    <row r="126" spans="2:16">
      <c r="B126" s="254" t="s">
        <v>137</v>
      </c>
      <c r="C126" s="202">
        <v>0.0004</v>
      </c>
      <c r="P126" s="260"/>
    </row>
    <row r="127" spans="2:16">
      <c r="B127" s="254" t="s">
        <v>138</v>
      </c>
      <c r="C127" s="202">
        <v>0.00214</v>
      </c>
      <c r="P127" s="260"/>
    </row>
    <row r="128" spans="2:16">
      <c r="B128" s="254" t="s">
        <v>139</v>
      </c>
      <c r="C128" s="202">
        <v>0.9992</v>
      </c>
      <c r="P128" s="260"/>
    </row>
    <row r="129" spans="2:16">
      <c r="B129" s="254" t="s">
        <v>140</v>
      </c>
      <c r="P129" s="260"/>
    </row>
    <row r="130" spans="2:16">
      <c r="B130" s="254"/>
      <c r="P130" s="260"/>
    </row>
    <row r="131" spans="2:16">
      <c r="B131" s="254"/>
      <c r="P131" s="260"/>
    </row>
    <row r="132" spans="2:16">
      <c r="B132" s="254"/>
      <c r="P132" s="260"/>
    </row>
    <row r="133" spans="2:16">
      <c r="B133" s="254" t="s">
        <v>141</v>
      </c>
      <c r="C133" s="202" t="s">
        <v>142</v>
      </c>
      <c r="D133" s="202" t="s">
        <v>143</v>
      </c>
      <c r="E133" s="203" t="s">
        <v>144</v>
      </c>
      <c r="F133" s="204" t="s">
        <v>145</v>
      </c>
      <c r="G133" s="205" t="s">
        <v>146</v>
      </c>
      <c r="H133" s="202" t="s">
        <v>147</v>
      </c>
      <c r="I133" s="202" t="s">
        <v>148</v>
      </c>
      <c r="J133" s="202" t="s">
        <v>149</v>
      </c>
      <c r="K133" s="202" t="s">
        <v>150</v>
      </c>
      <c r="L133" s="202" t="s">
        <v>151</v>
      </c>
      <c r="M133" s="202" t="s">
        <v>152</v>
      </c>
      <c r="N133" s="202" t="s">
        <v>153</v>
      </c>
      <c r="O133" s="202" t="s">
        <v>154</v>
      </c>
      <c r="P133" s="260" t="s">
        <v>155</v>
      </c>
    </row>
    <row r="134" spans="2:16">
      <c r="B134" s="254" t="s">
        <v>156</v>
      </c>
      <c r="C134" s="202" t="s">
        <v>157</v>
      </c>
      <c r="D134" s="202" t="s">
        <v>158</v>
      </c>
      <c r="E134" s="203" t="s">
        <v>4</v>
      </c>
      <c r="F134" s="204" t="s">
        <v>159</v>
      </c>
      <c r="G134" s="205" t="e">
        <v>#DIV/0!</v>
      </c>
      <c r="H134" s="202">
        <v>0</v>
      </c>
      <c r="I134" s="202">
        <v>0</v>
      </c>
      <c r="J134" s="202" t="e">
        <v>#DIV/0!</v>
      </c>
      <c r="K134" s="202">
        <v>0</v>
      </c>
      <c r="L134" s="202">
        <v>0</v>
      </c>
      <c r="N134" s="202">
        <v>0</v>
      </c>
      <c r="O134" s="202" t="s">
        <v>159</v>
      </c>
      <c r="P134" s="260">
        <v>1</v>
      </c>
    </row>
    <row r="135" spans="2:16">
      <c r="B135" s="254" t="s">
        <v>156</v>
      </c>
      <c r="C135" s="202" t="s">
        <v>157</v>
      </c>
      <c r="D135" s="202" t="s">
        <v>158</v>
      </c>
      <c r="E135" s="203" t="s">
        <v>4</v>
      </c>
      <c r="F135" s="204" t="s">
        <v>159</v>
      </c>
      <c r="G135" s="205" t="e">
        <v>#DIV/0!</v>
      </c>
      <c r="H135" s="202">
        <v>0</v>
      </c>
      <c r="I135" s="202">
        <v>0</v>
      </c>
      <c r="J135" s="202" t="e">
        <v>#DIV/0!</v>
      </c>
      <c r="K135" s="202">
        <v>0</v>
      </c>
      <c r="L135" s="202">
        <v>0</v>
      </c>
      <c r="N135" s="202">
        <v>0</v>
      </c>
      <c r="O135" s="202" t="s">
        <v>159</v>
      </c>
      <c r="P135" s="260">
        <v>1</v>
      </c>
    </row>
    <row r="136" spans="2:16">
      <c r="B136" s="254" t="s">
        <v>156</v>
      </c>
      <c r="C136" s="202" t="s">
        <v>157</v>
      </c>
      <c r="D136" s="202" t="s">
        <v>158</v>
      </c>
      <c r="E136" s="203" t="s">
        <v>4</v>
      </c>
      <c r="F136" s="204" t="s">
        <v>159</v>
      </c>
      <c r="G136" s="205" t="e">
        <v>#DIV/0!</v>
      </c>
      <c r="H136" s="202">
        <v>0</v>
      </c>
      <c r="I136" s="202">
        <v>0</v>
      </c>
      <c r="J136" s="202" t="e">
        <v>#DIV/0!</v>
      </c>
      <c r="K136" s="202">
        <v>0</v>
      </c>
      <c r="L136" s="202">
        <v>0</v>
      </c>
      <c r="N136" s="202">
        <v>0</v>
      </c>
      <c r="O136" s="202" t="s">
        <v>159</v>
      </c>
      <c r="P136" s="260">
        <v>1</v>
      </c>
    </row>
    <row r="137" spans="2:16">
      <c r="B137" s="254" t="s">
        <v>160</v>
      </c>
      <c r="C137" s="202" t="s">
        <v>157</v>
      </c>
      <c r="D137" s="202" t="s">
        <v>158</v>
      </c>
      <c r="E137" s="203" t="s">
        <v>4</v>
      </c>
      <c r="F137" s="204" t="s">
        <v>159</v>
      </c>
      <c r="G137" s="205" t="s">
        <v>161</v>
      </c>
      <c r="H137" s="202">
        <v>0</v>
      </c>
      <c r="I137" s="202">
        <v>0</v>
      </c>
      <c r="J137" s="202">
        <v>0</v>
      </c>
      <c r="K137" s="202">
        <v>823000</v>
      </c>
      <c r="L137" s="202">
        <v>0.764</v>
      </c>
      <c r="N137" s="202">
        <v>0</v>
      </c>
      <c r="O137" s="202" t="s">
        <v>159</v>
      </c>
      <c r="P137" s="260">
        <v>1</v>
      </c>
    </row>
    <row r="138" spans="2:16">
      <c r="B138" s="254" t="s">
        <v>162</v>
      </c>
      <c r="C138" s="202" t="s">
        <v>163</v>
      </c>
      <c r="D138" s="202" t="s">
        <v>158</v>
      </c>
      <c r="E138" s="203" t="s">
        <v>4</v>
      </c>
      <c r="F138" s="204">
        <v>1</v>
      </c>
      <c r="G138" s="205">
        <v>1</v>
      </c>
      <c r="H138" s="202">
        <v>1590</v>
      </c>
      <c r="I138" s="202">
        <v>0.935</v>
      </c>
      <c r="J138" s="202">
        <v>0.00255</v>
      </c>
      <c r="K138" s="202">
        <v>625000</v>
      </c>
      <c r="L138" s="202">
        <v>0.765</v>
      </c>
      <c r="M138" s="202">
        <v>1</v>
      </c>
      <c r="N138" s="202">
        <v>0</v>
      </c>
      <c r="O138" s="202">
        <v>100.12</v>
      </c>
      <c r="P138" s="260">
        <v>1</v>
      </c>
    </row>
    <row r="139" spans="2:16">
      <c r="B139" s="254" t="s">
        <v>164</v>
      </c>
      <c r="C139" s="202" t="s">
        <v>163</v>
      </c>
      <c r="D139" s="202" t="s">
        <v>158</v>
      </c>
      <c r="E139" s="203" t="s">
        <v>4</v>
      </c>
      <c r="F139" s="204">
        <v>2</v>
      </c>
      <c r="G139" s="205">
        <v>2.01</v>
      </c>
      <c r="H139" s="202">
        <v>2880</v>
      </c>
      <c r="I139" s="202">
        <v>0.94</v>
      </c>
      <c r="J139" s="202">
        <v>0.00472</v>
      </c>
      <c r="K139" s="202">
        <v>610000</v>
      </c>
      <c r="L139" s="202">
        <v>0.766</v>
      </c>
      <c r="M139" s="202">
        <v>1</v>
      </c>
      <c r="N139" s="202">
        <v>0</v>
      </c>
      <c r="O139" s="202">
        <v>100.72</v>
      </c>
      <c r="P139" s="260">
        <v>1</v>
      </c>
    </row>
    <row r="140" spans="2:16">
      <c r="B140" s="254" t="s">
        <v>165</v>
      </c>
      <c r="C140" s="202" t="s">
        <v>163</v>
      </c>
      <c r="D140" s="202" t="s">
        <v>158</v>
      </c>
      <c r="E140" s="203" t="s">
        <v>4</v>
      </c>
      <c r="F140" s="204">
        <v>10</v>
      </c>
      <c r="G140" s="205">
        <v>9.42</v>
      </c>
      <c r="H140" s="202">
        <v>12600</v>
      </c>
      <c r="I140" s="202">
        <v>0.937</v>
      </c>
      <c r="J140" s="202">
        <v>0.0206</v>
      </c>
      <c r="K140" s="202">
        <v>613000</v>
      </c>
      <c r="L140" s="202">
        <v>0.765</v>
      </c>
      <c r="M140" s="202">
        <v>1</v>
      </c>
      <c r="N140" s="202">
        <v>0</v>
      </c>
      <c r="O140" s="202">
        <v>94.16</v>
      </c>
      <c r="P140" s="260">
        <v>1</v>
      </c>
    </row>
    <row r="141" spans="2:16">
      <c r="B141" s="254" t="s">
        <v>166</v>
      </c>
      <c r="C141" s="202" t="s">
        <v>163</v>
      </c>
      <c r="D141" s="202" t="s">
        <v>158</v>
      </c>
      <c r="E141" s="203" t="s">
        <v>4</v>
      </c>
      <c r="F141" s="204">
        <v>50</v>
      </c>
      <c r="G141" s="205">
        <v>52.8</v>
      </c>
      <c r="H141" s="202">
        <v>68900</v>
      </c>
      <c r="I141" s="202">
        <v>0.945</v>
      </c>
      <c r="J141" s="202">
        <v>0.114</v>
      </c>
      <c r="K141" s="202">
        <v>606000</v>
      </c>
      <c r="L141" s="202">
        <v>0.774</v>
      </c>
      <c r="M141" s="202">
        <v>1</v>
      </c>
      <c r="N141" s="202">
        <v>0</v>
      </c>
      <c r="O141" s="202">
        <v>105.66</v>
      </c>
      <c r="P141" s="260">
        <v>1</v>
      </c>
    </row>
    <row r="142" spans="2:16">
      <c r="B142" s="254" t="s">
        <v>167</v>
      </c>
      <c r="C142" s="202" t="s">
        <v>163</v>
      </c>
      <c r="D142" s="202" t="s">
        <v>158</v>
      </c>
      <c r="E142" s="203" t="s">
        <v>4</v>
      </c>
      <c r="F142" s="204">
        <v>200</v>
      </c>
      <c r="G142" s="205">
        <v>194</v>
      </c>
      <c r="H142" s="202">
        <v>258000</v>
      </c>
      <c r="I142" s="202">
        <v>0.939</v>
      </c>
      <c r="J142" s="202">
        <v>0.417</v>
      </c>
      <c r="K142" s="202">
        <v>618000</v>
      </c>
      <c r="L142" s="202">
        <v>0.767</v>
      </c>
      <c r="M142" s="202">
        <v>1</v>
      </c>
      <c r="N142" s="202">
        <v>0</v>
      </c>
      <c r="O142" s="202">
        <v>97.15</v>
      </c>
      <c r="P142" s="260">
        <v>1</v>
      </c>
    </row>
    <row r="143" spans="2:16">
      <c r="B143" s="254" t="s">
        <v>168</v>
      </c>
      <c r="C143" s="202" t="s">
        <v>163</v>
      </c>
      <c r="D143" s="202" t="s">
        <v>158</v>
      </c>
      <c r="E143" s="203" t="s">
        <v>4</v>
      </c>
      <c r="F143" s="204">
        <v>1000</v>
      </c>
      <c r="G143" s="205">
        <v>969</v>
      </c>
      <c r="H143" s="202">
        <v>1260000</v>
      </c>
      <c r="I143" s="202">
        <v>0.937</v>
      </c>
      <c r="J143" s="202">
        <v>2.08</v>
      </c>
      <c r="K143" s="202">
        <v>607000</v>
      </c>
      <c r="L143" s="202">
        <v>0.765</v>
      </c>
      <c r="M143" s="202">
        <v>1</v>
      </c>
      <c r="N143" s="202">
        <v>0</v>
      </c>
      <c r="O143" s="202">
        <v>96.93</v>
      </c>
      <c r="P143" s="260">
        <v>1</v>
      </c>
    </row>
    <row r="144" spans="2:16">
      <c r="B144" s="254" t="s">
        <v>169</v>
      </c>
      <c r="C144" s="202" t="s">
        <v>163</v>
      </c>
      <c r="D144" s="202" t="s">
        <v>158</v>
      </c>
      <c r="E144" s="203" t="s">
        <v>4</v>
      </c>
      <c r="F144" s="204">
        <v>1800</v>
      </c>
      <c r="G144" s="205">
        <v>1850</v>
      </c>
      <c r="H144" s="202">
        <v>2400000</v>
      </c>
      <c r="I144" s="202">
        <v>0.939</v>
      </c>
      <c r="J144" s="202">
        <v>3.97</v>
      </c>
      <c r="K144" s="202">
        <v>603000</v>
      </c>
      <c r="L144" s="202">
        <v>0.767</v>
      </c>
      <c r="M144" s="202">
        <v>1</v>
      </c>
      <c r="N144" s="202">
        <v>0</v>
      </c>
      <c r="O144" s="202">
        <v>102.89</v>
      </c>
      <c r="P144" s="260">
        <v>1</v>
      </c>
    </row>
    <row r="145" spans="2:16">
      <c r="B145" s="254" t="s">
        <v>170</v>
      </c>
      <c r="C145" s="202" t="s">
        <v>163</v>
      </c>
      <c r="D145" s="202" t="s">
        <v>158</v>
      </c>
      <c r="E145" s="203" t="s">
        <v>4</v>
      </c>
      <c r="F145" s="204">
        <v>2000</v>
      </c>
      <c r="G145" s="205">
        <v>2050</v>
      </c>
      <c r="H145" s="202">
        <v>2610000</v>
      </c>
      <c r="I145" s="202">
        <v>0.937</v>
      </c>
      <c r="J145" s="202">
        <v>4.39</v>
      </c>
      <c r="K145" s="202">
        <v>595000</v>
      </c>
      <c r="L145" s="202">
        <v>0.765</v>
      </c>
      <c r="M145" s="202">
        <v>1</v>
      </c>
      <c r="N145" s="202">
        <v>0</v>
      </c>
      <c r="O145" s="202">
        <v>102.36</v>
      </c>
      <c r="P145" s="260">
        <v>1</v>
      </c>
    </row>
    <row r="146" spans="2:16">
      <c r="B146" s="254" t="s">
        <v>156</v>
      </c>
      <c r="C146" s="202" t="s">
        <v>157</v>
      </c>
      <c r="D146" s="202" t="s">
        <v>158</v>
      </c>
      <c r="E146" s="203" t="s">
        <v>4</v>
      </c>
      <c r="F146" s="204" t="s">
        <v>159</v>
      </c>
      <c r="G146" s="205" t="e">
        <v>#DIV/0!</v>
      </c>
      <c r="H146" s="202">
        <v>0</v>
      </c>
      <c r="I146" s="202">
        <v>0</v>
      </c>
      <c r="J146" s="202" t="e">
        <v>#DIV/0!</v>
      </c>
      <c r="K146" s="202">
        <v>0</v>
      </c>
      <c r="L146" s="202">
        <v>0</v>
      </c>
      <c r="N146" s="202">
        <v>0</v>
      </c>
      <c r="O146" s="202" t="s">
        <v>159</v>
      </c>
      <c r="P146" s="260">
        <v>1</v>
      </c>
    </row>
    <row r="147" spans="2:16">
      <c r="B147" s="254" t="s">
        <v>156</v>
      </c>
      <c r="C147" s="202" t="s">
        <v>157</v>
      </c>
      <c r="D147" s="202" t="s">
        <v>158</v>
      </c>
      <c r="E147" s="203" t="s">
        <v>4</v>
      </c>
      <c r="F147" s="204" t="s">
        <v>159</v>
      </c>
      <c r="G147" s="205" t="e">
        <v>#DIV/0!</v>
      </c>
      <c r="H147" s="202">
        <v>178</v>
      </c>
      <c r="I147" s="202">
        <v>0.941</v>
      </c>
      <c r="J147" s="202" t="e">
        <v>#DIV/0!</v>
      </c>
      <c r="K147" s="202">
        <v>0</v>
      </c>
      <c r="L147" s="202">
        <v>0</v>
      </c>
      <c r="N147" s="202">
        <v>0</v>
      </c>
      <c r="O147" s="202" t="s">
        <v>159</v>
      </c>
      <c r="P147" s="260">
        <v>1</v>
      </c>
    </row>
    <row r="148" spans="2:16">
      <c r="B148" s="254" t="s">
        <v>156</v>
      </c>
      <c r="C148" s="202" t="s">
        <v>157</v>
      </c>
      <c r="D148" s="202" t="s">
        <v>158</v>
      </c>
      <c r="E148" s="203" t="s">
        <v>4</v>
      </c>
      <c r="F148" s="204" t="s">
        <v>159</v>
      </c>
      <c r="G148" s="205" t="e">
        <v>#DIV/0!</v>
      </c>
      <c r="H148" s="202">
        <v>0</v>
      </c>
      <c r="I148" s="202">
        <v>0</v>
      </c>
      <c r="J148" s="202" t="e">
        <v>#DIV/0!</v>
      </c>
      <c r="K148" s="202">
        <v>0</v>
      </c>
      <c r="L148" s="202">
        <v>0</v>
      </c>
      <c r="N148" s="202">
        <v>0</v>
      </c>
      <c r="O148" s="202" t="s">
        <v>159</v>
      </c>
      <c r="P148" s="260">
        <v>1</v>
      </c>
    </row>
    <row r="149" spans="2:16">
      <c r="B149" s="254" t="s">
        <v>171</v>
      </c>
      <c r="C149" s="202" t="s">
        <v>172</v>
      </c>
      <c r="D149" s="202" t="s">
        <v>158</v>
      </c>
      <c r="E149" s="203" t="s">
        <v>4</v>
      </c>
      <c r="F149" s="204">
        <v>3</v>
      </c>
      <c r="G149" s="205">
        <v>2.84</v>
      </c>
      <c r="H149" s="202">
        <v>3910</v>
      </c>
      <c r="I149" s="202">
        <v>0.937</v>
      </c>
      <c r="J149" s="202">
        <v>0.00648</v>
      </c>
      <c r="K149" s="202">
        <v>603000</v>
      </c>
      <c r="L149" s="202">
        <v>0.764</v>
      </c>
      <c r="M149" s="202">
        <v>1</v>
      </c>
      <c r="N149" s="202">
        <v>0</v>
      </c>
      <c r="O149" s="202">
        <v>94.58</v>
      </c>
      <c r="P149" s="260">
        <v>1</v>
      </c>
    </row>
    <row r="150" spans="2:16">
      <c r="B150" s="254" t="s">
        <v>173</v>
      </c>
      <c r="C150" s="202" t="s">
        <v>172</v>
      </c>
      <c r="D150" s="202" t="s">
        <v>158</v>
      </c>
      <c r="E150" s="203" t="s">
        <v>4</v>
      </c>
      <c r="F150" s="204">
        <v>100</v>
      </c>
      <c r="G150" s="205">
        <v>100</v>
      </c>
      <c r="H150" s="202">
        <v>126000</v>
      </c>
      <c r="I150" s="202">
        <v>0.938</v>
      </c>
      <c r="J150" s="202">
        <v>0.215</v>
      </c>
      <c r="K150" s="202">
        <v>589000</v>
      </c>
      <c r="L150" s="202">
        <v>0.764</v>
      </c>
      <c r="M150" s="202">
        <v>1</v>
      </c>
      <c r="N150" s="202">
        <v>0</v>
      </c>
      <c r="O150" s="202">
        <v>99.99</v>
      </c>
      <c r="P150" s="260">
        <v>1</v>
      </c>
    </row>
    <row r="151" spans="2:16">
      <c r="B151" s="254" t="s">
        <v>174</v>
      </c>
      <c r="C151" s="202" t="s">
        <v>172</v>
      </c>
      <c r="D151" s="202" t="s">
        <v>158</v>
      </c>
      <c r="E151" s="203" t="s">
        <v>4</v>
      </c>
      <c r="F151" s="204">
        <v>1600</v>
      </c>
      <c r="G151" s="205">
        <v>1480</v>
      </c>
      <c r="H151" s="202">
        <v>1900000</v>
      </c>
      <c r="I151" s="202">
        <v>0.943</v>
      </c>
      <c r="J151" s="202">
        <v>3.18</v>
      </c>
      <c r="K151" s="202">
        <v>597000</v>
      </c>
      <c r="L151" s="202">
        <v>0.769</v>
      </c>
      <c r="M151" s="202">
        <v>1</v>
      </c>
      <c r="N151" s="202">
        <v>0</v>
      </c>
      <c r="O151" s="202">
        <v>92.66</v>
      </c>
      <c r="P151" s="260">
        <v>1</v>
      </c>
    </row>
    <row r="152" spans="2:16">
      <c r="B152" s="254" t="s">
        <v>175</v>
      </c>
      <c r="C152" s="202" t="s">
        <v>157</v>
      </c>
      <c r="D152" s="202" t="s">
        <v>158</v>
      </c>
      <c r="E152" s="203" t="s">
        <v>4</v>
      </c>
      <c r="F152" s="204" t="s">
        <v>159</v>
      </c>
      <c r="G152" s="205" t="e">
        <v>#DIV/0!</v>
      </c>
      <c r="H152" s="202">
        <v>0</v>
      </c>
      <c r="I152" s="202">
        <v>0</v>
      </c>
      <c r="J152" s="202" t="e">
        <v>#DIV/0!</v>
      </c>
      <c r="K152" s="202">
        <v>0</v>
      </c>
      <c r="L152" s="202">
        <v>0</v>
      </c>
      <c r="N152" s="202">
        <v>0</v>
      </c>
      <c r="O152" s="202" t="s">
        <v>159</v>
      </c>
      <c r="P152" s="260">
        <v>1</v>
      </c>
    </row>
    <row r="153" spans="2:16">
      <c r="B153" s="254" t="s">
        <v>176</v>
      </c>
      <c r="C153" s="202" t="s">
        <v>172</v>
      </c>
      <c r="D153" s="202" t="s">
        <v>158</v>
      </c>
      <c r="E153" s="203" t="s">
        <v>4</v>
      </c>
      <c r="F153" s="204">
        <v>50</v>
      </c>
      <c r="G153" s="205">
        <v>48.7</v>
      </c>
      <c r="H153" s="202">
        <v>66300</v>
      </c>
      <c r="I153" s="202">
        <v>0.947</v>
      </c>
      <c r="J153" s="202">
        <v>0.105</v>
      </c>
      <c r="K153" s="202">
        <v>633000</v>
      </c>
      <c r="L153" s="202">
        <v>0.773</v>
      </c>
      <c r="M153" s="202">
        <v>1</v>
      </c>
      <c r="N153" s="202">
        <v>0</v>
      </c>
      <c r="O153" s="202">
        <v>97.36</v>
      </c>
      <c r="P153" s="260">
        <v>1</v>
      </c>
    </row>
    <row r="154" spans="2:16">
      <c r="B154" s="254" t="s">
        <v>177</v>
      </c>
      <c r="C154" s="202" t="s">
        <v>172</v>
      </c>
      <c r="D154" s="202" t="s">
        <v>158</v>
      </c>
      <c r="E154" s="203" t="s">
        <v>4</v>
      </c>
      <c r="F154" s="204">
        <v>50</v>
      </c>
      <c r="G154" s="205">
        <v>48.4</v>
      </c>
      <c r="H154" s="202">
        <v>68100</v>
      </c>
      <c r="I154" s="202">
        <v>0.939</v>
      </c>
      <c r="J154" s="202">
        <v>0.104</v>
      </c>
      <c r="K154" s="202">
        <v>653000</v>
      </c>
      <c r="L154" s="202">
        <v>0.766</v>
      </c>
      <c r="M154" s="202">
        <v>1</v>
      </c>
      <c r="N154" s="202">
        <v>0</v>
      </c>
      <c r="O154" s="202">
        <v>96.82</v>
      </c>
      <c r="P154" s="260">
        <v>1</v>
      </c>
    </row>
    <row r="155" spans="2:16">
      <c r="B155" s="254" t="s">
        <v>178</v>
      </c>
      <c r="C155" s="202" t="s">
        <v>172</v>
      </c>
      <c r="D155" s="202" t="s">
        <v>158</v>
      </c>
      <c r="E155" s="203" t="s">
        <v>4</v>
      </c>
      <c r="F155" s="204">
        <v>50</v>
      </c>
      <c r="G155" s="205">
        <v>50.1</v>
      </c>
      <c r="H155" s="202">
        <v>66000</v>
      </c>
      <c r="I155" s="202">
        <v>0.936</v>
      </c>
      <c r="J155" s="202">
        <v>0.108</v>
      </c>
      <c r="K155" s="202">
        <v>612000</v>
      </c>
      <c r="L155" s="202">
        <v>0.764</v>
      </c>
      <c r="M155" s="202">
        <v>1</v>
      </c>
      <c r="N155" s="202">
        <v>0</v>
      </c>
      <c r="O155" s="202">
        <v>100.12</v>
      </c>
      <c r="P155" s="260">
        <v>1</v>
      </c>
    </row>
    <row r="156" spans="2:16">
      <c r="B156" s="254" t="s">
        <v>175</v>
      </c>
      <c r="C156" s="202" t="s">
        <v>157</v>
      </c>
      <c r="D156" s="202" t="s">
        <v>158</v>
      </c>
      <c r="E156" s="203" t="s">
        <v>4</v>
      </c>
      <c r="F156" s="204" t="s">
        <v>159</v>
      </c>
      <c r="G156" s="205" t="e">
        <v>#DIV/0!</v>
      </c>
      <c r="H156" s="202">
        <v>0</v>
      </c>
      <c r="I156" s="202">
        <v>0</v>
      </c>
      <c r="J156" s="202" t="e">
        <v>#DIV/0!</v>
      </c>
      <c r="K156" s="202">
        <v>0</v>
      </c>
      <c r="L156" s="202">
        <v>0</v>
      </c>
      <c r="N156" s="202">
        <v>0</v>
      </c>
      <c r="O156" s="202" t="s">
        <v>159</v>
      </c>
      <c r="P156" s="260">
        <v>1</v>
      </c>
    </row>
    <row r="157" spans="2:16">
      <c r="B157" s="254" t="s">
        <v>179</v>
      </c>
      <c r="C157" s="202" t="s">
        <v>157</v>
      </c>
      <c r="D157" s="202" t="s">
        <v>158</v>
      </c>
      <c r="E157" s="203" t="s">
        <v>4</v>
      </c>
      <c r="F157" s="204" t="s">
        <v>159</v>
      </c>
      <c r="G157" s="205" t="s">
        <v>161</v>
      </c>
      <c r="H157" s="202">
        <v>0</v>
      </c>
      <c r="I157" s="202">
        <v>0</v>
      </c>
      <c r="J157" s="202">
        <v>0</v>
      </c>
      <c r="K157" s="202">
        <v>606000</v>
      </c>
      <c r="L157" s="202">
        <v>0.771</v>
      </c>
      <c r="N157" s="202">
        <v>0</v>
      </c>
      <c r="O157" s="202" t="s">
        <v>159</v>
      </c>
      <c r="P157" s="260">
        <v>1</v>
      </c>
    </row>
    <row r="158" spans="2:16">
      <c r="B158" s="254" t="s">
        <v>180</v>
      </c>
      <c r="C158" s="202" t="s">
        <v>157</v>
      </c>
      <c r="D158" s="202" t="s">
        <v>158</v>
      </c>
      <c r="E158" s="203" t="s">
        <v>4</v>
      </c>
      <c r="F158" s="204" t="s">
        <v>159</v>
      </c>
      <c r="G158" s="205" t="s">
        <v>216</v>
      </c>
      <c r="H158" s="202">
        <v>169</v>
      </c>
      <c r="I158" s="202">
        <v>0.938</v>
      </c>
      <c r="J158" s="202">
        <v>0.000285</v>
      </c>
      <c r="K158" s="202">
        <v>595000</v>
      </c>
      <c r="L158" s="202">
        <v>0.767</v>
      </c>
      <c r="N158" s="202">
        <v>0</v>
      </c>
      <c r="O158" s="202" t="s">
        <v>159</v>
      </c>
      <c r="P158" s="260">
        <v>1</v>
      </c>
    </row>
    <row r="159" spans="2:16">
      <c r="B159" s="254" t="s">
        <v>181</v>
      </c>
      <c r="C159" s="202" t="s">
        <v>157</v>
      </c>
      <c r="D159" s="202" t="s">
        <v>158</v>
      </c>
      <c r="E159" s="203" t="s">
        <v>4</v>
      </c>
      <c r="F159" s="204" t="s">
        <v>159</v>
      </c>
      <c r="G159" s="205" t="s">
        <v>161</v>
      </c>
      <c r="H159" s="202">
        <v>0</v>
      </c>
      <c r="I159" s="202">
        <v>0</v>
      </c>
      <c r="J159" s="202">
        <v>0</v>
      </c>
      <c r="K159" s="202">
        <v>567000</v>
      </c>
      <c r="L159" s="202">
        <v>0.765</v>
      </c>
      <c r="N159" s="202">
        <v>0</v>
      </c>
      <c r="O159" s="202" t="s">
        <v>159</v>
      </c>
      <c r="P159" s="260">
        <v>1</v>
      </c>
    </row>
    <row r="160" spans="2:16">
      <c r="B160" s="254" t="s">
        <v>182</v>
      </c>
      <c r="C160" s="202" t="s">
        <v>157</v>
      </c>
      <c r="D160" s="202" t="s">
        <v>158</v>
      </c>
      <c r="E160" s="203" t="s">
        <v>4</v>
      </c>
      <c r="F160" s="204" t="s">
        <v>159</v>
      </c>
      <c r="G160" s="205" t="s">
        <v>161</v>
      </c>
      <c r="H160" s="202">
        <v>0</v>
      </c>
      <c r="I160" s="202">
        <v>0</v>
      </c>
      <c r="J160" s="202">
        <v>0</v>
      </c>
      <c r="K160" s="202">
        <v>460000</v>
      </c>
      <c r="L160" s="202">
        <v>0.773</v>
      </c>
      <c r="N160" s="202">
        <v>0</v>
      </c>
      <c r="O160" s="202" t="s">
        <v>159</v>
      </c>
      <c r="P160" s="260">
        <v>1</v>
      </c>
    </row>
    <row r="161" spans="2:16">
      <c r="B161" s="254" t="s">
        <v>183</v>
      </c>
      <c r="C161" s="202" t="s">
        <v>157</v>
      </c>
      <c r="D161" s="202" t="s">
        <v>158</v>
      </c>
      <c r="E161" s="203" t="s">
        <v>4</v>
      </c>
      <c r="F161" s="204" t="s">
        <v>159</v>
      </c>
      <c r="G161" s="205" t="s">
        <v>161</v>
      </c>
      <c r="H161" s="202">
        <v>0</v>
      </c>
      <c r="I161" s="202">
        <v>0</v>
      </c>
      <c r="J161" s="202">
        <v>0</v>
      </c>
      <c r="K161" s="202">
        <v>561000</v>
      </c>
      <c r="L161" s="202">
        <v>0.766</v>
      </c>
      <c r="N161" s="202">
        <v>0</v>
      </c>
      <c r="O161" s="202" t="s">
        <v>159</v>
      </c>
      <c r="P161" s="260">
        <v>1</v>
      </c>
    </row>
    <row r="162" spans="2:16">
      <c r="B162" s="254" t="s">
        <v>184</v>
      </c>
      <c r="C162" s="202" t="s">
        <v>157</v>
      </c>
      <c r="D162" s="202" t="s">
        <v>158</v>
      </c>
      <c r="E162" s="203" t="s">
        <v>4</v>
      </c>
      <c r="F162" s="204" t="s">
        <v>159</v>
      </c>
      <c r="G162" s="205" t="s">
        <v>161</v>
      </c>
      <c r="H162" s="202">
        <v>0</v>
      </c>
      <c r="I162" s="202">
        <v>0</v>
      </c>
      <c r="J162" s="202">
        <v>0</v>
      </c>
      <c r="K162" s="202">
        <v>537000</v>
      </c>
      <c r="L162" s="202">
        <v>0.765</v>
      </c>
      <c r="N162" s="202">
        <v>0</v>
      </c>
      <c r="O162" s="202" t="s">
        <v>159</v>
      </c>
      <c r="P162" s="260">
        <v>1</v>
      </c>
    </row>
    <row r="163" spans="2:16">
      <c r="B163" s="254" t="s">
        <v>185</v>
      </c>
      <c r="C163" s="202" t="s">
        <v>157</v>
      </c>
      <c r="D163" s="202" t="s">
        <v>158</v>
      </c>
      <c r="E163" s="203" t="s">
        <v>4</v>
      </c>
      <c r="F163" s="204" t="s">
        <v>159</v>
      </c>
      <c r="G163" s="205" t="s">
        <v>161</v>
      </c>
      <c r="H163" s="202">
        <v>0</v>
      </c>
      <c r="I163" s="202">
        <v>0</v>
      </c>
      <c r="J163" s="202">
        <v>0</v>
      </c>
      <c r="K163" s="202">
        <v>498000</v>
      </c>
      <c r="L163" s="202">
        <v>0.769</v>
      </c>
      <c r="N163" s="202">
        <v>0</v>
      </c>
      <c r="O163" s="202" t="s">
        <v>159</v>
      </c>
      <c r="P163" s="260">
        <v>1</v>
      </c>
    </row>
    <row r="164" spans="2:16">
      <c r="B164" s="254" t="s">
        <v>186</v>
      </c>
      <c r="C164" s="202" t="s">
        <v>157</v>
      </c>
      <c r="D164" s="202" t="s">
        <v>158</v>
      </c>
      <c r="E164" s="203" t="s">
        <v>4</v>
      </c>
      <c r="F164" s="204" t="s">
        <v>159</v>
      </c>
      <c r="G164" s="205" t="s">
        <v>161</v>
      </c>
      <c r="H164" s="202">
        <v>0</v>
      </c>
      <c r="I164" s="202">
        <v>0</v>
      </c>
      <c r="J164" s="202">
        <v>0</v>
      </c>
      <c r="K164" s="202">
        <v>529000</v>
      </c>
      <c r="L164" s="202">
        <v>0.766</v>
      </c>
      <c r="N164" s="202">
        <v>0</v>
      </c>
      <c r="O164" s="202" t="s">
        <v>159</v>
      </c>
      <c r="P164" s="260">
        <v>1</v>
      </c>
    </row>
    <row r="165" spans="2:16">
      <c r="B165" s="254" t="s">
        <v>187</v>
      </c>
      <c r="C165" s="202" t="s">
        <v>157</v>
      </c>
      <c r="D165" s="202" t="s">
        <v>158</v>
      </c>
      <c r="E165" s="203" t="s">
        <v>4</v>
      </c>
      <c r="F165" s="204" t="s">
        <v>159</v>
      </c>
      <c r="G165" s="205" t="s">
        <v>161</v>
      </c>
      <c r="H165" s="202">
        <v>0</v>
      </c>
      <c r="I165" s="202">
        <v>0</v>
      </c>
      <c r="J165" s="202">
        <v>0</v>
      </c>
      <c r="K165" s="202">
        <v>495000</v>
      </c>
      <c r="L165" s="202">
        <v>0.771</v>
      </c>
      <c r="N165" s="202">
        <v>0</v>
      </c>
      <c r="O165" s="202" t="s">
        <v>159</v>
      </c>
      <c r="P165" s="260">
        <v>1</v>
      </c>
    </row>
    <row r="166" spans="2:16">
      <c r="B166" s="254" t="s">
        <v>188</v>
      </c>
      <c r="C166" s="202" t="s">
        <v>157</v>
      </c>
      <c r="D166" s="202" t="s">
        <v>158</v>
      </c>
      <c r="E166" s="203" t="s">
        <v>4</v>
      </c>
      <c r="F166" s="204" t="s">
        <v>159</v>
      </c>
      <c r="G166" s="205" t="s">
        <v>161</v>
      </c>
      <c r="H166" s="202">
        <v>0</v>
      </c>
      <c r="I166" s="202">
        <v>0</v>
      </c>
      <c r="J166" s="202">
        <v>0</v>
      </c>
      <c r="K166" s="202">
        <v>454000</v>
      </c>
      <c r="L166" s="202">
        <v>0.765</v>
      </c>
      <c r="N166" s="202">
        <v>0</v>
      </c>
      <c r="O166" s="202" t="s">
        <v>159</v>
      </c>
      <c r="P166" s="260">
        <v>1</v>
      </c>
    </row>
    <row r="167" spans="2:16">
      <c r="B167" s="254" t="s">
        <v>189</v>
      </c>
      <c r="C167" s="202" t="s">
        <v>157</v>
      </c>
      <c r="D167" s="202" t="s">
        <v>158</v>
      </c>
      <c r="E167" s="203" t="s">
        <v>4</v>
      </c>
      <c r="F167" s="204" t="s">
        <v>159</v>
      </c>
      <c r="G167" s="205">
        <v>0.169</v>
      </c>
      <c r="H167" s="202">
        <v>377</v>
      </c>
      <c r="I167" s="202">
        <v>0.95</v>
      </c>
      <c r="J167" s="202">
        <v>0.000763</v>
      </c>
      <c r="K167" s="202">
        <v>494000</v>
      </c>
      <c r="L167" s="202">
        <v>0.769</v>
      </c>
      <c r="N167" s="202">
        <v>0</v>
      </c>
      <c r="O167" s="202" t="s">
        <v>159</v>
      </c>
      <c r="P167" s="260">
        <v>1</v>
      </c>
    </row>
    <row r="168" spans="2:16">
      <c r="B168" s="254" t="s">
        <v>190</v>
      </c>
      <c r="C168" s="202" t="s">
        <v>157</v>
      </c>
      <c r="D168" s="202" t="s">
        <v>158</v>
      </c>
      <c r="E168" s="203" t="s">
        <v>4</v>
      </c>
      <c r="F168" s="204" t="s">
        <v>159</v>
      </c>
      <c r="G168" s="205" t="s">
        <v>161</v>
      </c>
      <c r="H168" s="202">
        <v>0</v>
      </c>
      <c r="I168" s="202">
        <v>0</v>
      </c>
      <c r="J168" s="202">
        <v>0</v>
      </c>
      <c r="K168" s="202">
        <v>470000</v>
      </c>
      <c r="L168" s="202">
        <v>0.767</v>
      </c>
      <c r="N168" s="202">
        <v>0</v>
      </c>
      <c r="O168" s="202" t="s">
        <v>159</v>
      </c>
      <c r="P168" s="260">
        <v>1</v>
      </c>
    </row>
    <row r="169" spans="2:16">
      <c r="B169" s="254" t="s">
        <v>191</v>
      </c>
      <c r="C169" s="202" t="s">
        <v>157</v>
      </c>
      <c r="D169" s="202" t="s">
        <v>158</v>
      </c>
      <c r="E169" s="203" t="s">
        <v>4</v>
      </c>
      <c r="F169" s="204" t="s">
        <v>159</v>
      </c>
      <c r="G169" s="205" t="s">
        <v>161</v>
      </c>
      <c r="H169" s="202">
        <v>0</v>
      </c>
      <c r="I169" s="202">
        <v>0</v>
      </c>
      <c r="J169" s="202">
        <v>0</v>
      </c>
      <c r="K169" s="202">
        <v>502000</v>
      </c>
      <c r="L169" s="202">
        <v>0.765</v>
      </c>
      <c r="N169" s="202">
        <v>0</v>
      </c>
      <c r="O169" s="202" t="s">
        <v>159</v>
      </c>
      <c r="P169" s="260">
        <v>1</v>
      </c>
    </row>
    <row r="170" spans="2:16">
      <c r="B170" s="254" t="s">
        <v>192</v>
      </c>
      <c r="C170" s="202" t="s">
        <v>157</v>
      </c>
      <c r="D170" s="202" t="s">
        <v>158</v>
      </c>
      <c r="E170" s="203" t="s">
        <v>4</v>
      </c>
      <c r="F170" s="204" t="s">
        <v>159</v>
      </c>
      <c r="G170" s="205">
        <v>1.07</v>
      </c>
      <c r="H170" s="202">
        <v>1290</v>
      </c>
      <c r="I170" s="202">
        <v>0.936</v>
      </c>
      <c r="J170" s="202">
        <v>0.00269</v>
      </c>
      <c r="K170" s="202">
        <v>479000</v>
      </c>
      <c r="L170" s="202">
        <v>0.767</v>
      </c>
      <c r="N170" s="202">
        <v>0</v>
      </c>
      <c r="O170" s="202" t="s">
        <v>159</v>
      </c>
      <c r="P170" s="260">
        <v>1</v>
      </c>
    </row>
    <row r="171" spans="2:16">
      <c r="B171" s="254" t="s">
        <v>193</v>
      </c>
      <c r="C171" s="202" t="s">
        <v>157</v>
      </c>
      <c r="D171" s="202" t="s">
        <v>158</v>
      </c>
      <c r="E171" s="203" t="s">
        <v>4</v>
      </c>
      <c r="F171" s="204" t="s">
        <v>159</v>
      </c>
      <c r="G171" s="205">
        <v>0.0982</v>
      </c>
      <c r="H171" s="202">
        <v>272</v>
      </c>
      <c r="I171" s="202">
        <v>0.935</v>
      </c>
      <c r="J171" s="202">
        <v>0.000611</v>
      </c>
      <c r="K171" s="202">
        <v>445000</v>
      </c>
      <c r="L171" s="202">
        <v>0.768</v>
      </c>
      <c r="N171" s="202">
        <v>0</v>
      </c>
      <c r="O171" s="202" t="s">
        <v>159</v>
      </c>
      <c r="P171" s="260">
        <v>1</v>
      </c>
    </row>
    <row r="172" spans="2:16">
      <c r="B172" s="254" t="s">
        <v>194</v>
      </c>
      <c r="C172" s="202" t="s">
        <v>157</v>
      </c>
      <c r="D172" s="202" t="s">
        <v>158</v>
      </c>
      <c r="E172" s="203" t="s">
        <v>4</v>
      </c>
      <c r="F172" s="204" t="s">
        <v>159</v>
      </c>
      <c r="G172" s="205">
        <v>0.0142</v>
      </c>
      <c r="H172" s="202">
        <v>209</v>
      </c>
      <c r="I172" s="202">
        <v>0.931</v>
      </c>
      <c r="J172" s="202">
        <v>0.000431</v>
      </c>
      <c r="K172" s="202">
        <v>484000</v>
      </c>
      <c r="L172" s="202">
        <v>0.764</v>
      </c>
      <c r="N172" s="202">
        <v>0</v>
      </c>
      <c r="O172" s="202" t="s">
        <v>159</v>
      </c>
      <c r="P172" s="260">
        <v>1</v>
      </c>
    </row>
    <row r="173" spans="2:16">
      <c r="B173" s="254" t="s">
        <v>195</v>
      </c>
      <c r="C173" s="202" t="s">
        <v>157</v>
      </c>
      <c r="D173" s="202" t="s">
        <v>158</v>
      </c>
      <c r="E173" s="203" t="s">
        <v>4</v>
      </c>
      <c r="F173" s="204" t="s">
        <v>159</v>
      </c>
      <c r="G173" s="205">
        <v>0.732</v>
      </c>
      <c r="H173" s="202">
        <v>956</v>
      </c>
      <c r="I173" s="202">
        <v>0.94</v>
      </c>
      <c r="J173" s="202">
        <v>0.00197</v>
      </c>
      <c r="K173" s="202">
        <v>486000</v>
      </c>
      <c r="L173" s="202">
        <v>0.769</v>
      </c>
      <c r="N173" s="202">
        <v>0</v>
      </c>
      <c r="O173" s="202" t="s">
        <v>159</v>
      </c>
      <c r="P173" s="260">
        <v>1</v>
      </c>
    </row>
    <row r="174" spans="2:16">
      <c r="B174" s="254" t="s">
        <v>196</v>
      </c>
      <c r="C174" s="202" t="s">
        <v>157</v>
      </c>
      <c r="D174" s="202" t="s">
        <v>158</v>
      </c>
      <c r="E174" s="203" t="s">
        <v>4</v>
      </c>
      <c r="F174" s="204" t="s">
        <v>159</v>
      </c>
      <c r="G174" s="205">
        <v>0.512</v>
      </c>
      <c r="H174" s="202">
        <v>701</v>
      </c>
      <c r="I174" s="202">
        <v>0.941</v>
      </c>
      <c r="J174" s="202">
        <v>0.0015</v>
      </c>
      <c r="K174" s="202">
        <v>468000</v>
      </c>
      <c r="L174" s="202">
        <v>0.77</v>
      </c>
      <c r="N174" s="202">
        <v>0</v>
      </c>
      <c r="O174" s="202" t="s">
        <v>159</v>
      </c>
      <c r="P174" s="260">
        <v>1</v>
      </c>
    </row>
    <row r="175" spans="2:16">
      <c r="B175" s="254" t="s">
        <v>197</v>
      </c>
      <c r="C175" s="202" t="s">
        <v>157</v>
      </c>
      <c r="D175" s="202" t="s">
        <v>158</v>
      </c>
      <c r="E175" s="203" t="s">
        <v>4</v>
      </c>
      <c r="F175" s="204" t="s">
        <v>159</v>
      </c>
      <c r="G175" s="205">
        <v>0.505</v>
      </c>
      <c r="H175" s="202">
        <v>643</v>
      </c>
      <c r="I175" s="202">
        <v>0.949</v>
      </c>
      <c r="J175" s="202">
        <v>0.00148</v>
      </c>
      <c r="K175" s="202">
        <v>434000</v>
      </c>
      <c r="L175" s="202">
        <v>0.773</v>
      </c>
      <c r="N175" s="202">
        <v>0</v>
      </c>
      <c r="O175" s="202" t="s">
        <v>159</v>
      </c>
      <c r="P175" s="260">
        <v>1</v>
      </c>
    </row>
    <row r="176" spans="2:16">
      <c r="B176" s="254" t="s">
        <v>198</v>
      </c>
      <c r="C176" s="202" t="s">
        <v>157</v>
      </c>
      <c r="D176" s="202" t="s">
        <v>158</v>
      </c>
      <c r="E176" s="203" t="s">
        <v>4</v>
      </c>
      <c r="F176" s="204" t="s">
        <v>159</v>
      </c>
      <c r="G176" s="205">
        <v>2.26</v>
      </c>
      <c r="H176" s="202">
        <v>2370</v>
      </c>
      <c r="I176" s="202">
        <v>0.942</v>
      </c>
      <c r="J176" s="202">
        <v>0.00525</v>
      </c>
      <c r="K176" s="202">
        <v>452000</v>
      </c>
      <c r="L176" s="202">
        <v>0.77</v>
      </c>
      <c r="N176" s="202">
        <v>0</v>
      </c>
      <c r="O176" s="202" t="s">
        <v>159</v>
      </c>
      <c r="P176" s="260">
        <v>1</v>
      </c>
    </row>
    <row r="177" spans="2:16">
      <c r="B177" s="254" t="s">
        <v>199</v>
      </c>
      <c r="C177" s="202" t="s">
        <v>157</v>
      </c>
      <c r="D177" s="202" t="s">
        <v>158</v>
      </c>
      <c r="E177" s="203" t="s">
        <v>4</v>
      </c>
      <c r="F177" s="204" t="s">
        <v>159</v>
      </c>
      <c r="G177" s="205">
        <v>4.54</v>
      </c>
      <c r="H177" s="202">
        <v>4610</v>
      </c>
      <c r="I177" s="202">
        <v>0.945</v>
      </c>
      <c r="J177" s="202">
        <v>0.0101</v>
      </c>
      <c r="K177" s="202">
        <v>454000</v>
      </c>
      <c r="L177" s="202">
        <v>0.772</v>
      </c>
      <c r="N177" s="202">
        <v>0</v>
      </c>
      <c r="O177" s="202" t="s">
        <v>159</v>
      </c>
      <c r="P177" s="260">
        <v>1</v>
      </c>
    </row>
    <row r="178" spans="2:16">
      <c r="B178" s="254" t="s">
        <v>200</v>
      </c>
      <c r="C178" s="202" t="s">
        <v>157</v>
      </c>
      <c r="D178" s="202" t="s">
        <v>158</v>
      </c>
      <c r="E178" s="203" t="s">
        <v>4</v>
      </c>
      <c r="F178" s="204" t="s">
        <v>159</v>
      </c>
      <c r="G178" s="205">
        <v>2.36</v>
      </c>
      <c r="H178" s="202">
        <v>2610</v>
      </c>
      <c r="I178" s="202">
        <v>0.942</v>
      </c>
      <c r="J178" s="202">
        <v>0.00546</v>
      </c>
      <c r="K178" s="202">
        <v>479000</v>
      </c>
      <c r="L178" s="202">
        <v>0.771</v>
      </c>
      <c r="N178" s="202">
        <v>0</v>
      </c>
      <c r="O178" s="202" t="s">
        <v>159</v>
      </c>
      <c r="P178" s="260">
        <v>1</v>
      </c>
    </row>
    <row r="179" spans="2:16">
      <c r="B179" s="254" t="s">
        <v>201</v>
      </c>
      <c r="C179" s="202" t="s">
        <v>157</v>
      </c>
      <c r="D179" s="202" t="s">
        <v>158</v>
      </c>
      <c r="E179" s="203" t="s">
        <v>4</v>
      </c>
      <c r="F179" s="204" t="s">
        <v>159</v>
      </c>
      <c r="G179" s="205">
        <v>3.9</v>
      </c>
      <c r="H179" s="202">
        <v>4120</v>
      </c>
      <c r="I179" s="202">
        <v>0.936</v>
      </c>
      <c r="J179" s="202">
        <v>0.00875</v>
      </c>
      <c r="K179" s="202">
        <v>471000</v>
      </c>
      <c r="L179" s="202">
        <v>0.767</v>
      </c>
      <c r="N179" s="202">
        <v>0</v>
      </c>
      <c r="O179" s="202" t="s">
        <v>159</v>
      </c>
      <c r="P179" s="260">
        <v>1</v>
      </c>
    </row>
    <row r="180" spans="2:16">
      <c r="B180" s="254" t="s">
        <v>202</v>
      </c>
      <c r="C180" s="202" t="s">
        <v>157</v>
      </c>
      <c r="D180" s="202" t="s">
        <v>158</v>
      </c>
      <c r="E180" s="203" t="s">
        <v>4</v>
      </c>
      <c r="F180" s="204" t="s">
        <v>159</v>
      </c>
      <c r="G180" s="205">
        <v>6</v>
      </c>
      <c r="H180" s="202">
        <v>6000</v>
      </c>
      <c r="I180" s="202">
        <v>0.938</v>
      </c>
      <c r="J180" s="202">
        <v>0.0133</v>
      </c>
      <c r="K180" s="202">
        <v>453000</v>
      </c>
      <c r="L180" s="202">
        <v>0.768</v>
      </c>
      <c r="N180" s="202">
        <v>0</v>
      </c>
      <c r="O180" s="202" t="s">
        <v>159</v>
      </c>
      <c r="P180" s="260">
        <v>1</v>
      </c>
    </row>
    <row r="181" spans="2:16">
      <c r="B181" s="254" t="s">
        <v>203</v>
      </c>
      <c r="C181" s="202" t="s">
        <v>157</v>
      </c>
      <c r="D181" s="202" t="s">
        <v>158</v>
      </c>
      <c r="E181" s="203" t="s">
        <v>4</v>
      </c>
      <c r="F181" s="204" t="s">
        <v>159</v>
      </c>
      <c r="G181" s="205">
        <v>3.79</v>
      </c>
      <c r="H181" s="202">
        <v>4000</v>
      </c>
      <c r="I181" s="202">
        <v>0.939</v>
      </c>
      <c r="J181" s="202">
        <v>0.00852</v>
      </c>
      <c r="K181" s="202">
        <v>470000</v>
      </c>
      <c r="L181" s="202">
        <v>0.768</v>
      </c>
      <c r="N181" s="202">
        <v>0</v>
      </c>
      <c r="O181" s="202" t="s">
        <v>159</v>
      </c>
      <c r="P181" s="260">
        <v>1</v>
      </c>
    </row>
    <row r="182" spans="2:16">
      <c r="B182" s="254" t="s">
        <v>204</v>
      </c>
      <c r="C182" s="202" t="s">
        <v>157</v>
      </c>
      <c r="D182" s="202" t="s">
        <v>158</v>
      </c>
      <c r="E182" s="203" t="s">
        <v>4</v>
      </c>
      <c r="F182" s="204" t="s">
        <v>159</v>
      </c>
      <c r="G182" s="205">
        <v>6.27</v>
      </c>
      <c r="H182" s="202">
        <v>6390</v>
      </c>
      <c r="I182" s="202">
        <v>0.94</v>
      </c>
      <c r="J182" s="202">
        <v>0.0138</v>
      </c>
      <c r="K182" s="202">
        <v>462000</v>
      </c>
      <c r="L182" s="202">
        <v>0.77</v>
      </c>
      <c r="N182" s="202">
        <v>0</v>
      </c>
      <c r="O182" s="202" t="s">
        <v>159</v>
      </c>
      <c r="P182" s="260">
        <v>1</v>
      </c>
    </row>
    <row r="183" spans="2:16">
      <c r="B183" s="254" t="s">
        <v>205</v>
      </c>
      <c r="C183" s="202" t="s">
        <v>157</v>
      </c>
      <c r="D183" s="202" t="s">
        <v>158</v>
      </c>
      <c r="E183" s="203" t="s">
        <v>4</v>
      </c>
      <c r="F183" s="204" t="s">
        <v>159</v>
      </c>
      <c r="G183" s="205">
        <v>5.28</v>
      </c>
      <c r="H183" s="202">
        <v>5220</v>
      </c>
      <c r="I183" s="202">
        <v>0.944</v>
      </c>
      <c r="J183" s="202">
        <v>0.0117</v>
      </c>
      <c r="K183" s="202">
        <v>445000</v>
      </c>
      <c r="L183" s="202">
        <v>0.768</v>
      </c>
      <c r="N183" s="202">
        <v>0</v>
      </c>
      <c r="O183" s="202" t="s">
        <v>159</v>
      </c>
      <c r="P183" s="260">
        <v>1</v>
      </c>
    </row>
    <row r="184" spans="2:16">
      <c r="B184" s="254" t="s">
        <v>175</v>
      </c>
      <c r="C184" s="202" t="s">
        <v>157</v>
      </c>
      <c r="D184" s="202" t="s">
        <v>158</v>
      </c>
      <c r="E184" s="203" t="s">
        <v>4</v>
      </c>
      <c r="F184" s="204" t="s">
        <v>159</v>
      </c>
      <c r="G184" s="205" t="e">
        <v>#DIV/0!</v>
      </c>
      <c r="H184" s="202">
        <v>0</v>
      </c>
      <c r="I184" s="202">
        <v>0</v>
      </c>
      <c r="J184" s="202" t="e">
        <v>#DIV/0!</v>
      </c>
      <c r="K184" s="202">
        <v>0</v>
      </c>
      <c r="L184" s="202">
        <v>0</v>
      </c>
      <c r="N184" s="202">
        <v>0</v>
      </c>
      <c r="O184" s="202" t="s">
        <v>159</v>
      </c>
      <c r="P184" s="260">
        <v>1</v>
      </c>
    </row>
    <row r="185" spans="2:16">
      <c r="B185" s="254" t="s">
        <v>175</v>
      </c>
      <c r="C185" s="202" t="s">
        <v>157</v>
      </c>
      <c r="D185" s="202" t="s">
        <v>158</v>
      </c>
      <c r="E185" s="203" t="s">
        <v>4</v>
      </c>
      <c r="F185" s="204" t="s">
        <v>159</v>
      </c>
      <c r="G185" s="205" t="e">
        <v>#DIV/0!</v>
      </c>
      <c r="H185" s="202">
        <v>0</v>
      </c>
      <c r="I185" s="202">
        <v>0</v>
      </c>
      <c r="J185" s="202" t="e">
        <v>#DIV/0!</v>
      </c>
      <c r="K185" s="202">
        <v>0</v>
      </c>
      <c r="L185" s="202">
        <v>0</v>
      </c>
      <c r="N185" s="202">
        <v>0</v>
      </c>
      <c r="O185" s="202" t="s">
        <v>159</v>
      </c>
      <c r="P185" s="260">
        <v>1</v>
      </c>
    </row>
    <row r="186" spans="2:16">
      <c r="B186" s="254" t="s">
        <v>206</v>
      </c>
      <c r="C186" s="202" t="s">
        <v>172</v>
      </c>
      <c r="D186" s="202" t="s">
        <v>158</v>
      </c>
      <c r="E186" s="203" t="s">
        <v>4</v>
      </c>
      <c r="F186" s="204">
        <v>3</v>
      </c>
      <c r="G186" s="205">
        <v>2.52</v>
      </c>
      <c r="H186" s="202">
        <v>3160</v>
      </c>
      <c r="I186" s="202">
        <v>0.934</v>
      </c>
      <c r="J186" s="202">
        <v>0.00579</v>
      </c>
      <c r="K186" s="202">
        <v>545000</v>
      </c>
      <c r="L186" s="202">
        <v>0.765</v>
      </c>
      <c r="M186" s="202">
        <v>1</v>
      </c>
      <c r="N186" s="202">
        <v>0</v>
      </c>
      <c r="O186" s="202">
        <v>83.85</v>
      </c>
      <c r="P186" s="260">
        <v>1</v>
      </c>
    </row>
    <row r="187" spans="2:16">
      <c r="B187" s="254" t="s">
        <v>207</v>
      </c>
      <c r="C187" s="202" t="s">
        <v>172</v>
      </c>
      <c r="D187" s="202" t="s">
        <v>158</v>
      </c>
      <c r="E187" s="203" t="s">
        <v>4</v>
      </c>
      <c r="F187" s="204">
        <v>100</v>
      </c>
      <c r="G187" s="205">
        <v>94.9</v>
      </c>
      <c r="H187" s="202">
        <v>110000</v>
      </c>
      <c r="I187" s="202">
        <v>0.946</v>
      </c>
      <c r="J187" s="202">
        <v>0.204</v>
      </c>
      <c r="K187" s="202">
        <v>542000</v>
      </c>
      <c r="L187" s="202">
        <v>0.77</v>
      </c>
      <c r="M187" s="202">
        <v>1</v>
      </c>
      <c r="N187" s="202">
        <v>0</v>
      </c>
      <c r="O187" s="202">
        <v>94.87</v>
      </c>
      <c r="P187" s="260">
        <v>1</v>
      </c>
    </row>
    <row r="188" ht="14.75" spans="2:16">
      <c r="B188" s="255" t="s">
        <v>208</v>
      </c>
      <c r="C188" s="256" t="s">
        <v>172</v>
      </c>
      <c r="D188" s="256" t="s">
        <v>158</v>
      </c>
      <c r="E188" s="257" t="s">
        <v>4</v>
      </c>
      <c r="F188" s="258">
        <v>1600</v>
      </c>
      <c r="G188" s="259">
        <v>1400</v>
      </c>
      <c r="H188" s="256">
        <v>1600000</v>
      </c>
      <c r="I188" s="256">
        <v>0.944</v>
      </c>
      <c r="J188" s="256">
        <v>3</v>
      </c>
      <c r="K188" s="256">
        <v>533000</v>
      </c>
      <c r="L188" s="256">
        <v>0.769</v>
      </c>
      <c r="M188" s="256">
        <v>1</v>
      </c>
      <c r="N188" s="256">
        <v>0</v>
      </c>
      <c r="O188" s="256">
        <v>87.4</v>
      </c>
      <c r="P188" s="262">
        <v>1</v>
      </c>
    </row>
    <row r="189" ht="14.75"/>
    <row r="190" spans="2:16">
      <c r="B190" s="249" t="s">
        <v>125</v>
      </c>
      <c r="C190" s="250"/>
      <c r="D190" s="250"/>
      <c r="E190" s="251"/>
      <c r="F190" s="252"/>
      <c r="G190" s="253"/>
      <c r="H190" s="250"/>
      <c r="I190" s="250"/>
      <c r="J190" s="250"/>
      <c r="K190" s="250"/>
      <c r="L190" s="250"/>
      <c r="M190" s="250"/>
      <c r="N190" s="250"/>
      <c r="O190" s="250"/>
      <c r="P190" s="261"/>
    </row>
    <row r="191" spans="2:16">
      <c r="B191" s="254" t="s">
        <v>126</v>
      </c>
      <c r="P191" s="260"/>
    </row>
    <row r="192" spans="2:16">
      <c r="B192" s="254" t="s">
        <v>127</v>
      </c>
      <c r="P192" s="260"/>
    </row>
    <row r="193" spans="2:16">
      <c r="B193" s="254"/>
      <c r="P193" s="260"/>
    </row>
    <row r="194" spans="2:16">
      <c r="B194" s="254" t="s">
        <v>128</v>
      </c>
      <c r="P194" s="260"/>
    </row>
    <row r="195" spans="2:16">
      <c r="B195" s="254" t="s">
        <v>129</v>
      </c>
      <c r="P195" s="260"/>
    </row>
    <row r="196" spans="2:16">
      <c r="B196" s="254" t="s">
        <v>217</v>
      </c>
      <c r="P196" s="260"/>
    </row>
    <row r="197" spans="2:16">
      <c r="B197" s="254"/>
      <c r="P197" s="260"/>
    </row>
    <row r="198" spans="2:16">
      <c r="B198" s="254" t="s">
        <v>131</v>
      </c>
      <c r="C198" s="202" t="s">
        <v>132</v>
      </c>
      <c r="D198" s="202" t="s">
        <v>133</v>
      </c>
      <c r="E198" s="203" t="s">
        <v>134</v>
      </c>
      <c r="F198" s="204" t="s">
        <v>135</v>
      </c>
      <c r="G198" s="205" t="s">
        <v>136</v>
      </c>
      <c r="P198" s="260"/>
    </row>
    <row r="199" spans="2:16">
      <c r="B199" s="254" t="s">
        <v>137</v>
      </c>
      <c r="C199" s="202">
        <v>-0.000542</v>
      </c>
      <c r="P199" s="260"/>
    </row>
    <row r="200" spans="2:16">
      <c r="B200" s="254" t="s">
        <v>138</v>
      </c>
      <c r="C200" s="202">
        <v>0.000566</v>
      </c>
      <c r="P200" s="260"/>
    </row>
    <row r="201" spans="2:16">
      <c r="B201" s="254" t="s">
        <v>139</v>
      </c>
      <c r="C201" s="202">
        <v>0.9985</v>
      </c>
      <c r="P201" s="260"/>
    </row>
    <row r="202" spans="2:16">
      <c r="B202" s="254" t="s">
        <v>140</v>
      </c>
      <c r="P202" s="260"/>
    </row>
    <row r="203" spans="2:16">
      <c r="B203" s="254"/>
      <c r="P203" s="260"/>
    </row>
    <row r="204" spans="2:16">
      <c r="B204" s="254"/>
      <c r="P204" s="260"/>
    </row>
    <row r="205" spans="2:16">
      <c r="B205" s="254"/>
      <c r="P205" s="260"/>
    </row>
    <row r="206" spans="2:16">
      <c r="B206" s="254" t="s">
        <v>141</v>
      </c>
      <c r="C206" s="202" t="s">
        <v>142</v>
      </c>
      <c r="D206" s="202" t="s">
        <v>143</v>
      </c>
      <c r="E206" s="203" t="s">
        <v>144</v>
      </c>
      <c r="F206" s="204" t="s">
        <v>145</v>
      </c>
      <c r="G206" s="205" t="s">
        <v>146</v>
      </c>
      <c r="H206" s="202" t="s">
        <v>147</v>
      </c>
      <c r="I206" s="202" t="s">
        <v>148</v>
      </c>
      <c r="J206" s="202" t="s">
        <v>149</v>
      </c>
      <c r="K206" s="202" t="s">
        <v>150</v>
      </c>
      <c r="L206" s="202" t="s">
        <v>151</v>
      </c>
      <c r="M206" s="202" t="s">
        <v>152</v>
      </c>
      <c r="N206" s="202" t="s">
        <v>153</v>
      </c>
      <c r="O206" s="202" t="s">
        <v>154</v>
      </c>
      <c r="P206" s="260" t="s">
        <v>155</v>
      </c>
    </row>
    <row r="207" spans="2:16">
      <c r="B207" s="254" t="s">
        <v>156</v>
      </c>
      <c r="C207" s="202" t="s">
        <v>157</v>
      </c>
      <c r="D207" s="202" t="s">
        <v>158</v>
      </c>
      <c r="E207" s="203" t="s">
        <v>4</v>
      </c>
      <c r="F207" s="204" t="s">
        <v>159</v>
      </c>
      <c r="G207" s="205" t="e">
        <v>#DIV/0!</v>
      </c>
      <c r="H207" s="202">
        <v>0</v>
      </c>
      <c r="I207" s="202">
        <v>0</v>
      </c>
      <c r="J207" s="202" t="e">
        <v>#DIV/0!</v>
      </c>
      <c r="K207" s="202">
        <v>0</v>
      </c>
      <c r="L207" s="202">
        <v>0</v>
      </c>
      <c r="N207" s="202">
        <v>0</v>
      </c>
      <c r="O207" s="202" t="s">
        <v>159</v>
      </c>
      <c r="P207" s="260">
        <v>1</v>
      </c>
    </row>
    <row r="208" spans="2:16">
      <c r="B208" s="254" t="s">
        <v>156</v>
      </c>
      <c r="C208" s="202" t="s">
        <v>157</v>
      </c>
      <c r="D208" s="202" t="s">
        <v>158</v>
      </c>
      <c r="E208" s="203" t="s">
        <v>4</v>
      </c>
      <c r="F208" s="204" t="s">
        <v>159</v>
      </c>
      <c r="G208" s="205" t="e">
        <v>#DIV/0!</v>
      </c>
      <c r="H208" s="202">
        <v>0</v>
      </c>
      <c r="I208" s="202">
        <v>0</v>
      </c>
      <c r="J208" s="202" t="e">
        <v>#DIV/0!</v>
      </c>
      <c r="K208" s="202">
        <v>0</v>
      </c>
      <c r="L208" s="202">
        <v>0</v>
      </c>
      <c r="N208" s="202">
        <v>0</v>
      </c>
      <c r="O208" s="202" t="s">
        <v>159</v>
      </c>
      <c r="P208" s="260">
        <v>1</v>
      </c>
    </row>
    <row r="209" spans="2:16">
      <c r="B209" s="254" t="s">
        <v>156</v>
      </c>
      <c r="C209" s="202" t="s">
        <v>157</v>
      </c>
      <c r="D209" s="202" t="s">
        <v>158</v>
      </c>
      <c r="E209" s="203" t="s">
        <v>4</v>
      </c>
      <c r="F209" s="204" t="s">
        <v>159</v>
      </c>
      <c r="G209" s="205" t="e">
        <v>#DIV/0!</v>
      </c>
      <c r="H209" s="202">
        <v>0</v>
      </c>
      <c r="I209" s="202">
        <v>0</v>
      </c>
      <c r="J209" s="202" t="e">
        <v>#DIV/0!</v>
      </c>
      <c r="K209" s="202">
        <v>0</v>
      </c>
      <c r="L209" s="202">
        <v>0</v>
      </c>
      <c r="N209" s="202">
        <v>0</v>
      </c>
      <c r="O209" s="202" t="s">
        <v>159</v>
      </c>
      <c r="P209" s="260">
        <v>1</v>
      </c>
    </row>
    <row r="210" spans="2:16">
      <c r="B210" s="254" t="s">
        <v>160</v>
      </c>
      <c r="C210" s="202" t="s">
        <v>157</v>
      </c>
      <c r="D210" s="202" t="s">
        <v>158</v>
      </c>
      <c r="E210" s="203" t="s">
        <v>4</v>
      </c>
      <c r="F210" s="204" t="s">
        <v>159</v>
      </c>
      <c r="G210" s="205" t="s">
        <v>161</v>
      </c>
      <c r="H210" s="202">
        <v>0</v>
      </c>
      <c r="I210" s="202">
        <v>0</v>
      </c>
      <c r="J210" s="202">
        <v>0</v>
      </c>
      <c r="K210" s="202">
        <v>823000</v>
      </c>
      <c r="L210" s="202">
        <v>0.764</v>
      </c>
      <c r="N210" s="202">
        <v>0</v>
      </c>
      <c r="O210" s="202" t="s">
        <v>159</v>
      </c>
      <c r="P210" s="260">
        <v>1</v>
      </c>
    </row>
    <row r="211" spans="2:16">
      <c r="B211" s="254" t="s">
        <v>162</v>
      </c>
      <c r="C211" s="202" t="s">
        <v>163</v>
      </c>
      <c r="D211" s="202" t="s">
        <v>158</v>
      </c>
      <c r="E211" s="203" t="s">
        <v>4</v>
      </c>
      <c r="F211" s="204">
        <v>1</v>
      </c>
      <c r="G211" s="205">
        <v>2</v>
      </c>
      <c r="H211" s="202">
        <v>369</v>
      </c>
      <c r="I211" s="202">
        <v>0.935</v>
      </c>
      <c r="J211" s="202">
        <v>0.00059</v>
      </c>
      <c r="K211" s="202">
        <v>625000</v>
      </c>
      <c r="L211" s="202">
        <v>0.765</v>
      </c>
      <c r="M211" s="202">
        <v>0</v>
      </c>
      <c r="N211" s="202">
        <v>0</v>
      </c>
      <c r="O211" s="202">
        <v>200.08</v>
      </c>
      <c r="P211" s="260">
        <v>1</v>
      </c>
    </row>
    <row r="212" spans="2:16">
      <c r="B212" s="254" t="s">
        <v>164</v>
      </c>
      <c r="C212" s="202" t="s">
        <v>163</v>
      </c>
      <c r="D212" s="202" t="s">
        <v>158</v>
      </c>
      <c r="E212" s="203" t="s">
        <v>4</v>
      </c>
      <c r="F212" s="204">
        <v>2</v>
      </c>
      <c r="G212" s="205">
        <v>1.98</v>
      </c>
      <c r="H212" s="202">
        <v>353</v>
      </c>
      <c r="I212" s="202">
        <v>0.939</v>
      </c>
      <c r="J212" s="202">
        <v>0.000578</v>
      </c>
      <c r="K212" s="202">
        <v>610000</v>
      </c>
      <c r="L212" s="202">
        <v>0.766</v>
      </c>
      <c r="M212" s="202">
        <v>1</v>
      </c>
      <c r="N212" s="202">
        <v>0</v>
      </c>
      <c r="O212" s="202">
        <v>98.97</v>
      </c>
      <c r="P212" s="260">
        <v>1</v>
      </c>
    </row>
    <row r="213" spans="2:16">
      <c r="B213" s="254" t="s">
        <v>165</v>
      </c>
      <c r="C213" s="202" t="s">
        <v>163</v>
      </c>
      <c r="D213" s="202" t="s">
        <v>158</v>
      </c>
      <c r="E213" s="203" t="s">
        <v>4</v>
      </c>
      <c r="F213" s="204">
        <v>10</v>
      </c>
      <c r="G213" s="205">
        <v>10.3</v>
      </c>
      <c r="H213" s="202">
        <v>3250</v>
      </c>
      <c r="I213" s="202">
        <v>0.939</v>
      </c>
      <c r="J213" s="202">
        <v>0.00531</v>
      </c>
      <c r="K213" s="202">
        <v>613000</v>
      </c>
      <c r="L213" s="202">
        <v>0.765</v>
      </c>
      <c r="M213" s="202">
        <v>1</v>
      </c>
      <c r="N213" s="202">
        <v>0</v>
      </c>
      <c r="O213" s="202">
        <v>103.44</v>
      </c>
      <c r="P213" s="260">
        <v>1</v>
      </c>
    </row>
    <row r="214" spans="2:16">
      <c r="B214" s="254" t="s">
        <v>166</v>
      </c>
      <c r="C214" s="202" t="s">
        <v>163</v>
      </c>
      <c r="D214" s="202" t="s">
        <v>158</v>
      </c>
      <c r="E214" s="203" t="s">
        <v>4</v>
      </c>
      <c r="F214" s="204">
        <v>50</v>
      </c>
      <c r="G214" s="205">
        <v>54.9</v>
      </c>
      <c r="H214" s="202">
        <v>18500</v>
      </c>
      <c r="I214" s="202">
        <v>0.945</v>
      </c>
      <c r="J214" s="202">
        <v>0.0305</v>
      </c>
      <c r="K214" s="202">
        <v>606000</v>
      </c>
      <c r="L214" s="202">
        <v>0.774</v>
      </c>
      <c r="M214" s="202">
        <v>1</v>
      </c>
      <c r="N214" s="202">
        <v>0</v>
      </c>
      <c r="O214" s="202">
        <v>109.73</v>
      </c>
      <c r="P214" s="260">
        <v>1</v>
      </c>
    </row>
    <row r="215" spans="2:16">
      <c r="B215" s="254" t="s">
        <v>167</v>
      </c>
      <c r="C215" s="202" t="s">
        <v>163</v>
      </c>
      <c r="D215" s="202" t="s">
        <v>158</v>
      </c>
      <c r="E215" s="203" t="s">
        <v>4</v>
      </c>
      <c r="F215" s="204">
        <v>200</v>
      </c>
      <c r="G215" s="205">
        <v>193</v>
      </c>
      <c r="H215" s="202">
        <v>67100</v>
      </c>
      <c r="I215" s="202">
        <v>0.938</v>
      </c>
      <c r="J215" s="202">
        <v>0.109</v>
      </c>
      <c r="K215" s="202">
        <v>618000</v>
      </c>
      <c r="L215" s="202">
        <v>0.767</v>
      </c>
      <c r="M215" s="202">
        <v>1</v>
      </c>
      <c r="N215" s="202">
        <v>0</v>
      </c>
      <c r="O215" s="202">
        <v>96.54</v>
      </c>
      <c r="P215" s="260">
        <v>1</v>
      </c>
    </row>
    <row r="216" spans="2:16">
      <c r="B216" s="254" t="s">
        <v>168</v>
      </c>
      <c r="C216" s="202" t="s">
        <v>163</v>
      </c>
      <c r="D216" s="202" t="s">
        <v>158</v>
      </c>
      <c r="E216" s="203" t="s">
        <v>4</v>
      </c>
      <c r="F216" s="204">
        <v>1000</v>
      </c>
      <c r="G216" s="205">
        <v>962</v>
      </c>
      <c r="H216" s="202">
        <v>330000</v>
      </c>
      <c r="I216" s="202">
        <v>0.936</v>
      </c>
      <c r="J216" s="202">
        <v>0.544</v>
      </c>
      <c r="K216" s="202">
        <v>607000</v>
      </c>
      <c r="L216" s="202">
        <v>0.765</v>
      </c>
      <c r="M216" s="202">
        <v>1</v>
      </c>
      <c r="N216" s="202">
        <v>0</v>
      </c>
      <c r="O216" s="202">
        <v>96.25</v>
      </c>
      <c r="P216" s="260">
        <v>1</v>
      </c>
    </row>
    <row r="217" spans="2:16">
      <c r="B217" s="254" t="s">
        <v>169</v>
      </c>
      <c r="C217" s="202" t="s">
        <v>163</v>
      </c>
      <c r="D217" s="202" t="s">
        <v>158</v>
      </c>
      <c r="E217" s="203" t="s">
        <v>4</v>
      </c>
      <c r="F217" s="204">
        <v>1800</v>
      </c>
      <c r="G217" s="205">
        <v>1700</v>
      </c>
      <c r="H217" s="202">
        <v>581000</v>
      </c>
      <c r="I217" s="202">
        <v>0.938</v>
      </c>
      <c r="J217" s="202">
        <v>0.962</v>
      </c>
      <c r="K217" s="202">
        <v>603000</v>
      </c>
      <c r="L217" s="202">
        <v>0.767</v>
      </c>
      <c r="M217" s="202">
        <v>1</v>
      </c>
      <c r="N217" s="202">
        <v>0</v>
      </c>
      <c r="O217" s="202">
        <v>94.52</v>
      </c>
      <c r="P217" s="260">
        <v>1</v>
      </c>
    </row>
    <row r="218" spans="2:16">
      <c r="B218" s="254" t="s">
        <v>170</v>
      </c>
      <c r="C218" s="202" t="s">
        <v>163</v>
      </c>
      <c r="D218" s="202" t="s">
        <v>158</v>
      </c>
      <c r="E218" s="203" t="s">
        <v>4</v>
      </c>
      <c r="F218" s="204">
        <v>2000</v>
      </c>
      <c r="G218" s="205">
        <v>2010</v>
      </c>
      <c r="H218" s="202">
        <v>677000</v>
      </c>
      <c r="I218" s="202">
        <v>0.936</v>
      </c>
      <c r="J218" s="202">
        <v>1.14</v>
      </c>
      <c r="K218" s="202">
        <v>595000</v>
      </c>
      <c r="L218" s="202">
        <v>0.765</v>
      </c>
      <c r="M218" s="202">
        <v>1</v>
      </c>
      <c r="N218" s="202">
        <v>0</v>
      </c>
      <c r="O218" s="202">
        <v>100.56</v>
      </c>
      <c r="P218" s="260">
        <v>1</v>
      </c>
    </row>
    <row r="219" spans="2:16">
      <c r="B219" s="254" t="s">
        <v>156</v>
      </c>
      <c r="C219" s="202" t="s">
        <v>157</v>
      </c>
      <c r="D219" s="202" t="s">
        <v>158</v>
      </c>
      <c r="E219" s="203" t="s">
        <v>4</v>
      </c>
      <c r="F219" s="204" t="s">
        <v>159</v>
      </c>
      <c r="G219" s="205" t="e">
        <v>#DIV/0!</v>
      </c>
      <c r="H219" s="202">
        <v>0</v>
      </c>
      <c r="I219" s="202">
        <v>0</v>
      </c>
      <c r="J219" s="202" t="e">
        <v>#DIV/0!</v>
      </c>
      <c r="K219" s="202">
        <v>0</v>
      </c>
      <c r="L219" s="202">
        <v>0</v>
      </c>
      <c r="N219" s="202">
        <v>0</v>
      </c>
      <c r="O219" s="202" t="s">
        <v>159</v>
      </c>
      <c r="P219" s="260">
        <v>1</v>
      </c>
    </row>
    <row r="220" spans="2:16">
      <c r="B220" s="254" t="s">
        <v>156</v>
      </c>
      <c r="C220" s="202" t="s">
        <v>157</v>
      </c>
      <c r="D220" s="202" t="s">
        <v>158</v>
      </c>
      <c r="E220" s="203" t="s">
        <v>4</v>
      </c>
      <c r="F220" s="204" t="s">
        <v>159</v>
      </c>
      <c r="G220" s="205" t="e">
        <v>#DIV/0!</v>
      </c>
      <c r="H220" s="202">
        <v>0</v>
      </c>
      <c r="I220" s="202">
        <v>0</v>
      </c>
      <c r="J220" s="202" t="e">
        <v>#DIV/0!</v>
      </c>
      <c r="K220" s="202">
        <v>0</v>
      </c>
      <c r="L220" s="202">
        <v>0</v>
      </c>
      <c r="N220" s="202">
        <v>0</v>
      </c>
      <c r="O220" s="202" t="s">
        <v>159</v>
      </c>
      <c r="P220" s="260">
        <v>1</v>
      </c>
    </row>
    <row r="221" spans="2:16">
      <c r="B221" s="254" t="s">
        <v>156</v>
      </c>
      <c r="C221" s="202" t="s">
        <v>157</v>
      </c>
      <c r="D221" s="202" t="s">
        <v>158</v>
      </c>
      <c r="E221" s="203" t="s">
        <v>4</v>
      </c>
      <c r="F221" s="204" t="s">
        <v>159</v>
      </c>
      <c r="G221" s="205" t="e">
        <v>#DIV/0!</v>
      </c>
      <c r="H221" s="202">
        <v>0</v>
      </c>
      <c r="I221" s="202">
        <v>0</v>
      </c>
      <c r="J221" s="202" t="e">
        <v>#DIV/0!</v>
      </c>
      <c r="K221" s="202">
        <v>0</v>
      </c>
      <c r="L221" s="202">
        <v>0</v>
      </c>
      <c r="N221" s="202">
        <v>0</v>
      </c>
      <c r="O221" s="202" t="s">
        <v>159</v>
      </c>
      <c r="P221" s="260">
        <v>1</v>
      </c>
    </row>
    <row r="222" spans="2:16">
      <c r="B222" s="254" t="s">
        <v>171</v>
      </c>
      <c r="C222" s="202" t="s">
        <v>172</v>
      </c>
      <c r="D222" s="202" t="s">
        <v>158</v>
      </c>
      <c r="E222" s="203" t="s">
        <v>4</v>
      </c>
      <c r="F222" s="204">
        <v>3</v>
      </c>
      <c r="G222" s="205">
        <v>3.11</v>
      </c>
      <c r="H222" s="202">
        <v>735</v>
      </c>
      <c r="I222" s="202">
        <v>0.929</v>
      </c>
      <c r="J222" s="202">
        <v>0.00122</v>
      </c>
      <c r="K222" s="202">
        <v>603000</v>
      </c>
      <c r="L222" s="202">
        <v>0.764</v>
      </c>
      <c r="M222" s="202">
        <v>1</v>
      </c>
      <c r="N222" s="202">
        <v>0</v>
      </c>
      <c r="O222" s="202">
        <v>103.7</v>
      </c>
      <c r="P222" s="260">
        <v>1</v>
      </c>
    </row>
    <row r="223" spans="2:16">
      <c r="B223" s="254" t="s">
        <v>173</v>
      </c>
      <c r="C223" s="202" t="s">
        <v>172</v>
      </c>
      <c r="D223" s="202" t="s">
        <v>158</v>
      </c>
      <c r="E223" s="203" t="s">
        <v>4</v>
      </c>
      <c r="F223" s="204">
        <v>100</v>
      </c>
      <c r="G223" s="205">
        <v>104</v>
      </c>
      <c r="H223" s="202">
        <v>34200</v>
      </c>
      <c r="I223" s="202">
        <v>0.936</v>
      </c>
      <c r="J223" s="202">
        <v>0.0581</v>
      </c>
      <c r="K223" s="202">
        <v>589000</v>
      </c>
      <c r="L223" s="202">
        <v>0.764</v>
      </c>
      <c r="M223" s="202">
        <v>1</v>
      </c>
      <c r="N223" s="202">
        <v>0</v>
      </c>
      <c r="O223" s="202">
        <v>103.67</v>
      </c>
      <c r="P223" s="260">
        <v>1</v>
      </c>
    </row>
    <row r="224" spans="2:16">
      <c r="B224" s="254" t="s">
        <v>174</v>
      </c>
      <c r="C224" s="202" t="s">
        <v>172</v>
      </c>
      <c r="D224" s="202" t="s">
        <v>158</v>
      </c>
      <c r="E224" s="203" t="s">
        <v>4</v>
      </c>
      <c r="F224" s="204">
        <v>1600</v>
      </c>
      <c r="G224" s="205">
        <v>1490</v>
      </c>
      <c r="H224" s="202">
        <v>502000</v>
      </c>
      <c r="I224" s="202">
        <v>0.941</v>
      </c>
      <c r="J224" s="202">
        <v>0.841</v>
      </c>
      <c r="K224" s="202">
        <v>597000</v>
      </c>
      <c r="L224" s="202">
        <v>0.769</v>
      </c>
      <c r="M224" s="202">
        <v>1</v>
      </c>
      <c r="N224" s="202">
        <v>0</v>
      </c>
      <c r="O224" s="202">
        <v>92.92</v>
      </c>
      <c r="P224" s="260">
        <v>1</v>
      </c>
    </row>
    <row r="225" spans="2:16">
      <c r="B225" s="254" t="s">
        <v>175</v>
      </c>
      <c r="C225" s="202" t="s">
        <v>157</v>
      </c>
      <c r="D225" s="202" t="s">
        <v>158</v>
      </c>
      <c r="E225" s="203" t="s">
        <v>4</v>
      </c>
      <c r="F225" s="204" t="s">
        <v>159</v>
      </c>
      <c r="G225" s="205" t="e">
        <v>#DIV/0!</v>
      </c>
      <c r="H225" s="202">
        <v>0</v>
      </c>
      <c r="I225" s="202">
        <v>0</v>
      </c>
      <c r="J225" s="202" t="e">
        <v>#DIV/0!</v>
      </c>
      <c r="K225" s="202">
        <v>0</v>
      </c>
      <c r="L225" s="202">
        <v>0</v>
      </c>
      <c r="N225" s="202">
        <v>0</v>
      </c>
      <c r="O225" s="202" t="s">
        <v>159</v>
      </c>
      <c r="P225" s="260">
        <v>1</v>
      </c>
    </row>
    <row r="226" spans="2:16">
      <c r="B226" s="254" t="s">
        <v>176</v>
      </c>
      <c r="C226" s="202" t="s">
        <v>172</v>
      </c>
      <c r="D226" s="202" t="s">
        <v>158</v>
      </c>
      <c r="E226" s="203" t="s">
        <v>4</v>
      </c>
      <c r="F226" s="204">
        <v>50</v>
      </c>
      <c r="G226" s="205">
        <v>45.2</v>
      </c>
      <c r="H226" s="202">
        <v>15800</v>
      </c>
      <c r="I226" s="202">
        <v>0.946</v>
      </c>
      <c r="J226" s="202">
        <v>0.025</v>
      </c>
      <c r="K226" s="202">
        <v>633000</v>
      </c>
      <c r="L226" s="202">
        <v>0.773</v>
      </c>
      <c r="M226" s="202">
        <v>1</v>
      </c>
      <c r="N226" s="202">
        <v>0</v>
      </c>
      <c r="O226" s="202">
        <v>90.35</v>
      </c>
      <c r="P226" s="260">
        <v>1</v>
      </c>
    </row>
    <row r="227" spans="2:16">
      <c r="B227" s="254" t="s">
        <v>177</v>
      </c>
      <c r="C227" s="202" t="s">
        <v>172</v>
      </c>
      <c r="D227" s="202" t="s">
        <v>158</v>
      </c>
      <c r="E227" s="203" t="s">
        <v>4</v>
      </c>
      <c r="F227" s="204">
        <v>50</v>
      </c>
      <c r="G227" s="205">
        <v>45.8</v>
      </c>
      <c r="H227" s="202">
        <v>16600</v>
      </c>
      <c r="I227" s="202">
        <v>0.938</v>
      </c>
      <c r="J227" s="202">
        <v>0.0254</v>
      </c>
      <c r="K227" s="202">
        <v>653000</v>
      </c>
      <c r="L227" s="202">
        <v>0.766</v>
      </c>
      <c r="M227" s="202">
        <v>1</v>
      </c>
      <c r="N227" s="202">
        <v>0</v>
      </c>
      <c r="O227" s="202">
        <v>91.62</v>
      </c>
      <c r="P227" s="260">
        <v>1</v>
      </c>
    </row>
    <row r="228" spans="2:16">
      <c r="B228" s="254" t="s">
        <v>178</v>
      </c>
      <c r="C228" s="202" t="s">
        <v>172</v>
      </c>
      <c r="D228" s="202" t="s">
        <v>158</v>
      </c>
      <c r="E228" s="203" t="s">
        <v>4</v>
      </c>
      <c r="F228" s="204">
        <v>50</v>
      </c>
      <c r="G228" s="205">
        <v>48.3</v>
      </c>
      <c r="H228" s="202">
        <v>16400</v>
      </c>
      <c r="I228" s="202">
        <v>0.935</v>
      </c>
      <c r="J228" s="202">
        <v>0.0268</v>
      </c>
      <c r="K228" s="202">
        <v>612000</v>
      </c>
      <c r="L228" s="202">
        <v>0.764</v>
      </c>
      <c r="M228" s="202">
        <v>1</v>
      </c>
      <c r="N228" s="202">
        <v>0</v>
      </c>
      <c r="O228" s="202">
        <v>96.63</v>
      </c>
      <c r="P228" s="260">
        <v>1</v>
      </c>
    </row>
    <row r="229" spans="2:16">
      <c r="B229" s="254" t="s">
        <v>175</v>
      </c>
      <c r="C229" s="202" t="s">
        <v>157</v>
      </c>
      <c r="D229" s="202" t="s">
        <v>158</v>
      </c>
      <c r="E229" s="203" t="s">
        <v>4</v>
      </c>
      <c r="F229" s="204" t="s">
        <v>159</v>
      </c>
      <c r="G229" s="205" t="e">
        <v>#DIV/0!</v>
      </c>
      <c r="H229" s="202">
        <v>0</v>
      </c>
      <c r="I229" s="202">
        <v>0</v>
      </c>
      <c r="J229" s="202" t="e">
        <v>#DIV/0!</v>
      </c>
      <c r="K229" s="202">
        <v>0</v>
      </c>
      <c r="L229" s="202">
        <v>0</v>
      </c>
      <c r="N229" s="202">
        <v>0</v>
      </c>
      <c r="O229" s="202" t="s">
        <v>159</v>
      </c>
      <c r="P229" s="260">
        <v>1</v>
      </c>
    </row>
    <row r="230" spans="2:16">
      <c r="B230" s="254" t="s">
        <v>179</v>
      </c>
      <c r="C230" s="202" t="s">
        <v>157</v>
      </c>
      <c r="D230" s="202" t="s">
        <v>158</v>
      </c>
      <c r="E230" s="203" t="s">
        <v>4</v>
      </c>
      <c r="F230" s="204" t="s">
        <v>159</v>
      </c>
      <c r="G230" s="205" t="s">
        <v>161</v>
      </c>
      <c r="H230" s="202">
        <v>0</v>
      </c>
      <c r="I230" s="202">
        <v>0</v>
      </c>
      <c r="J230" s="202">
        <v>0</v>
      </c>
      <c r="K230" s="202">
        <v>606000</v>
      </c>
      <c r="L230" s="202">
        <v>0.771</v>
      </c>
      <c r="N230" s="202">
        <v>0</v>
      </c>
      <c r="O230" s="202" t="s">
        <v>159</v>
      </c>
      <c r="P230" s="260">
        <v>1</v>
      </c>
    </row>
    <row r="231" spans="2:16">
      <c r="B231" s="254" t="s">
        <v>180</v>
      </c>
      <c r="C231" s="202" t="s">
        <v>157</v>
      </c>
      <c r="D231" s="202" t="s">
        <v>158</v>
      </c>
      <c r="E231" s="203" t="s">
        <v>4</v>
      </c>
      <c r="F231" s="204" t="s">
        <v>159</v>
      </c>
      <c r="G231" s="205" t="s">
        <v>161</v>
      </c>
      <c r="H231" s="202">
        <v>0</v>
      </c>
      <c r="I231" s="202">
        <v>0</v>
      </c>
      <c r="J231" s="202">
        <v>0</v>
      </c>
      <c r="K231" s="202">
        <v>595000</v>
      </c>
      <c r="L231" s="202">
        <v>0.767</v>
      </c>
      <c r="N231" s="202">
        <v>0</v>
      </c>
      <c r="O231" s="202" t="s">
        <v>159</v>
      </c>
      <c r="P231" s="260">
        <v>1</v>
      </c>
    </row>
    <row r="232" spans="2:16">
      <c r="B232" s="254" t="s">
        <v>181</v>
      </c>
      <c r="C232" s="202" t="s">
        <v>157</v>
      </c>
      <c r="D232" s="202" t="s">
        <v>158</v>
      </c>
      <c r="E232" s="203" t="s">
        <v>4</v>
      </c>
      <c r="F232" s="204" t="s">
        <v>159</v>
      </c>
      <c r="G232" s="205" t="s">
        <v>161</v>
      </c>
      <c r="H232" s="202">
        <v>0</v>
      </c>
      <c r="I232" s="202">
        <v>0</v>
      </c>
      <c r="J232" s="202">
        <v>0</v>
      </c>
      <c r="K232" s="202">
        <v>567000</v>
      </c>
      <c r="L232" s="202">
        <v>0.765</v>
      </c>
      <c r="N232" s="202">
        <v>0</v>
      </c>
      <c r="O232" s="202" t="s">
        <v>159</v>
      </c>
      <c r="P232" s="260">
        <v>1</v>
      </c>
    </row>
    <row r="233" spans="2:16">
      <c r="B233" s="254" t="s">
        <v>182</v>
      </c>
      <c r="C233" s="202" t="s">
        <v>157</v>
      </c>
      <c r="D233" s="202" t="s">
        <v>158</v>
      </c>
      <c r="E233" s="203" t="s">
        <v>4</v>
      </c>
      <c r="F233" s="204" t="s">
        <v>159</v>
      </c>
      <c r="G233" s="205" t="s">
        <v>161</v>
      </c>
      <c r="H233" s="202">
        <v>0</v>
      </c>
      <c r="I233" s="202">
        <v>0</v>
      </c>
      <c r="J233" s="202">
        <v>0</v>
      </c>
      <c r="K233" s="202">
        <v>460000</v>
      </c>
      <c r="L233" s="202">
        <v>0.773</v>
      </c>
      <c r="N233" s="202">
        <v>0</v>
      </c>
      <c r="O233" s="202" t="s">
        <v>159</v>
      </c>
      <c r="P233" s="260">
        <v>1</v>
      </c>
    </row>
    <row r="234" spans="2:16">
      <c r="B234" s="254" t="s">
        <v>183</v>
      </c>
      <c r="C234" s="202" t="s">
        <v>157</v>
      </c>
      <c r="D234" s="202" t="s">
        <v>158</v>
      </c>
      <c r="E234" s="203" t="s">
        <v>4</v>
      </c>
      <c r="F234" s="204" t="s">
        <v>159</v>
      </c>
      <c r="G234" s="205" t="s">
        <v>161</v>
      </c>
      <c r="H234" s="202">
        <v>0</v>
      </c>
      <c r="I234" s="202">
        <v>0</v>
      </c>
      <c r="J234" s="202">
        <v>0</v>
      </c>
      <c r="K234" s="202">
        <v>561000</v>
      </c>
      <c r="L234" s="202">
        <v>0.766</v>
      </c>
      <c r="N234" s="202">
        <v>0</v>
      </c>
      <c r="O234" s="202" t="s">
        <v>159</v>
      </c>
      <c r="P234" s="260">
        <v>1</v>
      </c>
    </row>
    <row r="235" spans="2:16">
      <c r="B235" s="254" t="s">
        <v>184</v>
      </c>
      <c r="C235" s="202" t="s">
        <v>157</v>
      </c>
      <c r="D235" s="202" t="s">
        <v>158</v>
      </c>
      <c r="E235" s="203" t="s">
        <v>4</v>
      </c>
      <c r="F235" s="204" t="s">
        <v>159</v>
      </c>
      <c r="G235" s="205" t="s">
        <v>161</v>
      </c>
      <c r="H235" s="202">
        <v>0</v>
      </c>
      <c r="I235" s="202">
        <v>0</v>
      </c>
      <c r="J235" s="202">
        <v>0</v>
      </c>
      <c r="K235" s="202">
        <v>537000</v>
      </c>
      <c r="L235" s="202">
        <v>0.765</v>
      </c>
      <c r="N235" s="202">
        <v>0</v>
      </c>
      <c r="O235" s="202" t="s">
        <v>159</v>
      </c>
      <c r="P235" s="260">
        <v>1</v>
      </c>
    </row>
    <row r="236" spans="2:16">
      <c r="B236" s="254" t="s">
        <v>185</v>
      </c>
      <c r="C236" s="202" t="s">
        <v>157</v>
      </c>
      <c r="D236" s="202" t="s">
        <v>158</v>
      </c>
      <c r="E236" s="203" t="s">
        <v>4</v>
      </c>
      <c r="F236" s="204" t="s">
        <v>159</v>
      </c>
      <c r="G236" s="205" t="s">
        <v>161</v>
      </c>
      <c r="H236" s="202">
        <v>0</v>
      </c>
      <c r="I236" s="202">
        <v>0</v>
      </c>
      <c r="J236" s="202">
        <v>0</v>
      </c>
      <c r="K236" s="202">
        <v>498000</v>
      </c>
      <c r="L236" s="202">
        <v>0.769</v>
      </c>
      <c r="N236" s="202">
        <v>0</v>
      </c>
      <c r="O236" s="202" t="s">
        <v>159</v>
      </c>
      <c r="P236" s="260">
        <v>1</v>
      </c>
    </row>
    <row r="237" spans="2:16">
      <c r="B237" s="254" t="s">
        <v>186</v>
      </c>
      <c r="C237" s="202" t="s">
        <v>157</v>
      </c>
      <c r="D237" s="202" t="s">
        <v>158</v>
      </c>
      <c r="E237" s="203" t="s">
        <v>4</v>
      </c>
      <c r="F237" s="204" t="s">
        <v>159</v>
      </c>
      <c r="G237" s="205" t="s">
        <v>161</v>
      </c>
      <c r="H237" s="202">
        <v>0</v>
      </c>
      <c r="I237" s="202">
        <v>0</v>
      </c>
      <c r="J237" s="202">
        <v>0</v>
      </c>
      <c r="K237" s="202">
        <v>529000</v>
      </c>
      <c r="L237" s="202">
        <v>0.766</v>
      </c>
      <c r="N237" s="202">
        <v>0</v>
      </c>
      <c r="O237" s="202" t="s">
        <v>159</v>
      </c>
      <c r="P237" s="260">
        <v>1</v>
      </c>
    </row>
    <row r="238" spans="2:16">
      <c r="B238" s="254" t="s">
        <v>187</v>
      </c>
      <c r="C238" s="202" t="s">
        <v>157</v>
      </c>
      <c r="D238" s="202" t="s">
        <v>158</v>
      </c>
      <c r="E238" s="203" t="s">
        <v>4</v>
      </c>
      <c r="F238" s="204" t="s">
        <v>159</v>
      </c>
      <c r="G238" s="205" t="s">
        <v>161</v>
      </c>
      <c r="H238" s="202">
        <v>0</v>
      </c>
      <c r="I238" s="202">
        <v>0</v>
      </c>
      <c r="J238" s="202">
        <v>0</v>
      </c>
      <c r="K238" s="202">
        <v>495000</v>
      </c>
      <c r="L238" s="202">
        <v>0.771</v>
      </c>
      <c r="N238" s="202">
        <v>0</v>
      </c>
      <c r="O238" s="202" t="s">
        <v>159</v>
      </c>
      <c r="P238" s="260">
        <v>1</v>
      </c>
    </row>
    <row r="239" spans="2:16">
      <c r="B239" s="254" t="s">
        <v>188</v>
      </c>
      <c r="C239" s="202" t="s">
        <v>157</v>
      </c>
      <c r="D239" s="202" t="s">
        <v>158</v>
      </c>
      <c r="E239" s="203" t="s">
        <v>4</v>
      </c>
      <c r="F239" s="204" t="s">
        <v>159</v>
      </c>
      <c r="G239" s="205" t="s">
        <v>161</v>
      </c>
      <c r="H239" s="202">
        <v>0</v>
      </c>
      <c r="I239" s="202">
        <v>0</v>
      </c>
      <c r="J239" s="202">
        <v>0</v>
      </c>
      <c r="K239" s="202">
        <v>454000</v>
      </c>
      <c r="L239" s="202">
        <v>0.765</v>
      </c>
      <c r="N239" s="202">
        <v>0</v>
      </c>
      <c r="O239" s="202" t="s">
        <v>159</v>
      </c>
      <c r="P239" s="260">
        <v>1</v>
      </c>
    </row>
    <row r="240" spans="2:16">
      <c r="B240" s="254" t="s">
        <v>189</v>
      </c>
      <c r="C240" s="202" t="s">
        <v>157</v>
      </c>
      <c r="D240" s="202" t="s">
        <v>158</v>
      </c>
      <c r="E240" s="203" t="s">
        <v>4</v>
      </c>
      <c r="F240" s="204" t="s">
        <v>159</v>
      </c>
      <c r="G240" s="205" t="s">
        <v>161</v>
      </c>
      <c r="H240" s="202">
        <v>0</v>
      </c>
      <c r="I240" s="202">
        <v>0</v>
      </c>
      <c r="J240" s="202">
        <v>0</v>
      </c>
      <c r="K240" s="202">
        <v>494000</v>
      </c>
      <c r="L240" s="202">
        <v>0.769</v>
      </c>
      <c r="N240" s="202">
        <v>0</v>
      </c>
      <c r="O240" s="202" t="s">
        <v>159</v>
      </c>
      <c r="P240" s="260">
        <v>1</v>
      </c>
    </row>
    <row r="241" spans="2:16">
      <c r="B241" s="254" t="s">
        <v>190</v>
      </c>
      <c r="C241" s="202" t="s">
        <v>157</v>
      </c>
      <c r="D241" s="202" t="s">
        <v>158</v>
      </c>
      <c r="E241" s="203" t="s">
        <v>4</v>
      </c>
      <c r="F241" s="204" t="s">
        <v>159</v>
      </c>
      <c r="G241" s="205" t="s">
        <v>161</v>
      </c>
      <c r="H241" s="202">
        <v>0</v>
      </c>
      <c r="I241" s="202">
        <v>0</v>
      </c>
      <c r="J241" s="202">
        <v>0</v>
      </c>
      <c r="K241" s="202">
        <v>470000</v>
      </c>
      <c r="L241" s="202">
        <v>0.767</v>
      </c>
      <c r="N241" s="202">
        <v>0</v>
      </c>
      <c r="O241" s="202" t="s">
        <v>159</v>
      </c>
      <c r="P241" s="260">
        <v>1</v>
      </c>
    </row>
    <row r="242" spans="2:16">
      <c r="B242" s="254" t="s">
        <v>191</v>
      </c>
      <c r="C242" s="202" t="s">
        <v>157</v>
      </c>
      <c r="D242" s="202" t="s">
        <v>158</v>
      </c>
      <c r="E242" s="203" t="s">
        <v>4</v>
      </c>
      <c r="F242" s="204" t="s">
        <v>159</v>
      </c>
      <c r="G242" s="205" t="s">
        <v>161</v>
      </c>
      <c r="H242" s="202">
        <v>0</v>
      </c>
      <c r="I242" s="202">
        <v>0</v>
      </c>
      <c r="J242" s="202">
        <v>0</v>
      </c>
      <c r="K242" s="202">
        <v>502000</v>
      </c>
      <c r="L242" s="202">
        <v>0.765</v>
      </c>
      <c r="N242" s="202">
        <v>0</v>
      </c>
      <c r="O242" s="202" t="s">
        <v>159</v>
      </c>
      <c r="P242" s="260">
        <v>1</v>
      </c>
    </row>
    <row r="243" spans="2:16">
      <c r="B243" s="254" t="s">
        <v>192</v>
      </c>
      <c r="C243" s="202" t="s">
        <v>157</v>
      </c>
      <c r="D243" s="202" t="s">
        <v>158</v>
      </c>
      <c r="E243" s="203" t="s">
        <v>4</v>
      </c>
      <c r="F243" s="204" t="s">
        <v>159</v>
      </c>
      <c r="G243" s="205">
        <v>2.1</v>
      </c>
      <c r="H243" s="202">
        <v>310</v>
      </c>
      <c r="I243" s="202">
        <v>0.945</v>
      </c>
      <c r="J243" s="202">
        <v>0.000647</v>
      </c>
      <c r="K243" s="202">
        <v>479000</v>
      </c>
      <c r="L243" s="202">
        <v>0.767</v>
      </c>
      <c r="N243" s="202">
        <v>0</v>
      </c>
      <c r="O243" s="202" t="s">
        <v>159</v>
      </c>
      <c r="P243" s="260">
        <v>1</v>
      </c>
    </row>
    <row r="244" spans="2:16">
      <c r="B244" s="254" t="s">
        <v>193</v>
      </c>
      <c r="C244" s="202" t="s">
        <v>157</v>
      </c>
      <c r="D244" s="202" t="s">
        <v>158</v>
      </c>
      <c r="E244" s="203" t="s">
        <v>4</v>
      </c>
      <c r="F244" s="204" t="s">
        <v>159</v>
      </c>
      <c r="G244" s="205" t="s">
        <v>161</v>
      </c>
      <c r="H244" s="202">
        <v>0</v>
      </c>
      <c r="I244" s="202">
        <v>0</v>
      </c>
      <c r="J244" s="202">
        <v>0</v>
      </c>
      <c r="K244" s="202">
        <v>445000</v>
      </c>
      <c r="L244" s="202">
        <v>0.768</v>
      </c>
      <c r="N244" s="202">
        <v>0</v>
      </c>
      <c r="O244" s="202" t="s">
        <v>159</v>
      </c>
      <c r="P244" s="260">
        <v>1</v>
      </c>
    </row>
    <row r="245" spans="2:16">
      <c r="B245" s="254" t="s">
        <v>194</v>
      </c>
      <c r="C245" s="202" t="s">
        <v>157</v>
      </c>
      <c r="D245" s="202" t="s">
        <v>158</v>
      </c>
      <c r="E245" s="203" t="s">
        <v>4</v>
      </c>
      <c r="F245" s="204" t="s">
        <v>159</v>
      </c>
      <c r="G245" s="205" t="s">
        <v>161</v>
      </c>
      <c r="H245" s="202">
        <v>0</v>
      </c>
      <c r="I245" s="202">
        <v>0</v>
      </c>
      <c r="J245" s="202">
        <v>0</v>
      </c>
      <c r="K245" s="202">
        <v>484000</v>
      </c>
      <c r="L245" s="202">
        <v>0.764</v>
      </c>
      <c r="N245" s="202">
        <v>0</v>
      </c>
      <c r="O245" s="202" t="s">
        <v>159</v>
      </c>
      <c r="P245" s="260">
        <v>1</v>
      </c>
    </row>
    <row r="246" spans="2:16">
      <c r="B246" s="254" t="s">
        <v>195</v>
      </c>
      <c r="C246" s="202" t="s">
        <v>157</v>
      </c>
      <c r="D246" s="202" t="s">
        <v>158</v>
      </c>
      <c r="E246" s="203" t="s">
        <v>4</v>
      </c>
      <c r="F246" s="204" t="s">
        <v>159</v>
      </c>
      <c r="G246" s="205" t="s">
        <v>161</v>
      </c>
      <c r="H246" s="202">
        <v>0</v>
      </c>
      <c r="I246" s="202">
        <v>0</v>
      </c>
      <c r="J246" s="202">
        <v>0</v>
      </c>
      <c r="K246" s="202">
        <v>486000</v>
      </c>
      <c r="L246" s="202">
        <v>0.769</v>
      </c>
      <c r="N246" s="202">
        <v>0</v>
      </c>
      <c r="O246" s="202" t="s">
        <v>159</v>
      </c>
      <c r="P246" s="260">
        <v>1</v>
      </c>
    </row>
    <row r="247" spans="2:16">
      <c r="B247" s="254" t="s">
        <v>196</v>
      </c>
      <c r="C247" s="202" t="s">
        <v>157</v>
      </c>
      <c r="D247" s="202" t="s">
        <v>158</v>
      </c>
      <c r="E247" s="203" t="s">
        <v>4</v>
      </c>
      <c r="F247" s="204" t="s">
        <v>159</v>
      </c>
      <c r="G247" s="205">
        <v>3.03</v>
      </c>
      <c r="H247" s="202">
        <v>549</v>
      </c>
      <c r="I247" s="202">
        <v>0.968</v>
      </c>
      <c r="J247" s="202">
        <v>0.00117</v>
      </c>
      <c r="K247" s="202">
        <v>468000</v>
      </c>
      <c r="L247" s="202">
        <v>0.77</v>
      </c>
      <c r="N247" s="202">
        <v>0</v>
      </c>
      <c r="O247" s="202" t="s">
        <v>159</v>
      </c>
      <c r="P247" s="260">
        <v>1</v>
      </c>
    </row>
    <row r="248" spans="2:16">
      <c r="B248" s="254" t="s">
        <v>197</v>
      </c>
      <c r="C248" s="202" t="s">
        <v>157</v>
      </c>
      <c r="D248" s="202" t="s">
        <v>158</v>
      </c>
      <c r="E248" s="203" t="s">
        <v>4</v>
      </c>
      <c r="F248" s="204" t="s">
        <v>159</v>
      </c>
      <c r="G248" s="205" t="s">
        <v>161</v>
      </c>
      <c r="H248" s="202">
        <v>0</v>
      </c>
      <c r="I248" s="202">
        <v>0</v>
      </c>
      <c r="J248" s="202">
        <v>0</v>
      </c>
      <c r="K248" s="202">
        <v>434000</v>
      </c>
      <c r="L248" s="202">
        <v>0.773</v>
      </c>
      <c r="N248" s="202">
        <v>0</v>
      </c>
      <c r="O248" s="202" t="s">
        <v>159</v>
      </c>
      <c r="P248" s="260">
        <v>1</v>
      </c>
    </row>
    <row r="249" spans="2:16">
      <c r="B249" s="254" t="s">
        <v>198</v>
      </c>
      <c r="C249" s="202" t="s">
        <v>157</v>
      </c>
      <c r="D249" s="202" t="s">
        <v>158</v>
      </c>
      <c r="E249" s="203" t="s">
        <v>4</v>
      </c>
      <c r="F249" s="204" t="s">
        <v>159</v>
      </c>
      <c r="G249" s="205">
        <v>1.93</v>
      </c>
      <c r="H249" s="202">
        <v>248</v>
      </c>
      <c r="I249" s="202">
        <v>0.943</v>
      </c>
      <c r="J249" s="202">
        <v>0.000547</v>
      </c>
      <c r="K249" s="202">
        <v>452000</v>
      </c>
      <c r="L249" s="202">
        <v>0.77</v>
      </c>
      <c r="N249" s="202">
        <v>0</v>
      </c>
      <c r="O249" s="202" t="s">
        <v>159</v>
      </c>
      <c r="P249" s="260">
        <v>1</v>
      </c>
    </row>
    <row r="250" spans="2:16">
      <c r="B250" s="254" t="s">
        <v>199</v>
      </c>
      <c r="C250" s="202" t="s">
        <v>157</v>
      </c>
      <c r="D250" s="202" t="s">
        <v>158</v>
      </c>
      <c r="E250" s="203" t="s">
        <v>4</v>
      </c>
      <c r="F250" s="204" t="s">
        <v>159</v>
      </c>
      <c r="G250" s="205">
        <v>4.15</v>
      </c>
      <c r="H250" s="202">
        <v>820</v>
      </c>
      <c r="I250" s="202">
        <v>0.945</v>
      </c>
      <c r="J250" s="202">
        <v>0.0018</v>
      </c>
      <c r="K250" s="202">
        <v>454000</v>
      </c>
      <c r="L250" s="202">
        <v>0.772</v>
      </c>
      <c r="N250" s="202">
        <v>0</v>
      </c>
      <c r="O250" s="202" t="s">
        <v>159</v>
      </c>
      <c r="P250" s="260">
        <v>1</v>
      </c>
    </row>
    <row r="251" spans="2:16">
      <c r="B251" s="254" t="s">
        <v>200</v>
      </c>
      <c r="C251" s="202" t="s">
        <v>157</v>
      </c>
      <c r="D251" s="202" t="s">
        <v>158</v>
      </c>
      <c r="E251" s="203" t="s">
        <v>4</v>
      </c>
      <c r="F251" s="204" t="s">
        <v>159</v>
      </c>
      <c r="G251" s="205">
        <v>2.17</v>
      </c>
      <c r="H251" s="202">
        <v>327</v>
      </c>
      <c r="I251" s="202">
        <v>0.943</v>
      </c>
      <c r="J251" s="202">
        <v>0.000684</v>
      </c>
      <c r="K251" s="202">
        <v>479000</v>
      </c>
      <c r="L251" s="202">
        <v>0.771</v>
      </c>
      <c r="N251" s="202">
        <v>0</v>
      </c>
      <c r="O251" s="202" t="s">
        <v>159</v>
      </c>
      <c r="P251" s="260">
        <v>1</v>
      </c>
    </row>
    <row r="252" spans="2:16">
      <c r="B252" s="254" t="s">
        <v>201</v>
      </c>
      <c r="C252" s="202" t="s">
        <v>157</v>
      </c>
      <c r="D252" s="202" t="s">
        <v>158</v>
      </c>
      <c r="E252" s="203" t="s">
        <v>4</v>
      </c>
      <c r="F252" s="204" t="s">
        <v>159</v>
      </c>
      <c r="G252" s="205">
        <v>2.3</v>
      </c>
      <c r="H252" s="202">
        <v>357</v>
      </c>
      <c r="I252" s="202">
        <v>0.939</v>
      </c>
      <c r="J252" s="202">
        <v>0.000757</v>
      </c>
      <c r="K252" s="202">
        <v>471000</v>
      </c>
      <c r="L252" s="202">
        <v>0.767</v>
      </c>
      <c r="N252" s="202">
        <v>0</v>
      </c>
      <c r="O252" s="202" t="s">
        <v>159</v>
      </c>
      <c r="P252" s="260">
        <v>1</v>
      </c>
    </row>
    <row r="253" spans="2:16">
      <c r="B253" s="254" t="s">
        <v>202</v>
      </c>
      <c r="C253" s="202" t="s">
        <v>157</v>
      </c>
      <c r="D253" s="202" t="s">
        <v>158</v>
      </c>
      <c r="E253" s="203" t="s">
        <v>4</v>
      </c>
      <c r="F253" s="204" t="s">
        <v>159</v>
      </c>
      <c r="G253" s="205">
        <v>5.93</v>
      </c>
      <c r="H253" s="202">
        <v>1270</v>
      </c>
      <c r="I253" s="202">
        <v>0.955</v>
      </c>
      <c r="J253" s="202">
        <v>0.00281</v>
      </c>
      <c r="K253" s="202">
        <v>453000</v>
      </c>
      <c r="L253" s="202">
        <v>0.768</v>
      </c>
      <c r="N253" s="202">
        <v>0</v>
      </c>
      <c r="O253" s="202" t="s">
        <v>159</v>
      </c>
      <c r="P253" s="260">
        <v>1</v>
      </c>
    </row>
    <row r="254" spans="2:16">
      <c r="B254" s="254" t="s">
        <v>203</v>
      </c>
      <c r="C254" s="202" t="s">
        <v>157</v>
      </c>
      <c r="D254" s="202" t="s">
        <v>158</v>
      </c>
      <c r="E254" s="203" t="s">
        <v>4</v>
      </c>
      <c r="F254" s="204" t="s">
        <v>159</v>
      </c>
      <c r="G254" s="205">
        <v>1.96</v>
      </c>
      <c r="H254" s="202">
        <v>266</v>
      </c>
      <c r="I254" s="202">
        <v>0.944</v>
      </c>
      <c r="J254" s="202">
        <v>0.000565</v>
      </c>
      <c r="K254" s="202">
        <v>470000</v>
      </c>
      <c r="L254" s="202">
        <v>0.768</v>
      </c>
      <c r="N254" s="202">
        <v>0</v>
      </c>
      <c r="O254" s="202" t="s">
        <v>159</v>
      </c>
      <c r="P254" s="260">
        <v>1</v>
      </c>
    </row>
    <row r="255" spans="2:16">
      <c r="B255" s="254" t="s">
        <v>204</v>
      </c>
      <c r="C255" s="202" t="s">
        <v>157</v>
      </c>
      <c r="D255" s="202" t="s">
        <v>158</v>
      </c>
      <c r="E255" s="203" t="s">
        <v>4</v>
      </c>
      <c r="F255" s="204" t="s">
        <v>159</v>
      </c>
      <c r="G255" s="205">
        <v>4.08</v>
      </c>
      <c r="H255" s="202">
        <v>815</v>
      </c>
      <c r="I255" s="202">
        <v>0.944</v>
      </c>
      <c r="J255" s="202">
        <v>0.00177</v>
      </c>
      <c r="K255" s="202">
        <v>462000</v>
      </c>
      <c r="L255" s="202">
        <v>0.77</v>
      </c>
      <c r="N255" s="202">
        <v>0</v>
      </c>
      <c r="O255" s="202" t="s">
        <v>159</v>
      </c>
      <c r="P255" s="260">
        <v>1</v>
      </c>
    </row>
    <row r="256" spans="2:16">
      <c r="B256" s="254" t="s">
        <v>205</v>
      </c>
      <c r="C256" s="202" t="s">
        <v>157</v>
      </c>
      <c r="D256" s="202" t="s">
        <v>158</v>
      </c>
      <c r="E256" s="203" t="s">
        <v>4</v>
      </c>
      <c r="F256" s="204" t="s">
        <v>159</v>
      </c>
      <c r="G256" s="205">
        <v>2.54</v>
      </c>
      <c r="H256" s="202">
        <v>398</v>
      </c>
      <c r="I256" s="202">
        <v>0.952</v>
      </c>
      <c r="J256" s="202">
        <v>0.000893</v>
      </c>
      <c r="K256" s="202">
        <v>445000</v>
      </c>
      <c r="L256" s="202">
        <v>0.768</v>
      </c>
      <c r="N256" s="202">
        <v>0</v>
      </c>
      <c r="O256" s="202" t="s">
        <v>159</v>
      </c>
      <c r="P256" s="260">
        <v>1</v>
      </c>
    </row>
    <row r="257" spans="2:16">
      <c r="B257" s="254" t="s">
        <v>175</v>
      </c>
      <c r="C257" s="202" t="s">
        <v>157</v>
      </c>
      <c r="D257" s="202" t="s">
        <v>158</v>
      </c>
      <c r="E257" s="203" t="s">
        <v>4</v>
      </c>
      <c r="F257" s="204" t="s">
        <v>159</v>
      </c>
      <c r="G257" s="205" t="e">
        <v>#DIV/0!</v>
      </c>
      <c r="H257" s="202">
        <v>0</v>
      </c>
      <c r="I257" s="202">
        <v>0</v>
      </c>
      <c r="J257" s="202" t="e">
        <v>#DIV/0!</v>
      </c>
      <c r="K257" s="202">
        <v>0</v>
      </c>
      <c r="L257" s="202">
        <v>0</v>
      </c>
      <c r="N257" s="202">
        <v>0</v>
      </c>
      <c r="O257" s="202" t="s">
        <v>159</v>
      </c>
      <c r="P257" s="260">
        <v>1</v>
      </c>
    </row>
    <row r="258" spans="2:16">
      <c r="B258" s="254" t="s">
        <v>175</v>
      </c>
      <c r="C258" s="202" t="s">
        <v>157</v>
      </c>
      <c r="D258" s="202" t="s">
        <v>158</v>
      </c>
      <c r="E258" s="203" t="s">
        <v>4</v>
      </c>
      <c r="F258" s="204" t="s">
        <v>159</v>
      </c>
      <c r="G258" s="205" t="e">
        <v>#DIV/0!</v>
      </c>
      <c r="H258" s="202">
        <v>0</v>
      </c>
      <c r="I258" s="202">
        <v>0</v>
      </c>
      <c r="J258" s="202" t="e">
        <v>#DIV/0!</v>
      </c>
      <c r="K258" s="202">
        <v>0</v>
      </c>
      <c r="L258" s="202">
        <v>0</v>
      </c>
      <c r="N258" s="202">
        <v>0</v>
      </c>
      <c r="O258" s="202" t="s">
        <v>159</v>
      </c>
      <c r="P258" s="260">
        <v>1</v>
      </c>
    </row>
    <row r="259" spans="2:16">
      <c r="B259" s="254" t="s">
        <v>206</v>
      </c>
      <c r="C259" s="202" t="s">
        <v>172</v>
      </c>
      <c r="D259" s="202" t="s">
        <v>158</v>
      </c>
      <c r="E259" s="203" t="s">
        <v>4</v>
      </c>
      <c r="F259" s="204">
        <v>3</v>
      </c>
      <c r="G259" s="205">
        <v>3.4</v>
      </c>
      <c r="H259" s="202">
        <v>753</v>
      </c>
      <c r="I259" s="202">
        <v>0.933</v>
      </c>
      <c r="J259" s="202">
        <v>0.00138</v>
      </c>
      <c r="K259" s="202">
        <v>545000</v>
      </c>
      <c r="L259" s="202">
        <v>0.765</v>
      </c>
      <c r="M259" s="202">
        <v>1</v>
      </c>
      <c r="N259" s="202">
        <v>0</v>
      </c>
      <c r="O259" s="202">
        <v>113.42</v>
      </c>
      <c r="P259" s="260">
        <v>1</v>
      </c>
    </row>
    <row r="260" spans="2:16">
      <c r="B260" s="254" t="s">
        <v>207</v>
      </c>
      <c r="C260" s="202" t="s">
        <v>172</v>
      </c>
      <c r="D260" s="202" t="s">
        <v>158</v>
      </c>
      <c r="E260" s="203" t="s">
        <v>4</v>
      </c>
      <c r="F260" s="204">
        <v>100</v>
      </c>
      <c r="G260" s="205">
        <v>92.5</v>
      </c>
      <c r="H260" s="202">
        <v>28000</v>
      </c>
      <c r="I260" s="202">
        <v>0.945</v>
      </c>
      <c r="J260" s="202">
        <v>0.0518</v>
      </c>
      <c r="K260" s="202">
        <v>542000</v>
      </c>
      <c r="L260" s="202">
        <v>0.77</v>
      </c>
      <c r="M260" s="202">
        <v>1</v>
      </c>
      <c r="N260" s="202">
        <v>0</v>
      </c>
      <c r="O260" s="202">
        <v>92.45</v>
      </c>
      <c r="P260" s="260">
        <v>1</v>
      </c>
    </row>
    <row r="261" ht="14.75" spans="2:16">
      <c r="B261" s="255" t="s">
        <v>208</v>
      </c>
      <c r="C261" s="256" t="s">
        <v>172</v>
      </c>
      <c r="D261" s="256" t="s">
        <v>158</v>
      </c>
      <c r="E261" s="257" t="s">
        <v>4</v>
      </c>
      <c r="F261" s="258">
        <v>1600</v>
      </c>
      <c r="G261" s="259">
        <v>1360</v>
      </c>
      <c r="H261" s="256">
        <v>411000</v>
      </c>
      <c r="I261" s="256">
        <v>0.942</v>
      </c>
      <c r="J261" s="256">
        <v>0.77</v>
      </c>
      <c r="K261" s="256">
        <v>533000</v>
      </c>
      <c r="L261" s="256">
        <v>0.769</v>
      </c>
      <c r="M261" s="256">
        <v>1</v>
      </c>
      <c r="N261" s="256">
        <v>0</v>
      </c>
      <c r="O261" s="256">
        <v>85.14</v>
      </c>
      <c r="P261" s="262">
        <v>1</v>
      </c>
    </row>
    <row r="262" ht="14.75"/>
    <row r="263" spans="2:16">
      <c r="B263" s="249" t="s">
        <v>125</v>
      </c>
      <c r="C263" s="250"/>
      <c r="D263" s="250"/>
      <c r="E263" s="251"/>
      <c r="F263" s="252"/>
      <c r="G263" s="253"/>
      <c r="H263" s="250"/>
      <c r="I263" s="250"/>
      <c r="J263" s="250"/>
      <c r="K263" s="250"/>
      <c r="L263" s="250"/>
      <c r="M263" s="250"/>
      <c r="N263" s="250"/>
      <c r="O263" s="250"/>
      <c r="P263" s="261"/>
    </row>
    <row r="264" spans="2:16">
      <c r="B264" s="254" t="s">
        <v>126</v>
      </c>
      <c r="P264" s="260"/>
    </row>
    <row r="265" spans="2:16">
      <c r="B265" s="254" t="s">
        <v>127</v>
      </c>
      <c r="P265" s="260"/>
    </row>
    <row r="266" spans="2:16">
      <c r="B266" s="254"/>
      <c r="P266" s="260"/>
    </row>
    <row r="267" spans="2:16">
      <c r="B267" s="254" t="s">
        <v>128</v>
      </c>
      <c r="P267" s="260"/>
    </row>
    <row r="268" spans="2:16">
      <c r="B268" s="254" t="s">
        <v>129</v>
      </c>
      <c r="P268" s="260"/>
    </row>
    <row r="269" spans="2:16">
      <c r="B269" s="254" t="s">
        <v>218</v>
      </c>
      <c r="P269" s="260"/>
    </row>
    <row r="270" spans="2:16">
      <c r="B270" s="254"/>
      <c r="P270" s="260"/>
    </row>
    <row r="271" spans="2:16">
      <c r="B271" s="254" t="s">
        <v>131</v>
      </c>
      <c r="C271" s="202" t="s">
        <v>132</v>
      </c>
      <c r="D271" s="202" t="s">
        <v>133</v>
      </c>
      <c r="E271" s="203" t="s">
        <v>134</v>
      </c>
      <c r="F271" s="204" t="s">
        <v>135</v>
      </c>
      <c r="G271" s="205" t="s">
        <v>136</v>
      </c>
      <c r="P271" s="260"/>
    </row>
    <row r="272" spans="2:16">
      <c r="B272" s="254" t="s">
        <v>137</v>
      </c>
      <c r="C272" s="202">
        <v>-0.000101</v>
      </c>
      <c r="P272" s="260"/>
    </row>
    <row r="273" spans="2:16">
      <c r="B273" s="254" t="s">
        <v>138</v>
      </c>
      <c r="C273" s="202">
        <v>0.000511</v>
      </c>
      <c r="P273" s="260"/>
    </row>
    <row r="274" spans="2:16">
      <c r="B274" s="254" t="s">
        <v>139</v>
      </c>
      <c r="C274" s="202">
        <v>0.9982</v>
      </c>
      <c r="P274" s="260"/>
    </row>
    <row r="275" spans="2:16">
      <c r="B275" s="254" t="s">
        <v>140</v>
      </c>
      <c r="P275" s="260"/>
    </row>
    <row r="276" spans="2:16">
      <c r="B276" s="254"/>
      <c r="P276" s="260"/>
    </row>
    <row r="277" spans="2:16">
      <c r="B277" s="254"/>
      <c r="P277" s="260"/>
    </row>
    <row r="278" spans="2:16">
      <c r="B278" s="254"/>
      <c r="P278" s="260"/>
    </row>
    <row r="279" spans="2:16">
      <c r="B279" s="254" t="s">
        <v>141</v>
      </c>
      <c r="C279" s="202" t="s">
        <v>142</v>
      </c>
      <c r="D279" s="202" t="s">
        <v>143</v>
      </c>
      <c r="E279" s="203" t="s">
        <v>144</v>
      </c>
      <c r="F279" s="204" t="s">
        <v>145</v>
      </c>
      <c r="G279" s="205" t="s">
        <v>146</v>
      </c>
      <c r="H279" s="202" t="s">
        <v>147</v>
      </c>
      <c r="I279" s="202" t="s">
        <v>148</v>
      </c>
      <c r="J279" s="202" t="s">
        <v>149</v>
      </c>
      <c r="K279" s="202" t="s">
        <v>150</v>
      </c>
      <c r="L279" s="202" t="s">
        <v>151</v>
      </c>
      <c r="M279" s="202" t="s">
        <v>152</v>
      </c>
      <c r="N279" s="202" t="s">
        <v>153</v>
      </c>
      <c r="O279" s="202" t="s">
        <v>154</v>
      </c>
      <c r="P279" s="260" t="s">
        <v>155</v>
      </c>
    </row>
    <row r="280" spans="2:16">
      <c r="B280" s="254" t="s">
        <v>156</v>
      </c>
      <c r="C280" s="202" t="s">
        <v>157</v>
      </c>
      <c r="D280" s="202" t="s">
        <v>158</v>
      </c>
      <c r="E280" s="203" t="s">
        <v>4</v>
      </c>
      <c r="F280" s="204" t="s">
        <v>159</v>
      </c>
      <c r="G280" s="205" t="e">
        <v>#DIV/0!</v>
      </c>
      <c r="H280" s="202">
        <v>0</v>
      </c>
      <c r="I280" s="202">
        <v>0</v>
      </c>
      <c r="J280" s="202" t="e">
        <v>#DIV/0!</v>
      </c>
      <c r="K280" s="202">
        <v>0</v>
      </c>
      <c r="L280" s="202">
        <v>0</v>
      </c>
      <c r="N280" s="202">
        <v>0</v>
      </c>
      <c r="O280" s="202" t="s">
        <v>159</v>
      </c>
      <c r="P280" s="260">
        <v>1</v>
      </c>
    </row>
    <row r="281" spans="2:16">
      <c r="B281" s="254" t="s">
        <v>156</v>
      </c>
      <c r="C281" s="202" t="s">
        <v>157</v>
      </c>
      <c r="D281" s="202" t="s">
        <v>158</v>
      </c>
      <c r="E281" s="203" t="s">
        <v>4</v>
      </c>
      <c r="F281" s="204" t="s">
        <v>159</v>
      </c>
      <c r="G281" s="205" t="e">
        <v>#DIV/0!</v>
      </c>
      <c r="H281" s="202">
        <v>0</v>
      </c>
      <c r="I281" s="202">
        <v>0</v>
      </c>
      <c r="J281" s="202" t="e">
        <v>#DIV/0!</v>
      </c>
      <c r="K281" s="202">
        <v>0</v>
      </c>
      <c r="L281" s="202">
        <v>0</v>
      </c>
      <c r="N281" s="202">
        <v>0</v>
      </c>
      <c r="O281" s="202" t="s">
        <v>159</v>
      </c>
      <c r="P281" s="260">
        <v>1</v>
      </c>
    </row>
    <row r="282" spans="2:16">
      <c r="B282" s="254" t="s">
        <v>156</v>
      </c>
      <c r="C282" s="202" t="s">
        <v>157</v>
      </c>
      <c r="D282" s="202" t="s">
        <v>158</v>
      </c>
      <c r="E282" s="203" t="s">
        <v>4</v>
      </c>
      <c r="F282" s="204" t="s">
        <v>159</v>
      </c>
      <c r="G282" s="205" t="e">
        <v>#DIV/0!</v>
      </c>
      <c r="H282" s="202">
        <v>119</v>
      </c>
      <c r="I282" s="202">
        <v>0.941</v>
      </c>
      <c r="J282" s="202" t="e">
        <v>#DIV/0!</v>
      </c>
      <c r="K282" s="202">
        <v>0</v>
      </c>
      <c r="L282" s="202">
        <v>0</v>
      </c>
      <c r="N282" s="202">
        <v>0</v>
      </c>
      <c r="O282" s="202" t="s">
        <v>159</v>
      </c>
      <c r="P282" s="260">
        <v>1</v>
      </c>
    </row>
    <row r="283" spans="2:16">
      <c r="B283" s="254" t="s">
        <v>160</v>
      </c>
      <c r="C283" s="202" t="s">
        <v>157</v>
      </c>
      <c r="D283" s="202" t="s">
        <v>158</v>
      </c>
      <c r="E283" s="203" t="s">
        <v>4</v>
      </c>
      <c r="F283" s="204" t="s">
        <v>159</v>
      </c>
      <c r="G283" s="205" t="s">
        <v>161</v>
      </c>
      <c r="H283" s="202">
        <v>0</v>
      </c>
      <c r="I283" s="202">
        <v>0</v>
      </c>
      <c r="J283" s="202">
        <v>0</v>
      </c>
      <c r="K283" s="202">
        <v>823000</v>
      </c>
      <c r="L283" s="202">
        <v>0.764</v>
      </c>
      <c r="N283" s="202">
        <v>0</v>
      </c>
      <c r="O283" s="202" t="s">
        <v>159</v>
      </c>
      <c r="P283" s="260">
        <v>1</v>
      </c>
    </row>
    <row r="284" spans="2:16">
      <c r="B284" s="254" t="s">
        <v>162</v>
      </c>
      <c r="C284" s="202" t="s">
        <v>163</v>
      </c>
      <c r="D284" s="202" t="s">
        <v>158</v>
      </c>
      <c r="E284" s="203" t="s">
        <v>4</v>
      </c>
      <c r="F284" s="204">
        <v>1</v>
      </c>
      <c r="G284" s="205">
        <v>1.01</v>
      </c>
      <c r="H284" s="202">
        <v>259</v>
      </c>
      <c r="I284" s="202">
        <v>0.929</v>
      </c>
      <c r="J284" s="202">
        <v>0.000413</v>
      </c>
      <c r="K284" s="202">
        <v>625000</v>
      </c>
      <c r="L284" s="202">
        <v>0.765</v>
      </c>
      <c r="M284" s="202">
        <v>1</v>
      </c>
      <c r="N284" s="202">
        <v>0</v>
      </c>
      <c r="O284" s="202">
        <v>100.76</v>
      </c>
      <c r="P284" s="260">
        <v>1</v>
      </c>
    </row>
    <row r="285" spans="2:16">
      <c r="B285" s="254" t="s">
        <v>164</v>
      </c>
      <c r="C285" s="202" t="s">
        <v>163</v>
      </c>
      <c r="D285" s="202" t="s">
        <v>158</v>
      </c>
      <c r="E285" s="203" t="s">
        <v>4</v>
      </c>
      <c r="F285" s="204">
        <v>2</v>
      </c>
      <c r="G285" s="205">
        <v>3.33</v>
      </c>
      <c r="H285" s="202">
        <v>976</v>
      </c>
      <c r="I285" s="202">
        <v>0.935</v>
      </c>
      <c r="J285" s="202">
        <v>0.0016</v>
      </c>
      <c r="K285" s="202">
        <v>610000</v>
      </c>
      <c r="L285" s="202">
        <v>0.766</v>
      </c>
      <c r="M285" s="202">
        <v>0</v>
      </c>
      <c r="N285" s="202">
        <v>0</v>
      </c>
      <c r="O285" s="202">
        <v>166.5</v>
      </c>
      <c r="P285" s="260">
        <v>1</v>
      </c>
    </row>
    <row r="286" spans="2:16">
      <c r="B286" s="254" t="s">
        <v>165</v>
      </c>
      <c r="C286" s="202" t="s">
        <v>163</v>
      </c>
      <c r="D286" s="202" t="s">
        <v>158</v>
      </c>
      <c r="E286" s="203" t="s">
        <v>4</v>
      </c>
      <c r="F286" s="204">
        <v>10</v>
      </c>
      <c r="G286" s="205">
        <v>9.05</v>
      </c>
      <c r="H286" s="202">
        <v>2770</v>
      </c>
      <c r="I286" s="202">
        <v>0.932</v>
      </c>
      <c r="J286" s="202">
        <v>0.00452</v>
      </c>
      <c r="K286" s="202">
        <v>613000</v>
      </c>
      <c r="L286" s="202">
        <v>0.765</v>
      </c>
      <c r="M286" s="202">
        <v>1</v>
      </c>
      <c r="N286" s="202">
        <v>0</v>
      </c>
      <c r="O286" s="202">
        <v>90.48</v>
      </c>
      <c r="P286" s="260">
        <v>1</v>
      </c>
    </row>
    <row r="287" spans="2:16">
      <c r="B287" s="254" t="s">
        <v>166</v>
      </c>
      <c r="C287" s="202" t="s">
        <v>163</v>
      </c>
      <c r="D287" s="202" t="s">
        <v>158</v>
      </c>
      <c r="E287" s="203" t="s">
        <v>4</v>
      </c>
      <c r="F287" s="204">
        <v>50</v>
      </c>
      <c r="G287" s="205">
        <v>54.9</v>
      </c>
      <c r="H287" s="202">
        <v>16900</v>
      </c>
      <c r="I287" s="202">
        <v>0.944</v>
      </c>
      <c r="J287" s="202">
        <v>0.0279</v>
      </c>
      <c r="K287" s="202">
        <v>606000</v>
      </c>
      <c r="L287" s="202">
        <v>0.774</v>
      </c>
      <c r="M287" s="202">
        <v>1</v>
      </c>
      <c r="N287" s="202">
        <v>0</v>
      </c>
      <c r="O287" s="202">
        <v>109.77</v>
      </c>
      <c r="P287" s="260">
        <v>1</v>
      </c>
    </row>
    <row r="288" spans="2:16">
      <c r="B288" s="254" t="s">
        <v>167</v>
      </c>
      <c r="C288" s="202" t="s">
        <v>163</v>
      </c>
      <c r="D288" s="202" t="s">
        <v>158</v>
      </c>
      <c r="E288" s="203" t="s">
        <v>4</v>
      </c>
      <c r="F288" s="204">
        <v>200</v>
      </c>
      <c r="G288" s="205">
        <v>200</v>
      </c>
      <c r="H288" s="202">
        <v>63000</v>
      </c>
      <c r="I288" s="202">
        <v>0.937</v>
      </c>
      <c r="J288" s="202">
        <v>0.102</v>
      </c>
      <c r="K288" s="202">
        <v>618000</v>
      </c>
      <c r="L288" s="202">
        <v>0.767</v>
      </c>
      <c r="M288" s="202">
        <v>1</v>
      </c>
      <c r="N288" s="202">
        <v>0</v>
      </c>
      <c r="O288" s="202">
        <v>99.95</v>
      </c>
      <c r="P288" s="260">
        <v>1</v>
      </c>
    </row>
    <row r="289" spans="2:16">
      <c r="B289" s="254" t="s">
        <v>168</v>
      </c>
      <c r="C289" s="202" t="s">
        <v>163</v>
      </c>
      <c r="D289" s="202" t="s">
        <v>158</v>
      </c>
      <c r="E289" s="203" t="s">
        <v>4</v>
      </c>
      <c r="F289" s="204">
        <v>1000</v>
      </c>
      <c r="G289" s="205">
        <v>974</v>
      </c>
      <c r="H289" s="202">
        <v>302000</v>
      </c>
      <c r="I289" s="202">
        <v>0.935</v>
      </c>
      <c r="J289" s="202">
        <v>0.497</v>
      </c>
      <c r="K289" s="202">
        <v>607000</v>
      </c>
      <c r="L289" s="202">
        <v>0.765</v>
      </c>
      <c r="M289" s="202">
        <v>1</v>
      </c>
      <c r="N289" s="202">
        <v>0</v>
      </c>
      <c r="O289" s="202">
        <v>97.36</v>
      </c>
      <c r="P289" s="260">
        <v>1</v>
      </c>
    </row>
    <row r="290" spans="2:16">
      <c r="B290" s="254" t="s">
        <v>169</v>
      </c>
      <c r="C290" s="202" t="s">
        <v>163</v>
      </c>
      <c r="D290" s="202" t="s">
        <v>158</v>
      </c>
      <c r="E290" s="203" t="s">
        <v>4</v>
      </c>
      <c r="F290" s="204">
        <v>1800</v>
      </c>
      <c r="G290" s="205">
        <v>1760</v>
      </c>
      <c r="H290" s="202">
        <v>544000</v>
      </c>
      <c r="I290" s="202">
        <v>0.937</v>
      </c>
      <c r="J290" s="202">
        <v>0.901</v>
      </c>
      <c r="K290" s="202">
        <v>603000</v>
      </c>
      <c r="L290" s="202">
        <v>0.767</v>
      </c>
      <c r="M290" s="202">
        <v>1</v>
      </c>
      <c r="N290" s="202">
        <v>0</v>
      </c>
      <c r="O290" s="202">
        <v>98.04</v>
      </c>
      <c r="P290" s="260">
        <v>1</v>
      </c>
    </row>
    <row r="291" spans="2:16">
      <c r="B291" s="254" t="s">
        <v>170</v>
      </c>
      <c r="C291" s="202" t="s">
        <v>163</v>
      </c>
      <c r="D291" s="202" t="s">
        <v>158</v>
      </c>
      <c r="E291" s="203" t="s">
        <v>4</v>
      </c>
      <c r="F291" s="204">
        <v>2000</v>
      </c>
      <c r="G291" s="205">
        <v>2070</v>
      </c>
      <c r="H291" s="202">
        <v>630000</v>
      </c>
      <c r="I291" s="202">
        <v>0.935</v>
      </c>
      <c r="J291" s="202">
        <v>1.06</v>
      </c>
      <c r="K291" s="202">
        <v>595000</v>
      </c>
      <c r="L291" s="202">
        <v>0.765</v>
      </c>
      <c r="M291" s="202">
        <v>1</v>
      </c>
      <c r="N291" s="202">
        <v>0</v>
      </c>
      <c r="O291" s="202">
        <v>103.64</v>
      </c>
      <c r="P291" s="260">
        <v>1</v>
      </c>
    </row>
    <row r="292" spans="2:16">
      <c r="B292" s="254" t="s">
        <v>156</v>
      </c>
      <c r="C292" s="202" t="s">
        <v>157</v>
      </c>
      <c r="D292" s="202" t="s">
        <v>158</v>
      </c>
      <c r="E292" s="203" t="s">
        <v>4</v>
      </c>
      <c r="F292" s="204" t="s">
        <v>159</v>
      </c>
      <c r="G292" s="205" t="e">
        <v>#DIV/0!</v>
      </c>
      <c r="H292" s="202">
        <v>0</v>
      </c>
      <c r="I292" s="202">
        <v>0</v>
      </c>
      <c r="J292" s="202" t="e">
        <v>#DIV/0!</v>
      </c>
      <c r="K292" s="202">
        <v>0</v>
      </c>
      <c r="L292" s="202">
        <v>0</v>
      </c>
      <c r="N292" s="202">
        <v>0</v>
      </c>
      <c r="O292" s="202" t="s">
        <v>159</v>
      </c>
      <c r="P292" s="260">
        <v>1</v>
      </c>
    </row>
    <row r="293" spans="2:16">
      <c r="B293" s="254" t="s">
        <v>156</v>
      </c>
      <c r="C293" s="202" t="s">
        <v>157</v>
      </c>
      <c r="D293" s="202" t="s">
        <v>158</v>
      </c>
      <c r="E293" s="203" t="s">
        <v>4</v>
      </c>
      <c r="F293" s="204" t="s">
        <v>159</v>
      </c>
      <c r="G293" s="205" t="e">
        <v>#DIV/0!</v>
      </c>
      <c r="H293" s="202">
        <v>0</v>
      </c>
      <c r="I293" s="202">
        <v>0</v>
      </c>
      <c r="J293" s="202" t="e">
        <v>#DIV/0!</v>
      </c>
      <c r="K293" s="202">
        <v>0</v>
      </c>
      <c r="L293" s="202">
        <v>0</v>
      </c>
      <c r="N293" s="202">
        <v>0</v>
      </c>
      <c r="O293" s="202" t="s">
        <v>159</v>
      </c>
      <c r="P293" s="260">
        <v>1</v>
      </c>
    </row>
    <row r="294" spans="2:16">
      <c r="B294" s="254" t="s">
        <v>156</v>
      </c>
      <c r="C294" s="202" t="s">
        <v>157</v>
      </c>
      <c r="D294" s="202" t="s">
        <v>158</v>
      </c>
      <c r="E294" s="203" t="s">
        <v>4</v>
      </c>
      <c r="F294" s="204" t="s">
        <v>159</v>
      </c>
      <c r="G294" s="205" t="e">
        <v>#DIV/0!</v>
      </c>
      <c r="H294" s="202">
        <v>96.1</v>
      </c>
      <c r="I294" s="202">
        <v>0.964</v>
      </c>
      <c r="J294" s="202" t="e">
        <v>#DIV/0!</v>
      </c>
      <c r="K294" s="202">
        <v>0</v>
      </c>
      <c r="L294" s="202">
        <v>0</v>
      </c>
      <c r="N294" s="202">
        <v>0</v>
      </c>
      <c r="O294" s="202" t="s">
        <v>159</v>
      </c>
      <c r="P294" s="260">
        <v>1</v>
      </c>
    </row>
    <row r="295" spans="2:16">
      <c r="B295" s="254" t="s">
        <v>171</v>
      </c>
      <c r="C295" s="202" t="s">
        <v>172</v>
      </c>
      <c r="D295" s="202" t="s">
        <v>158</v>
      </c>
      <c r="E295" s="203" t="s">
        <v>4</v>
      </c>
      <c r="F295" s="204">
        <v>3</v>
      </c>
      <c r="G295" s="205">
        <v>3.34</v>
      </c>
      <c r="H295" s="202">
        <v>968</v>
      </c>
      <c r="I295" s="202">
        <v>0.929</v>
      </c>
      <c r="J295" s="202">
        <v>0.0016</v>
      </c>
      <c r="K295" s="202">
        <v>603000</v>
      </c>
      <c r="L295" s="202">
        <v>0.764</v>
      </c>
      <c r="M295" s="202">
        <v>1</v>
      </c>
      <c r="N295" s="202">
        <v>0</v>
      </c>
      <c r="O295" s="202">
        <v>111.26</v>
      </c>
      <c r="P295" s="260">
        <v>1</v>
      </c>
    </row>
    <row r="296" spans="2:16">
      <c r="B296" s="254" t="s">
        <v>173</v>
      </c>
      <c r="C296" s="202" t="s">
        <v>172</v>
      </c>
      <c r="D296" s="202" t="s">
        <v>158</v>
      </c>
      <c r="E296" s="203" t="s">
        <v>4</v>
      </c>
      <c r="F296" s="204">
        <v>100</v>
      </c>
      <c r="G296" s="205">
        <v>103</v>
      </c>
      <c r="H296" s="202">
        <v>30900</v>
      </c>
      <c r="I296" s="202">
        <v>0.935</v>
      </c>
      <c r="J296" s="202">
        <v>0.0525</v>
      </c>
      <c r="K296" s="202">
        <v>589000</v>
      </c>
      <c r="L296" s="202">
        <v>0.764</v>
      </c>
      <c r="M296" s="202">
        <v>1</v>
      </c>
      <c r="N296" s="202">
        <v>0</v>
      </c>
      <c r="O296" s="202">
        <v>103.03</v>
      </c>
      <c r="P296" s="260">
        <v>1</v>
      </c>
    </row>
    <row r="297" spans="2:16">
      <c r="B297" s="254" t="s">
        <v>174</v>
      </c>
      <c r="C297" s="202" t="s">
        <v>172</v>
      </c>
      <c r="D297" s="202" t="s">
        <v>158</v>
      </c>
      <c r="E297" s="203" t="s">
        <v>4</v>
      </c>
      <c r="F297" s="204">
        <v>1600</v>
      </c>
      <c r="G297" s="205">
        <v>1530</v>
      </c>
      <c r="H297" s="202">
        <v>468000</v>
      </c>
      <c r="I297" s="202">
        <v>0.941</v>
      </c>
      <c r="J297" s="202">
        <v>0.784</v>
      </c>
      <c r="K297" s="202">
        <v>597000</v>
      </c>
      <c r="L297" s="202">
        <v>0.769</v>
      </c>
      <c r="M297" s="202">
        <v>1</v>
      </c>
      <c r="N297" s="202">
        <v>0</v>
      </c>
      <c r="O297" s="202">
        <v>95.92</v>
      </c>
      <c r="P297" s="260">
        <v>1</v>
      </c>
    </row>
    <row r="298" spans="2:16">
      <c r="B298" s="254" t="s">
        <v>175</v>
      </c>
      <c r="C298" s="202" t="s">
        <v>157</v>
      </c>
      <c r="D298" s="202" t="s">
        <v>158</v>
      </c>
      <c r="E298" s="203" t="s">
        <v>4</v>
      </c>
      <c r="F298" s="204" t="s">
        <v>159</v>
      </c>
      <c r="G298" s="205" t="e">
        <v>#DIV/0!</v>
      </c>
      <c r="H298" s="202">
        <v>0</v>
      </c>
      <c r="I298" s="202">
        <v>0</v>
      </c>
      <c r="J298" s="202" t="e">
        <v>#DIV/0!</v>
      </c>
      <c r="K298" s="202">
        <v>0</v>
      </c>
      <c r="L298" s="202">
        <v>0</v>
      </c>
      <c r="N298" s="202">
        <v>0</v>
      </c>
      <c r="O298" s="202" t="s">
        <v>159</v>
      </c>
      <c r="P298" s="260">
        <v>1</v>
      </c>
    </row>
    <row r="299" spans="2:16">
      <c r="B299" s="254" t="s">
        <v>176</v>
      </c>
      <c r="C299" s="202" t="s">
        <v>172</v>
      </c>
      <c r="D299" s="202" t="s">
        <v>158</v>
      </c>
      <c r="E299" s="203" t="s">
        <v>4</v>
      </c>
      <c r="F299" s="204">
        <v>50</v>
      </c>
      <c r="G299" s="205">
        <v>47.9</v>
      </c>
      <c r="H299" s="202">
        <v>15400</v>
      </c>
      <c r="I299" s="202">
        <v>0.943</v>
      </c>
      <c r="J299" s="202">
        <v>0.0244</v>
      </c>
      <c r="K299" s="202">
        <v>633000</v>
      </c>
      <c r="L299" s="202">
        <v>0.773</v>
      </c>
      <c r="M299" s="202">
        <v>1</v>
      </c>
      <c r="N299" s="202">
        <v>0</v>
      </c>
      <c r="O299" s="202">
        <v>95.76</v>
      </c>
      <c r="P299" s="260">
        <v>1</v>
      </c>
    </row>
    <row r="300" spans="2:16">
      <c r="B300" s="254" t="s">
        <v>177</v>
      </c>
      <c r="C300" s="202" t="s">
        <v>172</v>
      </c>
      <c r="D300" s="202" t="s">
        <v>158</v>
      </c>
      <c r="E300" s="203" t="s">
        <v>4</v>
      </c>
      <c r="F300" s="204">
        <v>50</v>
      </c>
      <c r="G300" s="205">
        <v>47</v>
      </c>
      <c r="H300" s="202">
        <v>15600</v>
      </c>
      <c r="I300" s="202">
        <v>0.937</v>
      </c>
      <c r="J300" s="202">
        <v>0.0239</v>
      </c>
      <c r="K300" s="202">
        <v>653000</v>
      </c>
      <c r="L300" s="202">
        <v>0.766</v>
      </c>
      <c r="M300" s="202">
        <v>1</v>
      </c>
      <c r="N300" s="202">
        <v>0</v>
      </c>
      <c r="O300" s="202">
        <v>94.06</v>
      </c>
      <c r="P300" s="260">
        <v>1</v>
      </c>
    </row>
    <row r="301" spans="2:16">
      <c r="B301" s="254" t="s">
        <v>178</v>
      </c>
      <c r="C301" s="202" t="s">
        <v>172</v>
      </c>
      <c r="D301" s="202" t="s">
        <v>158</v>
      </c>
      <c r="E301" s="203" t="s">
        <v>4</v>
      </c>
      <c r="F301" s="204">
        <v>50</v>
      </c>
      <c r="G301" s="205">
        <v>49.4</v>
      </c>
      <c r="H301" s="202">
        <v>15400</v>
      </c>
      <c r="I301" s="202">
        <v>0.935</v>
      </c>
      <c r="J301" s="202">
        <v>0.0251</v>
      </c>
      <c r="K301" s="202">
        <v>612000</v>
      </c>
      <c r="L301" s="202">
        <v>0.764</v>
      </c>
      <c r="M301" s="202">
        <v>1</v>
      </c>
      <c r="N301" s="202">
        <v>0</v>
      </c>
      <c r="O301" s="202">
        <v>98.81</v>
      </c>
      <c r="P301" s="260">
        <v>1</v>
      </c>
    </row>
    <row r="302" spans="2:16">
      <c r="B302" s="254" t="s">
        <v>175</v>
      </c>
      <c r="C302" s="202" t="s">
        <v>157</v>
      </c>
      <c r="D302" s="202" t="s">
        <v>158</v>
      </c>
      <c r="E302" s="203" t="s">
        <v>4</v>
      </c>
      <c r="F302" s="204" t="s">
        <v>159</v>
      </c>
      <c r="G302" s="205" t="e">
        <v>#DIV/0!</v>
      </c>
      <c r="H302" s="202">
        <v>0</v>
      </c>
      <c r="I302" s="202">
        <v>0</v>
      </c>
      <c r="J302" s="202" t="e">
        <v>#DIV/0!</v>
      </c>
      <c r="K302" s="202">
        <v>0</v>
      </c>
      <c r="L302" s="202">
        <v>0</v>
      </c>
      <c r="N302" s="202">
        <v>0</v>
      </c>
      <c r="O302" s="202" t="s">
        <v>159</v>
      </c>
      <c r="P302" s="260">
        <v>1</v>
      </c>
    </row>
    <row r="303" spans="2:16">
      <c r="B303" s="254" t="s">
        <v>179</v>
      </c>
      <c r="C303" s="202" t="s">
        <v>157</v>
      </c>
      <c r="D303" s="202" t="s">
        <v>158</v>
      </c>
      <c r="E303" s="203" t="s">
        <v>4</v>
      </c>
      <c r="F303" s="204" t="s">
        <v>159</v>
      </c>
      <c r="G303" s="205" t="s">
        <v>161</v>
      </c>
      <c r="H303" s="202">
        <v>0</v>
      </c>
      <c r="I303" s="202">
        <v>0</v>
      </c>
      <c r="J303" s="202">
        <v>0</v>
      </c>
      <c r="K303" s="202">
        <v>606000</v>
      </c>
      <c r="L303" s="202">
        <v>0.771</v>
      </c>
      <c r="N303" s="202">
        <v>0</v>
      </c>
      <c r="O303" s="202" t="s">
        <v>159</v>
      </c>
      <c r="P303" s="260">
        <v>1</v>
      </c>
    </row>
    <row r="304" spans="2:16">
      <c r="B304" s="254" t="s">
        <v>180</v>
      </c>
      <c r="C304" s="202" t="s">
        <v>157</v>
      </c>
      <c r="D304" s="202" t="s">
        <v>158</v>
      </c>
      <c r="E304" s="203" t="s">
        <v>4</v>
      </c>
      <c r="F304" s="204" t="s">
        <v>159</v>
      </c>
      <c r="G304" s="205" t="s">
        <v>161</v>
      </c>
      <c r="H304" s="202">
        <v>0</v>
      </c>
      <c r="I304" s="202">
        <v>0</v>
      </c>
      <c r="J304" s="202">
        <v>0</v>
      </c>
      <c r="K304" s="202">
        <v>595000</v>
      </c>
      <c r="L304" s="202">
        <v>0.767</v>
      </c>
      <c r="N304" s="202">
        <v>0</v>
      </c>
      <c r="O304" s="202" t="s">
        <v>159</v>
      </c>
      <c r="P304" s="260">
        <v>1</v>
      </c>
    </row>
    <row r="305" spans="2:16">
      <c r="B305" s="254" t="s">
        <v>181</v>
      </c>
      <c r="C305" s="202" t="s">
        <v>157</v>
      </c>
      <c r="D305" s="202" t="s">
        <v>158</v>
      </c>
      <c r="E305" s="203" t="s">
        <v>4</v>
      </c>
      <c r="F305" s="204" t="s">
        <v>159</v>
      </c>
      <c r="G305" s="205" t="s">
        <v>161</v>
      </c>
      <c r="H305" s="202">
        <v>0</v>
      </c>
      <c r="I305" s="202">
        <v>0</v>
      </c>
      <c r="J305" s="202">
        <v>0</v>
      </c>
      <c r="K305" s="202">
        <v>567000</v>
      </c>
      <c r="L305" s="202">
        <v>0.765</v>
      </c>
      <c r="N305" s="202">
        <v>0</v>
      </c>
      <c r="O305" s="202" t="s">
        <v>159</v>
      </c>
      <c r="P305" s="260">
        <v>1</v>
      </c>
    </row>
    <row r="306" spans="2:16">
      <c r="B306" s="254" t="s">
        <v>182</v>
      </c>
      <c r="C306" s="202" t="s">
        <v>157</v>
      </c>
      <c r="D306" s="202" t="s">
        <v>158</v>
      </c>
      <c r="E306" s="203" t="s">
        <v>4</v>
      </c>
      <c r="F306" s="204" t="s">
        <v>159</v>
      </c>
      <c r="G306" s="205" t="s">
        <v>161</v>
      </c>
      <c r="H306" s="202">
        <v>0</v>
      </c>
      <c r="I306" s="202">
        <v>0</v>
      </c>
      <c r="J306" s="202">
        <v>0</v>
      </c>
      <c r="K306" s="202">
        <v>460000</v>
      </c>
      <c r="L306" s="202">
        <v>0.773</v>
      </c>
      <c r="N306" s="202">
        <v>0</v>
      </c>
      <c r="O306" s="202" t="s">
        <v>159</v>
      </c>
      <c r="P306" s="260">
        <v>1</v>
      </c>
    </row>
    <row r="307" spans="2:16">
      <c r="B307" s="254" t="s">
        <v>183</v>
      </c>
      <c r="C307" s="202" t="s">
        <v>157</v>
      </c>
      <c r="D307" s="202" t="s">
        <v>158</v>
      </c>
      <c r="E307" s="203" t="s">
        <v>4</v>
      </c>
      <c r="F307" s="204" t="s">
        <v>159</v>
      </c>
      <c r="G307" s="205" t="s">
        <v>161</v>
      </c>
      <c r="H307" s="202">
        <v>0</v>
      </c>
      <c r="I307" s="202">
        <v>0</v>
      </c>
      <c r="J307" s="202">
        <v>0</v>
      </c>
      <c r="K307" s="202">
        <v>561000</v>
      </c>
      <c r="L307" s="202">
        <v>0.766</v>
      </c>
      <c r="N307" s="202">
        <v>0</v>
      </c>
      <c r="O307" s="202" t="s">
        <v>159</v>
      </c>
      <c r="P307" s="260">
        <v>1</v>
      </c>
    </row>
    <row r="308" spans="2:16">
      <c r="B308" s="254" t="s">
        <v>184</v>
      </c>
      <c r="C308" s="202" t="s">
        <v>157</v>
      </c>
      <c r="D308" s="202" t="s">
        <v>158</v>
      </c>
      <c r="E308" s="203" t="s">
        <v>4</v>
      </c>
      <c r="F308" s="204" t="s">
        <v>159</v>
      </c>
      <c r="G308" s="205" t="s">
        <v>161</v>
      </c>
      <c r="H308" s="202">
        <v>0</v>
      </c>
      <c r="I308" s="202">
        <v>0</v>
      </c>
      <c r="J308" s="202">
        <v>0</v>
      </c>
      <c r="K308" s="202">
        <v>537000</v>
      </c>
      <c r="L308" s="202">
        <v>0.765</v>
      </c>
      <c r="N308" s="202">
        <v>0</v>
      </c>
      <c r="O308" s="202" t="s">
        <v>159</v>
      </c>
      <c r="P308" s="260">
        <v>1</v>
      </c>
    </row>
    <row r="309" spans="2:16">
      <c r="B309" s="254" t="s">
        <v>185</v>
      </c>
      <c r="C309" s="202" t="s">
        <v>157</v>
      </c>
      <c r="D309" s="202" t="s">
        <v>158</v>
      </c>
      <c r="E309" s="203" t="s">
        <v>4</v>
      </c>
      <c r="F309" s="204" t="s">
        <v>159</v>
      </c>
      <c r="G309" s="205" t="s">
        <v>161</v>
      </c>
      <c r="H309" s="202">
        <v>0</v>
      </c>
      <c r="I309" s="202">
        <v>0</v>
      </c>
      <c r="J309" s="202">
        <v>0</v>
      </c>
      <c r="K309" s="202">
        <v>498000</v>
      </c>
      <c r="L309" s="202">
        <v>0.769</v>
      </c>
      <c r="N309" s="202">
        <v>0</v>
      </c>
      <c r="O309" s="202" t="s">
        <v>159</v>
      </c>
      <c r="P309" s="260">
        <v>1</v>
      </c>
    </row>
    <row r="310" spans="2:16">
      <c r="B310" s="254" t="s">
        <v>186</v>
      </c>
      <c r="C310" s="202" t="s">
        <v>157</v>
      </c>
      <c r="D310" s="202" t="s">
        <v>158</v>
      </c>
      <c r="E310" s="203" t="s">
        <v>4</v>
      </c>
      <c r="F310" s="204" t="s">
        <v>159</v>
      </c>
      <c r="G310" s="205" t="s">
        <v>161</v>
      </c>
      <c r="H310" s="202">
        <v>0</v>
      </c>
      <c r="I310" s="202">
        <v>0</v>
      </c>
      <c r="J310" s="202">
        <v>0</v>
      </c>
      <c r="K310" s="202">
        <v>529000</v>
      </c>
      <c r="L310" s="202">
        <v>0.766</v>
      </c>
      <c r="N310" s="202">
        <v>0</v>
      </c>
      <c r="O310" s="202" t="s">
        <v>159</v>
      </c>
      <c r="P310" s="260">
        <v>1</v>
      </c>
    </row>
    <row r="311" spans="2:16">
      <c r="B311" s="254" t="s">
        <v>187</v>
      </c>
      <c r="C311" s="202" t="s">
        <v>157</v>
      </c>
      <c r="D311" s="202" t="s">
        <v>158</v>
      </c>
      <c r="E311" s="203" t="s">
        <v>4</v>
      </c>
      <c r="F311" s="204" t="s">
        <v>159</v>
      </c>
      <c r="G311" s="205" t="s">
        <v>161</v>
      </c>
      <c r="H311" s="202">
        <v>0</v>
      </c>
      <c r="I311" s="202">
        <v>0</v>
      </c>
      <c r="J311" s="202">
        <v>0</v>
      </c>
      <c r="K311" s="202">
        <v>495000</v>
      </c>
      <c r="L311" s="202">
        <v>0.771</v>
      </c>
      <c r="N311" s="202">
        <v>0</v>
      </c>
      <c r="O311" s="202" t="s">
        <v>159</v>
      </c>
      <c r="P311" s="260">
        <v>1</v>
      </c>
    </row>
    <row r="312" spans="2:16">
      <c r="B312" s="254" t="s">
        <v>188</v>
      </c>
      <c r="C312" s="202" t="s">
        <v>157</v>
      </c>
      <c r="D312" s="202" t="s">
        <v>158</v>
      </c>
      <c r="E312" s="203" t="s">
        <v>4</v>
      </c>
      <c r="F312" s="204" t="s">
        <v>159</v>
      </c>
      <c r="G312" s="205" t="s">
        <v>161</v>
      </c>
      <c r="H312" s="202">
        <v>0</v>
      </c>
      <c r="I312" s="202">
        <v>0</v>
      </c>
      <c r="J312" s="202">
        <v>0</v>
      </c>
      <c r="K312" s="202">
        <v>454000</v>
      </c>
      <c r="L312" s="202">
        <v>0.765</v>
      </c>
      <c r="N312" s="202">
        <v>0</v>
      </c>
      <c r="O312" s="202" t="s">
        <v>159</v>
      </c>
      <c r="P312" s="260">
        <v>1</v>
      </c>
    </row>
    <row r="313" spans="2:16">
      <c r="B313" s="254" t="s">
        <v>189</v>
      </c>
      <c r="C313" s="202" t="s">
        <v>157</v>
      </c>
      <c r="D313" s="202" t="s">
        <v>158</v>
      </c>
      <c r="E313" s="203" t="s">
        <v>4</v>
      </c>
      <c r="F313" s="204" t="s">
        <v>159</v>
      </c>
      <c r="G313" s="205" t="s">
        <v>161</v>
      </c>
      <c r="H313" s="202">
        <v>0</v>
      </c>
      <c r="I313" s="202">
        <v>0</v>
      </c>
      <c r="J313" s="202">
        <v>0</v>
      </c>
      <c r="K313" s="202">
        <v>494000</v>
      </c>
      <c r="L313" s="202">
        <v>0.769</v>
      </c>
      <c r="N313" s="202">
        <v>0</v>
      </c>
      <c r="O313" s="202" t="s">
        <v>159</v>
      </c>
      <c r="P313" s="260">
        <v>1</v>
      </c>
    </row>
    <row r="314" spans="2:16">
      <c r="B314" s="254" t="s">
        <v>190</v>
      </c>
      <c r="C314" s="202" t="s">
        <v>157</v>
      </c>
      <c r="D314" s="202" t="s">
        <v>158</v>
      </c>
      <c r="E314" s="203" t="s">
        <v>4</v>
      </c>
      <c r="F314" s="204" t="s">
        <v>159</v>
      </c>
      <c r="G314" s="205" t="s">
        <v>161</v>
      </c>
      <c r="H314" s="202">
        <v>0</v>
      </c>
      <c r="I314" s="202">
        <v>0</v>
      </c>
      <c r="J314" s="202">
        <v>0</v>
      </c>
      <c r="K314" s="202">
        <v>470000</v>
      </c>
      <c r="L314" s="202">
        <v>0.767</v>
      </c>
      <c r="N314" s="202">
        <v>0</v>
      </c>
      <c r="O314" s="202" t="s">
        <v>159</v>
      </c>
      <c r="P314" s="260">
        <v>1</v>
      </c>
    </row>
    <row r="315" spans="2:16">
      <c r="B315" s="254" t="s">
        <v>191</v>
      </c>
      <c r="C315" s="202" t="s">
        <v>157</v>
      </c>
      <c r="D315" s="202" t="s">
        <v>158</v>
      </c>
      <c r="E315" s="203" t="s">
        <v>4</v>
      </c>
      <c r="F315" s="204" t="s">
        <v>159</v>
      </c>
      <c r="G315" s="205" t="s">
        <v>161</v>
      </c>
      <c r="H315" s="202">
        <v>0</v>
      </c>
      <c r="I315" s="202">
        <v>0</v>
      </c>
      <c r="J315" s="202">
        <v>0</v>
      </c>
      <c r="K315" s="202">
        <v>502000</v>
      </c>
      <c r="L315" s="202">
        <v>0.765</v>
      </c>
      <c r="N315" s="202">
        <v>0</v>
      </c>
      <c r="O315" s="202" t="s">
        <v>159</v>
      </c>
      <c r="P315" s="260">
        <v>1</v>
      </c>
    </row>
    <row r="316" spans="2:16">
      <c r="B316" s="254" t="s">
        <v>192</v>
      </c>
      <c r="C316" s="202" t="s">
        <v>157</v>
      </c>
      <c r="D316" s="202" t="s">
        <v>158</v>
      </c>
      <c r="E316" s="203" t="s">
        <v>4</v>
      </c>
      <c r="F316" s="204" t="s">
        <v>159</v>
      </c>
      <c r="G316" s="205">
        <v>1.3</v>
      </c>
      <c r="H316" s="202">
        <v>269</v>
      </c>
      <c r="I316" s="202">
        <v>0.939</v>
      </c>
      <c r="J316" s="202">
        <v>0.00056</v>
      </c>
      <c r="K316" s="202">
        <v>479000</v>
      </c>
      <c r="L316" s="202">
        <v>0.767</v>
      </c>
      <c r="N316" s="202">
        <v>0</v>
      </c>
      <c r="O316" s="202" t="s">
        <v>159</v>
      </c>
      <c r="P316" s="260">
        <v>1</v>
      </c>
    </row>
    <row r="317" spans="2:16">
      <c r="B317" s="254" t="s">
        <v>193</v>
      </c>
      <c r="C317" s="202" t="s">
        <v>157</v>
      </c>
      <c r="D317" s="202" t="s">
        <v>158</v>
      </c>
      <c r="E317" s="203" t="s">
        <v>4</v>
      </c>
      <c r="F317" s="204" t="s">
        <v>159</v>
      </c>
      <c r="G317" s="205">
        <v>1.39</v>
      </c>
      <c r="H317" s="202">
        <v>271</v>
      </c>
      <c r="I317" s="202">
        <v>0.94</v>
      </c>
      <c r="J317" s="202">
        <v>0.00061</v>
      </c>
      <c r="K317" s="202">
        <v>445000</v>
      </c>
      <c r="L317" s="202">
        <v>0.768</v>
      </c>
      <c r="N317" s="202">
        <v>0</v>
      </c>
      <c r="O317" s="202" t="s">
        <v>159</v>
      </c>
      <c r="P317" s="260">
        <v>1</v>
      </c>
    </row>
    <row r="318" spans="2:16">
      <c r="B318" s="254" t="s">
        <v>194</v>
      </c>
      <c r="C318" s="202" t="s">
        <v>157</v>
      </c>
      <c r="D318" s="202" t="s">
        <v>158</v>
      </c>
      <c r="E318" s="203" t="s">
        <v>4</v>
      </c>
      <c r="F318" s="204" t="s">
        <v>159</v>
      </c>
      <c r="G318" s="205" t="s">
        <v>161</v>
      </c>
      <c r="H318" s="202">
        <v>0</v>
      </c>
      <c r="I318" s="202">
        <v>0</v>
      </c>
      <c r="J318" s="202">
        <v>0</v>
      </c>
      <c r="K318" s="202">
        <v>484000</v>
      </c>
      <c r="L318" s="202">
        <v>0.764</v>
      </c>
      <c r="N318" s="202">
        <v>0</v>
      </c>
      <c r="O318" s="202" t="s">
        <v>159</v>
      </c>
      <c r="P318" s="260">
        <v>1</v>
      </c>
    </row>
    <row r="319" spans="2:16">
      <c r="B319" s="254" t="s">
        <v>195</v>
      </c>
      <c r="C319" s="202" t="s">
        <v>157</v>
      </c>
      <c r="D319" s="202" t="s">
        <v>158</v>
      </c>
      <c r="E319" s="203" t="s">
        <v>4</v>
      </c>
      <c r="F319" s="204" t="s">
        <v>159</v>
      </c>
      <c r="G319" s="205" t="s">
        <v>161</v>
      </c>
      <c r="H319" s="202">
        <v>0</v>
      </c>
      <c r="I319" s="202">
        <v>0</v>
      </c>
      <c r="J319" s="202">
        <v>0</v>
      </c>
      <c r="K319" s="202">
        <v>486000</v>
      </c>
      <c r="L319" s="202">
        <v>0.769</v>
      </c>
      <c r="N319" s="202">
        <v>0</v>
      </c>
      <c r="O319" s="202" t="s">
        <v>159</v>
      </c>
      <c r="P319" s="260">
        <v>1</v>
      </c>
    </row>
    <row r="320" spans="2:16">
      <c r="B320" s="254" t="s">
        <v>196</v>
      </c>
      <c r="C320" s="202" t="s">
        <v>157</v>
      </c>
      <c r="D320" s="202" t="s">
        <v>158</v>
      </c>
      <c r="E320" s="203" t="s">
        <v>4</v>
      </c>
      <c r="F320" s="204" t="s">
        <v>159</v>
      </c>
      <c r="G320" s="205" t="s">
        <v>161</v>
      </c>
      <c r="H320" s="202">
        <v>0</v>
      </c>
      <c r="I320" s="202">
        <v>0</v>
      </c>
      <c r="J320" s="202">
        <v>0</v>
      </c>
      <c r="K320" s="202">
        <v>468000</v>
      </c>
      <c r="L320" s="202">
        <v>0.77</v>
      </c>
      <c r="N320" s="202">
        <v>0</v>
      </c>
      <c r="O320" s="202" t="s">
        <v>159</v>
      </c>
      <c r="P320" s="260">
        <v>1</v>
      </c>
    </row>
    <row r="321" spans="2:16">
      <c r="B321" s="254" t="s">
        <v>197</v>
      </c>
      <c r="C321" s="202" t="s">
        <v>157</v>
      </c>
      <c r="D321" s="202" t="s">
        <v>158</v>
      </c>
      <c r="E321" s="203" t="s">
        <v>4</v>
      </c>
      <c r="F321" s="204" t="s">
        <v>159</v>
      </c>
      <c r="G321" s="205" t="s">
        <v>161</v>
      </c>
      <c r="H321" s="202">
        <v>0</v>
      </c>
      <c r="I321" s="202">
        <v>0</v>
      </c>
      <c r="J321" s="202">
        <v>0</v>
      </c>
      <c r="K321" s="202">
        <v>434000</v>
      </c>
      <c r="L321" s="202">
        <v>0.773</v>
      </c>
      <c r="N321" s="202">
        <v>0</v>
      </c>
      <c r="O321" s="202" t="s">
        <v>159</v>
      </c>
      <c r="P321" s="260">
        <v>1</v>
      </c>
    </row>
    <row r="322" spans="2:16">
      <c r="B322" s="254" t="s">
        <v>198</v>
      </c>
      <c r="C322" s="202" t="s">
        <v>157</v>
      </c>
      <c r="D322" s="202" t="s">
        <v>158</v>
      </c>
      <c r="E322" s="203" t="s">
        <v>4</v>
      </c>
      <c r="F322" s="204" t="s">
        <v>159</v>
      </c>
      <c r="G322" s="205">
        <v>4.67</v>
      </c>
      <c r="H322" s="202">
        <v>1030</v>
      </c>
      <c r="I322" s="202">
        <v>0.939</v>
      </c>
      <c r="J322" s="202">
        <v>0.00228</v>
      </c>
      <c r="K322" s="202">
        <v>452000</v>
      </c>
      <c r="L322" s="202">
        <v>0.77</v>
      </c>
      <c r="N322" s="202">
        <v>0</v>
      </c>
      <c r="O322" s="202" t="s">
        <v>159</v>
      </c>
      <c r="P322" s="260">
        <v>1</v>
      </c>
    </row>
    <row r="323" spans="2:16">
      <c r="B323" s="254" t="s">
        <v>199</v>
      </c>
      <c r="C323" s="202" t="s">
        <v>157</v>
      </c>
      <c r="D323" s="202" t="s">
        <v>158</v>
      </c>
      <c r="E323" s="203" t="s">
        <v>4</v>
      </c>
      <c r="F323" s="204" t="s">
        <v>159</v>
      </c>
      <c r="G323" s="205">
        <v>8.1</v>
      </c>
      <c r="H323" s="202">
        <v>1830</v>
      </c>
      <c r="I323" s="202">
        <v>0.936</v>
      </c>
      <c r="J323" s="202">
        <v>0.00404</v>
      </c>
      <c r="K323" s="202">
        <v>454000</v>
      </c>
      <c r="L323" s="202">
        <v>0.772</v>
      </c>
      <c r="N323" s="202">
        <v>0</v>
      </c>
      <c r="O323" s="202" t="s">
        <v>159</v>
      </c>
      <c r="P323" s="260">
        <v>1</v>
      </c>
    </row>
    <row r="324" spans="2:16">
      <c r="B324" s="254" t="s">
        <v>200</v>
      </c>
      <c r="C324" s="202" t="s">
        <v>157</v>
      </c>
      <c r="D324" s="202" t="s">
        <v>158</v>
      </c>
      <c r="E324" s="203" t="s">
        <v>4</v>
      </c>
      <c r="F324" s="204" t="s">
        <v>159</v>
      </c>
      <c r="G324" s="205">
        <v>2.79</v>
      </c>
      <c r="H324" s="202">
        <v>633</v>
      </c>
      <c r="I324" s="202">
        <v>0.947</v>
      </c>
      <c r="J324" s="202">
        <v>0.00132</v>
      </c>
      <c r="K324" s="202">
        <v>479000</v>
      </c>
      <c r="L324" s="202">
        <v>0.771</v>
      </c>
      <c r="N324" s="202">
        <v>0</v>
      </c>
      <c r="O324" s="202" t="s">
        <v>159</v>
      </c>
      <c r="P324" s="260">
        <v>1</v>
      </c>
    </row>
    <row r="325" spans="2:16">
      <c r="B325" s="254" t="s">
        <v>201</v>
      </c>
      <c r="C325" s="202" t="s">
        <v>157</v>
      </c>
      <c r="D325" s="202" t="s">
        <v>158</v>
      </c>
      <c r="E325" s="203" t="s">
        <v>4</v>
      </c>
      <c r="F325" s="204" t="s">
        <v>159</v>
      </c>
      <c r="G325" s="205">
        <v>4.95</v>
      </c>
      <c r="H325" s="202">
        <v>1140</v>
      </c>
      <c r="I325" s="202">
        <v>0.934</v>
      </c>
      <c r="J325" s="202">
        <v>0.00243</v>
      </c>
      <c r="K325" s="202">
        <v>471000</v>
      </c>
      <c r="L325" s="202">
        <v>0.767</v>
      </c>
      <c r="N325" s="202">
        <v>0</v>
      </c>
      <c r="O325" s="202" t="s">
        <v>159</v>
      </c>
      <c r="P325" s="260">
        <v>1</v>
      </c>
    </row>
    <row r="326" spans="2:16">
      <c r="B326" s="254" t="s">
        <v>202</v>
      </c>
      <c r="C326" s="202" t="s">
        <v>157</v>
      </c>
      <c r="D326" s="202" t="s">
        <v>158</v>
      </c>
      <c r="E326" s="203" t="s">
        <v>4</v>
      </c>
      <c r="F326" s="204" t="s">
        <v>159</v>
      </c>
      <c r="G326" s="205">
        <v>11.5</v>
      </c>
      <c r="H326" s="202">
        <v>2610</v>
      </c>
      <c r="I326" s="202">
        <v>0.94</v>
      </c>
      <c r="J326" s="202">
        <v>0.00576</v>
      </c>
      <c r="K326" s="202">
        <v>453000</v>
      </c>
      <c r="L326" s="202">
        <v>0.768</v>
      </c>
      <c r="N326" s="202">
        <v>0</v>
      </c>
      <c r="O326" s="202" t="s">
        <v>159</v>
      </c>
      <c r="P326" s="260">
        <v>1</v>
      </c>
    </row>
    <row r="327" spans="2:16">
      <c r="B327" s="254" t="s">
        <v>203</v>
      </c>
      <c r="C327" s="202" t="s">
        <v>157</v>
      </c>
      <c r="D327" s="202" t="s">
        <v>158</v>
      </c>
      <c r="E327" s="203" t="s">
        <v>4</v>
      </c>
      <c r="F327" s="204" t="s">
        <v>159</v>
      </c>
      <c r="G327" s="205">
        <v>6.99</v>
      </c>
      <c r="H327" s="202">
        <v>1630</v>
      </c>
      <c r="I327" s="202">
        <v>0.933</v>
      </c>
      <c r="J327" s="202">
        <v>0.00347</v>
      </c>
      <c r="K327" s="202">
        <v>470000</v>
      </c>
      <c r="L327" s="202">
        <v>0.768</v>
      </c>
      <c r="N327" s="202">
        <v>0</v>
      </c>
      <c r="O327" s="202" t="s">
        <v>159</v>
      </c>
      <c r="P327" s="260">
        <v>1</v>
      </c>
    </row>
    <row r="328" spans="2:16">
      <c r="B328" s="254" t="s">
        <v>204</v>
      </c>
      <c r="C328" s="202" t="s">
        <v>157</v>
      </c>
      <c r="D328" s="202" t="s">
        <v>158</v>
      </c>
      <c r="E328" s="203" t="s">
        <v>4</v>
      </c>
      <c r="F328" s="204" t="s">
        <v>159</v>
      </c>
      <c r="G328" s="205">
        <v>8.6</v>
      </c>
      <c r="H328" s="202">
        <v>1980</v>
      </c>
      <c r="I328" s="202">
        <v>0.941</v>
      </c>
      <c r="J328" s="202">
        <v>0.00429</v>
      </c>
      <c r="K328" s="202">
        <v>462000</v>
      </c>
      <c r="L328" s="202">
        <v>0.77</v>
      </c>
      <c r="N328" s="202">
        <v>0</v>
      </c>
      <c r="O328" s="202" t="s">
        <v>159</v>
      </c>
      <c r="P328" s="260">
        <v>1</v>
      </c>
    </row>
    <row r="329" spans="2:16">
      <c r="B329" s="254" t="s">
        <v>205</v>
      </c>
      <c r="C329" s="202" t="s">
        <v>157</v>
      </c>
      <c r="D329" s="202" t="s">
        <v>158</v>
      </c>
      <c r="E329" s="203" t="s">
        <v>4</v>
      </c>
      <c r="F329" s="204" t="s">
        <v>159</v>
      </c>
      <c r="G329" s="205">
        <v>8.34</v>
      </c>
      <c r="H329" s="202">
        <v>1850</v>
      </c>
      <c r="I329" s="202">
        <v>0.93</v>
      </c>
      <c r="J329" s="202">
        <v>0.00416</v>
      </c>
      <c r="K329" s="202">
        <v>445000</v>
      </c>
      <c r="L329" s="202">
        <v>0.768</v>
      </c>
      <c r="N329" s="202">
        <v>0</v>
      </c>
      <c r="O329" s="202" t="s">
        <v>159</v>
      </c>
      <c r="P329" s="260">
        <v>1</v>
      </c>
    </row>
    <row r="330" spans="2:16">
      <c r="B330" s="254" t="s">
        <v>175</v>
      </c>
      <c r="C330" s="202" t="s">
        <v>157</v>
      </c>
      <c r="D330" s="202" t="s">
        <v>158</v>
      </c>
      <c r="E330" s="203" t="s">
        <v>4</v>
      </c>
      <c r="F330" s="204" t="s">
        <v>159</v>
      </c>
      <c r="G330" s="205" t="e">
        <v>#DIV/0!</v>
      </c>
      <c r="H330" s="202">
        <v>0</v>
      </c>
      <c r="I330" s="202">
        <v>0</v>
      </c>
      <c r="J330" s="202" t="e">
        <v>#DIV/0!</v>
      </c>
      <c r="K330" s="202">
        <v>0</v>
      </c>
      <c r="L330" s="202">
        <v>0</v>
      </c>
      <c r="N330" s="202">
        <v>0</v>
      </c>
      <c r="O330" s="202" t="s">
        <v>159</v>
      </c>
      <c r="P330" s="260">
        <v>1</v>
      </c>
    </row>
    <row r="331" spans="2:16">
      <c r="B331" s="254" t="s">
        <v>175</v>
      </c>
      <c r="C331" s="202" t="s">
        <v>157</v>
      </c>
      <c r="D331" s="202" t="s">
        <v>158</v>
      </c>
      <c r="E331" s="203" t="s">
        <v>4</v>
      </c>
      <c r="F331" s="204" t="s">
        <v>159</v>
      </c>
      <c r="G331" s="205" t="e">
        <v>#DIV/0!</v>
      </c>
      <c r="H331" s="202">
        <v>0</v>
      </c>
      <c r="I331" s="202">
        <v>0</v>
      </c>
      <c r="J331" s="202" t="e">
        <v>#DIV/0!</v>
      </c>
      <c r="K331" s="202">
        <v>0</v>
      </c>
      <c r="L331" s="202">
        <v>0</v>
      </c>
      <c r="N331" s="202">
        <v>0</v>
      </c>
      <c r="O331" s="202" t="s">
        <v>159</v>
      </c>
      <c r="P331" s="260">
        <v>1</v>
      </c>
    </row>
    <row r="332" spans="2:16">
      <c r="B332" s="254" t="s">
        <v>206</v>
      </c>
      <c r="C332" s="202" t="s">
        <v>172</v>
      </c>
      <c r="D332" s="202" t="s">
        <v>158</v>
      </c>
      <c r="E332" s="203" t="s">
        <v>4</v>
      </c>
      <c r="F332" s="204">
        <v>3</v>
      </c>
      <c r="G332" s="205">
        <v>3.02</v>
      </c>
      <c r="H332" s="202">
        <v>786</v>
      </c>
      <c r="I332" s="202">
        <v>0.937</v>
      </c>
      <c r="J332" s="202">
        <v>0.00144</v>
      </c>
      <c r="K332" s="202">
        <v>545000</v>
      </c>
      <c r="L332" s="202">
        <v>0.765</v>
      </c>
      <c r="M332" s="202">
        <v>1</v>
      </c>
      <c r="N332" s="202">
        <v>0</v>
      </c>
      <c r="O332" s="202">
        <v>100.77</v>
      </c>
      <c r="P332" s="260">
        <v>1</v>
      </c>
    </row>
    <row r="333" spans="2:16">
      <c r="B333" s="254" t="s">
        <v>207</v>
      </c>
      <c r="C333" s="202" t="s">
        <v>172</v>
      </c>
      <c r="D333" s="202" t="s">
        <v>158</v>
      </c>
      <c r="E333" s="203" t="s">
        <v>4</v>
      </c>
      <c r="F333" s="204">
        <v>100</v>
      </c>
      <c r="G333" s="205">
        <v>95.1</v>
      </c>
      <c r="H333" s="202">
        <v>26300</v>
      </c>
      <c r="I333" s="202">
        <v>0.943</v>
      </c>
      <c r="J333" s="202">
        <v>0.0485</v>
      </c>
      <c r="K333" s="202">
        <v>542000</v>
      </c>
      <c r="L333" s="202">
        <v>0.77</v>
      </c>
      <c r="M333" s="202">
        <v>1</v>
      </c>
      <c r="N333" s="202">
        <v>0</v>
      </c>
      <c r="O333" s="202">
        <v>95.06</v>
      </c>
      <c r="P333" s="260">
        <v>1</v>
      </c>
    </row>
    <row r="334" ht="14.75" spans="2:16">
      <c r="B334" s="255" t="s">
        <v>208</v>
      </c>
      <c r="C334" s="256" t="s">
        <v>172</v>
      </c>
      <c r="D334" s="256" t="s">
        <v>158</v>
      </c>
      <c r="E334" s="257" t="s">
        <v>4</v>
      </c>
      <c r="F334" s="258">
        <v>1600</v>
      </c>
      <c r="G334" s="259">
        <v>1450</v>
      </c>
      <c r="H334" s="256">
        <v>395000</v>
      </c>
      <c r="I334" s="256">
        <v>0.942</v>
      </c>
      <c r="J334" s="256">
        <v>0.74</v>
      </c>
      <c r="K334" s="256">
        <v>533000</v>
      </c>
      <c r="L334" s="256">
        <v>0.769</v>
      </c>
      <c r="M334" s="256">
        <v>1</v>
      </c>
      <c r="N334" s="256">
        <v>0</v>
      </c>
      <c r="O334" s="256">
        <v>90.57</v>
      </c>
      <c r="P334" s="262">
        <v>1</v>
      </c>
    </row>
    <row r="335" ht="14.75"/>
    <row r="336" spans="2:16">
      <c r="B336" s="249" t="s">
        <v>125</v>
      </c>
      <c r="C336" s="250"/>
      <c r="D336" s="250"/>
      <c r="E336" s="251"/>
      <c r="F336" s="252"/>
      <c r="G336" s="253"/>
      <c r="H336" s="250"/>
      <c r="I336" s="250"/>
      <c r="J336" s="250"/>
      <c r="K336" s="250"/>
      <c r="L336" s="250"/>
      <c r="M336" s="250"/>
      <c r="N336" s="250"/>
      <c r="O336" s="250"/>
      <c r="P336" s="261"/>
    </row>
    <row r="337" spans="2:16">
      <c r="B337" s="254" t="s">
        <v>126</v>
      </c>
      <c r="P337" s="260"/>
    </row>
    <row r="338" spans="2:16">
      <c r="B338" s="254" t="s">
        <v>127</v>
      </c>
      <c r="P338" s="260"/>
    </row>
    <row r="339" spans="2:16">
      <c r="B339" s="254"/>
      <c r="P339" s="260"/>
    </row>
    <row r="340" spans="2:16">
      <c r="B340" s="254" t="s">
        <v>128</v>
      </c>
      <c r="P340" s="260"/>
    </row>
    <row r="341" spans="2:16">
      <c r="B341" s="254" t="s">
        <v>129</v>
      </c>
      <c r="P341" s="260"/>
    </row>
    <row r="342" spans="2:16">
      <c r="B342" s="254" t="s">
        <v>219</v>
      </c>
      <c r="P342" s="260"/>
    </row>
    <row r="343" spans="2:16">
      <c r="B343" s="254"/>
      <c r="P343" s="260"/>
    </row>
    <row r="344" spans="2:16">
      <c r="B344" s="254" t="s">
        <v>131</v>
      </c>
      <c r="C344" s="202" t="s">
        <v>132</v>
      </c>
      <c r="D344" s="202" t="s">
        <v>133</v>
      </c>
      <c r="E344" s="203" t="s">
        <v>134</v>
      </c>
      <c r="F344" s="204" t="s">
        <v>135</v>
      </c>
      <c r="G344" s="205" t="s">
        <v>136</v>
      </c>
      <c r="P344" s="260"/>
    </row>
    <row r="345" spans="2:16">
      <c r="B345" s="254" t="s">
        <v>137</v>
      </c>
      <c r="C345" s="202">
        <v>5.25e-5</v>
      </c>
      <c r="P345" s="260"/>
    </row>
    <row r="346" spans="2:16">
      <c r="B346" s="254" t="s">
        <v>138</v>
      </c>
      <c r="C346" s="202">
        <v>0.000337</v>
      </c>
      <c r="P346" s="260"/>
    </row>
    <row r="347" spans="2:16">
      <c r="B347" s="254" t="s">
        <v>139</v>
      </c>
      <c r="C347" s="202">
        <v>0.9973</v>
      </c>
      <c r="P347" s="260"/>
    </row>
    <row r="348" spans="2:16">
      <c r="B348" s="254" t="s">
        <v>140</v>
      </c>
      <c r="P348" s="260"/>
    </row>
    <row r="349" spans="2:16">
      <c r="B349" s="254"/>
      <c r="P349" s="260"/>
    </row>
    <row r="350" spans="2:16">
      <c r="B350" s="254"/>
      <c r="P350" s="260"/>
    </row>
    <row r="351" spans="2:16">
      <c r="B351" s="254"/>
      <c r="P351" s="260"/>
    </row>
    <row r="352" spans="2:16">
      <c r="B352" s="254" t="s">
        <v>141</v>
      </c>
      <c r="C352" s="202" t="s">
        <v>142</v>
      </c>
      <c r="D352" s="202" t="s">
        <v>143</v>
      </c>
      <c r="E352" s="203" t="s">
        <v>144</v>
      </c>
      <c r="F352" s="204" t="s">
        <v>145</v>
      </c>
      <c r="G352" s="205" t="s">
        <v>146</v>
      </c>
      <c r="H352" s="202" t="s">
        <v>147</v>
      </c>
      <c r="I352" s="202" t="s">
        <v>148</v>
      </c>
      <c r="J352" s="202" t="s">
        <v>149</v>
      </c>
      <c r="K352" s="202" t="s">
        <v>150</v>
      </c>
      <c r="L352" s="202" t="s">
        <v>151</v>
      </c>
      <c r="M352" s="202" t="s">
        <v>152</v>
      </c>
      <c r="N352" s="202" t="s">
        <v>153</v>
      </c>
      <c r="O352" s="202" t="s">
        <v>154</v>
      </c>
      <c r="P352" s="260" t="s">
        <v>155</v>
      </c>
    </row>
    <row r="353" spans="2:16">
      <c r="B353" s="254" t="s">
        <v>156</v>
      </c>
      <c r="C353" s="202" t="s">
        <v>157</v>
      </c>
      <c r="D353" s="202" t="s">
        <v>158</v>
      </c>
      <c r="E353" s="203" t="s">
        <v>4</v>
      </c>
      <c r="F353" s="204" t="s">
        <v>159</v>
      </c>
      <c r="G353" s="205" t="e">
        <v>#DIV/0!</v>
      </c>
      <c r="H353" s="202">
        <v>0</v>
      </c>
      <c r="I353" s="202">
        <v>0</v>
      </c>
      <c r="J353" s="202" t="e">
        <v>#DIV/0!</v>
      </c>
      <c r="K353" s="202">
        <v>0</v>
      </c>
      <c r="L353" s="202">
        <v>0</v>
      </c>
      <c r="N353" s="202">
        <v>0</v>
      </c>
      <c r="O353" s="202" t="s">
        <v>159</v>
      </c>
      <c r="P353" s="260">
        <v>1</v>
      </c>
    </row>
    <row r="354" spans="2:16">
      <c r="B354" s="254" t="s">
        <v>156</v>
      </c>
      <c r="C354" s="202" t="s">
        <v>157</v>
      </c>
      <c r="D354" s="202" t="s">
        <v>158</v>
      </c>
      <c r="E354" s="203" t="s">
        <v>4</v>
      </c>
      <c r="F354" s="204" t="s">
        <v>159</v>
      </c>
      <c r="G354" s="205" t="e">
        <v>#DIV/0!</v>
      </c>
      <c r="H354" s="202">
        <v>96.8</v>
      </c>
      <c r="I354" s="202">
        <v>0.985</v>
      </c>
      <c r="J354" s="202" t="e">
        <v>#DIV/0!</v>
      </c>
      <c r="K354" s="202">
        <v>0</v>
      </c>
      <c r="L354" s="202">
        <v>0</v>
      </c>
      <c r="N354" s="202">
        <v>0</v>
      </c>
      <c r="O354" s="202" t="s">
        <v>159</v>
      </c>
      <c r="P354" s="260">
        <v>1</v>
      </c>
    </row>
    <row r="355" spans="2:16">
      <c r="B355" s="254" t="s">
        <v>156</v>
      </c>
      <c r="C355" s="202" t="s">
        <v>157</v>
      </c>
      <c r="D355" s="202" t="s">
        <v>158</v>
      </c>
      <c r="E355" s="203" t="s">
        <v>4</v>
      </c>
      <c r="F355" s="204" t="s">
        <v>159</v>
      </c>
      <c r="G355" s="205" t="e">
        <v>#DIV/0!</v>
      </c>
      <c r="H355" s="202">
        <v>0</v>
      </c>
      <c r="I355" s="202">
        <v>0</v>
      </c>
      <c r="J355" s="202" t="e">
        <v>#DIV/0!</v>
      </c>
      <c r="K355" s="202">
        <v>0</v>
      </c>
      <c r="L355" s="202">
        <v>0</v>
      </c>
      <c r="N355" s="202">
        <v>0</v>
      </c>
      <c r="O355" s="202" t="s">
        <v>159</v>
      </c>
      <c r="P355" s="260">
        <v>1</v>
      </c>
    </row>
    <row r="356" spans="2:16">
      <c r="B356" s="254" t="s">
        <v>160</v>
      </c>
      <c r="C356" s="202" t="s">
        <v>157</v>
      </c>
      <c r="D356" s="202" t="s">
        <v>158</v>
      </c>
      <c r="E356" s="203" t="s">
        <v>4</v>
      </c>
      <c r="F356" s="204" t="s">
        <v>159</v>
      </c>
      <c r="G356" s="205" t="s">
        <v>161</v>
      </c>
      <c r="H356" s="202">
        <v>0</v>
      </c>
      <c r="I356" s="202">
        <v>0</v>
      </c>
      <c r="J356" s="202">
        <v>0</v>
      </c>
      <c r="K356" s="202">
        <v>823000</v>
      </c>
      <c r="L356" s="202">
        <v>0.764</v>
      </c>
      <c r="N356" s="202">
        <v>0</v>
      </c>
      <c r="O356" s="202" t="s">
        <v>159</v>
      </c>
      <c r="P356" s="260">
        <v>1</v>
      </c>
    </row>
    <row r="357" spans="2:16">
      <c r="B357" s="254" t="s">
        <v>162</v>
      </c>
      <c r="C357" s="202" t="s">
        <v>163</v>
      </c>
      <c r="D357" s="202" t="s">
        <v>158</v>
      </c>
      <c r="E357" s="203" t="s">
        <v>4</v>
      </c>
      <c r="F357" s="204">
        <v>1</v>
      </c>
      <c r="G357" s="205">
        <v>0.965</v>
      </c>
      <c r="H357" s="202">
        <v>236</v>
      </c>
      <c r="I357" s="202">
        <v>0.93</v>
      </c>
      <c r="J357" s="202">
        <v>0.000377</v>
      </c>
      <c r="K357" s="202">
        <v>625000</v>
      </c>
      <c r="L357" s="202">
        <v>0.765</v>
      </c>
      <c r="M357" s="202">
        <v>1</v>
      </c>
      <c r="N357" s="202">
        <v>0</v>
      </c>
      <c r="O357" s="202">
        <v>96.51</v>
      </c>
      <c r="P357" s="260">
        <v>1</v>
      </c>
    </row>
    <row r="358" spans="2:16">
      <c r="B358" s="254" t="s">
        <v>164</v>
      </c>
      <c r="C358" s="202" t="s">
        <v>163</v>
      </c>
      <c r="D358" s="202" t="s">
        <v>158</v>
      </c>
      <c r="E358" s="203" t="s">
        <v>4</v>
      </c>
      <c r="F358" s="204">
        <v>2</v>
      </c>
      <c r="G358" s="205">
        <v>2.08</v>
      </c>
      <c r="H358" s="202">
        <v>460</v>
      </c>
      <c r="I358" s="202">
        <v>0.936</v>
      </c>
      <c r="J358" s="202">
        <v>0.000754</v>
      </c>
      <c r="K358" s="202">
        <v>610000</v>
      </c>
      <c r="L358" s="202">
        <v>0.766</v>
      </c>
      <c r="M358" s="202">
        <v>1</v>
      </c>
      <c r="N358" s="202">
        <v>0</v>
      </c>
      <c r="O358" s="202">
        <v>104.1</v>
      </c>
      <c r="P358" s="260">
        <v>1</v>
      </c>
    </row>
    <row r="359" spans="2:16">
      <c r="B359" s="254" t="s">
        <v>165</v>
      </c>
      <c r="C359" s="202" t="s">
        <v>163</v>
      </c>
      <c r="D359" s="202" t="s">
        <v>158</v>
      </c>
      <c r="E359" s="203" t="s">
        <v>4</v>
      </c>
      <c r="F359" s="204">
        <v>10</v>
      </c>
      <c r="G359" s="205">
        <v>11.5</v>
      </c>
      <c r="H359" s="202">
        <v>2400</v>
      </c>
      <c r="I359" s="202">
        <v>0.935</v>
      </c>
      <c r="J359" s="202">
        <v>0.00391</v>
      </c>
      <c r="K359" s="202">
        <v>613000</v>
      </c>
      <c r="L359" s="202">
        <v>0.765</v>
      </c>
      <c r="M359" s="202">
        <v>1</v>
      </c>
      <c r="N359" s="202">
        <v>0</v>
      </c>
      <c r="O359" s="202">
        <v>114.63</v>
      </c>
      <c r="P359" s="260">
        <v>1</v>
      </c>
    </row>
    <row r="360" spans="2:16">
      <c r="B360" s="254" t="s">
        <v>166</v>
      </c>
      <c r="C360" s="202" t="s">
        <v>163</v>
      </c>
      <c r="D360" s="202" t="s">
        <v>158</v>
      </c>
      <c r="E360" s="203" t="s">
        <v>4</v>
      </c>
      <c r="F360" s="204">
        <v>50</v>
      </c>
      <c r="G360" s="205">
        <v>50.4</v>
      </c>
      <c r="H360" s="202">
        <v>10300</v>
      </c>
      <c r="I360" s="202">
        <v>0.94</v>
      </c>
      <c r="J360" s="202">
        <v>0.017</v>
      </c>
      <c r="K360" s="202">
        <v>606000</v>
      </c>
      <c r="L360" s="202">
        <v>0.774</v>
      </c>
      <c r="M360" s="202">
        <v>1</v>
      </c>
      <c r="N360" s="202">
        <v>0</v>
      </c>
      <c r="O360" s="202">
        <v>100.75</v>
      </c>
      <c r="P360" s="260">
        <v>1</v>
      </c>
    </row>
    <row r="361" spans="2:16">
      <c r="B361" s="254" t="s">
        <v>167</v>
      </c>
      <c r="C361" s="202" t="s">
        <v>163</v>
      </c>
      <c r="D361" s="202" t="s">
        <v>158</v>
      </c>
      <c r="E361" s="203" t="s">
        <v>4</v>
      </c>
      <c r="F361" s="204">
        <v>200</v>
      </c>
      <c r="G361" s="205">
        <v>190</v>
      </c>
      <c r="H361" s="202">
        <v>39500</v>
      </c>
      <c r="I361" s="202">
        <v>0.935</v>
      </c>
      <c r="J361" s="202">
        <v>0.064</v>
      </c>
      <c r="K361" s="202">
        <v>618000</v>
      </c>
      <c r="L361" s="202">
        <v>0.767</v>
      </c>
      <c r="M361" s="202">
        <v>1</v>
      </c>
      <c r="N361" s="202">
        <v>0</v>
      </c>
      <c r="O361" s="202">
        <v>94.91</v>
      </c>
      <c r="P361" s="260">
        <v>1</v>
      </c>
    </row>
    <row r="362" spans="2:16">
      <c r="B362" s="254" t="s">
        <v>168</v>
      </c>
      <c r="C362" s="202" t="s">
        <v>163</v>
      </c>
      <c r="D362" s="202" t="s">
        <v>158</v>
      </c>
      <c r="E362" s="203" t="s">
        <v>4</v>
      </c>
      <c r="F362" s="204">
        <v>1000</v>
      </c>
      <c r="G362" s="205">
        <v>980</v>
      </c>
      <c r="H362" s="202">
        <v>200000</v>
      </c>
      <c r="I362" s="202">
        <v>0.932</v>
      </c>
      <c r="J362" s="202">
        <v>0.33</v>
      </c>
      <c r="K362" s="202">
        <v>607000</v>
      </c>
      <c r="L362" s="202">
        <v>0.765</v>
      </c>
      <c r="M362" s="202">
        <v>1</v>
      </c>
      <c r="N362" s="202">
        <v>0</v>
      </c>
      <c r="O362" s="202">
        <v>98.02</v>
      </c>
      <c r="P362" s="260">
        <v>1</v>
      </c>
    </row>
    <row r="363" spans="2:16">
      <c r="B363" s="254" t="s">
        <v>169</v>
      </c>
      <c r="C363" s="202" t="s">
        <v>163</v>
      </c>
      <c r="D363" s="202" t="s">
        <v>158</v>
      </c>
      <c r="E363" s="203" t="s">
        <v>4</v>
      </c>
      <c r="F363" s="204">
        <v>1800</v>
      </c>
      <c r="G363" s="205">
        <v>1700</v>
      </c>
      <c r="H363" s="202">
        <v>346000</v>
      </c>
      <c r="I363" s="202">
        <v>0.932</v>
      </c>
      <c r="J363" s="202">
        <v>0.573</v>
      </c>
      <c r="K363" s="202">
        <v>603000</v>
      </c>
      <c r="L363" s="202">
        <v>0.767</v>
      </c>
      <c r="M363" s="202">
        <v>1</v>
      </c>
      <c r="N363" s="202">
        <v>0</v>
      </c>
      <c r="O363" s="202">
        <v>94.58</v>
      </c>
      <c r="P363" s="260">
        <v>1</v>
      </c>
    </row>
    <row r="364" spans="2:16">
      <c r="B364" s="254" t="s">
        <v>170</v>
      </c>
      <c r="C364" s="202" t="s">
        <v>163</v>
      </c>
      <c r="D364" s="202" t="s">
        <v>158</v>
      </c>
      <c r="E364" s="203" t="s">
        <v>4</v>
      </c>
      <c r="F364" s="204">
        <v>2000</v>
      </c>
      <c r="G364" s="205">
        <v>1930</v>
      </c>
      <c r="H364" s="202">
        <v>387000</v>
      </c>
      <c r="I364" s="202">
        <v>0.931</v>
      </c>
      <c r="J364" s="202">
        <v>0.65</v>
      </c>
      <c r="K364" s="202">
        <v>595000</v>
      </c>
      <c r="L364" s="202">
        <v>0.765</v>
      </c>
      <c r="M364" s="202">
        <v>1</v>
      </c>
      <c r="N364" s="202">
        <v>0</v>
      </c>
      <c r="O364" s="202">
        <v>96.5</v>
      </c>
      <c r="P364" s="260">
        <v>1</v>
      </c>
    </row>
    <row r="365" spans="2:16">
      <c r="B365" s="254" t="s">
        <v>156</v>
      </c>
      <c r="C365" s="202" t="s">
        <v>157</v>
      </c>
      <c r="D365" s="202" t="s">
        <v>158</v>
      </c>
      <c r="E365" s="203" t="s">
        <v>4</v>
      </c>
      <c r="F365" s="204" t="s">
        <v>159</v>
      </c>
      <c r="G365" s="205" t="e">
        <v>#DIV/0!</v>
      </c>
      <c r="H365" s="202">
        <v>0</v>
      </c>
      <c r="I365" s="202">
        <v>0</v>
      </c>
      <c r="J365" s="202" t="e">
        <v>#DIV/0!</v>
      </c>
      <c r="K365" s="202">
        <v>0</v>
      </c>
      <c r="L365" s="202">
        <v>0</v>
      </c>
      <c r="N365" s="202">
        <v>0</v>
      </c>
      <c r="O365" s="202" t="s">
        <v>159</v>
      </c>
      <c r="P365" s="260">
        <v>1</v>
      </c>
    </row>
    <row r="366" spans="2:16">
      <c r="B366" s="254" t="s">
        <v>156</v>
      </c>
      <c r="C366" s="202" t="s">
        <v>157</v>
      </c>
      <c r="D366" s="202" t="s">
        <v>158</v>
      </c>
      <c r="E366" s="203" t="s">
        <v>4</v>
      </c>
      <c r="F366" s="204" t="s">
        <v>159</v>
      </c>
      <c r="G366" s="205" t="e">
        <v>#DIV/0!</v>
      </c>
      <c r="H366" s="202">
        <v>0</v>
      </c>
      <c r="I366" s="202">
        <v>0</v>
      </c>
      <c r="J366" s="202" t="e">
        <v>#DIV/0!</v>
      </c>
      <c r="K366" s="202">
        <v>0</v>
      </c>
      <c r="L366" s="202">
        <v>0</v>
      </c>
      <c r="N366" s="202">
        <v>0</v>
      </c>
      <c r="O366" s="202" t="s">
        <v>159</v>
      </c>
      <c r="P366" s="260">
        <v>1</v>
      </c>
    </row>
    <row r="367" spans="2:16">
      <c r="B367" s="254" t="s">
        <v>156</v>
      </c>
      <c r="C367" s="202" t="s">
        <v>157</v>
      </c>
      <c r="D367" s="202" t="s">
        <v>158</v>
      </c>
      <c r="E367" s="203" t="s">
        <v>4</v>
      </c>
      <c r="F367" s="204" t="s">
        <v>159</v>
      </c>
      <c r="G367" s="205" t="e">
        <v>#DIV/0!</v>
      </c>
      <c r="H367" s="202">
        <v>0</v>
      </c>
      <c r="I367" s="202">
        <v>0</v>
      </c>
      <c r="J367" s="202" t="e">
        <v>#DIV/0!</v>
      </c>
      <c r="K367" s="202">
        <v>0</v>
      </c>
      <c r="L367" s="202">
        <v>0</v>
      </c>
      <c r="N367" s="202">
        <v>0</v>
      </c>
      <c r="O367" s="202" t="s">
        <v>159</v>
      </c>
      <c r="P367" s="260">
        <v>1</v>
      </c>
    </row>
    <row r="368" spans="2:16">
      <c r="B368" s="254" t="s">
        <v>171</v>
      </c>
      <c r="C368" s="202" t="s">
        <v>172</v>
      </c>
      <c r="D368" s="202" t="s">
        <v>158</v>
      </c>
      <c r="E368" s="203" t="s">
        <v>4</v>
      </c>
      <c r="F368" s="204">
        <v>3</v>
      </c>
      <c r="G368" s="205">
        <v>1.98</v>
      </c>
      <c r="H368" s="202">
        <v>434</v>
      </c>
      <c r="I368" s="202">
        <v>0.922</v>
      </c>
      <c r="J368" s="202">
        <v>0.00072</v>
      </c>
      <c r="K368" s="202">
        <v>603000</v>
      </c>
      <c r="L368" s="202">
        <v>0.764</v>
      </c>
      <c r="M368" s="202">
        <v>1</v>
      </c>
      <c r="N368" s="202">
        <v>0</v>
      </c>
      <c r="O368" s="202">
        <v>66.05</v>
      </c>
      <c r="P368" s="260">
        <v>1</v>
      </c>
    </row>
    <row r="369" spans="2:16">
      <c r="B369" s="254" t="s">
        <v>173</v>
      </c>
      <c r="C369" s="202" t="s">
        <v>172</v>
      </c>
      <c r="D369" s="202" t="s">
        <v>158</v>
      </c>
      <c r="E369" s="203" t="s">
        <v>4</v>
      </c>
      <c r="F369" s="204">
        <v>100</v>
      </c>
      <c r="G369" s="205">
        <v>96.7</v>
      </c>
      <c r="H369" s="202">
        <v>19200</v>
      </c>
      <c r="I369" s="202">
        <v>0.932</v>
      </c>
      <c r="J369" s="202">
        <v>0.0326</v>
      </c>
      <c r="K369" s="202">
        <v>589000</v>
      </c>
      <c r="L369" s="202">
        <v>0.764</v>
      </c>
      <c r="M369" s="202">
        <v>1</v>
      </c>
      <c r="N369" s="202">
        <v>0</v>
      </c>
      <c r="O369" s="202">
        <v>96.67</v>
      </c>
      <c r="P369" s="260">
        <v>1</v>
      </c>
    </row>
    <row r="370" spans="2:16">
      <c r="B370" s="254" t="s">
        <v>174</v>
      </c>
      <c r="C370" s="202" t="s">
        <v>172</v>
      </c>
      <c r="D370" s="202" t="s">
        <v>158</v>
      </c>
      <c r="E370" s="203" t="s">
        <v>4</v>
      </c>
      <c r="F370" s="204">
        <v>1600</v>
      </c>
      <c r="G370" s="205">
        <v>1420</v>
      </c>
      <c r="H370" s="202">
        <v>286000</v>
      </c>
      <c r="I370" s="202">
        <v>0.938</v>
      </c>
      <c r="J370" s="202">
        <v>0.478</v>
      </c>
      <c r="K370" s="202">
        <v>597000</v>
      </c>
      <c r="L370" s="202">
        <v>0.769</v>
      </c>
      <c r="M370" s="202">
        <v>1</v>
      </c>
      <c r="N370" s="202">
        <v>0</v>
      </c>
      <c r="O370" s="202">
        <v>88.71</v>
      </c>
      <c r="P370" s="260">
        <v>1</v>
      </c>
    </row>
    <row r="371" spans="2:16">
      <c r="B371" s="254" t="s">
        <v>175</v>
      </c>
      <c r="C371" s="202" t="s">
        <v>157</v>
      </c>
      <c r="D371" s="202" t="s">
        <v>158</v>
      </c>
      <c r="E371" s="203" t="s">
        <v>4</v>
      </c>
      <c r="F371" s="204" t="s">
        <v>159</v>
      </c>
      <c r="G371" s="205" t="e">
        <v>#DIV/0!</v>
      </c>
      <c r="H371" s="202">
        <v>0</v>
      </c>
      <c r="I371" s="202">
        <v>0</v>
      </c>
      <c r="J371" s="202" t="e">
        <v>#DIV/0!</v>
      </c>
      <c r="K371" s="202">
        <v>0</v>
      </c>
      <c r="L371" s="202">
        <v>0</v>
      </c>
      <c r="N371" s="202">
        <v>0</v>
      </c>
      <c r="O371" s="202" t="s">
        <v>159</v>
      </c>
      <c r="P371" s="260">
        <v>1</v>
      </c>
    </row>
    <row r="372" spans="2:16">
      <c r="B372" s="254" t="s">
        <v>176</v>
      </c>
      <c r="C372" s="202" t="s">
        <v>172</v>
      </c>
      <c r="D372" s="202" t="s">
        <v>158</v>
      </c>
      <c r="E372" s="203" t="s">
        <v>4</v>
      </c>
      <c r="F372" s="204">
        <v>50</v>
      </c>
      <c r="G372" s="205">
        <v>50.3</v>
      </c>
      <c r="H372" s="202">
        <v>10700</v>
      </c>
      <c r="I372" s="202">
        <v>0.939</v>
      </c>
      <c r="J372" s="202">
        <v>0.017</v>
      </c>
      <c r="K372" s="202">
        <v>633000</v>
      </c>
      <c r="L372" s="202">
        <v>0.773</v>
      </c>
      <c r="M372" s="202">
        <v>1</v>
      </c>
      <c r="N372" s="202">
        <v>0</v>
      </c>
      <c r="O372" s="202">
        <v>100.53</v>
      </c>
      <c r="P372" s="260">
        <v>1</v>
      </c>
    </row>
    <row r="373" spans="2:16">
      <c r="B373" s="254" t="s">
        <v>177</v>
      </c>
      <c r="C373" s="202" t="s">
        <v>172</v>
      </c>
      <c r="D373" s="202" t="s">
        <v>158</v>
      </c>
      <c r="E373" s="203" t="s">
        <v>4</v>
      </c>
      <c r="F373" s="204">
        <v>50</v>
      </c>
      <c r="G373" s="205">
        <v>42</v>
      </c>
      <c r="H373" s="202">
        <v>9280</v>
      </c>
      <c r="I373" s="202">
        <v>0.937</v>
      </c>
      <c r="J373" s="202">
        <v>0.0142</v>
      </c>
      <c r="K373" s="202">
        <v>653000</v>
      </c>
      <c r="L373" s="202">
        <v>0.766</v>
      </c>
      <c r="M373" s="202">
        <v>1</v>
      </c>
      <c r="N373" s="202">
        <v>0</v>
      </c>
      <c r="O373" s="202">
        <v>84.04</v>
      </c>
      <c r="P373" s="260">
        <v>1</v>
      </c>
    </row>
    <row r="374" spans="2:16">
      <c r="B374" s="254" t="s">
        <v>178</v>
      </c>
      <c r="C374" s="202" t="s">
        <v>172</v>
      </c>
      <c r="D374" s="202" t="s">
        <v>158</v>
      </c>
      <c r="E374" s="203" t="s">
        <v>4</v>
      </c>
      <c r="F374" s="204">
        <v>50</v>
      </c>
      <c r="G374" s="205">
        <v>49.3</v>
      </c>
      <c r="H374" s="202">
        <v>10200</v>
      </c>
      <c r="I374" s="202">
        <v>0.93</v>
      </c>
      <c r="J374" s="202">
        <v>0.0167</v>
      </c>
      <c r="K374" s="202">
        <v>612000</v>
      </c>
      <c r="L374" s="202">
        <v>0.764</v>
      </c>
      <c r="M374" s="202">
        <v>1</v>
      </c>
      <c r="N374" s="202">
        <v>0</v>
      </c>
      <c r="O374" s="202">
        <v>98.7</v>
      </c>
      <c r="P374" s="260">
        <v>1</v>
      </c>
    </row>
    <row r="375" spans="2:16">
      <c r="B375" s="254" t="s">
        <v>175</v>
      </c>
      <c r="C375" s="202" t="s">
        <v>157</v>
      </c>
      <c r="D375" s="202" t="s">
        <v>158</v>
      </c>
      <c r="E375" s="203" t="s">
        <v>4</v>
      </c>
      <c r="F375" s="204" t="s">
        <v>159</v>
      </c>
      <c r="G375" s="205" t="e">
        <v>#DIV/0!</v>
      </c>
      <c r="H375" s="202">
        <v>0</v>
      </c>
      <c r="I375" s="202">
        <v>0</v>
      </c>
      <c r="J375" s="202" t="e">
        <v>#DIV/0!</v>
      </c>
      <c r="K375" s="202">
        <v>0</v>
      </c>
      <c r="L375" s="202">
        <v>0</v>
      </c>
      <c r="N375" s="202">
        <v>0</v>
      </c>
      <c r="O375" s="202" t="s">
        <v>159</v>
      </c>
      <c r="P375" s="260">
        <v>1</v>
      </c>
    </row>
    <row r="376" spans="2:16">
      <c r="B376" s="254" t="s">
        <v>179</v>
      </c>
      <c r="C376" s="202" t="s">
        <v>157</v>
      </c>
      <c r="D376" s="202" t="s">
        <v>158</v>
      </c>
      <c r="E376" s="203" t="s">
        <v>4</v>
      </c>
      <c r="F376" s="204" t="s">
        <v>159</v>
      </c>
      <c r="G376" s="205" t="s">
        <v>161</v>
      </c>
      <c r="H376" s="202">
        <v>0</v>
      </c>
      <c r="I376" s="202">
        <v>0</v>
      </c>
      <c r="J376" s="202">
        <v>0</v>
      </c>
      <c r="K376" s="202">
        <v>606000</v>
      </c>
      <c r="L376" s="202">
        <v>0.771</v>
      </c>
      <c r="N376" s="202">
        <v>0</v>
      </c>
      <c r="O376" s="202" t="s">
        <v>159</v>
      </c>
      <c r="P376" s="260">
        <v>1</v>
      </c>
    </row>
    <row r="377" spans="2:16">
      <c r="B377" s="254" t="s">
        <v>180</v>
      </c>
      <c r="C377" s="202" t="s">
        <v>157</v>
      </c>
      <c r="D377" s="202" t="s">
        <v>158</v>
      </c>
      <c r="E377" s="203" t="s">
        <v>4</v>
      </c>
      <c r="F377" s="204" t="s">
        <v>159</v>
      </c>
      <c r="G377" s="205">
        <v>0.569</v>
      </c>
      <c r="H377" s="202">
        <v>145</v>
      </c>
      <c r="I377" s="202">
        <v>0.923</v>
      </c>
      <c r="J377" s="202">
        <v>0.000244</v>
      </c>
      <c r="K377" s="202">
        <v>595000</v>
      </c>
      <c r="L377" s="202">
        <v>0.767</v>
      </c>
      <c r="N377" s="202">
        <v>0</v>
      </c>
      <c r="O377" s="202" t="s">
        <v>159</v>
      </c>
      <c r="P377" s="260">
        <v>1</v>
      </c>
    </row>
    <row r="378" spans="2:16">
      <c r="B378" s="254" t="s">
        <v>181</v>
      </c>
      <c r="C378" s="202" t="s">
        <v>157</v>
      </c>
      <c r="D378" s="202" t="s">
        <v>158</v>
      </c>
      <c r="E378" s="203" t="s">
        <v>4</v>
      </c>
      <c r="F378" s="204" t="s">
        <v>159</v>
      </c>
      <c r="G378" s="205" t="s">
        <v>161</v>
      </c>
      <c r="H378" s="202">
        <v>0</v>
      </c>
      <c r="I378" s="202">
        <v>0</v>
      </c>
      <c r="J378" s="202">
        <v>0</v>
      </c>
      <c r="K378" s="202">
        <v>567000</v>
      </c>
      <c r="L378" s="202">
        <v>0.765</v>
      </c>
      <c r="N378" s="202">
        <v>0</v>
      </c>
      <c r="O378" s="202" t="s">
        <v>159</v>
      </c>
      <c r="P378" s="260">
        <v>1</v>
      </c>
    </row>
    <row r="379" spans="2:16">
      <c r="B379" s="254" t="s">
        <v>182</v>
      </c>
      <c r="C379" s="202" t="s">
        <v>157</v>
      </c>
      <c r="D379" s="202" t="s">
        <v>158</v>
      </c>
      <c r="E379" s="203" t="s">
        <v>4</v>
      </c>
      <c r="F379" s="204" t="s">
        <v>159</v>
      </c>
      <c r="G379" s="205" t="s">
        <v>161</v>
      </c>
      <c r="H379" s="202">
        <v>0</v>
      </c>
      <c r="I379" s="202">
        <v>0</v>
      </c>
      <c r="J379" s="202">
        <v>0</v>
      </c>
      <c r="K379" s="202">
        <v>460000</v>
      </c>
      <c r="L379" s="202">
        <v>0.773</v>
      </c>
      <c r="N379" s="202">
        <v>0</v>
      </c>
      <c r="O379" s="202" t="s">
        <v>159</v>
      </c>
      <c r="P379" s="260">
        <v>1</v>
      </c>
    </row>
    <row r="380" spans="2:16">
      <c r="B380" s="254" t="s">
        <v>183</v>
      </c>
      <c r="C380" s="202" t="s">
        <v>157</v>
      </c>
      <c r="D380" s="202" t="s">
        <v>158</v>
      </c>
      <c r="E380" s="203" t="s">
        <v>4</v>
      </c>
      <c r="F380" s="204" t="s">
        <v>159</v>
      </c>
      <c r="G380" s="205">
        <v>0.421</v>
      </c>
      <c r="H380" s="202">
        <v>109</v>
      </c>
      <c r="I380" s="202">
        <v>1.08</v>
      </c>
      <c r="J380" s="202">
        <v>0.000194</v>
      </c>
      <c r="K380" s="202">
        <v>561000</v>
      </c>
      <c r="L380" s="202">
        <v>0.766</v>
      </c>
      <c r="N380" s="202">
        <v>0</v>
      </c>
      <c r="O380" s="202" t="s">
        <v>159</v>
      </c>
      <c r="P380" s="260">
        <v>1</v>
      </c>
    </row>
    <row r="381" spans="2:16">
      <c r="B381" s="254" t="s">
        <v>184</v>
      </c>
      <c r="C381" s="202" t="s">
        <v>157</v>
      </c>
      <c r="D381" s="202" t="s">
        <v>158</v>
      </c>
      <c r="E381" s="203" t="s">
        <v>4</v>
      </c>
      <c r="F381" s="204" t="s">
        <v>159</v>
      </c>
      <c r="G381" s="205" t="s">
        <v>161</v>
      </c>
      <c r="H381" s="202">
        <v>0</v>
      </c>
      <c r="I381" s="202">
        <v>0</v>
      </c>
      <c r="J381" s="202">
        <v>0</v>
      </c>
      <c r="K381" s="202">
        <v>537000</v>
      </c>
      <c r="L381" s="202">
        <v>0.765</v>
      </c>
      <c r="N381" s="202">
        <v>0</v>
      </c>
      <c r="O381" s="202" t="s">
        <v>159</v>
      </c>
      <c r="P381" s="260">
        <v>1</v>
      </c>
    </row>
    <row r="382" spans="2:16">
      <c r="B382" s="254" t="s">
        <v>185</v>
      </c>
      <c r="C382" s="202" t="s">
        <v>157</v>
      </c>
      <c r="D382" s="202" t="s">
        <v>158</v>
      </c>
      <c r="E382" s="203" t="s">
        <v>4</v>
      </c>
      <c r="F382" s="204" t="s">
        <v>159</v>
      </c>
      <c r="G382" s="205" t="s">
        <v>161</v>
      </c>
      <c r="H382" s="202">
        <v>0</v>
      </c>
      <c r="I382" s="202">
        <v>0</v>
      </c>
      <c r="J382" s="202">
        <v>0</v>
      </c>
      <c r="K382" s="202">
        <v>498000</v>
      </c>
      <c r="L382" s="202">
        <v>0.769</v>
      </c>
      <c r="N382" s="202">
        <v>0</v>
      </c>
      <c r="O382" s="202" t="s">
        <v>159</v>
      </c>
      <c r="P382" s="260">
        <v>1</v>
      </c>
    </row>
    <row r="383" spans="2:16">
      <c r="B383" s="254" t="s">
        <v>186</v>
      </c>
      <c r="C383" s="202" t="s">
        <v>157</v>
      </c>
      <c r="D383" s="202" t="s">
        <v>158</v>
      </c>
      <c r="E383" s="203" t="s">
        <v>4</v>
      </c>
      <c r="F383" s="204" t="s">
        <v>159</v>
      </c>
      <c r="G383" s="205" t="s">
        <v>161</v>
      </c>
      <c r="H383" s="202">
        <v>0</v>
      </c>
      <c r="I383" s="202">
        <v>0</v>
      </c>
      <c r="J383" s="202">
        <v>0</v>
      </c>
      <c r="K383" s="202">
        <v>529000</v>
      </c>
      <c r="L383" s="202">
        <v>0.766</v>
      </c>
      <c r="N383" s="202">
        <v>0</v>
      </c>
      <c r="O383" s="202" t="s">
        <v>159</v>
      </c>
      <c r="P383" s="260">
        <v>1</v>
      </c>
    </row>
    <row r="384" spans="2:16">
      <c r="B384" s="254" t="s">
        <v>187</v>
      </c>
      <c r="C384" s="202" t="s">
        <v>157</v>
      </c>
      <c r="D384" s="202" t="s">
        <v>158</v>
      </c>
      <c r="E384" s="203" t="s">
        <v>4</v>
      </c>
      <c r="F384" s="204" t="s">
        <v>159</v>
      </c>
      <c r="G384" s="205" t="s">
        <v>161</v>
      </c>
      <c r="H384" s="202">
        <v>0</v>
      </c>
      <c r="I384" s="202">
        <v>0</v>
      </c>
      <c r="J384" s="202">
        <v>0</v>
      </c>
      <c r="K384" s="202">
        <v>495000</v>
      </c>
      <c r="L384" s="202">
        <v>0.771</v>
      </c>
      <c r="N384" s="202">
        <v>0</v>
      </c>
      <c r="O384" s="202" t="s">
        <v>159</v>
      </c>
      <c r="P384" s="260">
        <v>1</v>
      </c>
    </row>
    <row r="385" spans="2:16">
      <c r="B385" s="254" t="s">
        <v>188</v>
      </c>
      <c r="C385" s="202" t="s">
        <v>157</v>
      </c>
      <c r="D385" s="202" t="s">
        <v>158</v>
      </c>
      <c r="E385" s="203" t="s">
        <v>4</v>
      </c>
      <c r="F385" s="204" t="s">
        <v>159</v>
      </c>
      <c r="G385" s="205" t="s">
        <v>161</v>
      </c>
      <c r="H385" s="202">
        <v>0</v>
      </c>
      <c r="I385" s="202">
        <v>0</v>
      </c>
      <c r="J385" s="202">
        <v>0</v>
      </c>
      <c r="K385" s="202">
        <v>454000</v>
      </c>
      <c r="L385" s="202">
        <v>0.765</v>
      </c>
      <c r="N385" s="202">
        <v>0</v>
      </c>
      <c r="O385" s="202" t="s">
        <v>159</v>
      </c>
      <c r="P385" s="260">
        <v>1</v>
      </c>
    </row>
    <row r="386" spans="2:16">
      <c r="B386" s="254" t="s">
        <v>189</v>
      </c>
      <c r="C386" s="202" t="s">
        <v>157</v>
      </c>
      <c r="D386" s="202" t="s">
        <v>158</v>
      </c>
      <c r="E386" s="203" t="s">
        <v>4</v>
      </c>
      <c r="F386" s="204" t="s">
        <v>159</v>
      </c>
      <c r="G386" s="205">
        <v>0.39</v>
      </c>
      <c r="H386" s="202">
        <v>90.8</v>
      </c>
      <c r="I386" s="202">
        <v>0.817</v>
      </c>
      <c r="J386" s="202">
        <v>0.000184</v>
      </c>
      <c r="K386" s="202">
        <v>494000</v>
      </c>
      <c r="L386" s="202">
        <v>0.769</v>
      </c>
      <c r="N386" s="202">
        <v>0</v>
      </c>
      <c r="O386" s="202" t="s">
        <v>159</v>
      </c>
      <c r="P386" s="260">
        <v>1</v>
      </c>
    </row>
    <row r="387" spans="2:16">
      <c r="B387" s="254" t="s">
        <v>190</v>
      </c>
      <c r="C387" s="202" t="s">
        <v>157</v>
      </c>
      <c r="D387" s="202" t="s">
        <v>158</v>
      </c>
      <c r="E387" s="203" t="s">
        <v>4</v>
      </c>
      <c r="F387" s="204" t="s">
        <v>159</v>
      </c>
      <c r="G387" s="205" t="s">
        <v>161</v>
      </c>
      <c r="H387" s="202">
        <v>0</v>
      </c>
      <c r="I387" s="202">
        <v>0</v>
      </c>
      <c r="J387" s="202">
        <v>0</v>
      </c>
      <c r="K387" s="202">
        <v>470000</v>
      </c>
      <c r="L387" s="202">
        <v>0.767</v>
      </c>
      <c r="N387" s="202">
        <v>0</v>
      </c>
      <c r="O387" s="202" t="s">
        <v>159</v>
      </c>
      <c r="P387" s="260">
        <v>1</v>
      </c>
    </row>
    <row r="388" spans="2:16">
      <c r="B388" s="254" t="s">
        <v>191</v>
      </c>
      <c r="C388" s="202" t="s">
        <v>157</v>
      </c>
      <c r="D388" s="202" t="s">
        <v>158</v>
      </c>
      <c r="E388" s="203" t="s">
        <v>4</v>
      </c>
      <c r="F388" s="204" t="s">
        <v>159</v>
      </c>
      <c r="G388" s="205" t="s">
        <v>161</v>
      </c>
      <c r="H388" s="202">
        <v>0</v>
      </c>
      <c r="I388" s="202">
        <v>0</v>
      </c>
      <c r="J388" s="202">
        <v>0</v>
      </c>
      <c r="K388" s="202">
        <v>502000</v>
      </c>
      <c r="L388" s="202">
        <v>0.765</v>
      </c>
      <c r="N388" s="202">
        <v>0</v>
      </c>
      <c r="O388" s="202" t="s">
        <v>159</v>
      </c>
      <c r="P388" s="260">
        <v>1</v>
      </c>
    </row>
    <row r="389" spans="2:16">
      <c r="B389" s="254" t="s">
        <v>192</v>
      </c>
      <c r="C389" s="202" t="s">
        <v>157</v>
      </c>
      <c r="D389" s="202" t="s">
        <v>158</v>
      </c>
      <c r="E389" s="203" t="s">
        <v>4</v>
      </c>
      <c r="F389" s="204" t="s">
        <v>159</v>
      </c>
      <c r="G389" s="205">
        <v>2.17</v>
      </c>
      <c r="H389" s="202">
        <v>375</v>
      </c>
      <c r="I389" s="202">
        <v>0.941</v>
      </c>
      <c r="J389" s="202">
        <v>0.000783</v>
      </c>
      <c r="K389" s="202">
        <v>479000</v>
      </c>
      <c r="L389" s="202">
        <v>0.767</v>
      </c>
      <c r="N389" s="202">
        <v>0</v>
      </c>
      <c r="O389" s="202" t="s">
        <v>159</v>
      </c>
      <c r="P389" s="260">
        <v>1</v>
      </c>
    </row>
    <row r="390" spans="2:16">
      <c r="B390" s="254" t="s">
        <v>193</v>
      </c>
      <c r="C390" s="202" t="s">
        <v>157</v>
      </c>
      <c r="D390" s="202" t="s">
        <v>158</v>
      </c>
      <c r="E390" s="203" t="s">
        <v>4</v>
      </c>
      <c r="F390" s="204" t="s">
        <v>159</v>
      </c>
      <c r="G390" s="205" t="s">
        <v>161</v>
      </c>
      <c r="H390" s="202">
        <v>0</v>
      </c>
      <c r="I390" s="202">
        <v>0</v>
      </c>
      <c r="J390" s="202">
        <v>0</v>
      </c>
      <c r="K390" s="202">
        <v>445000</v>
      </c>
      <c r="L390" s="202">
        <v>0.768</v>
      </c>
      <c r="N390" s="202">
        <v>0</v>
      </c>
      <c r="O390" s="202" t="s">
        <v>159</v>
      </c>
      <c r="P390" s="260">
        <v>1</v>
      </c>
    </row>
    <row r="391" spans="2:16">
      <c r="B391" s="254" t="s">
        <v>194</v>
      </c>
      <c r="C391" s="202" t="s">
        <v>157</v>
      </c>
      <c r="D391" s="202" t="s">
        <v>158</v>
      </c>
      <c r="E391" s="203" t="s">
        <v>4</v>
      </c>
      <c r="F391" s="204" t="s">
        <v>159</v>
      </c>
      <c r="G391" s="205">
        <v>2.08</v>
      </c>
      <c r="H391" s="202">
        <v>365</v>
      </c>
      <c r="I391" s="202">
        <v>0.954</v>
      </c>
      <c r="J391" s="202">
        <v>0.000753</v>
      </c>
      <c r="K391" s="202">
        <v>484000</v>
      </c>
      <c r="L391" s="202">
        <v>0.764</v>
      </c>
      <c r="N391" s="202">
        <v>0</v>
      </c>
      <c r="O391" s="202" t="s">
        <v>159</v>
      </c>
      <c r="P391" s="260">
        <v>1</v>
      </c>
    </row>
    <row r="392" spans="2:16">
      <c r="B392" s="254" t="s">
        <v>195</v>
      </c>
      <c r="C392" s="202" t="s">
        <v>157</v>
      </c>
      <c r="D392" s="202" t="s">
        <v>158</v>
      </c>
      <c r="E392" s="203" t="s">
        <v>4</v>
      </c>
      <c r="F392" s="204" t="s">
        <v>159</v>
      </c>
      <c r="G392" s="205">
        <v>3.07</v>
      </c>
      <c r="H392" s="202">
        <v>528</v>
      </c>
      <c r="I392" s="202">
        <v>0.936</v>
      </c>
      <c r="J392" s="202">
        <v>0.00109</v>
      </c>
      <c r="K392" s="202">
        <v>486000</v>
      </c>
      <c r="L392" s="202">
        <v>0.769</v>
      </c>
      <c r="N392" s="202">
        <v>0</v>
      </c>
      <c r="O392" s="202" t="s">
        <v>159</v>
      </c>
      <c r="P392" s="260">
        <v>1</v>
      </c>
    </row>
    <row r="393" spans="2:16">
      <c r="B393" s="254" t="s">
        <v>196</v>
      </c>
      <c r="C393" s="202" t="s">
        <v>157</v>
      </c>
      <c r="D393" s="202" t="s">
        <v>158</v>
      </c>
      <c r="E393" s="203" t="s">
        <v>4</v>
      </c>
      <c r="F393" s="204" t="s">
        <v>159</v>
      </c>
      <c r="G393" s="205">
        <v>0.766</v>
      </c>
      <c r="H393" s="202">
        <v>145</v>
      </c>
      <c r="I393" s="202">
        <v>1.06</v>
      </c>
      <c r="J393" s="202">
        <v>0.00031</v>
      </c>
      <c r="K393" s="202">
        <v>468000</v>
      </c>
      <c r="L393" s="202">
        <v>0.77</v>
      </c>
      <c r="N393" s="202">
        <v>0</v>
      </c>
      <c r="O393" s="202" t="s">
        <v>159</v>
      </c>
      <c r="P393" s="260">
        <v>1</v>
      </c>
    </row>
    <row r="394" spans="2:16">
      <c r="B394" s="254" t="s">
        <v>197</v>
      </c>
      <c r="C394" s="202" t="s">
        <v>157</v>
      </c>
      <c r="D394" s="202" t="s">
        <v>158</v>
      </c>
      <c r="E394" s="203" t="s">
        <v>4</v>
      </c>
      <c r="F394" s="204" t="s">
        <v>159</v>
      </c>
      <c r="G394" s="205">
        <v>8.63</v>
      </c>
      <c r="H394" s="202">
        <v>1280</v>
      </c>
      <c r="I394" s="202">
        <v>0.936</v>
      </c>
      <c r="J394" s="202">
        <v>0.00296</v>
      </c>
      <c r="K394" s="202">
        <v>434000</v>
      </c>
      <c r="L394" s="202">
        <v>0.773</v>
      </c>
      <c r="N394" s="202">
        <v>0</v>
      </c>
      <c r="O394" s="202" t="s">
        <v>159</v>
      </c>
      <c r="P394" s="260">
        <v>1</v>
      </c>
    </row>
    <row r="395" spans="2:16">
      <c r="B395" s="254" t="s">
        <v>198</v>
      </c>
      <c r="C395" s="202" t="s">
        <v>157</v>
      </c>
      <c r="D395" s="202" t="s">
        <v>158</v>
      </c>
      <c r="E395" s="203" t="s">
        <v>4</v>
      </c>
      <c r="F395" s="204" t="s">
        <v>159</v>
      </c>
      <c r="G395" s="205">
        <v>22.2</v>
      </c>
      <c r="H395" s="202">
        <v>3400</v>
      </c>
      <c r="I395" s="202">
        <v>0.932</v>
      </c>
      <c r="J395" s="202">
        <v>0.00752</v>
      </c>
      <c r="K395" s="202">
        <v>452000</v>
      </c>
      <c r="L395" s="202">
        <v>0.77</v>
      </c>
      <c r="N395" s="202">
        <v>0</v>
      </c>
      <c r="O395" s="202" t="s">
        <v>159</v>
      </c>
      <c r="P395" s="260">
        <v>1</v>
      </c>
    </row>
    <row r="396" spans="2:16">
      <c r="B396" s="254" t="s">
        <v>199</v>
      </c>
      <c r="C396" s="202" t="s">
        <v>157</v>
      </c>
      <c r="D396" s="202" t="s">
        <v>158</v>
      </c>
      <c r="E396" s="203" t="s">
        <v>4</v>
      </c>
      <c r="F396" s="204" t="s">
        <v>159</v>
      </c>
      <c r="G396" s="205">
        <v>14.2</v>
      </c>
      <c r="H396" s="202">
        <v>2190</v>
      </c>
      <c r="I396" s="202">
        <v>0.933</v>
      </c>
      <c r="J396" s="202">
        <v>0.00483</v>
      </c>
      <c r="K396" s="202">
        <v>454000</v>
      </c>
      <c r="L396" s="202">
        <v>0.772</v>
      </c>
      <c r="N396" s="202">
        <v>0</v>
      </c>
      <c r="O396" s="202" t="s">
        <v>159</v>
      </c>
      <c r="P396" s="260">
        <v>1</v>
      </c>
    </row>
    <row r="397" spans="2:16">
      <c r="B397" s="254" t="s">
        <v>200</v>
      </c>
      <c r="C397" s="202" t="s">
        <v>157</v>
      </c>
      <c r="D397" s="202" t="s">
        <v>158</v>
      </c>
      <c r="E397" s="203" t="s">
        <v>4</v>
      </c>
      <c r="F397" s="204" t="s">
        <v>159</v>
      </c>
      <c r="G397" s="205">
        <v>24.5</v>
      </c>
      <c r="H397" s="202">
        <v>3970</v>
      </c>
      <c r="I397" s="202">
        <v>0.932</v>
      </c>
      <c r="J397" s="202">
        <v>0.00829</v>
      </c>
      <c r="K397" s="202">
        <v>479000</v>
      </c>
      <c r="L397" s="202">
        <v>0.771</v>
      </c>
      <c r="N397" s="202">
        <v>0</v>
      </c>
      <c r="O397" s="202" t="s">
        <v>159</v>
      </c>
      <c r="P397" s="260">
        <v>1</v>
      </c>
    </row>
    <row r="398" spans="2:16">
      <c r="B398" s="254" t="s">
        <v>201</v>
      </c>
      <c r="C398" s="202" t="s">
        <v>157</v>
      </c>
      <c r="D398" s="202" t="s">
        <v>158</v>
      </c>
      <c r="E398" s="203" t="s">
        <v>4</v>
      </c>
      <c r="F398" s="204" t="s">
        <v>159</v>
      </c>
      <c r="G398" s="205">
        <v>39</v>
      </c>
      <c r="H398" s="202">
        <v>6220</v>
      </c>
      <c r="I398" s="202">
        <v>0.929</v>
      </c>
      <c r="J398" s="202">
        <v>0.0132</v>
      </c>
      <c r="K398" s="202">
        <v>471000</v>
      </c>
      <c r="L398" s="202">
        <v>0.767</v>
      </c>
      <c r="N398" s="202">
        <v>0</v>
      </c>
      <c r="O398" s="202" t="s">
        <v>159</v>
      </c>
      <c r="P398" s="260">
        <v>1</v>
      </c>
    </row>
    <row r="399" spans="2:16">
      <c r="B399" s="254" t="s">
        <v>202</v>
      </c>
      <c r="C399" s="202" t="s">
        <v>157</v>
      </c>
      <c r="D399" s="202" t="s">
        <v>158</v>
      </c>
      <c r="E399" s="203" t="s">
        <v>4</v>
      </c>
      <c r="F399" s="204" t="s">
        <v>159</v>
      </c>
      <c r="G399" s="205">
        <v>45.4</v>
      </c>
      <c r="H399" s="202">
        <v>6960</v>
      </c>
      <c r="I399" s="202">
        <v>0.931</v>
      </c>
      <c r="J399" s="202">
        <v>0.0154</v>
      </c>
      <c r="K399" s="202">
        <v>453000</v>
      </c>
      <c r="L399" s="202">
        <v>0.768</v>
      </c>
      <c r="N399" s="202">
        <v>0</v>
      </c>
      <c r="O399" s="202" t="s">
        <v>159</v>
      </c>
      <c r="P399" s="260">
        <v>1</v>
      </c>
    </row>
    <row r="400" spans="2:16">
      <c r="B400" s="254" t="s">
        <v>203</v>
      </c>
      <c r="C400" s="202" t="s">
        <v>157</v>
      </c>
      <c r="D400" s="202" t="s">
        <v>158</v>
      </c>
      <c r="E400" s="203" t="s">
        <v>4</v>
      </c>
      <c r="F400" s="204" t="s">
        <v>159</v>
      </c>
      <c r="G400" s="205">
        <v>39</v>
      </c>
      <c r="H400" s="202">
        <v>6200</v>
      </c>
      <c r="I400" s="202">
        <v>0.929</v>
      </c>
      <c r="J400" s="202">
        <v>0.0132</v>
      </c>
      <c r="K400" s="202">
        <v>470000</v>
      </c>
      <c r="L400" s="202">
        <v>0.768</v>
      </c>
      <c r="N400" s="202">
        <v>0</v>
      </c>
      <c r="O400" s="202" t="s">
        <v>159</v>
      </c>
      <c r="P400" s="260">
        <v>1</v>
      </c>
    </row>
    <row r="401" spans="2:16">
      <c r="B401" s="254" t="s">
        <v>204</v>
      </c>
      <c r="C401" s="202" t="s">
        <v>157</v>
      </c>
      <c r="D401" s="202" t="s">
        <v>158</v>
      </c>
      <c r="E401" s="203" t="s">
        <v>4</v>
      </c>
      <c r="F401" s="204" t="s">
        <v>159</v>
      </c>
      <c r="G401" s="205">
        <v>56.6</v>
      </c>
      <c r="H401" s="202">
        <v>8830</v>
      </c>
      <c r="I401" s="202">
        <v>0.935</v>
      </c>
      <c r="J401" s="202">
        <v>0.0191</v>
      </c>
      <c r="K401" s="202">
        <v>462000</v>
      </c>
      <c r="L401" s="202">
        <v>0.77</v>
      </c>
      <c r="N401" s="202">
        <v>0</v>
      </c>
      <c r="O401" s="202" t="s">
        <v>159</v>
      </c>
      <c r="P401" s="260">
        <v>1</v>
      </c>
    </row>
    <row r="402" spans="2:16">
      <c r="B402" s="254" t="s">
        <v>205</v>
      </c>
      <c r="C402" s="202" t="s">
        <v>157</v>
      </c>
      <c r="D402" s="202" t="s">
        <v>158</v>
      </c>
      <c r="E402" s="203" t="s">
        <v>4</v>
      </c>
      <c r="F402" s="204" t="s">
        <v>159</v>
      </c>
      <c r="G402" s="205">
        <v>51.3</v>
      </c>
      <c r="H402" s="202">
        <v>7710</v>
      </c>
      <c r="I402" s="202">
        <v>0.929</v>
      </c>
      <c r="J402" s="202">
        <v>0.0173</v>
      </c>
      <c r="K402" s="202">
        <v>445000</v>
      </c>
      <c r="L402" s="202">
        <v>0.768</v>
      </c>
      <c r="N402" s="202">
        <v>0</v>
      </c>
      <c r="O402" s="202" t="s">
        <v>159</v>
      </c>
      <c r="P402" s="260">
        <v>1</v>
      </c>
    </row>
    <row r="403" spans="2:16">
      <c r="B403" s="254" t="s">
        <v>175</v>
      </c>
      <c r="C403" s="202" t="s">
        <v>157</v>
      </c>
      <c r="D403" s="202" t="s">
        <v>158</v>
      </c>
      <c r="E403" s="203" t="s">
        <v>4</v>
      </c>
      <c r="F403" s="204" t="s">
        <v>159</v>
      </c>
      <c r="G403" s="205" t="e">
        <v>#DIV/0!</v>
      </c>
      <c r="H403" s="202">
        <v>0</v>
      </c>
      <c r="I403" s="202">
        <v>0</v>
      </c>
      <c r="J403" s="202" t="e">
        <v>#DIV/0!</v>
      </c>
      <c r="K403" s="202">
        <v>0</v>
      </c>
      <c r="L403" s="202">
        <v>0</v>
      </c>
      <c r="N403" s="202">
        <v>0</v>
      </c>
      <c r="O403" s="202" t="s">
        <v>159</v>
      </c>
      <c r="P403" s="260">
        <v>1</v>
      </c>
    </row>
    <row r="404" spans="2:16">
      <c r="B404" s="254" t="s">
        <v>175</v>
      </c>
      <c r="C404" s="202" t="s">
        <v>157</v>
      </c>
      <c r="D404" s="202" t="s">
        <v>158</v>
      </c>
      <c r="E404" s="203" t="s">
        <v>4</v>
      </c>
      <c r="F404" s="204" t="s">
        <v>159</v>
      </c>
      <c r="G404" s="205" t="e">
        <v>#DIV/0!</v>
      </c>
      <c r="H404" s="202">
        <v>0</v>
      </c>
      <c r="I404" s="202">
        <v>0</v>
      </c>
      <c r="J404" s="202" t="e">
        <v>#DIV/0!</v>
      </c>
      <c r="K404" s="202">
        <v>0</v>
      </c>
      <c r="L404" s="202">
        <v>0</v>
      </c>
      <c r="N404" s="202">
        <v>0</v>
      </c>
      <c r="O404" s="202" t="s">
        <v>159</v>
      </c>
      <c r="P404" s="260">
        <v>1</v>
      </c>
    </row>
    <row r="405" spans="2:16">
      <c r="B405" s="254" t="s">
        <v>206</v>
      </c>
      <c r="C405" s="202" t="s">
        <v>172</v>
      </c>
      <c r="D405" s="202" t="s">
        <v>158</v>
      </c>
      <c r="E405" s="203" t="s">
        <v>4</v>
      </c>
      <c r="F405" s="204">
        <v>3</v>
      </c>
      <c r="G405" s="205">
        <v>3.34</v>
      </c>
      <c r="H405" s="202">
        <v>642</v>
      </c>
      <c r="I405" s="202">
        <v>0.929</v>
      </c>
      <c r="J405" s="202">
        <v>0.00118</v>
      </c>
      <c r="K405" s="202">
        <v>545000</v>
      </c>
      <c r="L405" s="202">
        <v>0.765</v>
      </c>
      <c r="M405" s="202">
        <v>1</v>
      </c>
      <c r="N405" s="202">
        <v>0</v>
      </c>
      <c r="O405" s="202">
        <v>111.43</v>
      </c>
      <c r="P405" s="260">
        <v>1</v>
      </c>
    </row>
    <row r="406" spans="2:16">
      <c r="B406" s="254" t="s">
        <v>207</v>
      </c>
      <c r="C406" s="202" t="s">
        <v>172</v>
      </c>
      <c r="D406" s="202" t="s">
        <v>158</v>
      </c>
      <c r="E406" s="203" t="s">
        <v>4</v>
      </c>
      <c r="F406" s="204">
        <v>100</v>
      </c>
      <c r="G406" s="205">
        <v>87.3</v>
      </c>
      <c r="H406" s="202">
        <v>16000</v>
      </c>
      <c r="I406" s="202">
        <v>0.939</v>
      </c>
      <c r="J406" s="202">
        <v>0.0294</v>
      </c>
      <c r="K406" s="202">
        <v>542000</v>
      </c>
      <c r="L406" s="202">
        <v>0.77</v>
      </c>
      <c r="M406" s="202">
        <v>1</v>
      </c>
      <c r="N406" s="202">
        <v>0</v>
      </c>
      <c r="O406" s="202">
        <v>87.27</v>
      </c>
      <c r="P406" s="260">
        <v>1</v>
      </c>
    </row>
    <row r="407" ht="14.75" spans="2:16">
      <c r="B407" s="255" t="s">
        <v>208</v>
      </c>
      <c r="C407" s="256" t="s">
        <v>172</v>
      </c>
      <c r="D407" s="256" t="s">
        <v>158</v>
      </c>
      <c r="E407" s="257" t="s">
        <v>4</v>
      </c>
      <c r="F407" s="258">
        <v>1600</v>
      </c>
      <c r="G407" s="259">
        <v>1360</v>
      </c>
      <c r="H407" s="256">
        <v>244000</v>
      </c>
      <c r="I407" s="256">
        <v>0.938</v>
      </c>
      <c r="J407" s="256">
        <v>0.458</v>
      </c>
      <c r="K407" s="256">
        <v>533000</v>
      </c>
      <c r="L407" s="256">
        <v>0.769</v>
      </c>
      <c r="M407" s="256">
        <v>1</v>
      </c>
      <c r="N407" s="256">
        <v>0</v>
      </c>
      <c r="O407" s="256">
        <v>85.02</v>
      </c>
      <c r="P407" s="262">
        <v>1</v>
      </c>
    </row>
    <row r="408" ht="14.75"/>
    <row r="409" spans="2:16">
      <c r="B409" s="249" t="s">
        <v>125</v>
      </c>
      <c r="C409" s="250"/>
      <c r="D409" s="250"/>
      <c r="E409" s="251"/>
      <c r="F409" s="252"/>
      <c r="G409" s="253"/>
      <c r="H409" s="250"/>
      <c r="I409" s="250"/>
      <c r="J409" s="250"/>
      <c r="K409" s="250"/>
      <c r="L409" s="250"/>
      <c r="M409" s="250"/>
      <c r="N409" s="250"/>
      <c r="O409" s="250"/>
      <c r="P409" s="261"/>
    </row>
    <row r="410" spans="2:16">
      <c r="B410" s="254" t="s">
        <v>126</v>
      </c>
      <c r="P410" s="260"/>
    </row>
    <row r="411" spans="2:16">
      <c r="B411" s="254" t="s">
        <v>220</v>
      </c>
      <c r="P411" s="260"/>
    </row>
    <row r="412" spans="2:16">
      <c r="B412" s="254"/>
      <c r="P412" s="260"/>
    </row>
    <row r="413" spans="2:16">
      <c r="B413" s="254" t="s">
        <v>128</v>
      </c>
      <c r="P413" s="260"/>
    </row>
    <row r="414" spans="2:16">
      <c r="B414" s="254" t="s">
        <v>129</v>
      </c>
      <c r="P414" s="260"/>
    </row>
    <row r="415" spans="2:16">
      <c r="B415" s="254" t="s">
        <v>221</v>
      </c>
      <c r="P415" s="260"/>
    </row>
    <row r="416" spans="2:16">
      <c r="B416" s="254"/>
      <c r="P416" s="260"/>
    </row>
    <row r="417" spans="2:16">
      <c r="B417" s="254" t="s">
        <v>131</v>
      </c>
      <c r="C417" s="202" t="s">
        <v>132</v>
      </c>
      <c r="D417" s="202" t="s">
        <v>133</v>
      </c>
      <c r="E417" s="203" t="s">
        <v>134</v>
      </c>
      <c r="F417" s="204" t="s">
        <v>135</v>
      </c>
      <c r="G417" s="205" t="s">
        <v>136</v>
      </c>
      <c r="P417" s="260"/>
    </row>
    <row r="418" spans="2:16">
      <c r="B418" s="254" t="s">
        <v>137</v>
      </c>
      <c r="C418" s="202">
        <v>1.61e-5</v>
      </c>
      <c r="P418" s="260"/>
    </row>
    <row r="419" spans="2:16">
      <c r="B419" s="254" t="s">
        <v>138</v>
      </c>
      <c r="C419" s="202">
        <v>5.06e-5</v>
      </c>
      <c r="P419" s="260"/>
    </row>
    <row r="420" spans="2:16">
      <c r="B420" s="254" t="s">
        <v>139</v>
      </c>
      <c r="C420" s="202">
        <v>0.999</v>
      </c>
      <c r="P420" s="260"/>
    </row>
    <row r="421" spans="2:16">
      <c r="B421" s="254" t="s">
        <v>140</v>
      </c>
      <c r="P421" s="260"/>
    </row>
    <row r="422" spans="2:16">
      <c r="B422" s="254"/>
      <c r="P422" s="260"/>
    </row>
    <row r="423" spans="2:16">
      <c r="B423" s="254"/>
      <c r="P423" s="260"/>
    </row>
    <row r="424" spans="2:16">
      <c r="B424" s="254"/>
      <c r="P424" s="260"/>
    </row>
    <row r="425" spans="2:16">
      <c r="B425" s="254" t="s">
        <v>141</v>
      </c>
      <c r="C425" s="202" t="s">
        <v>142</v>
      </c>
      <c r="D425" s="202" t="s">
        <v>143</v>
      </c>
      <c r="E425" s="203" t="s">
        <v>144</v>
      </c>
      <c r="F425" s="204" t="s">
        <v>145</v>
      </c>
      <c r="G425" s="205" t="s">
        <v>146</v>
      </c>
      <c r="H425" s="202" t="s">
        <v>147</v>
      </c>
      <c r="I425" s="202" t="s">
        <v>148</v>
      </c>
      <c r="J425" s="202" t="s">
        <v>149</v>
      </c>
      <c r="K425" s="202" t="s">
        <v>150</v>
      </c>
      <c r="L425" s="202" t="s">
        <v>151</v>
      </c>
      <c r="M425" s="202" t="s">
        <v>152</v>
      </c>
      <c r="N425" s="202" t="s">
        <v>153</v>
      </c>
      <c r="O425" s="202" t="s">
        <v>154</v>
      </c>
      <c r="P425" s="260" t="s">
        <v>155</v>
      </c>
    </row>
    <row r="426" spans="2:16">
      <c r="B426" s="254" t="s">
        <v>156</v>
      </c>
      <c r="C426" s="202" t="s">
        <v>157</v>
      </c>
      <c r="D426" s="202" t="s">
        <v>222</v>
      </c>
      <c r="E426" s="203" t="s">
        <v>4</v>
      </c>
      <c r="F426" s="204" t="s">
        <v>159</v>
      </c>
      <c r="G426" s="205" t="e">
        <v>#DIV/0!</v>
      </c>
      <c r="H426" s="202">
        <v>0</v>
      </c>
      <c r="I426" s="202">
        <v>0</v>
      </c>
      <c r="J426" s="202" t="e">
        <v>#DIV/0!</v>
      </c>
      <c r="K426" s="202">
        <v>0</v>
      </c>
      <c r="L426" s="202">
        <v>0</v>
      </c>
      <c r="N426" s="202">
        <v>0</v>
      </c>
      <c r="O426" s="202" t="s">
        <v>159</v>
      </c>
      <c r="P426" s="260">
        <v>1</v>
      </c>
    </row>
    <row r="427" spans="2:16">
      <c r="B427" s="254" t="s">
        <v>156</v>
      </c>
      <c r="C427" s="202" t="s">
        <v>157</v>
      </c>
      <c r="D427" s="202" t="s">
        <v>222</v>
      </c>
      <c r="E427" s="203" t="s">
        <v>4</v>
      </c>
      <c r="F427" s="204" t="s">
        <v>159</v>
      </c>
      <c r="G427" s="205" t="e">
        <v>#DIV/0!</v>
      </c>
      <c r="H427" s="202">
        <v>0</v>
      </c>
      <c r="I427" s="202">
        <v>0</v>
      </c>
      <c r="J427" s="202" t="e">
        <v>#DIV/0!</v>
      </c>
      <c r="K427" s="202">
        <v>0</v>
      </c>
      <c r="L427" s="202">
        <v>0</v>
      </c>
      <c r="N427" s="202">
        <v>0</v>
      </c>
      <c r="O427" s="202" t="s">
        <v>159</v>
      </c>
      <c r="P427" s="260">
        <v>1</v>
      </c>
    </row>
    <row r="428" spans="2:16">
      <c r="B428" s="254" t="s">
        <v>156</v>
      </c>
      <c r="C428" s="202" t="s">
        <v>157</v>
      </c>
      <c r="D428" s="202" t="s">
        <v>222</v>
      </c>
      <c r="E428" s="203" t="s">
        <v>4</v>
      </c>
      <c r="F428" s="204" t="s">
        <v>159</v>
      </c>
      <c r="G428" s="205" t="e">
        <v>#DIV/0!</v>
      </c>
      <c r="H428" s="202">
        <v>0</v>
      </c>
      <c r="I428" s="202">
        <v>0</v>
      </c>
      <c r="J428" s="202" t="e">
        <v>#DIV/0!</v>
      </c>
      <c r="K428" s="202">
        <v>0</v>
      </c>
      <c r="L428" s="202">
        <v>0</v>
      </c>
      <c r="N428" s="202">
        <v>0</v>
      </c>
      <c r="O428" s="202" t="s">
        <v>159</v>
      </c>
      <c r="P428" s="260">
        <v>1</v>
      </c>
    </row>
    <row r="429" spans="2:16">
      <c r="B429" s="254" t="s">
        <v>160</v>
      </c>
      <c r="C429" s="202" t="s">
        <v>157</v>
      </c>
      <c r="D429" s="202" t="s">
        <v>222</v>
      </c>
      <c r="E429" s="203" t="s">
        <v>4</v>
      </c>
      <c r="F429" s="204" t="s">
        <v>159</v>
      </c>
      <c r="G429" s="205" t="s">
        <v>161</v>
      </c>
      <c r="H429" s="202">
        <v>0</v>
      </c>
      <c r="I429" s="202">
        <v>0</v>
      </c>
      <c r="J429" s="202">
        <v>0</v>
      </c>
      <c r="K429" s="202">
        <v>7920000</v>
      </c>
      <c r="L429" s="202">
        <v>1.3</v>
      </c>
      <c r="N429" s="202">
        <v>0</v>
      </c>
      <c r="O429" s="202" t="s">
        <v>159</v>
      </c>
      <c r="P429" s="260">
        <v>1</v>
      </c>
    </row>
    <row r="430" spans="2:16">
      <c r="B430" s="254" t="s">
        <v>162</v>
      </c>
      <c r="C430" s="202" t="s">
        <v>163</v>
      </c>
      <c r="D430" s="202" t="s">
        <v>222</v>
      </c>
      <c r="E430" s="203" t="s">
        <v>4</v>
      </c>
      <c r="F430" s="204">
        <v>1</v>
      </c>
      <c r="G430" s="205">
        <v>1.01</v>
      </c>
      <c r="H430" s="202">
        <v>523</v>
      </c>
      <c r="I430" s="202">
        <v>1.45</v>
      </c>
      <c r="J430" s="202">
        <v>6.7e-5</v>
      </c>
      <c r="K430" s="202">
        <v>7820000</v>
      </c>
      <c r="L430" s="202">
        <v>1.3</v>
      </c>
      <c r="M430" s="202">
        <v>1</v>
      </c>
      <c r="N430" s="202">
        <v>0</v>
      </c>
      <c r="O430" s="202">
        <v>100.53</v>
      </c>
      <c r="P430" s="260">
        <v>1</v>
      </c>
    </row>
    <row r="431" spans="2:16">
      <c r="B431" s="254" t="s">
        <v>164</v>
      </c>
      <c r="C431" s="202" t="s">
        <v>163</v>
      </c>
      <c r="D431" s="202" t="s">
        <v>222</v>
      </c>
      <c r="E431" s="203" t="s">
        <v>4</v>
      </c>
      <c r="F431" s="204">
        <v>2</v>
      </c>
      <c r="G431" s="205">
        <v>1.3</v>
      </c>
      <c r="H431" s="202">
        <v>644</v>
      </c>
      <c r="I431" s="202">
        <v>1.45</v>
      </c>
      <c r="J431" s="202">
        <v>8.17e-5</v>
      </c>
      <c r="K431" s="202">
        <v>7880000</v>
      </c>
      <c r="L431" s="202">
        <v>1.3</v>
      </c>
      <c r="M431" s="202">
        <v>0</v>
      </c>
      <c r="N431" s="202">
        <v>0</v>
      </c>
      <c r="O431" s="202">
        <v>64.86</v>
      </c>
      <c r="P431" s="260">
        <v>1</v>
      </c>
    </row>
    <row r="432" spans="2:16">
      <c r="B432" s="254" t="s">
        <v>165</v>
      </c>
      <c r="C432" s="202" t="s">
        <v>163</v>
      </c>
      <c r="D432" s="202" t="s">
        <v>222</v>
      </c>
      <c r="E432" s="203" t="s">
        <v>4</v>
      </c>
      <c r="F432" s="204">
        <v>10</v>
      </c>
      <c r="G432" s="205">
        <v>9.38</v>
      </c>
      <c r="H432" s="202">
        <v>3890</v>
      </c>
      <c r="I432" s="202">
        <v>1.46</v>
      </c>
      <c r="J432" s="202">
        <v>0.000491</v>
      </c>
      <c r="K432" s="202">
        <v>7930000</v>
      </c>
      <c r="L432" s="202">
        <v>1.3</v>
      </c>
      <c r="M432" s="202">
        <v>1</v>
      </c>
      <c r="N432" s="202">
        <v>0</v>
      </c>
      <c r="O432" s="202">
        <v>93.82</v>
      </c>
      <c r="P432" s="260">
        <v>1</v>
      </c>
    </row>
    <row r="433" spans="2:16">
      <c r="B433" s="254" t="s">
        <v>166</v>
      </c>
      <c r="C433" s="202" t="s">
        <v>163</v>
      </c>
      <c r="D433" s="202" t="s">
        <v>222</v>
      </c>
      <c r="E433" s="203" t="s">
        <v>4</v>
      </c>
      <c r="F433" s="204">
        <v>50</v>
      </c>
      <c r="G433" s="205">
        <v>51.7</v>
      </c>
      <c r="H433" s="202">
        <v>20900</v>
      </c>
      <c r="I433" s="202">
        <v>1.45</v>
      </c>
      <c r="J433" s="202">
        <v>0.00263</v>
      </c>
      <c r="K433" s="202">
        <v>7950000</v>
      </c>
      <c r="L433" s="202">
        <v>1.3</v>
      </c>
      <c r="M433" s="202">
        <v>1</v>
      </c>
      <c r="N433" s="202">
        <v>0</v>
      </c>
      <c r="O433" s="202">
        <v>103.34</v>
      </c>
      <c r="P433" s="260">
        <v>1</v>
      </c>
    </row>
    <row r="434" spans="2:16">
      <c r="B434" s="254" t="s">
        <v>167</v>
      </c>
      <c r="C434" s="202" t="s">
        <v>163</v>
      </c>
      <c r="D434" s="202" t="s">
        <v>222</v>
      </c>
      <c r="E434" s="203" t="s">
        <v>4</v>
      </c>
      <c r="F434" s="204">
        <v>200</v>
      </c>
      <c r="G434" s="205">
        <v>209</v>
      </c>
      <c r="H434" s="202">
        <v>84300</v>
      </c>
      <c r="I434" s="202">
        <v>1.46</v>
      </c>
      <c r="J434" s="202">
        <v>0.0106</v>
      </c>
      <c r="K434" s="202">
        <v>7960000</v>
      </c>
      <c r="L434" s="202">
        <v>1.3</v>
      </c>
      <c r="M434" s="202">
        <v>1</v>
      </c>
      <c r="N434" s="202">
        <v>0</v>
      </c>
      <c r="O434" s="202">
        <v>104.44</v>
      </c>
      <c r="P434" s="260">
        <v>1</v>
      </c>
    </row>
    <row r="435" spans="2:16">
      <c r="B435" s="254" t="s">
        <v>168</v>
      </c>
      <c r="C435" s="202" t="s">
        <v>163</v>
      </c>
      <c r="D435" s="202" t="s">
        <v>222</v>
      </c>
      <c r="E435" s="203" t="s">
        <v>4</v>
      </c>
      <c r="F435" s="204">
        <v>1000</v>
      </c>
      <c r="G435" s="205">
        <v>1040</v>
      </c>
      <c r="H435" s="202">
        <v>416000</v>
      </c>
      <c r="I435" s="202">
        <v>1.46</v>
      </c>
      <c r="J435" s="202">
        <v>0.0527</v>
      </c>
      <c r="K435" s="202">
        <v>7900000</v>
      </c>
      <c r="L435" s="202">
        <v>1.31</v>
      </c>
      <c r="M435" s="202">
        <v>1</v>
      </c>
      <c r="N435" s="202">
        <v>0</v>
      </c>
      <c r="O435" s="202">
        <v>104.05</v>
      </c>
      <c r="P435" s="260">
        <v>1</v>
      </c>
    </row>
    <row r="436" spans="2:16">
      <c r="B436" s="254" t="s">
        <v>169</v>
      </c>
      <c r="C436" s="202" t="s">
        <v>163</v>
      </c>
      <c r="D436" s="202" t="s">
        <v>222</v>
      </c>
      <c r="E436" s="203" t="s">
        <v>4</v>
      </c>
      <c r="F436" s="204">
        <v>1800</v>
      </c>
      <c r="G436" s="205">
        <v>1770</v>
      </c>
      <c r="H436" s="202">
        <v>712000</v>
      </c>
      <c r="I436" s="202">
        <v>1.46</v>
      </c>
      <c r="J436" s="202">
        <v>0.0897</v>
      </c>
      <c r="K436" s="202">
        <v>7940000</v>
      </c>
      <c r="L436" s="202">
        <v>1.31</v>
      </c>
      <c r="M436" s="202">
        <v>1</v>
      </c>
      <c r="N436" s="202">
        <v>0</v>
      </c>
      <c r="O436" s="202">
        <v>98.42</v>
      </c>
      <c r="P436" s="260">
        <v>1</v>
      </c>
    </row>
    <row r="437" spans="2:16">
      <c r="B437" s="254" t="s">
        <v>170</v>
      </c>
      <c r="C437" s="202" t="s">
        <v>163</v>
      </c>
      <c r="D437" s="202" t="s">
        <v>222</v>
      </c>
      <c r="E437" s="203" t="s">
        <v>4</v>
      </c>
      <c r="F437" s="204">
        <v>2000</v>
      </c>
      <c r="G437" s="205">
        <v>1910</v>
      </c>
      <c r="H437" s="202">
        <v>776000</v>
      </c>
      <c r="I437" s="202">
        <v>1.46</v>
      </c>
      <c r="J437" s="202">
        <v>0.0966</v>
      </c>
      <c r="K437" s="202">
        <v>8030000</v>
      </c>
      <c r="L437" s="202">
        <v>1.3</v>
      </c>
      <c r="M437" s="202">
        <v>1</v>
      </c>
      <c r="N437" s="202">
        <v>0</v>
      </c>
      <c r="O437" s="202">
        <v>95.39</v>
      </c>
      <c r="P437" s="260">
        <v>1</v>
      </c>
    </row>
    <row r="438" spans="2:16">
      <c r="B438" s="254" t="s">
        <v>156</v>
      </c>
      <c r="C438" s="202" t="s">
        <v>157</v>
      </c>
      <c r="D438" s="202" t="s">
        <v>222</v>
      </c>
      <c r="E438" s="203" t="s">
        <v>4</v>
      </c>
      <c r="F438" s="204" t="s">
        <v>159</v>
      </c>
      <c r="G438" s="205" t="e">
        <v>#DIV/0!</v>
      </c>
      <c r="H438" s="202">
        <v>0</v>
      </c>
      <c r="I438" s="202">
        <v>0</v>
      </c>
      <c r="J438" s="202" t="e">
        <v>#DIV/0!</v>
      </c>
      <c r="K438" s="202">
        <v>0</v>
      </c>
      <c r="L438" s="202">
        <v>0</v>
      </c>
      <c r="N438" s="202">
        <v>0</v>
      </c>
      <c r="O438" s="202" t="s">
        <v>159</v>
      </c>
      <c r="P438" s="260">
        <v>1</v>
      </c>
    </row>
    <row r="439" spans="2:16">
      <c r="B439" s="254" t="s">
        <v>156</v>
      </c>
      <c r="C439" s="202" t="s">
        <v>157</v>
      </c>
      <c r="D439" s="202" t="s">
        <v>222</v>
      </c>
      <c r="E439" s="203" t="s">
        <v>4</v>
      </c>
      <c r="F439" s="204" t="s">
        <v>159</v>
      </c>
      <c r="G439" s="205" t="e">
        <v>#DIV/0!</v>
      </c>
      <c r="H439" s="202">
        <v>0</v>
      </c>
      <c r="I439" s="202">
        <v>0</v>
      </c>
      <c r="J439" s="202" t="e">
        <v>#DIV/0!</v>
      </c>
      <c r="K439" s="202">
        <v>0</v>
      </c>
      <c r="L439" s="202">
        <v>0</v>
      </c>
      <c r="N439" s="202">
        <v>0</v>
      </c>
      <c r="O439" s="202" t="s">
        <v>159</v>
      </c>
      <c r="P439" s="260">
        <v>1</v>
      </c>
    </row>
    <row r="440" spans="2:16">
      <c r="B440" s="254" t="s">
        <v>171</v>
      </c>
      <c r="C440" s="202" t="s">
        <v>172</v>
      </c>
      <c r="D440" s="202" t="s">
        <v>222</v>
      </c>
      <c r="E440" s="203" t="s">
        <v>4</v>
      </c>
      <c r="F440" s="204">
        <v>3</v>
      </c>
      <c r="G440" s="205">
        <v>2.55</v>
      </c>
      <c r="H440" s="202">
        <v>1140</v>
      </c>
      <c r="I440" s="202">
        <v>1.45</v>
      </c>
      <c r="J440" s="202">
        <v>0.000145</v>
      </c>
      <c r="K440" s="202">
        <v>7840000</v>
      </c>
      <c r="L440" s="202">
        <v>1.3</v>
      </c>
      <c r="M440" s="202">
        <v>1</v>
      </c>
      <c r="N440" s="202">
        <v>0</v>
      </c>
      <c r="O440" s="202">
        <v>85.15</v>
      </c>
      <c r="P440" s="260">
        <v>1</v>
      </c>
    </row>
    <row r="441" spans="2:16">
      <c r="B441" s="254" t="s">
        <v>173</v>
      </c>
      <c r="C441" s="202" t="s">
        <v>172</v>
      </c>
      <c r="D441" s="202" t="s">
        <v>222</v>
      </c>
      <c r="E441" s="203" t="s">
        <v>4</v>
      </c>
      <c r="F441" s="204">
        <v>100</v>
      </c>
      <c r="G441" s="205">
        <v>101</v>
      </c>
      <c r="H441" s="202">
        <v>40900</v>
      </c>
      <c r="I441" s="202">
        <v>1.46</v>
      </c>
      <c r="J441" s="202">
        <v>0.00515</v>
      </c>
      <c r="K441" s="202">
        <v>7940000</v>
      </c>
      <c r="L441" s="202">
        <v>1.3</v>
      </c>
      <c r="M441" s="202">
        <v>1</v>
      </c>
      <c r="N441" s="202">
        <v>0</v>
      </c>
      <c r="O441" s="202">
        <v>101.4</v>
      </c>
      <c r="P441" s="260">
        <v>1</v>
      </c>
    </row>
    <row r="442" spans="2:16">
      <c r="B442" s="254" t="s">
        <v>174</v>
      </c>
      <c r="C442" s="202" t="s">
        <v>172</v>
      </c>
      <c r="D442" s="202" t="s">
        <v>222</v>
      </c>
      <c r="E442" s="203" t="s">
        <v>4</v>
      </c>
      <c r="F442" s="204">
        <v>1600</v>
      </c>
      <c r="G442" s="205">
        <v>1550</v>
      </c>
      <c r="H442" s="202">
        <v>621000</v>
      </c>
      <c r="I442" s="202">
        <v>1.45</v>
      </c>
      <c r="J442" s="202">
        <v>0.0785</v>
      </c>
      <c r="K442" s="202">
        <v>7910000</v>
      </c>
      <c r="L442" s="202">
        <v>1.3</v>
      </c>
      <c r="M442" s="202">
        <v>1</v>
      </c>
      <c r="N442" s="202">
        <v>0</v>
      </c>
      <c r="O442" s="202">
        <v>96.89</v>
      </c>
      <c r="P442" s="260">
        <v>1</v>
      </c>
    </row>
    <row r="443" spans="2:16">
      <c r="B443" s="254" t="s">
        <v>176</v>
      </c>
      <c r="C443" s="202" t="s">
        <v>172</v>
      </c>
      <c r="D443" s="202" t="s">
        <v>222</v>
      </c>
      <c r="E443" s="203" t="s">
        <v>4</v>
      </c>
      <c r="F443" s="204">
        <v>50</v>
      </c>
      <c r="G443" s="205">
        <v>54.5</v>
      </c>
      <c r="H443" s="202">
        <v>21800</v>
      </c>
      <c r="I443" s="202">
        <v>1.46</v>
      </c>
      <c r="J443" s="202">
        <v>0.00278</v>
      </c>
      <c r="K443" s="202">
        <v>7850000</v>
      </c>
      <c r="L443" s="202">
        <v>1.31</v>
      </c>
      <c r="M443" s="202">
        <v>1</v>
      </c>
      <c r="N443" s="202">
        <v>0</v>
      </c>
      <c r="O443" s="202">
        <v>109.04</v>
      </c>
      <c r="P443" s="260">
        <v>1</v>
      </c>
    </row>
    <row r="444" spans="2:16">
      <c r="B444" s="254" t="s">
        <v>177</v>
      </c>
      <c r="C444" s="202" t="s">
        <v>172</v>
      </c>
      <c r="D444" s="202" t="s">
        <v>222</v>
      </c>
      <c r="E444" s="203" t="s">
        <v>4</v>
      </c>
      <c r="F444" s="204">
        <v>50</v>
      </c>
      <c r="G444" s="205">
        <v>47.7</v>
      </c>
      <c r="H444" s="202">
        <v>19400</v>
      </c>
      <c r="I444" s="202">
        <v>1.45</v>
      </c>
      <c r="J444" s="202">
        <v>0.00243</v>
      </c>
      <c r="K444" s="202">
        <v>7950000</v>
      </c>
      <c r="L444" s="202">
        <v>1.3</v>
      </c>
      <c r="M444" s="202">
        <v>1</v>
      </c>
      <c r="N444" s="202">
        <v>0</v>
      </c>
      <c r="O444" s="202">
        <v>95.47</v>
      </c>
      <c r="P444" s="260">
        <v>1</v>
      </c>
    </row>
    <row r="445" spans="2:16">
      <c r="B445" s="254" t="s">
        <v>178</v>
      </c>
      <c r="C445" s="202" t="s">
        <v>172</v>
      </c>
      <c r="D445" s="202" t="s">
        <v>222</v>
      </c>
      <c r="E445" s="203" t="s">
        <v>4</v>
      </c>
      <c r="F445" s="204">
        <v>50</v>
      </c>
      <c r="G445" s="205">
        <v>56</v>
      </c>
      <c r="H445" s="202">
        <v>22900</v>
      </c>
      <c r="I445" s="202">
        <v>1.46</v>
      </c>
      <c r="J445" s="202">
        <v>0.00285</v>
      </c>
      <c r="K445" s="202">
        <v>8020000</v>
      </c>
      <c r="L445" s="202">
        <v>1.3</v>
      </c>
      <c r="M445" s="202">
        <v>1</v>
      </c>
      <c r="N445" s="202">
        <v>0</v>
      </c>
      <c r="O445" s="202">
        <v>112.02</v>
      </c>
      <c r="P445" s="260">
        <v>1</v>
      </c>
    </row>
    <row r="446" spans="2:16">
      <c r="B446" s="254" t="s">
        <v>175</v>
      </c>
      <c r="C446" s="202" t="s">
        <v>157</v>
      </c>
      <c r="D446" s="202" t="s">
        <v>222</v>
      </c>
      <c r="E446" s="203" t="s">
        <v>4</v>
      </c>
      <c r="F446" s="204" t="s">
        <v>159</v>
      </c>
      <c r="G446" s="205" t="e">
        <v>#DIV/0!</v>
      </c>
      <c r="H446" s="202">
        <v>0</v>
      </c>
      <c r="I446" s="202">
        <v>0</v>
      </c>
      <c r="J446" s="202" t="e">
        <v>#DIV/0!</v>
      </c>
      <c r="K446" s="202">
        <v>0</v>
      </c>
      <c r="L446" s="202">
        <v>0</v>
      </c>
      <c r="N446" s="202">
        <v>0</v>
      </c>
      <c r="O446" s="202" t="s">
        <v>159</v>
      </c>
      <c r="P446" s="260">
        <v>1</v>
      </c>
    </row>
    <row r="447" spans="2:16">
      <c r="B447" s="254" t="s">
        <v>179</v>
      </c>
      <c r="C447" s="202" t="s">
        <v>157</v>
      </c>
      <c r="D447" s="202" t="s">
        <v>222</v>
      </c>
      <c r="E447" s="203" t="s">
        <v>4</v>
      </c>
      <c r="F447" s="204" t="s">
        <v>159</v>
      </c>
      <c r="G447" s="205" t="s">
        <v>161</v>
      </c>
      <c r="H447" s="202">
        <v>0</v>
      </c>
      <c r="I447" s="202">
        <v>0</v>
      </c>
      <c r="J447" s="202">
        <v>0</v>
      </c>
      <c r="K447" s="202">
        <v>8490000</v>
      </c>
      <c r="L447" s="202">
        <v>1.3</v>
      </c>
      <c r="N447" s="202">
        <v>0</v>
      </c>
      <c r="O447" s="202" t="s">
        <v>159</v>
      </c>
      <c r="P447" s="260">
        <v>1</v>
      </c>
    </row>
    <row r="448" spans="2:16">
      <c r="B448" s="254" t="s">
        <v>180</v>
      </c>
      <c r="C448" s="202" t="s">
        <v>157</v>
      </c>
      <c r="D448" s="202" t="s">
        <v>222</v>
      </c>
      <c r="E448" s="203" t="s">
        <v>4</v>
      </c>
      <c r="F448" s="204" t="s">
        <v>159</v>
      </c>
      <c r="G448" s="205" t="s">
        <v>161</v>
      </c>
      <c r="H448" s="202">
        <v>0</v>
      </c>
      <c r="I448" s="202">
        <v>0</v>
      </c>
      <c r="J448" s="202">
        <v>0</v>
      </c>
      <c r="K448" s="202">
        <v>8590000</v>
      </c>
      <c r="L448" s="202">
        <v>1.3</v>
      </c>
      <c r="N448" s="202">
        <v>0</v>
      </c>
      <c r="O448" s="202" t="s">
        <v>159</v>
      </c>
      <c r="P448" s="260">
        <v>1</v>
      </c>
    </row>
    <row r="449" spans="2:16">
      <c r="B449" s="254" t="s">
        <v>181</v>
      </c>
      <c r="C449" s="202" t="s">
        <v>157</v>
      </c>
      <c r="D449" s="202" t="s">
        <v>222</v>
      </c>
      <c r="E449" s="203" t="s">
        <v>4</v>
      </c>
      <c r="F449" s="204" t="s">
        <v>159</v>
      </c>
      <c r="G449" s="205" t="s">
        <v>161</v>
      </c>
      <c r="H449" s="202">
        <v>0</v>
      </c>
      <c r="I449" s="202">
        <v>0</v>
      </c>
      <c r="J449" s="202">
        <v>0</v>
      </c>
      <c r="K449" s="202">
        <v>8680000</v>
      </c>
      <c r="L449" s="202">
        <v>1.3</v>
      </c>
      <c r="N449" s="202">
        <v>0</v>
      </c>
      <c r="O449" s="202" t="s">
        <v>159</v>
      </c>
      <c r="P449" s="260">
        <v>1</v>
      </c>
    </row>
    <row r="450" spans="2:16">
      <c r="B450" s="254" t="s">
        <v>182</v>
      </c>
      <c r="C450" s="202" t="s">
        <v>157</v>
      </c>
      <c r="D450" s="202" t="s">
        <v>222</v>
      </c>
      <c r="E450" s="203" t="s">
        <v>4</v>
      </c>
      <c r="F450" s="204" t="s">
        <v>159</v>
      </c>
      <c r="G450" s="205" t="s">
        <v>161</v>
      </c>
      <c r="H450" s="202">
        <v>0</v>
      </c>
      <c r="I450" s="202">
        <v>0</v>
      </c>
      <c r="J450" s="202">
        <v>0</v>
      </c>
      <c r="K450" s="202">
        <v>8500000</v>
      </c>
      <c r="L450" s="202">
        <v>1.31</v>
      </c>
      <c r="N450" s="202">
        <v>0</v>
      </c>
      <c r="O450" s="202" t="s">
        <v>159</v>
      </c>
      <c r="P450" s="260">
        <v>1</v>
      </c>
    </row>
    <row r="451" spans="2:16">
      <c r="B451" s="254" t="s">
        <v>183</v>
      </c>
      <c r="C451" s="202" t="s">
        <v>157</v>
      </c>
      <c r="D451" s="202" t="s">
        <v>222</v>
      </c>
      <c r="E451" s="203" t="s">
        <v>4</v>
      </c>
      <c r="F451" s="204" t="s">
        <v>159</v>
      </c>
      <c r="G451" s="205" t="s">
        <v>161</v>
      </c>
      <c r="H451" s="202">
        <v>0</v>
      </c>
      <c r="I451" s="202">
        <v>0</v>
      </c>
      <c r="J451" s="202">
        <v>0</v>
      </c>
      <c r="K451" s="202">
        <v>9120000</v>
      </c>
      <c r="L451" s="202">
        <v>1.3</v>
      </c>
      <c r="N451" s="202">
        <v>0</v>
      </c>
      <c r="O451" s="202" t="s">
        <v>159</v>
      </c>
      <c r="P451" s="260">
        <v>1</v>
      </c>
    </row>
    <row r="452" spans="2:16">
      <c r="B452" s="254" t="s">
        <v>184</v>
      </c>
      <c r="C452" s="202" t="s">
        <v>157</v>
      </c>
      <c r="D452" s="202" t="s">
        <v>222</v>
      </c>
      <c r="E452" s="203" t="s">
        <v>4</v>
      </c>
      <c r="F452" s="204" t="s">
        <v>159</v>
      </c>
      <c r="G452" s="205" t="s">
        <v>161</v>
      </c>
      <c r="H452" s="202">
        <v>0</v>
      </c>
      <c r="I452" s="202">
        <v>0</v>
      </c>
      <c r="J452" s="202">
        <v>0</v>
      </c>
      <c r="K452" s="202">
        <v>8820000</v>
      </c>
      <c r="L452" s="202">
        <v>1.3</v>
      </c>
      <c r="N452" s="202">
        <v>0</v>
      </c>
      <c r="O452" s="202" t="s">
        <v>159</v>
      </c>
      <c r="P452" s="260">
        <v>1</v>
      </c>
    </row>
    <row r="453" spans="2:16">
      <c r="B453" s="254" t="s">
        <v>185</v>
      </c>
      <c r="C453" s="202" t="s">
        <v>157</v>
      </c>
      <c r="D453" s="202" t="s">
        <v>222</v>
      </c>
      <c r="E453" s="203" t="s">
        <v>4</v>
      </c>
      <c r="F453" s="204" t="s">
        <v>159</v>
      </c>
      <c r="G453" s="205" t="s">
        <v>161</v>
      </c>
      <c r="H453" s="202">
        <v>0</v>
      </c>
      <c r="I453" s="202">
        <v>0</v>
      </c>
      <c r="J453" s="202">
        <v>0</v>
      </c>
      <c r="K453" s="202">
        <v>8730000</v>
      </c>
      <c r="L453" s="202">
        <v>1.3</v>
      </c>
      <c r="N453" s="202">
        <v>0</v>
      </c>
      <c r="O453" s="202" t="s">
        <v>159</v>
      </c>
      <c r="P453" s="260">
        <v>1</v>
      </c>
    </row>
    <row r="454" spans="2:16">
      <c r="B454" s="254" t="s">
        <v>186</v>
      </c>
      <c r="C454" s="202" t="s">
        <v>157</v>
      </c>
      <c r="D454" s="202" t="s">
        <v>222</v>
      </c>
      <c r="E454" s="203" t="s">
        <v>4</v>
      </c>
      <c r="F454" s="204" t="s">
        <v>159</v>
      </c>
      <c r="G454" s="205" t="s">
        <v>161</v>
      </c>
      <c r="H454" s="202">
        <v>0</v>
      </c>
      <c r="I454" s="202">
        <v>0</v>
      </c>
      <c r="J454" s="202">
        <v>0</v>
      </c>
      <c r="K454" s="202">
        <v>8230000</v>
      </c>
      <c r="L454" s="202">
        <v>1.3</v>
      </c>
      <c r="N454" s="202">
        <v>0</v>
      </c>
      <c r="O454" s="202" t="s">
        <v>159</v>
      </c>
      <c r="P454" s="260">
        <v>1</v>
      </c>
    </row>
    <row r="455" spans="2:16">
      <c r="B455" s="254" t="s">
        <v>187</v>
      </c>
      <c r="C455" s="202" t="s">
        <v>157</v>
      </c>
      <c r="D455" s="202" t="s">
        <v>222</v>
      </c>
      <c r="E455" s="203" t="s">
        <v>4</v>
      </c>
      <c r="F455" s="204" t="s">
        <v>159</v>
      </c>
      <c r="G455" s="205" t="s">
        <v>161</v>
      </c>
      <c r="H455" s="202">
        <v>0</v>
      </c>
      <c r="I455" s="202">
        <v>0</v>
      </c>
      <c r="J455" s="202">
        <v>0</v>
      </c>
      <c r="K455" s="202">
        <v>8530000</v>
      </c>
      <c r="L455" s="202">
        <v>1.3</v>
      </c>
      <c r="N455" s="202">
        <v>0</v>
      </c>
      <c r="O455" s="202" t="s">
        <v>159</v>
      </c>
      <c r="P455" s="260">
        <v>1</v>
      </c>
    </row>
    <row r="456" spans="2:16">
      <c r="B456" s="254" t="s">
        <v>188</v>
      </c>
      <c r="C456" s="202" t="s">
        <v>157</v>
      </c>
      <c r="D456" s="202" t="s">
        <v>222</v>
      </c>
      <c r="E456" s="203" t="s">
        <v>4</v>
      </c>
      <c r="F456" s="204" t="s">
        <v>159</v>
      </c>
      <c r="G456" s="205">
        <v>0.337</v>
      </c>
      <c r="H456" s="202">
        <v>278</v>
      </c>
      <c r="I456" s="202">
        <v>1.56</v>
      </c>
      <c r="J456" s="202">
        <v>3.31e-5</v>
      </c>
      <c r="K456" s="202">
        <v>8390000</v>
      </c>
      <c r="L456" s="202">
        <v>1.31</v>
      </c>
      <c r="N456" s="202">
        <v>0</v>
      </c>
      <c r="O456" s="202" t="s">
        <v>159</v>
      </c>
      <c r="P456" s="260">
        <v>1</v>
      </c>
    </row>
    <row r="457" spans="2:16">
      <c r="B457" s="254" t="s">
        <v>189</v>
      </c>
      <c r="C457" s="202" t="s">
        <v>157</v>
      </c>
      <c r="D457" s="202" t="s">
        <v>222</v>
      </c>
      <c r="E457" s="203" t="s">
        <v>4</v>
      </c>
      <c r="F457" s="204" t="s">
        <v>159</v>
      </c>
      <c r="G457" s="205">
        <v>0.522</v>
      </c>
      <c r="H457" s="202">
        <v>364</v>
      </c>
      <c r="I457" s="202">
        <v>1.56</v>
      </c>
      <c r="J457" s="202">
        <v>4.25e-5</v>
      </c>
      <c r="K457" s="202">
        <v>8560000</v>
      </c>
      <c r="L457" s="202">
        <v>1.3</v>
      </c>
      <c r="N457" s="202">
        <v>0</v>
      </c>
      <c r="O457" s="202" t="s">
        <v>159</v>
      </c>
      <c r="P457" s="260">
        <v>1</v>
      </c>
    </row>
    <row r="458" spans="2:16">
      <c r="B458" s="254" t="s">
        <v>190</v>
      </c>
      <c r="C458" s="202" t="s">
        <v>157</v>
      </c>
      <c r="D458" s="202" t="s">
        <v>222</v>
      </c>
      <c r="E458" s="203" t="s">
        <v>4</v>
      </c>
      <c r="F458" s="204" t="s">
        <v>159</v>
      </c>
      <c r="G458" s="205" t="s">
        <v>161</v>
      </c>
      <c r="H458" s="202">
        <v>0</v>
      </c>
      <c r="I458" s="202">
        <v>0</v>
      </c>
      <c r="J458" s="202">
        <v>0</v>
      </c>
      <c r="K458" s="202">
        <v>8890000</v>
      </c>
      <c r="L458" s="202">
        <v>1.3</v>
      </c>
      <c r="N458" s="202">
        <v>0</v>
      </c>
      <c r="O458" s="202" t="s">
        <v>159</v>
      </c>
      <c r="P458" s="260">
        <v>1</v>
      </c>
    </row>
    <row r="459" spans="2:16">
      <c r="B459" s="254" t="s">
        <v>191</v>
      </c>
      <c r="C459" s="202" t="s">
        <v>157</v>
      </c>
      <c r="D459" s="202" t="s">
        <v>222</v>
      </c>
      <c r="E459" s="203" t="s">
        <v>4</v>
      </c>
      <c r="F459" s="204" t="s">
        <v>159</v>
      </c>
      <c r="G459" s="205" t="s">
        <v>161</v>
      </c>
      <c r="H459" s="202">
        <v>0</v>
      </c>
      <c r="I459" s="202">
        <v>0</v>
      </c>
      <c r="J459" s="202">
        <v>0</v>
      </c>
      <c r="K459" s="202">
        <v>8530000</v>
      </c>
      <c r="L459" s="202">
        <v>1.3</v>
      </c>
      <c r="N459" s="202">
        <v>0</v>
      </c>
      <c r="O459" s="202" t="s">
        <v>159</v>
      </c>
      <c r="P459" s="260">
        <v>1</v>
      </c>
    </row>
    <row r="460" spans="2:16">
      <c r="B460" s="254" t="s">
        <v>192</v>
      </c>
      <c r="C460" s="202" t="s">
        <v>157</v>
      </c>
      <c r="D460" s="202" t="s">
        <v>222</v>
      </c>
      <c r="E460" s="203" t="s">
        <v>4</v>
      </c>
      <c r="F460" s="204" t="s">
        <v>159</v>
      </c>
      <c r="G460" s="205">
        <v>0.786</v>
      </c>
      <c r="H460" s="202">
        <v>461</v>
      </c>
      <c r="I460" s="202">
        <v>1.46</v>
      </c>
      <c r="J460" s="202">
        <v>5.59e-5</v>
      </c>
      <c r="K460" s="202">
        <v>8250000</v>
      </c>
      <c r="L460" s="202">
        <v>1.3</v>
      </c>
      <c r="N460" s="202">
        <v>0</v>
      </c>
      <c r="O460" s="202" t="s">
        <v>159</v>
      </c>
      <c r="P460" s="260">
        <v>1</v>
      </c>
    </row>
    <row r="461" spans="2:16">
      <c r="B461" s="254" t="s">
        <v>193</v>
      </c>
      <c r="C461" s="202" t="s">
        <v>157</v>
      </c>
      <c r="D461" s="202" t="s">
        <v>222</v>
      </c>
      <c r="E461" s="203" t="s">
        <v>4</v>
      </c>
      <c r="F461" s="204" t="s">
        <v>159</v>
      </c>
      <c r="G461" s="205" t="s">
        <v>161</v>
      </c>
      <c r="H461" s="202">
        <v>0</v>
      </c>
      <c r="I461" s="202">
        <v>0</v>
      </c>
      <c r="J461" s="202">
        <v>0</v>
      </c>
      <c r="K461" s="202">
        <v>8200000</v>
      </c>
      <c r="L461" s="202">
        <v>1.3</v>
      </c>
      <c r="N461" s="202">
        <v>0</v>
      </c>
      <c r="O461" s="202" t="s">
        <v>159</v>
      </c>
      <c r="P461" s="260">
        <v>1</v>
      </c>
    </row>
    <row r="462" spans="2:16">
      <c r="B462" s="254" t="s">
        <v>194</v>
      </c>
      <c r="C462" s="202" t="s">
        <v>157</v>
      </c>
      <c r="D462" s="202" t="s">
        <v>222</v>
      </c>
      <c r="E462" s="203" t="s">
        <v>4</v>
      </c>
      <c r="F462" s="204" t="s">
        <v>159</v>
      </c>
      <c r="G462" s="205" t="s">
        <v>161</v>
      </c>
      <c r="H462" s="202">
        <v>0</v>
      </c>
      <c r="I462" s="202">
        <v>0</v>
      </c>
      <c r="J462" s="202">
        <v>0</v>
      </c>
      <c r="K462" s="202">
        <v>8060000</v>
      </c>
      <c r="L462" s="202">
        <v>1.3</v>
      </c>
      <c r="N462" s="202">
        <v>0</v>
      </c>
      <c r="O462" s="202" t="s">
        <v>159</v>
      </c>
      <c r="P462" s="260">
        <v>1</v>
      </c>
    </row>
    <row r="463" spans="2:16">
      <c r="B463" s="254" t="s">
        <v>195</v>
      </c>
      <c r="C463" s="202" t="s">
        <v>157</v>
      </c>
      <c r="D463" s="202" t="s">
        <v>222</v>
      </c>
      <c r="E463" s="203" t="s">
        <v>4</v>
      </c>
      <c r="F463" s="204" t="s">
        <v>159</v>
      </c>
      <c r="G463" s="205" t="s">
        <v>161</v>
      </c>
      <c r="H463" s="202">
        <v>0</v>
      </c>
      <c r="I463" s="202">
        <v>0</v>
      </c>
      <c r="J463" s="202">
        <v>0</v>
      </c>
      <c r="K463" s="202">
        <v>8220000</v>
      </c>
      <c r="L463" s="202">
        <v>1.31</v>
      </c>
      <c r="N463" s="202">
        <v>0</v>
      </c>
      <c r="O463" s="202" t="s">
        <v>159</v>
      </c>
      <c r="P463" s="260">
        <v>1</v>
      </c>
    </row>
    <row r="464" spans="2:16">
      <c r="B464" s="254" t="s">
        <v>196</v>
      </c>
      <c r="C464" s="202" t="s">
        <v>157</v>
      </c>
      <c r="D464" s="202" t="s">
        <v>222</v>
      </c>
      <c r="E464" s="203" t="s">
        <v>4</v>
      </c>
      <c r="F464" s="204" t="s">
        <v>159</v>
      </c>
      <c r="G464" s="205">
        <v>0.146</v>
      </c>
      <c r="H464" s="202">
        <v>173</v>
      </c>
      <c r="I464" s="202">
        <v>1.46</v>
      </c>
      <c r="J464" s="202">
        <v>2.34e-5</v>
      </c>
      <c r="K464" s="202">
        <v>7390000</v>
      </c>
      <c r="L464" s="202">
        <v>1.3</v>
      </c>
      <c r="N464" s="202">
        <v>0</v>
      </c>
      <c r="O464" s="202" t="s">
        <v>159</v>
      </c>
      <c r="P464" s="260">
        <v>1</v>
      </c>
    </row>
    <row r="465" spans="2:16">
      <c r="B465" s="254" t="s">
        <v>197</v>
      </c>
      <c r="C465" s="202" t="s">
        <v>157</v>
      </c>
      <c r="D465" s="202" t="s">
        <v>222</v>
      </c>
      <c r="E465" s="203" t="s">
        <v>4</v>
      </c>
      <c r="F465" s="204" t="s">
        <v>159</v>
      </c>
      <c r="G465" s="205" t="s">
        <v>161</v>
      </c>
      <c r="H465" s="202">
        <v>0</v>
      </c>
      <c r="I465" s="202">
        <v>0</v>
      </c>
      <c r="J465" s="202">
        <v>0</v>
      </c>
      <c r="K465" s="202">
        <v>8110000</v>
      </c>
      <c r="L465" s="202">
        <v>1.3</v>
      </c>
      <c r="N465" s="202">
        <v>0</v>
      </c>
      <c r="O465" s="202" t="s">
        <v>159</v>
      </c>
      <c r="P465" s="260">
        <v>1</v>
      </c>
    </row>
    <row r="466" spans="2:16">
      <c r="B466" s="254" t="s">
        <v>198</v>
      </c>
      <c r="C466" s="202" t="s">
        <v>157</v>
      </c>
      <c r="D466" s="202" t="s">
        <v>222</v>
      </c>
      <c r="E466" s="203" t="s">
        <v>4</v>
      </c>
      <c r="F466" s="204" t="s">
        <v>159</v>
      </c>
      <c r="G466" s="205">
        <v>0.354</v>
      </c>
      <c r="H466" s="202">
        <v>279</v>
      </c>
      <c r="I466" s="202">
        <v>1.45</v>
      </c>
      <c r="J466" s="202">
        <v>3.4e-5</v>
      </c>
      <c r="K466" s="202">
        <v>8220000</v>
      </c>
      <c r="L466" s="202">
        <v>1.3</v>
      </c>
      <c r="N466" s="202">
        <v>0</v>
      </c>
      <c r="O466" s="202" t="s">
        <v>159</v>
      </c>
      <c r="P466" s="260">
        <v>1</v>
      </c>
    </row>
    <row r="467" spans="2:16">
      <c r="B467" s="254" t="s">
        <v>199</v>
      </c>
      <c r="C467" s="202" t="s">
        <v>157</v>
      </c>
      <c r="D467" s="202" t="s">
        <v>222</v>
      </c>
      <c r="E467" s="203" t="s">
        <v>4</v>
      </c>
      <c r="F467" s="204" t="s">
        <v>159</v>
      </c>
      <c r="G467" s="205">
        <v>2.09</v>
      </c>
      <c r="H467" s="202">
        <v>860</v>
      </c>
      <c r="I467" s="202">
        <v>1.46</v>
      </c>
      <c r="J467" s="202">
        <v>0.000122</v>
      </c>
      <c r="K467" s="202">
        <v>7060000</v>
      </c>
      <c r="L467" s="202">
        <v>1.3</v>
      </c>
      <c r="N467" s="202">
        <v>0</v>
      </c>
      <c r="O467" s="202" t="s">
        <v>159</v>
      </c>
      <c r="P467" s="260">
        <v>1</v>
      </c>
    </row>
    <row r="468" spans="2:16">
      <c r="B468" s="254" t="s">
        <v>200</v>
      </c>
      <c r="C468" s="202" t="s">
        <v>157</v>
      </c>
      <c r="D468" s="202" t="s">
        <v>222</v>
      </c>
      <c r="E468" s="203" t="s">
        <v>4</v>
      </c>
      <c r="F468" s="204" t="s">
        <v>159</v>
      </c>
      <c r="G468" s="205" t="s">
        <v>161</v>
      </c>
      <c r="H468" s="202">
        <v>0</v>
      </c>
      <c r="I468" s="202">
        <v>0</v>
      </c>
      <c r="J468" s="202">
        <v>0</v>
      </c>
      <c r="K468" s="202">
        <v>8190000</v>
      </c>
      <c r="L468" s="202">
        <v>1.3</v>
      </c>
      <c r="N468" s="202">
        <v>0</v>
      </c>
      <c r="O468" s="202" t="s">
        <v>159</v>
      </c>
      <c r="P468" s="260">
        <v>1</v>
      </c>
    </row>
    <row r="469" spans="2:16">
      <c r="B469" s="254" t="s">
        <v>201</v>
      </c>
      <c r="C469" s="202" t="s">
        <v>157</v>
      </c>
      <c r="D469" s="202" t="s">
        <v>222</v>
      </c>
      <c r="E469" s="203" t="s">
        <v>4</v>
      </c>
      <c r="F469" s="204" t="s">
        <v>159</v>
      </c>
      <c r="G469" s="205">
        <v>0.178</v>
      </c>
      <c r="H469" s="202">
        <v>208</v>
      </c>
      <c r="I469" s="202">
        <v>1.44</v>
      </c>
      <c r="J469" s="202">
        <v>2.51e-5</v>
      </c>
      <c r="K469" s="202">
        <v>8320000</v>
      </c>
      <c r="L469" s="202">
        <v>1.3</v>
      </c>
      <c r="N469" s="202">
        <v>0</v>
      </c>
      <c r="O469" s="202" t="s">
        <v>159</v>
      </c>
      <c r="P469" s="260">
        <v>1</v>
      </c>
    </row>
    <row r="470" spans="2:16">
      <c r="B470" s="254" t="s">
        <v>202</v>
      </c>
      <c r="C470" s="202" t="s">
        <v>157</v>
      </c>
      <c r="D470" s="202" t="s">
        <v>222</v>
      </c>
      <c r="E470" s="203" t="s">
        <v>4</v>
      </c>
      <c r="F470" s="204" t="s">
        <v>159</v>
      </c>
      <c r="G470" s="205">
        <v>2.12</v>
      </c>
      <c r="H470" s="202">
        <v>907</v>
      </c>
      <c r="I470" s="202">
        <v>1.46</v>
      </c>
      <c r="J470" s="202">
        <v>0.000123</v>
      </c>
      <c r="K470" s="202">
        <v>7360000</v>
      </c>
      <c r="L470" s="202">
        <v>1.3</v>
      </c>
      <c r="N470" s="202">
        <v>0</v>
      </c>
      <c r="O470" s="202" t="s">
        <v>159</v>
      </c>
      <c r="P470" s="260">
        <v>1</v>
      </c>
    </row>
    <row r="471" spans="2:16">
      <c r="B471" s="254" t="s">
        <v>203</v>
      </c>
      <c r="C471" s="202" t="s">
        <v>157</v>
      </c>
      <c r="D471" s="202" t="s">
        <v>222</v>
      </c>
      <c r="E471" s="203" t="s">
        <v>4</v>
      </c>
      <c r="F471" s="204" t="s">
        <v>159</v>
      </c>
      <c r="G471" s="205">
        <v>0.706</v>
      </c>
      <c r="H471" s="202">
        <v>442</v>
      </c>
      <c r="I471" s="202">
        <v>1.45</v>
      </c>
      <c r="J471" s="202">
        <v>5.18e-5</v>
      </c>
      <c r="K471" s="202">
        <v>8530000</v>
      </c>
      <c r="L471" s="202">
        <v>1.3</v>
      </c>
      <c r="N471" s="202">
        <v>0</v>
      </c>
      <c r="O471" s="202" t="s">
        <v>159</v>
      </c>
      <c r="P471" s="260">
        <v>1</v>
      </c>
    </row>
    <row r="472" spans="2:16">
      <c r="B472" s="254" t="s">
        <v>204</v>
      </c>
      <c r="C472" s="202" t="s">
        <v>157</v>
      </c>
      <c r="D472" s="202" t="s">
        <v>222</v>
      </c>
      <c r="E472" s="203" t="s">
        <v>4</v>
      </c>
      <c r="F472" s="204" t="s">
        <v>159</v>
      </c>
      <c r="G472" s="205">
        <v>1.44</v>
      </c>
      <c r="H472" s="202">
        <v>734</v>
      </c>
      <c r="I472" s="202">
        <v>1.45</v>
      </c>
      <c r="J472" s="202">
        <v>8.9e-5</v>
      </c>
      <c r="K472" s="202">
        <v>8240000</v>
      </c>
      <c r="L472" s="202">
        <v>1.29</v>
      </c>
      <c r="N472" s="202">
        <v>0</v>
      </c>
      <c r="O472" s="202" t="s">
        <v>159</v>
      </c>
      <c r="P472" s="260">
        <v>1</v>
      </c>
    </row>
    <row r="473" spans="2:16">
      <c r="B473" s="254" t="s">
        <v>205</v>
      </c>
      <c r="C473" s="202" t="s">
        <v>157</v>
      </c>
      <c r="D473" s="202" t="s">
        <v>222</v>
      </c>
      <c r="E473" s="203" t="s">
        <v>4</v>
      </c>
      <c r="F473" s="204" t="s">
        <v>159</v>
      </c>
      <c r="G473" s="205">
        <v>1.84</v>
      </c>
      <c r="H473" s="202">
        <v>803</v>
      </c>
      <c r="I473" s="202">
        <v>1.46</v>
      </c>
      <c r="J473" s="202">
        <v>0.000109</v>
      </c>
      <c r="K473" s="202">
        <v>7340000</v>
      </c>
      <c r="L473" s="202">
        <v>1.3</v>
      </c>
      <c r="N473" s="202">
        <v>0</v>
      </c>
      <c r="O473" s="202" t="s">
        <v>159</v>
      </c>
      <c r="P473" s="260">
        <v>1</v>
      </c>
    </row>
    <row r="474" spans="2:16">
      <c r="B474" s="254" t="s">
        <v>175</v>
      </c>
      <c r="C474" s="202" t="s">
        <v>157</v>
      </c>
      <c r="D474" s="202" t="s">
        <v>222</v>
      </c>
      <c r="E474" s="203" t="s">
        <v>4</v>
      </c>
      <c r="F474" s="204" t="s">
        <v>159</v>
      </c>
      <c r="G474" s="205" t="e">
        <v>#DIV/0!</v>
      </c>
      <c r="H474" s="202">
        <v>0</v>
      </c>
      <c r="I474" s="202">
        <v>0</v>
      </c>
      <c r="J474" s="202" t="e">
        <v>#DIV/0!</v>
      </c>
      <c r="K474" s="202">
        <v>0</v>
      </c>
      <c r="L474" s="202">
        <v>0</v>
      </c>
      <c r="N474" s="202">
        <v>0</v>
      </c>
      <c r="O474" s="202" t="s">
        <v>159</v>
      </c>
      <c r="P474" s="260">
        <v>1</v>
      </c>
    </row>
    <row r="475" spans="2:16">
      <c r="B475" s="254" t="s">
        <v>175</v>
      </c>
      <c r="C475" s="202" t="s">
        <v>157</v>
      </c>
      <c r="D475" s="202" t="s">
        <v>222</v>
      </c>
      <c r="E475" s="203" t="s">
        <v>4</v>
      </c>
      <c r="F475" s="204" t="s">
        <v>159</v>
      </c>
      <c r="G475" s="205" t="e">
        <v>#DIV/0!</v>
      </c>
      <c r="H475" s="202">
        <v>0</v>
      </c>
      <c r="I475" s="202">
        <v>0</v>
      </c>
      <c r="J475" s="202" t="e">
        <v>#DIV/0!</v>
      </c>
      <c r="K475" s="202">
        <v>0</v>
      </c>
      <c r="L475" s="202">
        <v>0</v>
      </c>
      <c r="N475" s="202">
        <v>0</v>
      </c>
      <c r="O475" s="202" t="s">
        <v>159</v>
      </c>
      <c r="P475" s="260">
        <v>1</v>
      </c>
    </row>
    <row r="476" spans="2:16">
      <c r="B476" s="254" t="s">
        <v>206</v>
      </c>
      <c r="C476" s="202" t="s">
        <v>172</v>
      </c>
      <c r="D476" s="202" t="s">
        <v>222</v>
      </c>
      <c r="E476" s="203" t="s">
        <v>4</v>
      </c>
      <c r="F476" s="204">
        <v>3</v>
      </c>
      <c r="G476" s="205">
        <v>2.54</v>
      </c>
      <c r="H476" s="202">
        <v>1230</v>
      </c>
      <c r="I476" s="202">
        <v>1.46</v>
      </c>
      <c r="J476" s="202">
        <v>0.000145</v>
      </c>
      <c r="K476" s="202">
        <v>8500000</v>
      </c>
      <c r="L476" s="202">
        <v>1.3</v>
      </c>
      <c r="M476" s="202">
        <v>1</v>
      </c>
      <c r="N476" s="202">
        <v>0</v>
      </c>
      <c r="O476" s="202">
        <v>84.77</v>
      </c>
      <c r="P476" s="260">
        <v>1</v>
      </c>
    </row>
    <row r="477" spans="2:16">
      <c r="B477" s="254" t="s">
        <v>207</v>
      </c>
      <c r="C477" s="202" t="s">
        <v>172</v>
      </c>
      <c r="D477" s="202" t="s">
        <v>222</v>
      </c>
      <c r="E477" s="203" t="s">
        <v>4</v>
      </c>
      <c r="F477" s="204">
        <v>100</v>
      </c>
      <c r="G477" s="205">
        <v>97.3</v>
      </c>
      <c r="H477" s="202">
        <v>42500</v>
      </c>
      <c r="I477" s="202">
        <v>1.45</v>
      </c>
      <c r="J477" s="202">
        <v>0.00494</v>
      </c>
      <c r="K477" s="202">
        <v>8610000</v>
      </c>
      <c r="L477" s="202">
        <v>1.3</v>
      </c>
      <c r="M477" s="202">
        <v>1</v>
      </c>
      <c r="N477" s="202">
        <v>0</v>
      </c>
      <c r="O477" s="202">
        <v>97.26</v>
      </c>
      <c r="P477" s="260">
        <v>1</v>
      </c>
    </row>
    <row r="478" ht="14.75" spans="2:16">
      <c r="B478" s="255" t="s">
        <v>208</v>
      </c>
      <c r="C478" s="256" t="s">
        <v>172</v>
      </c>
      <c r="D478" s="256" t="s">
        <v>222</v>
      </c>
      <c r="E478" s="257" t="s">
        <v>4</v>
      </c>
      <c r="F478" s="258">
        <v>1600</v>
      </c>
      <c r="G478" s="259">
        <v>1530</v>
      </c>
      <c r="H478" s="256">
        <v>654000</v>
      </c>
      <c r="I478" s="256">
        <v>1.46</v>
      </c>
      <c r="J478" s="256">
        <v>0.0776</v>
      </c>
      <c r="K478" s="256">
        <v>8440000</v>
      </c>
      <c r="L478" s="256">
        <v>1.3</v>
      </c>
      <c r="M478" s="256">
        <v>1</v>
      </c>
      <c r="N478" s="256">
        <v>0</v>
      </c>
      <c r="O478" s="256">
        <v>95.72</v>
      </c>
      <c r="P478" s="262">
        <v>1</v>
      </c>
    </row>
    <row r="479" ht="14.75"/>
    <row r="480" spans="2:16">
      <c r="B480" s="249" t="s">
        <v>125</v>
      </c>
      <c r="C480" s="250"/>
      <c r="D480" s="250"/>
      <c r="E480" s="251"/>
      <c r="F480" s="252"/>
      <c r="G480" s="253"/>
      <c r="H480" s="250"/>
      <c r="I480" s="250"/>
      <c r="J480" s="250"/>
      <c r="K480" s="250"/>
      <c r="L480" s="250"/>
      <c r="M480" s="250"/>
      <c r="N480" s="250"/>
      <c r="O480" s="250"/>
      <c r="P480" s="261"/>
    </row>
    <row r="481" spans="2:16">
      <c r="B481" s="254" t="s">
        <v>126</v>
      </c>
      <c r="P481" s="260"/>
    </row>
    <row r="482" spans="2:16">
      <c r="B482" s="254" t="s">
        <v>220</v>
      </c>
      <c r="P482" s="260"/>
    </row>
    <row r="483" spans="2:16">
      <c r="B483" s="254"/>
      <c r="P483" s="260"/>
    </row>
    <row r="484" spans="2:16">
      <c r="B484" s="254" t="s">
        <v>128</v>
      </c>
      <c r="P484" s="260"/>
    </row>
    <row r="485" spans="2:16">
      <c r="B485" s="254" t="s">
        <v>129</v>
      </c>
      <c r="P485" s="260"/>
    </row>
    <row r="486" spans="2:16">
      <c r="B486" s="254" t="s">
        <v>223</v>
      </c>
      <c r="P486" s="260"/>
    </row>
    <row r="487" spans="2:16">
      <c r="B487" s="254"/>
      <c r="P487" s="260"/>
    </row>
    <row r="488" spans="2:16">
      <c r="B488" s="254" t="s">
        <v>131</v>
      </c>
      <c r="C488" s="202" t="s">
        <v>132</v>
      </c>
      <c r="D488" s="202" t="s">
        <v>133</v>
      </c>
      <c r="E488" s="203" t="s">
        <v>134</v>
      </c>
      <c r="F488" s="204" t="s">
        <v>135</v>
      </c>
      <c r="G488" s="205" t="s">
        <v>136</v>
      </c>
      <c r="P488" s="260"/>
    </row>
    <row r="489" spans="2:16">
      <c r="B489" s="254" t="s">
        <v>137</v>
      </c>
      <c r="C489" s="202">
        <v>0.000118</v>
      </c>
      <c r="P489" s="260"/>
    </row>
    <row r="490" spans="2:16">
      <c r="B490" s="254" t="s">
        <v>138</v>
      </c>
      <c r="C490" s="202">
        <v>7.69e-5</v>
      </c>
      <c r="P490" s="260"/>
    </row>
    <row r="491" spans="2:16">
      <c r="B491" s="254" t="s">
        <v>139</v>
      </c>
      <c r="C491" s="202">
        <v>0.9992</v>
      </c>
      <c r="P491" s="260"/>
    </row>
    <row r="492" spans="2:16">
      <c r="B492" s="254" t="s">
        <v>140</v>
      </c>
      <c r="P492" s="260"/>
    </row>
    <row r="493" spans="2:16">
      <c r="B493" s="254"/>
      <c r="P493" s="260"/>
    </row>
    <row r="494" spans="2:16">
      <c r="B494" s="254"/>
      <c r="P494" s="260"/>
    </row>
    <row r="495" spans="2:16">
      <c r="B495" s="254"/>
      <c r="P495" s="260"/>
    </row>
    <row r="496" spans="2:16">
      <c r="B496" s="254" t="s">
        <v>141</v>
      </c>
      <c r="C496" s="202" t="s">
        <v>142</v>
      </c>
      <c r="D496" s="202" t="s">
        <v>143</v>
      </c>
      <c r="E496" s="203" t="s">
        <v>144</v>
      </c>
      <c r="F496" s="204" t="s">
        <v>145</v>
      </c>
      <c r="G496" s="205" t="s">
        <v>146</v>
      </c>
      <c r="H496" s="202" t="s">
        <v>147</v>
      </c>
      <c r="I496" s="202" t="s">
        <v>148</v>
      </c>
      <c r="J496" s="202" t="s">
        <v>149</v>
      </c>
      <c r="K496" s="202" t="s">
        <v>150</v>
      </c>
      <c r="L496" s="202" t="s">
        <v>151</v>
      </c>
      <c r="M496" s="202" t="s">
        <v>152</v>
      </c>
      <c r="N496" s="202" t="s">
        <v>153</v>
      </c>
      <c r="O496" s="202" t="s">
        <v>154</v>
      </c>
      <c r="P496" s="260" t="s">
        <v>155</v>
      </c>
    </row>
    <row r="497" spans="2:16">
      <c r="B497" s="254" t="s">
        <v>156</v>
      </c>
      <c r="C497" s="202" t="s">
        <v>157</v>
      </c>
      <c r="D497" s="202" t="s">
        <v>222</v>
      </c>
      <c r="E497" s="203" t="s">
        <v>4</v>
      </c>
      <c r="F497" s="204" t="s">
        <v>159</v>
      </c>
      <c r="G497" s="205" t="e">
        <v>#DIV/0!</v>
      </c>
      <c r="H497" s="202">
        <v>0</v>
      </c>
      <c r="I497" s="202">
        <v>0</v>
      </c>
      <c r="J497" s="202" t="e">
        <v>#DIV/0!</v>
      </c>
      <c r="K497" s="202">
        <v>0</v>
      </c>
      <c r="L497" s="202">
        <v>0</v>
      </c>
      <c r="N497" s="202">
        <v>0</v>
      </c>
      <c r="O497" s="202" t="s">
        <v>159</v>
      </c>
      <c r="P497" s="260">
        <v>1</v>
      </c>
    </row>
    <row r="498" spans="2:16">
      <c r="B498" s="254" t="s">
        <v>156</v>
      </c>
      <c r="C498" s="202" t="s">
        <v>157</v>
      </c>
      <c r="D498" s="202" t="s">
        <v>222</v>
      </c>
      <c r="E498" s="203" t="s">
        <v>4</v>
      </c>
      <c r="F498" s="204" t="s">
        <v>159</v>
      </c>
      <c r="G498" s="205" t="e">
        <v>#DIV/0!</v>
      </c>
      <c r="H498" s="202">
        <v>0</v>
      </c>
      <c r="I498" s="202">
        <v>0</v>
      </c>
      <c r="J498" s="202" t="e">
        <v>#DIV/0!</v>
      </c>
      <c r="K498" s="202">
        <v>0</v>
      </c>
      <c r="L498" s="202">
        <v>0</v>
      </c>
      <c r="N498" s="202">
        <v>0</v>
      </c>
      <c r="O498" s="202" t="s">
        <v>159</v>
      </c>
      <c r="P498" s="260">
        <v>1</v>
      </c>
    </row>
    <row r="499" spans="2:16">
      <c r="B499" s="254" t="s">
        <v>156</v>
      </c>
      <c r="C499" s="202" t="s">
        <v>157</v>
      </c>
      <c r="D499" s="202" t="s">
        <v>222</v>
      </c>
      <c r="E499" s="203" t="s">
        <v>4</v>
      </c>
      <c r="F499" s="204" t="s">
        <v>159</v>
      </c>
      <c r="G499" s="205" t="e">
        <v>#DIV/0!</v>
      </c>
      <c r="H499" s="202">
        <v>0</v>
      </c>
      <c r="I499" s="202">
        <v>0</v>
      </c>
      <c r="J499" s="202" t="e">
        <v>#DIV/0!</v>
      </c>
      <c r="K499" s="202">
        <v>0</v>
      </c>
      <c r="L499" s="202">
        <v>0</v>
      </c>
      <c r="N499" s="202">
        <v>0</v>
      </c>
      <c r="O499" s="202" t="s">
        <v>159</v>
      </c>
      <c r="P499" s="260">
        <v>1</v>
      </c>
    </row>
    <row r="500" spans="2:16">
      <c r="B500" s="254" t="s">
        <v>160</v>
      </c>
      <c r="C500" s="202" t="s">
        <v>157</v>
      </c>
      <c r="D500" s="202" t="s">
        <v>222</v>
      </c>
      <c r="E500" s="203" t="s">
        <v>4</v>
      </c>
      <c r="F500" s="204" t="s">
        <v>159</v>
      </c>
      <c r="G500" s="205" t="s">
        <v>161</v>
      </c>
      <c r="H500" s="202">
        <v>0</v>
      </c>
      <c r="I500" s="202">
        <v>0</v>
      </c>
      <c r="J500" s="202">
        <v>0</v>
      </c>
      <c r="K500" s="202">
        <v>7920000</v>
      </c>
      <c r="L500" s="202">
        <v>1.3</v>
      </c>
      <c r="N500" s="202">
        <v>0</v>
      </c>
      <c r="O500" s="202" t="s">
        <v>159</v>
      </c>
      <c r="P500" s="260">
        <v>1</v>
      </c>
    </row>
    <row r="501" spans="2:16">
      <c r="B501" s="254" t="s">
        <v>162</v>
      </c>
      <c r="C501" s="202" t="s">
        <v>163</v>
      </c>
      <c r="D501" s="202" t="s">
        <v>222</v>
      </c>
      <c r="E501" s="203" t="s">
        <v>4</v>
      </c>
      <c r="F501" s="204">
        <v>1</v>
      </c>
      <c r="G501" s="205">
        <v>1</v>
      </c>
      <c r="H501" s="202">
        <v>1530</v>
      </c>
      <c r="I501" s="202">
        <v>1.45</v>
      </c>
      <c r="J501" s="202">
        <v>0.000196</v>
      </c>
      <c r="K501" s="202">
        <v>7820000</v>
      </c>
      <c r="L501" s="202">
        <v>1.3</v>
      </c>
      <c r="M501" s="202">
        <v>1</v>
      </c>
      <c r="N501" s="202">
        <v>0</v>
      </c>
      <c r="O501" s="202">
        <v>100.38</v>
      </c>
      <c r="P501" s="260">
        <v>1</v>
      </c>
    </row>
    <row r="502" spans="2:16">
      <c r="B502" s="254" t="s">
        <v>164</v>
      </c>
      <c r="C502" s="202" t="s">
        <v>163</v>
      </c>
      <c r="D502" s="202" t="s">
        <v>222</v>
      </c>
      <c r="E502" s="203" t="s">
        <v>4</v>
      </c>
      <c r="F502" s="204">
        <v>2</v>
      </c>
      <c r="G502" s="205">
        <v>1.96</v>
      </c>
      <c r="H502" s="202">
        <v>2120</v>
      </c>
      <c r="I502" s="202">
        <v>1.45</v>
      </c>
      <c r="J502" s="202">
        <v>0.000269</v>
      </c>
      <c r="K502" s="202">
        <v>7880000</v>
      </c>
      <c r="L502" s="202">
        <v>1.3</v>
      </c>
      <c r="M502" s="202">
        <v>1</v>
      </c>
      <c r="N502" s="202">
        <v>0</v>
      </c>
      <c r="O502" s="202">
        <v>97.82</v>
      </c>
      <c r="P502" s="260">
        <v>1</v>
      </c>
    </row>
    <row r="503" spans="2:16">
      <c r="B503" s="254" t="s">
        <v>165</v>
      </c>
      <c r="C503" s="202" t="s">
        <v>163</v>
      </c>
      <c r="D503" s="202" t="s">
        <v>222</v>
      </c>
      <c r="E503" s="203" t="s">
        <v>4</v>
      </c>
      <c r="F503" s="204">
        <v>10</v>
      </c>
      <c r="G503" s="205">
        <v>10.7</v>
      </c>
      <c r="H503" s="202">
        <v>7450</v>
      </c>
      <c r="I503" s="202">
        <v>1.45</v>
      </c>
      <c r="J503" s="202">
        <v>0.00094</v>
      </c>
      <c r="K503" s="202">
        <v>7930000</v>
      </c>
      <c r="L503" s="202">
        <v>1.3</v>
      </c>
      <c r="M503" s="202">
        <v>1</v>
      </c>
      <c r="N503" s="202">
        <v>0</v>
      </c>
      <c r="O503" s="202">
        <v>106.78</v>
      </c>
      <c r="P503" s="260">
        <v>1</v>
      </c>
    </row>
    <row r="504" spans="2:16">
      <c r="B504" s="254" t="s">
        <v>166</v>
      </c>
      <c r="C504" s="202" t="s">
        <v>163</v>
      </c>
      <c r="D504" s="202" t="s">
        <v>222</v>
      </c>
      <c r="E504" s="203" t="s">
        <v>4</v>
      </c>
      <c r="F504" s="204">
        <v>50</v>
      </c>
      <c r="G504" s="205">
        <v>51</v>
      </c>
      <c r="H504" s="202">
        <v>32100</v>
      </c>
      <c r="I504" s="202">
        <v>1.45</v>
      </c>
      <c r="J504" s="202">
        <v>0.00404</v>
      </c>
      <c r="K504" s="202">
        <v>7950000</v>
      </c>
      <c r="L504" s="202">
        <v>1.3</v>
      </c>
      <c r="M504" s="202">
        <v>1</v>
      </c>
      <c r="N504" s="202">
        <v>0</v>
      </c>
      <c r="O504" s="202">
        <v>102.03</v>
      </c>
      <c r="P504" s="260">
        <v>1</v>
      </c>
    </row>
    <row r="505" spans="2:16">
      <c r="B505" s="254" t="s">
        <v>167</v>
      </c>
      <c r="C505" s="202" t="s">
        <v>163</v>
      </c>
      <c r="D505" s="202" t="s">
        <v>222</v>
      </c>
      <c r="E505" s="203" t="s">
        <v>4</v>
      </c>
      <c r="F505" s="204">
        <v>200</v>
      </c>
      <c r="G505" s="205">
        <v>196</v>
      </c>
      <c r="H505" s="202">
        <v>121000</v>
      </c>
      <c r="I505" s="202">
        <v>1.46</v>
      </c>
      <c r="J505" s="202">
        <v>0.0152</v>
      </c>
      <c r="K505" s="202">
        <v>7960000</v>
      </c>
      <c r="L505" s="202">
        <v>1.3</v>
      </c>
      <c r="M505" s="202">
        <v>1</v>
      </c>
      <c r="N505" s="202">
        <v>0</v>
      </c>
      <c r="O505" s="202">
        <v>98.17</v>
      </c>
      <c r="P505" s="260">
        <v>1</v>
      </c>
    </row>
    <row r="506" spans="2:16">
      <c r="B506" s="254" t="s">
        <v>168</v>
      </c>
      <c r="C506" s="202" t="s">
        <v>163</v>
      </c>
      <c r="D506" s="202" t="s">
        <v>222</v>
      </c>
      <c r="E506" s="203" t="s">
        <v>4</v>
      </c>
      <c r="F506" s="204">
        <v>1000</v>
      </c>
      <c r="G506" s="205">
        <v>1020</v>
      </c>
      <c r="H506" s="202">
        <v>619000</v>
      </c>
      <c r="I506" s="202">
        <v>1.46</v>
      </c>
      <c r="J506" s="202">
        <v>0.0783</v>
      </c>
      <c r="K506" s="202">
        <v>7900000</v>
      </c>
      <c r="L506" s="202">
        <v>1.31</v>
      </c>
      <c r="M506" s="202">
        <v>1</v>
      </c>
      <c r="N506" s="202">
        <v>0</v>
      </c>
      <c r="O506" s="202">
        <v>101.72</v>
      </c>
      <c r="P506" s="260">
        <v>1</v>
      </c>
    </row>
    <row r="507" spans="2:16">
      <c r="B507" s="254" t="s">
        <v>169</v>
      </c>
      <c r="C507" s="202" t="s">
        <v>163</v>
      </c>
      <c r="D507" s="202" t="s">
        <v>222</v>
      </c>
      <c r="E507" s="203" t="s">
        <v>4</v>
      </c>
      <c r="F507" s="204">
        <v>1800</v>
      </c>
      <c r="G507" s="205">
        <v>1770</v>
      </c>
      <c r="H507" s="202">
        <v>1080000</v>
      </c>
      <c r="I507" s="202">
        <v>1.46</v>
      </c>
      <c r="J507" s="202">
        <v>0.137</v>
      </c>
      <c r="K507" s="202">
        <v>7940000</v>
      </c>
      <c r="L507" s="202">
        <v>1.31</v>
      </c>
      <c r="M507" s="202">
        <v>1</v>
      </c>
      <c r="N507" s="202">
        <v>0</v>
      </c>
      <c r="O507" s="202">
        <v>98.59</v>
      </c>
      <c r="P507" s="260">
        <v>1</v>
      </c>
    </row>
    <row r="508" spans="2:16">
      <c r="B508" s="254" t="s">
        <v>170</v>
      </c>
      <c r="C508" s="202" t="s">
        <v>163</v>
      </c>
      <c r="D508" s="202" t="s">
        <v>222</v>
      </c>
      <c r="E508" s="203" t="s">
        <v>4</v>
      </c>
      <c r="F508" s="204">
        <v>2000</v>
      </c>
      <c r="G508" s="205">
        <v>1890</v>
      </c>
      <c r="H508" s="202">
        <v>1170000</v>
      </c>
      <c r="I508" s="202">
        <v>1.45</v>
      </c>
      <c r="J508" s="202">
        <v>0.146</v>
      </c>
      <c r="K508" s="202">
        <v>8030000</v>
      </c>
      <c r="L508" s="202">
        <v>1.3</v>
      </c>
      <c r="M508" s="202">
        <v>1</v>
      </c>
      <c r="N508" s="202">
        <v>0</v>
      </c>
      <c r="O508" s="202">
        <v>94.52</v>
      </c>
      <c r="P508" s="260">
        <v>1</v>
      </c>
    </row>
    <row r="509" spans="2:16">
      <c r="B509" s="254" t="s">
        <v>156</v>
      </c>
      <c r="C509" s="202" t="s">
        <v>157</v>
      </c>
      <c r="D509" s="202" t="s">
        <v>222</v>
      </c>
      <c r="E509" s="203" t="s">
        <v>4</v>
      </c>
      <c r="F509" s="204" t="s">
        <v>159</v>
      </c>
      <c r="G509" s="205" t="e">
        <v>#DIV/0!</v>
      </c>
      <c r="H509" s="202">
        <v>0</v>
      </c>
      <c r="I509" s="202">
        <v>0</v>
      </c>
      <c r="J509" s="202" t="e">
        <v>#DIV/0!</v>
      </c>
      <c r="K509" s="202">
        <v>0</v>
      </c>
      <c r="L509" s="202">
        <v>0</v>
      </c>
      <c r="N509" s="202">
        <v>0</v>
      </c>
      <c r="O509" s="202" t="s">
        <v>159</v>
      </c>
      <c r="P509" s="260">
        <v>1</v>
      </c>
    </row>
    <row r="510" spans="2:16">
      <c r="B510" s="254" t="s">
        <v>156</v>
      </c>
      <c r="C510" s="202" t="s">
        <v>157</v>
      </c>
      <c r="D510" s="202" t="s">
        <v>222</v>
      </c>
      <c r="E510" s="203" t="s">
        <v>4</v>
      </c>
      <c r="F510" s="204" t="s">
        <v>159</v>
      </c>
      <c r="G510" s="205" t="e">
        <v>#DIV/0!</v>
      </c>
      <c r="H510" s="202">
        <v>0</v>
      </c>
      <c r="I510" s="202">
        <v>0</v>
      </c>
      <c r="J510" s="202" t="e">
        <v>#DIV/0!</v>
      </c>
      <c r="K510" s="202">
        <v>0</v>
      </c>
      <c r="L510" s="202">
        <v>0</v>
      </c>
      <c r="N510" s="202">
        <v>0</v>
      </c>
      <c r="O510" s="202" t="s">
        <v>159</v>
      </c>
      <c r="P510" s="260">
        <v>1</v>
      </c>
    </row>
    <row r="511" spans="2:16">
      <c r="B511" s="254" t="s">
        <v>171</v>
      </c>
      <c r="C511" s="202" t="s">
        <v>172</v>
      </c>
      <c r="D511" s="202" t="s">
        <v>222</v>
      </c>
      <c r="E511" s="203" t="s">
        <v>4</v>
      </c>
      <c r="F511" s="204">
        <v>3</v>
      </c>
      <c r="G511" s="205">
        <v>2.38</v>
      </c>
      <c r="H511" s="202">
        <v>2370</v>
      </c>
      <c r="I511" s="202">
        <v>1.45</v>
      </c>
      <c r="J511" s="202">
        <v>0.000302</v>
      </c>
      <c r="K511" s="202">
        <v>7840000</v>
      </c>
      <c r="L511" s="202">
        <v>1.3</v>
      </c>
      <c r="M511" s="202">
        <v>1</v>
      </c>
      <c r="N511" s="202">
        <v>0</v>
      </c>
      <c r="O511" s="202">
        <v>79.45</v>
      </c>
      <c r="P511" s="260">
        <v>1</v>
      </c>
    </row>
    <row r="512" spans="2:16">
      <c r="B512" s="254" t="s">
        <v>173</v>
      </c>
      <c r="C512" s="202" t="s">
        <v>172</v>
      </c>
      <c r="D512" s="202" t="s">
        <v>222</v>
      </c>
      <c r="E512" s="203" t="s">
        <v>4</v>
      </c>
      <c r="F512" s="204">
        <v>100</v>
      </c>
      <c r="G512" s="205">
        <v>98</v>
      </c>
      <c r="H512" s="202">
        <v>60800</v>
      </c>
      <c r="I512" s="202">
        <v>1.45</v>
      </c>
      <c r="J512" s="202">
        <v>0.00766</v>
      </c>
      <c r="K512" s="202">
        <v>7940000</v>
      </c>
      <c r="L512" s="202">
        <v>1.3</v>
      </c>
      <c r="M512" s="202">
        <v>1</v>
      </c>
      <c r="N512" s="202">
        <v>0</v>
      </c>
      <c r="O512" s="202">
        <v>98.03</v>
      </c>
      <c r="P512" s="260">
        <v>1</v>
      </c>
    </row>
    <row r="513" spans="2:16">
      <c r="B513" s="254" t="s">
        <v>174</v>
      </c>
      <c r="C513" s="202" t="s">
        <v>172</v>
      </c>
      <c r="D513" s="202" t="s">
        <v>222</v>
      </c>
      <c r="E513" s="203" t="s">
        <v>4</v>
      </c>
      <c r="F513" s="204">
        <v>1600</v>
      </c>
      <c r="G513" s="205">
        <v>1500</v>
      </c>
      <c r="H513" s="202">
        <v>911000</v>
      </c>
      <c r="I513" s="202">
        <v>1.45</v>
      </c>
      <c r="J513" s="202">
        <v>0.115</v>
      </c>
      <c r="K513" s="202">
        <v>7910000</v>
      </c>
      <c r="L513" s="202">
        <v>1.3</v>
      </c>
      <c r="M513" s="202">
        <v>1</v>
      </c>
      <c r="N513" s="202">
        <v>0</v>
      </c>
      <c r="O513" s="202">
        <v>93.53</v>
      </c>
      <c r="P513" s="260">
        <v>1</v>
      </c>
    </row>
    <row r="514" spans="2:16">
      <c r="B514" s="254" t="s">
        <v>176</v>
      </c>
      <c r="C514" s="202" t="s">
        <v>172</v>
      </c>
      <c r="D514" s="202" t="s">
        <v>222</v>
      </c>
      <c r="E514" s="203" t="s">
        <v>4</v>
      </c>
      <c r="F514" s="204">
        <v>50</v>
      </c>
      <c r="G514" s="205">
        <v>51.5</v>
      </c>
      <c r="H514" s="202">
        <v>32000</v>
      </c>
      <c r="I514" s="202">
        <v>1.46</v>
      </c>
      <c r="J514" s="202">
        <v>0.00408</v>
      </c>
      <c r="K514" s="202">
        <v>7850000</v>
      </c>
      <c r="L514" s="202">
        <v>1.31</v>
      </c>
      <c r="M514" s="202">
        <v>1</v>
      </c>
      <c r="N514" s="202">
        <v>0</v>
      </c>
      <c r="O514" s="202">
        <v>102.9</v>
      </c>
      <c r="P514" s="260">
        <v>1</v>
      </c>
    </row>
    <row r="515" spans="2:16">
      <c r="B515" s="254" t="s">
        <v>177</v>
      </c>
      <c r="C515" s="202" t="s">
        <v>172</v>
      </c>
      <c r="D515" s="202" t="s">
        <v>222</v>
      </c>
      <c r="E515" s="203" t="s">
        <v>4</v>
      </c>
      <c r="F515" s="204">
        <v>50</v>
      </c>
      <c r="G515" s="205">
        <v>53.9</v>
      </c>
      <c r="H515" s="202">
        <v>33900</v>
      </c>
      <c r="I515" s="202">
        <v>1.45</v>
      </c>
      <c r="J515" s="202">
        <v>0.00426</v>
      </c>
      <c r="K515" s="202">
        <v>7950000</v>
      </c>
      <c r="L515" s="202">
        <v>1.3</v>
      </c>
      <c r="M515" s="202">
        <v>1</v>
      </c>
      <c r="N515" s="202">
        <v>0</v>
      </c>
      <c r="O515" s="202">
        <v>107.83</v>
      </c>
      <c r="P515" s="260">
        <v>1</v>
      </c>
    </row>
    <row r="516" spans="2:16">
      <c r="B516" s="254" t="s">
        <v>178</v>
      </c>
      <c r="C516" s="202" t="s">
        <v>172</v>
      </c>
      <c r="D516" s="202" t="s">
        <v>222</v>
      </c>
      <c r="E516" s="203" t="s">
        <v>4</v>
      </c>
      <c r="F516" s="204">
        <v>50</v>
      </c>
      <c r="G516" s="205">
        <v>49.3</v>
      </c>
      <c r="H516" s="202">
        <v>31300</v>
      </c>
      <c r="I516" s="202">
        <v>1.45</v>
      </c>
      <c r="J516" s="202">
        <v>0.00391</v>
      </c>
      <c r="K516" s="202">
        <v>8020000</v>
      </c>
      <c r="L516" s="202">
        <v>1.3</v>
      </c>
      <c r="M516" s="202">
        <v>1</v>
      </c>
      <c r="N516" s="202">
        <v>0</v>
      </c>
      <c r="O516" s="202">
        <v>98.51</v>
      </c>
      <c r="P516" s="260">
        <v>1</v>
      </c>
    </row>
    <row r="517" spans="2:16">
      <c r="B517" s="254" t="s">
        <v>175</v>
      </c>
      <c r="C517" s="202" t="s">
        <v>157</v>
      </c>
      <c r="D517" s="202" t="s">
        <v>222</v>
      </c>
      <c r="E517" s="203" t="s">
        <v>4</v>
      </c>
      <c r="F517" s="204" t="s">
        <v>159</v>
      </c>
      <c r="G517" s="205" t="e">
        <v>#DIV/0!</v>
      </c>
      <c r="H517" s="202">
        <v>0</v>
      </c>
      <c r="I517" s="202">
        <v>0</v>
      </c>
      <c r="J517" s="202" t="e">
        <v>#DIV/0!</v>
      </c>
      <c r="K517" s="202">
        <v>0</v>
      </c>
      <c r="L517" s="202">
        <v>0</v>
      </c>
      <c r="N517" s="202">
        <v>0</v>
      </c>
      <c r="O517" s="202" t="s">
        <v>159</v>
      </c>
      <c r="P517" s="260">
        <v>1</v>
      </c>
    </row>
    <row r="518" spans="2:16">
      <c r="B518" s="254" t="s">
        <v>179</v>
      </c>
      <c r="C518" s="202" t="s">
        <v>157</v>
      </c>
      <c r="D518" s="202" t="s">
        <v>222</v>
      </c>
      <c r="E518" s="203" t="s">
        <v>4</v>
      </c>
      <c r="F518" s="204" t="s">
        <v>159</v>
      </c>
      <c r="G518" s="205" t="s">
        <v>161</v>
      </c>
      <c r="H518" s="202">
        <v>0</v>
      </c>
      <c r="I518" s="202">
        <v>0</v>
      </c>
      <c r="J518" s="202">
        <v>0</v>
      </c>
      <c r="K518" s="202">
        <v>8490000</v>
      </c>
      <c r="L518" s="202">
        <v>1.3</v>
      </c>
      <c r="N518" s="202">
        <v>0</v>
      </c>
      <c r="O518" s="202" t="s">
        <v>159</v>
      </c>
      <c r="P518" s="260">
        <v>1</v>
      </c>
    </row>
    <row r="519" spans="2:16">
      <c r="B519" s="254" t="s">
        <v>180</v>
      </c>
      <c r="C519" s="202" t="s">
        <v>157</v>
      </c>
      <c r="D519" s="202" t="s">
        <v>222</v>
      </c>
      <c r="E519" s="203" t="s">
        <v>4</v>
      </c>
      <c r="F519" s="204" t="s">
        <v>159</v>
      </c>
      <c r="G519" s="205" t="s">
        <v>161</v>
      </c>
      <c r="H519" s="202">
        <v>0</v>
      </c>
      <c r="I519" s="202">
        <v>0</v>
      </c>
      <c r="J519" s="202">
        <v>0</v>
      </c>
      <c r="K519" s="202">
        <v>8590000</v>
      </c>
      <c r="L519" s="202">
        <v>1.3</v>
      </c>
      <c r="N519" s="202">
        <v>0</v>
      </c>
      <c r="O519" s="202" t="s">
        <v>159</v>
      </c>
      <c r="P519" s="260">
        <v>1</v>
      </c>
    </row>
    <row r="520" spans="2:16">
      <c r="B520" s="254" t="s">
        <v>181</v>
      </c>
      <c r="C520" s="202" t="s">
        <v>157</v>
      </c>
      <c r="D520" s="202" t="s">
        <v>222</v>
      </c>
      <c r="E520" s="203" t="s">
        <v>4</v>
      </c>
      <c r="F520" s="204" t="s">
        <v>159</v>
      </c>
      <c r="G520" s="205" t="s">
        <v>161</v>
      </c>
      <c r="H520" s="202">
        <v>0</v>
      </c>
      <c r="I520" s="202">
        <v>0</v>
      </c>
      <c r="J520" s="202">
        <v>0</v>
      </c>
      <c r="K520" s="202">
        <v>8680000</v>
      </c>
      <c r="L520" s="202">
        <v>1.3</v>
      </c>
      <c r="N520" s="202">
        <v>0</v>
      </c>
      <c r="O520" s="202" t="s">
        <v>159</v>
      </c>
      <c r="P520" s="260">
        <v>1</v>
      </c>
    </row>
    <row r="521" spans="2:16">
      <c r="B521" s="254" t="s">
        <v>182</v>
      </c>
      <c r="C521" s="202" t="s">
        <v>157</v>
      </c>
      <c r="D521" s="202" t="s">
        <v>222</v>
      </c>
      <c r="E521" s="203" t="s">
        <v>4</v>
      </c>
      <c r="F521" s="204" t="s">
        <v>159</v>
      </c>
      <c r="G521" s="205" t="s">
        <v>161</v>
      </c>
      <c r="H521" s="202">
        <v>0</v>
      </c>
      <c r="I521" s="202">
        <v>0</v>
      </c>
      <c r="J521" s="202">
        <v>0</v>
      </c>
      <c r="K521" s="202">
        <v>8500000</v>
      </c>
      <c r="L521" s="202">
        <v>1.31</v>
      </c>
      <c r="N521" s="202">
        <v>0</v>
      </c>
      <c r="O521" s="202" t="s">
        <v>159</v>
      </c>
      <c r="P521" s="260">
        <v>1</v>
      </c>
    </row>
    <row r="522" spans="2:16">
      <c r="B522" s="254" t="s">
        <v>183</v>
      </c>
      <c r="C522" s="202" t="s">
        <v>157</v>
      </c>
      <c r="D522" s="202" t="s">
        <v>222</v>
      </c>
      <c r="E522" s="203" t="s">
        <v>4</v>
      </c>
      <c r="F522" s="204" t="s">
        <v>159</v>
      </c>
      <c r="G522" s="205" t="s">
        <v>161</v>
      </c>
      <c r="H522" s="202">
        <v>0</v>
      </c>
      <c r="I522" s="202">
        <v>0</v>
      </c>
      <c r="J522" s="202">
        <v>0</v>
      </c>
      <c r="K522" s="202">
        <v>9120000</v>
      </c>
      <c r="L522" s="202">
        <v>1.3</v>
      </c>
      <c r="N522" s="202">
        <v>0</v>
      </c>
      <c r="O522" s="202" t="s">
        <v>159</v>
      </c>
      <c r="P522" s="260">
        <v>1</v>
      </c>
    </row>
    <row r="523" spans="2:16">
      <c r="B523" s="254" t="s">
        <v>184</v>
      </c>
      <c r="C523" s="202" t="s">
        <v>157</v>
      </c>
      <c r="D523" s="202" t="s">
        <v>222</v>
      </c>
      <c r="E523" s="203" t="s">
        <v>4</v>
      </c>
      <c r="F523" s="204" t="s">
        <v>159</v>
      </c>
      <c r="G523" s="205" t="s">
        <v>161</v>
      </c>
      <c r="H523" s="202">
        <v>0</v>
      </c>
      <c r="I523" s="202">
        <v>0</v>
      </c>
      <c r="J523" s="202">
        <v>0</v>
      </c>
      <c r="K523" s="202">
        <v>8820000</v>
      </c>
      <c r="L523" s="202">
        <v>1.3</v>
      </c>
      <c r="N523" s="202">
        <v>0</v>
      </c>
      <c r="O523" s="202" t="s">
        <v>159</v>
      </c>
      <c r="P523" s="260">
        <v>1</v>
      </c>
    </row>
    <row r="524" spans="2:16">
      <c r="B524" s="254" t="s">
        <v>185</v>
      </c>
      <c r="C524" s="202" t="s">
        <v>157</v>
      </c>
      <c r="D524" s="202" t="s">
        <v>222</v>
      </c>
      <c r="E524" s="203" t="s">
        <v>4</v>
      </c>
      <c r="F524" s="204" t="s">
        <v>159</v>
      </c>
      <c r="G524" s="205" t="s">
        <v>161</v>
      </c>
      <c r="H524" s="202">
        <v>0</v>
      </c>
      <c r="I524" s="202">
        <v>0</v>
      </c>
      <c r="J524" s="202">
        <v>0</v>
      </c>
      <c r="K524" s="202">
        <v>8730000</v>
      </c>
      <c r="L524" s="202">
        <v>1.3</v>
      </c>
      <c r="N524" s="202">
        <v>0</v>
      </c>
      <c r="O524" s="202" t="s">
        <v>159</v>
      </c>
      <c r="P524" s="260">
        <v>1</v>
      </c>
    </row>
    <row r="525" spans="2:16">
      <c r="B525" s="254" t="s">
        <v>186</v>
      </c>
      <c r="C525" s="202" t="s">
        <v>157</v>
      </c>
      <c r="D525" s="202" t="s">
        <v>222</v>
      </c>
      <c r="E525" s="203" t="s">
        <v>4</v>
      </c>
      <c r="F525" s="204" t="s">
        <v>159</v>
      </c>
      <c r="G525" s="205" t="s">
        <v>161</v>
      </c>
      <c r="H525" s="202">
        <v>0</v>
      </c>
      <c r="I525" s="202">
        <v>0</v>
      </c>
      <c r="J525" s="202">
        <v>0</v>
      </c>
      <c r="K525" s="202">
        <v>8230000</v>
      </c>
      <c r="L525" s="202">
        <v>1.3</v>
      </c>
      <c r="N525" s="202">
        <v>0</v>
      </c>
      <c r="O525" s="202" t="s">
        <v>159</v>
      </c>
      <c r="P525" s="260">
        <v>1</v>
      </c>
    </row>
    <row r="526" spans="2:16">
      <c r="B526" s="254" t="s">
        <v>187</v>
      </c>
      <c r="C526" s="202" t="s">
        <v>157</v>
      </c>
      <c r="D526" s="202" t="s">
        <v>222</v>
      </c>
      <c r="E526" s="203" t="s">
        <v>4</v>
      </c>
      <c r="F526" s="204" t="s">
        <v>159</v>
      </c>
      <c r="G526" s="205" t="s">
        <v>161</v>
      </c>
      <c r="H526" s="202">
        <v>0</v>
      </c>
      <c r="I526" s="202">
        <v>0</v>
      </c>
      <c r="J526" s="202">
        <v>0</v>
      </c>
      <c r="K526" s="202">
        <v>8530000</v>
      </c>
      <c r="L526" s="202">
        <v>1.3</v>
      </c>
      <c r="N526" s="202">
        <v>0</v>
      </c>
      <c r="O526" s="202" t="s">
        <v>159</v>
      </c>
      <c r="P526" s="260">
        <v>1</v>
      </c>
    </row>
    <row r="527" spans="2:16">
      <c r="B527" s="254" t="s">
        <v>188</v>
      </c>
      <c r="C527" s="202" t="s">
        <v>157</v>
      </c>
      <c r="D527" s="202" t="s">
        <v>222</v>
      </c>
      <c r="E527" s="203" t="s">
        <v>4</v>
      </c>
      <c r="F527" s="204" t="s">
        <v>159</v>
      </c>
      <c r="G527" s="205" t="s">
        <v>161</v>
      </c>
      <c r="H527" s="202">
        <v>0</v>
      </c>
      <c r="I527" s="202">
        <v>0</v>
      </c>
      <c r="J527" s="202">
        <v>0</v>
      </c>
      <c r="K527" s="202">
        <v>8390000</v>
      </c>
      <c r="L527" s="202">
        <v>1.31</v>
      </c>
      <c r="N527" s="202">
        <v>0</v>
      </c>
      <c r="O527" s="202" t="s">
        <v>159</v>
      </c>
      <c r="P527" s="260">
        <v>1</v>
      </c>
    </row>
    <row r="528" spans="2:16">
      <c r="B528" s="254" t="s">
        <v>189</v>
      </c>
      <c r="C528" s="202" t="s">
        <v>157</v>
      </c>
      <c r="D528" s="202" t="s">
        <v>222</v>
      </c>
      <c r="E528" s="203" t="s">
        <v>4</v>
      </c>
      <c r="F528" s="204" t="s">
        <v>159</v>
      </c>
      <c r="G528" s="205">
        <v>0.116</v>
      </c>
      <c r="H528" s="202">
        <v>1090</v>
      </c>
      <c r="I528" s="202">
        <v>1.44</v>
      </c>
      <c r="J528" s="202">
        <v>0.000127</v>
      </c>
      <c r="K528" s="202">
        <v>8560000</v>
      </c>
      <c r="L528" s="202">
        <v>1.3</v>
      </c>
      <c r="N528" s="202">
        <v>0</v>
      </c>
      <c r="O528" s="202" t="s">
        <v>159</v>
      </c>
      <c r="P528" s="260">
        <v>1</v>
      </c>
    </row>
    <row r="529" spans="2:16">
      <c r="B529" s="254" t="s">
        <v>190</v>
      </c>
      <c r="C529" s="202" t="s">
        <v>157</v>
      </c>
      <c r="D529" s="202" t="s">
        <v>222</v>
      </c>
      <c r="E529" s="203" t="s">
        <v>4</v>
      </c>
      <c r="F529" s="204" t="s">
        <v>159</v>
      </c>
      <c r="G529" s="205" t="s">
        <v>161</v>
      </c>
      <c r="H529" s="202">
        <v>0</v>
      </c>
      <c r="I529" s="202">
        <v>0</v>
      </c>
      <c r="J529" s="202">
        <v>0</v>
      </c>
      <c r="K529" s="202">
        <v>8890000</v>
      </c>
      <c r="L529" s="202">
        <v>1.3</v>
      </c>
      <c r="N529" s="202">
        <v>0</v>
      </c>
      <c r="O529" s="202" t="s">
        <v>159</v>
      </c>
      <c r="P529" s="260">
        <v>1</v>
      </c>
    </row>
    <row r="530" spans="2:16">
      <c r="B530" s="254" t="s">
        <v>191</v>
      </c>
      <c r="C530" s="202" t="s">
        <v>157</v>
      </c>
      <c r="D530" s="202" t="s">
        <v>222</v>
      </c>
      <c r="E530" s="203" t="s">
        <v>4</v>
      </c>
      <c r="F530" s="204" t="s">
        <v>159</v>
      </c>
      <c r="G530" s="205" t="s">
        <v>161</v>
      </c>
      <c r="H530" s="202">
        <v>0</v>
      </c>
      <c r="I530" s="202">
        <v>0</v>
      </c>
      <c r="J530" s="202">
        <v>0</v>
      </c>
      <c r="K530" s="202">
        <v>8530000</v>
      </c>
      <c r="L530" s="202">
        <v>1.3</v>
      </c>
      <c r="N530" s="202">
        <v>0</v>
      </c>
      <c r="O530" s="202" t="s">
        <v>159</v>
      </c>
      <c r="P530" s="260">
        <v>1</v>
      </c>
    </row>
    <row r="531" spans="2:16">
      <c r="B531" s="254" t="s">
        <v>192</v>
      </c>
      <c r="C531" s="202" t="s">
        <v>157</v>
      </c>
      <c r="D531" s="202" t="s">
        <v>222</v>
      </c>
      <c r="E531" s="203" t="s">
        <v>4</v>
      </c>
      <c r="F531" s="204" t="s">
        <v>159</v>
      </c>
      <c r="G531" s="205">
        <v>2.5</v>
      </c>
      <c r="H531" s="202">
        <v>2560</v>
      </c>
      <c r="I531" s="202">
        <v>1.45</v>
      </c>
      <c r="J531" s="202">
        <v>0.000311</v>
      </c>
      <c r="K531" s="202">
        <v>8250000</v>
      </c>
      <c r="L531" s="202">
        <v>1.3</v>
      </c>
      <c r="N531" s="202">
        <v>0</v>
      </c>
      <c r="O531" s="202" t="s">
        <v>159</v>
      </c>
      <c r="P531" s="260">
        <v>1</v>
      </c>
    </row>
    <row r="532" spans="2:16">
      <c r="B532" s="254" t="s">
        <v>193</v>
      </c>
      <c r="C532" s="202" t="s">
        <v>157</v>
      </c>
      <c r="D532" s="202" t="s">
        <v>222</v>
      </c>
      <c r="E532" s="203" t="s">
        <v>4</v>
      </c>
      <c r="F532" s="204" t="s">
        <v>159</v>
      </c>
      <c r="G532" s="205" t="s">
        <v>161</v>
      </c>
      <c r="H532" s="202">
        <v>0</v>
      </c>
      <c r="I532" s="202">
        <v>0</v>
      </c>
      <c r="J532" s="202">
        <v>0</v>
      </c>
      <c r="K532" s="202">
        <v>8200000</v>
      </c>
      <c r="L532" s="202">
        <v>1.3</v>
      </c>
      <c r="N532" s="202">
        <v>0</v>
      </c>
      <c r="O532" s="202" t="s">
        <v>159</v>
      </c>
      <c r="P532" s="260">
        <v>1</v>
      </c>
    </row>
    <row r="533" spans="2:16">
      <c r="B533" s="254" t="s">
        <v>194</v>
      </c>
      <c r="C533" s="202" t="s">
        <v>157</v>
      </c>
      <c r="D533" s="202" t="s">
        <v>222</v>
      </c>
      <c r="E533" s="203" t="s">
        <v>4</v>
      </c>
      <c r="F533" s="204" t="s">
        <v>159</v>
      </c>
      <c r="G533" s="205">
        <v>1.8</v>
      </c>
      <c r="H533" s="202">
        <v>2070</v>
      </c>
      <c r="I533" s="202">
        <v>1.44</v>
      </c>
      <c r="J533" s="202">
        <v>0.000257</v>
      </c>
      <c r="K533" s="202">
        <v>8060000</v>
      </c>
      <c r="L533" s="202">
        <v>1.3</v>
      </c>
      <c r="N533" s="202">
        <v>0</v>
      </c>
      <c r="O533" s="202" t="s">
        <v>159</v>
      </c>
      <c r="P533" s="260">
        <v>1</v>
      </c>
    </row>
    <row r="534" spans="2:16">
      <c r="B534" s="254" t="s">
        <v>195</v>
      </c>
      <c r="C534" s="202" t="s">
        <v>157</v>
      </c>
      <c r="D534" s="202" t="s">
        <v>222</v>
      </c>
      <c r="E534" s="203" t="s">
        <v>4</v>
      </c>
      <c r="F534" s="204" t="s">
        <v>159</v>
      </c>
      <c r="G534" s="205">
        <v>8.2</v>
      </c>
      <c r="H534" s="202">
        <v>6160</v>
      </c>
      <c r="I534" s="202">
        <v>1.45</v>
      </c>
      <c r="J534" s="202">
        <v>0.000749</v>
      </c>
      <c r="K534" s="202">
        <v>8220000</v>
      </c>
      <c r="L534" s="202">
        <v>1.31</v>
      </c>
      <c r="N534" s="202">
        <v>0</v>
      </c>
      <c r="O534" s="202" t="s">
        <v>159</v>
      </c>
      <c r="P534" s="260">
        <v>1</v>
      </c>
    </row>
    <row r="535" spans="2:16">
      <c r="B535" s="254" t="s">
        <v>196</v>
      </c>
      <c r="C535" s="202" t="s">
        <v>157</v>
      </c>
      <c r="D535" s="202" t="s">
        <v>222</v>
      </c>
      <c r="E535" s="203" t="s">
        <v>4</v>
      </c>
      <c r="F535" s="204" t="s">
        <v>159</v>
      </c>
      <c r="G535" s="205">
        <v>1.44</v>
      </c>
      <c r="H535" s="202">
        <v>1690</v>
      </c>
      <c r="I535" s="202">
        <v>1.44</v>
      </c>
      <c r="J535" s="202">
        <v>0.000229</v>
      </c>
      <c r="K535" s="202">
        <v>7390000</v>
      </c>
      <c r="L535" s="202">
        <v>1.3</v>
      </c>
      <c r="N535" s="202">
        <v>0</v>
      </c>
      <c r="O535" s="202" t="s">
        <v>159</v>
      </c>
      <c r="P535" s="260">
        <v>1</v>
      </c>
    </row>
    <row r="536" spans="2:16">
      <c r="B536" s="254" t="s">
        <v>197</v>
      </c>
      <c r="C536" s="202" t="s">
        <v>157</v>
      </c>
      <c r="D536" s="202" t="s">
        <v>222</v>
      </c>
      <c r="E536" s="203" t="s">
        <v>4</v>
      </c>
      <c r="F536" s="204" t="s">
        <v>159</v>
      </c>
      <c r="G536" s="205">
        <v>12.7</v>
      </c>
      <c r="H536" s="202">
        <v>8860</v>
      </c>
      <c r="I536" s="202">
        <v>1.45</v>
      </c>
      <c r="J536" s="202">
        <v>0.00109</v>
      </c>
      <c r="K536" s="202">
        <v>8110000</v>
      </c>
      <c r="L536" s="202">
        <v>1.3</v>
      </c>
      <c r="N536" s="202">
        <v>0</v>
      </c>
      <c r="O536" s="202" t="s">
        <v>159</v>
      </c>
      <c r="P536" s="260">
        <v>1</v>
      </c>
    </row>
    <row r="537" spans="2:16">
      <c r="B537" s="254" t="s">
        <v>198</v>
      </c>
      <c r="C537" s="202" t="s">
        <v>157</v>
      </c>
      <c r="D537" s="202" t="s">
        <v>222</v>
      </c>
      <c r="E537" s="203" t="s">
        <v>4</v>
      </c>
      <c r="F537" s="204" t="s">
        <v>159</v>
      </c>
      <c r="G537" s="205">
        <v>58.2</v>
      </c>
      <c r="H537" s="202">
        <v>37700</v>
      </c>
      <c r="I537" s="202">
        <v>1.45</v>
      </c>
      <c r="J537" s="202">
        <v>0.00459</v>
      </c>
      <c r="K537" s="202">
        <v>8220000</v>
      </c>
      <c r="L537" s="202">
        <v>1.3</v>
      </c>
      <c r="N537" s="202">
        <v>0</v>
      </c>
      <c r="O537" s="202" t="s">
        <v>159</v>
      </c>
      <c r="P537" s="260">
        <v>1</v>
      </c>
    </row>
    <row r="538" spans="2:16">
      <c r="B538" s="254" t="s">
        <v>199</v>
      </c>
      <c r="C538" s="202" t="s">
        <v>157</v>
      </c>
      <c r="D538" s="202" t="s">
        <v>222</v>
      </c>
      <c r="E538" s="203" t="s">
        <v>4</v>
      </c>
      <c r="F538" s="204" t="s">
        <v>159</v>
      </c>
      <c r="G538" s="205">
        <v>39.1</v>
      </c>
      <c r="H538" s="202">
        <v>22100</v>
      </c>
      <c r="I538" s="202">
        <v>1.45</v>
      </c>
      <c r="J538" s="202">
        <v>0.00312</v>
      </c>
      <c r="K538" s="202">
        <v>7060000</v>
      </c>
      <c r="L538" s="202">
        <v>1.3</v>
      </c>
      <c r="N538" s="202">
        <v>0</v>
      </c>
      <c r="O538" s="202" t="s">
        <v>159</v>
      </c>
      <c r="P538" s="260">
        <v>1</v>
      </c>
    </row>
    <row r="539" spans="2:16">
      <c r="B539" s="254" t="s">
        <v>200</v>
      </c>
      <c r="C539" s="202" t="s">
        <v>157</v>
      </c>
      <c r="D539" s="202" t="s">
        <v>222</v>
      </c>
      <c r="E539" s="203" t="s">
        <v>4</v>
      </c>
      <c r="F539" s="204" t="s">
        <v>159</v>
      </c>
      <c r="G539" s="205">
        <v>58.6</v>
      </c>
      <c r="H539" s="202">
        <v>37900</v>
      </c>
      <c r="I539" s="202">
        <v>1.44</v>
      </c>
      <c r="J539" s="202">
        <v>0.00462</v>
      </c>
      <c r="K539" s="202">
        <v>8190000</v>
      </c>
      <c r="L539" s="202">
        <v>1.3</v>
      </c>
      <c r="N539" s="202">
        <v>0</v>
      </c>
      <c r="O539" s="202" t="s">
        <v>159</v>
      </c>
      <c r="P539" s="260">
        <v>1</v>
      </c>
    </row>
    <row r="540" spans="2:16">
      <c r="B540" s="254" t="s">
        <v>201</v>
      </c>
      <c r="C540" s="202" t="s">
        <v>157</v>
      </c>
      <c r="D540" s="202" t="s">
        <v>222</v>
      </c>
      <c r="E540" s="203" t="s">
        <v>4</v>
      </c>
      <c r="F540" s="204" t="s">
        <v>159</v>
      </c>
      <c r="G540" s="205">
        <v>93</v>
      </c>
      <c r="H540" s="202">
        <v>60500</v>
      </c>
      <c r="I540" s="202">
        <v>1.44</v>
      </c>
      <c r="J540" s="202">
        <v>0.00727</v>
      </c>
      <c r="K540" s="202">
        <v>8320000</v>
      </c>
      <c r="L540" s="202">
        <v>1.3</v>
      </c>
      <c r="N540" s="202">
        <v>0</v>
      </c>
      <c r="O540" s="202" t="s">
        <v>159</v>
      </c>
      <c r="P540" s="260">
        <v>1</v>
      </c>
    </row>
    <row r="541" spans="2:16">
      <c r="B541" s="254" t="s">
        <v>202</v>
      </c>
      <c r="C541" s="202" t="s">
        <v>157</v>
      </c>
      <c r="D541" s="202" t="s">
        <v>222</v>
      </c>
      <c r="E541" s="203" t="s">
        <v>4</v>
      </c>
      <c r="F541" s="204" t="s">
        <v>159</v>
      </c>
      <c r="G541" s="205">
        <v>103</v>
      </c>
      <c r="H541" s="202">
        <v>59000</v>
      </c>
      <c r="I541" s="202">
        <v>1.45</v>
      </c>
      <c r="J541" s="202">
        <v>0.00802</v>
      </c>
      <c r="K541" s="202">
        <v>7360000</v>
      </c>
      <c r="L541" s="202">
        <v>1.3</v>
      </c>
      <c r="N541" s="202">
        <v>0</v>
      </c>
      <c r="O541" s="202" t="s">
        <v>159</v>
      </c>
      <c r="P541" s="260">
        <v>1</v>
      </c>
    </row>
    <row r="542" spans="2:16">
      <c r="B542" s="254" t="s">
        <v>203</v>
      </c>
      <c r="C542" s="202" t="s">
        <v>157</v>
      </c>
      <c r="D542" s="202" t="s">
        <v>222</v>
      </c>
      <c r="E542" s="203" t="s">
        <v>4</v>
      </c>
      <c r="F542" s="204" t="s">
        <v>159</v>
      </c>
      <c r="G542" s="205">
        <v>79.1</v>
      </c>
      <c r="H542" s="202">
        <v>52900</v>
      </c>
      <c r="I542" s="202">
        <v>1.44</v>
      </c>
      <c r="J542" s="202">
        <v>0.0062</v>
      </c>
      <c r="K542" s="202">
        <v>8530000</v>
      </c>
      <c r="L542" s="202">
        <v>1.3</v>
      </c>
      <c r="N542" s="202">
        <v>0</v>
      </c>
      <c r="O542" s="202" t="s">
        <v>159</v>
      </c>
      <c r="P542" s="260">
        <v>1</v>
      </c>
    </row>
    <row r="543" spans="2:16">
      <c r="B543" s="254" t="s">
        <v>204</v>
      </c>
      <c r="C543" s="202" t="s">
        <v>157</v>
      </c>
      <c r="D543" s="202" t="s">
        <v>222</v>
      </c>
      <c r="E543" s="203" t="s">
        <v>4</v>
      </c>
      <c r="F543" s="204" t="s">
        <v>159</v>
      </c>
      <c r="G543" s="205">
        <v>132</v>
      </c>
      <c r="H543" s="202">
        <v>84800</v>
      </c>
      <c r="I543" s="202">
        <v>1.44</v>
      </c>
      <c r="J543" s="202">
        <v>0.0103</v>
      </c>
      <c r="K543" s="202">
        <v>8240000</v>
      </c>
      <c r="L543" s="202">
        <v>1.29</v>
      </c>
      <c r="N543" s="202">
        <v>0</v>
      </c>
      <c r="O543" s="202" t="s">
        <v>159</v>
      </c>
      <c r="P543" s="260">
        <v>1</v>
      </c>
    </row>
    <row r="544" spans="2:16">
      <c r="B544" s="254" t="s">
        <v>205</v>
      </c>
      <c r="C544" s="202" t="s">
        <v>157</v>
      </c>
      <c r="D544" s="202" t="s">
        <v>222</v>
      </c>
      <c r="E544" s="203" t="s">
        <v>4</v>
      </c>
      <c r="F544" s="204" t="s">
        <v>159</v>
      </c>
      <c r="G544" s="205">
        <v>122</v>
      </c>
      <c r="H544" s="202">
        <v>69700</v>
      </c>
      <c r="I544" s="202">
        <v>1.45</v>
      </c>
      <c r="J544" s="202">
        <v>0.00949</v>
      </c>
      <c r="K544" s="202">
        <v>7340000</v>
      </c>
      <c r="L544" s="202">
        <v>1.3</v>
      </c>
      <c r="N544" s="202">
        <v>0</v>
      </c>
      <c r="O544" s="202" t="s">
        <v>159</v>
      </c>
      <c r="P544" s="260">
        <v>1</v>
      </c>
    </row>
    <row r="545" spans="2:16">
      <c r="B545" s="254" t="s">
        <v>175</v>
      </c>
      <c r="C545" s="202" t="s">
        <v>157</v>
      </c>
      <c r="D545" s="202" t="s">
        <v>222</v>
      </c>
      <c r="E545" s="203" t="s">
        <v>4</v>
      </c>
      <c r="F545" s="204" t="s">
        <v>159</v>
      </c>
      <c r="G545" s="205" t="e">
        <v>#DIV/0!</v>
      </c>
      <c r="H545" s="202">
        <v>0</v>
      </c>
      <c r="I545" s="202">
        <v>0</v>
      </c>
      <c r="J545" s="202" t="e">
        <v>#DIV/0!</v>
      </c>
      <c r="K545" s="202">
        <v>0</v>
      </c>
      <c r="L545" s="202">
        <v>0</v>
      </c>
      <c r="N545" s="202">
        <v>0</v>
      </c>
      <c r="O545" s="202" t="s">
        <v>159</v>
      </c>
      <c r="P545" s="260">
        <v>1</v>
      </c>
    </row>
    <row r="546" spans="2:16">
      <c r="B546" s="254" t="s">
        <v>175</v>
      </c>
      <c r="C546" s="202" t="s">
        <v>157</v>
      </c>
      <c r="D546" s="202" t="s">
        <v>222</v>
      </c>
      <c r="E546" s="203" t="s">
        <v>4</v>
      </c>
      <c r="F546" s="204" t="s">
        <v>159</v>
      </c>
      <c r="G546" s="205" t="e">
        <v>#DIV/0!</v>
      </c>
      <c r="H546" s="202">
        <v>0</v>
      </c>
      <c r="I546" s="202">
        <v>0</v>
      </c>
      <c r="J546" s="202" t="e">
        <v>#DIV/0!</v>
      </c>
      <c r="K546" s="202">
        <v>0</v>
      </c>
      <c r="L546" s="202">
        <v>0</v>
      </c>
      <c r="N546" s="202">
        <v>0</v>
      </c>
      <c r="O546" s="202" t="s">
        <v>159</v>
      </c>
      <c r="P546" s="260">
        <v>1</v>
      </c>
    </row>
    <row r="547" spans="2:16">
      <c r="B547" s="254" t="s">
        <v>206</v>
      </c>
      <c r="C547" s="202" t="s">
        <v>172</v>
      </c>
      <c r="D547" s="202" t="s">
        <v>222</v>
      </c>
      <c r="E547" s="203" t="s">
        <v>4</v>
      </c>
      <c r="F547" s="204">
        <v>3</v>
      </c>
      <c r="G547" s="205">
        <v>2.15</v>
      </c>
      <c r="H547" s="202">
        <v>2410</v>
      </c>
      <c r="I547" s="202">
        <v>1.46</v>
      </c>
      <c r="J547" s="202">
        <v>0.000283</v>
      </c>
      <c r="K547" s="202">
        <v>8500000</v>
      </c>
      <c r="L547" s="202">
        <v>1.3</v>
      </c>
      <c r="M547" s="202">
        <v>1</v>
      </c>
      <c r="N547" s="202">
        <v>0</v>
      </c>
      <c r="O547" s="202">
        <v>71.53</v>
      </c>
      <c r="P547" s="260">
        <v>1</v>
      </c>
    </row>
    <row r="548" spans="2:16">
      <c r="B548" s="254" t="s">
        <v>207</v>
      </c>
      <c r="C548" s="202" t="s">
        <v>172</v>
      </c>
      <c r="D548" s="202" t="s">
        <v>222</v>
      </c>
      <c r="E548" s="203" t="s">
        <v>4</v>
      </c>
      <c r="F548" s="204">
        <v>100</v>
      </c>
      <c r="G548" s="205">
        <v>92.8</v>
      </c>
      <c r="H548" s="202">
        <v>62500</v>
      </c>
      <c r="I548" s="202">
        <v>1.45</v>
      </c>
      <c r="J548" s="202">
        <v>0.00726</v>
      </c>
      <c r="K548" s="202">
        <v>8610000</v>
      </c>
      <c r="L548" s="202">
        <v>1.3</v>
      </c>
      <c r="M548" s="202">
        <v>1</v>
      </c>
      <c r="N548" s="202">
        <v>0</v>
      </c>
      <c r="O548" s="202">
        <v>92.83</v>
      </c>
      <c r="P548" s="260">
        <v>1</v>
      </c>
    </row>
    <row r="549" ht="14.75" spans="2:16">
      <c r="B549" s="255" t="s">
        <v>208</v>
      </c>
      <c r="C549" s="256" t="s">
        <v>172</v>
      </c>
      <c r="D549" s="256" t="s">
        <v>222</v>
      </c>
      <c r="E549" s="257" t="s">
        <v>4</v>
      </c>
      <c r="F549" s="258">
        <v>1600</v>
      </c>
      <c r="G549" s="259">
        <v>1470</v>
      </c>
      <c r="H549" s="256">
        <v>953000</v>
      </c>
      <c r="I549" s="256">
        <v>1.45</v>
      </c>
      <c r="J549" s="256">
        <v>0.113</v>
      </c>
      <c r="K549" s="256">
        <v>8440000</v>
      </c>
      <c r="L549" s="256">
        <v>1.3</v>
      </c>
      <c r="M549" s="256">
        <v>1</v>
      </c>
      <c r="N549" s="256">
        <v>0</v>
      </c>
      <c r="O549" s="256">
        <v>91.73</v>
      </c>
      <c r="P549" s="262">
        <v>1</v>
      </c>
    </row>
  </sheetData>
  <mergeCells count="3">
    <mergeCell ref="C76:E76"/>
    <mergeCell ref="C77:E77"/>
    <mergeCell ref="C78:D78"/>
  </mergeCells>
  <pageMargins left="0.7" right="0.7" top="0.75" bottom="0.75" header="0.3" footer="0.3"/>
  <pageSetup paperSize="9" scale="1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1:L66"/>
  <sheetViews>
    <sheetView showGridLines="0" zoomScale="80" zoomScaleNormal="80" workbookViewId="0">
      <selection activeCell="Q32" sqref="Q32"/>
    </sheetView>
  </sheetViews>
  <sheetFormatPr defaultColWidth="9" defaultRowHeight="14"/>
  <cols>
    <col min="1" max="1" width="1.87272727272727" style="168" customWidth="1"/>
    <col min="2" max="2" width="4.25454545454545" style="168" customWidth="1"/>
    <col min="3" max="3" width="17.1272727272727" style="168" customWidth="1"/>
    <col min="4" max="9" width="11.2545454545455" style="168" customWidth="1"/>
    <col min="10" max="10" width="6.25454545454545" style="168" customWidth="1"/>
    <col min="11" max="16384" width="9" style="168"/>
  </cols>
  <sheetData>
    <row r="1" ht="14.75"/>
    <row r="2" spans="2:10">
      <c r="B2" s="169"/>
      <c r="C2" s="170"/>
      <c r="D2" s="171"/>
      <c r="E2" s="171"/>
      <c r="F2" s="171"/>
      <c r="G2" s="171"/>
      <c r="H2" s="171"/>
      <c r="I2" s="195"/>
      <c r="J2" s="196"/>
    </row>
    <row r="3" spans="2:10">
      <c r="B3" s="172"/>
      <c r="C3" s="173"/>
      <c r="D3" s="174"/>
      <c r="E3" s="174"/>
      <c r="F3" s="174"/>
      <c r="G3" s="174"/>
      <c r="H3" s="174"/>
      <c r="I3" s="174"/>
      <c r="J3" s="197"/>
    </row>
    <row r="4" spans="2:10">
      <c r="B4" s="175"/>
      <c r="C4" s="176" t="s">
        <v>224</v>
      </c>
      <c r="D4" s="177" t="s">
        <v>225</v>
      </c>
      <c r="E4" s="177" t="s">
        <v>226</v>
      </c>
      <c r="F4" s="177" t="s">
        <v>227</v>
      </c>
      <c r="G4" s="177" t="s">
        <v>228</v>
      </c>
      <c r="H4" s="178"/>
      <c r="I4" s="178"/>
      <c r="J4" s="198"/>
    </row>
    <row r="5" spans="2:10">
      <c r="B5" s="175"/>
      <c r="C5" s="176"/>
      <c r="D5" s="179" t="s">
        <v>162</v>
      </c>
      <c r="E5" s="180">
        <v>1</v>
      </c>
      <c r="F5" s="181" t="s">
        <v>161</v>
      </c>
      <c r="G5" s="182">
        <v>0</v>
      </c>
      <c r="H5" s="178"/>
      <c r="I5" s="178"/>
      <c r="J5" s="198"/>
    </row>
    <row r="6" spans="2:10">
      <c r="B6" s="175"/>
      <c r="C6" s="176"/>
      <c r="D6" s="179" t="s">
        <v>164</v>
      </c>
      <c r="E6" s="180">
        <v>2</v>
      </c>
      <c r="F6" s="183">
        <v>1.98</v>
      </c>
      <c r="G6" s="184">
        <v>99.13</v>
      </c>
      <c r="H6" s="178"/>
      <c r="I6" s="178"/>
      <c r="J6" s="198"/>
    </row>
    <row r="7" spans="2:10">
      <c r="B7" s="175"/>
      <c r="C7" s="176"/>
      <c r="D7" s="179" t="s">
        <v>165</v>
      </c>
      <c r="E7" s="180">
        <v>10</v>
      </c>
      <c r="F7" s="185">
        <v>10.3</v>
      </c>
      <c r="G7" s="186">
        <v>102.94</v>
      </c>
      <c r="H7" s="178"/>
      <c r="I7" s="178"/>
      <c r="J7" s="198"/>
    </row>
    <row r="8" spans="2:10">
      <c r="B8" s="175"/>
      <c r="C8" s="176"/>
      <c r="D8" s="179" t="s">
        <v>166</v>
      </c>
      <c r="E8" s="180">
        <v>50</v>
      </c>
      <c r="F8" s="185">
        <v>54.7</v>
      </c>
      <c r="G8" s="186">
        <v>109.47</v>
      </c>
      <c r="H8" s="178"/>
      <c r="I8" s="178"/>
      <c r="J8" s="198"/>
    </row>
    <row r="9" spans="2:10">
      <c r="B9" s="175"/>
      <c r="C9" s="176"/>
      <c r="D9" s="179" t="s">
        <v>167</v>
      </c>
      <c r="E9" s="180">
        <v>200</v>
      </c>
      <c r="F9" s="185">
        <v>181</v>
      </c>
      <c r="G9" s="182">
        <v>90.51</v>
      </c>
      <c r="H9" s="178"/>
      <c r="I9" s="178"/>
      <c r="J9" s="198"/>
    </row>
    <row r="10" spans="2:12">
      <c r="B10" s="175"/>
      <c r="C10" s="176"/>
      <c r="D10" s="179" t="s">
        <v>168</v>
      </c>
      <c r="E10" s="180">
        <v>1000</v>
      </c>
      <c r="F10" s="185">
        <v>957</v>
      </c>
      <c r="G10" s="182">
        <v>95.67</v>
      </c>
      <c r="H10" s="178"/>
      <c r="I10" s="178"/>
      <c r="J10" s="198"/>
      <c r="L10" s="199"/>
    </row>
    <row r="11" spans="2:10">
      <c r="B11" s="175"/>
      <c r="C11" s="176"/>
      <c r="D11" s="179" t="s">
        <v>169</v>
      </c>
      <c r="E11" s="180">
        <v>1800</v>
      </c>
      <c r="F11" s="185">
        <v>1770</v>
      </c>
      <c r="G11" s="184">
        <v>98.56</v>
      </c>
      <c r="H11" s="178"/>
      <c r="I11" s="178"/>
      <c r="J11" s="198"/>
    </row>
    <row r="12" spans="2:10">
      <c r="B12" s="175"/>
      <c r="C12" s="176"/>
      <c r="D12" s="179" t="s">
        <v>170</v>
      </c>
      <c r="E12" s="180">
        <v>2000</v>
      </c>
      <c r="F12" s="185">
        <v>2070</v>
      </c>
      <c r="G12" s="182">
        <v>103.71</v>
      </c>
      <c r="H12" s="178"/>
      <c r="I12" s="178"/>
      <c r="J12" s="198"/>
    </row>
    <row r="13" spans="2:10">
      <c r="B13" s="175"/>
      <c r="C13" s="187"/>
      <c r="D13" s="174"/>
      <c r="H13" s="174"/>
      <c r="I13" s="174"/>
      <c r="J13" s="198"/>
    </row>
    <row r="14" spans="2:10">
      <c r="B14" s="175"/>
      <c r="C14" s="188" t="s">
        <v>229</v>
      </c>
      <c r="D14" s="177" t="s">
        <v>225</v>
      </c>
      <c r="E14" s="177" t="s">
        <v>226</v>
      </c>
      <c r="F14" s="177" t="s">
        <v>227</v>
      </c>
      <c r="G14" s="177"/>
      <c r="H14" s="177" t="s">
        <v>230</v>
      </c>
      <c r="I14" s="177"/>
      <c r="J14" s="198"/>
    </row>
    <row r="15" spans="2:10">
      <c r="B15" s="175"/>
      <c r="C15" s="188"/>
      <c r="D15" s="177"/>
      <c r="E15" s="177"/>
      <c r="F15" s="177"/>
      <c r="G15" s="177"/>
      <c r="H15" s="177"/>
      <c r="I15" s="177"/>
      <c r="J15" s="198"/>
    </row>
    <row r="16" spans="2:10">
      <c r="B16" s="175"/>
      <c r="C16" s="188"/>
      <c r="D16" s="179" t="s">
        <v>231</v>
      </c>
      <c r="E16" s="180">
        <v>3</v>
      </c>
      <c r="F16" s="180">
        <v>3.35</v>
      </c>
      <c r="G16" s="180">
        <v>4.63</v>
      </c>
      <c r="H16" s="180">
        <v>111.74</v>
      </c>
      <c r="I16" s="180">
        <v>154.35</v>
      </c>
      <c r="J16" s="198"/>
    </row>
    <row r="17" spans="2:10">
      <c r="B17" s="175"/>
      <c r="C17" s="188"/>
      <c r="D17" s="179" t="s">
        <v>232</v>
      </c>
      <c r="E17" s="180">
        <v>100</v>
      </c>
      <c r="F17" s="180">
        <v>95.4</v>
      </c>
      <c r="G17" s="180">
        <v>108</v>
      </c>
      <c r="H17" s="180">
        <v>95.36</v>
      </c>
      <c r="I17" s="180">
        <v>107.7</v>
      </c>
      <c r="J17" s="198"/>
    </row>
    <row r="18" spans="2:10">
      <c r="B18" s="175"/>
      <c r="C18" s="188"/>
      <c r="D18" s="179" t="s">
        <v>233</v>
      </c>
      <c r="E18" s="180">
        <v>1600</v>
      </c>
      <c r="F18" s="180">
        <v>1500</v>
      </c>
      <c r="G18" s="180">
        <v>1480</v>
      </c>
      <c r="H18" s="180">
        <v>93.61</v>
      </c>
      <c r="I18" s="180">
        <v>92.53</v>
      </c>
      <c r="J18" s="198"/>
    </row>
    <row r="19" spans="2:10">
      <c r="B19" s="175"/>
      <c r="C19" s="174"/>
      <c r="D19" s="189"/>
      <c r="E19" s="189"/>
      <c r="F19" s="189"/>
      <c r="G19" s="189"/>
      <c r="H19" s="189"/>
      <c r="I19" s="174"/>
      <c r="J19" s="198"/>
    </row>
    <row r="20" ht="55.15" customHeight="1" spans="2:10">
      <c r="B20" s="190"/>
      <c r="C20" s="191" t="s">
        <v>234</v>
      </c>
      <c r="D20" s="191"/>
      <c r="E20" s="191"/>
      <c r="F20" s="191"/>
      <c r="G20" s="191"/>
      <c r="H20" s="191"/>
      <c r="I20" s="191"/>
      <c r="J20" s="197"/>
    </row>
    <row r="21" ht="14.75" spans="2:10">
      <c r="B21" s="192"/>
      <c r="C21" s="193"/>
      <c r="D21" s="193"/>
      <c r="E21" s="193"/>
      <c r="F21" s="193"/>
      <c r="G21" s="193"/>
      <c r="H21" s="193"/>
      <c r="I21" s="193"/>
      <c r="J21" s="200"/>
    </row>
    <row r="50" spans="6:6">
      <c r="F50" s="194"/>
    </row>
    <row r="66" spans="6:6">
      <c r="F66" s="194"/>
    </row>
  </sheetData>
  <mergeCells count="7">
    <mergeCell ref="C20:I20"/>
    <mergeCell ref="C4:C12"/>
    <mergeCell ref="C14:C18"/>
    <mergeCell ref="D14:D15"/>
    <mergeCell ref="E14:E15"/>
    <mergeCell ref="F14:G15"/>
    <mergeCell ref="H14:I15"/>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O15"/>
  <sheetViews>
    <sheetView showGridLines="0" zoomScale="80" zoomScaleNormal="80" workbookViewId="0">
      <selection activeCell="L26" sqref="L26"/>
    </sheetView>
  </sheetViews>
  <sheetFormatPr defaultColWidth="9" defaultRowHeight="14"/>
  <cols>
    <col min="1" max="1" width="2.75454545454545" style="121" customWidth="1"/>
    <col min="2" max="2" width="12.2545454545455" style="121" customWidth="1"/>
    <col min="3" max="3" width="19.1272727272727" style="121" customWidth="1"/>
    <col min="4" max="4" width="13.1272727272727" style="121" customWidth="1"/>
    <col min="5" max="5" width="14.2545454545455" style="121" customWidth="1"/>
    <col min="6" max="6" width="12.2545454545455" style="121" customWidth="1"/>
    <col min="7" max="7" width="13.8727272727273" style="121" customWidth="1"/>
    <col min="8" max="8" width="13.8727272727273" style="122" customWidth="1"/>
    <col min="9" max="9" width="22.1272727272727" style="121" customWidth="1"/>
    <col min="10" max="10" width="12.2545454545455" style="121" customWidth="1"/>
    <col min="11" max="12" width="14.2545454545455" style="121" customWidth="1"/>
    <col min="13" max="13" width="7.25454545454545" style="121" customWidth="1"/>
    <col min="14" max="14" width="15.2545454545455" style="121" customWidth="1"/>
    <col min="15" max="15" width="22.2545454545455" style="121" customWidth="1"/>
    <col min="16" max="16384" width="9" style="121"/>
  </cols>
  <sheetData>
    <row r="1" ht="14.75" spans="2:13">
      <c r="B1" s="123"/>
      <c r="C1" s="124"/>
      <c r="D1" s="123"/>
      <c r="E1" s="123"/>
      <c r="F1" s="123"/>
      <c r="G1" s="123"/>
      <c r="H1" s="123"/>
      <c r="I1" s="123"/>
      <c r="J1" s="123"/>
      <c r="K1" s="123"/>
      <c r="L1" s="123"/>
      <c r="M1" s="123"/>
    </row>
    <row r="2" spans="2:15">
      <c r="B2" s="125" t="s">
        <v>235</v>
      </c>
      <c r="C2" s="126"/>
      <c r="D2" s="126"/>
      <c r="E2" s="126"/>
      <c r="F2" s="126"/>
      <c r="G2" s="126"/>
      <c r="H2" s="126"/>
      <c r="I2" s="126"/>
      <c r="J2" s="126"/>
      <c r="K2" s="126"/>
      <c r="L2" s="126"/>
      <c r="M2" s="126"/>
      <c r="N2" s="153"/>
      <c r="O2" s="154"/>
    </row>
    <row r="3" spans="2:15">
      <c r="B3" s="127"/>
      <c r="C3" s="128" t="s">
        <v>236</v>
      </c>
      <c r="D3" s="129"/>
      <c r="E3" s="129"/>
      <c r="F3" s="129"/>
      <c r="G3" s="129"/>
      <c r="H3" s="129"/>
      <c r="I3" s="129"/>
      <c r="J3" s="129"/>
      <c r="K3" s="129"/>
      <c r="L3" s="129"/>
      <c r="M3" s="129"/>
      <c r="N3" s="129"/>
      <c r="O3" s="155"/>
    </row>
    <row r="4" spans="2:15">
      <c r="B4" s="127"/>
      <c r="C4" s="129" t="s">
        <v>237</v>
      </c>
      <c r="D4" s="129"/>
      <c r="E4" s="129"/>
      <c r="F4" s="129"/>
      <c r="G4" s="129"/>
      <c r="H4" s="129"/>
      <c r="I4" s="129"/>
      <c r="J4" s="129"/>
      <c r="K4" s="129"/>
      <c r="L4" s="129"/>
      <c r="M4" s="129"/>
      <c r="N4" s="129"/>
      <c r="O4" s="155"/>
    </row>
    <row r="5" spans="2:15">
      <c r="B5" s="130"/>
      <c r="C5" s="129" t="s">
        <v>238</v>
      </c>
      <c r="D5" s="129"/>
      <c r="E5" s="129"/>
      <c r="F5" s="129"/>
      <c r="G5" s="129"/>
      <c r="H5" s="129"/>
      <c r="I5" s="129"/>
      <c r="J5" s="129"/>
      <c r="K5" s="129"/>
      <c r="L5" s="129"/>
      <c r="M5" s="129"/>
      <c r="N5" s="156"/>
      <c r="O5" s="157"/>
    </row>
    <row r="6" spans="2:15">
      <c r="B6" s="130"/>
      <c r="C6" s="131" t="s">
        <v>239</v>
      </c>
      <c r="D6" s="131"/>
      <c r="E6" s="131"/>
      <c r="F6" s="131"/>
      <c r="G6" s="131"/>
      <c r="H6" s="131"/>
      <c r="I6" s="131"/>
      <c r="J6" s="129"/>
      <c r="K6" s="129"/>
      <c r="L6" s="129"/>
      <c r="M6" s="129"/>
      <c r="N6" s="156"/>
      <c r="O6" s="157"/>
    </row>
    <row r="7" spans="2:15">
      <c r="B7" s="130"/>
      <c r="C7" s="123"/>
      <c r="D7" s="123"/>
      <c r="E7" s="123"/>
      <c r="F7" s="123"/>
      <c r="G7" s="123"/>
      <c r="H7" s="123"/>
      <c r="I7" s="123"/>
      <c r="J7" s="129"/>
      <c r="K7" s="129"/>
      <c r="L7" s="129"/>
      <c r="M7" s="129"/>
      <c r="N7" s="156"/>
      <c r="O7" s="157"/>
    </row>
    <row r="8" ht="15" customHeight="1" spans="2:15">
      <c r="B8" s="130"/>
      <c r="C8" s="131"/>
      <c r="D8" s="131"/>
      <c r="E8" s="131"/>
      <c r="F8" s="131"/>
      <c r="G8" s="131"/>
      <c r="H8" s="131"/>
      <c r="I8" s="131"/>
      <c r="J8" s="129"/>
      <c r="K8" s="129"/>
      <c r="L8" s="129"/>
      <c r="M8" s="129"/>
      <c r="N8" s="156"/>
      <c r="O8" s="157"/>
    </row>
    <row r="9" s="120" customFormat="1" ht="28" spans="2:15">
      <c r="B9" s="132"/>
      <c r="C9" s="133" t="s">
        <v>44</v>
      </c>
      <c r="D9" s="133" t="s">
        <v>240</v>
      </c>
      <c r="E9" s="133" t="s">
        <v>241</v>
      </c>
      <c r="F9" s="133" t="s">
        <v>242</v>
      </c>
      <c r="G9" s="133" t="s">
        <v>243</v>
      </c>
      <c r="H9" s="133" t="s">
        <v>244</v>
      </c>
      <c r="I9" s="133" t="s">
        <v>245</v>
      </c>
      <c r="J9" s="133" t="s">
        <v>246</v>
      </c>
      <c r="K9" s="158" t="s">
        <v>247</v>
      </c>
      <c r="L9" s="158" t="s">
        <v>248</v>
      </c>
      <c r="M9" s="129"/>
      <c r="N9" s="159"/>
      <c r="O9" s="155"/>
    </row>
    <row r="10" spans="2:15">
      <c r="B10" s="132"/>
      <c r="C10" s="134" t="s">
        <v>4</v>
      </c>
      <c r="D10" s="135" t="s">
        <v>69</v>
      </c>
      <c r="E10" s="136">
        <v>1</v>
      </c>
      <c r="F10" s="133">
        <v>20000</v>
      </c>
      <c r="G10" s="137">
        <v>40.1</v>
      </c>
      <c r="H10" s="138">
        <f t="shared" ref="H10:H12" si="0">G10*F10/1000000</f>
        <v>0.802</v>
      </c>
      <c r="I10" s="138">
        <f>AVERAGE(H10:H12)</f>
        <v>0.826666666666667</v>
      </c>
      <c r="J10" s="138">
        <f>(I10-E10)/E10*100</f>
        <v>-17.3333333333333</v>
      </c>
      <c r="K10" s="160">
        <f>STDEV(H10:H12)/I10*100</f>
        <v>4.16475849473398</v>
      </c>
      <c r="L10" s="161" t="s">
        <v>249</v>
      </c>
      <c r="M10" s="129"/>
      <c r="N10" s="159"/>
      <c r="O10" s="155"/>
    </row>
    <row r="11" spans="2:15">
      <c r="B11" s="132"/>
      <c r="C11" s="139"/>
      <c r="D11" s="140"/>
      <c r="E11" s="141"/>
      <c r="F11" s="133">
        <f>F10</f>
        <v>20000</v>
      </c>
      <c r="G11" s="137">
        <v>40.6</v>
      </c>
      <c r="H11" s="138">
        <f t="shared" si="0"/>
        <v>0.812</v>
      </c>
      <c r="I11" s="138"/>
      <c r="J11" s="138"/>
      <c r="K11" s="160"/>
      <c r="L11" s="162"/>
      <c r="M11" s="129"/>
      <c r="N11" s="159"/>
      <c r="O11" s="155"/>
    </row>
    <row r="12" spans="2:15">
      <c r="B12" s="132"/>
      <c r="C12" s="142"/>
      <c r="D12" s="143"/>
      <c r="E12" s="144"/>
      <c r="F12" s="133">
        <f>F10</f>
        <v>20000</v>
      </c>
      <c r="G12" s="133">
        <v>43.3</v>
      </c>
      <c r="H12" s="138">
        <f t="shared" si="0"/>
        <v>0.866</v>
      </c>
      <c r="I12" s="138"/>
      <c r="J12" s="138"/>
      <c r="K12" s="160"/>
      <c r="L12" s="163"/>
      <c r="M12" s="129"/>
      <c r="N12" s="159"/>
      <c r="O12" s="155"/>
    </row>
    <row r="13" spans="2:15">
      <c r="B13" s="132"/>
      <c r="C13" s="145"/>
      <c r="D13" s="146"/>
      <c r="E13" s="147"/>
      <c r="F13" s="146"/>
      <c r="G13" s="148"/>
      <c r="H13" s="149"/>
      <c r="I13" s="149"/>
      <c r="J13" s="164"/>
      <c r="K13" s="165"/>
      <c r="L13" s="165"/>
      <c r="M13" s="129"/>
      <c r="N13" s="159"/>
      <c r="O13" s="155"/>
    </row>
    <row r="14" spans="2:15">
      <c r="B14" s="132"/>
      <c r="C14" s="145" t="s">
        <v>250</v>
      </c>
      <c r="D14" s="146"/>
      <c r="E14" s="147"/>
      <c r="F14" s="146"/>
      <c r="G14" s="148"/>
      <c r="H14" s="149"/>
      <c r="I14" s="149"/>
      <c r="J14" s="164"/>
      <c r="K14" s="165"/>
      <c r="L14" s="165"/>
      <c r="M14" s="129"/>
      <c r="N14" s="159"/>
      <c r="O14" s="155"/>
    </row>
    <row r="15" ht="14.75" spans="2:15">
      <c r="B15" s="150"/>
      <c r="C15" s="151" t="s">
        <v>251</v>
      </c>
      <c r="D15" s="152"/>
      <c r="E15" s="152"/>
      <c r="F15" s="152"/>
      <c r="G15" s="152"/>
      <c r="H15" s="152"/>
      <c r="I15" s="152"/>
      <c r="J15" s="152"/>
      <c r="K15" s="152"/>
      <c r="L15" s="152"/>
      <c r="M15" s="152"/>
      <c r="N15" s="166"/>
      <c r="O15" s="167"/>
    </row>
  </sheetData>
  <mergeCells count="9">
    <mergeCell ref="C6:I6"/>
    <mergeCell ref="C8:I8"/>
    <mergeCell ref="C10:C12"/>
    <mergeCell ref="D10:D12"/>
    <mergeCell ref="E10:E12"/>
    <mergeCell ref="I10:I12"/>
    <mergeCell ref="J10:J12"/>
    <mergeCell ref="K10:K12"/>
    <mergeCell ref="L10:L12"/>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K88"/>
  <sheetViews>
    <sheetView showGridLines="0" zoomScale="80" zoomScaleNormal="80" workbookViewId="0">
      <selection activeCell="M22" sqref="M22"/>
    </sheetView>
  </sheetViews>
  <sheetFormatPr defaultColWidth="9" defaultRowHeight="14"/>
  <cols>
    <col min="1" max="1" width="2.75454545454545" style="74" customWidth="1"/>
    <col min="2" max="2" width="9" style="74"/>
    <col min="3" max="3" width="17.6272727272727" style="74" customWidth="1"/>
    <col min="4" max="4" width="22.6272727272727" style="74" customWidth="1"/>
    <col min="5" max="5" width="21" style="74" customWidth="1"/>
    <col min="6" max="8" width="9" style="74"/>
    <col min="9" max="9" width="25.8727272727273" style="74" customWidth="1"/>
    <col min="10" max="10" width="9" style="74"/>
    <col min="11" max="11" width="21.8727272727273" style="74" customWidth="1"/>
    <col min="12" max="223" width="9" style="74"/>
    <col min="224" max="224" width="11.3727272727273" style="74" customWidth="1"/>
    <col min="225" max="225" width="17.8727272727273" style="74" customWidth="1"/>
    <col min="226" max="226" width="19" style="74" customWidth="1"/>
    <col min="227" max="227" width="22.8727272727273" style="74" customWidth="1"/>
    <col min="228" max="228" width="12.6272727272727" style="74" customWidth="1"/>
    <col min="229" max="479" width="9" style="74"/>
    <col min="480" max="480" width="11.3727272727273" style="74" customWidth="1"/>
    <col min="481" max="481" width="17.8727272727273" style="74" customWidth="1"/>
    <col min="482" max="482" width="19" style="74" customWidth="1"/>
    <col min="483" max="483" width="22.8727272727273" style="74" customWidth="1"/>
    <col min="484" max="484" width="12.6272727272727" style="74" customWidth="1"/>
    <col min="485" max="735" width="9" style="74"/>
    <col min="736" max="736" width="11.3727272727273" style="74" customWidth="1"/>
    <col min="737" max="737" width="17.8727272727273" style="74" customWidth="1"/>
    <col min="738" max="738" width="19" style="74" customWidth="1"/>
    <col min="739" max="739" width="22.8727272727273" style="74" customWidth="1"/>
    <col min="740" max="740" width="12.6272727272727" style="74" customWidth="1"/>
    <col min="741" max="991" width="9" style="74"/>
    <col min="992" max="992" width="11.3727272727273" style="74" customWidth="1"/>
    <col min="993" max="993" width="17.8727272727273" style="74" customWidth="1"/>
    <col min="994" max="994" width="19" style="74" customWidth="1"/>
    <col min="995" max="995" width="22.8727272727273" style="74" customWidth="1"/>
    <col min="996" max="996" width="12.6272727272727" style="74" customWidth="1"/>
    <col min="997" max="1247" width="9" style="74"/>
    <col min="1248" max="1248" width="11.3727272727273" style="74" customWidth="1"/>
    <col min="1249" max="1249" width="17.8727272727273" style="74" customWidth="1"/>
    <col min="1250" max="1250" width="19" style="74" customWidth="1"/>
    <col min="1251" max="1251" width="22.8727272727273" style="74" customWidth="1"/>
    <col min="1252" max="1252" width="12.6272727272727" style="74" customWidth="1"/>
    <col min="1253" max="1503" width="9" style="74"/>
    <col min="1504" max="1504" width="11.3727272727273" style="74" customWidth="1"/>
    <col min="1505" max="1505" width="17.8727272727273" style="74" customWidth="1"/>
    <col min="1506" max="1506" width="19" style="74" customWidth="1"/>
    <col min="1507" max="1507" width="22.8727272727273" style="74" customWidth="1"/>
    <col min="1508" max="1508" width="12.6272727272727" style="74" customWidth="1"/>
    <col min="1509" max="1759" width="9" style="74"/>
    <col min="1760" max="1760" width="11.3727272727273" style="74" customWidth="1"/>
    <col min="1761" max="1761" width="17.8727272727273" style="74" customWidth="1"/>
    <col min="1762" max="1762" width="19" style="74" customWidth="1"/>
    <col min="1763" max="1763" width="22.8727272727273" style="74" customWidth="1"/>
    <col min="1764" max="1764" width="12.6272727272727" style="74" customWidth="1"/>
    <col min="1765" max="2015" width="9" style="74"/>
    <col min="2016" max="2016" width="11.3727272727273" style="74" customWidth="1"/>
    <col min="2017" max="2017" width="17.8727272727273" style="74" customWidth="1"/>
    <col min="2018" max="2018" width="19" style="74" customWidth="1"/>
    <col min="2019" max="2019" width="22.8727272727273" style="74" customWidth="1"/>
    <col min="2020" max="2020" width="12.6272727272727" style="74" customWidth="1"/>
    <col min="2021" max="2271" width="9" style="74"/>
    <col min="2272" max="2272" width="11.3727272727273" style="74" customWidth="1"/>
    <col min="2273" max="2273" width="17.8727272727273" style="74" customWidth="1"/>
    <col min="2274" max="2274" width="19" style="74" customWidth="1"/>
    <col min="2275" max="2275" width="22.8727272727273" style="74" customWidth="1"/>
    <col min="2276" max="2276" width="12.6272727272727" style="74" customWidth="1"/>
    <col min="2277" max="2527" width="9" style="74"/>
    <col min="2528" max="2528" width="11.3727272727273" style="74" customWidth="1"/>
    <col min="2529" max="2529" width="17.8727272727273" style="74" customWidth="1"/>
    <col min="2530" max="2530" width="19" style="74" customWidth="1"/>
    <col min="2531" max="2531" width="22.8727272727273" style="74" customWidth="1"/>
    <col min="2532" max="2532" width="12.6272727272727" style="74" customWidth="1"/>
    <col min="2533" max="2783" width="9" style="74"/>
    <col min="2784" max="2784" width="11.3727272727273" style="74" customWidth="1"/>
    <col min="2785" max="2785" width="17.8727272727273" style="74" customWidth="1"/>
    <col min="2786" max="2786" width="19" style="74" customWidth="1"/>
    <col min="2787" max="2787" width="22.8727272727273" style="74" customWidth="1"/>
    <col min="2788" max="2788" width="12.6272727272727" style="74" customWidth="1"/>
    <col min="2789" max="3039" width="9" style="74"/>
    <col min="3040" max="3040" width="11.3727272727273" style="74" customWidth="1"/>
    <col min="3041" max="3041" width="17.8727272727273" style="74" customWidth="1"/>
    <col min="3042" max="3042" width="19" style="74" customWidth="1"/>
    <col min="3043" max="3043" width="22.8727272727273" style="74" customWidth="1"/>
    <col min="3044" max="3044" width="12.6272727272727" style="74" customWidth="1"/>
    <col min="3045" max="3295" width="9" style="74"/>
    <col min="3296" max="3296" width="11.3727272727273" style="74" customWidth="1"/>
    <col min="3297" max="3297" width="17.8727272727273" style="74" customWidth="1"/>
    <col min="3298" max="3298" width="19" style="74" customWidth="1"/>
    <col min="3299" max="3299" width="22.8727272727273" style="74" customWidth="1"/>
    <col min="3300" max="3300" width="12.6272727272727" style="74" customWidth="1"/>
    <col min="3301" max="3551" width="9" style="74"/>
    <col min="3552" max="3552" width="11.3727272727273" style="74" customWidth="1"/>
    <col min="3553" max="3553" width="17.8727272727273" style="74" customWidth="1"/>
    <col min="3554" max="3554" width="19" style="74" customWidth="1"/>
    <col min="3555" max="3555" width="22.8727272727273" style="74" customWidth="1"/>
    <col min="3556" max="3556" width="12.6272727272727" style="74" customWidth="1"/>
    <col min="3557" max="3807" width="9" style="74"/>
    <col min="3808" max="3808" width="11.3727272727273" style="74" customWidth="1"/>
    <col min="3809" max="3809" width="17.8727272727273" style="74" customWidth="1"/>
    <col min="3810" max="3810" width="19" style="74" customWidth="1"/>
    <col min="3811" max="3811" width="22.8727272727273" style="74" customWidth="1"/>
    <col min="3812" max="3812" width="12.6272727272727" style="74" customWidth="1"/>
    <col min="3813" max="4063" width="9" style="74"/>
    <col min="4064" max="4064" width="11.3727272727273" style="74" customWidth="1"/>
    <col min="4065" max="4065" width="17.8727272727273" style="74" customWidth="1"/>
    <col min="4066" max="4066" width="19" style="74" customWidth="1"/>
    <col min="4067" max="4067" width="22.8727272727273" style="74" customWidth="1"/>
    <col min="4068" max="4068" width="12.6272727272727" style="74" customWidth="1"/>
    <col min="4069" max="4319" width="9" style="74"/>
    <col min="4320" max="4320" width="11.3727272727273" style="74" customWidth="1"/>
    <col min="4321" max="4321" width="17.8727272727273" style="74" customWidth="1"/>
    <col min="4322" max="4322" width="19" style="74" customWidth="1"/>
    <col min="4323" max="4323" width="22.8727272727273" style="74" customWidth="1"/>
    <col min="4324" max="4324" width="12.6272727272727" style="74" customWidth="1"/>
    <col min="4325" max="4575" width="9" style="74"/>
    <col min="4576" max="4576" width="11.3727272727273" style="74" customWidth="1"/>
    <col min="4577" max="4577" width="17.8727272727273" style="74" customWidth="1"/>
    <col min="4578" max="4578" width="19" style="74" customWidth="1"/>
    <col min="4579" max="4579" width="22.8727272727273" style="74" customWidth="1"/>
    <col min="4580" max="4580" width="12.6272727272727" style="74" customWidth="1"/>
    <col min="4581" max="4831" width="9" style="74"/>
    <col min="4832" max="4832" width="11.3727272727273" style="74" customWidth="1"/>
    <col min="4833" max="4833" width="17.8727272727273" style="74" customWidth="1"/>
    <col min="4834" max="4834" width="19" style="74" customWidth="1"/>
    <col min="4835" max="4835" width="22.8727272727273" style="74" customWidth="1"/>
    <col min="4836" max="4836" width="12.6272727272727" style="74" customWidth="1"/>
    <col min="4837" max="5087" width="9" style="74"/>
    <col min="5088" max="5088" width="11.3727272727273" style="74" customWidth="1"/>
    <col min="5089" max="5089" width="17.8727272727273" style="74" customWidth="1"/>
    <col min="5090" max="5090" width="19" style="74" customWidth="1"/>
    <col min="5091" max="5091" width="22.8727272727273" style="74" customWidth="1"/>
    <col min="5092" max="5092" width="12.6272727272727" style="74" customWidth="1"/>
    <col min="5093" max="5343" width="9" style="74"/>
    <col min="5344" max="5344" width="11.3727272727273" style="74" customWidth="1"/>
    <col min="5345" max="5345" width="17.8727272727273" style="74" customWidth="1"/>
    <col min="5346" max="5346" width="19" style="74" customWidth="1"/>
    <col min="5347" max="5347" width="22.8727272727273" style="74" customWidth="1"/>
    <col min="5348" max="5348" width="12.6272727272727" style="74" customWidth="1"/>
    <col min="5349" max="5599" width="9" style="74"/>
    <col min="5600" max="5600" width="11.3727272727273" style="74" customWidth="1"/>
    <col min="5601" max="5601" width="17.8727272727273" style="74" customWidth="1"/>
    <col min="5602" max="5602" width="19" style="74" customWidth="1"/>
    <col min="5603" max="5603" width="22.8727272727273" style="74" customWidth="1"/>
    <col min="5604" max="5604" width="12.6272727272727" style="74" customWidth="1"/>
    <col min="5605" max="5855" width="9" style="74"/>
    <col min="5856" max="5856" width="11.3727272727273" style="74" customWidth="1"/>
    <col min="5857" max="5857" width="17.8727272727273" style="74" customWidth="1"/>
    <col min="5858" max="5858" width="19" style="74" customWidth="1"/>
    <col min="5859" max="5859" width="22.8727272727273" style="74" customWidth="1"/>
    <col min="5860" max="5860" width="12.6272727272727" style="74" customWidth="1"/>
    <col min="5861" max="6111" width="9" style="74"/>
    <col min="6112" max="6112" width="11.3727272727273" style="74" customWidth="1"/>
    <col min="6113" max="6113" width="17.8727272727273" style="74" customWidth="1"/>
    <col min="6114" max="6114" width="19" style="74" customWidth="1"/>
    <col min="6115" max="6115" width="22.8727272727273" style="74" customWidth="1"/>
    <col min="6116" max="6116" width="12.6272727272727" style="74" customWidth="1"/>
    <col min="6117" max="6367" width="9" style="74"/>
    <col min="6368" max="6368" width="11.3727272727273" style="74" customWidth="1"/>
    <col min="6369" max="6369" width="17.8727272727273" style="74" customWidth="1"/>
    <col min="6370" max="6370" width="19" style="74" customWidth="1"/>
    <col min="6371" max="6371" width="22.8727272727273" style="74" customWidth="1"/>
    <col min="6372" max="6372" width="12.6272727272727" style="74" customWidth="1"/>
    <col min="6373" max="6623" width="9" style="74"/>
    <col min="6624" max="6624" width="11.3727272727273" style="74" customWidth="1"/>
    <col min="6625" max="6625" width="17.8727272727273" style="74" customWidth="1"/>
    <col min="6626" max="6626" width="19" style="74" customWidth="1"/>
    <col min="6627" max="6627" width="22.8727272727273" style="74" customWidth="1"/>
    <col min="6628" max="6628" width="12.6272727272727" style="74" customWidth="1"/>
    <col min="6629" max="6879" width="9" style="74"/>
    <col min="6880" max="6880" width="11.3727272727273" style="74" customWidth="1"/>
    <col min="6881" max="6881" width="17.8727272727273" style="74" customWidth="1"/>
    <col min="6882" max="6882" width="19" style="74" customWidth="1"/>
    <col min="6883" max="6883" width="22.8727272727273" style="74" customWidth="1"/>
    <col min="6884" max="6884" width="12.6272727272727" style="74" customWidth="1"/>
    <col min="6885" max="7135" width="9" style="74"/>
    <col min="7136" max="7136" width="11.3727272727273" style="74" customWidth="1"/>
    <col min="7137" max="7137" width="17.8727272727273" style="74" customWidth="1"/>
    <col min="7138" max="7138" width="19" style="74" customWidth="1"/>
    <col min="7139" max="7139" width="22.8727272727273" style="74" customWidth="1"/>
    <col min="7140" max="7140" width="12.6272727272727" style="74" customWidth="1"/>
    <col min="7141" max="7391" width="9" style="74"/>
    <col min="7392" max="7392" width="11.3727272727273" style="74" customWidth="1"/>
    <col min="7393" max="7393" width="17.8727272727273" style="74" customWidth="1"/>
    <col min="7394" max="7394" width="19" style="74" customWidth="1"/>
    <col min="7395" max="7395" width="22.8727272727273" style="74" customWidth="1"/>
    <col min="7396" max="7396" width="12.6272727272727" style="74" customWidth="1"/>
    <col min="7397" max="7647" width="9" style="74"/>
    <col min="7648" max="7648" width="11.3727272727273" style="74" customWidth="1"/>
    <col min="7649" max="7649" width="17.8727272727273" style="74" customWidth="1"/>
    <col min="7650" max="7650" width="19" style="74" customWidth="1"/>
    <col min="7651" max="7651" width="22.8727272727273" style="74" customWidth="1"/>
    <col min="7652" max="7652" width="12.6272727272727" style="74" customWidth="1"/>
    <col min="7653" max="7903" width="9" style="74"/>
    <col min="7904" max="7904" width="11.3727272727273" style="74" customWidth="1"/>
    <col min="7905" max="7905" width="17.8727272727273" style="74" customWidth="1"/>
    <col min="7906" max="7906" width="19" style="74" customWidth="1"/>
    <col min="7907" max="7907" width="22.8727272727273" style="74" customWidth="1"/>
    <col min="7908" max="7908" width="12.6272727272727" style="74" customWidth="1"/>
    <col min="7909" max="8159" width="9" style="74"/>
    <col min="8160" max="8160" width="11.3727272727273" style="74" customWidth="1"/>
    <col min="8161" max="8161" width="17.8727272727273" style="74" customWidth="1"/>
    <col min="8162" max="8162" width="19" style="74" customWidth="1"/>
    <col min="8163" max="8163" width="22.8727272727273" style="74" customWidth="1"/>
    <col min="8164" max="8164" width="12.6272727272727" style="74" customWidth="1"/>
    <col min="8165" max="8415" width="9" style="74"/>
    <col min="8416" max="8416" width="11.3727272727273" style="74" customWidth="1"/>
    <col min="8417" max="8417" width="17.8727272727273" style="74" customWidth="1"/>
    <col min="8418" max="8418" width="19" style="74" customWidth="1"/>
    <col min="8419" max="8419" width="22.8727272727273" style="74" customWidth="1"/>
    <col min="8420" max="8420" width="12.6272727272727" style="74" customWidth="1"/>
    <col min="8421" max="8671" width="9" style="74"/>
    <col min="8672" max="8672" width="11.3727272727273" style="74" customWidth="1"/>
    <col min="8673" max="8673" width="17.8727272727273" style="74" customWidth="1"/>
    <col min="8674" max="8674" width="19" style="74" customWidth="1"/>
    <col min="8675" max="8675" width="22.8727272727273" style="74" customWidth="1"/>
    <col min="8676" max="8676" width="12.6272727272727" style="74" customWidth="1"/>
    <col min="8677" max="8927" width="9" style="74"/>
    <col min="8928" max="8928" width="11.3727272727273" style="74" customWidth="1"/>
    <col min="8929" max="8929" width="17.8727272727273" style="74" customWidth="1"/>
    <col min="8930" max="8930" width="19" style="74" customWidth="1"/>
    <col min="8931" max="8931" width="22.8727272727273" style="74" customWidth="1"/>
    <col min="8932" max="8932" width="12.6272727272727" style="74" customWidth="1"/>
    <col min="8933" max="9183" width="9" style="74"/>
    <col min="9184" max="9184" width="11.3727272727273" style="74" customWidth="1"/>
    <col min="9185" max="9185" width="17.8727272727273" style="74" customWidth="1"/>
    <col min="9186" max="9186" width="19" style="74" customWidth="1"/>
    <col min="9187" max="9187" width="22.8727272727273" style="74" customWidth="1"/>
    <col min="9188" max="9188" width="12.6272727272727" style="74" customWidth="1"/>
    <col min="9189" max="9439" width="9" style="74"/>
    <col min="9440" max="9440" width="11.3727272727273" style="74" customWidth="1"/>
    <col min="9441" max="9441" width="17.8727272727273" style="74" customWidth="1"/>
    <col min="9442" max="9442" width="19" style="74" customWidth="1"/>
    <col min="9443" max="9443" width="22.8727272727273" style="74" customWidth="1"/>
    <col min="9444" max="9444" width="12.6272727272727" style="74" customWidth="1"/>
    <col min="9445" max="9695" width="9" style="74"/>
    <col min="9696" max="9696" width="11.3727272727273" style="74" customWidth="1"/>
    <col min="9697" max="9697" width="17.8727272727273" style="74" customWidth="1"/>
    <col min="9698" max="9698" width="19" style="74" customWidth="1"/>
    <col min="9699" max="9699" width="22.8727272727273" style="74" customWidth="1"/>
    <col min="9700" max="9700" width="12.6272727272727" style="74" customWidth="1"/>
    <col min="9701" max="9951" width="9" style="74"/>
    <col min="9952" max="9952" width="11.3727272727273" style="74" customWidth="1"/>
    <col min="9953" max="9953" width="17.8727272727273" style="74" customWidth="1"/>
    <col min="9954" max="9954" width="19" style="74" customWidth="1"/>
    <col min="9955" max="9955" width="22.8727272727273" style="74" customWidth="1"/>
    <col min="9956" max="9956" width="12.6272727272727" style="74" customWidth="1"/>
    <col min="9957" max="10207" width="9" style="74"/>
    <col min="10208" max="10208" width="11.3727272727273" style="74" customWidth="1"/>
    <col min="10209" max="10209" width="17.8727272727273" style="74" customWidth="1"/>
    <col min="10210" max="10210" width="19" style="74" customWidth="1"/>
    <col min="10211" max="10211" width="22.8727272727273" style="74" customWidth="1"/>
    <col min="10212" max="10212" width="12.6272727272727" style="74" customWidth="1"/>
    <col min="10213" max="10463" width="9" style="74"/>
    <col min="10464" max="10464" width="11.3727272727273" style="74" customWidth="1"/>
    <col min="10465" max="10465" width="17.8727272727273" style="74" customWidth="1"/>
    <col min="10466" max="10466" width="19" style="74" customWidth="1"/>
    <col min="10467" max="10467" width="22.8727272727273" style="74" customWidth="1"/>
    <col min="10468" max="10468" width="12.6272727272727" style="74" customWidth="1"/>
    <col min="10469" max="10719" width="9" style="74"/>
    <col min="10720" max="10720" width="11.3727272727273" style="74" customWidth="1"/>
    <col min="10721" max="10721" width="17.8727272727273" style="74" customWidth="1"/>
    <col min="10722" max="10722" width="19" style="74" customWidth="1"/>
    <col min="10723" max="10723" width="22.8727272727273" style="74" customWidth="1"/>
    <col min="10724" max="10724" width="12.6272727272727" style="74" customWidth="1"/>
    <col min="10725" max="10975" width="9" style="74"/>
    <col min="10976" max="10976" width="11.3727272727273" style="74" customWidth="1"/>
    <col min="10977" max="10977" width="17.8727272727273" style="74" customWidth="1"/>
    <col min="10978" max="10978" width="19" style="74" customWidth="1"/>
    <col min="10979" max="10979" width="22.8727272727273" style="74" customWidth="1"/>
    <col min="10980" max="10980" width="12.6272727272727" style="74" customWidth="1"/>
    <col min="10981" max="11231" width="9" style="74"/>
    <col min="11232" max="11232" width="11.3727272727273" style="74" customWidth="1"/>
    <col min="11233" max="11233" width="17.8727272727273" style="74" customWidth="1"/>
    <col min="11234" max="11234" width="19" style="74" customWidth="1"/>
    <col min="11235" max="11235" width="22.8727272727273" style="74" customWidth="1"/>
    <col min="11236" max="11236" width="12.6272727272727" style="74" customWidth="1"/>
    <col min="11237" max="11487" width="9" style="74"/>
    <col min="11488" max="11488" width="11.3727272727273" style="74" customWidth="1"/>
    <col min="11489" max="11489" width="17.8727272727273" style="74" customWidth="1"/>
    <col min="11490" max="11490" width="19" style="74" customWidth="1"/>
    <col min="11491" max="11491" width="22.8727272727273" style="74" customWidth="1"/>
    <col min="11492" max="11492" width="12.6272727272727" style="74" customWidth="1"/>
    <col min="11493" max="11743" width="9" style="74"/>
    <col min="11744" max="11744" width="11.3727272727273" style="74" customWidth="1"/>
    <col min="11745" max="11745" width="17.8727272727273" style="74" customWidth="1"/>
    <col min="11746" max="11746" width="19" style="74" customWidth="1"/>
    <col min="11747" max="11747" width="22.8727272727273" style="74" customWidth="1"/>
    <col min="11748" max="11748" width="12.6272727272727" style="74" customWidth="1"/>
    <col min="11749" max="11999" width="9" style="74"/>
    <col min="12000" max="12000" width="11.3727272727273" style="74" customWidth="1"/>
    <col min="12001" max="12001" width="17.8727272727273" style="74" customWidth="1"/>
    <col min="12002" max="12002" width="19" style="74" customWidth="1"/>
    <col min="12003" max="12003" width="22.8727272727273" style="74" customWidth="1"/>
    <col min="12004" max="12004" width="12.6272727272727" style="74" customWidth="1"/>
    <col min="12005" max="12255" width="9" style="74"/>
    <col min="12256" max="12256" width="11.3727272727273" style="74" customWidth="1"/>
    <col min="12257" max="12257" width="17.8727272727273" style="74" customWidth="1"/>
    <col min="12258" max="12258" width="19" style="74" customWidth="1"/>
    <col min="12259" max="12259" width="22.8727272727273" style="74" customWidth="1"/>
    <col min="12260" max="12260" width="12.6272727272727" style="74" customWidth="1"/>
    <col min="12261" max="12511" width="9" style="74"/>
    <col min="12512" max="12512" width="11.3727272727273" style="74" customWidth="1"/>
    <col min="12513" max="12513" width="17.8727272727273" style="74" customWidth="1"/>
    <col min="12514" max="12514" width="19" style="74" customWidth="1"/>
    <col min="12515" max="12515" width="22.8727272727273" style="74" customWidth="1"/>
    <col min="12516" max="12516" width="12.6272727272727" style="74" customWidth="1"/>
    <col min="12517" max="12767" width="9" style="74"/>
    <col min="12768" max="12768" width="11.3727272727273" style="74" customWidth="1"/>
    <col min="12769" max="12769" width="17.8727272727273" style="74" customWidth="1"/>
    <col min="12770" max="12770" width="19" style="74" customWidth="1"/>
    <col min="12771" max="12771" width="22.8727272727273" style="74" customWidth="1"/>
    <col min="12772" max="12772" width="12.6272727272727" style="74" customWidth="1"/>
    <col min="12773" max="13023" width="9" style="74"/>
    <col min="13024" max="13024" width="11.3727272727273" style="74" customWidth="1"/>
    <col min="13025" max="13025" width="17.8727272727273" style="74" customWidth="1"/>
    <col min="13026" max="13026" width="19" style="74" customWidth="1"/>
    <col min="13027" max="13027" width="22.8727272727273" style="74" customWidth="1"/>
    <col min="13028" max="13028" width="12.6272727272727" style="74" customWidth="1"/>
    <col min="13029" max="13279" width="9" style="74"/>
    <col min="13280" max="13280" width="11.3727272727273" style="74" customWidth="1"/>
    <col min="13281" max="13281" width="17.8727272727273" style="74" customWidth="1"/>
    <col min="13282" max="13282" width="19" style="74" customWidth="1"/>
    <col min="13283" max="13283" width="22.8727272727273" style="74" customWidth="1"/>
    <col min="13284" max="13284" width="12.6272727272727" style="74" customWidth="1"/>
    <col min="13285" max="13535" width="9" style="74"/>
    <col min="13536" max="13536" width="11.3727272727273" style="74" customWidth="1"/>
    <col min="13537" max="13537" width="17.8727272727273" style="74" customWidth="1"/>
    <col min="13538" max="13538" width="19" style="74" customWidth="1"/>
    <col min="13539" max="13539" width="22.8727272727273" style="74" customWidth="1"/>
    <col min="13540" max="13540" width="12.6272727272727" style="74" customWidth="1"/>
    <col min="13541" max="13791" width="9" style="74"/>
    <col min="13792" max="13792" width="11.3727272727273" style="74" customWidth="1"/>
    <col min="13793" max="13793" width="17.8727272727273" style="74" customWidth="1"/>
    <col min="13794" max="13794" width="19" style="74" customWidth="1"/>
    <col min="13795" max="13795" width="22.8727272727273" style="74" customWidth="1"/>
    <col min="13796" max="13796" width="12.6272727272727" style="74" customWidth="1"/>
    <col min="13797" max="14047" width="9" style="74"/>
    <col min="14048" max="14048" width="11.3727272727273" style="74" customWidth="1"/>
    <col min="14049" max="14049" width="17.8727272727273" style="74" customWidth="1"/>
    <col min="14050" max="14050" width="19" style="74" customWidth="1"/>
    <col min="14051" max="14051" width="22.8727272727273" style="74" customWidth="1"/>
    <col min="14052" max="14052" width="12.6272727272727" style="74" customWidth="1"/>
    <col min="14053" max="14303" width="9" style="74"/>
    <col min="14304" max="14304" width="11.3727272727273" style="74" customWidth="1"/>
    <col min="14305" max="14305" width="17.8727272727273" style="74" customWidth="1"/>
    <col min="14306" max="14306" width="19" style="74" customWidth="1"/>
    <col min="14307" max="14307" width="22.8727272727273" style="74" customWidth="1"/>
    <col min="14308" max="14308" width="12.6272727272727" style="74" customWidth="1"/>
    <col min="14309" max="14559" width="9" style="74"/>
    <col min="14560" max="14560" width="11.3727272727273" style="74" customWidth="1"/>
    <col min="14561" max="14561" width="17.8727272727273" style="74" customWidth="1"/>
    <col min="14562" max="14562" width="19" style="74" customWidth="1"/>
    <col min="14563" max="14563" width="22.8727272727273" style="74" customWidth="1"/>
    <col min="14564" max="14564" width="12.6272727272727" style="74" customWidth="1"/>
    <col min="14565" max="14815" width="9" style="74"/>
    <col min="14816" max="14816" width="11.3727272727273" style="74" customWidth="1"/>
    <col min="14817" max="14817" width="17.8727272727273" style="74" customWidth="1"/>
    <col min="14818" max="14818" width="19" style="74" customWidth="1"/>
    <col min="14819" max="14819" width="22.8727272727273" style="74" customWidth="1"/>
    <col min="14820" max="14820" width="12.6272727272727" style="74" customWidth="1"/>
    <col min="14821" max="15071" width="9" style="74"/>
    <col min="15072" max="15072" width="11.3727272727273" style="74" customWidth="1"/>
    <col min="15073" max="15073" width="17.8727272727273" style="74" customWidth="1"/>
    <col min="15074" max="15074" width="19" style="74" customWidth="1"/>
    <col min="15075" max="15075" width="22.8727272727273" style="74" customWidth="1"/>
    <col min="15076" max="15076" width="12.6272727272727" style="74" customWidth="1"/>
    <col min="15077" max="15327" width="9" style="74"/>
    <col min="15328" max="15328" width="11.3727272727273" style="74" customWidth="1"/>
    <col min="15329" max="15329" width="17.8727272727273" style="74" customWidth="1"/>
    <col min="15330" max="15330" width="19" style="74" customWidth="1"/>
    <col min="15331" max="15331" width="22.8727272727273" style="74" customWidth="1"/>
    <col min="15332" max="15332" width="12.6272727272727" style="74" customWidth="1"/>
    <col min="15333" max="15583" width="9" style="74"/>
    <col min="15584" max="15584" width="11.3727272727273" style="74" customWidth="1"/>
    <col min="15585" max="15585" width="17.8727272727273" style="74" customWidth="1"/>
    <col min="15586" max="15586" width="19" style="74" customWidth="1"/>
    <col min="15587" max="15587" width="22.8727272727273" style="74" customWidth="1"/>
    <col min="15588" max="15588" width="12.6272727272727" style="74" customWidth="1"/>
    <col min="15589" max="15839" width="9" style="74"/>
    <col min="15840" max="15840" width="11.3727272727273" style="74" customWidth="1"/>
    <col min="15841" max="15841" width="17.8727272727273" style="74" customWidth="1"/>
    <col min="15842" max="15842" width="19" style="74" customWidth="1"/>
    <col min="15843" max="15843" width="22.8727272727273" style="74" customWidth="1"/>
    <col min="15844" max="15844" width="12.6272727272727" style="74" customWidth="1"/>
    <col min="15845" max="16095" width="9" style="74"/>
    <col min="16096" max="16096" width="11.3727272727273" style="74" customWidth="1"/>
    <col min="16097" max="16097" width="17.8727272727273" style="74" customWidth="1"/>
    <col min="16098" max="16098" width="19" style="74" customWidth="1"/>
    <col min="16099" max="16099" width="22.8727272727273" style="74" customWidth="1"/>
    <col min="16100" max="16100" width="12.6272727272727" style="74" customWidth="1"/>
    <col min="16101" max="16384" width="9" style="74"/>
  </cols>
  <sheetData>
    <row r="1" ht="14.75"/>
    <row r="2" spans="2:10">
      <c r="B2" s="75" t="s">
        <v>252</v>
      </c>
      <c r="C2" s="76"/>
      <c r="D2" s="76"/>
      <c r="E2" s="76"/>
      <c r="F2" s="77"/>
      <c r="G2" s="77"/>
      <c r="H2" s="77"/>
      <c r="I2" s="77"/>
      <c r="J2" s="115"/>
    </row>
    <row r="3" spans="2:10">
      <c r="B3" s="78"/>
      <c r="C3" s="79" t="s">
        <v>253</v>
      </c>
      <c r="D3" s="80" t="s">
        <v>254</v>
      </c>
      <c r="E3" s="81"/>
      <c r="F3" s="82"/>
      <c r="G3" s="82"/>
      <c r="H3" s="82"/>
      <c r="I3" s="82"/>
      <c r="J3" s="116"/>
    </row>
    <row r="4" spans="2:10">
      <c r="B4" s="78"/>
      <c r="C4" s="79"/>
      <c r="D4" s="80"/>
      <c r="E4" s="81"/>
      <c r="F4" s="82"/>
      <c r="G4" s="82"/>
      <c r="H4" s="82"/>
      <c r="I4" s="82"/>
      <c r="J4" s="116"/>
    </row>
    <row r="5" spans="2:10">
      <c r="B5" s="78"/>
      <c r="C5" s="79" t="s">
        <v>255</v>
      </c>
      <c r="D5" s="80" t="s">
        <v>256</v>
      </c>
      <c r="E5" s="81"/>
      <c r="F5" s="82"/>
      <c r="G5" s="82"/>
      <c r="H5" s="82"/>
      <c r="I5" s="82"/>
      <c r="J5" s="116"/>
    </row>
    <row r="6" spans="2:10">
      <c r="B6" s="78"/>
      <c r="C6" s="83"/>
      <c r="D6" s="84"/>
      <c r="E6" s="81"/>
      <c r="F6" s="82"/>
      <c r="G6" s="82"/>
      <c r="H6" s="82"/>
      <c r="I6" s="82"/>
      <c r="J6" s="116"/>
    </row>
    <row r="7" spans="2:10">
      <c r="B7" s="78"/>
      <c r="C7" s="79" t="s">
        <v>257</v>
      </c>
      <c r="D7" s="85" t="s">
        <v>258</v>
      </c>
      <c r="E7" s="81"/>
      <c r="F7" s="82"/>
      <c r="G7" s="82"/>
      <c r="H7" s="82"/>
      <c r="I7" s="82"/>
      <c r="J7" s="116"/>
    </row>
    <row r="8" spans="2:10">
      <c r="B8" s="78"/>
      <c r="C8" s="83"/>
      <c r="D8" s="81"/>
      <c r="E8" s="81"/>
      <c r="F8" s="82"/>
      <c r="G8" s="82"/>
      <c r="H8" s="82"/>
      <c r="I8" s="82"/>
      <c r="J8" s="116"/>
    </row>
    <row r="9" ht="33.95" customHeight="1" spans="2:10">
      <c r="B9" s="78"/>
      <c r="C9" s="79" t="s">
        <v>259</v>
      </c>
      <c r="D9" s="86" t="s">
        <v>4</v>
      </c>
      <c r="E9" s="81"/>
      <c r="F9" s="82"/>
      <c r="G9" s="82"/>
      <c r="H9" s="82"/>
      <c r="I9" s="82"/>
      <c r="J9" s="116"/>
    </row>
    <row r="10" spans="2:10">
      <c r="B10" s="78"/>
      <c r="C10" s="83"/>
      <c r="D10" s="81"/>
      <c r="E10" s="81"/>
      <c r="F10" s="82"/>
      <c r="G10" s="82"/>
      <c r="H10" s="82"/>
      <c r="I10" s="82"/>
      <c r="J10" s="116"/>
    </row>
    <row r="11" spans="2:10">
      <c r="B11" s="87"/>
      <c r="C11" s="79" t="s">
        <v>260</v>
      </c>
      <c r="D11" s="88" t="s">
        <v>261</v>
      </c>
      <c r="E11" s="88"/>
      <c r="F11" s="82"/>
      <c r="G11" s="82"/>
      <c r="H11" s="82"/>
      <c r="I11" s="82"/>
      <c r="J11" s="116"/>
    </row>
    <row r="12" spans="2:10">
      <c r="B12" s="87"/>
      <c r="C12" s="89"/>
      <c r="D12" s="81"/>
      <c r="E12" s="81"/>
      <c r="F12" s="82"/>
      <c r="G12" s="82"/>
      <c r="H12" s="82"/>
      <c r="I12" s="82"/>
      <c r="J12" s="116"/>
    </row>
    <row r="13" spans="2:10">
      <c r="B13" s="87"/>
      <c r="C13" s="79" t="s">
        <v>262</v>
      </c>
      <c r="D13" s="90" t="s">
        <v>263</v>
      </c>
      <c r="E13" s="81"/>
      <c r="F13" s="82"/>
      <c r="G13" s="82"/>
      <c r="H13" s="82"/>
      <c r="I13" s="82"/>
      <c r="J13" s="116"/>
    </row>
    <row r="14" spans="2:10">
      <c r="B14" s="87"/>
      <c r="C14" s="83"/>
      <c r="D14" s="85" t="s">
        <v>264</v>
      </c>
      <c r="E14" s="81"/>
      <c r="F14" s="82"/>
      <c r="G14" s="82"/>
      <c r="H14" s="82"/>
      <c r="I14" s="82"/>
      <c r="J14" s="116"/>
    </row>
    <row r="15" ht="18.95" customHeight="1" spans="2:10">
      <c r="B15" s="87"/>
      <c r="C15" s="83"/>
      <c r="D15" s="91" t="s">
        <v>4</v>
      </c>
      <c r="E15" s="88" t="s">
        <v>130</v>
      </c>
      <c r="F15" s="82"/>
      <c r="G15" s="82"/>
      <c r="H15" s="82"/>
      <c r="I15" s="82"/>
      <c r="J15" s="116"/>
    </row>
    <row r="16" spans="2:10">
      <c r="B16" s="87" t="s">
        <v>41</v>
      </c>
      <c r="C16" s="89"/>
      <c r="D16" s="88" t="s">
        <v>265</v>
      </c>
      <c r="E16" s="88" t="s">
        <v>127</v>
      </c>
      <c r="F16" s="82"/>
      <c r="G16" s="82"/>
      <c r="H16" s="82"/>
      <c r="I16" s="82"/>
      <c r="J16" s="116"/>
    </row>
    <row r="17" spans="2:10">
      <c r="B17" s="78"/>
      <c r="C17" s="79" t="s">
        <v>266</v>
      </c>
      <c r="D17" s="88"/>
      <c r="E17" s="81"/>
      <c r="F17" s="82"/>
      <c r="G17" s="82"/>
      <c r="H17" s="82"/>
      <c r="I17" s="82"/>
      <c r="J17" s="116"/>
    </row>
    <row r="18" spans="2:10">
      <c r="B18" s="78"/>
      <c r="C18" s="83"/>
      <c r="D18" s="92" t="s">
        <v>267</v>
      </c>
      <c r="E18" s="93" t="s">
        <v>268</v>
      </c>
      <c r="F18" s="94"/>
      <c r="G18" s="95"/>
      <c r="H18" s="94"/>
      <c r="I18" s="82"/>
      <c r="J18" s="116"/>
    </row>
    <row r="19" spans="2:10">
      <c r="B19" s="78"/>
      <c r="C19" s="83"/>
      <c r="D19" s="92" t="s">
        <v>269</v>
      </c>
      <c r="E19" s="96" t="s">
        <v>270</v>
      </c>
      <c r="F19" s="94"/>
      <c r="G19" s="95"/>
      <c r="H19" s="94"/>
      <c r="I19" s="82"/>
      <c r="J19" s="116"/>
    </row>
    <row r="20" spans="2:10">
      <c r="B20" s="78"/>
      <c r="C20" s="83"/>
      <c r="D20" s="92" t="s">
        <v>271</v>
      </c>
      <c r="E20" s="95" t="s">
        <v>272</v>
      </c>
      <c r="F20" s="95"/>
      <c r="G20" s="97"/>
      <c r="H20" s="94"/>
      <c r="I20" s="82"/>
      <c r="J20" s="116"/>
    </row>
    <row r="21" spans="2:10">
      <c r="B21" s="78"/>
      <c r="C21" s="83"/>
      <c r="D21" s="97"/>
      <c r="E21" s="98" t="s">
        <v>273</v>
      </c>
      <c r="F21" s="94"/>
      <c r="G21" s="95"/>
      <c r="H21" s="94"/>
      <c r="I21" s="82"/>
      <c r="J21" s="116"/>
    </row>
    <row r="22" spans="2:10">
      <c r="B22" s="78"/>
      <c r="C22" s="83"/>
      <c r="D22" s="99" t="s">
        <v>274</v>
      </c>
      <c r="E22" s="100"/>
      <c r="F22" s="95"/>
      <c r="G22" s="95"/>
      <c r="H22" s="95"/>
      <c r="I22" s="82"/>
      <c r="J22" s="116"/>
    </row>
    <row r="23" ht="28" spans="2:10">
      <c r="B23" s="78"/>
      <c r="C23" s="83"/>
      <c r="D23" s="97"/>
      <c r="E23" s="101" t="s">
        <v>275</v>
      </c>
      <c r="F23" s="101" t="s">
        <v>276</v>
      </c>
      <c r="G23" s="101" t="s">
        <v>277</v>
      </c>
      <c r="H23" s="101" t="s">
        <v>278</v>
      </c>
      <c r="I23" s="82"/>
      <c r="J23" s="116"/>
    </row>
    <row r="24" spans="2:10">
      <c r="B24" s="78"/>
      <c r="C24" s="83"/>
      <c r="D24" s="97"/>
      <c r="E24" s="102">
        <v>1.6</v>
      </c>
      <c r="F24" s="103">
        <v>0.8</v>
      </c>
      <c r="G24" s="103">
        <v>5</v>
      </c>
      <c r="H24" s="103">
        <v>95</v>
      </c>
      <c r="I24" s="82"/>
      <c r="J24" s="116"/>
    </row>
    <row r="25" spans="2:10">
      <c r="B25" s="78"/>
      <c r="C25" s="83"/>
      <c r="D25" s="97"/>
      <c r="E25" s="102">
        <v>1.9</v>
      </c>
      <c r="F25" s="103">
        <v>0.8</v>
      </c>
      <c r="G25" s="103">
        <f>100-H25</f>
        <v>5</v>
      </c>
      <c r="H25" s="103">
        <v>95</v>
      </c>
      <c r="I25" s="82"/>
      <c r="J25" s="116"/>
    </row>
    <row r="26" spans="2:10">
      <c r="B26" s="78"/>
      <c r="C26" s="83"/>
      <c r="D26" s="97"/>
      <c r="E26" s="102">
        <v>1.91</v>
      </c>
      <c r="F26" s="103">
        <v>0.8</v>
      </c>
      <c r="G26" s="103">
        <f>100-H26</f>
        <v>80</v>
      </c>
      <c r="H26" s="103">
        <v>20</v>
      </c>
      <c r="I26" s="82"/>
      <c r="J26" s="116"/>
    </row>
    <row r="27" spans="2:10">
      <c r="B27" s="78"/>
      <c r="C27" s="81"/>
      <c r="D27" s="97"/>
      <c r="E27" s="104">
        <v>2.5</v>
      </c>
      <c r="F27" s="103">
        <v>0.8</v>
      </c>
      <c r="G27" s="105">
        <f>100-H27</f>
        <v>80</v>
      </c>
      <c r="H27" s="105">
        <v>20</v>
      </c>
      <c r="I27" s="82"/>
      <c r="J27" s="116"/>
    </row>
    <row r="28" spans="2:10">
      <c r="B28" s="78"/>
      <c r="C28" s="81"/>
      <c r="D28" s="97" t="s">
        <v>279</v>
      </c>
      <c r="E28" s="97">
        <v>40</v>
      </c>
      <c r="F28" s="106"/>
      <c r="G28" s="106"/>
      <c r="H28" s="106"/>
      <c r="I28" s="82"/>
      <c r="J28" s="116"/>
    </row>
    <row r="29" spans="2:10">
      <c r="B29" s="78"/>
      <c r="C29" s="81"/>
      <c r="D29" s="97" t="s">
        <v>280</v>
      </c>
      <c r="E29" s="97">
        <v>5</v>
      </c>
      <c r="F29" s="106"/>
      <c r="G29" s="106"/>
      <c r="H29" s="106"/>
      <c r="I29" s="82"/>
      <c r="J29" s="116"/>
    </row>
    <row r="30" spans="2:10">
      <c r="B30" s="78"/>
      <c r="C30" s="81"/>
      <c r="D30" s="88" t="s">
        <v>281</v>
      </c>
      <c r="F30" s="82"/>
      <c r="G30" s="82"/>
      <c r="H30" s="82"/>
      <c r="I30" s="82"/>
      <c r="J30" s="116"/>
    </row>
    <row r="31" spans="2:10">
      <c r="B31" s="78"/>
      <c r="C31" s="81"/>
      <c r="D31" s="91" t="s">
        <v>4</v>
      </c>
      <c r="E31" s="81" t="s">
        <v>282</v>
      </c>
      <c r="F31" s="82"/>
      <c r="G31" s="82"/>
      <c r="H31" s="82"/>
      <c r="I31" s="82"/>
      <c r="J31" s="116"/>
    </row>
    <row r="32" spans="2:10">
      <c r="B32" s="78"/>
      <c r="C32" s="81"/>
      <c r="D32" s="81" t="s">
        <v>283</v>
      </c>
      <c r="E32" s="81" t="s">
        <v>284</v>
      </c>
      <c r="F32" s="82"/>
      <c r="G32" s="82"/>
      <c r="H32" s="82"/>
      <c r="I32" s="82"/>
      <c r="J32" s="116"/>
    </row>
    <row r="33" spans="2:10">
      <c r="B33" s="78"/>
      <c r="C33" s="81"/>
      <c r="D33" s="107"/>
      <c r="E33" s="107"/>
      <c r="F33" s="82"/>
      <c r="G33" s="82"/>
      <c r="H33" s="82"/>
      <c r="I33" s="82"/>
      <c r="J33" s="116"/>
    </row>
    <row r="34" ht="99" customHeight="1" spans="2:11">
      <c r="B34" s="78"/>
      <c r="C34" s="108" t="s">
        <v>285</v>
      </c>
      <c r="D34" s="109" t="s">
        <v>286</v>
      </c>
      <c r="E34" s="109"/>
      <c r="F34" s="109"/>
      <c r="G34" s="109"/>
      <c r="H34" s="109"/>
      <c r="I34" s="109"/>
      <c r="J34" s="116"/>
      <c r="K34" s="117"/>
    </row>
    <row r="35" ht="57.95" customHeight="1" spans="2:10">
      <c r="B35" s="110"/>
      <c r="C35" s="111" t="s">
        <v>287</v>
      </c>
      <c r="D35" s="112" t="s">
        <v>288</v>
      </c>
      <c r="E35" s="113"/>
      <c r="F35" s="114"/>
      <c r="G35" s="114"/>
      <c r="H35" s="114"/>
      <c r="I35" s="114"/>
      <c r="J35" s="118"/>
    </row>
    <row r="72" spans="5:5">
      <c r="E72" s="119"/>
    </row>
    <row r="88" spans="5:5">
      <c r="E88" s="119"/>
    </row>
  </sheetData>
  <mergeCells count="2">
    <mergeCell ref="D33:E33"/>
    <mergeCell ref="D34:I34"/>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0"/>
  </sheetPr>
  <dimension ref="B1:L51"/>
  <sheetViews>
    <sheetView showGridLines="0" zoomScale="80" zoomScaleNormal="80" workbookViewId="0">
      <selection activeCell="Q35" sqref="Q35"/>
    </sheetView>
  </sheetViews>
  <sheetFormatPr defaultColWidth="9" defaultRowHeight="14"/>
  <cols>
    <col min="1" max="1" width="9" style="1"/>
    <col min="2" max="2" width="1.62727272727273" style="2" customWidth="1"/>
    <col min="3" max="3" width="14.6272727272727" style="3" customWidth="1"/>
    <col min="4" max="4" width="15.1272727272727" style="3" customWidth="1"/>
    <col min="5" max="6" width="10.3727272727273" style="3" customWidth="1"/>
    <col min="7" max="7" width="10.8727272727273" style="3" customWidth="1"/>
    <col min="8" max="8" width="11.8727272727273" style="3" customWidth="1"/>
    <col min="9" max="9" width="12.3727272727273" style="3" customWidth="1"/>
    <col min="10" max="10" width="10" style="3" customWidth="1"/>
    <col min="11" max="11" width="11.6272727272727" style="3" customWidth="1"/>
    <col min="12" max="12" width="1.75454545454545" style="3" customWidth="1"/>
    <col min="13" max="16384" width="9" style="1"/>
  </cols>
  <sheetData>
    <row r="1" ht="14.75"/>
    <row r="2" spans="2:12">
      <c r="B2" s="4"/>
      <c r="C2" s="5"/>
      <c r="D2" s="5"/>
      <c r="E2" s="5"/>
      <c r="F2" s="5"/>
      <c r="G2" s="5"/>
      <c r="H2" s="5"/>
      <c r="I2" s="5"/>
      <c r="J2" s="5"/>
      <c r="K2" s="5"/>
      <c r="L2" s="56"/>
    </row>
    <row r="3" spans="2:12">
      <c r="B3" s="6"/>
      <c r="C3" s="7" t="s">
        <v>289</v>
      </c>
      <c r="D3" s="8"/>
      <c r="E3" s="8"/>
      <c r="F3" s="8"/>
      <c r="G3" s="8"/>
      <c r="H3" s="8"/>
      <c r="I3" s="8"/>
      <c r="J3" s="8"/>
      <c r="K3" s="8"/>
      <c r="L3" s="57"/>
    </row>
    <row r="4" spans="2:12">
      <c r="B4" s="6"/>
      <c r="C4" s="8"/>
      <c r="D4" s="8"/>
      <c r="E4" s="8"/>
      <c r="F4" s="8"/>
      <c r="G4" s="8"/>
      <c r="H4" s="8"/>
      <c r="I4" s="8"/>
      <c r="J4" s="8"/>
      <c r="K4" s="8"/>
      <c r="L4" s="57"/>
    </row>
    <row r="5" ht="28" spans="2:12">
      <c r="B5" s="6"/>
      <c r="C5" s="9" t="s">
        <v>290</v>
      </c>
      <c r="D5" s="9" t="s">
        <v>291</v>
      </c>
      <c r="E5" s="9" t="s">
        <v>292</v>
      </c>
      <c r="F5" s="9" t="s">
        <v>293</v>
      </c>
      <c r="G5" s="9" t="s">
        <v>294</v>
      </c>
      <c r="H5" s="9" t="s">
        <v>295</v>
      </c>
      <c r="I5" s="16"/>
      <c r="J5" s="8"/>
      <c r="K5" s="58"/>
      <c r="L5" s="59"/>
    </row>
    <row r="6" spans="2:12">
      <c r="B6" s="6"/>
      <c r="C6" s="10" t="s">
        <v>4</v>
      </c>
      <c r="D6" s="11" t="s">
        <v>296</v>
      </c>
      <c r="E6" s="12">
        <v>0.966</v>
      </c>
      <c r="F6" s="13" t="s">
        <v>297</v>
      </c>
      <c r="G6" s="14" t="s">
        <v>40</v>
      </c>
      <c r="H6" s="14">
        <v>457.55</v>
      </c>
      <c r="I6" s="16"/>
      <c r="J6" s="8"/>
      <c r="K6" s="58"/>
      <c r="L6" s="59"/>
    </row>
    <row r="7" spans="2:12">
      <c r="B7" s="6"/>
      <c r="C7" s="15" t="s">
        <v>298</v>
      </c>
      <c r="D7" s="15"/>
      <c r="E7" s="15"/>
      <c r="F7" s="15"/>
      <c r="G7" s="15"/>
      <c r="H7" s="15"/>
      <c r="I7" s="15"/>
      <c r="J7" s="15"/>
      <c r="K7" s="15"/>
      <c r="L7" s="60"/>
    </row>
    <row r="8" spans="2:12">
      <c r="B8" s="6"/>
      <c r="C8" s="8"/>
      <c r="D8" s="8"/>
      <c r="E8" s="8"/>
      <c r="F8" s="8"/>
      <c r="G8" s="8"/>
      <c r="H8" s="8"/>
      <c r="I8" s="8"/>
      <c r="J8" s="8"/>
      <c r="K8" s="8"/>
      <c r="L8" s="57"/>
    </row>
    <row r="9" spans="2:12">
      <c r="B9" s="6"/>
      <c r="C9" s="7" t="s">
        <v>299</v>
      </c>
      <c r="D9" s="16"/>
      <c r="E9" s="16"/>
      <c r="F9" s="16"/>
      <c r="G9" s="8"/>
      <c r="H9" s="8"/>
      <c r="I9" s="8"/>
      <c r="J9" s="8"/>
      <c r="K9" s="8"/>
      <c r="L9" s="57"/>
    </row>
    <row r="10" spans="2:12">
      <c r="B10" s="6"/>
      <c r="C10" s="8"/>
      <c r="D10" s="17"/>
      <c r="E10" s="18"/>
      <c r="F10" s="18"/>
      <c r="G10" s="8"/>
      <c r="H10" s="8"/>
      <c r="I10" s="8"/>
      <c r="J10" s="8"/>
      <c r="K10" s="8"/>
      <c r="L10" s="57"/>
    </row>
    <row r="11" spans="2:12">
      <c r="B11" s="6"/>
      <c r="C11" s="19" t="s">
        <v>300</v>
      </c>
      <c r="D11" s="20"/>
      <c r="E11" s="20"/>
      <c r="F11" s="20"/>
      <c r="G11" s="20"/>
      <c r="H11" s="20"/>
      <c r="I11" s="20"/>
      <c r="J11" s="20"/>
      <c r="K11" s="61"/>
      <c r="L11" s="57"/>
    </row>
    <row r="12" spans="2:12">
      <c r="B12" s="6"/>
      <c r="C12" s="21" t="s">
        <v>301</v>
      </c>
      <c r="D12" s="22"/>
      <c r="E12" s="22"/>
      <c r="F12" s="22"/>
      <c r="G12" s="22"/>
      <c r="H12" s="22"/>
      <c r="I12" s="22"/>
      <c r="J12" s="22"/>
      <c r="K12" s="62"/>
      <c r="L12" s="57"/>
    </row>
    <row r="13" spans="2:12">
      <c r="B13" s="6"/>
      <c r="C13" s="8"/>
      <c r="D13" s="17"/>
      <c r="E13" s="17"/>
      <c r="F13" s="17"/>
      <c r="G13" s="8"/>
      <c r="H13" s="8"/>
      <c r="I13" s="8"/>
      <c r="J13" s="8"/>
      <c r="K13" s="8"/>
      <c r="L13" s="57"/>
    </row>
    <row r="14" spans="2:12">
      <c r="B14" s="6"/>
      <c r="C14" s="7" t="s">
        <v>302</v>
      </c>
      <c r="D14" s="8"/>
      <c r="E14" s="8"/>
      <c r="F14" s="8"/>
      <c r="G14" s="8"/>
      <c r="H14" s="8"/>
      <c r="I14" s="8"/>
      <c r="J14" s="8"/>
      <c r="K14" s="8"/>
      <c r="L14" s="57"/>
    </row>
    <row r="15" spans="2:12">
      <c r="B15" s="6"/>
      <c r="C15" s="8"/>
      <c r="D15" s="8"/>
      <c r="E15" s="8"/>
      <c r="F15" s="8"/>
      <c r="G15" s="8"/>
      <c r="H15" s="8"/>
      <c r="I15" s="8"/>
      <c r="J15" s="8"/>
      <c r="K15" s="8"/>
      <c r="L15" s="57"/>
    </row>
    <row r="16" spans="2:12">
      <c r="B16" s="6"/>
      <c r="C16" s="23" t="s">
        <v>303</v>
      </c>
      <c r="D16" s="24"/>
      <c r="E16" s="24"/>
      <c r="F16" s="24"/>
      <c r="G16" s="24"/>
      <c r="H16" s="24"/>
      <c r="I16" s="24"/>
      <c r="J16" s="24"/>
      <c r="K16" s="63"/>
      <c r="L16" s="57"/>
    </row>
    <row r="17" spans="2:12">
      <c r="B17" s="6"/>
      <c r="C17" s="25" t="s">
        <v>304</v>
      </c>
      <c r="D17" s="8"/>
      <c r="E17" s="8"/>
      <c r="F17" s="8"/>
      <c r="G17" s="8"/>
      <c r="H17" s="8"/>
      <c r="I17" s="8"/>
      <c r="J17" s="8"/>
      <c r="K17" s="64"/>
      <c r="L17" s="57"/>
    </row>
    <row r="18" spans="2:12">
      <c r="B18" s="6"/>
      <c r="C18" s="25" t="s">
        <v>305</v>
      </c>
      <c r="D18" s="8"/>
      <c r="E18" s="8"/>
      <c r="F18" s="8"/>
      <c r="G18" s="8"/>
      <c r="H18" s="8"/>
      <c r="I18" s="8"/>
      <c r="J18" s="8"/>
      <c r="K18" s="64"/>
      <c r="L18" s="57"/>
    </row>
    <row r="19" spans="2:12">
      <c r="B19" s="6"/>
      <c r="C19" s="26" t="s">
        <v>306</v>
      </c>
      <c r="D19" s="27"/>
      <c r="E19" s="27"/>
      <c r="F19" s="27"/>
      <c r="G19" s="27"/>
      <c r="H19" s="27"/>
      <c r="I19" s="27"/>
      <c r="J19" s="27"/>
      <c r="K19" s="65"/>
      <c r="L19" s="57"/>
    </row>
    <row r="20" spans="2:12">
      <c r="B20" s="6"/>
      <c r="C20" s="8"/>
      <c r="D20" s="8"/>
      <c r="E20" s="8"/>
      <c r="F20" s="8"/>
      <c r="G20" s="8"/>
      <c r="H20" s="8"/>
      <c r="I20" s="8"/>
      <c r="J20" s="8"/>
      <c r="K20" s="8"/>
      <c r="L20" s="57"/>
    </row>
    <row r="21" spans="2:12">
      <c r="B21" s="6"/>
      <c r="C21" s="7" t="s">
        <v>307</v>
      </c>
      <c r="D21" s="8"/>
      <c r="E21" s="8"/>
      <c r="F21" s="8"/>
      <c r="G21" s="8"/>
      <c r="H21" s="8"/>
      <c r="I21" s="8"/>
      <c r="J21" s="8"/>
      <c r="K21" s="8"/>
      <c r="L21" s="57"/>
    </row>
    <row r="22" spans="2:12">
      <c r="B22" s="6"/>
      <c r="C22" s="8"/>
      <c r="D22" s="8"/>
      <c r="E22" s="8"/>
      <c r="F22" s="8"/>
      <c r="G22" s="8"/>
      <c r="H22" s="8"/>
      <c r="I22" s="8"/>
      <c r="J22" s="8"/>
      <c r="K22" s="8"/>
      <c r="L22" s="57"/>
    </row>
    <row r="23" spans="2:12">
      <c r="B23" s="6"/>
      <c r="C23" s="28" t="s">
        <v>308</v>
      </c>
      <c r="D23" s="28" t="s">
        <v>309</v>
      </c>
      <c r="E23" s="29" t="s">
        <v>310</v>
      </c>
      <c r="F23" s="30" t="s">
        <v>311</v>
      </c>
      <c r="G23" s="30" t="s">
        <v>312</v>
      </c>
      <c r="H23" s="30" t="s">
        <v>313</v>
      </c>
      <c r="I23" s="28" t="s">
        <v>314</v>
      </c>
      <c r="J23" s="28" t="s">
        <v>315</v>
      </c>
      <c r="K23" s="8"/>
      <c r="L23" s="57"/>
    </row>
    <row r="24" spans="2:12">
      <c r="B24" s="6"/>
      <c r="C24" s="31"/>
      <c r="D24" s="31"/>
      <c r="E24" s="31" t="s">
        <v>316</v>
      </c>
      <c r="F24" s="30" t="s">
        <v>317</v>
      </c>
      <c r="G24" s="30" t="s">
        <v>318</v>
      </c>
      <c r="H24" s="30" t="s">
        <v>319</v>
      </c>
      <c r="I24" s="31"/>
      <c r="J24" s="31"/>
      <c r="K24" s="8"/>
      <c r="L24" s="57"/>
    </row>
    <row r="25" spans="2:12">
      <c r="B25" s="6"/>
      <c r="C25" s="32">
        <v>1</v>
      </c>
      <c r="D25" s="33" t="s">
        <v>4</v>
      </c>
      <c r="E25" s="33">
        <v>3</v>
      </c>
      <c r="F25" s="33">
        <v>10</v>
      </c>
      <c r="G25" s="33">
        <v>1</v>
      </c>
      <c r="H25" s="33">
        <v>10</v>
      </c>
      <c r="I25" s="32" t="s">
        <v>320</v>
      </c>
      <c r="J25" s="32" t="s">
        <v>321</v>
      </c>
      <c r="K25" s="8"/>
      <c r="L25" s="57"/>
    </row>
    <row r="26" spans="2:12">
      <c r="B26" s="6"/>
      <c r="C26" s="34"/>
      <c r="D26" s="35"/>
      <c r="E26" s="35"/>
      <c r="F26" s="35"/>
      <c r="G26" s="35"/>
      <c r="H26" s="35"/>
      <c r="I26" s="35"/>
      <c r="J26" s="35"/>
      <c r="K26" s="8"/>
      <c r="L26" s="57"/>
    </row>
    <row r="27" spans="2:12">
      <c r="B27" s="6"/>
      <c r="C27" s="36" t="s">
        <v>322</v>
      </c>
      <c r="K27" s="8"/>
      <c r="L27" s="57"/>
    </row>
    <row r="28" spans="2:12">
      <c r="B28" s="6"/>
      <c r="C28" s="8"/>
      <c r="D28" s="8"/>
      <c r="E28" s="8"/>
      <c r="F28" s="8"/>
      <c r="G28" s="8"/>
      <c r="H28" s="8"/>
      <c r="I28" s="8"/>
      <c r="J28" s="8"/>
      <c r="K28" s="8"/>
      <c r="L28" s="57"/>
    </row>
    <row r="29" spans="2:12">
      <c r="B29" s="6"/>
      <c r="C29" s="7" t="s">
        <v>323</v>
      </c>
      <c r="D29" s="8"/>
      <c r="E29" s="8"/>
      <c r="F29" s="8"/>
      <c r="G29" s="8"/>
      <c r="H29" s="8"/>
      <c r="I29" s="8"/>
      <c r="J29" s="8"/>
      <c r="K29" s="8"/>
      <c r="L29" s="57"/>
    </row>
    <row r="30" spans="2:12">
      <c r="B30" s="6"/>
      <c r="C30" s="8"/>
      <c r="D30" s="8"/>
      <c r="E30" s="8"/>
      <c r="F30" s="8"/>
      <c r="G30" s="8"/>
      <c r="H30" s="8"/>
      <c r="I30" s="8"/>
      <c r="J30" s="8"/>
      <c r="K30" s="8"/>
      <c r="L30" s="57"/>
    </row>
    <row r="31" spans="2:12">
      <c r="B31" s="6"/>
      <c r="C31" s="37" t="s">
        <v>324</v>
      </c>
      <c r="D31" s="38"/>
      <c r="E31" s="38"/>
      <c r="F31" s="38"/>
      <c r="G31" s="38"/>
      <c r="H31" s="38"/>
      <c r="I31" s="38"/>
      <c r="J31" s="38"/>
      <c r="K31" s="66"/>
      <c r="L31" s="57"/>
    </row>
    <row r="32" ht="11.1" customHeight="1" spans="2:12">
      <c r="B32" s="6"/>
      <c r="C32" s="8"/>
      <c r="D32" s="8"/>
      <c r="E32" s="8"/>
      <c r="F32" s="8"/>
      <c r="G32" s="8"/>
      <c r="H32" s="8"/>
      <c r="I32" s="8"/>
      <c r="J32" s="8"/>
      <c r="K32" s="8"/>
      <c r="L32" s="57"/>
    </row>
    <row r="33" spans="2:12">
      <c r="B33" s="6"/>
      <c r="C33" s="7" t="s">
        <v>325</v>
      </c>
      <c r="D33" s="8"/>
      <c r="E33" s="8"/>
      <c r="F33" s="8"/>
      <c r="G33" s="8"/>
      <c r="H33" s="8"/>
      <c r="I33" s="8"/>
      <c r="J33" s="8"/>
      <c r="K33" s="8"/>
      <c r="L33" s="57"/>
    </row>
    <row r="34" spans="2:12">
      <c r="B34" s="6"/>
      <c r="C34" s="8"/>
      <c r="D34" s="8"/>
      <c r="E34" s="8"/>
      <c r="F34" s="8"/>
      <c r="G34" s="8"/>
      <c r="H34" s="8"/>
      <c r="I34" s="8"/>
      <c r="J34" s="8"/>
      <c r="K34" s="8"/>
      <c r="L34" s="57"/>
    </row>
    <row r="35" spans="2:12">
      <c r="B35" s="6"/>
      <c r="C35" s="39" t="s">
        <v>326</v>
      </c>
      <c r="D35" s="20"/>
      <c r="E35" s="20"/>
      <c r="F35" s="20"/>
      <c r="G35" s="20"/>
      <c r="H35" s="20"/>
      <c r="I35" s="20"/>
      <c r="J35" s="20"/>
      <c r="K35" s="61"/>
      <c r="L35" s="57"/>
    </row>
    <row r="36" spans="2:12">
      <c r="B36" s="6"/>
      <c r="C36" s="40" t="s">
        <v>327</v>
      </c>
      <c r="D36" s="41"/>
      <c r="E36" s="41"/>
      <c r="F36" s="41"/>
      <c r="G36" s="41"/>
      <c r="H36" s="41"/>
      <c r="I36" s="41"/>
      <c r="J36" s="41"/>
      <c r="K36" s="67"/>
      <c r="L36" s="57"/>
    </row>
    <row r="37" ht="12" customHeight="1" spans="2:12">
      <c r="B37" s="6"/>
      <c r="L37" s="57"/>
    </row>
    <row r="38" ht="20.1" customHeight="1" spans="2:12">
      <c r="B38" s="6"/>
      <c r="C38" s="7" t="s">
        <v>328</v>
      </c>
      <c r="D38" s="42"/>
      <c r="E38" s="42"/>
      <c r="F38" s="42"/>
      <c r="G38" s="42"/>
      <c r="H38" s="42"/>
      <c r="I38" s="42"/>
      <c r="J38" s="42"/>
      <c r="K38" s="42"/>
      <c r="L38" s="57"/>
    </row>
    <row r="39" spans="2:12">
      <c r="B39" s="6"/>
      <c r="D39" s="8"/>
      <c r="E39" s="8"/>
      <c r="F39" s="8"/>
      <c r="G39" s="8"/>
      <c r="H39" s="8"/>
      <c r="I39" s="8"/>
      <c r="J39" s="8"/>
      <c r="K39" s="8"/>
      <c r="L39" s="57"/>
    </row>
    <row r="40" spans="2:12">
      <c r="B40" s="6"/>
      <c r="C40" s="43" t="s">
        <v>329</v>
      </c>
      <c r="D40" s="44"/>
      <c r="E40" s="44"/>
      <c r="F40" s="44"/>
      <c r="G40" s="44"/>
      <c r="H40" s="44"/>
      <c r="I40" s="44"/>
      <c r="J40" s="44"/>
      <c r="K40" s="68"/>
      <c r="L40" s="57"/>
    </row>
    <row r="41" spans="2:12">
      <c r="B41" s="6"/>
      <c r="C41" s="45"/>
      <c r="D41" s="46"/>
      <c r="E41" s="46"/>
      <c r="F41" s="46"/>
      <c r="G41" s="46"/>
      <c r="H41" s="46"/>
      <c r="I41" s="46"/>
      <c r="J41" s="46"/>
      <c r="K41" s="69"/>
      <c r="L41" s="57"/>
    </row>
    <row r="42" ht="18.95" customHeight="1" spans="2:12">
      <c r="B42" s="6"/>
      <c r="L42" s="57"/>
    </row>
    <row r="43" spans="2:12">
      <c r="B43" s="6"/>
      <c r="C43" s="7" t="s">
        <v>330</v>
      </c>
      <c r="L43" s="57"/>
    </row>
    <row r="44" spans="2:12">
      <c r="B44" s="6"/>
      <c r="C44" s="34"/>
      <c r="D44" s="34"/>
      <c r="E44" s="34"/>
      <c r="F44" s="34"/>
      <c r="G44" s="34"/>
      <c r="H44" s="34"/>
      <c r="I44" s="34"/>
      <c r="J44" s="34"/>
      <c r="K44" s="34"/>
      <c r="L44" s="57"/>
    </row>
    <row r="45" spans="2:12">
      <c r="B45" s="6"/>
      <c r="C45" s="47" t="s">
        <v>331</v>
      </c>
      <c r="D45" s="48"/>
      <c r="E45" s="48"/>
      <c r="F45" s="48"/>
      <c r="G45" s="48"/>
      <c r="H45" s="48"/>
      <c r="I45" s="48"/>
      <c r="J45" s="48"/>
      <c r="K45" s="70"/>
      <c r="L45" s="57"/>
    </row>
    <row r="46" spans="2:12">
      <c r="B46" s="6"/>
      <c r="C46" s="49"/>
      <c r="D46" s="50"/>
      <c r="E46" s="50"/>
      <c r="F46" s="50"/>
      <c r="G46" s="50"/>
      <c r="H46" s="50"/>
      <c r="I46" s="50"/>
      <c r="J46" s="50"/>
      <c r="K46" s="71"/>
      <c r="L46" s="57"/>
    </row>
    <row r="47" spans="2:12">
      <c r="B47" s="6"/>
      <c r="L47" s="57"/>
    </row>
    <row r="48" spans="2:12">
      <c r="B48" s="6"/>
      <c r="C48" s="51" t="s">
        <v>332</v>
      </c>
      <c r="D48" s="51"/>
      <c r="E48" s="51"/>
      <c r="F48" s="51"/>
      <c r="G48" s="51"/>
      <c r="H48" s="51"/>
      <c r="I48" s="51"/>
      <c r="J48" s="51"/>
      <c r="K48" s="51"/>
      <c r="L48" s="57"/>
    </row>
    <row r="49" spans="2:12">
      <c r="B49" s="6"/>
      <c r="L49" s="57"/>
    </row>
    <row r="50" spans="2:12">
      <c r="B50" s="6"/>
      <c r="C50" s="52" t="s">
        <v>333</v>
      </c>
      <c r="D50" s="53"/>
      <c r="E50" s="53"/>
      <c r="F50" s="53"/>
      <c r="G50" s="53"/>
      <c r="H50" s="53"/>
      <c r="I50" s="53"/>
      <c r="J50" s="53"/>
      <c r="K50" s="72"/>
      <c r="L50" s="57"/>
    </row>
    <row r="51" ht="14.75" spans="2:12">
      <c r="B51" s="54"/>
      <c r="C51" s="55"/>
      <c r="D51" s="55"/>
      <c r="E51" s="55"/>
      <c r="F51" s="55"/>
      <c r="G51" s="55"/>
      <c r="H51" s="55"/>
      <c r="I51" s="55"/>
      <c r="J51" s="55"/>
      <c r="K51" s="55"/>
      <c r="L51" s="73"/>
    </row>
  </sheetData>
  <protectedRanges>
    <protectedRange sqref="D4" name="送样单_8"/>
    <protectedRange sqref="D6" name="送样单_8_2_1"/>
    <protectedRange sqref="H6" name="送样单_8_2"/>
    <protectedRange sqref="G6:H6" name="EditableByClient"/>
  </protectedRanges>
  <mergeCells count="15">
    <mergeCell ref="C7:K7"/>
    <mergeCell ref="C11:K11"/>
    <mergeCell ref="C12:K12"/>
    <mergeCell ref="C26:J26"/>
    <mergeCell ref="C27:J27"/>
    <mergeCell ref="C35:K35"/>
    <mergeCell ref="C36:K36"/>
    <mergeCell ref="C48:K48"/>
    <mergeCell ref="C50:K50"/>
    <mergeCell ref="C23:C24"/>
    <mergeCell ref="D23:D24"/>
    <mergeCell ref="I23:I24"/>
    <mergeCell ref="J23:J24"/>
    <mergeCell ref="C40:K41"/>
    <mergeCell ref="C45:K46"/>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arrUserId title="送样单_8_1" rangeCreator="" othersAccessPermission="edit"/>
    <arrUserId title="送样单_8" rangeCreator="" othersAccessPermission="edit"/>
    <arrUserId title="送样单_8_1_1" rangeCreator="" othersAccessPermission="edit"/>
    <arrUserId title="送样单_8_2" rangeCreator="" othersAccessPermission="edit"/>
  </rangeList>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rrUserId title="送样单_8" rangeCreator="" othersAccessPermission="edit"/>
    <arrUserId title="送样单_8_2_1" rangeCreator="" othersAccessPermission="edit"/>
    <arrUserId title="送样单_8_2" rangeCreator="" othersAccessPermission="edit"/>
    <arrUserId title="EditableByClient"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2006-09-16T00:00:00Z</dcterms:created>
  <cp:lastPrinted>2017-05-16T08:15:00Z</cp:lastPrinted>
  <dcterms:modified xsi:type="dcterms:W3CDTF">2024-09-09T07:22:18Z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2052-12.1.0.17857</vt:lpwstr>
  </property>
  <property fmtid="{D5CDD505-2E9C-101B-9397-08002B2CF9AE}" pid="3" name="ICV">
    <vt:lpwstr>678169B3E06640F88F24D1196A3EB860_13</vt:lpwstr>
  </property>
</Properties>
</file>