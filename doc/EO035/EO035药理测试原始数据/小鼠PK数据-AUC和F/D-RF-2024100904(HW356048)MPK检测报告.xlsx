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 name="血浆稳定性" sheetId="49" r:id="rId9"/>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<sst xmlns="http://schemas.openxmlformats.org/spreadsheetml/2006/main" count="1182" uniqueCount="404">
  <si>
    <r>
      <rPr>
        <sz val="16"/>
        <rFont val="宋体"/>
        <charset val="134"/>
      </rPr>
      <t>合肥中科普瑞昇生物医药科技有限公司</t>
    </r>
  </si>
  <si>
    <r>
      <rPr>
        <b/>
        <sz val="12"/>
        <rFont val="宋体"/>
        <charset val="134"/>
      </rPr>
      <t>项目编号：</t>
    </r>
  </si>
  <si>
    <t>D-RF-2024100904</t>
  </si>
  <si>
    <r>
      <rPr>
        <b/>
        <sz val="12"/>
        <rFont val="宋体"/>
        <charset val="134"/>
      </rPr>
      <t>化合物名称</t>
    </r>
  </si>
  <si>
    <t>HW356048</t>
  </si>
  <si>
    <r>
      <rPr>
        <b/>
        <sz val="12"/>
        <rFont val="宋体"/>
        <charset val="134"/>
      </rPr>
      <t>项目名称：</t>
    </r>
  </si>
  <si>
    <r>
      <rPr>
        <b/>
        <sz val="12"/>
        <rFont val="宋体"/>
        <charset val="134"/>
      </rPr>
      <t>化合物</t>
    </r>
    <r>
      <rPr>
        <b/>
        <sz val="12"/>
        <rFont val="Times New Roman"/>
        <charset val="134"/>
      </rPr>
      <t>HW356048</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</si>
  <si>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</si>
  <si>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</si>
  <si>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r>
      <rPr>
        <sz val="12"/>
        <color theme="1"/>
        <rFont val="Times New Roman"/>
        <charset val="134"/>
      </rPr>
      <t>2024-10-12</t>
    </r>
    <r>
      <rPr>
        <sz val="12"/>
        <rFont val="Times New Roman"/>
        <charset val="134"/>
      </rPr>
      <t xml:space="preserve">
2024-10-14
2024-10-17
2024-10-17</t>
    </r>
  </si>
  <si>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</si>
  <si>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地址：安徽省合肥市高新区孔雀台路与习友路交叉路口国家健康大数据产业园A6栋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</si>
  <si>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</si>
  <si>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rFont val="宋体"/>
        <charset val="134"/>
      </rPr>
      <t>负责人：刘勇</t>
    </r>
    <r>
      <rPr>
        <sz val="12"/>
        <rFont val="Times New Roman"/>
        <charset val="134"/>
      </rPr>
      <t xml:space="preserve">
</t>
    </r>
    <r>
      <rPr>
        <sz val="12"/>
        <rFont val="宋体"/>
        <charset val="134"/>
      </rPr>
      <t>委托单位名称：人福医药</t>
    </r>
    <r>
      <rPr>
        <sz val="12"/>
        <rFont val="Times New Roman"/>
        <charset val="134"/>
      </rPr>
      <t xml:space="preserve">
</t>
    </r>
    <r>
      <rPr>
        <sz val="12"/>
        <rFont val="宋体"/>
        <charset val="134"/>
      </rPr>
      <t>邮箱：</t>
    </r>
    <r>
      <rPr>
        <sz val="12"/>
        <rFont val="Times New Roman"/>
        <charset val="134"/>
      </rPr>
      <t xml:space="preserve">liuyong@renfu.com
</t>
    </r>
    <r>
      <rPr>
        <sz val="12"/>
        <rFont val="宋体"/>
        <charset val="134"/>
      </rPr>
      <t>联系方式：</t>
    </r>
    <r>
      <rPr>
        <sz val="12"/>
        <rFont val="Times New Roman"/>
        <charset val="134"/>
      </rPr>
      <t>18062052364</t>
    </r>
  </si>
  <si>
    <r>
      <rPr>
        <b/>
        <sz val="12"/>
        <rFont val="宋体"/>
        <charset val="134"/>
      </rPr>
      <t>质控人员</t>
    </r>
  </si>
  <si>
    <t>孙玉</t>
  </si>
  <si>
    <r>
      <rPr>
        <b/>
        <sz val="12"/>
        <rFont val="宋体"/>
        <charset val="134"/>
      </rPr>
      <t>分析负责人</t>
    </r>
  </si>
  <si>
    <t>吴素娟</t>
  </si>
  <si>
    <r>
      <rPr>
        <b/>
        <sz val="12"/>
        <rFont val="宋体"/>
        <charset val="134"/>
      </rPr>
      <t>动物负责人</t>
    </r>
  </si>
  <si>
    <t>潘巧娟</t>
  </si>
  <si>
    <r>
      <rPr>
        <b/>
        <sz val="14"/>
        <rFont val="Times New Roman"/>
        <charset val="134"/>
      </rPr>
      <t xml:space="preserve"> PK</t>
    </r>
    <r>
      <rPr>
        <b/>
        <sz val="14"/>
        <rFont val="宋体"/>
        <charset val="134"/>
      </rPr>
      <t>数据</t>
    </r>
  </si>
  <si>
    <r>
      <rPr>
        <b/>
        <sz val="12"/>
        <rFont val="Times New Roman"/>
        <charset val="134"/>
      </rPr>
      <t xml:space="preserve"> </t>
    </r>
    <r>
      <rPr>
        <b/>
        <sz val="12"/>
        <rFont val="宋体"/>
        <charset val="134"/>
      </rPr>
      <t>化合物信息和制剂配制</t>
    </r>
  </si>
  <si>
    <r>
      <rPr>
        <b/>
        <sz val="11"/>
        <rFont val="宋体"/>
        <charset val="134"/>
      </rPr>
      <t>化合物信息</t>
    </r>
  </si>
  <si>
    <r>
      <rPr>
        <b/>
        <sz val="12"/>
        <rFont val="宋体"/>
        <charset val="134"/>
      </rPr>
      <t>表</t>
    </r>
    <r>
      <rPr>
        <b/>
        <sz val="12"/>
        <rFont val="Times New Roman"/>
        <charset val="134"/>
      </rPr>
      <t>1</t>
    </r>
    <r>
      <rPr>
        <b/>
        <sz val="12"/>
        <rFont val="宋体"/>
        <charset val="134"/>
      </rPr>
      <t>：单次静脉注射给予</t>
    </r>
    <r>
      <rPr>
        <b/>
        <sz val="12"/>
        <rFont val="Times New Roman"/>
        <charset val="134"/>
      </rPr>
      <t>HW356048</t>
    </r>
    <r>
      <rPr>
        <b/>
        <sz val="12"/>
        <rFont val="宋体"/>
        <charset val="134"/>
      </rPr>
      <t>后小鼠血浆中药物浓度</t>
    </r>
  </si>
  <si>
    <r>
      <rPr>
        <b/>
        <sz val="12"/>
        <rFont val="宋体"/>
        <charset val="134"/>
      </rPr>
      <t>表</t>
    </r>
    <r>
      <rPr>
        <b/>
        <sz val="12"/>
        <rFont val="Times New Roman"/>
        <charset val="134"/>
      </rPr>
      <t>2</t>
    </r>
    <r>
      <rPr>
        <b/>
        <sz val="12"/>
        <rFont val="宋体"/>
        <charset val="134"/>
      </rPr>
      <t>：单次灌胃口服给予</t>
    </r>
    <r>
      <rPr>
        <b/>
        <sz val="12"/>
        <rFont val="Times New Roman"/>
        <charset val="134"/>
      </rPr>
      <t>HW356048</t>
    </r>
    <r>
      <rPr>
        <b/>
        <sz val="12"/>
        <rFont val="宋体"/>
        <charset val="134"/>
      </rPr>
      <t>后小鼠血浆中药物浓度</t>
    </r>
  </si>
  <si>
    <r>
      <rPr>
        <sz val="11"/>
        <rFont val="宋体"/>
        <charset val="134"/>
      </rPr>
      <t>化合物名称</t>
    </r>
  </si>
  <si>
    <r>
      <rPr>
        <sz val="11"/>
        <rFont val="宋体"/>
        <charset val="134"/>
      </rPr>
      <t>批号</t>
    </r>
  </si>
  <si>
    <t>HWH817-XQ-35-6048-0912-P2</t>
  </si>
  <si>
    <r>
      <rPr>
        <sz val="11"/>
        <rFont val="宋体"/>
        <charset val="134"/>
      </rPr>
      <t>分子量</t>
    </r>
  </si>
  <si>
    <t>IV-1.0 mg/kg</t>
  </si>
  <si>
    <t>PO-10.0 mg/kg</t>
  </si>
  <si>
    <r>
      <rPr>
        <sz val="11"/>
        <rFont val="宋体"/>
        <charset val="134"/>
      </rPr>
      <t>纯度</t>
    </r>
  </si>
  <si>
    <t>Time (h)</t>
  </si>
  <si>
    <t xml:space="preserve">Mean </t>
  </si>
  <si>
    <t>SD</t>
  </si>
  <si>
    <t>Mean</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</si>
  <si>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</si>
  <si>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</si>
  <si>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IV</t>
  </si>
  <si>
    <r>
      <rPr>
        <b/>
        <sz val="11"/>
        <rFont val="宋体"/>
        <charset val="134"/>
      </rPr>
      <t>推荐溶媒</t>
    </r>
    <r>
      <rPr>
        <b/>
        <sz val="11"/>
        <rFont val="Times New Roman"/>
        <charset val="134"/>
      </rPr>
      <t>:</t>
    </r>
  </si>
  <si>
    <t>5%DMSO + 10%Solutol HS 15 + 85% 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</si>
  <si>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</si>
  <si>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</si>
  <si>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t xml:space="preserve"> </t>
  </si>
  <si>
    <r>
      <rPr>
        <sz val="11"/>
        <rFont val="宋体"/>
        <charset val="134"/>
      </rPr>
      <t>给药体积</t>
    </r>
    <r>
      <rPr>
        <sz val="11"/>
        <rFont val="Times New Roman"/>
        <charset val="134"/>
      </rPr>
      <t xml:space="preserve"> (mL/kg):</t>
    </r>
  </si>
  <si>
    <t>BQL</t>
  </si>
  <si>
    <t>NA</t>
  </si>
  <si>
    <t>PO</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</si>
  <si>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</si>
  <si>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</si>
  <si>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</si>
  <si>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</si>
  <si>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</si>
  <si>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</si>
  <si>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</si>
  <si>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</si>
  <si>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r>
      <rPr>
        <sz val="11"/>
        <rFont val="宋体"/>
        <charset val="134"/>
      </rPr>
      <t>母液</t>
    </r>
  </si>
  <si>
    <t>DMSO</t>
  </si>
  <si>
    <r>
      <rPr>
        <b/>
        <sz val="11"/>
        <rFont val="Times New Roman"/>
        <charset val="134"/>
      </rPr>
      <t>IV</t>
    </r>
    <r>
      <rPr>
        <b/>
        <sz val="11"/>
        <rFont val="宋体"/>
        <charset val="134"/>
      </rPr>
      <t>配制过程（给药当天现配现用）</t>
    </r>
  </si>
  <si>
    <r>
      <rPr>
        <sz val="11"/>
        <rFont val="Times New Roman"/>
        <charset val="134"/>
      </rPr>
      <t>(1)</t>
    </r>
    <r>
      <rPr>
        <sz val="11"/>
        <rFont val="宋体"/>
        <charset val="134"/>
      </rPr>
      <t>准确称取化合物</t>
    </r>
    <r>
      <rPr>
        <sz val="11"/>
        <rFont val="Times New Roman"/>
        <charset val="134"/>
      </rPr>
      <t>2.64 mg,</t>
    </r>
    <r>
      <rPr>
        <sz val="11"/>
        <rFont val="宋体"/>
        <charset val="134"/>
      </rPr>
      <t>放入</t>
    </r>
    <r>
      <rPr>
        <sz val="11"/>
        <rFont val="Times New Roman"/>
        <charset val="134"/>
      </rPr>
      <t>5 mL</t>
    </r>
    <r>
      <rPr>
        <sz val="11"/>
        <rFont val="宋体"/>
        <charset val="134"/>
      </rPr>
      <t>玻璃瓶中</t>
    </r>
  </si>
  <si>
    <r>
      <rPr>
        <sz val="11"/>
        <rFont val="Times New Roman"/>
        <charset val="134"/>
      </rPr>
      <t>(2)</t>
    </r>
    <r>
      <rPr>
        <sz val="11"/>
        <rFont val="宋体"/>
        <charset val="134"/>
      </rPr>
      <t>加入</t>
    </r>
    <r>
      <rPr>
        <sz val="11"/>
        <rFont val="Times New Roman"/>
        <charset val="134"/>
      </rPr>
      <t>0.132 mL DMSO,</t>
    </r>
    <r>
      <rPr>
        <sz val="11"/>
        <rFont val="宋体"/>
        <charset val="134"/>
      </rPr>
      <t>涡旋超声至化合物呈无色澄清状态，得到母液制剂</t>
    </r>
  </si>
  <si>
    <r>
      <rPr>
        <sz val="11"/>
        <rFont val="Times New Roman"/>
        <charset val="134"/>
      </rPr>
      <t>(3)</t>
    </r>
    <r>
      <rPr>
        <sz val="11"/>
        <rFont val="宋体"/>
        <charset val="134"/>
      </rPr>
      <t>取</t>
    </r>
    <r>
      <rPr>
        <sz val="11"/>
        <rFont val="Times New Roman"/>
        <charset val="134"/>
      </rPr>
      <t>0.02 mL</t>
    </r>
    <r>
      <rPr>
        <sz val="11"/>
        <rFont val="宋体"/>
        <charset val="134"/>
      </rPr>
      <t>母液放入</t>
    </r>
    <r>
      <rPr>
        <sz val="11"/>
        <rFont val="Times New Roman"/>
        <charset val="134"/>
      </rPr>
      <t>5 mL</t>
    </r>
    <r>
      <rPr>
        <sz val="11"/>
        <rFont val="宋体"/>
        <charset val="134"/>
      </rPr>
      <t>玻璃瓶中，加入</t>
    </r>
    <r>
      <rPr>
        <sz val="11"/>
        <rFont val="Times New Roman"/>
        <charset val="134"/>
      </rPr>
      <t>0.08 mL DMSO,</t>
    </r>
    <r>
      <rPr>
        <sz val="11"/>
        <rFont val="宋体"/>
        <charset val="134"/>
      </rPr>
      <t>涡旋超声至化合物呈无色澄清状态</t>
    </r>
  </si>
  <si>
    <r>
      <rPr>
        <sz val="11"/>
        <rFont val="Times New Roman"/>
        <charset val="134"/>
      </rPr>
      <t>(4)</t>
    </r>
    <r>
      <rPr>
        <sz val="11"/>
        <rFont val="宋体"/>
        <charset val="134"/>
      </rPr>
      <t>加入</t>
    </r>
    <r>
      <rPr>
        <sz val="11"/>
        <rFont val="Times New Roman"/>
        <charset val="134"/>
      </rPr>
      <t>0.2 mL solutol,</t>
    </r>
    <r>
      <rPr>
        <sz val="11"/>
        <rFont val="宋体"/>
        <charset val="134"/>
      </rPr>
      <t>涡旋超声至化合物呈无色澄清状态</t>
    </r>
  </si>
  <si>
    <r>
      <rPr>
        <sz val="11"/>
        <rFont val="Times New Roman"/>
        <charset val="134"/>
      </rPr>
      <t>(5)</t>
    </r>
    <r>
      <rPr>
        <sz val="11"/>
        <rFont val="宋体"/>
        <charset val="134"/>
      </rPr>
      <t>加入</t>
    </r>
    <r>
      <rPr>
        <sz val="11"/>
        <rFont val="Times New Roman"/>
        <charset val="134"/>
      </rPr>
      <t>1.7 mL Saline</t>
    </r>
    <r>
      <rPr>
        <sz val="11"/>
        <rFont val="宋体"/>
        <charset val="134"/>
      </rPr>
      <t>，涡旋超声至化合物呈无色澄清状态，即得</t>
    </r>
    <r>
      <rPr>
        <sz val="11"/>
        <rFont val="Times New Roman"/>
        <charset val="134"/>
      </rPr>
      <t>IV</t>
    </r>
    <r>
      <rPr>
        <sz val="11"/>
        <rFont val="宋体"/>
        <charset val="134"/>
      </rPr>
      <t>制剂</t>
    </r>
  </si>
  <si>
    <r>
      <rPr>
        <b/>
        <sz val="11"/>
        <rFont val="Times New Roman"/>
        <charset val="134"/>
      </rPr>
      <t>PO</t>
    </r>
    <r>
      <rPr>
        <b/>
        <sz val="11"/>
        <rFont val="宋体"/>
        <charset val="134"/>
      </rPr>
      <t>配制过程（给药当天现配现用）</t>
    </r>
  </si>
  <si>
    <r>
      <rPr>
        <sz val="11"/>
        <rFont val="Times New Roman"/>
        <charset val="134"/>
      </rPr>
      <t>(1)</t>
    </r>
    <r>
      <rPr>
        <sz val="11"/>
        <rFont val="宋体"/>
        <charset val="134"/>
      </rPr>
      <t>取</t>
    </r>
    <r>
      <rPr>
        <sz val="11"/>
        <rFont val="Times New Roman"/>
        <charset val="134"/>
      </rPr>
      <t>0.112 mL</t>
    </r>
    <r>
      <rPr>
        <sz val="11"/>
        <rFont val="宋体"/>
        <charset val="134"/>
      </rPr>
      <t>母液放入</t>
    </r>
    <r>
      <rPr>
        <sz val="11"/>
        <rFont val="Times New Roman"/>
        <charset val="134"/>
      </rPr>
      <t>5 mL</t>
    </r>
    <r>
      <rPr>
        <sz val="11"/>
        <rFont val="宋体"/>
        <charset val="134"/>
      </rPr>
      <t>玻璃瓶中</t>
    </r>
  </si>
  <si>
    <r>
      <rPr>
        <sz val="11"/>
        <rFont val="Times New Roman"/>
        <charset val="134"/>
      </rPr>
      <t>(2)</t>
    </r>
    <r>
      <rPr>
        <sz val="11"/>
        <rFont val="宋体"/>
        <charset val="134"/>
      </rPr>
      <t>加入</t>
    </r>
    <r>
      <rPr>
        <sz val="11"/>
        <rFont val="Times New Roman"/>
        <charset val="134"/>
      </rPr>
      <t>0.224 mL solutol,</t>
    </r>
    <r>
      <rPr>
        <sz val="11"/>
        <rFont val="宋体"/>
        <charset val="134"/>
      </rPr>
      <t>涡旋超声至化合物呈无色澄清状态</t>
    </r>
  </si>
  <si>
    <r>
      <rPr>
        <sz val="11"/>
        <rFont val="Times New Roman"/>
        <charset val="134"/>
      </rPr>
      <t>(3)</t>
    </r>
    <r>
      <rPr>
        <sz val="11"/>
        <rFont val="宋体"/>
        <charset val="134"/>
      </rPr>
      <t>加入</t>
    </r>
    <r>
      <rPr>
        <sz val="11"/>
        <rFont val="Times New Roman"/>
        <charset val="134"/>
      </rPr>
      <t>1.904 mL saline,</t>
    </r>
    <r>
      <rPr>
        <sz val="11"/>
        <rFont val="宋体"/>
        <charset val="134"/>
      </rPr>
      <t>涡旋超声至化合物呈无色澄清状态，即得</t>
    </r>
    <r>
      <rPr>
        <sz val="11"/>
        <rFont val="Times New Roman"/>
        <charset val="134"/>
      </rPr>
      <t>PO</t>
    </r>
    <r>
      <rPr>
        <sz val="11"/>
        <rFont val="宋体"/>
        <charset val="134"/>
      </rPr>
      <t>制剂</t>
    </r>
  </si>
  <si>
    <r>
      <rPr>
        <b/>
        <sz val="11"/>
        <rFont val="宋体"/>
        <charset val="134"/>
      </rPr>
      <t>动物临床观察：</t>
    </r>
  </si>
  <si>
    <r>
      <rPr>
        <b/>
        <sz val="12"/>
        <rFont val="宋体"/>
        <charset val="134"/>
      </rPr>
      <t>表</t>
    </r>
    <r>
      <rPr>
        <b/>
        <sz val="12"/>
        <rFont val="Times New Roman"/>
        <charset val="134"/>
      </rPr>
      <t>3</t>
    </r>
    <r>
      <rPr>
        <b/>
        <sz val="12"/>
        <rFont val="宋体"/>
        <charset val="134"/>
      </rPr>
      <t>：单次静脉注射给予</t>
    </r>
    <r>
      <rPr>
        <b/>
        <sz val="12"/>
        <rFont val="Times New Roman"/>
        <charset val="134"/>
      </rPr>
      <t>HW356048</t>
    </r>
    <r>
      <rPr>
        <b/>
        <sz val="12"/>
        <rFont val="宋体"/>
        <charset val="134"/>
      </rPr>
      <t>后小鼠血浆</t>
    </r>
    <r>
      <rPr>
        <b/>
        <sz val="12"/>
        <rFont val="Times New Roman"/>
        <charset val="134"/>
      </rPr>
      <t>PK</t>
    </r>
    <r>
      <rPr>
        <b/>
        <sz val="12"/>
        <rFont val="宋体"/>
        <charset val="134"/>
      </rPr>
      <t>数据</t>
    </r>
  </si>
  <si>
    <r>
      <rPr>
        <b/>
        <sz val="12"/>
        <rFont val="宋体"/>
        <charset val="134"/>
      </rPr>
      <t>表</t>
    </r>
    <r>
      <rPr>
        <b/>
        <sz val="12"/>
        <rFont val="Times New Roman"/>
        <charset val="134"/>
      </rPr>
      <t>4</t>
    </r>
    <r>
      <rPr>
        <b/>
        <sz val="12"/>
        <rFont val="宋体"/>
        <charset val="134"/>
      </rPr>
      <t>：单次灌胃给予</t>
    </r>
    <r>
      <rPr>
        <b/>
        <sz val="12"/>
        <rFont val="Times New Roman"/>
        <charset val="134"/>
      </rPr>
      <t>HW356048</t>
    </r>
    <r>
      <rPr>
        <b/>
        <sz val="12"/>
        <rFont val="宋体"/>
        <charset val="134"/>
      </rPr>
      <t>后小鼠血浆</t>
    </r>
    <r>
      <rPr>
        <b/>
        <sz val="12"/>
        <rFont val="Times New Roman"/>
        <charset val="134"/>
      </rPr>
      <t>PK</t>
    </r>
    <r>
      <rPr>
        <b/>
        <sz val="12"/>
        <rFont val="宋体"/>
        <charset val="134"/>
      </rPr>
      <t>数据</t>
    </r>
  </si>
  <si>
    <r>
      <rPr>
        <sz val="11"/>
        <rFont val="宋体"/>
        <charset val="134"/>
      </rPr>
      <t>所有实验动物均未观察到异常现象。</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</si>
  <si>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</si>
  <si>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</si>
  <si>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</si>
  <si>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</si>
  <si>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</si>
  <si>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</si>
  <si>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b/>
        <sz val="11"/>
        <rFont val="宋体"/>
        <charset val="134"/>
      </rPr>
      <t>动物体重：</t>
    </r>
  </si>
  <si>
    <r>
      <rPr>
        <sz val="11"/>
        <rFont val="宋体"/>
        <charset val="134"/>
      </rPr>
      <t>分析物</t>
    </r>
  </si>
  <si>
    <r>
      <rPr>
        <sz val="11"/>
        <rFont val="宋体"/>
        <charset val="134"/>
      </rPr>
      <t>动物编号</t>
    </r>
  </si>
  <si>
    <r>
      <rPr>
        <sz val="11"/>
        <rFont val="宋体"/>
        <charset val="134"/>
      </rPr>
      <t>体重（</t>
    </r>
    <r>
      <rPr>
        <sz val="11"/>
        <rFont val="Times New Roman"/>
        <charset val="134"/>
      </rPr>
      <t>g</t>
    </r>
    <r>
      <rPr>
        <sz val="11"/>
        <rFont val="宋体"/>
        <charset val="134"/>
      </rPr>
      <t>）</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</si>
  <si>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</si>
  <si>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</si>
  <si>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</si>
  <si>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</si>
  <si>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</si>
  <si>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</si>
  <si>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</si>
  <si>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</si>
  <si>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</si>
  <si>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</si>
  <si>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</si>
  <si>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</si>
  <si>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0</t>
    </r>
    <r>
      <rPr>
        <sz val="11"/>
        <rFont val="Times New Roman"/>
        <charset val="134"/>
      </rPr>
      <t>(ng/mL)</t>
    </r>
  </si>
  <si>
    <r>
      <rPr>
        <sz val="11"/>
        <rFont val="Times New Roman"/>
        <charset val="134"/>
      </rPr>
      <t>AUC</t>
    </r>
    <r>
      <rPr>
        <vertAlign val="subscript"/>
        <sz val="11"/>
        <rFont val="Times New Roman"/>
        <charset val="134"/>
      </rPr>
      <t>Extrap</t>
    </r>
    <r>
      <rPr>
        <sz val="11"/>
        <rFont val="Times New Roman"/>
        <charset val="134"/>
      </rPr>
      <t>(%)</t>
    </r>
  </si>
  <si>
    <r>
      <rPr>
        <sz val="11"/>
        <rFont val="Times New Roman"/>
        <charset val="134"/>
      </rPr>
      <t>V</t>
    </r>
    <r>
      <rPr>
        <vertAlign val="subscript"/>
        <sz val="11"/>
        <rFont val="Times New Roman"/>
        <charset val="134"/>
      </rPr>
      <t>ss</t>
    </r>
    <r>
      <rPr>
        <sz val="11"/>
        <rFont val="Times New Roman"/>
        <charset val="134"/>
      </rPr>
      <t>(L/kg)</t>
    </r>
  </si>
  <si>
    <t>AUMC_Extrap({%})</t>
  </si>
  <si>
    <r>
      <rPr>
        <sz val="11"/>
        <rFont val="Times New Roman"/>
        <charset val="134"/>
      </rPr>
      <t>V</t>
    </r>
    <r>
      <rPr>
        <vertAlign val="subscript"/>
        <sz val="11"/>
        <rFont val="Times New Roman"/>
        <charset val="134"/>
      </rPr>
      <t>z(</t>
    </r>
    <r>
      <rPr>
        <sz val="11"/>
        <rFont val="Times New Roman"/>
        <charset val="134"/>
      </rPr>
      <t>L/kg)</t>
    </r>
  </si>
  <si>
    <t>F(%)</t>
  </si>
  <si>
    <t>Cl(L/kg/h)</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</si>
  <si>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</si>
  <si>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</si>
  <si>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</si>
  <si>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</si>
  <si>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</si>
  <si>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</si>
  <si>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</si>
  <si>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</si>
  <si>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</si>
  <si>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</si>
  <si>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</si>
  <si>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</si>
  <si>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</si>
  <si>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</si>
  <si>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</si>
  <si>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</si>
  <si>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</si>
  <si>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</si>
  <si>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</si>
  <si>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</si>
  <si>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</si>
  <si>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</si>
  <si>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</si>
  <si>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</si>
  <si>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</si>
  <si>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</si>
  <si>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</si>
  <si>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</si>
  <si>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</si>
  <si>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</si>
  <si>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</si>
  <si>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</si>
  <si>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</si>
  <si>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</si>
  <si>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</si>
  <si>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</si>
  <si>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</si>
  <si>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</si>
  <si>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</si>
  <si>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</si>
  <si>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</si>
  <si>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</si>
  <si>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</si>
  <si>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</si>
  <si>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</si>
  <si>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</si>
  <si>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</si>
  <si>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</si>
  <si>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</si>
  <si>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</si>
  <si>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</si>
  <si>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</si>
  <si>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269.20/170.00 Da</t>
  </si>
  <si>
    <t>Peak Name: HW356048</t>
  </si>
  <si>
    <t>Internal Standard: Tolbutamide</t>
  </si>
  <si>
    <t>Q1/Q3 Masses: 507.00/427.20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</si>
  <si>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</si>
  <si>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</si>
  <si>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</si>
  <si>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</si>
  <si>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</si>
  <si>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</si>
  <si>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</si>
  <si>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</si>
  <si>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</si>
  <si>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</si>
  <si>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</si>
  <si>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</si>
  <si>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</si>
  <si>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</si>
  <si>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</si>
  <si>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</si>
  <si>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</si>
  <si>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</si>
  <si>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</si>
  <si>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</si>
  <si>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</si>
  <si>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</si>
  <si>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</si>
  <si>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</si>
  <si>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</si>
  <si>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</si>
  <si>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</si>
  <si>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HW356048-20241014-Mouse-Plasma\SA.wiff</t>
  </si>
  <si>
    <t>N/A</t>
  </si>
  <si>
    <t>Blank</t>
  </si>
  <si>
    <t>No Peak</t>
  </si>
  <si>
    <t>B-STD1</t>
  </si>
  <si>
    <t>Standard</t>
  </si>
  <si>
    <t>&lt; 0</t>
  </si>
  <si>
    <t>B-STD2</t>
  </si>
  <si>
    <t>B-STD3</t>
  </si>
  <si>
    <t>B-STD4</t>
  </si>
  <si>
    <t>B-STD5</t>
  </si>
  <si>
    <t>B-STD6</t>
  </si>
  <si>
    <t>B-STD7</t>
  </si>
  <si>
    <t>B-STD8</t>
  </si>
  <si>
    <t>B-LQC-1</t>
  </si>
  <si>
    <t>Quality Control</t>
  </si>
  <si>
    <t>B-MQC-1</t>
  </si>
  <si>
    <t>B-HQC-1</t>
  </si>
  <si>
    <t>B-DQC-2</t>
  </si>
  <si>
    <t>B-DQC-1</t>
  </si>
  <si>
    <t>B-DQC-3</t>
  </si>
  <si>
    <t>IV-dose-1</t>
  </si>
  <si>
    <t>IV-dose-2</t>
  </si>
  <si>
    <t>IV-dose-3</t>
  </si>
  <si>
    <t>PO-dose-1</t>
  </si>
  <si>
    <t>PO-dose-2</t>
  </si>
  <si>
    <t>PO-dose-3</t>
  </si>
  <si>
    <t xml:space="preserve">HW356048-Plasma-1MPK-IV-24hr-Mouse1 </t>
  </si>
  <si>
    <t xml:space="preserve">HW356048-Plasma-1MPK-IV-24hr-Mouse2 </t>
  </si>
  <si>
    <t xml:space="preserve">HW356048-Plasma-1MPK-IV-24hr-Mouse3 </t>
  </si>
  <si>
    <t xml:space="preserve">HW356048-Plasma-1MPK-IV-8hr-Mouse1 </t>
  </si>
  <si>
    <t xml:space="preserve">HW356048-Plasma-1MPK-IV-8hr-Mouse2 </t>
  </si>
  <si>
    <t xml:space="preserve">HW356048-Plasma-1MPK-IV-8hr-Mouse3 </t>
  </si>
  <si>
    <t xml:space="preserve">HW356048-Plasma-1MPK-IV-6hr-Mouse1 </t>
  </si>
  <si>
    <t xml:space="preserve">HW356048-Plasma-1MPK-IV-6hr-Mouse2 </t>
  </si>
  <si>
    <t xml:space="preserve">HW356048-Plasma-1MPK-IV-6hr-Mouse3 </t>
  </si>
  <si>
    <t xml:space="preserve">HW356048-Plasma-1MPK-IV-4hr-Mouse1 </t>
  </si>
  <si>
    <t xml:space="preserve">HW356048-Plasma-1MPK-IV-4hr-Mouse2 </t>
  </si>
  <si>
    <t xml:space="preserve">HW356048-Plasma-1MPK-IV-4hr-Mouse3 </t>
  </si>
  <si>
    <t xml:space="preserve">HW356048-Plasma-1MPK-IV-2hr-Mouse1  </t>
  </si>
  <si>
    <t xml:space="preserve">HW356048-Plasma-1MPK-IV-2hr-Mouse2  </t>
  </si>
  <si>
    <t xml:space="preserve">HW356048-Plasma-1MPK-IV-2hr-Mouse3 </t>
  </si>
  <si>
    <t xml:space="preserve">HW356048-Plasma-1MPK-IV-1hr-Mouse1  </t>
  </si>
  <si>
    <t xml:space="preserve">HW356048-Plasma-1MPK-IV-1hr-Mouse2  </t>
  </si>
  <si>
    <t xml:space="preserve">HW356048-Plasma-1MPK-IV-1hr-Mouse3  </t>
  </si>
  <si>
    <t xml:space="preserve">HW356048-Plasma-1MPK-IV-30min-Mouse1 </t>
  </si>
  <si>
    <t xml:space="preserve">HW356048-Plasma-1MPK-IV-30min-Mouse2  </t>
  </si>
  <si>
    <t xml:space="preserve">HW356048-Plasma-1MPK-IV-30min-Mouse3  </t>
  </si>
  <si>
    <t xml:space="preserve">HW356048-Plasma-1MPK-IV-15min-Mouse1  </t>
  </si>
  <si>
    <t xml:space="preserve">HW356048-Plasma-1MPK-IV-15min-Mouse2  </t>
  </si>
  <si>
    <t xml:space="preserve">HW356048-Plasma-1MPK-IV-15min-Mouse3  </t>
  </si>
  <si>
    <t xml:space="preserve">HW356048-Plasma-1MPK-IV-5min-Mouse1  </t>
  </si>
  <si>
    <t xml:space="preserve">HW356048-Plasma-1MPK-IV-5min-Mouse2   </t>
  </si>
  <si>
    <t xml:space="preserve">HW356048-Plasma-1MPK-IV-5min-Mouse3  </t>
  </si>
  <si>
    <t xml:space="preserve">HW356048-Plasma-10MPK-PO-24hr-Mouse5 </t>
  </si>
  <si>
    <t xml:space="preserve">HW356048-Plasma-10MPK-PO-24hr-Mouse6 </t>
  </si>
  <si>
    <t xml:space="preserve">HW356048-Plasma-10MPK-PO-8hr-Mouse5 </t>
  </si>
  <si>
    <t xml:space="preserve">HW356048-Plasma-10MPK-PO-8hr-Mouse6 </t>
  </si>
  <si>
    <t xml:space="preserve">HW356048-Plasma-10MPK-PO-6hr-Mouse5  </t>
  </si>
  <si>
    <t xml:space="preserve">HW356048-Plasma-10MPK-PO-6hr-Mouse6  </t>
  </si>
  <si>
    <t xml:space="preserve">HW356048-Plasma-10MPK-PO-4hr-Mouse5  </t>
  </si>
  <si>
    <t xml:space="preserve">HW356048-Plasma-10MPK-PO-4hr-Mouse6  </t>
  </si>
  <si>
    <t xml:space="preserve">HW356048-Plasma-10MPK-PO-2hr-Mouse5 DL10  </t>
  </si>
  <si>
    <t xml:space="preserve">HW356048-Plasma-10MPK-PO-2hr-Mouse6 DL10  </t>
  </si>
  <si>
    <t xml:space="preserve">HW356048-Plasma-10MPK-PO-1hr-Mouse5 DL10   </t>
  </si>
  <si>
    <t xml:space="preserve">HW356048-Plasma-10MPK-PO-1hr-Mouse6 DL10   </t>
  </si>
  <si>
    <t xml:space="preserve">HW356048-Plasma-10MPK-PO-30min-Mouse5 DL10   </t>
  </si>
  <si>
    <t xml:space="preserve">HW356048-Plasma-10MPK-PO-30min-Mouse6 DL10   </t>
  </si>
  <si>
    <t xml:space="preserve">HW356048-Plasma-10MPK-PO-15min-Mouse5 DL10   </t>
  </si>
  <si>
    <t xml:space="preserve">HW356048-Plasma-10MPK-PO-15min-Mouse6 DL10   </t>
  </si>
  <si>
    <t xml:space="preserve">HW356048-Plasma-10MPK-PO-5min-Mouse5   </t>
  </si>
  <si>
    <t xml:space="preserve">HW356048-Plasma-10MPK-PO-5min-Mouse6   </t>
  </si>
  <si>
    <t>B-LQC-2</t>
  </si>
  <si>
    <t>B-MQC-2</t>
  </si>
  <si>
    <t>B-HQC-2</t>
  </si>
  <si>
    <t>内标峰面积变异</t>
  </si>
  <si>
    <t>内标峰面积均值（Double Blank除外）</t>
  </si>
  <si>
    <t xml:space="preserve">SD </t>
  </si>
  <si>
    <t>%CV</t>
  </si>
  <si>
    <t>接受标准</t>
  </si>
  <si>
    <t>&lt; ± 30%</t>
  </si>
  <si>
    <t xml:space="preserve">HW356048-Plasma-10MPK-PO-24hr-Mouse4 </t>
  </si>
  <si>
    <t xml:space="preserve">HW356048-Plasma-10MPK-PO-8hr-Mouse4 </t>
  </si>
  <si>
    <t xml:space="preserve">HW356048-Plasma-10MPK-PO-6hr-Mouse4 </t>
  </si>
  <si>
    <t xml:space="preserve">HW356048-Plasma-10MPK-PO-4hr-Mouse4 </t>
  </si>
  <si>
    <t>HW356048-Plasma-10MPK-PO-2hr-Mouse4</t>
  </si>
  <si>
    <t xml:space="preserve">HW356048-Plasma-10MPK-PO-1hr-Mouse4 </t>
  </si>
  <si>
    <t xml:space="preserve">HW356048-Plasma-10MPK-PO-30min-Mouse4 </t>
  </si>
  <si>
    <t xml:space="preserve">HW356048-Plasma-10MPK-PO-15min-Mouse4 </t>
  </si>
  <si>
    <t xml:space="preserve">HW356048-Plasma-10MPK-PO-5min-Mouse4 </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</si>
  <si>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</si>
  <si>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</si>
  <si>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</si>
  <si>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</si>
  <si>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</si>
  <si>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</si>
  <si>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</si>
  <si>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</si>
  <si>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</si>
  <si>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</si>
  <si>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t>B-DQC</t>
  </si>
  <si>
    <t>\</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</si>
  <si>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</si>
  <si>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</si>
  <si>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将药制剂原液稀释4</t>
    </r>
    <r>
      <rPr>
        <sz val="11"/>
        <rFont val="Times New Roman"/>
        <charset val="134"/>
      </rPr>
      <t xml:space="preserve">000 </t>
    </r>
    <r>
      <rPr>
        <sz val="11"/>
        <rFont val="宋体"/>
        <charset val="134"/>
      </rPr>
      <t>倍后进行浓度检测</t>
    </r>
    <r>
      <rPr>
        <sz val="11"/>
        <rFont val="Times New Roman"/>
        <charset val="134"/>
      </rPr>
      <t>):</t>
    </r>
  </si>
  <si>
    <r>
      <rPr>
        <sz val="11"/>
        <rFont val="Times New Roman"/>
        <charset val="134"/>
      </rPr>
      <t xml:space="preserve">1) </t>
    </r>
    <r>
      <rPr>
        <sz val="11"/>
        <rFont val="宋体"/>
        <charset val="134"/>
      </rPr>
      <t>移取</t>
    </r>
    <r>
      <rPr>
        <sz val="11"/>
        <rFont val="Times New Roman"/>
        <charset val="134"/>
      </rPr>
      <t>IV</t>
    </r>
    <r>
      <rPr>
        <sz val="11"/>
        <rFont val="宋体"/>
        <charset val="134"/>
      </rPr>
      <t>制剂</t>
    </r>
    <r>
      <rPr>
        <sz val="11"/>
        <rFont val="Times New Roman"/>
        <charset val="134"/>
      </rPr>
      <t>50 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r>
      <rPr>
        <sz val="11"/>
        <rFont val="宋体"/>
        <charset val="134"/>
      </rPr>
      <t>；</t>
    </r>
  </si>
  <si>
    <r>
      <rPr>
        <sz val="11"/>
        <rFont val="Times New Roman"/>
        <charset val="134"/>
      </rPr>
      <t xml:space="preserve">2) </t>
    </r>
    <r>
      <rPr>
        <sz val="11"/>
        <rFont val="宋体"/>
        <charset val="134"/>
      </rPr>
      <t>将第一步中的制剂稀释液移取</t>
    </r>
    <r>
      <rPr>
        <sz val="11"/>
        <rFont val="Times New Roman"/>
        <charset val="134"/>
      </rPr>
      <t>100 µL</t>
    </r>
    <r>
      <rPr>
        <sz val="11"/>
        <rFont val="宋体"/>
        <charset val="134"/>
      </rPr>
      <t>，准确加入二甲基亚砜</t>
    </r>
    <r>
      <rPr>
        <sz val="11"/>
        <rFont val="Times New Roman"/>
        <charset val="134"/>
      </rPr>
      <t>900 µL</t>
    </r>
    <r>
      <rPr>
        <sz val="11"/>
        <rFont val="宋体"/>
        <charset val="134"/>
      </rPr>
      <t>，混合均匀（该过程稀释</t>
    </r>
    <r>
      <rPr>
        <sz val="11"/>
        <rFont val="Times New Roman"/>
        <charset val="134"/>
      </rPr>
      <t>10</t>
    </r>
    <r>
      <rPr>
        <sz val="11"/>
        <rFont val="宋体"/>
        <charset val="134"/>
      </rPr>
      <t>倍）；</t>
    </r>
  </si>
  <si>
    <r>
      <rPr>
        <sz val="11"/>
        <rFont val="Times New Roman"/>
        <charset val="134"/>
      </rPr>
      <t xml:space="preserve">3) </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5.0 μL </t>
    </r>
    <r>
      <rPr>
        <sz val="11"/>
        <rFont val="宋体"/>
        <charset val="134"/>
      </rPr>
      <t>加入到</t>
    </r>
    <r>
      <rPr>
        <sz val="11"/>
        <rFont val="Times New Roman"/>
        <charset val="134"/>
      </rPr>
      <t>95.0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</si>
  <si>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检测步骤：</t>
    </r>
    <r>
      <rPr>
        <sz val="11"/>
        <rFont val="Times New Roman"/>
        <charset val="134"/>
      </rPr>
      <t xml:space="preserve"> (</t>
    </r>
    <r>
      <rPr>
        <sz val="11"/>
        <rFont val="宋体"/>
        <charset val="134"/>
      </rPr>
      <t>将药制剂原液稀释2</t>
    </r>
    <r>
      <rPr>
        <sz val="11"/>
        <rFont val="Times New Roman"/>
        <charset val="134"/>
      </rPr>
      <t xml:space="preserve">0000 </t>
    </r>
    <r>
      <rPr>
        <sz val="11"/>
        <rFont val="宋体"/>
        <charset val="134"/>
      </rPr>
      <t>倍后进行浓度检测</t>
    </r>
    <r>
      <rPr>
        <sz val="11"/>
        <rFont val="Times New Roman"/>
        <charset val="134"/>
      </rPr>
      <t>):</t>
    </r>
  </si>
  <si>
    <r>
      <rPr>
        <sz val="11"/>
        <rFont val="Times New Roman"/>
        <charset val="134"/>
      </rPr>
      <t xml:space="preserve">1) </t>
    </r>
    <r>
      <rPr>
        <sz val="11"/>
        <rFont val="宋体"/>
        <charset val="134"/>
      </rPr>
      <t>移取</t>
    </r>
    <r>
      <rPr>
        <sz val="11"/>
        <rFont val="Times New Roman"/>
        <charset val="134"/>
      </rPr>
      <t>PO</t>
    </r>
    <r>
      <rPr>
        <sz val="11"/>
        <rFont val="宋体"/>
        <charset val="134"/>
      </rPr>
      <t>制剂</t>
    </r>
    <r>
      <rPr>
        <sz val="11"/>
        <rFont val="Times New Roman"/>
        <charset val="134"/>
      </rPr>
      <t>50 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r>
      <rPr>
        <sz val="11"/>
        <rFont val="宋体"/>
        <charset val="134"/>
      </rPr>
      <t>；</t>
    </r>
  </si>
  <si>
    <r>
      <rPr>
        <sz val="11"/>
        <rFont val="Times New Roman"/>
        <charset val="134"/>
      </rPr>
      <t xml:space="preserve">2) </t>
    </r>
    <r>
      <rPr>
        <sz val="11"/>
        <rFont val="宋体"/>
        <charset val="134"/>
      </rPr>
      <t>将第一步中的制剂稀释液移取</t>
    </r>
    <r>
      <rPr>
        <sz val="11"/>
        <rFont val="Times New Roman"/>
        <charset val="134"/>
      </rPr>
      <t>20 µL</t>
    </r>
    <r>
      <rPr>
        <sz val="11"/>
        <rFont val="宋体"/>
        <charset val="134"/>
      </rPr>
      <t>，准确加入二甲基亚砜</t>
    </r>
    <r>
      <rPr>
        <sz val="11"/>
        <rFont val="Times New Roman"/>
        <charset val="134"/>
      </rPr>
      <t>980 µL</t>
    </r>
    <r>
      <rPr>
        <sz val="11"/>
        <rFont val="宋体"/>
        <charset val="134"/>
      </rPr>
      <t>，混合均匀（该过程稀释</t>
    </r>
    <r>
      <rPr>
        <sz val="11"/>
        <rFont val="Times New Roman"/>
        <charset val="134"/>
      </rPr>
      <t>50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</si>
  <si>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</si>
  <si>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</si>
  <si>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</si>
  <si>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</si>
  <si>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</si>
  <si>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</si>
  <si>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</si>
  <si>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</si>
  <si>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</si>
  <si>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</si>
  <si>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</si>
  <si>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 mg/mL</t>
    </r>
    <r>
      <rPr>
        <sz val="11"/>
        <rFont val="宋体"/>
        <charset val="134"/>
      </rPr>
      <t>，</t>
    </r>
    <r>
      <rPr>
        <sz val="11"/>
        <rFont val="Times New Roman"/>
        <charset val="134"/>
      </rPr>
      <t>IV:0.2 mg/mL )</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</si>
  <si>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</si>
  <si>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</si>
  <si>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 Triple Quad 6500+)</t>
  </si>
  <si>
    <t>设备编号</t>
  </si>
  <si>
    <t>LC-MS/MS-003</t>
  </si>
  <si>
    <t>基质类型</t>
  </si>
  <si>
    <t>小鼠血浆</t>
  </si>
  <si>
    <t>分析物</t>
  </si>
  <si>
    <t>内标</t>
  </si>
  <si>
    <t>Tolbutamide</t>
  </si>
  <si>
    <t>质谱条件</t>
  </si>
  <si>
    <r>
      <rPr>
        <sz val="11"/>
        <color rgb="FF000000"/>
        <rFont val="Times New Roman"/>
        <charset val="134"/>
      </rPr>
      <t>ESI</t>
    </r>
    <r>
      <rPr>
        <sz val="11"/>
        <color rgb="FF000000"/>
        <rFont val="宋体"/>
        <charset val="134"/>
      </rPr>
      <t>源负离子模式</t>
    </r>
  </si>
  <si>
    <t>多反应监测</t>
  </si>
  <si>
    <t>液相条件</t>
  </si>
  <si>
    <t>色谱柱</t>
  </si>
  <si>
    <t>Synergi 4 µm Fusion-RP 80Å Luna C18 2 mm *50 mm ,4 µm</t>
  </si>
  <si>
    <t>色谱型号</t>
  </si>
  <si>
    <t>Shimadzu LC-30AD</t>
  </si>
  <si>
    <t>流动相</t>
  </si>
  <si>
    <r>
      <rPr>
        <sz val="11"/>
        <rFont val="Times New Roman"/>
        <charset val="134"/>
      </rPr>
      <t xml:space="preserve">A: </t>
    </r>
    <r>
      <rPr>
        <sz val="11"/>
        <rFont val="宋体"/>
        <charset val="134"/>
      </rPr>
      <t>水（含</t>
    </r>
    <r>
      <rPr>
        <sz val="11"/>
        <rFont val="Times New Roman"/>
        <charset val="134"/>
      </rPr>
      <t>0.1%FA</t>
    </r>
    <r>
      <rPr>
        <sz val="11"/>
        <rFont val="宋体"/>
        <charset val="134"/>
      </rPr>
      <t>）</t>
    </r>
  </si>
  <si>
    <r>
      <rPr>
        <sz val="11"/>
        <rFont val="Times New Roman"/>
        <charset val="134"/>
      </rPr>
      <t>B:</t>
    </r>
    <r>
      <rPr>
        <sz val="11"/>
        <rFont val="宋体"/>
        <charset val="134"/>
      </rPr>
      <t>乙腈</t>
    </r>
  </si>
  <si>
    <t>液相程序</t>
  </si>
  <si>
    <r>
      <rPr>
        <sz val="11"/>
        <rFont val="宋体"/>
        <charset val="134"/>
      </rPr>
      <t>时间</t>
    </r>
    <r>
      <rPr>
        <sz val="11"/>
        <rFont val="Times New Roman"/>
        <charset val="134"/>
      </rPr>
      <t xml:space="preserve"> (min)</t>
    </r>
  </si>
  <si>
    <r>
      <rPr>
        <sz val="11"/>
        <rFont val="宋体"/>
        <charset val="134"/>
      </rPr>
      <t>流速</t>
    </r>
    <r>
      <rPr>
        <sz val="11"/>
        <rFont val="Times New Roman"/>
        <charset val="134"/>
      </rPr>
      <t xml:space="preserve"> (mL/min)</t>
    </r>
  </si>
  <si>
    <t>A (%)</t>
  </si>
  <si>
    <t>B (%)</t>
  </si>
  <si>
    <r>
      <rPr>
        <sz val="11"/>
        <rFont val="宋体"/>
        <charset val="134"/>
      </rPr>
      <t>柱温</t>
    </r>
    <r>
      <rPr>
        <sz val="11"/>
        <rFont val="Times New Roman"/>
        <charset val="134"/>
      </rPr>
      <t xml:space="preserve"> (°C):</t>
    </r>
  </si>
  <si>
    <r>
      <rPr>
        <sz val="11"/>
        <rFont val="宋体"/>
        <charset val="134"/>
      </rPr>
      <t>进样体积</t>
    </r>
    <r>
      <rPr>
        <sz val="11"/>
        <rFont val="Times New Roman"/>
        <charset val="134"/>
      </rPr>
      <t>(μL):</t>
    </r>
  </si>
  <si>
    <r>
      <rPr>
        <sz val="11"/>
        <color indexed="8"/>
        <rFont val="宋体"/>
        <charset val="134"/>
      </rPr>
      <t>保留时间</t>
    </r>
    <r>
      <rPr>
        <sz val="11"/>
        <color indexed="8"/>
        <rFont val="Times New Roman"/>
        <charset val="134"/>
      </rPr>
      <t>:</t>
    </r>
  </si>
  <si>
    <t>1.39 min</t>
  </si>
  <si>
    <t>IS:</t>
  </si>
  <si>
    <t>1.17 min</t>
  </si>
  <si>
    <t>样品前处理</t>
  </si>
  <si>
    <r>
      <rPr>
        <sz val="11"/>
        <rFont val="Times New Roman"/>
        <charset val="134"/>
      </rPr>
      <t xml:space="preserve">1. </t>
    </r>
    <r>
      <rPr>
        <sz val="11"/>
        <rFont val="宋体"/>
        <charset val="134"/>
      </rPr>
      <t>所有样品完全融化后，混匀</t>
    </r>
    <r>
      <rPr>
        <sz val="11"/>
        <rFont val="Times New Roman"/>
        <charset val="134"/>
      </rPr>
      <t>10</t>
    </r>
    <r>
      <rPr>
        <sz val="11"/>
        <rFont val="宋体"/>
        <charset val="134"/>
      </rPr>
      <t>～</t>
    </r>
    <r>
      <rPr>
        <sz val="11"/>
        <rFont val="Times New Roman"/>
        <charset val="134"/>
      </rPr>
      <t>30</t>
    </r>
    <r>
      <rPr>
        <sz val="11"/>
        <rFont val="宋体"/>
        <charset val="134"/>
      </rPr>
      <t>秒，</t>
    </r>
    <r>
      <rPr>
        <sz val="11"/>
        <rFont val="Times New Roman"/>
        <charset val="134"/>
      </rPr>
      <t>4000 rpm</t>
    </r>
    <r>
      <rPr>
        <sz val="11"/>
        <rFont val="宋体"/>
        <charset val="134"/>
      </rPr>
      <t>、</t>
    </r>
    <r>
      <rPr>
        <sz val="11"/>
        <rFont val="Times New Roman"/>
        <charset val="134"/>
      </rPr>
      <t>4°C</t>
    </r>
    <r>
      <rPr>
        <sz val="11"/>
        <rFont val="宋体"/>
        <charset val="134"/>
      </rPr>
      <t>条件下离心</t>
    </r>
    <r>
      <rPr>
        <sz val="11"/>
        <rFont val="Times New Roman"/>
        <charset val="134"/>
      </rPr>
      <t>0.5</t>
    </r>
    <r>
      <rPr>
        <sz val="11"/>
        <rFont val="宋体"/>
        <charset val="134"/>
      </rPr>
      <t xml:space="preserve">分钟。
</t>
    </r>
    <r>
      <rPr>
        <sz val="11"/>
        <rFont val="Times New Roman"/>
        <charset val="134"/>
      </rPr>
      <t>2.</t>
    </r>
    <r>
      <rPr>
        <sz val="11"/>
        <rFont val="宋体"/>
        <charset val="134"/>
      </rPr>
      <t>移取</t>
    </r>
    <r>
      <rPr>
        <sz val="11"/>
        <rFont val="Times New Roman"/>
        <charset val="134"/>
      </rPr>
      <t>20 μL</t>
    </r>
    <r>
      <rPr>
        <sz val="11"/>
        <rFont val="宋体"/>
        <charset val="134"/>
      </rPr>
      <t>血浆样品（空白样品和内标空白样品加</t>
    </r>
    <r>
      <rPr>
        <sz val="11"/>
        <rFont val="Times New Roman"/>
        <charset val="134"/>
      </rPr>
      <t>20 μL</t>
    </r>
    <r>
      <rPr>
        <sz val="11"/>
        <rFont val="宋体"/>
        <charset val="134"/>
      </rPr>
      <t>空白血浆）至</t>
    </r>
    <r>
      <rPr>
        <sz val="11"/>
        <rFont val="Times New Roman"/>
        <charset val="134"/>
      </rPr>
      <t>96</t>
    </r>
    <r>
      <rPr>
        <sz val="11"/>
        <rFont val="宋体"/>
        <charset val="134"/>
      </rPr>
      <t>孔板中，加入</t>
    </r>
    <r>
      <rPr>
        <sz val="11"/>
        <rFont val="Times New Roman"/>
        <charset val="134"/>
      </rPr>
      <t>200 μL</t>
    </r>
    <r>
      <rPr>
        <sz val="11"/>
        <rFont val="宋体"/>
        <charset val="134"/>
      </rPr>
      <t>内标（</t>
    </r>
    <r>
      <rPr>
        <sz val="11"/>
        <rFont val="Times New Roman"/>
        <charset val="134"/>
      </rPr>
      <t>50%</t>
    </r>
    <r>
      <rPr>
        <sz val="11"/>
        <rFont val="宋体"/>
        <charset val="134"/>
      </rPr>
      <t>甲醇乙腈溶液（浓度：</t>
    </r>
    <r>
      <rPr>
        <sz val="11"/>
        <rFont val="Times New Roman"/>
        <charset val="134"/>
      </rPr>
      <t>100 ng/mL</t>
    </r>
    <r>
      <rPr>
        <sz val="11"/>
        <rFont val="宋体"/>
        <charset val="134"/>
      </rPr>
      <t>））溶液（</t>
    </r>
    <r>
      <rPr>
        <sz val="11"/>
        <rFont val="Times New Roman"/>
        <charset val="134"/>
      </rPr>
      <t>Doubleblank</t>
    </r>
    <r>
      <rPr>
        <sz val="11"/>
        <rFont val="宋体"/>
        <charset val="134"/>
      </rPr>
      <t>样品加入</t>
    </r>
    <r>
      <rPr>
        <sz val="11"/>
        <rFont val="Times New Roman"/>
        <charset val="134"/>
      </rPr>
      <t>200 μL 50%</t>
    </r>
    <r>
      <rPr>
        <sz val="11"/>
        <rFont val="宋体"/>
        <charset val="134"/>
      </rPr>
      <t xml:space="preserve">甲醇乙腈溶液）。
</t>
    </r>
    <r>
      <rPr>
        <sz val="11"/>
        <rFont val="Times New Roman"/>
        <charset val="134"/>
      </rPr>
      <t xml:space="preserve">3. </t>
    </r>
    <r>
      <rPr>
        <sz val="11"/>
        <rFont val="宋体"/>
        <charset val="134"/>
      </rPr>
      <t>将样品涡旋</t>
    </r>
    <r>
      <rPr>
        <sz val="11"/>
        <rFont val="Times New Roman"/>
        <charset val="134"/>
      </rPr>
      <t>5</t>
    </r>
    <r>
      <rPr>
        <sz val="11"/>
        <rFont val="宋体"/>
        <charset val="134"/>
      </rPr>
      <t>分钟后，在</t>
    </r>
    <r>
      <rPr>
        <sz val="11"/>
        <rFont val="Times New Roman"/>
        <charset val="134"/>
      </rPr>
      <t>4000 rpm</t>
    </r>
    <r>
      <rPr>
        <sz val="11"/>
        <rFont val="宋体"/>
        <charset val="134"/>
      </rPr>
      <t>、</t>
    </r>
    <r>
      <rPr>
        <sz val="11"/>
        <rFont val="Times New Roman"/>
        <charset val="134"/>
      </rPr>
      <t>4°C</t>
    </r>
    <r>
      <rPr>
        <sz val="11"/>
        <rFont val="宋体"/>
        <charset val="134"/>
      </rPr>
      <t>条件下离心</t>
    </r>
    <r>
      <rPr>
        <sz val="11"/>
        <rFont val="Times New Roman"/>
        <charset val="134"/>
      </rPr>
      <t>10</t>
    </r>
    <r>
      <rPr>
        <sz val="11"/>
        <rFont val="宋体"/>
        <charset val="134"/>
      </rPr>
      <t>分钟，移取</t>
    </r>
    <r>
      <rPr>
        <sz val="11"/>
        <rFont val="Times New Roman"/>
        <charset val="134"/>
      </rPr>
      <t>100 μL</t>
    </r>
    <r>
      <rPr>
        <sz val="11"/>
        <rFont val="宋体"/>
        <charset val="134"/>
      </rPr>
      <t>加入到</t>
    </r>
    <r>
      <rPr>
        <sz val="11"/>
        <rFont val="Times New Roman"/>
        <charset val="134"/>
      </rPr>
      <t>100 μL</t>
    </r>
    <r>
      <rPr>
        <sz val="11"/>
        <rFont val="宋体"/>
        <charset val="134"/>
      </rPr>
      <t>的水中，混合均匀，交由</t>
    </r>
    <r>
      <rPr>
        <sz val="11"/>
        <rFont val="Times New Roman"/>
        <charset val="134"/>
      </rPr>
      <t>LC-MS/MS</t>
    </r>
    <r>
      <rPr>
        <sz val="11"/>
        <rFont val="宋体"/>
        <charset val="134"/>
      </rPr>
      <t xml:space="preserve">分析。
</t>
    </r>
  </si>
  <si>
    <t>线性范围</t>
  </si>
  <si>
    <t xml:space="preserve">2-2000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</si>
  <si>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</si>
  <si>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</si>
  <si>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</si>
  <si>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</si>
  <si>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</si>
  <si>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</si>
  <si>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</si>
  <si>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宋体"/>
        <charset val="134"/>
      </rPr>
      <t>常温</t>
    </r>
  </si>
  <si>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</si>
  <si>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</si>
  <si>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</si>
  <si>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</si>
  <si>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5%DMSO + 10%Solutol HS 15 + 85% 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</si>
  <si>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</si>
  <si>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</si>
  <si>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</si>
  <si>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8</t>
    </r>
    <r>
      <rPr>
        <sz val="11"/>
        <color rgb="FF000000"/>
        <rFont val="宋体"/>
        <charset val="134"/>
      </rPr>
      <t>只。实验需要：雄性</t>
    </r>
    <r>
      <rPr>
        <sz val="11"/>
        <color rgb="FF000000"/>
        <rFont val="Times New Roman"/>
        <charset val="134"/>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</si>
  <si>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</si>
  <si>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</si>
  <si>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</si>
  <si>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</si>
  <si>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</si>
  <si>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</si>
  <si>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</si>
  <si>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</si>
  <si>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</si>
  <si>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</si>
  <si>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</si>
  <si>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</si>
  <si>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</si>
  <si>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</si>
  <si>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IV</t>
    </r>
    <r>
      <rPr>
        <sz val="11"/>
        <color rgb="FF000000"/>
        <rFont val="宋体"/>
        <charset val="134"/>
      </rPr>
      <t>，单次</t>
    </r>
  </si>
  <si>
    <r>
      <rPr>
        <sz val="11"/>
        <color indexed="8"/>
        <rFont val="宋体"/>
        <charset val="134"/>
      </rPr>
      <t>血浆</t>
    </r>
  </si>
  <si>
    <r>
      <rPr>
        <sz val="11"/>
        <color rgb="FF000000"/>
        <rFont val="Times New Roman"/>
        <charset val="134"/>
      </rPr>
      <t>PO*</t>
    </r>
    <r>
      <rPr>
        <sz val="11"/>
        <color rgb="FF000000"/>
        <rFont val="宋体"/>
        <charset val="134"/>
      </rPr>
      <t>，单次</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</si>
  <si>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</si>
  <si>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</si>
  <si>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给药前称重，根据体重，计算给药量。通过尾静脉注射和口服给药。</t>
    </r>
  </si>
  <si>
    <r>
      <rPr>
        <b/>
        <sz val="11"/>
        <color indexed="8"/>
        <rFont val="宋体"/>
        <charset val="134"/>
      </rPr>
      <t>采血时间点：</t>
    </r>
  </si>
  <si>
    <r>
      <rPr>
        <sz val="11"/>
        <color rgb="FF000000"/>
        <rFont val="宋体"/>
        <charset val="134"/>
      </rPr>
      <t>给药后</t>
    </r>
    <r>
      <rPr>
        <sz val="11"/>
        <color rgb="FF000000"/>
        <rFont val="Times New Roman"/>
        <charset val="134"/>
      </rPr>
      <t xml:space="preserve"> 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</si>
  <si>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经小鼠脸颊采血，每个样品采集约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</si>
  <si>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</si>
  <si>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</si>
  <si>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</si>
  <si>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</si>
  <si>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</si>
  <si>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</si>
  <si>
    <t xml:space="preserve"> HW356048血浆稳定性考察</t>
  </si>
  <si>
    <t>血浆</t>
  </si>
  <si>
    <t>浓度</t>
  </si>
  <si>
    <t xml:space="preserve">100ng/mL </t>
  </si>
  <si>
    <t>样本类型</t>
  </si>
  <si>
    <t>血浆新鲜配制</t>
  </si>
  <si>
    <t>血浆样品室温放置1h</t>
  </si>
  <si>
    <t>血浆样品室温放置4h</t>
  </si>
  <si>
    <t xml:space="preserve">Peak Area </t>
  </si>
  <si>
    <t>%Change</t>
  </si>
  <si>
    <t>结论</t>
  </si>
  <si>
    <t>室温下HW356048在小鼠血浆中不稳定</t>
  </si>
  <si>
    <t>T0</t>
  </si>
  <si>
    <t>T1hr</t>
  </si>
  <si>
    <t>T4hr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</si>
</sst>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
    <numFmt numFmtId="178" formatCode="0.0_ "/>
    <numFmt numFmtId="179" formatCode="0_);[Red]\(0\)"/>
    <numFmt numFmtId="180" formatCode="0.000_ "/>
    <numFmt numFmtId="181" formatCode="0.00_ "/>
    <numFmt numFmtId="182" formatCode="0.0000"/>
    <numFmt numFmtId="183" formatCode="0.000000_ "/>
    <numFmt numFmtId="184" formatCode="0.00000000_ "/>
    <numFmt numFmtId="185" formatCode="0.0000_ "/>
    <numFmt numFmtId="186" formatCode="0.000"/>
    <numFmt numFmtId="187" formatCode="#,##0.00_ "/>
  </numFmts>
  <fonts count="79">
    <font>
      <sz val="11"/>
      <color theme="1"/>
      <name val="宋体"/>
      <charset val="134"/>
      <scheme val="minor"/>
    </font>
    <font>
      <sz val="11"/>
      <color theme="1"/>
      <name val="Times New Roman"/>
      <charset val="134"/>
    </font>
    <font>
      <b/>
      <sz val="11"/>
      <color theme="1"/>
      <name val="Times New Roman"/>
      <charset val="134"/>
    </font>
    <font>
      <b/>
      <sz val="11"/>
      <color theme="1"/>
      <name val="宋体"/>
      <charset val="134"/>
    </font>
    <font>
      <sz val="11"/>
      <color rgb="FF000000"/>
      <name val="Times New Roman"/>
      <charset val="134"/>
    </font>
    <font>
      <sz val="11"/>
      <color theme="1"/>
      <name val="宋体"/>
      <charset val="134"/>
    </font>
    <font>
      <b/>
      <sz val="11"/>
      <color rgb="FF000000"/>
      <name val="Times New Roman"/>
      <charset val="134"/>
    </font>
    <font>
      <sz val="11"/>
      <color indexed="8"/>
      <name val="Times New Roman"/>
      <charset val="134"/>
    </font>
    <font>
      <b/>
      <sz val="11"/>
      <color indexed="8"/>
      <name val="Times New Roman"/>
      <charset val="134"/>
    </font>
    <font>
      <b/>
      <sz val="11"/>
      <color indexed="8"/>
      <name val="宋体"/>
      <charset val="134"/>
    </font>
    <font>
      <sz val="11"/>
      <name val="Times New Roman"/>
      <charset val="134"/>
    </font>
    <font>
      <sz val="11"/>
      <color indexed="8"/>
      <name val="宋体"/>
      <charset val="134"/>
    </font>
    <font>
      <sz val="11"/>
      <name val="宋体"/>
      <charset val="134"/>
    </font>
    <font>
      <sz val="10.5"/>
      <color theme="1"/>
      <name val="Times New Roman"/>
      <charset val="134"/>
    </font>
    <font>
      <b/>
      <sz val="11"/>
      <name val="Times New Roman"/>
      <charset val="134"/>
    </font>
    <font>
      <b/>
      <u/>
      <sz val="11"/>
      <name val="Times New Roman"/>
      <charset val="134"/>
    </font>
    <font>
      <b/>
      <sz val="14"/>
      <name val="Times New Roman"/>
      <charset val="134"/>
    </font>
    <font>
      <b/>
      <sz val="12"/>
      <name val="宋体"/>
      <charset val="134"/>
    </font>
    <font>
      <b/>
      <sz val="12"/>
      <name val="Times New Roman"/>
      <charset val="134"/>
    </font>
    <font>
      <sz val="11"/>
      <color rgb="FFFF0000"/>
      <name val="Times New Roman"/>
      <charset val="134"/>
    </font>
    <font>
      <sz val="12"/>
      <name val="Times New Roman"/>
      <charset val="134"/>
    </font>
    <font>
      <sz val="16"/>
      <name val="Times New Roman"/>
      <charset val="134"/>
    </font>
    <font>
      <sz val="12"/>
      <name val="宋体"/>
      <charset val="134"/>
    </font>
    <font>
      <b/>
      <sz val="12"/>
      <color theme="1"/>
      <name val="Times New Roman"/>
      <charset val="134"/>
    </font>
    <font>
      <b/>
      <sz val="12"/>
      <color indexed="8"/>
      <name val="Times New Roman"/>
      <charset val="134"/>
    </font>
    <font>
      <sz val="10"/>
      <name val="Times New Roman"/>
      <charset val="134"/>
    </font>
    <font>
      <sz val="12"/>
      <color indexed="8"/>
      <name val="Times New Roman"/>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2"/>
      <color indexed="14"/>
      <name val="Calibri"/>
      <charset val="134"/>
    </font>
    <font>
      <b/>
      <sz val="12"/>
      <color indexed="52"/>
      <name val="Calibri"/>
      <charset val="134"/>
    </font>
    <font>
      <b/>
      <sz val="12"/>
      <color indexed="9"/>
      <name val="Calibri"/>
      <charset val="134"/>
    </font>
    <font>
      <i/>
      <sz val="12"/>
      <color indexed="23"/>
      <name val="Calibri"/>
      <charset val="134"/>
    </font>
    <font>
      <sz val="12"/>
      <color indexed="17"/>
      <name val="Calibri"/>
      <charset val="134"/>
    </font>
    <font>
      <b/>
      <sz val="15"/>
      <color indexed="62"/>
      <name val="Calibri"/>
      <charset val="134"/>
    </font>
    <font>
      <b/>
      <sz val="13"/>
      <color indexed="62"/>
      <name val="Calibri"/>
      <charset val="134"/>
    </font>
    <font>
      <b/>
      <sz val="11"/>
      <color indexed="62"/>
      <name val="Calibri"/>
      <charset val="134"/>
    </font>
    <font>
      <sz val="12"/>
      <color indexed="62"/>
      <name val="Calibri"/>
      <charset val="134"/>
    </font>
    <font>
      <sz val="12"/>
      <color indexed="52"/>
      <name val="Calibri"/>
      <charset val="134"/>
    </font>
    <font>
      <sz val="12"/>
      <color indexed="60"/>
      <name val="Calibri"/>
      <charset val="134"/>
    </font>
    <font>
      <sz val="10"/>
      <color indexed="8"/>
      <name val="Arial"/>
      <charset val="134"/>
    </font>
    <font>
      <sz val="10"/>
      <color indexed="0"/>
      <name val="Arial"/>
      <charset val="134"/>
    </font>
    <font>
      <sz val="10"/>
      <name val="Arial"/>
      <charset val="134"/>
    </font>
    <font>
      <b/>
      <sz val="12"/>
      <color indexed="63"/>
      <name val="Calibri"/>
      <charset val="134"/>
    </font>
    <font>
      <b/>
      <sz val="18"/>
      <color indexed="62"/>
      <name val="Cambria"/>
      <charset val="134"/>
    </font>
    <font>
      <b/>
      <sz val="12"/>
      <color indexed="8"/>
      <name val="Calibri"/>
      <charset val="134"/>
    </font>
    <font>
      <sz val="12"/>
      <color indexed="10"/>
      <name val="Calibri"/>
      <charset val="134"/>
    </font>
    <font>
      <sz val="10"/>
      <name val="Tahoma"/>
      <charset val="134"/>
    </font>
    <font>
      <sz val="10"/>
      <name val="MS Sans Serif"/>
      <charset val="134"/>
    </font>
    <font>
      <sz val="11"/>
      <color rgb="FF000000"/>
      <name val="宋体"/>
      <charset val="134"/>
    </font>
    <font>
      <vertAlign val="subscript"/>
      <sz val="11"/>
      <name val="Times New Roman"/>
      <charset val="134"/>
    </font>
    <font>
      <b/>
      <u/>
      <sz val="11"/>
      <name val="宋体"/>
      <charset val="134"/>
    </font>
    <font>
      <b/>
      <sz val="11"/>
      <color rgb="FF000000"/>
      <name val="宋体"/>
      <charset val="134"/>
    </font>
    <font>
      <sz val="11"/>
      <color theme="1"/>
      <name val="宋体"/>
      <charset val="134"/>
    </font>
    <font>
      <b/>
      <sz val="11"/>
      <name val="宋体"/>
      <charset val="134"/>
    </font>
    <font>
      <vertAlign val="subscript"/>
      <sz val="11"/>
      <name val="宋体"/>
      <charset val="134"/>
    </font>
    <font>
      <sz val="16"/>
      <name val="宋体"/>
      <charset val="134"/>
    </font>
    <font>
      <b/>
      <sz val="12"/>
      <color theme="1"/>
      <name val="宋体"/>
      <charset val="134"/>
    </font>
    <font>
      <b/>
      <sz val="14"/>
      <name val="宋体"/>
      <charset val="134"/>
    </font>
  </fonts>
  <fills count="6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7"/>
        <bgColor indexed="64"/>
      </patternFill>
    </fill>
    <fill>
      <patternFill patternType="solid">
        <fgColor theme="5" tint="0.79970702230903"/>
        <bgColor indexed="64"/>
      </patternFill>
    </fill>
    <fill>
      <patternFill patternType="solid">
        <fgColor theme="5" tint="0.799676503799554"/>
        <bgColor indexed="64"/>
      </patternFill>
    </fill>
    <fill>
      <patternFill patternType="solid">
        <fgColor theme="5" tint="0.799737540818506"/>
        <bgColor indexed="64"/>
      </patternFill>
    </fill>
    <fill>
      <patternFill patternType="solid">
        <fgColor theme="5" tint="0.799768059327982"/>
        <bgColor indexed="64"/>
      </patternFill>
    </fill>
    <fill>
      <patternFill patternType="solid">
        <fgColor indexed="26"/>
        <bgColor indexed="64"/>
      </patternFill>
    </fill>
    <fill>
      <patternFill patternType="solid">
        <fgColor theme="7" tint="0.79970702230903"/>
        <bgColor indexed="64"/>
      </patternFill>
    </fill>
    <fill>
      <patternFill patternType="solid">
        <fgColor theme="7" tint="0.799676503799554"/>
        <bgColor indexed="64"/>
      </patternFill>
    </fill>
    <fill>
      <patternFill patternType="solid">
        <fgColor theme="7" tint="0.799737540818506"/>
        <bgColor indexed="64"/>
      </patternFill>
    </fill>
    <fill>
      <patternFill patternType="solid">
        <fgColor theme="7" tint="0.799768059327982"/>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5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64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4" borderId="34"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35" applyNumberFormat="0" applyFill="0" applyAlignment="0" applyProtection="0">
      <alignment vertical="center"/>
    </xf>
    <xf numFmtId="0" fontId="34" fillId="0" borderId="35" applyNumberFormat="0" applyFill="0" applyAlignment="0" applyProtection="0">
      <alignment vertical="center"/>
    </xf>
    <xf numFmtId="0" fontId="35" fillId="0" borderId="36" applyNumberFormat="0" applyFill="0" applyAlignment="0" applyProtection="0">
      <alignment vertical="center"/>
    </xf>
    <xf numFmtId="0" fontId="35" fillId="0" borderId="0" applyNumberFormat="0" applyFill="0" applyBorder="0" applyAlignment="0" applyProtection="0">
      <alignment vertical="center"/>
    </xf>
    <xf numFmtId="0" fontId="36" fillId="5" borderId="37" applyNumberFormat="0" applyAlignment="0" applyProtection="0">
      <alignment vertical="center"/>
    </xf>
    <xf numFmtId="0" fontId="37" fillId="6" borderId="38" applyNumberFormat="0" applyAlignment="0" applyProtection="0">
      <alignment vertical="center"/>
    </xf>
    <xf numFmtId="0" fontId="38" fillId="6" borderId="37" applyNumberFormat="0" applyAlignment="0" applyProtection="0">
      <alignment vertical="center"/>
    </xf>
    <xf numFmtId="0" fontId="39" fillId="7" borderId="39" applyNumberFormat="0" applyAlignment="0" applyProtection="0">
      <alignment vertical="center"/>
    </xf>
    <xf numFmtId="0" fontId="40" fillId="0" borderId="40" applyNumberFormat="0" applyFill="0" applyAlignment="0" applyProtection="0">
      <alignment vertical="center"/>
    </xf>
    <xf numFmtId="0" fontId="41" fillId="0" borderId="41"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xf numFmtId="0" fontId="47" fillId="35" borderId="0" applyNumberFormat="0" applyBorder="0" applyAlignment="0" applyProtection="0"/>
    <xf numFmtId="0" fontId="47" fillId="35" borderId="0" applyNumberFormat="0" applyBorder="0" applyAlignment="0" applyProtection="0"/>
    <xf numFmtId="0" fontId="47" fillId="36" borderId="0" applyNumberFormat="0" applyBorder="0" applyAlignment="0" applyProtection="0"/>
    <xf numFmtId="0" fontId="0" fillId="37" borderId="0" applyNumberFormat="0" applyBorder="0" applyAlignment="0" applyProtection="0">
      <alignment vertical="center"/>
    </xf>
    <xf numFmtId="0" fontId="47" fillId="36" borderId="0" applyNumberFormat="0" applyBorder="0" applyAlignment="0" applyProtection="0"/>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40" borderId="0" applyNumberFormat="0" applyBorder="0" applyAlignment="0" applyProtection="0">
      <alignment vertical="center"/>
    </xf>
    <xf numFmtId="0" fontId="0" fillId="37" borderId="0" applyNumberFormat="0" applyBorder="0" applyAlignment="0" applyProtection="0">
      <alignment vertical="center"/>
    </xf>
    <xf numFmtId="0" fontId="0" fillId="40" borderId="0" applyNumberFormat="0" applyBorder="0" applyAlignment="0" applyProtection="0">
      <alignment vertical="center"/>
    </xf>
    <xf numFmtId="0" fontId="47" fillId="36" borderId="0" applyNumberFormat="0" applyBorder="0" applyAlignment="0" applyProtection="0"/>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40"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40" borderId="0" applyNumberFormat="0" applyBorder="0" applyAlignment="0" applyProtection="0">
      <alignment vertical="center"/>
    </xf>
    <xf numFmtId="0" fontId="47" fillId="41" borderId="0" applyNumberFormat="0" applyBorder="0" applyAlignment="0" applyProtection="0"/>
    <xf numFmtId="0" fontId="47" fillId="41" borderId="0" applyNumberFormat="0" applyBorder="0" applyAlignment="0" applyProtection="0"/>
    <xf numFmtId="0" fontId="47" fillId="35" borderId="0" applyNumberFormat="0" applyBorder="0" applyAlignment="0" applyProtection="0"/>
    <xf numFmtId="0" fontId="0" fillId="42" borderId="0" applyNumberFormat="0" applyBorder="0" applyAlignment="0" applyProtection="0">
      <alignment vertical="center"/>
    </xf>
    <xf numFmtId="0" fontId="47" fillId="35" borderId="0" applyNumberFormat="0" applyBorder="0" applyAlignment="0" applyProtection="0"/>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47" fillId="35" borderId="0" applyNumberFormat="0" applyBorder="0" applyAlignment="0" applyProtection="0"/>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47" fillId="46" borderId="0" applyNumberFormat="0" applyBorder="0" applyAlignment="0" applyProtection="0"/>
    <xf numFmtId="0" fontId="47" fillId="4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36" borderId="0" applyNumberFormat="0" applyBorder="0" applyAlignment="0" applyProtection="0"/>
    <xf numFmtId="0" fontId="0" fillId="51" borderId="0" applyNumberFormat="0" applyBorder="0" applyAlignment="0" applyProtection="0">
      <alignment vertical="center"/>
    </xf>
    <xf numFmtId="0" fontId="47" fillId="36" borderId="0" applyNumberFormat="0" applyBorder="0" applyAlignment="0" applyProtection="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47" fillId="36" borderId="0" applyNumberFormat="0" applyBorder="0" applyAlignment="0" applyProtection="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48" fillId="52" borderId="0" applyNumberFormat="0" applyBorder="0" applyAlignment="0" applyProtection="0"/>
    <xf numFmtId="0" fontId="48" fillId="52" borderId="0" applyNumberFormat="0" applyBorder="0" applyAlignment="0" applyProtection="0"/>
    <xf numFmtId="0" fontId="48" fillId="48" borderId="0" applyNumberFormat="0" applyBorder="0" applyAlignment="0" applyProtection="0"/>
    <xf numFmtId="0" fontId="48" fillId="48" borderId="0" applyNumberFormat="0" applyBorder="0" applyAlignment="0" applyProtection="0"/>
    <xf numFmtId="0" fontId="48" fillId="49" borderId="0" applyNumberFormat="0" applyBorder="0" applyAlignment="0" applyProtection="0"/>
    <xf numFmtId="0" fontId="48" fillId="49" borderId="0" applyNumberFormat="0" applyBorder="0" applyAlignment="0" applyProtection="0"/>
    <xf numFmtId="0" fontId="48" fillId="47" borderId="0" applyNumberFormat="0" applyBorder="0" applyAlignment="0" applyProtection="0"/>
    <xf numFmtId="0" fontId="48" fillId="47" borderId="0" applyNumberFormat="0" applyBorder="0" applyAlignment="0" applyProtection="0"/>
    <xf numFmtId="0" fontId="48" fillId="52" borderId="0" applyNumberFormat="0" applyBorder="0" applyAlignment="0" applyProtection="0"/>
    <xf numFmtId="0" fontId="48" fillId="52"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52" borderId="0" applyNumberFormat="0" applyBorder="0" applyAlignment="0" applyProtection="0"/>
    <xf numFmtId="0" fontId="48" fillId="52"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4" borderId="0" applyNumberFormat="0" applyBorder="0" applyAlignment="0" applyProtection="0"/>
    <xf numFmtId="0" fontId="48" fillId="54" borderId="0" applyNumberFormat="0" applyBorder="0" applyAlignment="0" applyProtection="0"/>
    <xf numFmtId="0" fontId="48" fillId="52" borderId="0" applyNumberFormat="0" applyBorder="0" applyAlignment="0" applyProtection="0"/>
    <xf numFmtId="0" fontId="48" fillId="52" borderId="0" applyNumberFormat="0" applyBorder="0" applyAlignment="0" applyProtection="0"/>
    <xf numFmtId="0" fontId="48" fillId="55" borderId="0" applyNumberFormat="0" applyBorder="0" applyAlignment="0" applyProtection="0"/>
    <xf numFmtId="0" fontId="48" fillId="55" borderId="0" applyNumberFormat="0" applyBorder="0" applyAlignment="0" applyProtection="0"/>
    <xf numFmtId="0" fontId="49" fillId="56" borderId="0" applyNumberFormat="0" applyBorder="0" applyAlignment="0" applyProtection="0"/>
    <xf numFmtId="0" fontId="49" fillId="56" borderId="0" applyNumberFormat="0" applyBorder="0" applyAlignment="0" applyProtection="0"/>
    <xf numFmtId="0" fontId="50" fillId="35" borderId="42" applyNumberFormat="0" applyAlignment="0" applyProtection="0"/>
    <xf numFmtId="0" fontId="50" fillId="35" borderId="42" applyNumberFormat="0" applyAlignment="0" applyProtection="0"/>
    <xf numFmtId="0" fontId="50" fillId="35" borderId="42" applyNumberFormat="0" applyAlignment="0" applyProtection="0"/>
    <xf numFmtId="0" fontId="50" fillId="35" borderId="42" applyNumberFormat="0" applyAlignment="0" applyProtection="0"/>
    <xf numFmtId="0" fontId="50" fillId="35" borderId="42" applyNumberFormat="0" applyAlignment="0" applyProtection="0"/>
    <xf numFmtId="0" fontId="50" fillId="35" borderId="42" applyNumberFormat="0" applyAlignment="0" applyProtection="0"/>
    <xf numFmtId="0" fontId="51" fillId="57" borderId="43" applyNumberFormat="0" applyAlignment="0" applyProtection="0"/>
    <xf numFmtId="0" fontId="51" fillId="57" borderId="43" applyNumberFormat="0" applyAlignment="0" applyProtection="0"/>
    <xf numFmtId="0" fontId="52" fillId="0" borderId="0" applyNumberFormat="0" applyFill="0" applyBorder="0" applyAlignment="0" applyProtection="0"/>
    <xf numFmtId="0" fontId="53" fillId="58" borderId="0" applyNumberFormat="0" applyBorder="0" applyAlignment="0" applyProtection="0"/>
    <xf numFmtId="0" fontId="53" fillId="58" borderId="0" applyNumberFormat="0" applyBorder="0" applyAlignment="0" applyProtection="0"/>
    <xf numFmtId="0" fontId="54" fillId="0" borderId="44" applyNumberFormat="0" applyFill="0" applyAlignment="0" applyProtection="0"/>
    <xf numFmtId="0" fontId="55" fillId="0" borderId="45" applyNumberFormat="0" applyFill="0" applyAlignment="0" applyProtection="0"/>
    <xf numFmtId="0" fontId="56" fillId="0" borderId="46" applyNumberFormat="0" applyFill="0" applyAlignment="0" applyProtection="0"/>
    <xf numFmtId="0" fontId="56" fillId="0" borderId="0" applyNumberFormat="0" applyFill="0" applyBorder="0" applyAlignment="0" applyProtection="0"/>
    <xf numFmtId="0" fontId="57" fillId="36" borderId="42" applyNumberFormat="0" applyAlignment="0" applyProtection="0"/>
    <xf numFmtId="0" fontId="57" fillId="36" borderId="42" applyNumberFormat="0" applyAlignment="0" applyProtection="0"/>
    <xf numFmtId="0" fontId="57" fillId="36" borderId="42" applyNumberFormat="0" applyAlignment="0" applyProtection="0"/>
    <xf numFmtId="0" fontId="57" fillId="36" borderId="42" applyNumberFormat="0" applyAlignment="0" applyProtection="0"/>
    <xf numFmtId="0" fontId="57" fillId="36" borderId="42" applyNumberFormat="0" applyAlignment="0" applyProtection="0"/>
    <xf numFmtId="0" fontId="57" fillId="36" borderId="42" applyNumberFormat="0" applyAlignment="0" applyProtection="0"/>
    <xf numFmtId="0" fontId="58" fillId="0" borderId="47" applyNumberFormat="0" applyFill="0" applyAlignment="0" applyProtection="0"/>
    <xf numFmtId="0" fontId="59" fillId="49" borderId="0" applyNumberFormat="0" applyBorder="0" applyAlignment="0" applyProtection="0"/>
    <xf numFmtId="0" fontId="59" fillId="49" borderId="0" applyNumberFormat="0" applyBorder="0" applyAlignment="0" applyProtection="0"/>
    <xf numFmtId="0" fontId="60" fillId="0" borderId="0">
      <alignment vertical="top"/>
    </xf>
    <xf numFmtId="0" fontId="61" fillId="0" borderId="0"/>
    <xf numFmtId="0" fontId="62"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0" fillId="0" borderId="0">
      <alignment vertical="center"/>
    </xf>
    <xf numFmtId="0" fontId="0" fillId="0" borderId="0">
      <alignment vertical="center"/>
    </xf>
    <xf numFmtId="0" fontId="60" fillId="0" borderId="0">
      <alignment vertical="top"/>
    </xf>
    <xf numFmtId="0" fontId="62" fillId="0" borderId="0"/>
    <xf numFmtId="0" fontId="61" fillId="0" borderId="0"/>
    <xf numFmtId="0" fontId="22" fillId="41" borderId="48" applyNumberFormat="0" applyFont="0" applyAlignment="0" applyProtection="0"/>
    <xf numFmtId="0" fontId="22" fillId="41" borderId="48" applyNumberFormat="0" applyFont="0" applyAlignment="0" applyProtection="0"/>
    <xf numFmtId="0" fontId="0" fillId="59" borderId="34" applyNumberFormat="0" applyFont="0" applyAlignment="0" applyProtection="0"/>
    <xf numFmtId="0" fontId="0" fillId="59" borderId="34" applyNumberFormat="0" applyFont="0" applyAlignment="0" applyProtection="0"/>
    <xf numFmtId="0" fontId="0"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0"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0"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0"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0" fillId="59" borderId="34" applyNumberFormat="0" applyFont="0" applyAlignment="0" applyProtection="0"/>
    <xf numFmtId="0" fontId="0"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0"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0"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0" fillId="59" borderId="34" applyNumberFormat="0" applyFont="0" applyAlignment="0" applyProtection="0"/>
    <xf numFmtId="0" fontId="0" fillId="59" borderId="34" applyNumberFormat="0" applyFont="0" applyAlignment="0" applyProtection="0"/>
    <xf numFmtId="0" fontId="0" fillId="59" borderId="34" applyNumberFormat="0" applyFont="0" applyAlignment="0" applyProtection="0"/>
    <xf numFmtId="0" fontId="0"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11" fillId="59" borderId="34"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22" fillId="41" borderId="48" applyNumberFormat="0" applyFont="0" applyAlignment="0" applyProtection="0"/>
    <xf numFmtId="0" fontId="63" fillId="35" borderId="49" applyNumberFormat="0" applyAlignment="0" applyProtection="0"/>
    <xf numFmtId="0" fontId="63" fillId="35" borderId="49" applyNumberFormat="0" applyAlignment="0" applyProtection="0"/>
    <xf numFmtId="0" fontId="63" fillId="35" borderId="49" applyNumberFormat="0" applyAlignment="0" applyProtection="0"/>
    <xf numFmtId="0" fontId="63" fillId="35" borderId="49" applyNumberFormat="0" applyAlignment="0" applyProtection="0"/>
    <xf numFmtId="0" fontId="63" fillId="35" borderId="49" applyNumberFormat="0" applyAlignment="0" applyProtection="0"/>
    <xf numFmtId="0" fontId="63" fillId="35" borderId="49" applyNumberFormat="0" applyAlignment="0" applyProtection="0"/>
    <xf numFmtId="0" fontId="60" fillId="0" borderId="0">
      <alignment vertical="top"/>
    </xf>
    <xf numFmtId="0" fontId="60" fillId="0" borderId="0">
      <alignment vertical="top"/>
    </xf>
    <xf numFmtId="0" fontId="60" fillId="0" borderId="0">
      <alignment vertical="top"/>
    </xf>
    <xf numFmtId="0" fontId="64" fillId="0" borderId="0" applyNumberFormat="0" applyFill="0" applyBorder="0" applyAlignment="0" applyProtection="0"/>
    <xf numFmtId="0" fontId="65" fillId="0" borderId="50" applyNumberFormat="0" applyFill="0" applyAlignment="0" applyProtection="0"/>
    <xf numFmtId="0" fontId="65" fillId="0" borderId="50" applyNumberFormat="0" applyFill="0" applyAlignment="0" applyProtection="0"/>
    <xf numFmtId="0" fontId="65" fillId="0" borderId="50" applyNumberFormat="0" applyFill="0" applyAlignment="0" applyProtection="0"/>
    <xf numFmtId="0" fontId="65" fillId="0" borderId="50" applyNumberFormat="0" applyFill="0" applyAlignment="0" applyProtection="0"/>
    <xf numFmtId="0" fontId="65" fillId="0" borderId="50" applyNumberFormat="0" applyFill="0" applyAlignment="0" applyProtection="0"/>
    <xf numFmtId="0" fontId="65" fillId="0" borderId="50" applyNumberFormat="0" applyFill="0" applyAlignment="0" applyProtection="0"/>
    <xf numFmtId="0" fontId="66" fillId="0" borderId="0" applyNumberForma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67" fillId="0" borderId="0"/>
    <xf numFmtId="0" fontId="0" fillId="0" borderId="0">
      <alignment vertical="center"/>
    </xf>
    <xf numFmtId="0" fontId="67" fillId="0" borderId="0"/>
    <xf numFmtId="0" fontId="0" fillId="0" borderId="0">
      <alignment vertical="center"/>
    </xf>
    <xf numFmtId="0" fontId="0" fillId="0" borderId="0"/>
    <xf numFmtId="0" fontId="0" fillId="0" borderId="0"/>
    <xf numFmtId="0" fontId="0" fillId="0" borderId="0"/>
    <xf numFmtId="0" fontId="0" fillId="0" borderId="0"/>
    <xf numFmtId="0" fontId="67" fillId="0" borderId="0"/>
    <xf numFmtId="0" fontId="0" fillId="0" borderId="0"/>
    <xf numFmtId="0" fontId="0" fillId="0" borderId="0"/>
    <xf numFmtId="0" fontId="0" fillId="0" borderId="0">
      <alignment vertical="center"/>
    </xf>
    <xf numFmtId="0" fontId="67"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0" fillId="0" borderId="0"/>
    <xf numFmtId="0" fontId="0" fillId="0" borderId="0"/>
    <xf numFmtId="0" fontId="0" fillId="0" borderId="0"/>
    <xf numFmtId="0" fontId="0" fillId="0" borderId="0"/>
    <xf numFmtId="0" fontId="22" fillId="0" borderId="0">
      <alignment vertical="center"/>
    </xf>
    <xf numFmtId="0" fontId="67" fillId="0" borderId="0"/>
    <xf numFmtId="0" fontId="67" fillId="0" borderId="0"/>
    <xf numFmtId="0" fontId="67" fillId="0" borderId="0"/>
    <xf numFmtId="0" fontId="67"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7" fillId="0" borderId="0"/>
    <xf numFmtId="0" fontId="22" fillId="0" borderId="0">
      <alignment vertical="top"/>
    </xf>
    <xf numFmtId="0" fontId="22" fillId="0" borderId="0">
      <alignment vertical="top"/>
    </xf>
    <xf numFmtId="0" fontId="67" fillId="0" borderId="0"/>
    <xf numFmtId="0" fontId="0" fillId="0" borderId="0">
      <alignment vertical="center"/>
    </xf>
    <xf numFmtId="0" fontId="67"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top"/>
    </xf>
    <xf numFmtId="0" fontId="22" fillId="0" borderId="0">
      <alignment vertical="top"/>
    </xf>
    <xf numFmtId="0" fontId="22" fillId="0" borderId="0"/>
    <xf numFmtId="0" fontId="22" fillId="0" borderId="0">
      <alignment vertical="top"/>
    </xf>
    <xf numFmtId="0" fontId="22" fillId="0" borderId="0">
      <alignment vertical="top"/>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top"/>
    </xf>
    <xf numFmtId="0" fontId="22" fillId="0" borderId="0">
      <alignment vertical="top"/>
    </xf>
    <xf numFmtId="0" fontId="0" fillId="0" borderId="0">
      <alignment vertical="center"/>
    </xf>
    <xf numFmtId="0" fontId="0" fillId="0" borderId="0">
      <alignment vertical="center"/>
    </xf>
    <xf numFmtId="0" fontId="0" fillId="0" borderId="0">
      <alignment vertical="center"/>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0" fillId="0" borderId="0">
      <alignment vertical="center"/>
    </xf>
    <xf numFmtId="0" fontId="67"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7" fillId="0" borderId="0"/>
    <xf numFmtId="0" fontId="67" fillId="0" borderId="0"/>
    <xf numFmtId="0" fontId="67" fillId="0" borderId="0"/>
    <xf numFmtId="0" fontId="67" fillId="0" borderId="0"/>
    <xf numFmtId="0" fontId="67" fillId="0" borderId="0"/>
    <xf numFmtId="0" fontId="0" fillId="0" borderId="0"/>
    <xf numFmtId="0" fontId="0"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68" fillId="0" borderId="0">
      <alignment vertical="top"/>
    </xf>
    <xf numFmtId="0" fontId="22" fillId="0" borderId="0">
      <alignment vertical="top"/>
    </xf>
    <xf numFmtId="0" fontId="22" fillId="0" borderId="0">
      <alignment vertical="top"/>
    </xf>
    <xf numFmtId="0" fontId="68"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7" fillId="0" borderId="0"/>
    <xf numFmtId="0" fontId="0" fillId="0" borderId="0"/>
    <xf numFmtId="0" fontId="0" fillId="0" borderId="0"/>
    <xf numFmtId="0" fontId="67" fillId="0" borderId="0"/>
    <xf numFmtId="0" fontId="0" fillId="0" borderId="0"/>
    <xf numFmtId="0" fontId="67"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7" fillId="0" borderId="0"/>
    <xf numFmtId="0" fontId="0" fillId="0" borderId="0">
      <alignment vertical="center"/>
    </xf>
    <xf numFmtId="0" fontId="0" fillId="0" borderId="0">
      <alignment vertical="center"/>
    </xf>
    <xf numFmtId="0" fontId="6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60" fillId="0" borderId="0">
      <alignment vertical="top"/>
    </xf>
    <xf numFmtId="0" fontId="62" fillId="0" borderId="0">
      <alignment vertical="top"/>
    </xf>
    <xf numFmtId="0" fontId="60" fillId="0" borderId="0">
      <alignment vertical="top"/>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59" borderId="34" applyNumberFormat="0" applyFont="0" applyAlignment="0" applyProtection="0">
      <alignment vertical="center"/>
    </xf>
  </cellStyleXfs>
  <cellXfs count="551">
    <xf numFmtId="0" fontId="0" fillId="0" borderId="0" xfId="0"/>
    <xf numFmtId="0" fontId="1" fillId="0" borderId="0" xfId="0" applyFont="1"/>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176"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2" fontId="4" fillId="0" borderId="2" xfId="0" applyNumberFormat="1" applyFont="1" applyBorder="1" applyAlignment="1">
      <alignment horizontal="center" vertical="center"/>
    </xf>
    <xf numFmtId="0" fontId="5"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6" fillId="2" borderId="7" xfId="0" applyFont="1" applyFill="1" applyBorder="1" applyAlignment="1">
      <alignment vertical="center" wrapText="1"/>
    </xf>
    <xf numFmtId="0" fontId="6" fillId="2" borderId="8" xfId="0" applyFont="1" applyFill="1" applyBorder="1" applyAlignment="1">
      <alignment vertical="center" wrapText="1"/>
    </xf>
    <xf numFmtId="0" fontId="4" fillId="2" borderId="9" xfId="0" applyFont="1" applyFill="1" applyBorder="1" applyAlignment="1">
      <alignment vertical="center"/>
    </xf>
    <xf numFmtId="0" fontId="4" fillId="2" borderId="0" xfId="0" applyFont="1" applyFill="1" applyBorder="1" applyAlignment="1">
      <alignment vertical="center"/>
    </xf>
    <xf numFmtId="0" fontId="4" fillId="2" borderId="10" xfId="0" applyFont="1" applyFill="1" applyBorder="1" applyAlignment="1">
      <alignment vertical="center"/>
    </xf>
    <xf numFmtId="0" fontId="4" fillId="2" borderId="11" xfId="0" applyFont="1" applyFill="1" applyBorder="1" applyAlignment="1">
      <alignment vertical="center"/>
    </xf>
    <xf numFmtId="0" fontId="6" fillId="2" borderId="12" xfId="0" applyFont="1" applyFill="1" applyBorder="1" applyAlignment="1">
      <alignment vertical="center" wrapText="1"/>
    </xf>
    <xf numFmtId="0" fontId="4" fillId="2" borderId="13" xfId="0" applyFont="1" applyFill="1" applyBorder="1" applyAlignment="1">
      <alignment vertical="center"/>
    </xf>
    <xf numFmtId="0" fontId="4" fillId="2" borderId="14" xfId="0" applyFont="1" applyFill="1" applyBorder="1" applyAlignment="1">
      <alignment vertical="center"/>
    </xf>
    <xf numFmtId="0" fontId="1" fillId="2" borderId="0" xfId="0" applyFont="1" applyFill="1" applyAlignment="1">
      <alignment vertical="center"/>
    </xf>
    <xf numFmtId="0" fontId="1" fillId="2" borderId="0" xfId="0" applyFont="1" applyFill="1" applyAlignment="1"/>
    <xf numFmtId="0" fontId="7" fillId="2" borderId="0" xfId="0" applyFont="1" applyFill="1" applyAlignment="1"/>
    <xf numFmtId="0" fontId="1" fillId="2" borderId="7" xfId="0" applyFont="1" applyFill="1" applyBorder="1" applyAlignment="1"/>
    <xf numFmtId="0" fontId="7" fillId="2" borderId="8" xfId="0" applyFont="1" applyFill="1" applyBorder="1" applyAlignment="1"/>
    <xf numFmtId="0" fontId="1" fillId="2" borderId="9" xfId="0" applyFont="1" applyFill="1" applyBorder="1" applyAlignment="1"/>
    <xf numFmtId="0" fontId="8" fillId="2" borderId="0" xfId="0" applyFont="1" applyFill="1" applyBorder="1" applyAlignment="1"/>
    <xf numFmtId="0" fontId="7" fillId="2" borderId="0" xfId="0" applyFont="1" applyFill="1" applyBorder="1" applyAlignment="1"/>
    <xf numFmtId="0" fontId="7" fillId="2" borderId="2" xfId="0" applyFont="1" applyFill="1" applyBorder="1" applyAlignment="1">
      <alignment horizontal="center" vertical="center" wrapText="1"/>
    </xf>
    <xf numFmtId="0" fontId="4" fillId="2" borderId="2" xfId="0" applyFont="1" applyFill="1" applyBorder="1" applyAlignment="1" applyProtection="1">
      <alignment horizontal="center" vertical="center"/>
      <protection locked="0"/>
    </xf>
    <xf numFmtId="58" fontId="1" fillId="2" borderId="2" xfId="0" applyNumberFormat="1" applyFont="1" applyFill="1" applyBorder="1" applyAlignment="1">
      <alignment horizontal="center" vertical="center" wrapText="1"/>
    </xf>
    <xf numFmtId="9" fontId="4" fillId="2" borderId="2"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1" fillId="0" borderId="2" xfId="0" applyFont="1" applyFill="1" applyBorder="1" applyAlignment="1">
      <alignment horizontal="center"/>
    </xf>
    <xf numFmtId="0" fontId="8" fillId="2" borderId="0" xfId="0" applyFont="1" applyFill="1" applyBorder="1" applyAlignment="1">
      <alignment horizontal="left" vertical="top"/>
    </xf>
    <xf numFmtId="0" fontId="7" fillId="2" borderId="0" xfId="0" applyFont="1" applyFill="1" applyBorder="1" applyAlignment="1">
      <alignment horizontal="center" vertical="center" wrapText="1"/>
    </xf>
    <xf numFmtId="0" fontId="7" fillId="2" borderId="0" xfId="0" applyFont="1" applyFill="1" applyBorder="1" applyAlignment="1">
      <alignment horizontal="center" wrapText="1"/>
    </xf>
    <xf numFmtId="0" fontId="7" fillId="2" borderId="0" xfId="0" applyFont="1" applyFill="1" applyBorder="1" applyAlignment="1">
      <alignment horizontal="center"/>
    </xf>
    <xf numFmtId="0" fontId="7" fillId="2" borderId="15" xfId="0" applyFont="1" applyFill="1" applyBorder="1" applyAlignment="1">
      <alignment horizontal="left" vertical="top" wrapText="1"/>
    </xf>
    <xf numFmtId="0" fontId="7" fillId="2" borderId="16" xfId="0" applyFont="1" applyFill="1" applyBorder="1" applyAlignment="1">
      <alignment horizontal="left" vertical="top" wrapText="1"/>
    </xf>
    <xf numFmtId="0" fontId="4" fillId="2" borderId="17" xfId="0" applyFont="1" applyFill="1" applyBorder="1" applyAlignment="1">
      <alignment horizontal="left" vertical="top" wrapText="1"/>
    </xf>
    <xf numFmtId="0" fontId="7" fillId="2" borderId="1" xfId="0" applyFont="1" applyFill="1" applyBorder="1" applyAlignment="1">
      <alignment horizontal="left" vertical="top" wrapText="1"/>
    </xf>
    <xf numFmtId="0" fontId="4" fillId="2" borderId="15" xfId="0" applyFont="1" applyFill="1" applyBorder="1" applyAlignment="1"/>
    <xf numFmtId="0" fontId="7" fillId="2" borderId="16" xfId="0" applyFont="1" applyFill="1" applyBorder="1" applyAlignment="1"/>
    <xf numFmtId="0" fontId="4" fillId="2" borderId="18" xfId="0" applyFont="1" applyFill="1" applyBorder="1" applyAlignment="1"/>
    <xf numFmtId="0" fontId="7" fillId="2" borderId="17" xfId="0" applyFont="1" applyFill="1" applyBorder="1" applyAlignment="1"/>
    <xf numFmtId="0" fontId="7" fillId="2" borderId="1" xfId="0" applyFont="1" applyFill="1" applyBorder="1" applyAlignment="1"/>
    <xf numFmtId="0" fontId="8" fillId="2" borderId="19"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4" fillId="2" borderId="16"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4" fillId="2" borderId="3" xfId="0" applyFont="1" applyFill="1" applyBorder="1" applyAlignment="1"/>
    <xf numFmtId="0" fontId="7" fillId="2" borderId="4" xfId="0" applyFont="1" applyFill="1" applyBorder="1" applyAlignment="1"/>
    <xf numFmtId="0" fontId="4" fillId="2" borderId="15" xfId="0" applyFont="1" applyFill="1" applyBorder="1" applyAlignment="1">
      <alignment horizontal="left" vertical="top" wrapText="1"/>
    </xf>
    <xf numFmtId="0" fontId="4" fillId="2" borderId="17" xfId="0" applyFont="1" applyFill="1" applyBorder="1" applyAlignment="1">
      <alignment horizontal="left" vertical="center"/>
    </xf>
    <xf numFmtId="0" fontId="7" fillId="2" borderId="1" xfId="0" applyFont="1" applyFill="1" applyBorder="1" applyAlignment="1">
      <alignment horizontal="left" vertical="center"/>
    </xf>
    <xf numFmtId="0" fontId="7" fillId="2" borderId="0" xfId="0" applyFont="1" applyFill="1" applyBorder="1" applyAlignment="1">
      <alignment horizontal="left" vertical="top" wrapText="1"/>
    </xf>
    <xf numFmtId="0" fontId="4" fillId="2" borderId="2"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0" xfId="0" applyFont="1" applyFill="1" applyBorder="1" applyAlignment="1">
      <alignmen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8" fillId="2" borderId="0" xfId="0" applyFont="1" applyFill="1" applyBorder="1" applyAlignment="1">
      <alignment horizontal="left" vertical="center" wrapText="1"/>
    </xf>
    <xf numFmtId="0" fontId="7" fillId="2" borderId="3" xfId="0" applyFont="1" applyFill="1" applyBorder="1" applyAlignment="1">
      <alignment horizontal="left" vertical="center"/>
    </xf>
    <xf numFmtId="0" fontId="7" fillId="2" borderId="4" xfId="0" applyFont="1" applyFill="1" applyBorder="1" applyAlignment="1">
      <alignment horizontal="left" vertical="center"/>
    </xf>
    <xf numFmtId="0" fontId="1" fillId="2" borderId="10" xfId="0" applyFont="1" applyFill="1" applyBorder="1" applyAlignment="1"/>
    <xf numFmtId="0" fontId="7" fillId="2" borderId="11" xfId="0" applyFont="1" applyFill="1" applyBorder="1" applyAlignment="1"/>
    <xf numFmtId="0" fontId="7" fillId="2" borderId="12" xfId="0" applyFont="1" applyFill="1" applyBorder="1" applyAlignment="1"/>
    <xf numFmtId="0" fontId="7" fillId="2" borderId="13" xfId="0" applyFont="1" applyFill="1" applyBorder="1" applyAlignment="1"/>
    <xf numFmtId="0" fontId="1" fillId="2" borderId="0" xfId="0" applyFont="1" applyFill="1" applyBorder="1" applyAlignment="1"/>
    <xf numFmtId="0" fontId="1" fillId="2" borderId="13" xfId="0" applyFont="1" applyFill="1" applyBorder="1" applyAlignment="1"/>
    <xf numFmtId="0" fontId="8" fillId="2" borderId="13" xfId="0" applyFont="1" applyFill="1" applyBorder="1" applyAlignment="1">
      <alignment vertical="top"/>
    </xf>
    <xf numFmtId="0" fontId="7" fillId="2" borderId="20" xfId="0" applyFont="1" applyFill="1" applyBorder="1" applyAlignment="1">
      <alignment horizontal="left" vertical="top" wrapText="1"/>
    </xf>
    <xf numFmtId="0" fontId="7" fillId="2" borderId="21" xfId="0" applyFont="1" applyFill="1" applyBorder="1" applyAlignment="1">
      <alignment horizontal="left" vertical="top" wrapText="1"/>
    </xf>
    <xf numFmtId="0" fontId="7" fillId="2" borderId="20" xfId="0" applyFont="1" applyFill="1" applyBorder="1" applyAlignment="1"/>
    <xf numFmtId="0" fontId="7" fillId="2" borderId="22" xfId="0" applyFont="1" applyFill="1" applyBorder="1" applyAlignment="1"/>
    <xf numFmtId="0" fontId="7" fillId="2" borderId="21" xfId="0" applyFont="1" applyFill="1" applyBorder="1" applyAlignment="1"/>
    <xf numFmtId="0" fontId="4" fillId="2" borderId="19" xfId="0" applyFont="1" applyFill="1" applyBorder="1" applyAlignment="1">
      <alignment horizontal="center" vertical="center" wrapText="1"/>
    </xf>
    <xf numFmtId="0" fontId="7" fillId="2" borderId="5" xfId="0" applyFont="1" applyFill="1" applyBorder="1" applyAlignment="1"/>
    <xf numFmtId="0" fontId="7" fillId="2" borderId="21" xfId="0" applyFont="1" applyFill="1" applyBorder="1" applyAlignment="1">
      <alignment horizontal="left" vertical="center"/>
    </xf>
    <xf numFmtId="0" fontId="7" fillId="2" borderId="5" xfId="0" applyFont="1" applyFill="1" applyBorder="1" applyAlignment="1">
      <alignment horizontal="left" vertical="center" wrapText="1"/>
    </xf>
    <xf numFmtId="0" fontId="7" fillId="2" borderId="5" xfId="0" applyFont="1" applyFill="1" applyBorder="1" applyAlignment="1">
      <alignment horizontal="left" vertical="center"/>
    </xf>
    <xf numFmtId="0" fontId="7" fillId="2" borderId="14" xfId="0" applyFont="1" applyFill="1" applyBorder="1" applyAlignment="1"/>
    <xf numFmtId="0" fontId="1" fillId="2" borderId="0" xfId="0" applyFont="1" applyFill="1" applyAlignment="1">
      <alignment horizontal="left" vertical="center"/>
    </xf>
    <xf numFmtId="0" fontId="9" fillId="0" borderId="7" xfId="296" applyFont="1" applyFill="1" applyBorder="1" applyAlignment="1">
      <alignment horizontal="left" vertical="center"/>
    </xf>
    <xf numFmtId="0" fontId="1" fillId="0" borderId="8" xfId="296" applyFont="1" applyFill="1" applyBorder="1" applyAlignment="1">
      <alignment horizontal="left" vertical="center"/>
    </xf>
    <xf numFmtId="0" fontId="7" fillId="0" borderId="8" xfId="0" applyFont="1" applyFill="1" applyBorder="1" applyAlignment="1">
      <alignment horizontal="left" vertical="center"/>
    </xf>
    <xf numFmtId="0" fontId="1" fillId="0" borderId="9" xfId="296" applyFont="1" applyFill="1" applyBorder="1" applyAlignment="1">
      <alignment horizontal="left" vertical="center"/>
    </xf>
    <xf numFmtId="0" fontId="9" fillId="0" borderId="0" xfId="296" applyFont="1" applyFill="1" applyBorder="1" applyAlignment="1">
      <alignment horizontal="left" vertical="center" wrapText="1"/>
    </xf>
    <xf numFmtId="0" fontId="10" fillId="2" borderId="0" xfId="296" applyFont="1" applyFill="1" applyAlignment="1">
      <alignment horizontal="left" vertical="center"/>
    </xf>
    <xf numFmtId="0" fontId="1" fillId="0" borderId="0" xfId="296" applyFont="1" applyFill="1" applyBorder="1" applyAlignment="1">
      <alignment horizontal="left" vertical="center"/>
    </xf>
    <xf numFmtId="0" fontId="7" fillId="0" borderId="0" xfId="0" applyFont="1" applyFill="1" applyBorder="1" applyAlignment="1">
      <alignment horizontal="left" vertical="center"/>
    </xf>
    <xf numFmtId="0" fontId="8" fillId="0" borderId="0" xfId="296" applyFont="1" applyFill="1" applyBorder="1" applyAlignment="1">
      <alignment horizontal="left" vertical="center" wrapText="1"/>
    </xf>
    <xf numFmtId="0" fontId="11" fillId="0" borderId="0" xfId="296" applyFont="1" applyFill="1" applyBorder="1" applyAlignment="1">
      <alignment horizontal="left" vertical="center"/>
    </xf>
    <xf numFmtId="0" fontId="10" fillId="0" borderId="0" xfId="296" applyFont="1" applyFill="1" applyBorder="1" applyAlignment="1">
      <alignment horizontal="left" vertical="center" wrapText="1"/>
    </xf>
    <xf numFmtId="0" fontId="7" fillId="0" borderId="9" xfId="296" applyFont="1" applyFill="1" applyBorder="1" applyAlignment="1">
      <alignment horizontal="left" vertical="center"/>
    </xf>
    <xf numFmtId="0" fontId="7" fillId="0" borderId="0" xfId="296" applyFont="1" applyFill="1" applyBorder="1" applyAlignment="1">
      <alignment horizontal="left" vertical="center"/>
    </xf>
    <xf numFmtId="0" fontId="8" fillId="0" borderId="0" xfId="296" applyFont="1" applyFill="1" applyBorder="1" applyAlignment="1">
      <alignment horizontal="left" vertical="center"/>
    </xf>
    <xf numFmtId="0" fontId="4" fillId="0" borderId="0" xfId="296" applyFont="1" applyFill="1" applyBorder="1" applyAlignment="1">
      <alignment horizontal="left" vertical="center"/>
    </xf>
    <xf numFmtId="0" fontId="10" fillId="2" borderId="0" xfId="296" applyFont="1" applyFill="1" applyBorder="1" applyAlignment="1">
      <alignment horizontal="left" vertical="center"/>
    </xf>
    <xf numFmtId="0" fontId="12" fillId="0" borderId="0" xfId="0" applyFont="1" applyBorder="1" applyAlignment="1">
      <alignment horizontal="left" vertical="center"/>
    </xf>
    <xf numFmtId="0" fontId="13" fillId="2" borderId="0" xfId="0" applyFont="1" applyFill="1" applyAlignment="1">
      <alignment horizontal="left" vertical="center"/>
    </xf>
    <xf numFmtId="0" fontId="10" fillId="0" borderId="0" xfId="0" applyFont="1" applyFill="1" applyBorder="1" applyAlignment="1">
      <alignment horizontal="left" vertical="center" wrapText="1"/>
    </xf>
    <xf numFmtId="0" fontId="10" fillId="0" borderId="0" xfId="0" applyFont="1" applyFill="1" applyBorder="1" applyAlignment="1">
      <alignment horizontal="left" vertical="center"/>
    </xf>
    <xf numFmtId="0" fontId="10" fillId="0" borderId="0" xfId="0" applyFont="1" applyBorder="1" applyAlignment="1">
      <alignment horizontal="left" vertical="center"/>
    </xf>
    <xf numFmtId="2" fontId="10" fillId="0" borderId="0" xfId="0" applyNumberFormat="1" applyFont="1" applyFill="1" applyBorder="1" applyAlignment="1">
      <alignment horizontal="left" vertical="center"/>
    </xf>
    <xf numFmtId="177" fontId="12" fillId="0" borderId="0" xfId="0" applyNumberFormat="1" applyFont="1" applyFill="1" applyBorder="1" applyAlignment="1">
      <alignment horizontal="left" vertical="center"/>
    </xf>
    <xf numFmtId="177" fontId="10" fillId="0" borderId="0" xfId="0" applyNumberFormat="1" applyFont="1" applyFill="1" applyBorder="1" applyAlignment="1">
      <alignment horizontal="left" vertical="center"/>
    </xf>
    <xf numFmtId="0" fontId="10" fillId="0" borderId="2" xfId="0" applyFont="1" applyFill="1" applyBorder="1" applyAlignment="1">
      <alignment horizontal="left" vertical="center" wrapText="1"/>
    </xf>
    <xf numFmtId="2" fontId="10" fillId="0" borderId="2" xfId="0" applyNumberFormat="1" applyFont="1" applyFill="1" applyBorder="1" applyAlignment="1">
      <alignment horizontal="center" vertical="center" wrapText="1"/>
    </xf>
    <xf numFmtId="177" fontId="1" fillId="0" borderId="2" xfId="0" applyNumberFormat="1" applyFont="1" applyFill="1" applyBorder="1" applyAlignment="1">
      <alignment horizontal="center" vertical="center" wrapText="1"/>
    </xf>
    <xf numFmtId="178" fontId="10" fillId="0" borderId="2" xfId="0" applyNumberFormat="1" applyFont="1" applyFill="1" applyBorder="1" applyAlignment="1">
      <alignment horizontal="center" vertical="center" wrapText="1"/>
    </xf>
    <xf numFmtId="177" fontId="10" fillId="0" borderId="2" xfId="0" applyNumberFormat="1" applyFont="1" applyFill="1" applyBorder="1" applyAlignment="1">
      <alignment horizontal="center" vertical="center" wrapText="1"/>
    </xf>
    <xf numFmtId="177" fontId="1" fillId="0" borderId="2" xfId="0" applyNumberFormat="1" applyFont="1" applyFill="1" applyBorder="1" applyAlignment="1">
      <alignment horizontal="center" vertical="center"/>
    </xf>
    <xf numFmtId="2" fontId="7" fillId="0" borderId="2" xfId="0" applyNumberFormat="1" applyFont="1" applyFill="1" applyBorder="1" applyAlignment="1">
      <alignment horizontal="center" vertical="center"/>
    </xf>
    <xf numFmtId="0" fontId="10" fillId="0" borderId="0" xfId="0" applyFont="1" applyBorder="1" applyAlignment="1">
      <alignment horizontal="left" vertical="center" wrapText="1"/>
    </xf>
    <xf numFmtId="0" fontId="1" fillId="0" borderId="0" xfId="296" applyFont="1" applyFill="1" applyBorder="1" applyAlignment="1">
      <alignment horizontal="left" vertical="center" wrapText="1"/>
    </xf>
    <xf numFmtId="0" fontId="10" fillId="0" borderId="0" xfId="296" applyFont="1" applyAlignment="1">
      <alignment horizontal="left" vertical="center" wrapText="1"/>
    </xf>
    <xf numFmtId="0" fontId="1" fillId="0" borderId="10" xfId="296" applyFont="1" applyFill="1" applyBorder="1" applyAlignment="1">
      <alignment horizontal="left" vertical="center"/>
    </xf>
    <xf numFmtId="0" fontId="9" fillId="0" borderId="11" xfId="296" applyFont="1" applyFill="1" applyBorder="1" applyAlignment="1">
      <alignment horizontal="left" vertical="center" wrapText="1"/>
    </xf>
    <xf numFmtId="0" fontId="7" fillId="0" borderId="11" xfId="296" applyFont="1" applyFill="1" applyBorder="1" applyAlignment="1">
      <alignment horizontal="left" vertical="center"/>
    </xf>
    <xf numFmtId="0" fontId="7" fillId="0" borderId="11" xfId="296" applyFont="1" applyFill="1" applyBorder="1" applyAlignment="1">
      <alignment horizontal="left" vertical="center" wrapText="1"/>
    </xf>
    <xf numFmtId="0" fontId="7" fillId="0" borderId="11" xfId="0" applyFont="1" applyFill="1" applyBorder="1" applyAlignment="1">
      <alignment horizontal="left" vertical="center"/>
    </xf>
    <xf numFmtId="0" fontId="7" fillId="0" borderId="12" xfId="0" applyFont="1" applyFill="1" applyBorder="1" applyAlignment="1">
      <alignment horizontal="left" vertical="center"/>
    </xf>
    <xf numFmtId="0" fontId="7" fillId="0" borderId="13" xfId="0" applyFont="1" applyFill="1" applyBorder="1" applyAlignment="1">
      <alignment horizontal="left" vertical="center"/>
    </xf>
    <xf numFmtId="2" fontId="1" fillId="2" borderId="0" xfId="0" applyNumberFormat="1" applyFont="1" applyFill="1" applyAlignment="1">
      <alignment horizontal="left" vertical="center"/>
    </xf>
    <xf numFmtId="0" fontId="7" fillId="0" borderId="14" xfId="0" applyFont="1" applyFill="1" applyBorder="1" applyAlignment="1">
      <alignment horizontal="left" vertical="center"/>
    </xf>
    <xf numFmtId="177" fontId="1" fillId="2" borderId="0" xfId="0" applyNumberFormat="1" applyFont="1" applyFill="1" applyAlignment="1">
      <alignment horizontal="left" vertical="center"/>
    </xf>
    <xf numFmtId="0" fontId="10" fillId="0" borderId="0" xfId="0" applyFont="1" applyFill="1" applyAlignment="1">
      <alignment vertical="top"/>
    </xf>
    <xf numFmtId="0" fontId="10" fillId="0" borderId="0" xfId="0" applyFont="1" applyFill="1" applyAlignment="1">
      <alignment wrapText="1"/>
    </xf>
    <xf numFmtId="0" fontId="10" fillId="0" borderId="0" xfId="0" applyFont="1" applyFill="1" applyAlignment="1"/>
    <xf numFmtId="0" fontId="10" fillId="0" borderId="0" xfId="0" applyFont="1" applyFill="1" applyAlignment="1">
      <alignment horizontal="center" vertical="center" wrapText="1"/>
    </xf>
    <xf numFmtId="0" fontId="10" fillId="0" borderId="0" xfId="0" applyFont="1" applyFill="1" applyBorder="1" applyAlignment="1">
      <alignment vertical="top"/>
    </xf>
    <xf numFmtId="0" fontId="10" fillId="0" borderId="8" xfId="0" applyFont="1" applyFill="1" applyBorder="1" applyAlignment="1">
      <alignment vertical="top"/>
    </xf>
    <xf numFmtId="0" fontId="14" fillId="0" borderId="7" xfId="0" applyFont="1" applyFill="1" applyBorder="1" applyAlignment="1">
      <alignment vertical="top"/>
    </xf>
    <xf numFmtId="0" fontId="14" fillId="0" borderId="9" xfId="0" applyFont="1" applyFill="1" applyBorder="1" applyAlignment="1">
      <alignment vertical="top"/>
    </xf>
    <xf numFmtId="0" fontId="12" fillId="0" borderId="0" xfId="0" applyFont="1" applyFill="1" applyBorder="1" applyAlignment="1">
      <alignment vertical="top"/>
    </xf>
    <xf numFmtId="0" fontId="10" fillId="0" borderId="0" xfId="0" applyFont="1" applyFill="1" applyBorder="1" applyAlignment="1">
      <alignment horizontal="left" vertical="top" wrapText="1"/>
    </xf>
    <xf numFmtId="0" fontId="10" fillId="0" borderId="9" xfId="0" applyFont="1" applyFill="1" applyBorder="1" applyAlignment="1">
      <alignment horizontal="right"/>
    </xf>
    <xf numFmtId="0" fontId="10" fillId="0" borderId="1" xfId="0" applyFont="1" applyFill="1" applyBorder="1" applyAlignment="1">
      <alignment horizontal="left" vertical="top" wrapText="1"/>
    </xf>
    <xf numFmtId="0" fontId="10" fillId="0" borderId="9" xfId="0" applyFont="1" applyFill="1" applyBorder="1" applyAlignment="1">
      <alignment vertical="top"/>
    </xf>
    <xf numFmtId="0" fontId="10" fillId="0" borderId="2" xfId="619" applyFont="1" applyFill="1" applyBorder="1" applyAlignment="1">
      <alignment horizontal="center" vertical="center" wrapText="1"/>
    </xf>
    <xf numFmtId="0" fontId="10" fillId="0" borderId="19" xfId="619" applyFont="1" applyFill="1" applyBorder="1" applyAlignment="1">
      <alignment horizontal="center" vertical="center"/>
    </xf>
    <xf numFmtId="0" fontId="10" fillId="0" borderId="2" xfId="619" applyFont="1" applyFill="1" applyBorder="1" applyAlignment="1">
      <alignment horizontal="center" vertical="center"/>
    </xf>
    <xf numFmtId="178" fontId="10" fillId="0" borderId="2" xfId="619" applyNumberFormat="1" applyFont="1" applyFill="1" applyBorder="1" applyAlignment="1">
      <alignment horizontal="center" vertical="center"/>
    </xf>
    <xf numFmtId="179" fontId="10" fillId="0" borderId="2" xfId="619" applyNumberFormat="1" applyFont="1" applyFill="1" applyBorder="1" applyAlignment="1">
      <alignment horizontal="center" vertical="center"/>
    </xf>
    <xf numFmtId="0" fontId="1" fillId="0" borderId="2" xfId="0" applyFont="1" applyFill="1" applyBorder="1" applyAlignment="1">
      <alignment horizontal="center" vertical="center"/>
    </xf>
    <xf numFmtId="180" fontId="10" fillId="0" borderId="2" xfId="619" applyNumberFormat="1" applyFont="1" applyFill="1" applyBorder="1" applyAlignment="1">
      <alignment horizontal="center" vertical="center"/>
    </xf>
    <xf numFmtId="0" fontId="10" fillId="0" borderId="23" xfId="619" applyFont="1" applyFill="1" applyBorder="1" applyAlignment="1">
      <alignment horizontal="center" vertical="center"/>
    </xf>
    <xf numFmtId="178" fontId="1" fillId="0" borderId="2" xfId="0" applyNumberFormat="1" applyFont="1" applyFill="1" applyBorder="1" applyAlignment="1">
      <alignment horizontal="center" vertical="center"/>
    </xf>
    <xf numFmtId="0" fontId="10" fillId="0" borderId="6" xfId="619" applyFont="1" applyFill="1" applyBorder="1" applyAlignment="1">
      <alignment horizontal="center" vertical="center"/>
    </xf>
    <xf numFmtId="0" fontId="15" fillId="0" borderId="0" xfId="0" applyFont="1" applyFill="1" applyBorder="1" applyAlignment="1">
      <alignment vertical="top"/>
    </xf>
    <xf numFmtId="0" fontId="10" fillId="0" borderId="0" xfId="619" applyFont="1" applyFill="1" applyBorder="1" applyAlignment="1">
      <alignment horizontal="center" vertical="center"/>
    </xf>
    <xf numFmtId="181" fontId="10" fillId="0" borderId="0" xfId="619" applyNumberFormat="1" applyFont="1" applyFill="1" applyBorder="1" applyAlignment="1">
      <alignment horizontal="center" vertical="center"/>
    </xf>
    <xf numFmtId="0" fontId="10" fillId="0" borderId="0" xfId="0" applyFont="1" applyFill="1" applyBorder="1" applyAlignment="1">
      <alignment horizontal="center"/>
    </xf>
    <xf numFmtId="180" fontId="10" fillId="0" borderId="0" xfId="619" applyNumberFormat="1" applyFont="1" applyFill="1" applyBorder="1" applyAlignment="1">
      <alignment horizontal="center" vertical="center"/>
    </xf>
    <xf numFmtId="0" fontId="10" fillId="0" borderId="10" xfId="0" applyFont="1" applyFill="1" applyBorder="1" applyAlignment="1">
      <alignment vertical="top" wrapText="1"/>
    </xf>
    <xf numFmtId="0" fontId="12" fillId="0" borderId="11" xfId="279" applyFont="1" applyFill="1" applyBorder="1" applyAlignment="1"/>
    <xf numFmtId="0" fontId="10" fillId="0" borderId="11" xfId="279" applyFont="1" applyFill="1" applyBorder="1" applyAlignment="1">
      <alignment wrapText="1"/>
    </xf>
    <xf numFmtId="0" fontId="10" fillId="0" borderId="8" xfId="0" applyFont="1" applyFill="1" applyBorder="1" applyAlignment="1"/>
    <xf numFmtId="0" fontId="10" fillId="0" borderId="12" xfId="0" applyFont="1" applyFill="1" applyBorder="1" applyAlignment="1"/>
    <xf numFmtId="0" fontId="10" fillId="0" borderId="0" xfId="0" applyFont="1" applyFill="1" applyBorder="1" applyAlignment="1"/>
    <xf numFmtId="0" fontId="10" fillId="0" borderId="13" xfId="0" applyFont="1" applyFill="1" applyBorder="1" applyAlignment="1"/>
    <xf numFmtId="0" fontId="10" fillId="0" borderId="13" xfId="0" applyFont="1" applyFill="1" applyBorder="1" applyAlignment="1">
      <alignment vertical="top"/>
    </xf>
    <xf numFmtId="0" fontId="10" fillId="0" borderId="2" xfId="0" applyFont="1" applyFill="1" applyBorder="1" applyAlignment="1">
      <alignment horizontal="center" vertical="center" wrapText="1"/>
    </xf>
    <xf numFmtId="181" fontId="10" fillId="0" borderId="2" xfId="619" applyNumberFormat="1" applyFont="1" applyFill="1" applyBorder="1" applyAlignment="1">
      <alignment horizontal="center" vertical="center"/>
    </xf>
    <xf numFmtId="178" fontId="10" fillId="0" borderId="0" xfId="619" applyNumberFormat="1" applyFont="1" applyFill="1" applyBorder="1" applyAlignment="1">
      <alignment horizontal="center" vertical="center"/>
    </xf>
    <xf numFmtId="0" fontId="10" fillId="0" borderId="0" xfId="0" applyFont="1" applyFill="1" applyBorder="1" applyAlignment="1">
      <alignment horizontal="center" vertical="center" wrapText="1"/>
    </xf>
    <xf numFmtId="0" fontId="10" fillId="0" borderId="11" xfId="0" applyFont="1" applyFill="1" applyBorder="1" applyAlignment="1">
      <alignment wrapText="1"/>
    </xf>
    <xf numFmtId="0" fontId="10" fillId="0" borderId="14" xfId="0" applyFont="1" applyFill="1" applyBorder="1" applyAlignment="1">
      <alignment wrapText="1"/>
    </xf>
    <xf numFmtId="0" fontId="10" fillId="0" borderId="0" xfId="620" applyFont="1" applyFill="1" applyAlignment="1">
      <alignment horizontal="center" vertical="center"/>
    </xf>
    <xf numFmtId="0" fontId="10" fillId="0" borderId="0" xfId="0" applyFont="1" applyAlignment="1"/>
    <xf numFmtId="0" fontId="10" fillId="0" borderId="0" xfId="0" applyFont="1" applyBorder="1" applyAlignment="1"/>
    <xf numFmtId="0" fontId="15" fillId="0" borderId="0" xfId="0" applyFont="1" applyBorder="1" applyAlignment="1"/>
    <xf numFmtId="0" fontId="15" fillId="0" borderId="7" xfId="0" applyFont="1" applyBorder="1" applyAlignment="1"/>
    <xf numFmtId="14" fontId="10" fillId="0" borderId="8" xfId="0" applyNumberFormat="1" applyFont="1" applyBorder="1" applyAlignment="1"/>
    <xf numFmtId="0" fontId="10" fillId="0" borderId="8" xfId="0" applyFont="1" applyBorder="1" applyAlignment="1"/>
    <xf numFmtId="179" fontId="15" fillId="0" borderId="9" xfId="0" applyNumberFormat="1" applyFont="1" applyBorder="1" applyAlignment="1"/>
    <xf numFmtId="0" fontId="14" fillId="0" borderId="0" xfId="620" applyFont="1" applyFill="1" applyBorder="1" applyAlignment="1">
      <alignment vertical="center"/>
    </xf>
    <xf numFmtId="0" fontId="10" fillId="0" borderId="0" xfId="620" applyFont="1" applyFill="1" applyBorder="1" applyAlignment="1">
      <alignment horizontal="center" vertical="center"/>
    </xf>
    <xf numFmtId="0" fontId="15" fillId="0" borderId="9" xfId="0" applyFont="1" applyBorder="1" applyAlignment="1"/>
    <xf numFmtId="0" fontId="8" fillId="0" borderId="2" xfId="620" applyFont="1" applyFill="1" applyBorder="1" applyAlignment="1">
      <alignment horizontal="center" vertical="center" wrapText="1"/>
    </xf>
    <xf numFmtId="0" fontId="8" fillId="0" borderId="2" xfId="0" applyFont="1" applyFill="1" applyBorder="1" applyAlignment="1">
      <alignment horizontal="center" vertical="center" wrapText="1"/>
    </xf>
    <xf numFmtId="0" fontId="1" fillId="0" borderId="0" xfId="183" applyFont="1" applyFill="1" applyBorder="1" applyAlignment="1">
      <alignment vertical="center"/>
    </xf>
    <xf numFmtId="0" fontId="1" fillId="0" borderId="2" xfId="337" applyFont="1" applyBorder="1" applyAlignment="1">
      <alignment horizontal="center" vertical="center"/>
    </xf>
    <xf numFmtId="0" fontId="1" fillId="0" borderId="2" xfId="337" applyNumberFormat="1" applyFont="1" applyBorder="1" applyAlignment="1">
      <alignment horizontal="center" vertical="center"/>
    </xf>
    <xf numFmtId="0" fontId="10" fillId="0" borderId="2" xfId="0" applyFont="1" applyFill="1" applyBorder="1" applyAlignment="1">
      <alignment horizontal="center" vertical="center"/>
    </xf>
    <xf numFmtId="181" fontId="10" fillId="0" borderId="2" xfId="0" applyNumberFormat="1" applyFont="1" applyFill="1" applyBorder="1" applyAlignment="1">
      <alignment horizontal="center" vertical="center"/>
    </xf>
    <xf numFmtId="0" fontId="10" fillId="0" borderId="0" xfId="620" applyFont="1" applyFill="1" applyBorder="1" applyAlignment="1">
      <alignment horizontal="left" vertical="center"/>
    </xf>
    <xf numFmtId="0" fontId="14" fillId="0" borderId="2" xfId="620" applyFont="1" applyFill="1" applyBorder="1" applyAlignment="1">
      <alignment horizontal="center" vertical="center"/>
    </xf>
    <xf numFmtId="0" fontId="14" fillId="0" borderId="2" xfId="0" applyFont="1" applyFill="1" applyBorder="1" applyAlignment="1">
      <alignment horizontal="center" vertical="center" wrapText="1"/>
    </xf>
    <xf numFmtId="0" fontId="10" fillId="0" borderId="2" xfId="0" applyFont="1" applyBorder="1" applyAlignment="1">
      <alignment horizontal="center" vertical="center"/>
    </xf>
    <xf numFmtId="0" fontId="12" fillId="0" borderId="2" xfId="0" applyFont="1" applyBorder="1" applyAlignment="1">
      <alignment horizontal="center" vertical="center"/>
    </xf>
    <xf numFmtId="0" fontId="10" fillId="0" borderId="0" xfId="0" applyFont="1" applyBorder="1" applyAlignment="1">
      <alignment horizontal="center" vertical="center"/>
    </xf>
    <xf numFmtId="0" fontId="10" fillId="0" borderId="9" xfId="620" applyFont="1" applyFill="1" applyBorder="1" applyAlignment="1">
      <alignment horizontal="center" vertical="center"/>
    </xf>
    <xf numFmtId="0" fontId="10" fillId="0" borderId="0" xfId="620" applyFont="1" applyFill="1" applyBorder="1" applyAlignment="1">
      <alignment horizontal="left" vertical="center" wrapText="1"/>
    </xf>
    <xf numFmtId="0" fontId="10" fillId="0" borderId="10" xfId="620" applyFont="1" applyFill="1" applyBorder="1" applyAlignment="1">
      <alignment horizontal="center" vertical="center"/>
    </xf>
    <xf numFmtId="0" fontId="10" fillId="0" borderId="11" xfId="620" applyFont="1" applyFill="1" applyBorder="1" applyAlignment="1">
      <alignment horizontal="center" vertical="center"/>
    </xf>
    <xf numFmtId="0" fontId="1" fillId="0" borderId="0" xfId="0" applyFont="1" applyAlignment="1">
      <alignment horizontal="left" vertical="center"/>
    </xf>
    <xf numFmtId="0" fontId="1" fillId="0" borderId="0" xfId="0" applyFont="1" applyFill="1" applyAlignment="1">
      <alignment vertical="center"/>
    </xf>
    <xf numFmtId="0" fontId="10" fillId="0" borderId="8" xfId="620" applyFont="1" applyFill="1" applyBorder="1" applyAlignment="1">
      <alignment horizontal="center" vertical="center"/>
    </xf>
    <xf numFmtId="0" fontId="10" fillId="0" borderId="12" xfId="620" applyFont="1" applyFill="1" applyBorder="1" applyAlignment="1">
      <alignment horizontal="center" vertical="center"/>
    </xf>
    <xf numFmtId="0" fontId="10" fillId="0" borderId="13" xfId="620" applyFont="1" applyFill="1" applyBorder="1" applyAlignment="1">
      <alignment horizontal="center" vertical="center"/>
    </xf>
    <xf numFmtId="11" fontId="1" fillId="0" borderId="13" xfId="183" applyNumberFormat="1" applyFont="1" applyFill="1" applyBorder="1" applyAlignment="1">
      <alignment vertical="center"/>
    </xf>
    <xf numFmtId="182" fontId="1" fillId="0" borderId="0" xfId="183" applyNumberFormat="1" applyFont="1" applyFill="1" applyBorder="1" applyAlignment="1">
      <alignment vertical="center"/>
    </xf>
    <xf numFmtId="0" fontId="1" fillId="0" borderId="0" xfId="0" applyFont="1" applyBorder="1" applyAlignment="1">
      <alignment horizontal="center" vertical="center"/>
    </xf>
    <xf numFmtId="1" fontId="1" fillId="0" borderId="0" xfId="183" applyNumberFormat="1" applyFont="1" applyFill="1" applyBorder="1" applyAlignment="1">
      <alignment vertical="center"/>
    </xf>
    <xf numFmtId="2" fontId="1" fillId="0" borderId="0" xfId="183" applyNumberFormat="1" applyFont="1" applyFill="1" applyBorder="1" applyAlignment="1">
      <alignment vertical="center"/>
    </xf>
    <xf numFmtId="177" fontId="1" fillId="0" borderId="0" xfId="183" applyNumberFormat="1" applyFont="1" applyFill="1" applyBorder="1" applyAlignment="1">
      <alignment vertical="center"/>
    </xf>
    <xf numFmtId="0" fontId="10" fillId="0" borderId="2" xfId="620" applyFont="1" applyFill="1" applyBorder="1" applyAlignment="1">
      <alignment horizontal="center" vertical="center"/>
    </xf>
    <xf numFmtId="0" fontId="10" fillId="0" borderId="14" xfId="620" applyFont="1" applyFill="1" applyBorder="1" applyAlignment="1">
      <alignment horizontal="center" vertical="center"/>
    </xf>
    <xf numFmtId="2" fontId="10" fillId="0" borderId="0" xfId="620" applyNumberFormat="1" applyFont="1" applyFill="1" applyAlignment="1">
      <alignment horizontal="center" vertical="center"/>
    </xf>
    <xf numFmtId="177" fontId="10" fillId="0" borderId="0" xfId="620" applyNumberFormat="1" applyFont="1" applyFill="1" applyAlignment="1">
      <alignment horizontal="center" vertical="center"/>
    </xf>
    <xf numFmtId="0" fontId="14" fillId="0" borderId="0" xfId="0" applyFont="1" applyFill="1" applyBorder="1" applyAlignment="1">
      <alignment horizontal="left" vertical="center"/>
    </xf>
    <xf numFmtId="0" fontId="10" fillId="0" borderId="9" xfId="0" applyFont="1" applyBorder="1" applyAlignment="1">
      <alignment horizontal="left"/>
    </xf>
    <xf numFmtId="0" fontId="10" fillId="0" borderId="0" xfId="0" applyFont="1" applyBorder="1" applyAlignment="1">
      <alignment horizontal="left"/>
    </xf>
    <xf numFmtId="49" fontId="10" fillId="0" borderId="0" xfId="0" applyNumberFormat="1" applyFont="1" applyBorder="1" applyAlignment="1">
      <alignment horizontal="left"/>
    </xf>
    <xf numFmtId="179" fontId="10" fillId="0" borderId="0" xfId="0" applyNumberFormat="1" applyFont="1" applyBorder="1" applyAlignment="1">
      <alignment horizontal="left"/>
    </xf>
    <xf numFmtId="0" fontId="10" fillId="0" borderId="0" xfId="0" applyNumberFormat="1" applyFont="1" applyBorder="1" applyAlignment="1">
      <alignment horizontal="left"/>
    </xf>
    <xf numFmtId="0" fontId="1" fillId="0" borderId="0" xfId="337" applyFont="1" applyBorder="1" applyAlignment="1">
      <alignment horizontal="left" vertical="center"/>
    </xf>
    <xf numFmtId="0" fontId="1" fillId="0" borderId="0" xfId="337" applyFont="1" applyBorder="1" applyAlignment="1">
      <alignment horizontal="center" vertical="center"/>
    </xf>
    <xf numFmtId="0" fontId="1" fillId="0" borderId="0" xfId="337" applyNumberFormat="1" applyFont="1" applyBorder="1" applyAlignment="1">
      <alignment horizontal="center" vertical="center"/>
    </xf>
    <xf numFmtId="0" fontId="1" fillId="0" borderId="7" xfId="337" applyFont="1" applyBorder="1" applyAlignment="1">
      <alignment horizontal="left" vertical="center"/>
    </xf>
    <xf numFmtId="0" fontId="1" fillId="0" borderId="8" xfId="337" applyFont="1" applyBorder="1" applyAlignment="1">
      <alignment horizontal="left" vertical="center"/>
    </xf>
    <xf numFmtId="0" fontId="1" fillId="0" borderId="8" xfId="337" applyFont="1" applyBorder="1" applyAlignment="1">
      <alignment horizontal="center" vertical="center"/>
    </xf>
    <xf numFmtId="0" fontId="1" fillId="0" borderId="8" xfId="337" applyNumberFormat="1" applyFont="1" applyBorder="1" applyAlignment="1">
      <alignment horizontal="center" vertical="center"/>
    </xf>
    <xf numFmtId="0" fontId="10" fillId="0" borderId="8" xfId="0" applyFont="1" applyFill="1" applyBorder="1" applyAlignment="1">
      <alignment horizontal="left" vertical="center"/>
    </xf>
    <xf numFmtId="0" fontId="1" fillId="0" borderId="9" xfId="337" applyFont="1" applyBorder="1" applyAlignment="1">
      <alignment horizontal="left" vertical="center"/>
    </xf>
    <xf numFmtId="0" fontId="1" fillId="0" borderId="9" xfId="0" applyFont="1" applyBorder="1" applyAlignment="1">
      <alignment horizontal="left" vertical="center"/>
    </xf>
    <xf numFmtId="0" fontId="1" fillId="0" borderId="0" xfId="0" applyFont="1" applyBorder="1" applyAlignment="1">
      <alignment horizontal="left" vertical="center"/>
    </xf>
    <xf numFmtId="49" fontId="1" fillId="0" borderId="0" xfId="0" applyNumberFormat="1" applyFont="1" applyBorder="1" applyAlignment="1">
      <alignment horizontal="center" vertical="center"/>
    </xf>
    <xf numFmtId="0" fontId="1" fillId="0" borderId="0" xfId="0" applyNumberFormat="1" applyFont="1" applyBorder="1" applyAlignment="1">
      <alignment horizontal="center" vertical="center"/>
    </xf>
    <xf numFmtId="183" fontId="1" fillId="0" borderId="0" xfId="337" applyNumberFormat="1" applyFont="1" applyBorder="1" applyAlignment="1">
      <alignment horizontal="left" vertical="center"/>
    </xf>
    <xf numFmtId="184" fontId="1" fillId="0" borderId="0" xfId="337" applyNumberFormat="1" applyFont="1" applyBorder="1" applyAlignment="1">
      <alignment horizontal="left" vertical="center"/>
    </xf>
    <xf numFmtId="11" fontId="1" fillId="0" borderId="0" xfId="337" applyNumberFormat="1" applyFont="1" applyBorder="1" applyAlignment="1">
      <alignment horizontal="left" vertical="center"/>
    </xf>
    <xf numFmtId="0" fontId="2" fillId="0" borderId="9" xfId="337" applyFont="1" applyBorder="1" applyAlignment="1">
      <alignment horizontal="left" vertical="center"/>
    </xf>
    <xf numFmtId="0" fontId="2" fillId="0" borderId="0" xfId="337" applyFont="1" applyBorder="1" applyAlignment="1">
      <alignment horizontal="left" vertical="center"/>
    </xf>
    <xf numFmtId="0" fontId="2" fillId="0" borderId="0" xfId="337" applyFont="1" applyBorder="1" applyAlignment="1">
      <alignment horizontal="left" vertical="center" wrapText="1"/>
    </xf>
    <xf numFmtId="0" fontId="2" fillId="0" borderId="0" xfId="337" applyNumberFormat="1" applyFont="1" applyBorder="1" applyAlignment="1">
      <alignment horizontal="left" vertical="center" wrapText="1"/>
    </xf>
    <xf numFmtId="0" fontId="14" fillId="0" borderId="0" xfId="0" applyFont="1" applyFill="1" applyBorder="1" applyAlignment="1">
      <alignment horizontal="left" vertical="center" wrapText="1"/>
    </xf>
    <xf numFmtId="0" fontId="1" fillId="0" borderId="0" xfId="337" applyNumberFormat="1" applyFont="1" applyBorder="1" applyAlignment="1">
      <alignment horizontal="left" vertical="center"/>
    </xf>
    <xf numFmtId="181" fontId="1" fillId="0" borderId="0" xfId="337" applyNumberFormat="1" applyFont="1" applyBorder="1" applyAlignment="1">
      <alignment horizontal="left" vertical="center"/>
    </xf>
    <xf numFmtId="178" fontId="1" fillId="0" borderId="0" xfId="337" applyNumberFormat="1" applyFont="1" applyBorder="1" applyAlignment="1">
      <alignment horizontal="left" vertical="center"/>
    </xf>
    <xf numFmtId="0" fontId="10" fillId="0" borderId="12" xfId="0" applyFont="1" applyFill="1" applyBorder="1" applyAlignment="1">
      <alignment horizontal="left" vertical="center"/>
    </xf>
    <xf numFmtId="0" fontId="10" fillId="0" borderId="13" xfId="0" applyFont="1" applyFill="1" applyBorder="1" applyAlignment="1">
      <alignment horizontal="left" vertical="center"/>
    </xf>
    <xf numFmtId="0" fontId="14" fillId="0" borderId="13" xfId="0" applyFont="1" applyFill="1" applyBorder="1" applyAlignment="1">
      <alignment horizontal="left" vertical="center" wrapText="1"/>
    </xf>
    <xf numFmtId="181" fontId="10" fillId="0" borderId="0" xfId="0" applyNumberFormat="1" applyFont="1" applyFill="1" applyBorder="1" applyAlignment="1">
      <alignment horizontal="left" vertical="center"/>
    </xf>
    <xf numFmtId="176" fontId="1" fillId="0" borderId="0" xfId="337" applyNumberFormat="1" applyFont="1" applyBorder="1" applyAlignment="1">
      <alignment horizontal="left" vertical="center"/>
    </xf>
    <xf numFmtId="49" fontId="1" fillId="0" borderId="0" xfId="0" applyNumberFormat="1" applyFont="1" applyBorder="1" applyAlignment="1">
      <alignment horizontal="left" vertical="center"/>
    </xf>
    <xf numFmtId="0" fontId="1" fillId="0" borderId="0" xfId="0" applyNumberFormat="1" applyFont="1" applyBorder="1" applyAlignment="1">
      <alignment horizontal="left" vertical="center"/>
    </xf>
    <xf numFmtId="0" fontId="14" fillId="0" borderId="7" xfId="278" applyFont="1" applyFill="1" applyBorder="1" applyAlignment="1">
      <alignment horizontal="left" vertical="top"/>
    </xf>
    <xf numFmtId="0" fontId="10" fillId="0" borderId="8" xfId="621" applyFont="1" applyFill="1" applyBorder="1" applyAlignment="1">
      <alignment horizontal="left" vertical="center"/>
    </xf>
    <xf numFmtId="179" fontId="10" fillId="0" borderId="8" xfId="621" applyNumberFormat="1" applyFont="1" applyFill="1" applyBorder="1" applyAlignment="1">
      <alignment horizontal="left" vertical="center"/>
    </xf>
    <xf numFmtId="49" fontId="10" fillId="0" borderId="8" xfId="621" applyNumberFormat="1" applyFont="1" applyFill="1" applyBorder="1" applyAlignment="1">
      <alignment horizontal="left" vertical="center"/>
    </xf>
    <xf numFmtId="11" fontId="10" fillId="0" borderId="12" xfId="621" applyNumberFormat="1" applyFont="1" applyFill="1" applyBorder="1" applyAlignment="1">
      <alignment horizontal="left" vertical="center"/>
    </xf>
    <xf numFmtId="0" fontId="10" fillId="0" borderId="9" xfId="621" applyFont="1" applyFill="1" applyBorder="1" applyAlignment="1">
      <alignment horizontal="left" vertical="center"/>
    </xf>
    <xf numFmtId="11" fontId="10" fillId="0" borderId="0" xfId="621" applyNumberFormat="1" applyFont="1" applyFill="1" applyBorder="1" applyAlignment="1">
      <alignment horizontal="left" vertical="center"/>
    </xf>
    <xf numFmtId="11" fontId="10" fillId="0" borderId="13" xfId="621" applyNumberFormat="1" applyFont="1" applyFill="1" applyBorder="1" applyAlignment="1">
      <alignment horizontal="left" vertical="center"/>
    </xf>
    <xf numFmtId="0" fontId="14" fillId="0" borderId="9" xfId="621" applyFont="1" applyFill="1" applyBorder="1" applyAlignment="1">
      <alignment horizontal="left" vertical="center"/>
    </xf>
    <xf numFmtId="181" fontId="14" fillId="0" borderId="0" xfId="621" applyNumberFormat="1" applyFont="1" applyFill="1" applyBorder="1" applyAlignment="1">
      <alignment horizontal="left" vertical="center"/>
    </xf>
    <xf numFmtId="49" fontId="14" fillId="0" borderId="0" xfId="621" applyNumberFormat="1" applyFont="1" applyFill="1" applyBorder="1" applyAlignment="1">
      <alignment horizontal="left" vertical="center"/>
    </xf>
    <xf numFmtId="11" fontId="14" fillId="0" borderId="13" xfId="621" applyNumberFormat="1" applyFont="1" applyFill="1" applyBorder="1" applyAlignment="1">
      <alignment horizontal="left" vertical="center"/>
    </xf>
    <xf numFmtId="0" fontId="10" fillId="0" borderId="10" xfId="0" applyFont="1" applyBorder="1" applyAlignment="1">
      <alignment horizontal="left"/>
    </xf>
    <xf numFmtId="0" fontId="10" fillId="0" borderId="11" xfId="0" applyFont="1" applyBorder="1" applyAlignment="1">
      <alignment horizontal="left"/>
    </xf>
    <xf numFmtId="49" fontId="10" fillId="0" borderId="11" xfId="0" applyNumberFormat="1" applyFont="1" applyBorder="1" applyAlignment="1">
      <alignment horizontal="left"/>
    </xf>
    <xf numFmtId="179" fontId="10" fillId="0" borderId="14" xfId="0" applyNumberFormat="1" applyFont="1" applyBorder="1" applyAlignment="1">
      <alignment horizontal="left"/>
    </xf>
    <xf numFmtId="0" fontId="10" fillId="0" borderId="13" xfId="0" applyFont="1" applyBorder="1" applyAlignment="1">
      <alignment horizontal="left"/>
    </xf>
    <xf numFmtId="179" fontId="10" fillId="0" borderId="11" xfId="0" applyNumberFormat="1" applyFont="1" applyBorder="1" applyAlignment="1">
      <alignment horizontal="left"/>
    </xf>
    <xf numFmtId="0" fontId="10" fillId="0" borderId="11" xfId="0" applyNumberFormat="1" applyFont="1" applyBorder="1" applyAlignment="1">
      <alignment horizontal="left"/>
    </xf>
    <xf numFmtId="0" fontId="10" fillId="0" borderId="14" xfId="0" applyFont="1" applyBorder="1" applyAlignment="1">
      <alignment horizontal="left"/>
    </xf>
    <xf numFmtId="0" fontId="14" fillId="0" borderId="0" xfId="0" applyFont="1" applyFill="1" applyBorder="1" applyAlignment="1">
      <alignment horizontal="center" vertical="center" wrapText="1"/>
    </xf>
    <xf numFmtId="0" fontId="10" fillId="0" borderId="0" xfId="0" applyFont="1" applyFill="1" applyBorder="1" applyAlignment="1">
      <alignment horizontal="center" vertical="center"/>
    </xf>
    <xf numFmtId="0" fontId="14" fillId="0" borderId="0" xfId="0" applyFont="1" applyFill="1" applyBorder="1" applyAlignment="1">
      <alignment horizontal="right" vertical="center"/>
    </xf>
    <xf numFmtId="0" fontId="14" fillId="0" borderId="0" xfId="0" applyFont="1" applyFill="1" applyBorder="1" applyAlignment="1">
      <alignment vertical="center"/>
    </xf>
    <xf numFmtId="0" fontId="14" fillId="0" borderId="7"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0" fillId="0" borderId="0" xfId="336" applyFont="1" applyFill="1" applyBorder="1" applyAlignment="1">
      <alignment horizontal="center" vertical="center"/>
    </xf>
    <xf numFmtId="0" fontId="14" fillId="0" borderId="10" xfId="0" applyFont="1" applyFill="1" applyBorder="1" applyAlignment="1">
      <alignment horizontal="center" vertical="center" wrapText="1"/>
    </xf>
    <xf numFmtId="0" fontId="10" fillId="0" borderId="11" xfId="336" applyFont="1" applyFill="1" applyBorder="1" applyAlignment="1">
      <alignment horizontal="center" vertical="center"/>
    </xf>
    <xf numFmtId="0" fontId="10" fillId="0" borderId="11" xfId="0" applyFont="1" applyFill="1" applyBorder="1" applyAlignment="1">
      <alignment horizontal="center" vertical="center"/>
    </xf>
    <xf numFmtId="0" fontId="14" fillId="0" borderId="12" xfId="0" applyFont="1" applyFill="1" applyBorder="1" applyAlignment="1">
      <alignment horizontal="center" vertical="center" wrapText="1"/>
    </xf>
    <xf numFmtId="0" fontId="10" fillId="0" borderId="13" xfId="0" applyFont="1" applyFill="1" applyBorder="1" applyAlignment="1">
      <alignment horizontal="center" vertical="center"/>
    </xf>
    <xf numFmtId="0" fontId="10" fillId="0" borderId="14" xfId="0" applyFont="1" applyFill="1" applyBorder="1" applyAlignment="1">
      <alignment horizontal="center" vertical="center"/>
    </xf>
    <xf numFmtId="0" fontId="14" fillId="0" borderId="13" xfId="0" applyFont="1" applyFill="1" applyBorder="1" applyAlignment="1">
      <alignment horizontal="center" vertical="center" wrapText="1"/>
    </xf>
    <xf numFmtId="0" fontId="14" fillId="0" borderId="0" xfId="336" applyFont="1" applyFill="1" applyBorder="1" applyAlignment="1">
      <alignment horizontal="center" vertical="center" wrapText="1"/>
    </xf>
    <xf numFmtId="0" fontId="14" fillId="0" borderId="0" xfId="0" applyFont="1" applyFill="1" applyAlignment="1">
      <alignment horizontal="center" vertical="center" wrapText="1"/>
    </xf>
    <xf numFmtId="0" fontId="10" fillId="0" borderId="0" xfId="0" applyFont="1" applyFill="1" applyAlignment="1">
      <alignment horizontal="center" vertical="center"/>
    </xf>
    <xf numFmtId="0" fontId="10" fillId="2" borderId="0" xfId="542" applyFont="1" applyFill="1" applyAlignment="1">
      <alignment vertical="center"/>
    </xf>
    <xf numFmtId="0" fontId="10" fillId="2" borderId="0" xfId="542" applyFont="1" applyFill="1"/>
    <xf numFmtId="0" fontId="16" fillId="2" borderId="11" xfId="542" applyFont="1" applyFill="1" applyBorder="1" applyAlignment="1">
      <alignment horizontal="right" vertical="center"/>
    </xf>
    <xf numFmtId="0" fontId="14" fillId="2" borderId="7" xfId="542" applyFont="1" applyFill="1" applyBorder="1" applyAlignment="1">
      <alignment vertical="center"/>
    </xf>
    <xf numFmtId="0" fontId="10" fillId="2" borderId="8" xfId="542" applyFont="1" applyFill="1" applyBorder="1" applyAlignment="1">
      <alignment vertical="center"/>
    </xf>
    <xf numFmtId="0" fontId="10" fillId="2" borderId="9" xfId="542" applyFont="1" applyFill="1" applyBorder="1" applyAlignment="1">
      <alignment vertical="center"/>
    </xf>
    <xf numFmtId="0" fontId="17" fillId="2" borderId="0" xfId="0" applyFont="1" applyFill="1" applyBorder="1" applyAlignment="1">
      <alignment horizontal="center"/>
    </xf>
    <xf numFmtId="0" fontId="18" fillId="2" borderId="0" xfId="0" applyFont="1" applyFill="1" applyBorder="1" applyAlignment="1">
      <alignment horizontal="center"/>
    </xf>
    <xf numFmtId="0" fontId="10" fillId="2" borderId="0" xfId="542" applyFont="1" applyFill="1" applyBorder="1" applyAlignment="1">
      <alignment vertical="center"/>
    </xf>
    <xf numFmtId="0" fontId="14" fillId="2" borderId="3" xfId="623" applyFont="1" applyFill="1" applyBorder="1" applyAlignment="1">
      <alignment horizontal="center" vertical="center"/>
    </xf>
    <xf numFmtId="0" fontId="14" fillId="2" borderId="4" xfId="623" applyFont="1" applyFill="1" applyBorder="1" applyAlignment="1">
      <alignment horizontal="center" vertical="center"/>
    </xf>
    <xf numFmtId="0" fontId="14" fillId="2" borderId="5" xfId="623" applyFont="1" applyFill="1" applyBorder="1" applyAlignment="1">
      <alignment horizontal="center" vertical="center"/>
    </xf>
    <xf numFmtId="181" fontId="14" fillId="2" borderId="3" xfId="186" applyNumberFormat="1" applyFont="1" applyFill="1" applyBorder="1" applyAlignment="1">
      <alignment horizontal="center" vertical="center"/>
    </xf>
    <xf numFmtId="181" fontId="14" fillId="2" borderId="4" xfId="186" applyNumberFormat="1" applyFont="1" applyFill="1" applyBorder="1" applyAlignment="1">
      <alignment horizontal="center" vertical="center"/>
    </xf>
    <xf numFmtId="181" fontId="14" fillId="2" borderId="5" xfId="186" applyNumberFormat="1" applyFont="1" applyFill="1" applyBorder="1" applyAlignment="1">
      <alignment horizontal="center" vertical="center"/>
    </xf>
    <xf numFmtId="0" fontId="14" fillId="2" borderId="19" xfId="186" applyFont="1" applyFill="1" applyBorder="1" applyAlignment="1">
      <alignment horizontal="center" vertical="center"/>
    </xf>
    <xf numFmtId="0" fontId="14" fillId="2" borderId="15" xfId="186" applyFont="1" applyFill="1" applyBorder="1" applyAlignment="1">
      <alignment horizontal="center" vertical="center"/>
    </xf>
    <xf numFmtId="0" fontId="14" fillId="2" borderId="16" xfId="186" applyFont="1" applyFill="1" applyBorder="1" applyAlignment="1">
      <alignment horizontal="center" vertical="center"/>
    </xf>
    <xf numFmtId="0" fontId="14" fillId="2" borderId="20" xfId="186" applyFont="1" applyFill="1" applyBorder="1" applyAlignment="1">
      <alignment horizontal="center" vertical="center"/>
    </xf>
    <xf numFmtId="0" fontId="14" fillId="0" borderId="15" xfId="186" applyFont="1" applyFill="1" applyBorder="1" applyAlignment="1">
      <alignment horizontal="center" vertical="center"/>
    </xf>
    <xf numFmtId="0" fontId="14" fillId="0" borderId="20" xfId="186" applyFont="1" applyFill="1" applyBorder="1" applyAlignment="1">
      <alignment horizontal="center" vertical="center"/>
    </xf>
    <xf numFmtId="185" fontId="10" fillId="2" borderId="15" xfId="624" applyNumberFormat="1" applyFont="1" applyFill="1" applyBorder="1" applyAlignment="1">
      <alignment horizontal="center" vertical="center"/>
    </xf>
    <xf numFmtId="0" fontId="1" fillId="0" borderId="15" xfId="0" applyNumberFormat="1" applyFont="1" applyFill="1" applyBorder="1" applyAlignment="1">
      <alignment horizontal="center" vertical="center"/>
    </xf>
    <xf numFmtId="0" fontId="1" fillId="0" borderId="16" xfId="0" applyNumberFormat="1" applyFont="1" applyFill="1" applyBorder="1" applyAlignment="1">
      <alignment horizontal="center" vertical="center"/>
    </xf>
    <xf numFmtId="176" fontId="10" fillId="0" borderId="15" xfId="186" applyNumberFormat="1" applyFont="1" applyFill="1" applyBorder="1" applyAlignment="1">
      <alignment horizontal="center" vertical="center"/>
    </xf>
    <xf numFmtId="178" fontId="10" fillId="0" borderId="19" xfId="186" applyNumberFormat="1" applyFont="1" applyFill="1" applyBorder="1" applyAlignment="1">
      <alignment horizontal="center" vertical="center"/>
    </xf>
    <xf numFmtId="180" fontId="10" fillId="2" borderId="18" xfId="624" applyNumberFormat="1" applyFont="1" applyFill="1" applyBorder="1" applyAlignment="1">
      <alignment horizontal="center" vertical="center"/>
    </xf>
    <xf numFmtId="0" fontId="1" fillId="0" borderId="18"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178" fontId="10" fillId="0" borderId="18" xfId="186" applyNumberFormat="1" applyFont="1" applyFill="1" applyBorder="1" applyAlignment="1">
      <alignment horizontal="center" vertical="center"/>
    </xf>
    <xf numFmtId="178" fontId="10" fillId="0" borderId="23" xfId="186" applyNumberFormat="1" applyFont="1" applyFill="1" applyBorder="1" applyAlignment="1">
      <alignment horizontal="center" vertical="center"/>
    </xf>
    <xf numFmtId="181" fontId="10" fillId="2" borderId="18" xfId="624" applyNumberFormat="1" applyFont="1" applyFill="1" applyBorder="1" applyAlignment="1">
      <alignment horizontal="center" vertical="center"/>
    </xf>
    <xf numFmtId="178" fontId="1" fillId="0" borderId="18" xfId="0" applyNumberFormat="1" applyFont="1" applyFill="1" applyBorder="1" applyAlignment="1">
      <alignment horizontal="center" vertical="center"/>
    </xf>
    <xf numFmtId="181" fontId="10" fillId="0" borderId="23" xfId="186" applyNumberFormat="1" applyFont="1" applyFill="1" applyBorder="1" applyAlignment="1">
      <alignment horizontal="center" vertical="center"/>
    </xf>
    <xf numFmtId="178" fontId="10" fillId="2" borderId="18" xfId="624" applyNumberFormat="1" applyFont="1" applyFill="1" applyBorder="1" applyAlignment="1">
      <alignment horizontal="center" vertical="center"/>
    </xf>
    <xf numFmtId="181" fontId="1" fillId="0" borderId="0" xfId="0" applyNumberFormat="1" applyFont="1" applyFill="1" applyBorder="1" applyAlignment="1">
      <alignment horizontal="center" vertical="center"/>
    </xf>
    <xf numFmtId="181" fontId="10" fillId="0" borderId="18" xfId="186" applyNumberFormat="1" applyFont="1" applyFill="1" applyBorder="1" applyAlignment="1">
      <alignment horizontal="center" vertical="center"/>
    </xf>
    <xf numFmtId="176" fontId="10" fillId="2" borderId="18" xfId="624"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176" fontId="10" fillId="0" borderId="18" xfId="186" applyNumberFormat="1" applyFont="1" applyFill="1" applyBorder="1" applyAlignment="1">
      <alignment horizontal="center" vertical="center"/>
    </xf>
    <xf numFmtId="176" fontId="1" fillId="0" borderId="18" xfId="0" applyNumberFormat="1" applyFont="1" applyFill="1" applyBorder="1" applyAlignment="1">
      <alignment horizontal="center" vertical="center"/>
    </xf>
    <xf numFmtId="176" fontId="10" fillId="2" borderId="18" xfId="623" applyNumberFormat="1" applyFont="1" applyFill="1" applyBorder="1" applyAlignment="1">
      <alignment horizontal="center" vertical="center"/>
    </xf>
    <xf numFmtId="176" fontId="10" fillId="2" borderId="17" xfId="623" applyNumberFormat="1" applyFont="1" applyFill="1" applyBorder="1" applyAlignment="1">
      <alignment horizontal="center" vertical="center"/>
    </xf>
    <xf numFmtId="0" fontId="1" fillId="0" borderId="17" xfId="0" applyNumberFormat="1" applyFont="1" applyFill="1" applyBorder="1" applyAlignment="1">
      <alignment horizontal="center" vertical="center"/>
    </xf>
    <xf numFmtId="178" fontId="1" fillId="0" borderId="1" xfId="0" applyNumberFormat="1" applyFont="1" applyFill="1" applyBorder="1" applyAlignment="1">
      <alignment horizontal="center" vertical="center"/>
    </xf>
    <xf numFmtId="181" fontId="1" fillId="0" borderId="1" xfId="0" applyNumberFormat="1" applyFont="1" applyFill="1" applyBorder="1" applyAlignment="1">
      <alignment horizontal="center" vertical="center"/>
    </xf>
    <xf numFmtId="178" fontId="10" fillId="0" borderId="17" xfId="186" applyNumberFormat="1" applyFont="1" applyFill="1" applyBorder="1" applyAlignment="1">
      <alignment horizontal="center" vertical="center"/>
    </xf>
    <xf numFmtId="181" fontId="10" fillId="0" borderId="6" xfId="186" applyNumberFormat="1" applyFont="1" applyFill="1" applyBorder="1" applyAlignment="1">
      <alignment horizontal="center" vertical="center"/>
    </xf>
    <xf numFmtId="181" fontId="10" fillId="2" borderId="0" xfId="623" applyNumberFormat="1" applyFont="1" applyFill="1" applyBorder="1" applyAlignment="1">
      <alignment horizontal="center" vertical="center"/>
    </xf>
    <xf numFmtId="180" fontId="10" fillId="2" borderId="0" xfId="187" applyNumberFormat="1" applyFont="1" applyFill="1" applyBorder="1" applyAlignment="1">
      <alignment horizontal="center" vertical="center"/>
    </xf>
    <xf numFmtId="176" fontId="14" fillId="2" borderId="0" xfId="186" applyNumberFormat="1" applyFont="1" applyFill="1" applyBorder="1" applyAlignment="1">
      <alignment horizontal="center" vertical="center"/>
    </xf>
    <xf numFmtId="1" fontId="14" fillId="2" borderId="0" xfId="186" applyNumberFormat="1" applyFont="1" applyFill="1" applyBorder="1" applyAlignment="1">
      <alignment horizontal="center" vertical="center"/>
    </xf>
    <xf numFmtId="2" fontId="10" fillId="2" borderId="0" xfId="542" applyNumberFormat="1" applyFont="1" applyFill="1" applyBorder="1" applyAlignment="1">
      <alignment vertical="center"/>
    </xf>
    <xf numFmtId="177" fontId="10" fillId="2" borderId="0" xfId="542" applyNumberFormat="1" applyFont="1" applyFill="1" applyBorder="1" applyAlignment="1">
      <alignment vertical="center"/>
    </xf>
    <xf numFmtId="176" fontId="10" fillId="2" borderId="0" xfId="623" applyNumberFormat="1" applyFont="1" applyFill="1" applyBorder="1" applyAlignment="1">
      <alignment horizontal="center" vertical="center"/>
    </xf>
    <xf numFmtId="181" fontId="14" fillId="2" borderId="0" xfId="186" applyNumberFormat="1" applyFont="1" applyFill="1" applyBorder="1" applyAlignment="1">
      <alignment horizontal="center" vertical="center"/>
    </xf>
    <xf numFmtId="0" fontId="10" fillId="2" borderId="10" xfId="542" applyFont="1" applyFill="1" applyBorder="1" applyAlignment="1">
      <alignment vertical="center"/>
    </xf>
    <xf numFmtId="0" fontId="10" fillId="2" borderId="11" xfId="542" applyFont="1" applyFill="1" applyBorder="1" applyAlignment="1">
      <alignment vertical="center"/>
    </xf>
    <xf numFmtId="0" fontId="10" fillId="2" borderId="7" xfId="542" applyFont="1" applyFill="1" applyBorder="1" applyAlignment="1">
      <alignment vertical="center"/>
    </xf>
    <xf numFmtId="0" fontId="17" fillId="2" borderId="8" xfId="0" applyFont="1" applyFill="1" applyBorder="1" applyAlignment="1">
      <alignment horizontal="center" vertical="center"/>
    </xf>
    <xf numFmtId="0" fontId="18" fillId="2" borderId="8" xfId="0" applyFont="1" applyFill="1" applyBorder="1" applyAlignment="1">
      <alignment horizontal="center" vertical="center"/>
    </xf>
    <xf numFmtId="0" fontId="18" fillId="2" borderId="1"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19" xfId="0" applyFont="1" applyFill="1" applyBorder="1" applyAlignment="1">
      <alignment horizontal="center" vertical="center"/>
    </xf>
    <xf numFmtId="0" fontId="14" fillId="0" borderId="19" xfId="0" applyFont="1" applyBorder="1" applyAlignment="1">
      <alignment horizontal="center" vertical="center"/>
    </xf>
    <xf numFmtId="0" fontId="10" fillId="3" borderId="6" xfId="0" applyFont="1" applyFill="1" applyBorder="1" applyAlignment="1">
      <alignment horizontal="center" vertical="center"/>
    </xf>
    <xf numFmtId="0" fontId="10" fillId="3" borderId="21" xfId="0" applyFont="1" applyFill="1" applyBorder="1" applyAlignment="1">
      <alignment horizontal="center" vertical="center"/>
    </xf>
    <xf numFmtId="0" fontId="14" fillId="3" borderId="23" xfId="0" applyFont="1" applyFill="1" applyBorder="1" applyAlignment="1">
      <alignment horizontal="center" vertical="center"/>
    </xf>
    <xf numFmtId="0" fontId="14" fillId="0" borderId="23" xfId="0" applyFont="1" applyBorder="1" applyAlignment="1">
      <alignment horizontal="center" vertical="center"/>
    </xf>
    <xf numFmtId="0" fontId="10" fillId="3" borderId="6" xfId="0"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178" fontId="10" fillId="0" borderId="3" xfId="0" applyNumberFormat="1" applyFont="1" applyBorder="1" applyAlignment="1">
      <alignment vertical="center"/>
    </xf>
    <xf numFmtId="0" fontId="10" fillId="0" borderId="4" xfId="0" applyFont="1" applyBorder="1" applyAlignment="1">
      <alignment horizontal="left" vertical="center"/>
    </xf>
    <xf numFmtId="0" fontId="10" fillId="0" borderId="5" xfId="0" applyFont="1" applyBorder="1" applyAlignment="1">
      <alignment horizontal="left" vertical="center"/>
    </xf>
    <xf numFmtId="0" fontId="14" fillId="3" borderId="6" xfId="0" applyFont="1" applyFill="1" applyBorder="1" applyAlignment="1">
      <alignment horizontal="center" vertical="center"/>
    </xf>
    <xf numFmtId="0" fontId="14" fillId="0" borderId="6" xfId="0" applyFont="1" applyBorder="1" applyAlignment="1">
      <alignment horizontal="center" vertical="center"/>
    </xf>
    <xf numFmtId="186" fontId="10" fillId="0" borderId="21" xfId="0" applyNumberFormat="1" applyFont="1" applyBorder="1" applyAlignment="1">
      <alignment horizontal="center" vertical="center"/>
    </xf>
    <xf numFmtId="186" fontId="10" fillId="3" borderId="21" xfId="0" applyNumberFormat="1" applyFont="1" applyFill="1" applyBorder="1" applyAlignment="1">
      <alignment horizontal="center" vertical="center"/>
    </xf>
    <xf numFmtId="2" fontId="10" fillId="0" borderId="21" xfId="0" applyNumberFormat="1" applyFont="1" applyBorder="1" applyAlignment="1">
      <alignment horizontal="center" vertical="center"/>
    </xf>
    <xf numFmtId="2" fontId="10" fillId="3" borderId="21" xfId="0" applyNumberFormat="1" applyFont="1" applyFill="1" applyBorder="1" applyAlignment="1">
      <alignment horizontal="center" vertical="center"/>
    </xf>
    <xf numFmtId="0" fontId="10" fillId="0" borderId="6" xfId="0" applyFont="1" applyFill="1" applyBorder="1" applyAlignment="1">
      <alignment horizontal="center" vertical="center"/>
    </xf>
    <xf numFmtId="182" fontId="10" fillId="0" borderId="21" xfId="0" applyNumberFormat="1" applyFont="1" applyBorder="1" applyAlignment="1">
      <alignment horizontal="center" vertical="center"/>
    </xf>
    <xf numFmtId="182" fontId="10" fillId="3" borderId="21" xfId="0" applyNumberFormat="1" applyFont="1" applyFill="1" applyBorder="1" applyAlignment="1">
      <alignment horizontal="center" vertical="center"/>
    </xf>
    <xf numFmtId="1" fontId="10" fillId="0" borderId="21" xfId="0" applyNumberFormat="1" applyFont="1" applyBorder="1" applyAlignment="1">
      <alignment horizontal="center" vertical="center"/>
    </xf>
    <xf numFmtId="1" fontId="10" fillId="3" borderId="21" xfId="0" applyNumberFormat="1" applyFont="1" applyFill="1" applyBorder="1" applyAlignment="1">
      <alignment horizontal="center" vertical="center"/>
    </xf>
    <xf numFmtId="177" fontId="10" fillId="0" borderId="21" xfId="0" applyNumberFormat="1" applyFont="1" applyBorder="1" applyAlignment="1">
      <alignment horizontal="center" vertical="center"/>
    </xf>
    <xf numFmtId="177" fontId="10" fillId="3" borderId="21" xfId="0" applyNumberFormat="1" applyFont="1" applyFill="1" applyBorder="1" applyAlignment="1">
      <alignment horizontal="center" vertical="center"/>
    </xf>
    <xf numFmtId="0" fontId="10" fillId="0" borderId="6" xfId="0" applyFont="1" applyFill="1" applyBorder="1" applyAlignment="1">
      <alignment horizontal="center" vertical="center" wrapText="1"/>
    </xf>
    <xf numFmtId="187" fontId="10" fillId="0" borderId="21" xfId="0" applyNumberFormat="1" applyFont="1" applyBorder="1" applyAlignment="1">
      <alignment horizontal="center" vertical="center"/>
    </xf>
    <xf numFmtId="0" fontId="10" fillId="2" borderId="8" xfId="542" applyFont="1" applyFill="1" applyBorder="1" applyAlignment="1">
      <alignment horizontal="left" vertical="center" wrapText="1"/>
    </xf>
    <xf numFmtId="0" fontId="10" fillId="2" borderId="8" xfId="542" applyFont="1" applyFill="1" applyBorder="1" applyAlignment="1">
      <alignment horizontal="left" vertical="center"/>
    </xf>
    <xf numFmtId="0" fontId="16" fillId="2" borderId="11" xfId="542" applyFont="1" applyFill="1" applyBorder="1" applyAlignment="1">
      <alignment horizontal="left" vertical="center"/>
    </xf>
    <xf numFmtId="0" fontId="14" fillId="2" borderId="0" xfId="623" applyFont="1" applyFill="1" applyBorder="1" applyAlignment="1">
      <alignment horizontal="center" vertical="center"/>
    </xf>
    <xf numFmtId="0" fontId="14" fillId="0" borderId="0" xfId="186" applyFont="1" applyFill="1" applyBorder="1" applyAlignment="1">
      <alignment horizontal="center" vertical="center"/>
    </xf>
    <xf numFmtId="0" fontId="14" fillId="2" borderId="2" xfId="186" applyFont="1" applyFill="1" applyBorder="1" applyAlignment="1">
      <alignment horizontal="center" vertical="center"/>
    </xf>
    <xf numFmtId="0" fontId="14" fillId="2" borderId="15" xfId="186" applyFont="1" applyFill="1" applyBorder="1" applyAlignment="1">
      <alignment horizontal="center"/>
    </xf>
    <xf numFmtId="0" fontId="14" fillId="2" borderId="16" xfId="186" applyFont="1" applyFill="1" applyBorder="1" applyAlignment="1">
      <alignment horizontal="center"/>
    </xf>
    <xf numFmtId="0" fontId="14" fillId="2" borderId="20" xfId="186" applyFont="1" applyFill="1" applyBorder="1" applyAlignment="1">
      <alignment horizontal="center"/>
    </xf>
    <xf numFmtId="0" fontId="10" fillId="0" borderId="13" xfId="0" applyFont="1" applyBorder="1" applyAlignment="1">
      <alignment horizontal="center" vertical="center"/>
    </xf>
    <xf numFmtId="0" fontId="1" fillId="0" borderId="20" xfId="0" applyNumberFormat="1" applyFont="1" applyFill="1" applyBorder="1" applyAlignment="1">
      <alignment horizontal="center" vertical="center"/>
    </xf>
    <xf numFmtId="0" fontId="1" fillId="0" borderId="22" xfId="0" applyNumberFormat="1" applyFont="1" applyFill="1" applyBorder="1" applyAlignment="1">
      <alignment horizontal="center" vertical="center"/>
    </xf>
    <xf numFmtId="181" fontId="1" fillId="0" borderId="18" xfId="0" applyNumberFormat="1" applyFont="1" applyFill="1" applyBorder="1" applyAlignment="1">
      <alignment horizontal="center" vertical="center"/>
    </xf>
    <xf numFmtId="181" fontId="1" fillId="0" borderId="22" xfId="0" applyNumberFormat="1" applyFont="1" applyFill="1" applyBorder="1" applyAlignment="1">
      <alignment horizontal="center" vertical="center"/>
    </xf>
    <xf numFmtId="181" fontId="1" fillId="0" borderId="17"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1" fillId="0" borderId="21" xfId="0" applyNumberFormat="1" applyFont="1" applyFill="1" applyBorder="1" applyAlignment="1">
      <alignment horizontal="center" vertical="center"/>
    </xf>
    <xf numFmtId="181" fontId="10" fillId="0" borderId="17" xfId="186" applyNumberFormat="1" applyFont="1" applyFill="1" applyBorder="1" applyAlignment="1">
      <alignment horizontal="center" vertical="center"/>
    </xf>
    <xf numFmtId="0" fontId="10" fillId="2" borderId="12" xfId="542" applyFont="1" applyFill="1" applyBorder="1" applyAlignment="1">
      <alignment vertical="center"/>
    </xf>
    <xf numFmtId="0" fontId="10" fillId="2" borderId="13" xfId="542" applyFont="1" applyFill="1" applyBorder="1" applyAlignment="1">
      <alignment vertical="center"/>
    </xf>
    <xf numFmtId="0" fontId="14" fillId="0" borderId="9" xfId="0" applyFont="1" applyFill="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0" fillId="0" borderId="9" xfId="543" applyFont="1" applyFill="1" applyBorder="1" applyAlignment="1">
      <alignment horizontal="center" vertical="center"/>
    </xf>
    <xf numFmtId="0" fontId="10" fillId="0" borderId="6" xfId="0" applyFont="1" applyBorder="1" applyAlignment="1">
      <alignment horizontal="center" vertical="center"/>
    </xf>
    <xf numFmtId="0" fontId="10" fillId="0" borderId="21" xfId="0" applyFont="1" applyBorder="1" applyAlignment="1">
      <alignment horizontal="center" vertical="center"/>
    </xf>
    <xf numFmtId="0" fontId="10" fillId="0" borderId="9" xfId="543"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176" fontId="10" fillId="0" borderId="3" xfId="0" applyNumberFormat="1" applyFont="1" applyBorder="1" applyAlignment="1">
      <alignment vertical="center"/>
    </xf>
    <xf numFmtId="0" fontId="10" fillId="0" borderId="9" xfId="0" applyFont="1" applyFill="1" applyBorder="1" applyAlignment="1">
      <alignment horizontal="center" vertical="center" wrapText="1"/>
    </xf>
    <xf numFmtId="0" fontId="10" fillId="0" borderId="9" xfId="336" applyFont="1" applyFill="1" applyBorder="1" applyAlignment="1">
      <alignment horizontal="center" vertical="center" wrapText="1"/>
    </xf>
    <xf numFmtId="0" fontId="10" fillId="2" borderId="9" xfId="542" applyFont="1" applyFill="1" applyBorder="1" applyAlignment="1">
      <alignment horizontal="center" vertical="center"/>
    </xf>
    <xf numFmtId="0" fontId="10" fillId="0" borderId="2" xfId="542" applyFont="1" applyFill="1" applyBorder="1" applyAlignment="1">
      <alignment horizontal="center" vertical="center"/>
    </xf>
    <xf numFmtId="2" fontId="10" fillId="0" borderId="2" xfId="542" applyNumberFormat="1" applyFont="1" applyFill="1" applyBorder="1" applyAlignment="1">
      <alignment horizontal="center" vertical="center"/>
    </xf>
    <xf numFmtId="0" fontId="14" fillId="0" borderId="0" xfId="0" applyFont="1" applyFill="1" applyBorder="1" applyAlignment="1">
      <alignment horizontal="center" vertical="center"/>
    </xf>
    <xf numFmtId="0" fontId="14" fillId="0" borderId="0" xfId="543" applyFont="1" applyFill="1" applyBorder="1" applyAlignment="1">
      <alignment vertical="center"/>
    </xf>
    <xf numFmtId="0" fontId="10" fillId="2" borderId="14" xfId="542" applyFont="1" applyFill="1" applyBorder="1" applyAlignment="1">
      <alignment vertical="center"/>
    </xf>
    <xf numFmtId="0" fontId="18" fillId="2" borderId="11" xfId="542" applyFont="1" applyFill="1" applyBorder="1" applyAlignment="1">
      <alignment horizontal="right" vertical="center"/>
    </xf>
    <xf numFmtId="0" fontId="10" fillId="2" borderId="12" xfId="542" applyFont="1" applyFill="1" applyBorder="1"/>
    <xf numFmtId="0" fontId="14" fillId="2" borderId="7" xfId="625" applyFont="1" applyFill="1" applyBorder="1" applyAlignment="1">
      <alignment vertical="center"/>
    </xf>
    <xf numFmtId="0" fontId="10" fillId="2" borderId="8" xfId="625" applyFont="1" applyFill="1" applyBorder="1" applyAlignment="1">
      <alignment horizontal="right" vertical="center"/>
    </xf>
    <xf numFmtId="0" fontId="10" fillId="2" borderId="8" xfId="625" applyFont="1" applyFill="1" applyBorder="1" applyAlignment="1">
      <alignment horizontal="left" vertical="center"/>
    </xf>
    <xf numFmtId="0" fontId="14" fillId="2" borderId="9" xfId="625" applyFont="1" applyFill="1" applyBorder="1" applyAlignment="1">
      <alignment vertical="center"/>
    </xf>
    <xf numFmtId="0" fontId="10" fillId="2" borderId="0" xfId="625" applyFont="1" applyFill="1" applyAlignment="1">
      <alignment horizontal="right" vertical="center"/>
    </xf>
    <xf numFmtId="0" fontId="10" fillId="2" borderId="0" xfId="625" applyFont="1" applyFill="1" applyAlignment="1">
      <alignment horizontal="left" vertical="center"/>
    </xf>
    <xf numFmtId="0" fontId="10" fillId="2" borderId="9" xfId="625" applyFont="1" applyFill="1" applyBorder="1" applyAlignment="1">
      <alignment horizontal="right" vertical="center"/>
    </xf>
    <xf numFmtId="49" fontId="10" fillId="2" borderId="0" xfId="625" applyNumberFormat="1" applyFont="1" applyFill="1" applyAlignment="1">
      <alignment horizontal="left" vertical="center"/>
    </xf>
    <xf numFmtId="181" fontId="10" fillId="2" borderId="0" xfId="625" applyNumberFormat="1" applyFont="1" applyFill="1" applyAlignment="1">
      <alignment horizontal="left" vertical="center"/>
    </xf>
    <xf numFmtId="0" fontId="10" fillId="2" borderId="24" xfId="625" applyFont="1" applyFill="1" applyBorder="1" applyAlignment="1">
      <alignment horizontal="right" vertical="center"/>
    </xf>
    <xf numFmtId="0" fontId="10" fillId="2" borderId="1" xfId="625" applyFont="1" applyFill="1" applyBorder="1" applyAlignment="1">
      <alignment horizontal="right" vertical="center"/>
    </xf>
    <xf numFmtId="9" fontId="10" fillId="2" borderId="0" xfId="0" applyNumberFormat="1" applyFont="1" applyFill="1" applyAlignment="1">
      <alignment horizontal="left" vertical="center" wrapText="1"/>
    </xf>
    <xf numFmtId="0" fontId="14" fillId="2" borderId="9" xfId="625" applyFont="1" applyFill="1" applyBorder="1" applyAlignment="1">
      <alignment horizontal="left" vertical="center"/>
    </xf>
    <xf numFmtId="14" fontId="14" fillId="2" borderId="16" xfId="625" applyNumberFormat="1" applyFont="1" applyFill="1" applyBorder="1" applyAlignment="1">
      <alignment vertical="center"/>
    </xf>
    <xf numFmtId="178" fontId="10" fillId="0" borderId="20" xfId="186" applyNumberFormat="1" applyFont="1" applyFill="1" applyBorder="1" applyAlignment="1">
      <alignment horizontal="center" vertical="center"/>
    </xf>
    <xf numFmtId="0" fontId="10" fillId="2" borderId="7" xfId="625" applyFont="1" applyFill="1" applyBorder="1" applyAlignment="1">
      <alignment horizontal="right" vertical="center"/>
    </xf>
    <xf numFmtId="176" fontId="10" fillId="0" borderId="22" xfId="186" applyNumberFormat="1" applyFont="1" applyFill="1" applyBorder="1" applyAlignment="1">
      <alignment horizontal="center" vertical="center"/>
    </xf>
    <xf numFmtId="176" fontId="10" fillId="2" borderId="0" xfId="625" applyNumberFormat="1" applyFont="1" applyFill="1" applyAlignment="1">
      <alignment horizontal="left" vertical="center"/>
    </xf>
    <xf numFmtId="178" fontId="10" fillId="2" borderId="0" xfId="625" applyNumberFormat="1" applyFont="1" applyFill="1" applyAlignment="1">
      <alignment horizontal="left" vertical="center"/>
    </xf>
    <xf numFmtId="178" fontId="10" fillId="0" borderId="22" xfId="186" applyNumberFormat="1" applyFont="1" applyFill="1" applyBorder="1" applyAlignment="1">
      <alignment horizontal="center" vertical="center"/>
    </xf>
    <xf numFmtId="180" fontId="10" fillId="0" borderId="22" xfId="186" applyNumberFormat="1" applyFont="1" applyFill="1" applyBorder="1" applyAlignment="1">
      <alignment horizontal="center" vertical="center"/>
    </xf>
    <xf numFmtId="181" fontId="10" fillId="0" borderId="22" xfId="186" applyNumberFormat="1" applyFont="1" applyFill="1" applyBorder="1" applyAlignment="1">
      <alignment horizontal="center" vertical="center"/>
    </xf>
    <xf numFmtId="181" fontId="10" fillId="0" borderId="21" xfId="186" applyNumberFormat="1" applyFont="1" applyFill="1" applyBorder="1" applyAlignment="1">
      <alignment horizontal="center" vertical="center"/>
    </xf>
    <xf numFmtId="0" fontId="14" fillId="2" borderId="7" xfId="0" applyFont="1" applyFill="1" applyBorder="1" applyAlignment="1">
      <alignment horizontal="center" vertical="center"/>
    </xf>
    <xf numFmtId="0" fontId="10" fillId="2" borderId="8" xfId="0" applyFont="1" applyFill="1" applyBorder="1"/>
    <xf numFmtId="0" fontId="10" fillId="2" borderId="25" xfId="625" applyFont="1" applyFill="1" applyBorder="1" applyAlignment="1">
      <alignment horizontal="center" vertical="center" wrapText="1"/>
    </xf>
    <xf numFmtId="0" fontId="10" fillId="2" borderId="26" xfId="625" applyFont="1" applyFill="1" applyBorder="1" applyAlignment="1">
      <alignment horizontal="center" vertical="center"/>
    </xf>
    <xf numFmtId="0" fontId="10" fillId="2" borderId="27" xfId="625" applyFont="1" applyFill="1" applyBorder="1" applyAlignment="1">
      <alignment horizontal="center" vertical="center" wrapText="1"/>
    </xf>
    <xf numFmtId="0" fontId="10" fillId="2" borderId="2" xfId="625" applyFont="1" applyFill="1" applyBorder="1" applyAlignment="1">
      <alignment horizontal="center" vertical="center"/>
    </xf>
    <xf numFmtId="0" fontId="10" fillId="2" borderId="28" xfId="625" applyFont="1" applyFill="1" applyBorder="1" applyAlignment="1">
      <alignment horizontal="center" vertical="center" wrapText="1"/>
    </xf>
    <xf numFmtId="176" fontId="10" fillId="2" borderId="29" xfId="625" applyNumberFormat="1" applyFont="1" applyFill="1" applyBorder="1" applyAlignment="1">
      <alignment horizontal="center" vertical="center"/>
    </xf>
    <xf numFmtId="0" fontId="10" fillId="2" borderId="29" xfId="625" applyFont="1" applyFill="1" applyBorder="1" applyAlignment="1">
      <alignment horizontal="center" vertical="center"/>
    </xf>
    <xf numFmtId="0" fontId="10" fillId="2" borderId="0" xfId="625" applyFont="1" applyFill="1" applyAlignment="1">
      <alignment horizontal="left" vertical="center" wrapText="1"/>
    </xf>
    <xf numFmtId="0" fontId="10" fillId="2" borderId="9" xfId="625" applyFont="1" applyFill="1" applyBorder="1" applyAlignment="1">
      <alignment vertical="center"/>
    </xf>
    <xf numFmtId="0" fontId="10" fillId="2" borderId="0" xfId="625" applyFont="1" applyFill="1" applyAlignment="1">
      <alignment vertical="center"/>
    </xf>
    <xf numFmtId="0" fontId="10" fillId="2" borderId="13" xfId="542" applyFont="1" applyFill="1" applyBorder="1"/>
    <xf numFmtId="0" fontId="14" fillId="2" borderId="9" xfId="542" applyFont="1" applyFill="1" applyBorder="1" applyAlignment="1">
      <alignment vertical="center"/>
    </xf>
    <xf numFmtId="0" fontId="10" fillId="2" borderId="14" xfId="542" applyFont="1" applyFill="1" applyBorder="1"/>
    <xf numFmtId="0" fontId="10" fillId="2" borderId="0" xfId="542" applyFont="1" applyFill="1" applyAlignment="1">
      <alignment horizontal="center" vertical="center"/>
    </xf>
    <xf numFmtId="0" fontId="10" fillId="2" borderId="2" xfId="542" applyFont="1" applyFill="1" applyBorder="1" applyAlignment="1">
      <alignment vertical="center"/>
    </xf>
    <xf numFmtId="0" fontId="10" fillId="2" borderId="2" xfId="542" applyFont="1" applyFill="1" applyBorder="1" applyAlignment="1">
      <alignment horizontal="center" vertical="center"/>
    </xf>
    <xf numFmtId="178" fontId="10" fillId="2" borderId="2" xfId="542" applyNumberFormat="1" applyFont="1" applyFill="1" applyBorder="1" applyAlignment="1">
      <alignment horizontal="center" vertical="center"/>
    </xf>
    <xf numFmtId="0" fontId="19" fillId="2" borderId="10" xfId="542" applyFont="1" applyFill="1" applyBorder="1" applyAlignment="1">
      <alignment vertical="center"/>
    </xf>
    <xf numFmtId="0" fontId="19" fillId="2" borderId="11" xfId="542" applyFont="1" applyFill="1" applyBorder="1" applyAlignment="1">
      <alignment vertical="center"/>
    </xf>
    <xf numFmtId="0" fontId="18" fillId="2" borderId="11" xfId="542" applyFont="1" applyFill="1" applyBorder="1" applyAlignment="1">
      <alignment horizontal="left" vertical="center"/>
    </xf>
    <xf numFmtId="0" fontId="10" fillId="2" borderId="8" xfId="625" applyFont="1" applyFill="1" applyBorder="1" applyAlignment="1">
      <alignment vertical="center"/>
    </xf>
    <xf numFmtId="0" fontId="10" fillId="2" borderId="12" xfId="625" applyFont="1" applyFill="1" applyBorder="1" applyAlignment="1">
      <alignment vertical="center"/>
    </xf>
    <xf numFmtId="0" fontId="10" fillId="2" borderId="0" xfId="622" applyFont="1" applyFill="1">
      <alignment vertical="center"/>
    </xf>
    <xf numFmtId="0" fontId="10" fillId="2" borderId="13" xfId="625" applyFont="1" applyFill="1" applyBorder="1" applyAlignment="1">
      <alignment vertical="center"/>
    </xf>
    <xf numFmtId="2" fontId="10" fillId="2" borderId="0" xfId="625" applyNumberFormat="1" applyFont="1" applyFill="1" applyAlignment="1">
      <alignment horizontal="left" vertical="center"/>
    </xf>
    <xf numFmtId="180" fontId="10" fillId="2" borderId="1" xfId="625" applyNumberFormat="1" applyFont="1" applyFill="1" applyBorder="1" applyAlignment="1">
      <alignment horizontal="left" vertical="center"/>
    </xf>
    <xf numFmtId="10" fontId="10" fillId="2" borderId="1" xfId="625" applyNumberFormat="1" applyFont="1" applyFill="1" applyBorder="1" applyAlignment="1">
      <alignment horizontal="left" vertical="center"/>
    </xf>
    <xf numFmtId="0" fontId="10" fillId="2" borderId="1" xfId="625" applyFont="1" applyFill="1" applyBorder="1" applyAlignment="1">
      <alignment horizontal="left" vertical="center"/>
    </xf>
    <xf numFmtId="0" fontId="10" fillId="2" borderId="30" xfId="625" applyFont="1" applyFill="1" applyBorder="1" applyAlignment="1">
      <alignment vertical="center"/>
    </xf>
    <xf numFmtId="0" fontId="14" fillId="2" borderId="8" xfId="625" applyFont="1" applyFill="1" applyBorder="1" applyAlignment="1">
      <alignment horizontal="right" vertical="center"/>
    </xf>
    <xf numFmtId="9" fontId="10" fillId="2" borderId="8" xfId="625" applyNumberFormat="1" applyFont="1" applyFill="1" applyBorder="1" applyAlignment="1">
      <alignment vertical="center"/>
    </xf>
    <xf numFmtId="0" fontId="10" fillId="2" borderId="8" xfId="625" applyFont="1" applyFill="1" applyBorder="1" applyAlignment="1">
      <alignment vertical="center" wrapText="1"/>
    </xf>
    <xf numFmtId="0" fontId="10" fillId="2" borderId="26" xfId="625" applyFont="1" applyFill="1" applyBorder="1" applyAlignment="1">
      <alignment horizontal="center" vertical="center" wrapText="1"/>
    </xf>
    <xf numFmtId="0" fontId="10" fillId="2" borderId="31" xfId="625" applyFont="1" applyFill="1" applyBorder="1" applyAlignment="1">
      <alignment horizontal="center" vertical="center" wrapText="1"/>
    </xf>
    <xf numFmtId="0" fontId="10" fillId="2" borderId="8" xfId="625" applyFont="1" applyFill="1" applyBorder="1" applyAlignment="1">
      <alignment horizontal="center" vertical="center" wrapText="1"/>
    </xf>
    <xf numFmtId="0" fontId="10" fillId="2" borderId="12" xfId="625" applyFont="1" applyFill="1" applyBorder="1" applyAlignment="1">
      <alignment horizontal="center" vertical="center" wrapText="1"/>
    </xf>
    <xf numFmtId="0" fontId="10" fillId="2" borderId="2" xfId="625" applyFont="1" applyFill="1" applyBorder="1" applyAlignment="1">
      <alignment horizontal="center" vertical="center" wrapText="1"/>
    </xf>
    <xf numFmtId="0" fontId="10" fillId="2" borderId="32" xfId="625" applyFont="1" applyFill="1" applyBorder="1" applyAlignment="1">
      <alignment horizontal="center" vertical="center" wrapText="1"/>
    </xf>
    <xf numFmtId="0" fontId="10" fillId="2" borderId="0" xfId="625" applyFont="1" applyFill="1" applyAlignment="1">
      <alignment horizontal="center" vertical="center" wrapText="1"/>
    </xf>
    <xf numFmtId="0" fontId="10" fillId="2" borderId="13" xfId="625" applyFont="1" applyFill="1" applyBorder="1" applyAlignment="1">
      <alignment horizontal="center" vertical="center" wrapText="1"/>
    </xf>
    <xf numFmtId="177" fontId="10" fillId="2" borderId="29" xfId="625" applyNumberFormat="1" applyFont="1" applyFill="1" applyBorder="1" applyAlignment="1">
      <alignment horizontal="center" vertical="center" wrapText="1"/>
    </xf>
    <xf numFmtId="2" fontId="10" fillId="2" borderId="29" xfId="625" applyNumberFormat="1" applyFont="1" applyFill="1" applyBorder="1" applyAlignment="1">
      <alignment horizontal="center" vertical="center" wrapText="1"/>
    </xf>
    <xf numFmtId="0" fontId="10" fillId="2" borderId="29" xfId="625" applyFont="1" applyFill="1" applyBorder="1" applyAlignment="1">
      <alignment horizontal="center" vertical="center" wrapText="1"/>
    </xf>
    <xf numFmtId="0" fontId="10" fillId="2" borderId="33" xfId="625" applyFont="1" applyFill="1" applyBorder="1" applyAlignment="1">
      <alignment horizontal="center" vertical="center" wrapText="1"/>
    </xf>
    <xf numFmtId="0" fontId="10" fillId="2" borderId="13" xfId="625" applyFont="1" applyFill="1" applyBorder="1" applyAlignment="1">
      <alignment horizontal="left" vertical="center" wrapText="1"/>
    </xf>
    <xf numFmtId="0" fontId="19" fillId="2" borderId="0" xfId="542" applyFont="1" applyFill="1" applyBorder="1" applyAlignment="1">
      <alignment vertical="center"/>
    </xf>
    <xf numFmtId="0" fontId="19" fillId="2" borderId="0" xfId="542" applyFont="1" applyFill="1" applyBorder="1"/>
    <xf numFmtId="0" fontId="19" fillId="2" borderId="8" xfId="542" applyFont="1" applyFill="1" applyBorder="1" applyAlignment="1">
      <alignment vertical="center"/>
    </xf>
    <xf numFmtId="0" fontId="19" fillId="2" borderId="8" xfId="542" applyFont="1" applyFill="1" applyBorder="1"/>
    <xf numFmtId="0" fontId="19" fillId="2" borderId="0" xfId="542" applyFont="1" applyFill="1" applyAlignment="1">
      <alignment vertical="center"/>
    </xf>
    <xf numFmtId="0" fontId="19" fillId="2" borderId="0" xfId="542" applyFont="1" applyFill="1"/>
    <xf numFmtId="0" fontId="19" fillId="2" borderId="13" xfId="542" applyFont="1" applyFill="1" applyBorder="1" applyAlignment="1">
      <alignment vertical="center"/>
    </xf>
    <xf numFmtId="0" fontId="10" fillId="2" borderId="13" xfId="542" applyFont="1" applyFill="1" applyBorder="1" applyAlignment="1">
      <alignment horizontal="center" vertical="center"/>
    </xf>
    <xf numFmtId="0" fontId="19" fillId="2" borderId="11" xfId="542" applyFont="1" applyFill="1" applyBorder="1"/>
    <xf numFmtId="0" fontId="19" fillId="2" borderId="14" xfId="542" applyFont="1" applyFill="1" applyBorder="1" applyAlignment="1">
      <alignment vertical="center"/>
    </xf>
    <xf numFmtId="0" fontId="19" fillId="2" borderId="12" xfId="542" applyFont="1" applyFill="1" applyBorder="1" applyAlignment="1">
      <alignment vertical="center"/>
    </xf>
    <xf numFmtId="0" fontId="1" fillId="2" borderId="13" xfId="0" applyFont="1" applyFill="1" applyBorder="1" applyAlignment="1">
      <alignment vertical="center"/>
    </xf>
    <xf numFmtId="0" fontId="20" fillId="0" borderId="0" xfId="380" applyFont="1" applyFill="1" applyBorder="1" applyAlignment="1">
      <alignment horizontal="center" vertical="center"/>
    </xf>
    <xf numFmtId="0" fontId="20" fillId="2" borderId="0" xfId="380" applyFont="1" applyFill="1" applyBorder="1" applyAlignment="1">
      <alignment horizontal="center" vertical="top"/>
    </xf>
    <xf numFmtId="0" fontId="20" fillId="2" borderId="0" xfId="380" applyFont="1" applyFill="1" applyBorder="1" applyAlignment="1">
      <alignment horizontal="center" vertical="center"/>
    </xf>
    <xf numFmtId="0" fontId="21" fillId="2" borderId="0" xfId="380" applyFont="1" applyFill="1" applyBorder="1" applyAlignment="1">
      <alignment horizontal="center" vertical="center"/>
    </xf>
    <xf numFmtId="0" fontId="18" fillId="2" borderId="0" xfId="380" applyFont="1" applyFill="1" applyBorder="1" applyAlignment="1">
      <alignment horizontal="center" vertical="top"/>
    </xf>
    <xf numFmtId="0" fontId="18" fillId="0" borderId="0" xfId="542" applyFont="1" applyFill="1" applyBorder="1" applyAlignment="1">
      <alignment horizontal="center" vertical="center"/>
    </xf>
    <xf numFmtId="0" fontId="18" fillId="0" borderId="0" xfId="380" applyFont="1" applyFill="1" applyBorder="1" applyAlignment="1">
      <alignment vertical="top" wrapText="1"/>
    </xf>
    <xf numFmtId="0" fontId="18" fillId="2" borderId="0" xfId="542" applyFont="1" applyFill="1" applyBorder="1" applyAlignment="1">
      <alignment horizontal="center" vertical="center"/>
    </xf>
    <xf numFmtId="0" fontId="18" fillId="2" borderId="0" xfId="380" applyFont="1" applyFill="1" applyBorder="1" applyAlignment="1">
      <alignment horizontal="left" vertical="top" wrapText="1"/>
    </xf>
    <xf numFmtId="0" fontId="18" fillId="0" borderId="0" xfId="380" applyFont="1" applyFill="1" applyBorder="1" applyAlignment="1">
      <alignment horizontal="left" vertical="top"/>
    </xf>
    <xf numFmtId="0" fontId="18" fillId="2" borderId="0" xfId="380" applyFont="1" applyFill="1" applyBorder="1" applyAlignment="1">
      <alignment horizontal="left" vertical="center" wrapText="1"/>
    </xf>
    <xf numFmtId="0" fontId="20" fillId="2" borderId="0" xfId="380" applyFont="1" applyFill="1" applyBorder="1" applyAlignment="1">
      <alignment horizontal="left" vertical="top" wrapText="1"/>
    </xf>
    <xf numFmtId="0" fontId="18" fillId="2" borderId="0" xfId="380" applyFont="1" applyFill="1" applyBorder="1" applyAlignment="1">
      <alignment horizontal="center" vertical="center"/>
    </xf>
    <xf numFmtId="0" fontId="22" fillId="2" borderId="0" xfId="380" applyFont="1" applyFill="1" applyBorder="1" applyAlignment="1">
      <alignment horizontal="left" vertical="center" wrapText="1"/>
    </xf>
    <xf numFmtId="0" fontId="20" fillId="2" borderId="0" xfId="380" applyFont="1" applyFill="1" applyBorder="1" applyAlignment="1">
      <alignment horizontal="left" vertical="center" wrapText="1"/>
    </xf>
    <xf numFmtId="0" fontId="23" fillId="0" borderId="0" xfId="0" applyFont="1" applyAlignment="1">
      <alignment horizontal="center" vertical="center"/>
    </xf>
    <xf numFmtId="0" fontId="22" fillId="0" borderId="0" xfId="380" applyFont="1" applyFill="1" applyBorder="1" applyAlignment="1">
      <alignment horizontal="left" vertical="center" wrapText="1"/>
    </xf>
    <xf numFmtId="0" fontId="20" fillId="0" borderId="0" xfId="380" applyFont="1" applyFill="1" applyBorder="1" applyAlignment="1">
      <alignment horizontal="left" vertical="center" wrapText="1"/>
    </xf>
    <xf numFmtId="0" fontId="20" fillId="2" borderId="0" xfId="0" applyFont="1" applyFill="1" applyBorder="1" applyAlignment="1">
      <alignment horizontal="center"/>
    </xf>
    <xf numFmtId="0" fontId="20" fillId="2" borderId="0" xfId="380" applyFont="1" applyFill="1" applyBorder="1" applyAlignment="1">
      <alignment horizontal="center" vertical="top" wrapText="1"/>
    </xf>
    <xf numFmtId="0" fontId="18" fillId="2" borderId="0" xfId="0" applyFont="1" applyFill="1" applyBorder="1" applyAlignment="1">
      <alignment horizontal="center" vertical="center"/>
    </xf>
    <xf numFmtId="0" fontId="1" fillId="2" borderId="0" xfId="0" applyFont="1" applyFill="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xf>
    <xf numFmtId="2" fontId="20" fillId="2" borderId="0" xfId="380" applyNumberFormat="1" applyFont="1" applyFill="1" applyBorder="1" applyAlignment="1">
      <alignment horizontal="center" vertical="center"/>
    </xf>
    <xf numFmtId="0" fontId="26" fillId="2" borderId="0" xfId="0" applyFont="1" applyFill="1" applyBorder="1" applyAlignment="1">
      <alignment horizontal="center" vertical="top" wrapText="1"/>
    </xf>
    <xf numFmtId="177" fontId="20" fillId="2" borderId="0" xfId="380" applyNumberFormat="1" applyFont="1" applyFill="1" applyBorder="1" applyAlignment="1">
      <alignment horizontal="center" vertical="center"/>
    </xf>
    <xf numFmtId="14" fontId="27" fillId="2" borderId="0" xfId="380" applyNumberFormat="1" applyFont="1" applyFill="1" applyBorder="1" applyAlignment="1">
      <alignment horizontal="left" vertical="top" wrapText="1"/>
    </xf>
    <xf numFmtId="14" fontId="18" fillId="2" borderId="0" xfId="380" applyNumberFormat="1" applyFont="1" applyFill="1" applyBorder="1" applyAlignment="1">
      <alignment horizontal="left" vertical="top" wrapText="1"/>
    </xf>
  </cellXfs>
  <cellStyles count="64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1 2" xfId="50"/>
    <cellStyle name="20% - Accent2" xfId="51"/>
    <cellStyle name="20% - Accent2 2" xfId="52"/>
    <cellStyle name="20% - Accent2 2 2" xfId="53"/>
    <cellStyle name="20% - Accent2 2 3" xfId="54"/>
    <cellStyle name="20% - Accent2 2 3 2" xfId="55"/>
    <cellStyle name="20% - Accent2 2 3 2 2" xfId="56"/>
    <cellStyle name="20% - Accent2 2 3 2 3" xfId="57"/>
    <cellStyle name="20% - Accent2 2 3 3" xfId="58"/>
    <cellStyle name="20% - Accent2 2 3 4" xfId="59"/>
    <cellStyle name="20% - Accent2 2 4" xfId="60"/>
    <cellStyle name="20% - Accent2 2 5" xfId="61"/>
    <cellStyle name="20% - Accent2 3" xfId="62"/>
    <cellStyle name="20% - Accent2 3 2" xfId="63"/>
    <cellStyle name="20% - Accent2 3 2 2" xfId="64"/>
    <cellStyle name="20% - Accent2 3 2 3" xfId="65"/>
    <cellStyle name="20% - Accent2 3 3" xfId="66"/>
    <cellStyle name="20% - Accent2 3 3 2" xfId="67"/>
    <cellStyle name="20% - Accent2 3 3 3" xfId="68"/>
    <cellStyle name="20% - Accent2 4" xfId="69"/>
    <cellStyle name="20% - Accent2 4 2" xfId="70"/>
    <cellStyle name="20% - Accent2 4 3" xfId="71"/>
    <cellStyle name="20% - Accent3" xfId="72"/>
    <cellStyle name="20% - Accent3 2" xfId="73"/>
    <cellStyle name="20% - Accent4" xfId="74"/>
    <cellStyle name="20% - Accent4 2" xfId="75"/>
    <cellStyle name="20% - Accent4 2 2" xfId="76"/>
    <cellStyle name="20% - Accent4 2 3" xfId="77"/>
    <cellStyle name="20% - Accent4 2 3 2" xfId="78"/>
    <cellStyle name="20% - Accent4 2 3 2 2" xfId="79"/>
    <cellStyle name="20% - Accent4 2 3 2 3" xfId="80"/>
    <cellStyle name="20% - Accent4 2 3 3" xfId="81"/>
    <cellStyle name="20% - Accent4 2 3 4" xfId="82"/>
    <cellStyle name="20% - Accent4 2 4" xfId="83"/>
    <cellStyle name="20% - Accent4 2 5" xfId="84"/>
    <cellStyle name="20% - Accent4 3" xfId="85"/>
    <cellStyle name="20% - Accent4 3 2" xfId="86"/>
    <cellStyle name="20% - Accent4 3 2 2" xfId="87"/>
    <cellStyle name="20% - Accent4 3 2 3" xfId="88"/>
    <cellStyle name="20% - Accent4 3 3" xfId="89"/>
    <cellStyle name="20% - Accent4 3 3 2" xfId="90"/>
    <cellStyle name="20% - Accent4 3 3 3" xfId="91"/>
    <cellStyle name="20% - Accent4 4" xfId="92"/>
    <cellStyle name="20% - Accent4 4 2" xfId="93"/>
    <cellStyle name="20% - Accent4 4 3" xfId="94"/>
    <cellStyle name="20% - Accent5" xfId="95"/>
    <cellStyle name="20% - Accent5 2" xfId="96"/>
    <cellStyle name="20% - Accent6" xfId="97"/>
    <cellStyle name="20% - Accent6 2" xfId="98"/>
    <cellStyle name="40% - Accent1" xfId="99"/>
    <cellStyle name="40% - Accent1 2" xfId="100"/>
    <cellStyle name="40% - Accent2" xfId="101"/>
    <cellStyle name="40% - Accent2 2" xfId="102"/>
    <cellStyle name="40% - Accent3" xfId="103"/>
    <cellStyle name="40% - Accent3 2" xfId="104"/>
    <cellStyle name="40% - Accent4" xfId="105"/>
    <cellStyle name="40% - Accent4 2" xfId="106"/>
    <cellStyle name="40% - Accent5" xfId="107"/>
    <cellStyle name="40% - Accent5 2" xfId="108"/>
    <cellStyle name="40% - Accent6" xfId="109"/>
    <cellStyle name="40% - Accent6 2" xfId="110"/>
    <cellStyle name="40% - Accent6 2 2" xfId="111"/>
    <cellStyle name="40% - Accent6 2 3" xfId="112"/>
    <cellStyle name="40% - Accent6 2 3 2" xfId="113"/>
    <cellStyle name="40% - Accent6 2 4" xfId="114"/>
    <cellStyle name="40% - Accent6 3" xfId="115"/>
    <cellStyle name="40% - Accent6 3 2" xfId="116"/>
    <cellStyle name="40% - Accent6 3 2 2" xfId="117"/>
    <cellStyle name="40% - Accent6 3 3" xfId="118"/>
    <cellStyle name="40% - Accent6 3 3 2" xfId="119"/>
    <cellStyle name="40% - Accent6 4" xfId="120"/>
    <cellStyle name="40% - Accent6 4 2" xfId="121"/>
    <cellStyle name="60% - Accent1" xfId="122"/>
    <cellStyle name="60% - Accent1 2" xfId="123"/>
    <cellStyle name="60% - Accent2" xfId="124"/>
    <cellStyle name="60% - Accent2 2" xfId="125"/>
    <cellStyle name="60% - Accent3" xfId="126"/>
    <cellStyle name="60% - Accent3 2" xfId="127"/>
    <cellStyle name="60% - Accent4" xfId="128"/>
    <cellStyle name="60% - Accent4 2" xfId="129"/>
    <cellStyle name="60% - Accent5" xfId="130"/>
    <cellStyle name="60% - Accent5 2" xfId="131"/>
    <cellStyle name="60% - Accent6" xfId="132"/>
    <cellStyle name="60% - Accent6 2" xfId="133"/>
    <cellStyle name="Accent1" xfId="134"/>
    <cellStyle name="Accent1 2" xfId="135"/>
    <cellStyle name="Accent2" xfId="136"/>
    <cellStyle name="Accent2 2" xfId="137"/>
    <cellStyle name="Accent3" xfId="138"/>
    <cellStyle name="Accent3 2" xfId="139"/>
    <cellStyle name="Accent4" xfId="140"/>
    <cellStyle name="Accent4 2" xfId="141"/>
    <cellStyle name="Accent5" xfId="142"/>
    <cellStyle name="Accent5 2" xfId="143"/>
    <cellStyle name="Accent6" xfId="144"/>
    <cellStyle name="Accent6 2" xfId="145"/>
    <cellStyle name="Bad" xfId="146"/>
    <cellStyle name="Bad 2" xfId="147"/>
    <cellStyle name="Calculation" xfId="148"/>
    <cellStyle name="Calculation 2" xfId="149"/>
    <cellStyle name="Calculation 2 2" xfId="150"/>
    <cellStyle name="Calculation 2 3" xfId="151"/>
    <cellStyle name="Calculation 3" xfId="152"/>
    <cellStyle name="Calculation 4" xfId="153"/>
    <cellStyle name="Check Cell" xfId="154"/>
    <cellStyle name="Check Cell 2" xfId="155"/>
    <cellStyle name="Explanatory Text" xfId="156"/>
    <cellStyle name="Good" xfId="157"/>
    <cellStyle name="Good 2" xfId="158"/>
    <cellStyle name="Heading 1" xfId="159"/>
    <cellStyle name="Heading 2" xfId="160"/>
    <cellStyle name="Heading 3" xfId="161"/>
    <cellStyle name="Heading 4" xfId="162"/>
    <cellStyle name="Input" xfId="163"/>
    <cellStyle name="Input 2" xfId="164"/>
    <cellStyle name="Input 2 2" xfId="165"/>
    <cellStyle name="Input 2 3" xfId="166"/>
    <cellStyle name="Input 3" xfId="167"/>
    <cellStyle name="Input 4" xfId="168"/>
    <cellStyle name="Linked Cell" xfId="169"/>
    <cellStyle name="Neutral" xfId="170"/>
    <cellStyle name="Neutral 2" xfId="171"/>
    <cellStyle name="Normal" xfId="172"/>
    <cellStyle name="Normal 2" xfId="173"/>
    <cellStyle name="Normal 2 2 2 2" xfId="174"/>
    <cellStyle name="Normal 27" xfId="175"/>
    <cellStyle name="Normal 27 2" xfId="176"/>
    <cellStyle name="Normal 27 4" xfId="177"/>
    <cellStyle name="Normal 27 4 2" xfId="178"/>
    <cellStyle name="Normal 28 2" xfId="179"/>
    <cellStyle name="Normal 28 2 2" xfId="180"/>
    <cellStyle name="Normal 30" xfId="181"/>
    <cellStyle name="Normal 30 2" xfId="182"/>
    <cellStyle name="Normal 31" xfId="183"/>
    <cellStyle name="Normal 31 2" xfId="184"/>
    <cellStyle name="Normal_1019_GSK-MDR1_101020" xfId="185"/>
    <cellStyle name="Normal_request in life week 52" xfId="186"/>
    <cellStyle name="Normal_result of 2932866-IV-20090817" xfId="187"/>
    <cellStyle name="Note" xfId="188"/>
    <cellStyle name="Note 10" xfId="189"/>
    <cellStyle name="Note 2" xfId="190"/>
    <cellStyle name="Note 2 10" xfId="191"/>
    <cellStyle name="Note 2 2" xfId="192"/>
    <cellStyle name="Note 2 2 2" xfId="193"/>
    <cellStyle name="Note 2 2 2 2" xfId="194"/>
    <cellStyle name="Note 2 2 2 2 2" xfId="195"/>
    <cellStyle name="Note 2 2 2 3" xfId="196"/>
    <cellStyle name="Note 2 2 2 3 2" xfId="197"/>
    <cellStyle name="Note 2 2 2 4" xfId="198"/>
    <cellStyle name="Note 2 2 3" xfId="199"/>
    <cellStyle name="Note 2 2 3 2" xfId="200"/>
    <cellStyle name="Note 2 2 3 2 2" xfId="201"/>
    <cellStyle name="Note 2 2 3 3" xfId="202"/>
    <cellStyle name="Note 2 2 4" xfId="203"/>
    <cellStyle name="Note 2 2 4 2" xfId="204"/>
    <cellStyle name="Note 2 2 5" xfId="205"/>
    <cellStyle name="Note 2 3" xfId="206"/>
    <cellStyle name="Note 2 3 2" xfId="207"/>
    <cellStyle name="Note 2 3 2 2" xfId="208"/>
    <cellStyle name="Note 2 3 3" xfId="209"/>
    <cellStyle name="Note 2 3 3 2" xfId="210"/>
    <cellStyle name="Note 2 3 4" xfId="211"/>
    <cellStyle name="Note 2 4" xfId="212"/>
    <cellStyle name="Note 2 4 2" xfId="213"/>
    <cellStyle name="Note 2 4 2 2" xfId="214"/>
    <cellStyle name="Note 2 4 2 2 2" xfId="215"/>
    <cellStyle name="Note 2 4 2 3" xfId="216"/>
    <cellStyle name="Note 2 4 3" xfId="217"/>
    <cellStyle name="Note 2 4 3 2" xfId="218"/>
    <cellStyle name="Note 2 4 4" xfId="219"/>
    <cellStyle name="Note 2 5" xfId="220"/>
    <cellStyle name="Note 2 5 2" xfId="221"/>
    <cellStyle name="Note 2 5 2 2" xfId="222"/>
    <cellStyle name="Note 2 5 3" xfId="223"/>
    <cellStyle name="Note 2 6" xfId="224"/>
    <cellStyle name="Note 2 6 2" xfId="225"/>
    <cellStyle name="Note 2 6 2 2" xfId="226"/>
    <cellStyle name="Note 2 6 3" xfId="227"/>
    <cellStyle name="Note 2 7" xfId="228"/>
    <cellStyle name="Note 2 7 2" xfId="229"/>
    <cellStyle name="Note 2 8" xfId="230"/>
    <cellStyle name="Note 2 8 2" xfId="231"/>
    <cellStyle name="Note 2 9" xfId="232"/>
    <cellStyle name="Note 2 9 2" xfId="233"/>
    <cellStyle name="Note 3" xfId="234"/>
    <cellStyle name="Note 3 2" xfId="235"/>
    <cellStyle name="Note 3 2 2" xfId="236"/>
    <cellStyle name="Note 3 2 3" xfId="237"/>
    <cellStyle name="Note 3 2 4" xfId="238"/>
    <cellStyle name="Note 3 3" xfId="239"/>
    <cellStyle name="Note 3 3 2" xfId="240"/>
    <cellStyle name="Note 3 3 3" xfId="241"/>
    <cellStyle name="Note 3 3 4" xfId="242"/>
    <cellStyle name="Note 3 4" xfId="243"/>
    <cellStyle name="Note 3 5" xfId="244"/>
    <cellStyle name="Note 3 6" xfId="245"/>
    <cellStyle name="Note 4" xfId="246"/>
    <cellStyle name="Note 4 2" xfId="247"/>
    <cellStyle name="Note 4 2 2" xfId="248"/>
    <cellStyle name="Note 4 2 3" xfId="249"/>
    <cellStyle name="Note 4 2 4" xfId="250"/>
    <cellStyle name="Note 4 3" xfId="251"/>
    <cellStyle name="Note 4 3 2" xfId="252"/>
    <cellStyle name="Note 4 3 3" xfId="253"/>
    <cellStyle name="Note 4 3 4" xfId="254"/>
    <cellStyle name="Note 4 4" xfId="255"/>
    <cellStyle name="Note 4 5" xfId="256"/>
    <cellStyle name="Note 4 6" xfId="257"/>
    <cellStyle name="Note 5" xfId="258"/>
    <cellStyle name="Note 5 2" xfId="259"/>
    <cellStyle name="Note 5 3" xfId="260"/>
    <cellStyle name="Note 5 4" xfId="261"/>
    <cellStyle name="Note 6" xfId="262"/>
    <cellStyle name="Note 6 2" xfId="263"/>
    <cellStyle name="Note 6 3" xfId="264"/>
    <cellStyle name="Note 6 4" xfId="265"/>
    <cellStyle name="Note 7" xfId="266"/>
    <cellStyle name="Note 7 2" xfId="267"/>
    <cellStyle name="Note 7 3" xfId="268"/>
    <cellStyle name="Note 7 4" xfId="269"/>
    <cellStyle name="Note 8" xfId="270"/>
    <cellStyle name="Note 9" xfId="271"/>
    <cellStyle name="Output" xfId="272"/>
    <cellStyle name="Output 2" xfId="273"/>
    <cellStyle name="Output 2 2" xfId="274"/>
    <cellStyle name="Output 2 3" xfId="275"/>
    <cellStyle name="Output 3" xfId="276"/>
    <cellStyle name="Output 4" xfId="277"/>
    <cellStyle name="Style 1" xfId="278"/>
    <cellStyle name="Style 1 2 2" xfId="279"/>
    <cellStyle name="Style 1 3" xfId="280"/>
    <cellStyle name="Title" xfId="281"/>
    <cellStyle name="Total" xfId="282"/>
    <cellStyle name="Total 2" xfId="283"/>
    <cellStyle name="Total 2 2" xfId="284"/>
    <cellStyle name="Total 2 3" xfId="285"/>
    <cellStyle name="Total 3" xfId="286"/>
    <cellStyle name="Total 4" xfId="287"/>
    <cellStyle name="Warning Text" xfId="288"/>
    <cellStyle name="百分比 2" xfId="289"/>
    <cellStyle name="百分比 2 2" xfId="290"/>
    <cellStyle name="常规 10" xfId="291"/>
    <cellStyle name="常规 10 2" xfId="292"/>
    <cellStyle name="常规 10 2 2" xfId="293"/>
    <cellStyle name="常规 10 2 3" xfId="294"/>
    <cellStyle name="常规 10 3" xfId="295"/>
    <cellStyle name="常规 10 3 2" xfId="296"/>
    <cellStyle name="常规 10 3 2 2" xfId="297"/>
    <cellStyle name="常规 10 3 3" xfId="298"/>
    <cellStyle name="常规 10 4" xfId="299"/>
    <cellStyle name="常规 10 5" xfId="300"/>
    <cellStyle name="常规 10 5 2" xfId="301"/>
    <cellStyle name="常规 11" xfId="302"/>
    <cellStyle name="常规 11 2" xfId="303"/>
    <cellStyle name="常规 11 2 2" xfId="304"/>
    <cellStyle name="常规 11 2 2 2" xfId="305"/>
    <cellStyle name="常规 11 2 3" xfId="306"/>
    <cellStyle name="常规 11 2 3 2" xfId="307"/>
    <cellStyle name="常规 11 3" xfId="308"/>
    <cellStyle name="常规 11 3 2" xfId="309"/>
    <cellStyle name="常规 11 4" xfId="310"/>
    <cellStyle name="常规 11 4 2" xfId="311"/>
    <cellStyle name="常规 11 5" xfId="312"/>
    <cellStyle name="常规 11 5 2" xfId="313"/>
    <cellStyle name="常规 11 6" xfId="314"/>
    <cellStyle name="常规 11 6 2" xfId="315"/>
    <cellStyle name="常规 11 7" xfId="316"/>
    <cellStyle name="常规 11 7 2" xfId="317"/>
    <cellStyle name="常规 11 8" xfId="318"/>
    <cellStyle name="常规 12" xfId="319"/>
    <cellStyle name="常规 12 2" xfId="320"/>
    <cellStyle name="常规 12 2 2" xfId="321"/>
    <cellStyle name="常规 12 3" xfId="322"/>
    <cellStyle name="常规 12 3 2" xfId="323"/>
    <cellStyle name="常规 12 4" xfId="324"/>
    <cellStyle name="常规 13" xfId="325"/>
    <cellStyle name="常规 13 2" xfId="326"/>
    <cellStyle name="常规 13 3" xfId="327"/>
    <cellStyle name="常规 13 4" xfId="328"/>
    <cellStyle name="常规 14" xfId="329"/>
    <cellStyle name="常规 14 2" xfId="330"/>
    <cellStyle name="常规 15" xfId="331"/>
    <cellStyle name="常规 15 2" xfId="332"/>
    <cellStyle name="常规 16" xfId="333"/>
    <cellStyle name="常规 17" xfId="334"/>
    <cellStyle name="常规 17 2" xfId="335"/>
    <cellStyle name="常规 18" xfId="336"/>
    <cellStyle name="常规 19" xfId="337"/>
    <cellStyle name="常规 2" xfId="338"/>
    <cellStyle name="常规 2 2" xfId="339"/>
    <cellStyle name="常规 2 2 2" xfId="340"/>
    <cellStyle name="常规 2 2 2 2" xfId="341"/>
    <cellStyle name="常规 2 2 2 2 2" xfId="342"/>
    <cellStyle name="常规 2 2 2 3" xfId="343"/>
    <cellStyle name="常规 2 2 3" xfId="344"/>
    <cellStyle name="常规 2 2 3 2" xfId="345"/>
    <cellStyle name="常规 2 2 3 2 2" xfId="346"/>
    <cellStyle name="常规 2 2 3 3" xfId="347"/>
    <cellStyle name="常规 2 2 4" xfId="348"/>
    <cellStyle name="常规 2 2 4 2" xfId="349"/>
    <cellStyle name="常规 2 2 5" xfId="350"/>
    <cellStyle name="常规 2 2 5 2" xfId="351"/>
    <cellStyle name="常规 2 2 6" xfId="352"/>
    <cellStyle name="常规 2 3" xfId="353"/>
    <cellStyle name="常规 2 3 2" xfId="354"/>
    <cellStyle name="常规 2 3 2 2" xfId="355"/>
    <cellStyle name="常规 2 3 2 2 2" xfId="356"/>
    <cellStyle name="常规 2 3 2 3" xfId="357"/>
    <cellStyle name="常规 2 3 3" xfId="358"/>
    <cellStyle name="常规 2 3 3 2" xfId="359"/>
    <cellStyle name="常规 2 3 4" xfId="360"/>
    <cellStyle name="常规 2 3 4 2" xfId="361"/>
    <cellStyle name="常规 2 3 5" xfId="362"/>
    <cellStyle name="常规 2 4" xfId="363"/>
    <cellStyle name="常规 2 4 2" xfId="364"/>
    <cellStyle name="常规 20" xfId="365"/>
    <cellStyle name="常规 3" xfId="366"/>
    <cellStyle name="常规 3 10" xfId="367"/>
    <cellStyle name="常规 3 10 2" xfId="368"/>
    <cellStyle name="常规 3 10 2 2" xfId="369"/>
    <cellStyle name="常规 3 10 3" xfId="370"/>
    <cellStyle name="常规 3 10 3 2" xfId="371"/>
    <cellStyle name="常规 3 10 4" xfId="372"/>
    <cellStyle name="常规 3 11" xfId="373"/>
    <cellStyle name="常规 3 11 2" xfId="374"/>
    <cellStyle name="常规 3 12" xfId="375"/>
    <cellStyle name="常规 3 12 2" xfId="376"/>
    <cellStyle name="常规 3 13" xfId="377"/>
    <cellStyle name="常规 3 13 2" xfId="378"/>
    <cellStyle name="常规 3 14" xfId="379"/>
    <cellStyle name="常规 3 2" xfId="380"/>
    <cellStyle name="常规 3 2 2" xfId="381"/>
    <cellStyle name="常规 3 2 2 2" xfId="382"/>
    <cellStyle name="常规 3 2 2 2 2" xfId="383"/>
    <cellStyle name="常规 3 2 2 2 2 2" xfId="384"/>
    <cellStyle name="常规 3 2 2 2 3" xfId="385"/>
    <cellStyle name="常规 3 2 2 2 3 2" xfId="386"/>
    <cellStyle name="常规 3 2 2 2 4" xfId="387"/>
    <cellStyle name="常规 3 2 2 3" xfId="388"/>
    <cellStyle name="常规 3 2 2 3 2" xfId="389"/>
    <cellStyle name="常规 3 2 2 4" xfId="390"/>
    <cellStyle name="常规 3 2 3" xfId="391"/>
    <cellStyle name="常规 3 2 3 2" xfId="392"/>
    <cellStyle name="常规 3 2 3 2 2" xfId="393"/>
    <cellStyle name="常规 3 2 3 3" xfId="394"/>
    <cellStyle name="常规 3 2 4" xfId="395"/>
    <cellStyle name="常规 3 2 4 2" xfId="396"/>
    <cellStyle name="常规 3 2 5" xfId="397"/>
    <cellStyle name="常规 3 2 5 2" xfId="398"/>
    <cellStyle name="常规 3 2 6" xfId="399"/>
    <cellStyle name="常规 3 3" xfId="400"/>
    <cellStyle name="常规 3 3 2" xfId="401"/>
    <cellStyle name="常规 3 3 2 2" xfId="402"/>
    <cellStyle name="常规 3 3 2 2 2" xfId="403"/>
    <cellStyle name="常规 3 3 2 2 2 2" xfId="404"/>
    <cellStyle name="常规 3 3 2 2 3" xfId="405"/>
    <cellStyle name="常规 3 3 2 3" xfId="406"/>
    <cellStyle name="常规 3 3 2 3 2" xfId="407"/>
    <cellStyle name="常规 3 3 3" xfId="408"/>
    <cellStyle name="常规 3 3 3 2" xfId="409"/>
    <cellStyle name="常规 3 3 3 2 2" xfId="410"/>
    <cellStyle name="常规 3 3 3 3" xfId="411"/>
    <cellStyle name="常规 3 3 3 3 2" xfId="412"/>
    <cellStyle name="常规 3 3 3 4" xfId="413"/>
    <cellStyle name="常规 3 3 3 4 2" xfId="414"/>
    <cellStyle name="常规 3 3 3 5" xfId="415"/>
    <cellStyle name="常规 3 3 3 5 2" xfId="416"/>
    <cellStyle name="常规 3 3 3 6" xfId="417"/>
    <cellStyle name="常规 3 3 4" xfId="418"/>
    <cellStyle name="常规 3 3 4 2" xfId="419"/>
    <cellStyle name="常规 3 3 4 2 2" xfId="420"/>
    <cellStyle name="常规 3 3 4 3" xfId="421"/>
    <cellStyle name="常规 3 3 4 3 2" xfId="422"/>
    <cellStyle name="常规 3 3 4 4" xfId="423"/>
    <cellStyle name="常规 3 3 4 4 2" xfId="424"/>
    <cellStyle name="常规 3 3 4 5" xfId="425"/>
    <cellStyle name="常规 3 3 5" xfId="426"/>
    <cellStyle name="常规 3 3 5 2" xfId="427"/>
    <cellStyle name="常规 3 3 6" xfId="428"/>
    <cellStyle name="常规 3 4" xfId="429"/>
    <cellStyle name="常规 3 4 2" xfId="430"/>
    <cellStyle name="常规 3 4 2 2" xfId="431"/>
    <cellStyle name="常规 3 4 2 2 2" xfId="432"/>
    <cellStyle name="常规 3 4 2 3" xfId="433"/>
    <cellStyle name="常规 3 4 2 3 2" xfId="434"/>
    <cellStyle name="常规 3 4 2 4" xfId="435"/>
    <cellStyle name="常规 3 4 2 4 2" xfId="436"/>
    <cellStyle name="常规 3 4 2 5" xfId="437"/>
    <cellStyle name="常规 3 4 2 5 2" xfId="438"/>
    <cellStyle name="常规 3 4 2 6" xfId="439"/>
    <cellStyle name="常规 3 4 3" xfId="440"/>
    <cellStyle name="常规 3 4 3 2" xfId="441"/>
    <cellStyle name="常规 3 4 3 2 2" xfId="442"/>
    <cellStyle name="常规 3 4 3 3" xfId="443"/>
    <cellStyle name="常规 3 4 3 3 2" xfId="444"/>
    <cellStyle name="常规 3 4 3 4" xfId="445"/>
    <cellStyle name="常规 3 4 3 4 2" xfId="446"/>
    <cellStyle name="常规 3 4 3 5" xfId="447"/>
    <cellStyle name="常规 3 4 4" xfId="448"/>
    <cellStyle name="常规 3 4 4 2" xfId="449"/>
    <cellStyle name="常规 3 4 4 2 2" xfId="450"/>
    <cellStyle name="常规 3 4 4 3" xfId="451"/>
    <cellStyle name="常规 3 4 5" xfId="452"/>
    <cellStyle name="常规 3 5" xfId="453"/>
    <cellStyle name="常规 3 5 2" xfId="454"/>
    <cellStyle name="常规 3 5 2 2" xfId="455"/>
    <cellStyle name="常规 3 5 2 2 2" xfId="456"/>
    <cellStyle name="常规 3 5 2 3" xfId="457"/>
    <cellStyle name="常规 3 5 2 3 2" xfId="458"/>
    <cellStyle name="常规 3 5 2 4" xfId="459"/>
    <cellStyle name="常规 3 5 2 4 2" xfId="460"/>
    <cellStyle name="常规 3 5 2 5" xfId="461"/>
    <cellStyle name="常规 3 5 3" xfId="462"/>
    <cellStyle name="常规 3 5 3 2" xfId="463"/>
    <cellStyle name="常规 3 5 3 2 2" xfId="464"/>
    <cellStyle name="常规 3 5 3 3" xfId="465"/>
    <cellStyle name="常规 3 5 3 3 2" xfId="466"/>
    <cellStyle name="常规 3 5 3 4" xfId="467"/>
    <cellStyle name="常规 3 5 3 4 2" xfId="468"/>
    <cellStyle name="常规 3 5 3 5" xfId="469"/>
    <cellStyle name="常规 3 5 4" xfId="470"/>
    <cellStyle name="常规 3 5 4 2" xfId="471"/>
    <cellStyle name="常规 3 5 5" xfId="472"/>
    <cellStyle name="常规 3 5 5 2" xfId="473"/>
    <cellStyle name="常规 3 5 6" xfId="474"/>
    <cellStyle name="常规 3 5 6 2" xfId="475"/>
    <cellStyle name="常规 3 5 7" xfId="476"/>
    <cellStyle name="常规 3 5 7 2" xfId="477"/>
    <cellStyle name="常规 3 5 8" xfId="478"/>
    <cellStyle name="常规 3 6" xfId="479"/>
    <cellStyle name="常规 3 6 2" xfId="480"/>
    <cellStyle name="常规 3 6 2 2" xfId="481"/>
    <cellStyle name="常规 3 6 3" xfId="482"/>
    <cellStyle name="常规 3 6 3 2" xfId="483"/>
    <cellStyle name="常规 3 6 4" xfId="484"/>
    <cellStyle name="常规 3 6 4 2" xfId="485"/>
    <cellStyle name="常规 3 6 5" xfId="486"/>
    <cellStyle name="常规 3 6 5 2" xfId="487"/>
    <cellStyle name="常规 3 6 6" xfId="488"/>
    <cellStyle name="常规 3 6 6 2" xfId="489"/>
    <cellStyle name="常规 3 6 7" xfId="490"/>
    <cellStyle name="常规 3 6 7 2" xfId="491"/>
    <cellStyle name="常规 3 6 8" xfId="492"/>
    <cellStyle name="常规 3 7" xfId="493"/>
    <cellStyle name="常规 3 7 2" xfId="494"/>
    <cellStyle name="常规 3 7 2 2" xfId="495"/>
    <cellStyle name="常规 3 7 3" xfId="496"/>
    <cellStyle name="常规 3 7 3 2" xfId="497"/>
    <cellStyle name="常规 3 7 4" xfId="498"/>
    <cellStyle name="常规 3 7 4 2" xfId="499"/>
    <cellStyle name="常规 3 7 5" xfId="500"/>
    <cellStyle name="常规 3 8" xfId="501"/>
    <cellStyle name="常规 3 8 2" xfId="502"/>
    <cellStyle name="常规 3 8 2 2" xfId="503"/>
    <cellStyle name="常规 3 8 3" xfId="504"/>
    <cellStyle name="常规 3 8 3 2" xfId="505"/>
    <cellStyle name="常规 3 8 4" xfId="506"/>
    <cellStyle name="常规 3 8 4 2" xfId="507"/>
    <cellStyle name="常规 3 8 5" xfId="508"/>
    <cellStyle name="常规 3 9" xfId="509"/>
    <cellStyle name="常规 3 9 2" xfId="510"/>
    <cellStyle name="常规 3 9 2 2" xfId="511"/>
    <cellStyle name="常规 3 9 3" xfId="512"/>
    <cellStyle name="常规 3 9 3 2" xfId="513"/>
    <cellStyle name="常规 3 9 4" xfId="514"/>
    <cellStyle name="常规 3 9 4 2" xfId="515"/>
    <cellStyle name="常规 3 9 5" xfId="516"/>
    <cellStyle name="常规 4" xfId="517"/>
    <cellStyle name="常规 4 2" xfId="518"/>
    <cellStyle name="常规 4 3" xfId="519"/>
    <cellStyle name="常规 4 4" xfId="520"/>
    <cellStyle name="常规 4 5" xfId="521"/>
    <cellStyle name="常规 4 6" xfId="522"/>
    <cellStyle name="常规 4 6 2" xfId="523"/>
    <cellStyle name="常规 5" xfId="524"/>
    <cellStyle name="常规 5 2" xfId="525"/>
    <cellStyle name="常规 5 2 2" xfId="526"/>
    <cellStyle name="常规 5 2 2 2" xfId="527"/>
    <cellStyle name="常规 5 2 3" xfId="528"/>
    <cellStyle name="常规 5 3" xfId="529"/>
    <cellStyle name="常规 5 3 2" xfId="530"/>
    <cellStyle name="常规 5 3 2 2" xfId="531"/>
    <cellStyle name="常规 5 3 3" xfId="532"/>
    <cellStyle name="常规 5 4" xfId="533"/>
    <cellStyle name="常规 5 4 2" xfId="534"/>
    <cellStyle name="常规 5 5" xfId="535"/>
    <cellStyle name="常规 5 5 2" xfId="536"/>
    <cellStyle name="常规 5 6" xfId="537"/>
    <cellStyle name="常规 6" xfId="538"/>
    <cellStyle name="常规 6 2" xfId="539"/>
    <cellStyle name="常规 6 2 2" xfId="540"/>
    <cellStyle name="常规 6 3" xfId="541"/>
    <cellStyle name="常规 7" xfId="542"/>
    <cellStyle name="常规 7 2" xfId="543"/>
    <cellStyle name="常规 7 2 2" xfId="544"/>
    <cellStyle name="常规 7 2 2 2" xfId="545"/>
    <cellStyle name="常规 7 2 3" xfId="546"/>
    <cellStyle name="常规 7 2 3 2" xfId="547"/>
    <cellStyle name="常规 7 2 4" xfId="548"/>
    <cellStyle name="常规 7 2 4 2" xfId="549"/>
    <cellStyle name="常规 7 2 5" xfId="550"/>
    <cellStyle name="常规 7 3" xfId="551"/>
    <cellStyle name="常规 7 3 2" xfId="552"/>
    <cellStyle name="常规 7 3 2 2" xfId="553"/>
    <cellStyle name="常规 7 3 3" xfId="554"/>
    <cellStyle name="常规 7 4" xfId="555"/>
    <cellStyle name="常规 7 4 2" xfId="556"/>
    <cellStyle name="常规 7 4 2 2" xfId="557"/>
    <cellStyle name="常规 7 4 3" xfId="558"/>
    <cellStyle name="常规 7 5" xfId="559"/>
    <cellStyle name="常规 7 5 2" xfId="560"/>
    <cellStyle name="常规 7 6" xfId="561"/>
    <cellStyle name="常规 8" xfId="562"/>
    <cellStyle name="常规 8 2" xfId="563"/>
    <cellStyle name="常规 8 2 2" xfId="564"/>
    <cellStyle name="常规 8 2 2 2" xfId="565"/>
    <cellStyle name="常规 8 2 2 2 2" xfId="566"/>
    <cellStyle name="常规 8 2 2 3" xfId="567"/>
    <cellStyle name="常规 8 2 3" xfId="568"/>
    <cellStyle name="常规 8 3" xfId="569"/>
    <cellStyle name="常规 8 3 2" xfId="570"/>
    <cellStyle name="常规 8 3 2 2" xfId="571"/>
    <cellStyle name="常规 8 4" xfId="572"/>
    <cellStyle name="常规 8 5" xfId="573"/>
    <cellStyle name="常规 9" xfId="574"/>
    <cellStyle name="常规 9 10" xfId="575"/>
    <cellStyle name="常规 9 10 2" xfId="576"/>
    <cellStyle name="常规 9 10 2 2" xfId="577"/>
    <cellStyle name="常规 9 10 3" xfId="578"/>
    <cellStyle name="常规 9 11" xfId="579"/>
    <cellStyle name="常规 9 11 2" xfId="580"/>
    <cellStyle name="常规 9 12" xfId="581"/>
    <cellStyle name="常规 9 13" xfId="582"/>
    <cellStyle name="常规 9 13 2" xfId="583"/>
    <cellStyle name="常规 9 14" xfId="584"/>
    <cellStyle name="常规 9 2" xfId="585"/>
    <cellStyle name="常规 9 2 2" xfId="586"/>
    <cellStyle name="常规 9 2 2 2" xfId="587"/>
    <cellStyle name="常规 9 2 3" xfId="588"/>
    <cellStyle name="常规 9 3" xfId="589"/>
    <cellStyle name="常规 9 3 2" xfId="590"/>
    <cellStyle name="常规 9 4" xfId="591"/>
    <cellStyle name="常规 9 4 2" xfId="592"/>
    <cellStyle name="常规 9 5" xfId="593"/>
    <cellStyle name="常规 9 5 2" xfId="594"/>
    <cellStyle name="常规 9 5 2 2" xfId="595"/>
    <cellStyle name="常规 9 5 3" xfId="596"/>
    <cellStyle name="常规 9 5 3 2" xfId="597"/>
    <cellStyle name="常规 9 5 4" xfId="598"/>
    <cellStyle name="常规 9 6" xfId="599"/>
    <cellStyle name="常规 9 6 2" xfId="600"/>
    <cellStyle name="常规 9 6 2 2" xfId="601"/>
    <cellStyle name="常规 9 6 3" xfId="602"/>
    <cellStyle name="常规 9 6 3 2" xfId="603"/>
    <cellStyle name="常规 9 6 4" xfId="604"/>
    <cellStyle name="常规 9 7" xfId="605"/>
    <cellStyle name="常规 9 7 2" xfId="606"/>
    <cellStyle name="常规 9 7 2 2" xfId="607"/>
    <cellStyle name="常规 9 7 3" xfId="608"/>
    <cellStyle name="常规 9 7 3 2" xfId="609"/>
    <cellStyle name="常规 9 7 4" xfId="610"/>
    <cellStyle name="常规 9 8" xfId="611"/>
    <cellStyle name="常规 9 8 2" xfId="612"/>
    <cellStyle name="常规 9 9" xfId="613"/>
    <cellStyle name="常规 9 9 2" xfId="614"/>
    <cellStyle name="常规 9 9 2 2" xfId="615"/>
    <cellStyle name="常规 9 9 3" xfId="616"/>
    <cellStyle name="常规 9 9 3 2" xfId="617"/>
    <cellStyle name="常规 9 9 4" xfId="618"/>
    <cellStyle name="常规_080520 KG5 rat PK" xfId="619"/>
    <cellStyle name="常规_080727 JNJ-17156516 Rat PK reinjection" xfId="620"/>
    <cellStyle name="常规_080925 JNJ-41462304 rat PK retest 3" xfId="621"/>
    <cellStyle name="常规_PF-05297909-01-0008 3" xfId="622"/>
    <cellStyle name="常规_Report_AF34686 2_LDBK-20111214-RPK02_20111222" xfId="623"/>
    <cellStyle name="常规_result of 01Q675_20100407 (2)" xfId="624"/>
    <cellStyle name="常规_Sheet1_PF-05297909-01-0008" xfId="625"/>
    <cellStyle name="千位分隔 2" xfId="626"/>
    <cellStyle name="千位分隔 2 2" xfId="627"/>
    <cellStyle name="千位分隔 2 2 2" xfId="628"/>
    <cellStyle name="千位分隔 2 3" xfId="629"/>
    <cellStyle name="千位分隔 2 3 2" xfId="630"/>
    <cellStyle name="千位分隔 2 4" xfId="631"/>
    <cellStyle name="千位分隔 2 4 2" xfId="632"/>
    <cellStyle name="千位分隔 2 5" xfId="633"/>
    <cellStyle name="千位分隔 2 5 2" xfId="634"/>
    <cellStyle name="千位分隔 2 6" xfId="635"/>
    <cellStyle name="千位分隔 3" xfId="636"/>
    <cellStyle name="千位分隔 3 2" xfId="637"/>
    <cellStyle name="千位分隔 3 2 2" xfId="638"/>
    <cellStyle name="千位分隔 3 3" xfId="639"/>
    <cellStyle name="千位分隔 4" xfId="640"/>
    <cellStyle name="千位分隔 4 2" xfId="641"/>
    <cellStyle name="注释 2" xfId="642"/>
  </cellStyles>
  <dxfs count="3">
    <dxf>
      <font>
        <color indexed="8"/>
      </font>
      <fill>
        <patternFill patternType="solid">
          <bgColor indexed="13"/>
        </patternFill>
      </fill>
    </dxf>
    <dxf>
      <fill>
        <patternFill patternType="solid">
          <bgColor indexed="45"/>
        </patternFill>
      </fill>
    </dxf>
    <dxf>
      <fill>
        <patternFill patternType="none"/>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3997503094305"/>
          <c:y val="0.0417424125620459"/>
          <c:w val="0.771848842604294"/>
          <c:h val="0.797605177453595"/>
        </c:manualLayout>
      </c:layout>
      <c:scatterChart>
        <c:scatterStyle val="lineMarker"/>
        <c:varyColors val="0"/>
        <c:ser>
          <c:idx val="0"/>
          <c:order val="0"/>
          <c:tx>
            <c:strRef>
              <c:f>结果汇总!$G$7</c:f>
              <c:strCache>
                <c:ptCount val="1"/>
                <c:pt idx="0">
                  <c:v>Mean </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154.333333333333</c:v>
                </c:pt>
                <c:pt idx="1" c:formatCode="0.0_ ">
                  <c:v>45.5</c:v>
                </c:pt>
                <c:pt idx="2" c:formatCode="0.0_ ">
                  <c:v>19.3</c:v>
                </c:pt>
                <c:pt idx="3" c:formatCode="0.00_ ">
                  <c:v>9.30333333333333</c:v>
                </c:pt>
                <c:pt idx="4">
                  <c:v>0</c:v>
                </c:pt>
                <c:pt idx="5">
                  <c:v>0</c:v>
                </c:pt>
                <c:pt idx="6">
                  <c:v>0</c:v>
                </c:pt>
                <c:pt idx="7">
                  <c:v>0</c:v>
                </c:pt>
                <c:pt idx="8" c:formatCode="0.0_ ">
                  <c:v>0</c:v>
                </c:pt>
              </c:numCache>
            </c:numRef>
          </c:yVal>
          <c:smooth val="0"/>
        </c:ser>
        <c:dLbls>
          <c:showLegendKey val="0"/>
          <c:showVal val="0"/>
          <c:showCatName val="0"/>
          <c:showSerName val="0"/>
          <c:showPercent val="0"/>
          <c:showBubbleSize val="0"/>
        </c:dLbls>
        <c:axId val="143339520"/>
        <c:axId val="143341440"/>
      </c:scatterChart>
      <c:valAx>
        <c:axId val="14333952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341440"/>
        <c:crosses val="autoZero"/>
        <c:crossBetween val="midCat"/>
        <c:majorUnit val="2"/>
      </c:valAx>
      <c:valAx>
        <c:axId val="143341440"/>
        <c:scaling>
          <c:logBase val="10"/>
          <c:orientation val="minMax"/>
        </c:scaling>
        <c:delete val="0"/>
        <c:axPos val="l"/>
        <c:title>
          <c:tx>
            <c:rich>
              <a:bodyPr rot="-5400000" spcFirstLastPara="1" vertOverflow="ellipsis" vert="horz" wrap="square" anchor="ctr" anchorCtr="1"/>
              <a:lstStyle/>
              <a:p>
                <a:pPr algn="ctr" rtl="0">
                  <a:defRPr lang="zh-CN" sz="1000" b="0" i="0" u="none" strike="noStrike" kern="1200" baseline="0">
                    <a:solidFill>
                      <a:sysClr val="windowText" lastClr="000000">
                        <a:lumMod val="65000"/>
                        <a:lumOff val="35000"/>
                      </a:sysClr>
                    </a:solidFill>
                    <a:latin typeface="+mn-lt"/>
                    <a:ea typeface="+mn-ea"/>
                    <a:cs typeface="+mn-cs"/>
                  </a:defRPr>
                </a:pPr>
                <a:r>
                  <a:rPr lang="zh-CN" altLang="zh-CN" sz="1000" b="0" i="0" u="none" strike="noStrike" kern="1200" baseline="0">
                    <a:solidFill>
                      <a:sysClr val="windowText" lastClr="000000">
                        <a:lumMod val="65000"/>
                        <a:lumOff val="35000"/>
                      </a:sysClr>
                    </a:solidFill>
                    <a:latin typeface="+mn-lt"/>
                    <a:ea typeface="+mn-ea"/>
                    <a:cs typeface="+mn-cs"/>
                  </a:rPr>
                  <a:t>Conc.（ng/mL）</a:t>
                </a:r>
                <a:endParaRPr lang="zh-CN" altLang="zh-CN" sz="1000" b="0" i="0" u="none" strike="noStrike" kern="1200" baseline="0">
                  <a:solidFill>
                    <a:sysClr val="windowText" lastClr="000000">
                      <a:lumMod val="65000"/>
                      <a:lumOff val="35000"/>
                    </a:sysClr>
                  </a:solidFill>
                  <a:latin typeface="+mn-lt"/>
                  <a:ea typeface="+mn-ea"/>
                  <a:cs typeface="+mn-cs"/>
                </a:endParaRPr>
              </a:p>
            </c:rich>
          </c:tx>
          <c:layout>
            <c:manualLayout>
              <c:xMode val="edge"/>
              <c:yMode val="edge"/>
              <c:x val="0.0163309730148031"/>
              <c:y val="0.299980936535995"/>
            </c:manualLayout>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339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0.0266286297608036"/>
          <c:w val="0.684885549748688"/>
          <c:h val="0.79774540893593"/>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结果汇总!$M$8:$M$16</c:f>
              <c:numCache>
                <c:formatCode>General</c:formatCode>
                <c:ptCount val="9"/>
                <c:pt idx="0">
                  <c:v>696</c:v>
                </c:pt>
                <c:pt idx="1" c:formatCode="0_ ">
                  <c:v>919</c:v>
                </c:pt>
                <c:pt idx="2">
                  <c:v>452</c:v>
                </c:pt>
                <c:pt idx="3">
                  <c:v>53.3</c:v>
                </c:pt>
                <c:pt idx="4">
                  <c:v>8.36</c:v>
                </c:pt>
                <c:pt idx="5" c:formatCode="0.00_ ">
                  <c:v>4.1</c:v>
                </c:pt>
                <c:pt idx="6">
                  <c:v>2.33</c:v>
                </c:pt>
                <c:pt idx="7">
                  <c:v>0</c:v>
                </c:pt>
                <c:pt idx="8" c:formatCode="0.00_ ">
                  <c:v>0</c:v>
                </c:pt>
              </c:numCache>
            </c:numRef>
          </c:yVal>
          <c:smooth val="0"/>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结果汇总!$N$8:$N$16</c:f>
              <c:numCache>
                <c:formatCode>General</c:formatCode>
                <c:ptCount val="9"/>
                <c:pt idx="0">
                  <c:v>571</c:v>
                </c:pt>
                <c:pt idx="1">
                  <c:v>185</c:v>
                </c:pt>
                <c:pt idx="2">
                  <c:v>144</c:v>
                </c:pt>
                <c:pt idx="3">
                  <c:v>41.5</c:v>
                </c:pt>
                <c:pt idx="4">
                  <c:v>0</c:v>
                </c:pt>
                <c:pt idx="5">
                  <c:v>2.74</c:v>
                </c:pt>
                <c:pt idx="6">
                  <c:v>0</c:v>
                </c:pt>
                <c:pt idx="7">
                  <c:v>0</c:v>
                </c:pt>
                <c:pt idx="8">
                  <c:v>0</c:v>
                </c:pt>
              </c:numCache>
            </c:numRef>
          </c:yVal>
          <c:smooth val="0"/>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结果汇总!$O$8:$O$16</c:f>
              <c:numCache>
                <c:formatCode>General</c:formatCode>
                <c:ptCount val="9"/>
                <c:pt idx="0">
                  <c:v>541</c:v>
                </c:pt>
                <c:pt idx="1">
                  <c:v>163</c:v>
                </c:pt>
                <c:pt idx="2">
                  <c:v>78.3</c:v>
                </c:pt>
                <c:pt idx="3">
                  <c:v>16.3</c:v>
                </c:pt>
                <c:pt idx="4">
                  <c:v>0</c:v>
                </c:pt>
                <c:pt idx="5" c:formatCode="0.00_ ">
                  <c:v>3.1</c:v>
                </c:pt>
                <c:pt idx="6" c:formatCode="0.00_ ">
                  <c:v>0</c:v>
                </c:pt>
                <c:pt idx="7">
                  <c:v>0</c:v>
                </c:pt>
                <c:pt idx="8">
                  <c:v>0</c:v>
                </c:pt>
              </c:numCache>
            </c:numRef>
          </c:yVal>
          <c:smooth val="0"/>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50016"/>
        <c:crosses val="autoZero"/>
        <c:crossBetween val="midCat"/>
        <c:majorUnit val="2"/>
      </c:valAx>
      <c:valAx>
        <c:axId val="100950016"/>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338472122123597"/>
              <c:y val="0.28392518468845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35552"/>
        <c:crosses val="autoZero"/>
        <c:crossBetween val="midCat"/>
        <c:majorUnit val="10"/>
      </c:valAx>
      <c:spPr>
        <a:noFill/>
        <a:ln>
          <a:noFill/>
        </a:ln>
        <a:effectLst/>
      </c:spPr>
    </c:plotArea>
    <c:legend>
      <c:legendPos val="r"/>
      <c:layout>
        <c:manualLayout>
          <c:xMode val="edge"/>
          <c:yMode val="edge"/>
          <c:x val="0.758765778401122"/>
          <c:y val="0.490076635881313"/>
          <c:w val="0.120792426367461"/>
          <c:h val="0.208095893102771"/>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629919476199"/>
          <c:y val="0.0400706504384504"/>
          <c:w val="0.796132135407662"/>
          <c:h val="0.782803153145228"/>
        </c:manualLayout>
      </c:layout>
      <c:scatterChart>
        <c:scatterStyle val="lineMarker"/>
        <c:varyColors val="0"/>
        <c:ser>
          <c:idx val="0"/>
          <c:order val="0"/>
          <c:tx>
            <c:strRef>
              <c:f>结果汇总!$P$7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结果汇总!$P$8:$P$16</c:f>
              <c:numCache>
                <c:formatCode>0_ </c:formatCode>
                <c:ptCount val="9"/>
                <c:pt idx="0">
                  <c:v>602.666666666667</c:v>
                </c:pt>
                <c:pt idx="1">
                  <c:v>422.333333333333</c:v>
                </c:pt>
                <c:pt idx="2">
                  <c:v>224.766666666667</c:v>
                </c:pt>
                <c:pt idx="3" c:formatCode="0.0_ ">
                  <c:v>37.0333333333333</c:v>
                </c:pt>
                <c:pt idx="4" c:formatCode="0.00_ ">
                  <c:v>8.36</c:v>
                </c:pt>
                <c:pt idx="5" c:formatCode="0.00_ ">
                  <c:v>3.31333333333333</c:v>
                </c:pt>
                <c:pt idx="6" c:formatCode="0.00_ ">
                  <c:v>2.33</c:v>
                </c:pt>
                <c:pt idx="7" c:formatCode="0.0_ ">
                  <c:v>0</c:v>
                </c:pt>
                <c:pt idx="8" c:formatCode="0.00_ ">
                  <c:v>0</c:v>
                </c:pt>
              </c:numCache>
            </c:numRef>
          </c:yVal>
          <c:smooth val="0"/>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7216"/>
        <c:crosses val="autoZero"/>
        <c:crossBetween val="midCat"/>
        <c:majorUnit val="2"/>
      </c:valAx>
      <c:valAx>
        <c:axId val="143657216"/>
        <c:scaling>
          <c:logBase val="10"/>
          <c:orientation val="minMax"/>
          <c:max val="1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197517244525571"/>
              <c:y val="0.2972852169076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948448721304"/>
          <c:y val="0.0266286297608036"/>
          <c:w val="0.720443372634411"/>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126</c:v>
                </c:pt>
                <c:pt idx="1">
                  <c:v>29.8</c:v>
                </c:pt>
                <c:pt idx="2" c:formatCode="0.0_ ">
                  <c:v>17.1</c:v>
                </c:pt>
                <c:pt idx="3">
                  <c:v>6.93</c:v>
                </c:pt>
                <c:pt idx="4">
                  <c:v>0</c:v>
                </c:pt>
                <c:pt idx="5" c:formatCode="0_ ">
                  <c:v>0</c:v>
                </c:pt>
                <c:pt idx="6">
                  <c:v>0</c:v>
                </c:pt>
                <c:pt idx="7">
                  <c:v>0</c:v>
                </c:pt>
                <c:pt idx="8">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108</c:v>
                </c:pt>
                <c:pt idx="1">
                  <c:v>37.9</c:v>
                </c:pt>
                <c:pt idx="2">
                  <c:v>19.7</c:v>
                </c:pt>
                <c:pt idx="3">
                  <c:v>15.8</c:v>
                </c:pt>
                <c:pt idx="4">
                  <c:v>0</c:v>
                </c:pt>
                <c:pt idx="5">
                  <c:v>0</c:v>
                </c:pt>
                <c:pt idx="6" c:formatCode="0_ ">
                  <c:v>0</c:v>
                </c:pt>
                <c:pt idx="7">
                  <c:v>0</c:v>
                </c:pt>
                <c:pt idx="8" c:formatCode="0.0_ ">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229</c:v>
                </c:pt>
                <c:pt idx="1">
                  <c:v>68.8</c:v>
                </c:pt>
                <c:pt idx="2">
                  <c:v>21.1</c:v>
                </c:pt>
                <c:pt idx="3" c:formatCode="0.00_ ">
                  <c:v>5.18</c:v>
                </c:pt>
                <c:pt idx="4" c:formatCode="0_ ">
                  <c:v>0</c:v>
                </c:pt>
                <c:pt idx="5">
                  <c:v>0</c:v>
                </c:pt>
                <c:pt idx="6">
                  <c:v>0</c:v>
                </c:pt>
                <c:pt idx="7">
                  <c:v>0</c:v>
                </c:pt>
                <c:pt idx="8" c:formatCode="0.00_ ">
                  <c:v>0</c:v>
                </c:pt>
              </c:numCache>
            </c:numRef>
          </c:yVal>
          <c:smooth val="0"/>
        </c:ser>
        <c:dLbls>
          <c:showLegendKey val="0"/>
          <c:showVal val="0"/>
          <c:showCatName val="0"/>
          <c:showSerName val="0"/>
          <c:showPercent val="0"/>
          <c:showBubbleSize val="0"/>
        </c:dLbls>
        <c:axId val="143708160"/>
        <c:axId val="143710464"/>
      </c:scatterChart>
      <c:valAx>
        <c:axId val="14370816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710464"/>
        <c:crosses val="autoZero"/>
        <c:crossBetween val="midCat"/>
        <c:majorUnit val="2"/>
      </c:valAx>
      <c:valAx>
        <c:axId val="143710464"/>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141872979186584"/>
              <c:y val="0.30199971623164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708160"/>
        <c:crosses val="autoZero"/>
        <c:crossBetween val="midCat"/>
        <c:majorUnit val="10"/>
      </c:valAx>
      <c:spPr>
        <a:noFill/>
        <a:ln>
          <a:noFill/>
        </a:ln>
        <a:effectLst/>
      </c:spPr>
    </c:plotArea>
    <c:legend>
      <c:legendPos val="r"/>
      <c:layout>
        <c:manualLayout>
          <c:xMode val="edge"/>
          <c:yMode val="edge"/>
          <c:x val="0.84764788808807"/>
          <c:y val="0.211745758713376"/>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2381</xdr:colOff>
      <xdr:row>16</xdr:row>
      <xdr:rowOff>152400</xdr:rowOff>
    </xdr:from>
    <xdr:to>
      <xdr:col>9</xdr:col>
      <xdr:colOff>631031</xdr:colOff>
      <xdr:row>31</xdr:row>
      <xdr:rowOff>154782</xdr:rowOff>
    </xdr:to>
    <xdr:graphicFrame>
      <xdr:nvGraphicFramePr>
        <xdr:cNvPr id="6" name="图表 5"/>
        <xdr:cNvGraphicFramePr/>
      </xdr:nvGraphicFramePr>
      <xdr:xfrm>
        <a:off x="4079240" y="3292475"/>
        <a:ext cx="3597910" cy="32404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71437</xdr:colOff>
      <xdr:row>16</xdr:row>
      <xdr:rowOff>164306</xdr:rowOff>
    </xdr:from>
    <xdr:to>
      <xdr:col>13</xdr:col>
      <xdr:colOff>538162</xdr:colOff>
      <xdr:row>31</xdr:row>
      <xdr:rowOff>50006</xdr:rowOff>
    </xdr:to>
    <xdr:graphicFrame>
      <xdr:nvGraphicFramePr>
        <xdr:cNvPr id="8" name="图表 7"/>
        <xdr:cNvGraphicFramePr/>
      </xdr:nvGraphicFramePr>
      <xdr:xfrm>
        <a:off x="7860030" y="3303905"/>
        <a:ext cx="3357245" cy="3124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635793</xdr:colOff>
      <xdr:row>16</xdr:row>
      <xdr:rowOff>200025</xdr:rowOff>
    </xdr:from>
    <xdr:to>
      <xdr:col>18</xdr:col>
      <xdr:colOff>419100</xdr:colOff>
      <xdr:row>31</xdr:row>
      <xdr:rowOff>85725</xdr:rowOff>
    </xdr:to>
    <xdr:graphicFrame>
      <xdr:nvGraphicFramePr>
        <xdr:cNvPr id="9" name="图表 8"/>
        <xdr:cNvGraphicFramePr/>
      </xdr:nvGraphicFramePr>
      <xdr:xfrm>
        <a:off x="11315065" y="3317875"/>
        <a:ext cx="3495040" cy="314642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72390</xdr:colOff>
      <xdr:row>17</xdr:row>
      <xdr:rowOff>10160</xdr:rowOff>
    </xdr:from>
    <xdr:to>
      <xdr:col>4</xdr:col>
      <xdr:colOff>601556</xdr:colOff>
      <xdr:row>31</xdr:row>
      <xdr:rowOff>147743</xdr:rowOff>
    </xdr:to>
    <xdr:graphicFrame>
      <xdr:nvGraphicFramePr>
        <xdr:cNvPr id="7" name="图表 6"/>
        <xdr:cNvGraphicFramePr/>
      </xdr:nvGraphicFramePr>
      <xdr:xfrm>
        <a:off x="447675" y="3328035"/>
        <a:ext cx="3488690" cy="31978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196</xdr:row>
      <xdr:rowOff>71755</xdr:rowOff>
    </xdr:from>
    <xdr:to>
      <xdr:col>4</xdr:col>
      <xdr:colOff>406400</xdr:colOff>
      <xdr:row>226</xdr:row>
      <xdr:rowOff>62230</xdr:rowOff>
    </xdr:to>
    <xdr:pic>
      <xdr:nvPicPr>
        <xdr:cNvPr id="4" name="图片 3"/>
        <xdr:cNvPicPr>
          <a:picLocks noChangeAspect="1"/>
        </xdr:cNvPicPr>
      </xdr:nvPicPr>
      <xdr:blipFill>
        <a:blip r:embed="rId1"/>
        <a:stretch>
          <a:fillRect/>
        </a:stretch>
      </xdr:blipFill>
      <xdr:spPr>
        <a:xfrm>
          <a:off x="635" y="36514405"/>
          <a:ext cx="8334375" cy="5324475"/>
        </a:xfrm>
        <a:prstGeom prst="rect">
          <a:avLst/>
        </a:prstGeom>
        <a:noFill/>
        <a:ln w="9525">
          <a:noFill/>
        </a:ln>
      </xdr:spPr>
    </xdr:pic>
    <xdr:clientData/>
  </xdr:twoCellAnchor>
  <xdr:twoCellAnchor editAs="oneCell">
    <xdr:from>
      <xdr:col>0</xdr:col>
      <xdr:colOff>143510</xdr:colOff>
      <xdr:row>105</xdr:row>
      <xdr:rowOff>23495</xdr:rowOff>
    </xdr:from>
    <xdr:to>
      <xdr:col>4</xdr:col>
      <xdr:colOff>520700</xdr:colOff>
      <xdr:row>134</xdr:row>
      <xdr:rowOff>80645</xdr:rowOff>
    </xdr:to>
    <xdr:pic>
      <xdr:nvPicPr>
        <xdr:cNvPr id="5" name="图片 4"/>
        <xdr:cNvPicPr>
          <a:picLocks noChangeAspect="1"/>
        </xdr:cNvPicPr>
      </xdr:nvPicPr>
      <xdr:blipFill>
        <a:blip r:embed="rId2"/>
        <a:stretch>
          <a:fillRect/>
        </a:stretch>
      </xdr:blipFill>
      <xdr:spPr>
        <a:xfrm>
          <a:off x="143510" y="20248245"/>
          <a:ext cx="8305800" cy="52133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W93"/>
  <sheetViews>
    <sheetView zoomScale="90" zoomScaleNormal="90" workbookViewId="0">
      <selection activeCell="B22" sqref="B22"/>
    </sheetView>
  </sheetViews>
  <sheetFormatPr defaultColWidth="0" defaultRowHeight="15.5"/>
  <cols>
    <col min="1" max="1" width="20.8727272727273" style="523" customWidth="1"/>
    <col min="2" max="2" width="32" style="523" customWidth="1"/>
    <col min="3" max="8" width="0" style="524" hidden="1"/>
    <col min="9" max="255" width="9" style="524" hidden="1"/>
    <col min="256" max="256" width="20" style="524" hidden="1" customWidth="1"/>
    <col min="257" max="257" width="66.3727272727273" style="524" customWidth="1"/>
    <col min="258" max="258" width="65" style="524" customWidth="1"/>
    <col min="259" max="512" width="9" style="524" hidden="1"/>
    <col min="513" max="513" width="33.3727272727273" style="524" customWidth="1"/>
    <col min="514" max="514" width="65" style="524" customWidth="1"/>
    <col min="515" max="768" width="9" style="524" hidden="1"/>
    <col min="769" max="769" width="33.3727272727273" style="524" customWidth="1"/>
    <col min="770" max="770" width="65" style="524" customWidth="1"/>
    <col min="771" max="1024" width="9" style="524" hidden="1"/>
    <col min="1025" max="1025" width="33.3727272727273" style="524" customWidth="1"/>
    <col min="1026" max="1026" width="65" style="524" customWidth="1"/>
    <col min="1027" max="1280" width="9" style="524" hidden="1"/>
    <col min="1281" max="1281" width="33.3727272727273" style="524" customWidth="1"/>
    <col min="1282" max="1282" width="65" style="524" customWidth="1"/>
    <col min="1283" max="1536" width="9" style="524" hidden="1"/>
    <col min="1537" max="1537" width="33.3727272727273" style="524" customWidth="1"/>
    <col min="1538" max="1538" width="65" style="524" customWidth="1"/>
    <col min="1539" max="1792" width="9" style="524" hidden="1"/>
    <col min="1793" max="1793" width="33.3727272727273" style="524" customWidth="1"/>
    <col min="1794" max="1794" width="65" style="524" customWidth="1"/>
    <col min="1795" max="2048" width="9" style="524" hidden="1"/>
    <col min="2049" max="2049" width="33.3727272727273" style="524" customWidth="1"/>
    <col min="2050" max="2050" width="65" style="524" customWidth="1"/>
    <col min="2051" max="2304" width="9" style="524" hidden="1"/>
    <col min="2305" max="2305" width="33.3727272727273" style="524" customWidth="1"/>
    <col min="2306" max="2306" width="65" style="524" customWidth="1"/>
    <col min="2307" max="2560" width="9" style="524" hidden="1"/>
    <col min="2561" max="2561" width="33.3727272727273" style="524" customWidth="1"/>
    <col min="2562" max="2562" width="65" style="524" customWidth="1"/>
    <col min="2563" max="2816" width="9" style="524" hidden="1"/>
    <col min="2817" max="2817" width="33.3727272727273" style="524" customWidth="1"/>
    <col min="2818" max="2818" width="65" style="524" customWidth="1"/>
    <col min="2819" max="3072" width="9" style="524" hidden="1"/>
    <col min="3073" max="3073" width="33.3727272727273" style="524" customWidth="1"/>
    <col min="3074" max="3074" width="65" style="524" customWidth="1"/>
    <col min="3075" max="3328" width="9" style="524" hidden="1"/>
    <col min="3329" max="3329" width="33.3727272727273" style="524" customWidth="1"/>
    <col min="3330" max="3330" width="65" style="524" customWidth="1"/>
    <col min="3331" max="3584" width="9" style="524" hidden="1"/>
    <col min="3585" max="3585" width="33.3727272727273" style="524" customWidth="1"/>
    <col min="3586" max="3586" width="65" style="524" customWidth="1"/>
    <col min="3587" max="3840" width="9" style="524" hidden="1"/>
    <col min="3841" max="3841" width="33.3727272727273" style="524" customWidth="1"/>
    <col min="3842" max="3842" width="65" style="524" customWidth="1"/>
    <col min="3843" max="4096" width="9" style="524" hidden="1"/>
    <col min="4097" max="4097" width="33.3727272727273" style="524" customWidth="1"/>
    <col min="4098" max="4098" width="65" style="524" customWidth="1"/>
    <col min="4099" max="4352" width="9" style="524" hidden="1"/>
    <col min="4353" max="4353" width="33.3727272727273" style="524" customWidth="1"/>
    <col min="4354" max="4354" width="65" style="524" customWidth="1"/>
    <col min="4355" max="4608" width="9" style="524" hidden="1"/>
    <col min="4609" max="4609" width="33.3727272727273" style="524" customWidth="1"/>
    <col min="4610" max="4610" width="65" style="524" customWidth="1"/>
    <col min="4611" max="4864" width="9" style="524" hidden="1"/>
    <col min="4865" max="4865" width="33.3727272727273" style="524" customWidth="1"/>
    <col min="4866" max="4866" width="65" style="524" customWidth="1"/>
    <col min="4867" max="5120" width="9" style="524" hidden="1"/>
    <col min="5121" max="5121" width="33.3727272727273" style="524" customWidth="1"/>
    <col min="5122" max="5122" width="65" style="524" customWidth="1"/>
    <col min="5123" max="5376" width="9" style="524" hidden="1"/>
    <col min="5377" max="5377" width="33.3727272727273" style="524" customWidth="1"/>
    <col min="5378" max="5378" width="65" style="524" customWidth="1"/>
    <col min="5379" max="5632" width="9" style="524" hidden="1"/>
    <col min="5633" max="5633" width="33.3727272727273" style="524" customWidth="1"/>
    <col min="5634" max="5634" width="65" style="524" customWidth="1"/>
    <col min="5635" max="5888" width="9" style="524" hidden="1"/>
    <col min="5889" max="5889" width="33.3727272727273" style="524" customWidth="1"/>
    <col min="5890" max="5890" width="65" style="524" customWidth="1"/>
    <col min="5891" max="6144" width="9" style="524" hidden="1"/>
    <col min="6145" max="6145" width="33.3727272727273" style="524" customWidth="1"/>
    <col min="6146" max="6146" width="65" style="524" customWidth="1"/>
    <col min="6147" max="6400" width="9" style="524" hidden="1"/>
    <col min="6401" max="6401" width="33.3727272727273" style="524" customWidth="1"/>
    <col min="6402" max="6402" width="65" style="524" customWidth="1"/>
    <col min="6403" max="6656" width="9" style="524" hidden="1"/>
    <col min="6657" max="6657" width="33.3727272727273" style="524" customWidth="1"/>
    <col min="6658" max="6658" width="65" style="524" customWidth="1"/>
    <col min="6659" max="6912" width="9" style="524" hidden="1"/>
    <col min="6913" max="6913" width="33.3727272727273" style="524" customWidth="1"/>
    <col min="6914" max="6914" width="65" style="524" customWidth="1"/>
    <col min="6915" max="7168" width="9" style="524" hidden="1"/>
    <col min="7169" max="7169" width="33.3727272727273" style="524" customWidth="1"/>
    <col min="7170" max="7170" width="65" style="524" customWidth="1"/>
    <col min="7171" max="7424" width="9" style="524" hidden="1"/>
    <col min="7425" max="7425" width="33.3727272727273" style="524" customWidth="1"/>
    <col min="7426" max="7426" width="65" style="524" customWidth="1"/>
    <col min="7427" max="7680" width="9" style="524" hidden="1"/>
    <col min="7681" max="7681" width="33.3727272727273" style="524" customWidth="1"/>
    <col min="7682" max="7682" width="65" style="524" customWidth="1"/>
    <col min="7683" max="7936" width="9" style="524" hidden="1"/>
    <col min="7937" max="7937" width="33.3727272727273" style="524" customWidth="1"/>
    <col min="7938" max="7938" width="65" style="524" customWidth="1"/>
    <col min="7939" max="8192" width="9" style="524" hidden="1"/>
    <col min="8193" max="8193" width="33.3727272727273" style="524" customWidth="1"/>
    <col min="8194" max="8194" width="65" style="524" customWidth="1"/>
    <col min="8195" max="8448" width="9" style="524" hidden="1"/>
    <col min="8449" max="8449" width="33.3727272727273" style="524" customWidth="1"/>
    <col min="8450" max="8450" width="65" style="524" customWidth="1"/>
    <col min="8451" max="8704" width="9" style="524" hidden="1"/>
    <col min="8705" max="8705" width="33.3727272727273" style="524" customWidth="1"/>
    <col min="8706" max="8706" width="65" style="524" customWidth="1"/>
    <col min="8707" max="8960" width="9" style="524" hidden="1"/>
    <col min="8961" max="8961" width="33.3727272727273" style="524" customWidth="1"/>
    <col min="8962" max="8962" width="65" style="524" customWidth="1"/>
    <col min="8963" max="9216" width="9" style="524" hidden="1"/>
    <col min="9217" max="9217" width="33.3727272727273" style="524" customWidth="1"/>
    <col min="9218" max="9218" width="65" style="524" customWidth="1"/>
    <col min="9219" max="9472" width="9" style="524" hidden="1"/>
    <col min="9473" max="9473" width="33.3727272727273" style="524" customWidth="1"/>
    <col min="9474" max="9474" width="65" style="524" customWidth="1"/>
    <col min="9475" max="9728" width="9" style="524" hidden="1"/>
    <col min="9729" max="9729" width="33.3727272727273" style="524" customWidth="1"/>
    <col min="9730" max="9730" width="65" style="524" customWidth="1"/>
    <col min="9731" max="9984" width="9" style="524" hidden="1"/>
    <col min="9985" max="9985" width="33.3727272727273" style="524" customWidth="1"/>
    <col min="9986" max="9986" width="65" style="524" customWidth="1"/>
    <col min="9987" max="10240" width="9" style="524" hidden="1"/>
    <col min="10241" max="10241" width="33.3727272727273" style="524" customWidth="1"/>
    <col min="10242" max="10242" width="65" style="524" customWidth="1"/>
    <col min="10243" max="10496" width="9" style="524" hidden="1"/>
    <col min="10497" max="10497" width="33.3727272727273" style="524" customWidth="1"/>
    <col min="10498" max="10498" width="65" style="524" customWidth="1"/>
    <col min="10499" max="10752" width="9" style="524" hidden="1"/>
    <col min="10753" max="10753" width="33.3727272727273" style="524" customWidth="1"/>
    <col min="10754" max="10754" width="65" style="524" customWidth="1"/>
    <col min="10755" max="11008" width="9" style="524" hidden="1"/>
    <col min="11009" max="11009" width="33.3727272727273" style="524" customWidth="1"/>
    <col min="11010" max="11010" width="65" style="524" customWidth="1"/>
    <col min="11011" max="11264" width="9" style="524" hidden="1"/>
    <col min="11265" max="11265" width="33.3727272727273" style="524" customWidth="1"/>
    <col min="11266" max="11266" width="65" style="524" customWidth="1"/>
    <col min="11267" max="11520" width="9" style="524" hidden="1"/>
    <col min="11521" max="11521" width="33.3727272727273" style="524" customWidth="1"/>
    <col min="11522" max="11522" width="65" style="524" customWidth="1"/>
    <col min="11523" max="11776" width="9" style="524" hidden="1"/>
    <col min="11777" max="11777" width="33.3727272727273" style="524" customWidth="1"/>
    <col min="11778" max="11778" width="65" style="524" customWidth="1"/>
    <col min="11779" max="12032" width="9" style="524" hidden="1"/>
    <col min="12033" max="12033" width="33.3727272727273" style="524" customWidth="1"/>
    <col min="12034" max="12034" width="65" style="524" customWidth="1"/>
    <col min="12035" max="12288" width="9" style="524" hidden="1"/>
    <col min="12289" max="12289" width="33.3727272727273" style="524" customWidth="1"/>
    <col min="12290" max="12290" width="65" style="524" customWidth="1"/>
    <col min="12291" max="12544" width="9" style="524" hidden="1"/>
    <col min="12545" max="12545" width="33.3727272727273" style="524" customWidth="1"/>
    <col min="12546" max="12546" width="65" style="524" customWidth="1"/>
    <col min="12547" max="12800" width="9" style="524" hidden="1"/>
    <col min="12801" max="12801" width="33.3727272727273" style="524" customWidth="1"/>
    <col min="12802" max="12802" width="65" style="524" customWidth="1"/>
    <col min="12803" max="13056" width="9" style="524" hidden="1"/>
    <col min="13057" max="13057" width="33.3727272727273" style="524" customWidth="1"/>
    <col min="13058" max="13058" width="65" style="524" customWidth="1"/>
    <col min="13059" max="13312" width="9" style="524" hidden="1"/>
    <col min="13313" max="13313" width="33.3727272727273" style="524" customWidth="1"/>
    <col min="13314" max="13314" width="65" style="524" customWidth="1"/>
    <col min="13315" max="13568" width="9" style="524" hidden="1"/>
    <col min="13569" max="13569" width="33.3727272727273" style="524" customWidth="1"/>
    <col min="13570" max="13570" width="65" style="524" customWidth="1"/>
    <col min="13571" max="13824" width="9" style="524" hidden="1"/>
    <col min="13825" max="13825" width="33.3727272727273" style="524" customWidth="1"/>
    <col min="13826" max="13826" width="65" style="524" customWidth="1"/>
    <col min="13827" max="14080" width="9" style="524" hidden="1"/>
    <col min="14081" max="14081" width="33.3727272727273" style="524" customWidth="1"/>
    <col min="14082" max="14082" width="65" style="524" customWidth="1"/>
    <col min="14083" max="14336" width="9" style="524" hidden="1"/>
    <col min="14337" max="14337" width="33.3727272727273" style="524" customWidth="1"/>
    <col min="14338" max="14338" width="65" style="524" customWidth="1"/>
    <col min="14339" max="14592" width="9" style="524" hidden="1"/>
    <col min="14593" max="14593" width="33.3727272727273" style="524" customWidth="1"/>
    <col min="14594" max="14594" width="65" style="524" customWidth="1"/>
    <col min="14595" max="14848" width="9" style="524" hidden="1"/>
    <col min="14849" max="14849" width="33.3727272727273" style="524" customWidth="1"/>
    <col min="14850" max="14850" width="65" style="524" customWidth="1"/>
    <col min="14851" max="15104" width="9" style="524" hidden="1"/>
    <col min="15105" max="15105" width="33.3727272727273" style="524" customWidth="1"/>
    <col min="15106" max="15106" width="65" style="524" customWidth="1"/>
    <col min="15107" max="15360" width="9" style="524" hidden="1"/>
    <col min="15361" max="15361" width="33.3727272727273" style="524" customWidth="1"/>
    <col min="15362" max="15362" width="65" style="524" customWidth="1"/>
    <col min="15363" max="15616" width="9" style="524" hidden="1"/>
    <col min="15617" max="15617" width="33.3727272727273" style="524" customWidth="1"/>
    <col min="15618" max="15618" width="65" style="524" customWidth="1"/>
    <col min="15619" max="15872" width="9" style="524" hidden="1"/>
    <col min="15873" max="15873" width="33.3727272727273" style="524" customWidth="1"/>
    <col min="15874" max="15874" width="65" style="524" customWidth="1"/>
    <col min="15875" max="16128" width="9" style="524" hidden="1"/>
    <col min="16129" max="16129" width="33.3727272727273" style="524" customWidth="1"/>
    <col min="16130" max="16130" width="65" style="524" customWidth="1"/>
    <col min="16131" max="16384" width="9" style="524" hidden="1"/>
  </cols>
  <sheetData>
    <row r="1" ht="15.6" customHeight="1" spans="2:257">
      <c r="B1" s="525" t="s">
        <v>0</v>
      </c>
      <c r="C1" s="525"/>
      <c r="D1" s="525"/>
      <c r="E1" s="525"/>
      <c r="F1" s="525"/>
      <c r="G1" s="525"/>
      <c r="H1" s="525"/>
      <c r="I1" s="525"/>
      <c r="J1" s="525"/>
      <c r="K1" s="525"/>
      <c r="L1" s="525"/>
      <c r="M1" s="525"/>
      <c r="N1" s="525"/>
      <c r="O1" s="525"/>
      <c r="P1" s="525"/>
      <c r="Q1" s="525"/>
      <c r="R1" s="525"/>
      <c r="S1" s="525"/>
      <c r="T1" s="525"/>
      <c r="U1" s="525"/>
      <c r="V1" s="525"/>
      <c r="W1" s="525"/>
      <c r="X1" s="525"/>
      <c r="Y1" s="525"/>
      <c r="Z1" s="525"/>
      <c r="AA1" s="525"/>
      <c r="AB1" s="525"/>
      <c r="AC1" s="525"/>
      <c r="AD1" s="525"/>
      <c r="AE1" s="525"/>
      <c r="AF1" s="525"/>
      <c r="AG1" s="525"/>
      <c r="AH1" s="525"/>
      <c r="AI1" s="525"/>
      <c r="AJ1" s="525"/>
      <c r="AK1" s="525"/>
      <c r="AL1" s="525"/>
      <c r="AM1" s="525"/>
      <c r="AN1" s="525"/>
      <c r="AO1" s="525"/>
      <c r="AP1" s="525"/>
      <c r="AQ1" s="525"/>
      <c r="AR1" s="525"/>
      <c r="AS1" s="525"/>
      <c r="AT1" s="525"/>
      <c r="AU1" s="525"/>
      <c r="AV1" s="525"/>
      <c r="AW1" s="525"/>
      <c r="AX1" s="525"/>
      <c r="AY1" s="525"/>
      <c r="AZ1" s="525"/>
      <c r="BA1" s="525"/>
      <c r="BB1" s="525"/>
      <c r="BC1" s="525"/>
      <c r="BD1" s="525"/>
      <c r="BE1" s="525"/>
      <c r="BF1" s="525"/>
      <c r="BG1" s="525"/>
      <c r="BH1" s="525"/>
      <c r="BI1" s="525"/>
      <c r="BJ1" s="525"/>
      <c r="BK1" s="525"/>
      <c r="BL1" s="525"/>
      <c r="BM1" s="525"/>
      <c r="BN1" s="525"/>
      <c r="BO1" s="525"/>
      <c r="BP1" s="525"/>
      <c r="BQ1" s="525"/>
      <c r="BR1" s="525"/>
      <c r="BS1" s="525"/>
      <c r="BT1" s="525"/>
      <c r="BU1" s="525"/>
      <c r="BV1" s="525"/>
      <c r="BW1" s="525"/>
      <c r="BX1" s="525"/>
      <c r="BY1" s="525"/>
      <c r="BZ1" s="525"/>
      <c r="CA1" s="525"/>
      <c r="CB1" s="525"/>
      <c r="CC1" s="525"/>
      <c r="CD1" s="525"/>
      <c r="CE1" s="525"/>
      <c r="CF1" s="525"/>
      <c r="CG1" s="525"/>
      <c r="CH1" s="525"/>
      <c r="CI1" s="525"/>
      <c r="CJ1" s="525"/>
      <c r="CK1" s="525"/>
      <c r="CL1" s="525"/>
      <c r="CM1" s="525"/>
      <c r="CN1" s="525"/>
      <c r="CO1" s="525"/>
      <c r="CP1" s="525"/>
      <c r="CQ1" s="525"/>
      <c r="CR1" s="525"/>
      <c r="CS1" s="525"/>
      <c r="CT1" s="525"/>
      <c r="CU1" s="525"/>
      <c r="CV1" s="525"/>
      <c r="CW1" s="525"/>
      <c r="CX1" s="525"/>
      <c r="CY1" s="525"/>
      <c r="CZ1" s="525"/>
      <c r="DA1" s="525"/>
      <c r="DB1" s="525"/>
      <c r="DC1" s="525"/>
      <c r="DD1" s="525"/>
      <c r="DE1" s="525"/>
      <c r="DF1" s="525"/>
      <c r="DG1" s="525"/>
      <c r="DH1" s="525"/>
      <c r="DI1" s="525"/>
      <c r="DJ1" s="525"/>
      <c r="DK1" s="525"/>
      <c r="DL1" s="525"/>
      <c r="DM1" s="525"/>
      <c r="DN1" s="525"/>
      <c r="DO1" s="525"/>
      <c r="DP1" s="525"/>
      <c r="DQ1" s="525"/>
      <c r="DR1" s="525"/>
      <c r="DS1" s="525"/>
      <c r="DT1" s="525"/>
      <c r="DU1" s="525"/>
      <c r="DV1" s="525"/>
      <c r="DW1" s="525"/>
      <c r="DX1" s="525"/>
      <c r="DY1" s="525"/>
      <c r="DZ1" s="525"/>
      <c r="EA1" s="525"/>
      <c r="EB1" s="525"/>
      <c r="EC1" s="525"/>
      <c r="ED1" s="525"/>
      <c r="EE1" s="525"/>
      <c r="EF1" s="525"/>
      <c r="EG1" s="525"/>
      <c r="EH1" s="525"/>
      <c r="EI1" s="525"/>
      <c r="EJ1" s="525"/>
      <c r="EK1" s="525"/>
      <c r="EL1" s="525"/>
      <c r="EM1" s="525"/>
      <c r="EN1" s="525"/>
      <c r="EO1" s="525"/>
      <c r="EP1" s="525"/>
      <c r="EQ1" s="525"/>
      <c r="ER1" s="525"/>
      <c r="ES1" s="525"/>
      <c r="ET1" s="525"/>
      <c r="EU1" s="525"/>
      <c r="EV1" s="525"/>
      <c r="EW1" s="525"/>
      <c r="EX1" s="525"/>
      <c r="EY1" s="525"/>
      <c r="EZ1" s="525"/>
      <c r="FA1" s="525"/>
      <c r="FB1" s="525"/>
      <c r="FC1" s="525"/>
      <c r="FD1" s="525"/>
      <c r="FE1" s="525"/>
      <c r="FF1" s="525"/>
      <c r="FG1" s="525"/>
      <c r="FH1" s="525"/>
      <c r="FI1" s="525"/>
      <c r="FJ1" s="525"/>
      <c r="FK1" s="525"/>
      <c r="FL1" s="525"/>
      <c r="FM1" s="525"/>
      <c r="FN1" s="525"/>
      <c r="FO1" s="525"/>
      <c r="FP1" s="525"/>
      <c r="FQ1" s="525"/>
      <c r="FR1" s="525"/>
      <c r="FS1" s="525"/>
      <c r="FT1" s="525"/>
      <c r="FU1" s="525"/>
      <c r="FV1" s="525"/>
      <c r="FW1" s="525"/>
      <c r="FX1" s="525"/>
      <c r="FY1" s="525"/>
      <c r="FZ1" s="525"/>
      <c r="GA1" s="525"/>
      <c r="GB1" s="525"/>
      <c r="GC1" s="525"/>
      <c r="GD1" s="525"/>
      <c r="GE1" s="525"/>
      <c r="GF1" s="525"/>
      <c r="GG1" s="525"/>
      <c r="GH1" s="525"/>
      <c r="GI1" s="525"/>
      <c r="GJ1" s="525"/>
      <c r="GK1" s="525"/>
      <c r="GL1" s="525"/>
      <c r="GM1" s="525"/>
      <c r="GN1" s="525"/>
      <c r="GO1" s="525"/>
      <c r="GP1" s="525"/>
      <c r="GQ1" s="525"/>
      <c r="GR1" s="525"/>
      <c r="GS1" s="525"/>
      <c r="GT1" s="525"/>
      <c r="GU1" s="525"/>
      <c r="GV1" s="525"/>
      <c r="GW1" s="525"/>
      <c r="GX1" s="525"/>
      <c r="GY1" s="525"/>
      <c r="GZ1" s="525"/>
      <c r="HA1" s="525"/>
      <c r="HB1" s="525"/>
      <c r="HC1" s="525"/>
      <c r="HD1" s="525"/>
      <c r="HE1" s="525"/>
      <c r="HF1" s="525"/>
      <c r="HG1" s="525"/>
      <c r="HH1" s="525"/>
      <c r="HI1" s="525"/>
      <c r="HJ1" s="525"/>
      <c r="HK1" s="525"/>
      <c r="HL1" s="525"/>
      <c r="HM1" s="525"/>
      <c r="HN1" s="525"/>
      <c r="HO1" s="525"/>
      <c r="HP1" s="525"/>
      <c r="HQ1" s="525"/>
      <c r="HR1" s="525"/>
      <c r="HS1" s="525"/>
      <c r="HT1" s="525"/>
      <c r="HU1" s="525"/>
      <c r="HV1" s="525"/>
      <c r="HW1" s="525"/>
      <c r="HX1" s="525"/>
      <c r="HY1" s="525"/>
      <c r="HZ1" s="525"/>
      <c r="IA1" s="525"/>
      <c r="IB1" s="525"/>
      <c r="IC1" s="525"/>
      <c r="ID1" s="525"/>
      <c r="IE1" s="525"/>
      <c r="IF1" s="525"/>
      <c r="IG1" s="525"/>
      <c r="IH1" s="525"/>
      <c r="II1" s="525"/>
      <c r="IJ1" s="525"/>
      <c r="IK1" s="525"/>
      <c r="IL1" s="525"/>
      <c r="IM1" s="525"/>
      <c r="IN1" s="525"/>
      <c r="IO1" s="525"/>
      <c r="IP1" s="525"/>
      <c r="IQ1" s="525"/>
      <c r="IR1" s="525"/>
      <c r="IS1" s="525"/>
      <c r="IT1" s="525"/>
      <c r="IU1" s="525"/>
      <c r="IV1" s="525"/>
      <c r="IW1" s="525"/>
    </row>
    <row r="2" ht="15.6" customHeight="1" spans="2:257">
      <c r="B2" s="525"/>
      <c r="C2" s="525"/>
      <c r="D2" s="525"/>
      <c r="E2" s="525"/>
      <c r="F2" s="525"/>
      <c r="G2" s="525"/>
      <c r="H2" s="525"/>
      <c r="I2" s="525"/>
      <c r="J2" s="525"/>
      <c r="K2" s="525"/>
      <c r="L2" s="525"/>
      <c r="M2" s="525"/>
      <c r="N2" s="525"/>
      <c r="O2" s="525"/>
      <c r="P2" s="525"/>
      <c r="Q2" s="525"/>
      <c r="R2" s="525"/>
      <c r="S2" s="525"/>
      <c r="T2" s="525"/>
      <c r="U2" s="525"/>
      <c r="V2" s="525"/>
      <c r="W2" s="525"/>
      <c r="X2" s="525"/>
      <c r="Y2" s="525"/>
      <c r="Z2" s="525"/>
      <c r="AA2" s="525"/>
      <c r="AB2" s="525"/>
      <c r="AC2" s="525"/>
      <c r="AD2" s="525"/>
      <c r="AE2" s="525"/>
      <c r="AF2" s="525"/>
      <c r="AG2" s="525"/>
      <c r="AH2" s="525"/>
      <c r="AI2" s="525"/>
      <c r="AJ2" s="525"/>
      <c r="AK2" s="525"/>
      <c r="AL2" s="525"/>
      <c r="AM2" s="525"/>
      <c r="AN2" s="525"/>
      <c r="AO2" s="525"/>
      <c r="AP2" s="525"/>
      <c r="AQ2" s="525"/>
      <c r="AR2" s="525"/>
      <c r="AS2" s="525"/>
      <c r="AT2" s="525"/>
      <c r="AU2" s="525"/>
      <c r="AV2" s="525"/>
      <c r="AW2" s="525"/>
      <c r="AX2" s="525"/>
      <c r="AY2" s="525"/>
      <c r="AZ2" s="525"/>
      <c r="BA2" s="525"/>
      <c r="BB2" s="525"/>
      <c r="BC2" s="525"/>
      <c r="BD2" s="525"/>
      <c r="BE2" s="525"/>
      <c r="BF2" s="525"/>
      <c r="BG2" s="525"/>
      <c r="BH2" s="525"/>
      <c r="BI2" s="525"/>
      <c r="BJ2" s="525"/>
      <c r="BK2" s="525"/>
      <c r="BL2" s="525"/>
      <c r="BM2" s="525"/>
      <c r="BN2" s="525"/>
      <c r="BO2" s="525"/>
      <c r="BP2" s="525"/>
      <c r="BQ2" s="525"/>
      <c r="BR2" s="525"/>
      <c r="BS2" s="525"/>
      <c r="BT2" s="525"/>
      <c r="BU2" s="525"/>
      <c r="BV2" s="525"/>
      <c r="BW2" s="525"/>
      <c r="BX2" s="525"/>
      <c r="BY2" s="525"/>
      <c r="BZ2" s="525"/>
      <c r="CA2" s="525"/>
      <c r="CB2" s="525"/>
      <c r="CC2" s="525"/>
      <c r="CD2" s="525"/>
      <c r="CE2" s="525"/>
      <c r="CF2" s="525"/>
      <c r="CG2" s="525"/>
      <c r="CH2" s="525"/>
      <c r="CI2" s="525"/>
      <c r="CJ2" s="525"/>
      <c r="CK2" s="525"/>
      <c r="CL2" s="525"/>
      <c r="CM2" s="525"/>
      <c r="CN2" s="525"/>
      <c r="CO2" s="525"/>
      <c r="CP2" s="525"/>
      <c r="CQ2" s="525"/>
      <c r="CR2" s="525"/>
      <c r="CS2" s="525"/>
      <c r="CT2" s="525"/>
      <c r="CU2" s="525"/>
      <c r="CV2" s="525"/>
      <c r="CW2" s="525"/>
      <c r="CX2" s="525"/>
      <c r="CY2" s="525"/>
      <c r="CZ2" s="525"/>
      <c r="DA2" s="525"/>
      <c r="DB2" s="525"/>
      <c r="DC2" s="525"/>
      <c r="DD2" s="525"/>
      <c r="DE2" s="525"/>
      <c r="DF2" s="525"/>
      <c r="DG2" s="525"/>
      <c r="DH2" s="525"/>
      <c r="DI2" s="525"/>
      <c r="DJ2" s="525"/>
      <c r="DK2" s="525"/>
      <c r="DL2" s="525"/>
      <c r="DM2" s="525"/>
      <c r="DN2" s="525"/>
      <c r="DO2" s="525"/>
      <c r="DP2" s="525"/>
      <c r="DQ2" s="525"/>
      <c r="DR2" s="525"/>
      <c r="DS2" s="525"/>
      <c r="DT2" s="525"/>
      <c r="DU2" s="525"/>
      <c r="DV2" s="525"/>
      <c r="DW2" s="525"/>
      <c r="DX2" s="525"/>
      <c r="DY2" s="525"/>
      <c r="DZ2" s="525"/>
      <c r="EA2" s="525"/>
      <c r="EB2" s="525"/>
      <c r="EC2" s="525"/>
      <c r="ED2" s="525"/>
      <c r="EE2" s="525"/>
      <c r="EF2" s="525"/>
      <c r="EG2" s="525"/>
      <c r="EH2" s="525"/>
      <c r="EI2" s="525"/>
      <c r="EJ2" s="525"/>
      <c r="EK2" s="525"/>
      <c r="EL2" s="525"/>
      <c r="EM2" s="525"/>
      <c r="EN2" s="525"/>
      <c r="EO2" s="525"/>
      <c r="EP2" s="525"/>
      <c r="EQ2" s="525"/>
      <c r="ER2" s="525"/>
      <c r="ES2" s="525"/>
      <c r="ET2" s="525"/>
      <c r="EU2" s="525"/>
      <c r="EV2" s="525"/>
      <c r="EW2" s="525"/>
      <c r="EX2" s="525"/>
      <c r="EY2" s="525"/>
      <c r="EZ2" s="525"/>
      <c r="FA2" s="525"/>
      <c r="FB2" s="525"/>
      <c r="FC2" s="525"/>
      <c r="FD2" s="525"/>
      <c r="FE2" s="525"/>
      <c r="FF2" s="525"/>
      <c r="FG2" s="525"/>
      <c r="FH2" s="525"/>
      <c r="FI2" s="525"/>
      <c r="FJ2" s="525"/>
      <c r="FK2" s="525"/>
      <c r="FL2" s="525"/>
      <c r="FM2" s="525"/>
      <c r="FN2" s="525"/>
      <c r="FO2" s="525"/>
      <c r="FP2" s="525"/>
      <c r="FQ2" s="525"/>
      <c r="FR2" s="525"/>
      <c r="FS2" s="525"/>
      <c r="FT2" s="525"/>
      <c r="FU2" s="525"/>
      <c r="FV2" s="525"/>
      <c r="FW2" s="525"/>
      <c r="FX2" s="525"/>
      <c r="FY2" s="525"/>
      <c r="FZ2" s="525"/>
      <c r="GA2" s="525"/>
      <c r="GB2" s="525"/>
      <c r="GC2" s="525"/>
      <c r="GD2" s="525"/>
      <c r="GE2" s="525"/>
      <c r="GF2" s="525"/>
      <c r="GG2" s="525"/>
      <c r="GH2" s="525"/>
      <c r="GI2" s="525"/>
      <c r="GJ2" s="525"/>
      <c r="GK2" s="525"/>
      <c r="GL2" s="525"/>
      <c r="GM2" s="525"/>
      <c r="GN2" s="525"/>
      <c r="GO2" s="525"/>
      <c r="GP2" s="525"/>
      <c r="GQ2" s="525"/>
      <c r="GR2" s="525"/>
      <c r="GS2" s="525"/>
      <c r="GT2" s="525"/>
      <c r="GU2" s="525"/>
      <c r="GV2" s="525"/>
      <c r="GW2" s="525"/>
      <c r="GX2" s="525"/>
      <c r="GY2" s="525"/>
      <c r="GZ2" s="525"/>
      <c r="HA2" s="525"/>
      <c r="HB2" s="525"/>
      <c r="HC2" s="525"/>
      <c r="HD2" s="525"/>
      <c r="HE2" s="525"/>
      <c r="HF2" s="525"/>
      <c r="HG2" s="525"/>
      <c r="HH2" s="525"/>
      <c r="HI2" s="525"/>
      <c r="HJ2" s="525"/>
      <c r="HK2" s="525"/>
      <c r="HL2" s="525"/>
      <c r="HM2" s="525"/>
      <c r="HN2" s="525"/>
      <c r="HO2" s="525"/>
      <c r="HP2" s="525"/>
      <c r="HQ2" s="525"/>
      <c r="HR2" s="525"/>
      <c r="HS2" s="525"/>
      <c r="HT2" s="525"/>
      <c r="HU2" s="525"/>
      <c r="HV2" s="525"/>
      <c r="HW2" s="525"/>
      <c r="HX2" s="525"/>
      <c r="HY2" s="525"/>
      <c r="HZ2" s="525"/>
      <c r="IA2" s="525"/>
      <c r="IB2" s="525"/>
      <c r="IC2" s="525"/>
      <c r="ID2" s="525"/>
      <c r="IE2" s="525"/>
      <c r="IF2" s="525"/>
      <c r="IG2" s="525"/>
      <c r="IH2" s="525"/>
      <c r="II2" s="525"/>
      <c r="IJ2" s="525"/>
      <c r="IK2" s="525"/>
      <c r="IL2" s="525"/>
      <c r="IM2" s="525"/>
      <c r="IN2" s="525"/>
      <c r="IO2" s="525"/>
      <c r="IP2" s="525"/>
      <c r="IQ2" s="525"/>
      <c r="IR2" s="525"/>
      <c r="IS2" s="525"/>
      <c r="IT2" s="525"/>
      <c r="IU2" s="525"/>
      <c r="IV2" s="525"/>
      <c r="IW2" s="525"/>
    </row>
    <row r="3" ht="15.6" customHeight="1" spans="2:257">
      <c r="B3" s="525"/>
      <c r="C3" s="525"/>
      <c r="D3" s="525"/>
      <c r="E3" s="525"/>
      <c r="F3" s="525"/>
      <c r="G3" s="525"/>
      <c r="H3" s="525"/>
      <c r="I3" s="525"/>
      <c r="J3" s="525"/>
      <c r="K3" s="525"/>
      <c r="L3" s="525"/>
      <c r="M3" s="525"/>
      <c r="N3" s="525"/>
      <c r="O3" s="525"/>
      <c r="P3" s="525"/>
      <c r="Q3" s="525"/>
      <c r="R3" s="525"/>
      <c r="S3" s="525"/>
      <c r="T3" s="525"/>
      <c r="U3" s="525"/>
      <c r="V3" s="525"/>
      <c r="W3" s="525"/>
      <c r="X3" s="525"/>
      <c r="Y3" s="525"/>
      <c r="Z3" s="525"/>
      <c r="AA3" s="525"/>
      <c r="AB3" s="525"/>
      <c r="AC3" s="525"/>
      <c r="AD3" s="525"/>
      <c r="AE3" s="525"/>
      <c r="AF3" s="525"/>
      <c r="AG3" s="525"/>
      <c r="AH3" s="525"/>
      <c r="AI3" s="525"/>
      <c r="AJ3" s="525"/>
      <c r="AK3" s="525"/>
      <c r="AL3" s="525"/>
      <c r="AM3" s="525"/>
      <c r="AN3" s="525"/>
      <c r="AO3" s="525"/>
      <c r="AP3" s="525"/>
      <c r="AQ3" s="525"/>
      <c r="AR3" s="525"/>
      <c r="AS3" s="525"/>
      <c r="AT3" s="525"/>
      <c r="AU3" s="525"/>
      <c r="AV3" s="525"/>
      <c r="AW3" s="525"/>
      <c r="AX3" s="525"/>
      <c r="AY3" s="525"/>
      <c r="AZ3" s="525"/>
      <c r="BA3" s="525"/>
      <c r="BB3" s="525"/>
      <c r="BC3" s="525"/>
      <c r="BD3" s="525"/>
      <c r="BE3" s="525"/>
      <c r="BF3" s="525"/>
      <c r="BG3" s="525"/>
      <c r="BH3" s="525"/>
      <c r="BI3" s="525"/>
      <c r="BJ3" s="525"/>
      <c r="BK3" s="525"/>
      <c r="BL3" s="525"/>
      <c r="BM3" s="525"/>
      <c r="BN3" s="525"/>
      <c r="BO3" s="525"/>
      <c r="BP3" s="525"/>
      <c r="BQ3" s="525"/>
      <c r="BR3" s="525"/>
      <c r="BS3" s="525"/>
      <c r="BT3" s="525"/>
      <c r="BU3" s="525"/>
      <c r="BV3" s="525"/>
      <c r="BW3" s="525"/>
      <c r="BX3" s="525"/>
      <c r="BY3" s="525"/>
      <c r="BZ3" s="525"/>
      <c r="CA3" s="525"/>
      <c r="CB3" s="525"/>
      <c r="CC3" s="525"/>
      <c r="CD3" s="525"/>
      <c r="CE3" s="525"/>
      <c r="CF3" s="525"/>
      <c r="CG3" s="525"/>
      <c r="CH3" s="525"/>
      <c r="CI3" s="525"/>
      <c r="CJ3" s="525"/>
      <c r="CK3" s="525"/>
      <c r="CL3" s="525"/>
      <c r="CM3" s="525"/>
      <c r="CN3" s="525"/>
      <c r="CO3" s="525"/>
      <c r="CP3" s="525"/>
      <c r="CQ3" s="525"/>
      <c r="CR3" s="525"/>
      <c r="CS3" s="525"/>
      <c r="CT3" s="525"/>
      <c r="CU3" s="525"/>
      <c r="CV3" s="525"/>
      <c r="CW3" s="525"/>
      <c r="CX3" s="525"/>
      <c r="CY3" s="525"/>
      <c r="CZ3" s="525"/>
      <c r="DA3" s="525"/>
      <c r="DB3" s="525"/>
      <c r="DC3" s="525"/>
      <c r="DD3" s="525"/>
      <c r="DE3" s="525"/>
      <c r="DF3" s="525"/>
      <c r="DG3" s="525"/>
      <c r="DH3" s="525"/>
      <c r="DI3" s="525"/>
      <c r="DJ3" s="525"/>
      <c r="DK3" s="525"/>
      <c r="DL3" s="525"/>
      <c r="DM3" s="525"/>
      <c r="DN3" s="525"/>
      <c r="DO3" s="525"/>
      <c r="DP3" s="525"/>
      <c r="DQ3" s="525"/>
      <c r="DR3" s="525"/>
      <c r="DS3" s="525"/>
      <c r="DT3" s="525"/>
      <c r="DU3" s="525"/>
      <c r="DV3" s="525"/>
      <c r="DW3" s="525"/>
      <c r="DX3" s="525"/>
      <c r="DY3" s="525"/>
      <c r="DZ3" s="525"/>
      <c r="EA3" s="525"/>
      <c r="EB3" s="525"/>
      <c r="EC3" s="525"/>
      <c r="ED3" s="525"/>
      <c r="EE3" s="525"/>
      <c r="EF3" s="525"/>
      <c r="EG3" s="525"/>
      <c r="EH3" s="525"/>
      <c r="EI3" s="525"/>
      <c r="EJ3" s="525"/>
      <c r="EK3" s="525"/>
      <c r="EL3" s="525"/>
      <c r="EM3" s="525"/>
      <c r="EN3" s="525"/>
      <c r="EO3" s="525"/>
      <c r="EP3" s="525"/>
      <c r="EQ3" s="525"/>
      <c r="ER3" s="525"/>
      <c r="ES3" s="525"/>
      <c r="ET3" s="525"/>
      <c r="EU3" s="525"/>
      <c r="EV3" s="525"/>
      <c r="EW3" s="525"/>
      <c r="EX3" s="525"/>
      <c r="EY3" s="525"/>
      <c r="EZ3" s="525"/>
      <c r="FA3" s="525"/>
      <c r="FB3" s="525"/>
      <c r="FC3" s="525"/>
      <c r="FD3" s="525"/>
      <c r="FE3" s="525"/>
      <c r="FF3" s="525"/>
      <c r="FG3" s="525"/>
      <c r="FH3" s="525"/>
      <c r="FI3" s="525"/>
      <c r="FJ3" s="525"/>
      <c r="FK3" s="525"/>
      <c r="FL3" s="525"/>
      <c r="FM3" s="525"/>
      <c r="FN3" s="525"/>
      <c r="FO3" s="525"/>
      <c r="FP3" s="525"/>
      <c r="FQ3" s="525"/>
      <c r="FR3" s="525"/>
      <c r="FS3" s="525"/>
      <c r="FT3" s="525"/>
      <c r="FU3" s="525"/>
      <c r="FV3" s="525"/>
      <c r="FW3" s="525"/>
      <c r="FX3" s="525"/>
      <c r="FY3" s="525"/>
      <c r="FZ3" s="525"/>
      <c r="GA3" s="525"/>
      <c r="GB3" s="525"/>
      <c r="GC3" s="525"/>
      <c r="GD3" s="525"/>
      <c r="GE3" s="525"/>
      <c r="GF3" s="525"/>
      <c r="GG3" s="525"/>
      <c r="GH3" s="525"/>
      <c r="GI3" s="525"/>
      <c r="GJ3" s="525"/>
      <c r="GK3" s="525"/>
      <c r="GL3" s="525"/>
      <c r="GM3" s="525"/>
      <c r="GN3" s="525"/>
      <c r="GO3" s="525"/>
      <c r="GP3" s="525"/>
      <c r="GQ3" s="525"/>
      <c r="GR3" s="525"/>
      <c r="GS3" s="525"/>
      <c r="GT3" s="525"/>
      <c r="GU3" s="525"/>
      <c r="GV3" s="525"/>
      <c r="GW3" s="525"/>
      <c r="GX3" s="525"/>
      <c r="GY3" s="525"/>
      <c r="GZ3" s="525"/>
      <c r="HA3" s="525"/>
      <c r="HB3" s="525"/>
      <c r="HC3" s="525"/>
      <c r="HD3" s="525"/>
      <c r="HE3" s="525"/>
      <c r="HF3" s="525"/>
      <c r="HG3" s="525"/>
      <c r="HH3" s="525"/>
      <c r="HI3" s="525"/>
      <c r="HJ3" s="525"/>
      <c r="HK3" s="525"/>
      <c r="HL3" s="525"/>
      <c r="HM3" s="525"/>
      <c r="HN3" s="525"/>
      <c r="HO3" s="525"/>
      <c r="HP3" s="525"/>
      <c r="HQ3" s="525"/>
      <c r="HR3" s="525"/>
      <c r="HS3" s="525"/>
      <c r="HT3" s="525"/>
      <c r="HU3" s="525"/>
      <c r="HV3" s="525"/>
      <c r="HW3" s="525"/>
      <c r="HX3" s="525"/>
      <c r="HY3" s="525"/>
      <c r="HZ3" s="525"/>
      <c r="IA3" s="525"/>
      <c r="IB3" s="525"/>
      <c r="IC3" s="525"/>
      <c r="ID3" s="525"/>
      <c r="IE3" s="525"/>
      <c r="IF3" s="525"/>
      <c r="IG3" s="525"/>
      <c r="IH3" s="525"/>
      <c r="II3" s="525"/>
      <c r="IJ3" s="525"/>
      <c r="IK3" s="525"/>
      <c r="IL3" s="525"/>
      <c r="IM3" s="525"/>
      <c r="IN3" s="525"/>
      <c r="IO3" s="525"/>
      <c r="IP3" s="525"/>
      <c r="IQ3" s="525"/>
      <c r="IR3" s="525"/>
      <c r="IS3" s="525"/>
      <c r="IT3" s="525"/>
      <c r="IU3" s="525"/>
      <c r="IV3" s="525"/>
      <c r="IW3" s="525"/>
    </row>
    <row r="4" spans="1:2">
      <c r="A4" s="526"/>
      <c r="B4" s="526"/>
    </row>
    <row r="5" s="522" customFormat="1" spans="1:257">
      <c r="A5" s="527" t="s">
        <v>1</v>
      </c>
      <c r="B5" s="528" t="s">
        <v>2</v>
      </c>
      <c r="C5" s="528"/>
      <c r="D5" s="528"/>
      <c r="E5" s="528"/>
      <c r="F5" s="528"/>
      <c r="G5" s="528"/>
      <c r="H5" s="528"/>
      <c r="I5" s="528"/>
      <c r="J5" s="528"/>
      <c r="K5" s="528"/>
      <c r="L5" s="528"/>
      <c r="M5" s="528"/>
      <c r="N5" s="528"/>
      <c r="O5" s="528"/>
      <c r="P5" s="528"/>
      <c r="Q5" s="528"/>
      <c r="R5" s="528"/>
      <c r="S5" s="528"/>
      <c r="T5" s="528"/>
      <c r="U5" s="528"/>
      <c r="V5" s="528"/>
      <c r="W5" s="528"/>
      <c r="X5" s="528"/>
      <c r="Y5" s="528"/>
      <c r="Z5" s="528"/>
      <c r="AA5" s="528"/>
      <c r="AB5" s="528"/>
      <c r="AC5" s="528"/>
      <c r="AD5" s="528"/>
      <c r="AE5" s="528"/>
      <c r="AF5" s="528"/>
      <c r="AG5" s="528"/>
      <c r="AH5" s="528"/>
      <c r="AI5" s="528"/>
      <c r="AJ5" s="528"/>
      <c r="AK5" s="528"/>
      <c r="AL5" s="528"/>
      <c r="AM5" s="528"/>
      <c r="AN5" s="528"/>
      <c r="AO5" s="528"/>
      <c r="AP5" s="528"/>
      <c r="AQ5" s="528"/>
      <c r="AR5" s="528"/>
      <c r="AS5" s="528"/>
      <c r="AT5" s="528"/>
      <c r="AU5" s="528"/>
      <c r="AV5" s="528"/>
      <c r="AW5" s="528"/>
      <c r="AX5" s="528"/>
      <c r="AY5" s="528"/>
      <c r="AZ5" s="528"/>
      <c r="BA5" s="528"/>
      <c r="BB5" s="528"/>
      <c r="BC5" s="528"/>
      <c r="BD5" s="528"/>
      <c r="BE5" s="528"/>
      <c r="BF5" s="528"/>
      <c r="BG5" s="528"/>
      <c r="BH5" s="528"/>
      <c r="BI5" s="528"/>
      <c r="BJ5" s="528"/>
      <c r="BK5" s="528"/>
      <c r="BL5" s="528"/>
      <c r="BM5" s="528"/>
      <c r="BN5" s="528"/>
      <c r="BO5" s="528"/>
      <c r="BP5" s="528"/>
      <c r="BQ5" s="528"/>
      <c r="BR5" s="528"/>
      <c r="BS5" s="528"/>
      <c r="BT5" s="528"/>
      <c r="BU5" s="528"/>
      <c r="BV5" s="528"/>
      <c r="BW5" s="528"/>
      <c r="BX5" s="528"/>
      <c r="BY5" s="528"/>
      <c r="BZ5" s="528"/>
      <c r="CA5" s="528"/>
      <c r="CB5" s="528"/>
      <c r="CC5" s="528"/>
      <c r="CD5" s="528"/>
      <c r="CE5" s="528"/>
      <c r="CF5" s="528"/>
      <c r="CG5" s="528"/>
      <c r="CH5" s="528"/>
      <c r="CI5" s="528"/>
      <c r="CJ5" s="528"/>
      <c r="CK5" s="528"/>
      <c r="CL5" s="528"/>
      <c r="CM5" s="528"/>
      <c r="CN5" s="528"/>
      <c r="CO5" s="528"/>
      <c r="CP5" s="528"/>
      <c r="CQ5" s="528"/>
      <c r="CR5" s="528"/>
      <c r="CS5" s="528"/>
      <c r="CT5" s="528"/>
      <c r="CU5" s="528"/>
      <c r="CV5" s="528"/>
      <c r="CW5" s="528"/>
      <c r="CX5" s="528"/>
      <c r="CY5" s="528"/>
      <c r="CZ5" s="528"/>
      <c r="DA5" s="528"/>
      <c r="DB5" s="528"/>
      <c r="DC5" s="528"/>
      <c r="DD5" s="528"/>
      <c r="DE5" s="528"/>
      <c r="DF5" s="528"/>
      <c r="DG5" s="528"/>
      <c r="DH5" s="528"/>
      <c r="DI5" s="528"/>
      <c r="DJ5" s="528"/>
      <c r="DK5" s="528"/>
      <c r="DL5" s="528"/>
      <c r="DM5" s="528"/>
      <c r="DN5" s="528"/>
      <c r="DO5" s="528"/>
      <c r="DP5" s="528"/>
      <c r="DQ5" s="528"/>
      <c r="DR5" s="528"/>
      <c r="DS5" s="528"/>
      <c r="DT5" s="528"/>
      <c r="DU5" s="528"/>
      <c r="DV5" s="528"/>
      <c r="DW5" s="528"/>
      <c r="DX5" s="528"/>
      <c r="DY5" s="528"/>
      <c r="DZ5" s="528"/>
      <c r="EA5" s="528"/>
      <c r="EB5" s="528"/>
      <c r="EC5" s="528"/>
      <c r="ED5" s="528"/>
      <c r="EE5" s="528"/>
      <c r="EF5" s="528"/>
      <c r="EG5" s="528"/>
      <c r="EH5" s="528"/>
      <c r="EI5" s="528"/>
      <c r="EJ5" s="528"/>
      <c r="EK5" s="528"/>
      <c r="EL5" s="528"/>
      <c r="EM5" s="528"/>
      <c r="EN5" s="528"/>
      <c r="EO5" s="528"/>
      <c r="EP5" s="528"/>
      <c r="EQ5" s="528"/>
      <c r="ER5" s="528"/>
      <c r="ES5" s="528"/>
      <c r="ET5" s="528"/>
      <c r="EU5" s="528"/>
      <c r="EV5" s="528"/>
      <c r="EW5" s="528"/>
      <c r="EX5" s="528"/>
      <c r="EY5" s="528"/>
      <c r="EZ5" s="528"/>
      <c r="FA5" s="528"/>
      <c r="FB5" s="528"/>
      <c r="FC5" s="528"/>
      <c r="FD5" s="528"/>
      <c r="FE5" s="528"/>
      <c r="FF5" s="528"/>
      <c r="FG5" s="528"/>
      <c r="FH5" s="528"/>
      <c r="FI5" s="528"/>
      <c r="FJ5" s="528"/>
      <c r="FK5" s="528"/>
      <c r="FL5" s="528"/>
      <c r="FM5" s="528"/>
      <c r="FN5" s="528"/>
      <c r="FO5" s="528"/>
      <c r="FP5" s="528"/>
      <c r="FQ5" s="528"/>
      <c r="FR5" s="528"/>
      <c r="FS5" s="528"/>
      <c r="FT5" s="528"/>
      <c r="FU5" s="528"/>
      <c r="FV5" s="528"/>
      <c r="FW5" s="528"/>
      <c r="FX5" s="528"/>
      <c r="FY5" s="528"/>
      <c r="FZ5" s="528"/>
      <c r="GA5" s="528"/>
      <c r="GB5" s="528"/>
      <c r="GC5" s="528"/>
      <c r="GD5" s="528"/>
      <c r="GE5" s="528"/>
      <c r="GF5" s="528"/>
      <c r="GG5" s="528"/>
      <c r="GH5" s="528"/>
      <c r="GI5" s="528"/>
      <c r="GJ5" s="528"/>
      <c r="GK5" s="528"/>
      <c r="GL5" s="528"/>
      <c r="GM5" s="528"/>
      <c r="GN5" s="528"/>
      <c r="GO5" s="528"/>
      <c r="GP5" s="528"/>
      <c r="GQ5" s="528"/>
      <c r="GR5" s="528"/>
      <c r="GS5" s="528"/>
      <c r="GT5" s="528"/>
      <c r="GU5" s="528"/>
      <c r="GV5" s="528"/>
      <c r="GW5" s="528"/>
      <c r="GX5" s="528"/>
      <c r="GY5" s="528"/>
      <c r="GZ5" s="528"/>
      <c r="HA5" s="528"/>
      <c r="HB5" s="528"/>
      <c r="HC5" s="528"/>
      <c r="HD5" s="528"/>
      <c r="HE5" s="528"/>
      <c r="HF5" s="528"/>
      <c r="HG5" s="528"/>
      <c r="HH5" s="528"/>
      <c r="HI5" s="528"/>
      <c r="HJ5" s="528"/>
      <c r="HK5" s="528"/>
      <c r="HL5" s="528"/>
      <c r="HM5" s="528"/>
      <c r="HN5" s="528"/>
      <c r="HO5" s="528"/>
      <c r="HP5" s="528"/>
      <c r="HQ5" s="528"/>
      <c r="HR5" s="528"/>
      <c r="HS5" s="528"/>
      <c r="HT5" s="528"/>
      <c r="HU5" s="528"/>
      <c r="HV5" s="528"/>
      <c r="HW5" s="528"/>
      <c r="HX5" s="528"/>
      <c r="HY5" s="528"/>
      <c r="HZ5" s="528"/>
      <c r="IA5" s="528"/>
      <c r="IB5" s="528"/>
      <c r="IC5" s="528"/>
      <c r="ID5" s="528"/>
      <c r="IE5" s="528"/>
      <c r="IF5" s="528"/>
      <c r="IG5" s="528"/>
      <c r="IH5" s="528"/>
      <c r="II5" s="528"/>
      <c r="IJ5" s="528"/>
      <c r="IK5" s="528"/>
      <c r="IL5" s="528"/>
      <c r="IM5" s="528"/>
      <c r="IN5" s="528"/>
      <c r="IO5" s="528"/>
      <c r="IP5" s="528"/>
      <c r="IQ5" s="528"/>
      <c r="IR5" s="528"/>
      <c r="IS5" s="528"/>
      <c r="IT5" s="528"/>
      <c r="IU5" s="528"/>
      <c r="IV5" s="528"/>
      <c r="IW5" s="528"/>
    </row>
    <row r="6" spans="1:257">
      <c r="A6" s="529"/>
      <c r="B6" s="530"/>
      <c r="C6" s="530"/>
      <c r="D6" s="530"/>
      <c r="E6" s="530"/>
      <c r="F6" s="530"/>
      <c r="G6" s="530"/>
      <c r="H6" s="530"/>
      <c r="I6" s="530"/>
      <c r="J6" s="530"/>
      <c r="K6" s="530"/>
      <c r="L6" s="530"/>
      <c r="M6" s="530"/>
      <c r="N6" s="530"/>
      <c r="O6" s="530"/>
      <c r="P6" s="530"/>
      <c r="Q6" s="530"/>
      <c r="R6" s="530"/>
      <c r="S6" s="530"/>
      <c r="T6" s="530"/>
      <c r="U6" s="530"/>
      <c r="V6" s="530"/>
      <c r="W6" s="530"/>
      <c r="X6" s="530"/>
      <c r="Y6" s="530"/>
      <c r="Z6" s="530"/>
      <c r="AA6" s="530"/>
      <c r="AB6" s="530"/>
      <c r="AC6" s="530"/>
      <c r="AD6" s="530"/>
      <c r="AE6" s="530"/>
      <c r="AF6" s="530"/>
      <c r="AG6" s="530"/>
      <c r="AH6" s="530"/>
      <c r="AI6" s="530"/>
      <c r="AJ6" s="530"/>
      <c r="AK6" s="530"/>
      <c r="AL6" s="530"/>
      <c r="AM6" s="530"/>
      <c r="AN6" s="530"/>
      <c r="AO6" s="530"/>
      <c r="AP6" s="530"/>
      <c r="AQ6" s="530"/>
      <c r="AR6" s="530"/>
      <c r="AS6" s="530"/>
      <c r="AT6" s="530"/>
      <c r="AU6" s="530"/>
      <c r="AV6" s="530"/>
      <c r="AW6" s="530"/>
      <c r="AX6" s="530"/>
      <c r="AY6" s="530"/>
      <c r="AZ6" s="530"/>
      <c r="BA6" s="530"/>
      <c r="BB6" s="530"/>
      <c r="BC6" s="530"/>
      <c r="BD6" s="530"/>
      <c r="BE6" s="530"/>
      <c r="BF6" s="530"/>
      <c r="BG6" s="530"/>
      <c r="BH6" s="530"/>
      <c r="BI6" s="530"/>
      <c r="BJ6" s="530"/>
      <c r="BK6" s="530"/>
      <c r="BL6" s="530"/>
      <c r="BM6" s="530"/>
      <c r="BN6" s="530"/>
      <c r="BO6" s="530"/>
      <c r="BP6" s="530"/>
      <c r="BQ6" s="530"/>
      <c r="BR6" s="530"/>
      <c r="BS6" s="530"/>
      <c r="BT6" s="530"/>
      <c r="BU6" s="530"/>
      <c r="BV6" s="530"/>
      <c r="BW6" s="530"/>
      <c r="BX6" s="530"/>
      <c r="BY6" s="530"/>
      <c r="BZ6" s="530"/>
      <c r="CA6" s="530"/>
      <c r="CB6" s="530"/>
      <c r="CC6" s="530"/>
      <c r="CD6" s="530"/>
      <c r="CE6" s="530"/>
      <c r="CF6" s="530"/>
      <c r="CG6" s="530"/>
      <c r="CH6" s="530"/>
      <c r="CI6" s="530"/>
      <c r="CJ6" s="530"/>
      <c r="CK6" s="530"/>
      <c r="CL6" s="530"/>
      <c r="CM6" s="530"/>
      <c r="CN6" s="530"/>
      <c r="CO6" s="530"/>
      <c r="CP6" s="530"/>
      <c r="CQ6" s="530"/>
      <c r="CR6" s="530"/>
      <c r="CS6" s="530"/>
      <c r="CT6" s="530"/>
      <c r="CU6" s="530"/>
      <c r="CV6" s="530"/>
      <c r="CW6" s="530"/>
      <c r="CX6" s="530"/>
      <c r="CY6" s="530"/>
      <c r="CZ6" s="530"/>
      <c r="DA6" s="530"/>
      <c r="DB6" s="530"/>
      <c r="DC6" s="530"/>
      <c r="DD6" s="530"/>
      <c r="DE6" s="530"/>
      <c r="DF6" s="530"/>
      <c r="DG6" s="530"/>
      <c r="DH6" s="530"/>
      <c r="DI6" s="530"/>
      <c r="DJ6" s="530"/>
      <c r="DK6" s="530"/>
      <c r="DL6" s="530"/>
      <c r="DM6" s="530"/>
      <c r="DN6" s="530"/>
      <c r="DO6" s="530"/>
      <c r="DP6" s="530"/>
      <c r="DQ6" s="530"/>
      <c r="DR6" s="530"/>
      <c r="DS6" s="530"/>
      <c r="DT6" s="530"/>
      <c r="DU6" s="530"/>
      <c r="DV6" s="530"/>
      <c r="DW6" s="530"/>
      <c r="DX6" s="530"/>
      <c r="DY6" s="530"/>
      <c r="DZ6" s="530"/>
      <c r="EA6" s="530"/>
      <c r="EB6" s="530"/>
      <c r="EC6" s="530"/>
      <c r="ED6" s="530"/>
      <c r="EE6" s="530"/>
      <c r="EF6" s="530"/>
      <c r="EG6" s="530"/>
      <c r="EH6" s="530"/>
      <c r="EI6" s="530"/>
      <c r="EJ6" s="530"/>
      <c r="EK6" s="530"/>
      <c r="EL6" s="530"/>
      <c r="EM6" s="530"/>
      <c r="EN6" s="530"/>
      <c r="EO6" s="530"/>
      <c r="EP6" s="530"/>
      <c r="EQ6" s="530"/>
      <c r="ER6" s="530"/>
      <c r="ES6" s="530"/>
      <c r="ET6" s="530"/>
      <c r="EU6" s="530"/>
      <c r="EV6" s="530"/>
      <c r="EW6" s="530"/>
      <c r="EX6" s="530"/>
      <c r="EY6" s="530"/>
      <c r="EZ6" s="530"/>
      <c r="FA6" s="530"/>
      <c r="FB6" s="530"/>
      <c r="FC6" s="530"/>
      <c r="FD6" s="530"/>
      <c r="FE6" s="530"/>
      <c r="FF6" s="530"/>
      <c r="FG6" s="530"/>
      <c r="FH6" s="530"/>
      <c r="FI6" s="530"/>
      <c r="FJ6" s="530"/>
      <c r="FK6" s="530"/>
      <c r="FL6" s="530"/>
      <c r="FM6" s="530"/>
      <c r="FN6" s="530"/>
      <c r="FO6" s="530"/>
      <c r="FP6" s="530"/>
      <c r="FQ6" s="530"/>
      <c r="FR6" s="530"/>
      <c r="FS6" s="530"/>
      <c r="FT6" s="530"/>
      <c r="FU6" s="530"/>
      <c r="FV6" s="530"/>
      <c r="FW6" s="530"/>
      <c r="FX6" s="530"/>
      <c r="FY6" s="530"/>
      <c r="FZ6" s="530"/>
      <c r="GA6" s="530"/>
      <c r="GB6" s="530"/>
      <c r="GC6" s="530"/>
      <c r="GD6" s="530"/>
      <c r="GE6" s="530"/>
      <c r="GF6" s="530"/>
      <c r="GG6" s="530"/>
      <c r="GH6" s="530"/>
      <c r="GI6" s="530"/>
      <c r="GJ6" s="530"/>
      <c r="GK6" s="530"/>
      <c r="GL6" s="530"/>
      <c r="GM6" s="530"/>
      <c r="GN6" s="530"/>
      <c r="GO6" s="530"/>
      <c r="GP6" s="530"/>
      <c r="GQ6" s="530"/>
      <c r="GR6" s="530"/>
      <c r="GS6" s="530"/>
      <c r="GT6" s="530"/>
      <c r="GU6" s="530"/>
      <c r="GV6" s="530"/>
      <c r="GW6" s="530"/>
      <c r="GX6" s="530"/>
      <c r="GY6" s="530"/>
      <c r="GZ6" s="530"/>
      <c r="HA6" s="530"/>
      <c r="HB6" s="530"/>
      <c r="HC6" s="530"/>
      <c r="HD6" s="530"/>
      <c r="HE6" s="530"/>
      <c r="HF6" s="530"/>
      <c r="HG6" s="530"/>
      <c r="HH6" s="530"/>
      <c r="HI6" s="530"/>
      <c r="HJ6" s="530"/>
      <c r="HK6" s="530"/>
      <c r="HL6" s="530"/>
      <c r="HM6" s="530"/>
      <c r="HN6" s="530"/>
      <c r="HO6" s="530"/>
      <c r="HP6" s="530"/>
      <c r="HQ6" s="530"/>
      <c r="HR6" s="530"/>
      <c r="HS6" s="530"/>
      <c r="HT6" s="530"/>
      <c r="HU6" s="530"/>
      <c r="HV6" s="530"/>
      <c r="HW6" s="530"/>
      <c r="HX6" s="530"/>
      <c r="HY6" s="530"/>
      <c r="HZ6" s="530"/>
      <c r="IA6" s="530"/>
      <c r="IB6" s="530"/>
      <c r="IC6" s="530"/>
      <c r="ID6" s="530"/>
      <c r="IE6" s="530"/>
      <c r="IF6" s="530"/>
      <c r="IG6" s="530"/>
      <c r="IH6" s="530"/>
      <c r="II6" s="530"/>
      <c r="IJ6" s="530"/>
      <c r="IK6" s="530"/>
      <c r="IL6" s="530"/>
      <c r="IM6" s="530"/>
      <c r="IN6" s="530"/>
      <c r="IO6" s="530"/>
      <c r="IP6" s="530"/>
      <c r="IQ6" s="530"/>
      <c r="IR6" s="530"/>
      <c r="IS6" s="530"/>
      <c r="IT6" s="530"/>
      <c r="IU6" s="530"/>
      <c r="IV6" s="530"/>
      <c r="IW6" s="530"/>
    </row>
    <row r="7" spans="1:257">
      <c r="A7" s="529" t="s">
        <v>3</v>
      </c>
      <c r="B7" s="531" t="s">
        <v>4</v>
      </c>
      <c r="C7" s="530"/>
      <c r="D7" s="530"/>
      <c r="E7" s="530"/>
      <c r="F7" s="530"/>
      <c r="G7" s="530"/>
      <c r="H7" s="530"/>
      <c r="I7" s="530"/>
      <c r="J7" s="530"/>
      <c r="K7" s="530"/>
      <c r="L7" s="530"/>
      <c r="M7" s="530"/>
      <c r="N7" s="530"/>
      <c r="O7" s="530"/>
      <c r="P7" s="530"/>
      <c r="Q7" s="530"/>
      <c r="R7" s="530"/>
      <c r="S7" s="530"/>
      <c r="T7" s="530"/>
      <c r="U7" s="530"/>
      <c r="V7" s="530"/>
      <c r="W7" s="530"/>
      <c r="X7" s="530"/>
      <c r="Y7" s="530"/>
      <c r="Z7" s="530"/>
      <c r="AA7" s="530"/>
      <c r="AB7" s="530"/>
      <c r="AC7" s="530"/>
      <c r="AD7" s="530"/>
      <c r="AE7" s="530"/>
      <c r="AF7" s="530"/>
      <c r="AG7" s="530"/>
      <c r="AH7" s="530"/>
      <c r="AI7" s="530"/>
      <c r="AJ7" s="530"/>
      <c r="AK7" s="530"/>
      <c r="AL7" s="530"/>
      <c r="AM7" s="530"/>
      <c r="AN7" s="530"/>
      <c r="AO7" s="530"/>
      <c r="AP7" s="530"/>
      <c r="AQ7" s="530"/>
      <c r="AR7" s="530"/>
      <c r="AS7" s="530"/>
      <c r="AT7" s="530"/>
      <c r="AU7" s="530"/>
      <c r="AV7" s="530"/>
      <c r="AW7" s="530"/>
      <c r="AX7" s="530"/>
      <c r="AY7" s="530"/>
      <c r="AZ7" s="530"/>
      <c r="BA7" s="530"/>
      <c r="BB7" s="530"/>
      <c r="BC7" s="530"/>
      <c r="BD7" s="530"/>
      <c r="BE7" s="530"/>
      <c r="BF7" s="530"/>
      <c r="BG7" s="530"/>
      <c r="BH7" s="530"/>
      <c r="BI7" s="530"/>
      <c r="BJ7" s="530"/>
      <c r="BK7" s="530"/>
      <c r="BL7" s="530"/>
      <c r="BM7" s="530"/>
      <c r="BN7" s="530"/>
      <c r="BO7" s="530"/>
      <c r="BP7" s="530"/>
      <c r="BQ7" s="530"/>
      <c r="BR7" s="530"/>
      <c r="BS7" s="530"/>
      <c r="BT7" s="530"/>
      <c r="BU7" s="530"/>
      <c r="BV7" s="530"/>
      <c r="BW7" s="530"/>
      <c r="BX7" s="530"/>
      <c r="BY7" s="530"/>
      <c r="BZ7" s="530"/>
      <c r="CA7" s="530"/>
      <c r="CB7" s="530"/>
      <c r="CC7" s="530"/>
      <c r="CD7" s="530"/>
      <c r="CE7" s="530"/>
      <c r="CF7" s="530"/>
      <c r="CG7" s="530"/>
      <c r="CH7" s="530"/>
      <c r="CI7" s="530"/>
      <c r="CJ7" s="530"/>
      <c r="CK7" s="530"/>
      <c r="CL7" s="530"/>
      <c r="CM7" s="530"/>
      <c r="CN7" s="530"/>
      <c r="CO7" s="530"/>
      <c r="CP7" s="530"/>
      <c r="CQ7" s="530"/>
      <c r="CR7" s="530"/>
      <c r="CS7" s="530"/>
      <c r="CT7" s="530"/>
      <c r="CU7" s="530"/>
      <c r="CV7" s="530"/>
      <c r="CW7" s="530"/>
      <c r="CX7" s="530"/>
      <c r="CY7" s="530"/>
      <c r="CZ7" s="530"/>
      <c r="DA7" s="530"/>
      <c r="DB7" s="530"/>
      <c r="DC7" s="530"/>
      <c r="DD7" s="530"/>
      <c r="DE7" s="530"/>
      <c r="DF7" s="530"/>
      <c r="DG7" s="530"/>
      <c r="DH7" s="530"/>
      <c r="DI7" s="530"/>
      <c r="DJ7" s="530"/>
      <c r="DK7" s="530"/>
      <c r="DL7" s="530"/>
      <c r="DM7" s="530"/>
      <c r="DN7" s="530"/>
      <c r="DO7" s="530"/>
      <c r="DP7" s="530"/>
      <c r="DQ7" s="530"/>
      <c r="DR7" s="530"/>
      <c r="DS7" s="530"/>
      <c r="DT7" s="530"/>
      <c r="DU7" s="530"/>
      <c r="DV7" s="530"/>
      <c r="DW7" s="530"/>
      <c r="DX7" s="530"/>
      <c r="DY7" s="530"/>
      <c r="DZ7" s="530"/>
      <c r="EA7" s="530"/>
      <c r="EB7" s="530"/>
      <c r="EC7" s="530"/>
      <c r="ED7" s="530"/>
      <c r="EE7" s="530"/>
      <c r="EF7" s="530"/>
      <c r="EG7" s="530"/>
      <c r="EH7" s="530"/>
      <c r="EI7" s="530"/>
      <c r="EJ7" s="530"/>
      <c r="EK7" s="530"/>
      <c r="EL7" s="530"/>
      <c r="EM7" s="530"/>
      <c r="EN7" s="530"/>
      <c r="EO7" s="530"/>
      <c r="EP7" s="530"/>
      <c r="EQ7" s="530"/>
      <c r="ER7" s="530"/>
      <c r="ES7" s="530"/>
      <c r="ET7" s="530"/>
      <c r="EU7" s="530"/>
      <c r="EV7" s="530"/>
      <c r="EW7" s="530"/>
      <c r="EX7" s="530"/>
      <c r="EY7" s="530"/>
      <c r="EZ7" s="530"/>
      <c r="FA7" s="530"/>
      <c r="FB7" s="530"/>
      <c r="FC7" s="530"/>
      <c r="FD7" s="530"/>
      <c r="FE7" s="530"/>
      <c r="FF7" s="530"/>
      <c r="FG7" s="530"/>
      <c r="FH7" s="530"/>
      <c r="FI7" s="530"/>
      <c r="FJ7" s="530"/>
      <c r="FK7" s="530"/>
      <c r="FL7" s="530"/>
      <c r="FM7" s="530"/>
      <c r="FN7" s="530"/>
      <c r="FO7" s="530"/>
      <c r="FP7" s="530"/>
      <c r="FQ7" s="530"/>
      <c r="FR7" s="530"/>
      <c r="FS7" s="530"/>
      <c r="FT7" s="530"/>
      <c r="FU7" s="530"/>
      <c r="FV7" s="530"/>
      <c r="FW7" s="530"/>
      <c r="FX7" s="530"/>
      <c r="FY7" s="530"/>
      <c r="FZ7" s="530"/>
      <c r="GA7" s="530"/>
      <c r="GB7" s="530"/>
      <c r="GC7" s="530"/>
      <c r="GD7" s="530"/>
      <c r="GE7" s="530"/>
      <c r="GF7" s="530"/>
      <c r="GG7" s="530"/>
      <c r="GH7" s="530"/>
      <c r="GI7" s="530"/>
      <c r="GJ7" s="530"/>
      <c r="GK7" s="530"/>
      <c r="GL7" s="530"/>
      <c r="GM7" s="530"/>
      <c r="GN7" s="530"/>
      <c r="GO7" s="530"/>
      <c r="GP7" s="530"/>
      <c r="GQ7" s="530"/>
      <c r="GR7" s="530"/>
      <c r="GS7" s="530"/>
      <c r="GT7" s="530"/>
      <c r="GU7" s="530"/>
      <c r="GV7" s="530"/>
      <c r="GW7" s="530"/>
      <c r="GX7" s="530"/>
      <c r="GY7" s="530"/>
      <c r="GZ7" s="530"/>
      <c r="HA7" s="530"/>
      <c r="HB7" s="530"/>
      <c r="HC7" s="530"/>
      <c r="HD7" s="530"/>
      <c r="HE7" s="530"/>
      <c r="HF7" s="530"/>
      <c r="HG7" s="530"/>
      <c r="HH7" s="530"/>
      <c r="HI7" s="530"/>
      <c r="HJ7" s="530"/>
      <c r="HK7" s="530"/>
      <c r="HL7" s="530"/>
      <c r="HM7" s="530"/>
      <c r="HN7" s="530"/>
      <c r="HO7" s="530"/>
      <c r="HP7" s="530"/>
      <c r="HQ7" s="530"/>
      <c r="HR7" s="530"/>
      <c r="HS7" s="530"/>
      <c r="HT7" s="530"/>
      <c r="HU7" s="530"/>
      <c r="HV7" s="530"/>
      <c r="HW7" s="530"/>
      <c r="HX7" s="530"/>
      <c r="HY7" s="530"/>
      <c r="HZ7" s="530"/>
      <c r="IA7" s="530"/>
      <c r="IB7" s="530"/>
      <c r="IC7" s="530"/>
      <c r="ID7" s="530"/>
      <c r="IE7" s="530"/>
      <c r="IF7" s="530"/>
      <c r="IG7" s="530"/>
      <c r="IH7" s="530"/>
      <c r="II7" s="530"/>
      <c r="IJ7" s="530"/>
      <c r="IK7" s="530"/>
      <c r="IL7" s="530"/>
      <c r="IM7" s="530"/>
      <c r="IN7" s="530"/>
      <c r="IO7" s="530"/>
      <c r="IP7" s="530"/>
      <c r="IQ7" s="530"/>
      <c r="IR7" s="530"/>
      <c r="IS7" s="530"/>
      <c r="IT7" s="530"/>
      <c r="IU7" s="530"/>
      <c r="IV7" s="530"/>
      <c r="IW7" s="530"/>
    </row>
    <row r="8" spans="1:257">
      <c r="A8" s="529"/>
      <c r="B8" s="530"/>
      <c r="C8" s="530"/>
      <c r="D8" s="530"/>
      <c r="E8" s="530"/>
      <c r="F8" s="530"/>
      <c r="G8" s="530"/>
      <c r="H8" s="530"/>
      <c r="I8" s="530"/>
      <c r="J8" s="530"/>
      <c r="K8" s="530"/>
      <c r="L8" s="530"/>
      <c r="M8" s="530"/>
      <c r="N8" s="530"/>
      <c r="O8" s="530"/>
      <c r="P8" s="530"/>
      <c r="Q8" s="530"/>
      <c r="R8" s="530"/>
      <c r="S8" s="530"/>
      <c r="T8" s="530"/>
      <c r="U8" s="530"/>
      <c r="V8" s="530"/>
      <c r="W8" s="530"/>
      <c r="X8" s="530"/>
      <c r="Y8" s="530"/>
      <c r="Z8" s="530"/>
      <c r="AA8" s="530"/>
      <c r="AB8" s="530"/>
      <c r="AC8" s="530"/>
      <c r="AD8" s="530"/>
      <c r="AE8" s="530"/>
      <c r="AF8" s="530"/>
      <c r="AG8" s="530"/>
      <c r="AH8" s="530"/>
      <c r="AI8" s="530"/>
      <c r="AJ8" s="530"/>
      <c r="AK8" s="530"/>
      <c r="AL8" s="530"/>
      <c r="AM8" s="530"/>
      <c r="AN8" s="530"/>
      <c r="AO8" s="530"/>
      <c r="AP8" s="530"/>
      <c r="AQ8" s="530"/>
      <c r="AR8" s="530"/>
      <c r="AS8" s="530"/>
      <c r="AT8" s="530"/>
      <c r="AU8" s="530"/>
      <c r="AV8" s="530"/>
      <c r="AW8" s="530"/>
      <c r="AX8" s="530"/>
      <c r="AY8" s="530"/>
      <c r="AZ8" s="530"/>
      <c r="BA8" s="530"/>
      <c r="BB8" s="530"/>
      <c r="BC8" s="530"/>
      <c r="BD8" s="530"/>
      <c r="BE8" s="530"/>
      <c r="BF8" s="530"/>
      <c r="BG8" s="530"/>
      <c r="BH8" s="530"/>
      <c r="BI8" s="530"/>
      <c r="BJ8" s="530"/>
      <c r="BK8" s="530"/>
      <c r="BL8" s="530"/>
      <c r="BM8" s="530"/>
      <c r="BN8" s="530"/>
      <c r="BO8" s="530"/>
      <c r="BP8" s="530"/>
      <c r="BQ8" s="530"/>
      <c r="BR8" s="530"/>
      <c r="BS8" s="530"/>
      <c r="BT8" s="530"/>
      <c r="BU8" s="530"/>
      <c r="BV8" s="530"/>
      <c r="BW8" s="530"/>
      <c r="BX8" s="530"/>
      <c r="BY8" s="530"/>
      <c r="BZ8" s="530"/>
      <c r="CA8" s="530"/>
      <c r="CB8" s="530"/>
      <c r="CC8" s="530"/>
      <c r="CD8" s="530"/>
      <c r="CE8" s="530"/>
      <c r="CF8" s="530"/>
      <c r="CG8" s="530"/>
      <c r="CH8" s="530"/>
      <c r="CI8" s="530"/>
      <c r="CJ8" s="530"/>
      <c r="CK8" s="530"/>
      <c r="CL8" s="530"/>
      <c r="CM8" s="530"/>
      <c r="CN8" s="530"/>
      <c r="CO8" s="530"/>
      <c r="CP8" s="530"/>
      <c r="CQ8" s="530"/>
      <c r="CR8" s="530"/>
      <c r="CS8" s="530"/>
      <c r="CT8" s="530"/>
      <c r="CU8" s="530"/>
      <c r="CV8" s="530"/>
      <c r="CW8" s="530"/>
      <c r="CX8" s="530"/>
      <c r="CY8" s="530"/>
      <c r="CZ8" s="530"/>
      <c r="DA8" s="530"/>
      <c r="DB8" s="530"/>
      <c r="DC8" s="530"/>
      <c r="DD8" s="530"/>
      <c r="DE8" s="530"/>
      <c r="DF8" s="530"/>
      <c r="DG8" s="530"/>
      <c r="DH8" s="530"/>
      <c r="DI8" s="530"/>
      <c r="DJ8" s="530"/>
      <c r="DK8" s="530"/>
      <c r="DL8" s="530"/>
      <c r="DM8" s="530"/>
      <c r="DN8" s="530"/>
      <c r="DO8" s="530"/>
      <c r="DP8" s="530"/>
      <c r="DQ8" s="530"/>
      <c r="DR8" s="530"/>
      <c r="DS8" s="530"/>
      <c r="DT8" s="530"/>
      <c r="DU8" s="530"/>
      <c r="DV8" s="530"/>
      <c r="DW8" s="530"/>
      <c r="DX8" s="530"/>
      <c r="DY8" s="530"/>
      <c r="DZ8" s="530"/>
      <c r="EA8" s="530"/>
      <c r="EB8" s="530"/>
      <c r="EC8" s="530"/>
      <c r="ED8" s="530"/>
      <c r="EE8" s="530"/>
      <c r="EF8" s="530"/>
      <c r="EG8" s="530"/>
      <c r="EH8" s="530"/>
      <c r="EI8" s="530"/>
      <c r="EJ8" s="530"/>
      <c r="EK8" s="530"/>
      <c r="EL8" s="530"/>
      <c r="EM8" s="530"/>
      <c r="EN8" s="530"/>
      <c r="EO8" s="530"/>
      <c r="EP8" s="530"/>
      <c r="EQ8" s="530"/>
      <c r="ER8" s="530"/>
      <c r="ES8" s="530"/>
      <c r="ET8" s="530"/>
      <c r="EU8" s="530"/>
      <c r="EV8" s="530"/>
      <c r="EW8" s="530"/>
      <c r="EX8" s="530"/>
      <c r="EY8" s="530"/>
      <c r="EZ8" s="530"/>
      <c r="FA8" s="530"/>
      <c r="FB8" s="530"/>
      <c r="FC8" s="530"/>
      <c r="FD8" s="530"/>
      <c r="FE8" s="530"/>
      <c r="FF8" s="530"/>
      <c r="FG8" s="530"/>
      <c r="FH8" s="530"/>
      <c r="FI8" s="530"/>
      <c r="FJ8" s="530"/>
      <c r="FK8" s="530"/>
      <c r="FL8" s="530"/>
      <c r="FM8" s="530"/>
      <c r="FN8" s="530"/>
      <c r="FO8" s="530"/>
      <c r="FP8" s="530"/>
      <c r="FQ8" s="530"/>
      <c r="FR8" s="530"/>
      <c r="FS8" s="530"/>
      <c r="FT8" s="530"/>
      <c r="FU8" s="530"/>
      <c r="FV8" s="530"/>
      <c r="FW8" s="530"/>
      <c r="FX8" s="530"/>
      <c r="FY8" s="530"/>
      <c r="FZ8" s="530"/>
      <c r="GA8" s="530"/>
      <c r="GB8" s="530"/>
      <c r="GC8" s="530"/>
      <c r="GD8" s="530"/>
      <c r="GE8" s="530"/>
      <c r="GF8" s="530"/>
      <c r="GG8" s="530"/>
      <c r="GH8" s="530"/>
      <c r="GI8" s="530"/>
      <c r="GJ8" s="530"/>
      <c r="GK8" s="530"/>
      <c r="GL8" s="530"/>
      <c r="GM8" s="530"/>
      <c r="GN8" s="530"/>
      <c r="GO8" s="530"/>
      <c r="GP8" s="530"/>
      <c r="GQ8" s="530"/>
      <c r="GR8" s="530"/>
      <c r="GS8" s="530"/>
      <c r="GT8" s="530"/>
      <c r="GU8" s="530"/>
      <c r="GV8" s="530"/>
      <c r="GW8" s="530"/>
      <c r="GX8" s="530"/>
      <c r="GY8" s="530"/>
      <c r="GZ8" s="530"/>
      <c r="HA8" s="530"/>
      <c r="HB8" s="530"/>
      <c r="HC8" s="530"/>
      <c r="HD8" s="530"/>
      <c r="HE8" s="530"/>
      <c r="HF8" s="530"/>
      <c r="HG8" s="530"/>
      <c r="HH8" s="530"/>
      <c r="HI8" s="530"/>
      <c r="HJ8" s="530"/>
      <c r="HK8" s="530"/>
      <c r="HL8" s="530"/>
      <c r="HM8" s="530"/>
      <c r="HN8" s="530"/>
      <c r="HO8" s="530"/>
      <c r="HP8" s="530"/>
      <c r="HQ8" s="530"/>
      <c r="HR8" s="530"/>
      <c r="HS8" s="530"/>
      <c r="HT8" s="530"/>
      <c r="HU8" s="530"/>
      <c r="HV8" s="530"/>
      <c r="HW8" s="530"/>
      <c r="HX8" s="530"/>
      <c r="HY8" s="530"/>
      <c r="HZ8" s="530"/>
      <c r="IA8" s="530"/>
      <c r="IB8" s="530"/>
      <c r="IC8" s="530"/>
      <c r="ID8" s="530"/>
      <c r="IE8" s="530"/>
      <c r="IF8" s="530"/>
      <c r="IG8" s="530"/>
      <c r="IH8" s="530"/>
      <c r="II8" s="530"/>
      <c r="IJ8" s="530"/>
      <c r="IK8" s="530"/>
      <c r="IL8" s="530"/>
      <c r="IM8" s="530"/>
      <c r="IN8" s="530"/>
      <c r="IO8" s="530"/>
      <c r="IP8" s="530"/>
      <c r="IQ8" s="530"/>
      <c r="IR8" s="530"/>
      <c r="IS8" s="530"/>
      <c r="IT8" s="530"/>
      <c r="IU8" s="530"/>
      <c r="IV8" s="530"/>
      <c r="IW8" s="530"/>
    </row>
    <row r="9" ht="15.6" customHeight="1" spans="1:257">
      <c r="A9" s="529" t="s">
        <v>5</v>
      </c>
      <c r="B9" s="531" t="s">
        <v>6</v>
      </c>
      <c r="C9" s="531"/>
      <c r="D9" s="531"/>
      <c r="E9" s="531"/>
      <c r="F9" s="531"/>
      <c r="G9" s="531"/>
      <c r="H9" s="531"/>
      <c r="I9" s="531"/>
      <c r="J9" s="531"/>
      <c r="K9" s="531"/>
      <c r="L9" s="531"/>
      <c r="M9" s="531"/>
      <c r="N9" s="531"/>
      <c r="O9" s="531"/>
      <c r="P9" s="531"/>
      <c r="Q9" s="531"/>
      <c r="R9" s="531"/>
      <c r="S9" s="531"/>
      <c r="T9" s="531"/>
      <c r="U9" s="531"/>
      <c r="V9" s="531"/>
      <c r="W9" s="531"/>
      <c r="X9" s="531"/>
      <c r="Y9" s="531"/>
      <c r="Z9" s="531"/>
      <c r="AA9" s="531"/>
      <c r="AB9" s="531"/>
      <c r="AC9" s="531"/>
      <c r="AD9" s="531"/>
      <c r="AE9" s="531"/>
      <c r="AF9" s="531"/>
      <c r="AG9" s="531"/>
      <c r="AH9" s="531"/>
      <c r="AI9" s="531"/>
      <c r="AJ9" s="531"/>
      <c r="AK9" s="531"/>
      <c r="AL9" s="531"/>
      <c r="AM9" s="531"/>
      <c r="AN9" s="531"/>
      <c r="AO9" s="531"/>
      <c r="AP9" s="531"/>
      <c r="AQ9" s="531"/>
      <c r="AR9" s="531"/>
      <c r="AS9" s="531"/>
      <c r="AT9" s="531"/>
      <c r="AU9" s="531"/>
      <c r="AV9" s="531"/>
      <c r="AW9" s="531"/>
      <c r="AX9" s="531"/>
      <c r="AY9" s="531"/>
      <c r="AZ9" s="531"/>
      <c r="BA9" s="531"/>
      <c r="BB9" s="531"/>
      <c r="BC9" s="531"/>
      <c r="BD9" s="531"/>
      <c r="BE9" s="531"/>
      <c r="BF9" s="531"/>
      <c r="BG9" s="531"/>
      <c r="BH9" s="531"/>
      <c r="BI9" s="531"/>
      <c r="BJ9" s="531"/>
      <c r="BK9" s="531"/>
      <c r="BL9" s="531"/>
      <c r="BM9" s="531"/>
      <c r="BN9" s="531"/>
      <c r="BO9" s="531"/>
      <c r="BP9" s="531"/>
      <c r="BQ9" s="531"/>
      <c r="BR9" s="531"/>
      <c r="BS9" s="531"/>
      <c r="BT9" s="531"/>
      <c r="BU9" s="531"/>
      <c r="BV9" s="531"/>
      <c r="BW9" s="531"/>
      <c r="BX9" s="531"/>
      <c r="BY9" s="531"/>
      <c r="BZ9" s="531"/>
      <c r="CA9" s="531"/>
      <c r="CB9" s="531"/>
      <c r="CC9" s="531"/>
      <c r="CD9" s="531"/>
      <c r="CE9" s="531"/>
      <c r="CF9" s="531"/>
      <c r="CG9" s="531"/>
      <c r="CH9" s="531"/>
      <c r="CI9" s="531"/>
      <c r="CJ9" s="531"/>
      <c r="CK9" s="531"/>
      <c r="CL9" s="531"/>
      <c r="CM9" s="531"/>
      <c r="CN9" s="531"/>
      <c r="CO9" s="531"/>
      <c r="CP9" s="531"/>
      <c r="CQ9" s="531"/>
      <c r="CR9" s="531"/>
      <c r="CS9" s="531"/>
      <c r="CT9" s="531"/>
      <c r="CU9" s="531"/>
      <c r="CV9" s="531"/>
      <c r="CW9" s="531"/>
      <c r="CX9" s="531"/>
      <c r="CY9" s="531"/>
      <c r="CZ9" s="531"/>
      <c r="DA9" s="531"/>
      <c r="DB9" s="531"/>
      <c r="DC9" s="531"/>
      <c r="DD9" s="531"/>
      <c r="DE9" s="531"/>
      <c r="DF9" s="531"/>
      <c r="DG9" s="531"/>
      <c r="DH9" s="531"/>
      <c r="DI9" s="531"/>
      <c r="DJ9" s="531"/>
      <c r="DK9" s="531"/>
      <c r="DL9" s="531"/>
      <c r="DM9" s="531"/>
      <c r="DN9" s="531"/>
      <c r="DO9" s="531"/>
      <c r="DP9" s="531"/>
      <c r="DQ9" s="531"/>
      <c r="DR9" s="531"/>
      <c r="DS9" s="531"/>
      <c r="DT9" s="531"/>
      <c r="DU9" s="531"/>
      <c r="DV9" s="531"/>
      <c r="DW9" s="531"/>
      <c r="DX9" s="531"/>
      <c r="DY9" s="531"/>
      <c r="DZ9" s="531"/>
      <c r="EA9" s="531"/>
      <c r="EB9" s="531"/>
      <c r="EC9" s="531"/>
      <c r="ED9" s="531"/>
      <c r="EE9" s="531"/>
      <c r="EF9" s="531"/>
      <c r="EG9" s="531"/>
      <c r="EH9" s="531"/>
      <c r="EI9" s="531"/>
      <c r="EJ9" s="531"/>
      <c r="EK9" s="531"/>
      <c r="EL9" s="531"/>
      <c r="EM9" s="531"/>
      <c r="EN9" s="531"/>
      <c r="EO9" s="531"/>
      <c r="EP9" s="531"/>
      <c r="EQ9" s="531"/>
      <c r="ER9" s="531"/>
      <c r="ES9" s="531"/>
      <c r="ET9" s="531"/>
      <c r="EU9" s="531"/>
      <c r="EV9" s="531"/>
      <c r="EW9" s="531"/>
      <c r="EX9" s="531"/>
      <c r="EY9" s="531"/>
      <c r="EZ9" s="531"/>
      <c r="FA9" s="531"/>
      <c r="FB9" s="531"/>
      <c r="FC9" s="531"/>
      <c r="FD9" s="531"/>
      <c r="FE9" s="531"/>
      <c r="FF9" s="531"/>
      <c r="FG9" s="531"/>
      <c r="FH9" s="531"/>
      <c r="FI9" s="531"/>
      <c r="FJ9" s="531"/>
      <c r="FK9" s="531"/>
      <c r="FL9" s="531"/>
      <c r="FM9" s="531"/>
      <c r="FN9" s="531"/>
      <c r="FO9" s="531"/>
      <c r="FP9" s="531"/>
      <c r="FQ9" s="531"/>
      <c r="FR9" s="531"/>
      <c r="FS9" s="531"/>
      <c r="FT9" s="531"/>
      <c r="FU9" s="531"/>
      <c r="FV9" s="531"/>
      <c r="FW9" s="531"/>
      <c r="FX9" s="531"/>
      <c r="FY9" s="531"/>
      <c r="FZ9" s="531"/>
      <c r="GA9" s="531"/>
      <c r="GB9" s="531"/>
      <c r="GC9" s="531"/>
      <c r="GD9" s="531"/>
      <c r="GE9" s="531"/>
      <c r="GF9" s="531"/>
      <c r="GG9" s="531"/>
      <c r="GH9" s="531"/>
      <c r="GI9" s="531"/>
      <c r="GJ9" s="531"/>
      <c r="GK9" s="531"/>
      <c r="GL9" s="531"/>
      <c r="GM9" s="531"/>
      <c r="GN9" s="531"/>
      <c r="GO9" s="531"/>
      <c r="GP9" s="531"/>
      <c r="GQ9" s="531"/>
      <c r="GR9" s="531"/>
      <c r="GS9" s="531"/>
      <c r="GT9" s="531"/>
      <c r="GU9" s="531"/>
      <c r="GV9" s="531"/>
      <c r="GW9" s="531"/>
      <c r="GX9" s="531"/>
      <c r="GY9" s="531"/>
      <c r="GZ9" s="531"/>
      <c r="HA9" s="531"/>
      <c r="HB9" s="531"/>
      <c r="HC9" s="531"/>
      <c r="HD9" s="531"/>
      <c r="HE9" s="531"/>
      <c r="HF9" s="531"/>
      <c r="HG9" s="531"/>
      <c r="HH9" s="531"/>
      <c r="HI9" s="531"/>
      <c r="HJ9" s="531"/>
      <c r="HK9" s="531"/>
      <c r="HL9" s="531"/>
      <c r="HM9" s="531"/>
      <c r="HN9" s="531"/>
      <c r="HO9" s="531"/>
      <c r="HP9" s="531"/>
      <c r="HQ9" s="531"/>
      <c r="HR9" s="531"/>
      <c r="HS9" s="531"/>
      <c r="HT9" s="531"/>
      <c r="HU9" s="531"/>
      <c r="HV9" s="531"/>
      <c r="HW9" s="531"/>
      <c r="HX9" s="531"/>
      <c r="HY9" s="531"/>
      <c r="HZ9" s="531"/>
      <c r="IA9" s="531"/>
      <c r="IB9" s="531"/>
      <c r="IC9" s="531"/>
      <c r="ID9" s="531"/>
      <c r="IE9" s="531"/>
      <c r="IF9" s="531"/>
      <c r="IG9" s="531"/>
      <c r="IH9" s="531"/>
      <c r="II9" s="531"/>
      <c r="IJ9" s="531"/>
      <c r="IK9" s="531"/>
      <c r="IL9" s="531"/>
      <c r="IM9" s="531"/>
      <c r="IN9" s="531"/>
      <c r="IO9" s="531"/>
      <c r="IP9" s="531"/>
      <c r="IQ9" s="531"/>
      <c r="IR9" s="531"/>
      <c r="IS9" s="531"/>
      <c r="IT9" s="531"/>
      <c r="IU9" s="531"/>
      <c r="IV9" s="531"/>
      <c r="IW9" s="531"/>
    </row>
    <row r="10" spans="1:257">
      <c r="A10" s="529"/>
      <c r="B10" s="532"/>
      <c r="C10" s="532"/>
      <c r="D10" s="532"/>
      <c r="E10" s="532"/>
      <c r="F10" s="532"/>
      <c r="G10" s="532"/>
      <c r="H10" s="532"/>
      <c r="I10" s="532"/>
      <c r="J10" s="532"/>
      <c r="K10" s="532"/>
      <c r="L10" s="532"/>
      <c r="M10" s="532"/>
      <c r="N10" s="532"/>
      <c r="O10" s="532"/>
      <c r="P10" s="532"/>
      <c r="Q10" s="532"/>
      <c r="R10" s="532"/>
      <c r="S10" s="532"/>
      <c r="T10" s="532"/>
      <c r="U10" s="532"/>
      <c r="V10" s="532"/>
      <c r="W10" s="532"/>
      <c r="X10" s="532"/>
      <c r="Y10" s="532"/>
      <c r="Z10" s="532"/>
      <c r="AA10" s="532"/>
      <c r="AB10" s="532"/>
      <c r="AC10" s="532"/>
      <c r="AD10" s="532"/>
      <c r="AE10" s="532"/>
      <c r="AF10" s="532"/>
      <c r="AG10" s="532"/>
      <c r="AH10" s="532"/>
      <c r="AI10" s="532"/>
      <c r="AJ10" s="532"/>
      <c r="AK10" s="532"/>
      <c r="AL10" s="532"/>
      <c r="AM10" s="532"/>
      <c r="AN10" s="532"/>
      <c r="AO10" s="532"/>
      <c r="AP10" s="532"/>
      <c r="AQ10" s="532"/>
      <c r="AR10" s="532"/>
      <c r="AS10" s="532"/>
      <c r="AT10" s="532"/>
      <c r="AU10" s="532"/>
      <c r="AV10" s="532"/>
      <c r="AW10" s="532"/>
      <c r="AX10" s="532"/>
      <c r="AY10" s="532"/>
      <c r="AZ10" s="532"/>
      <c r="BA10" s="532"/>
      <c r="BB10" s="532"/>
      <c r="BC10" s="532"/>
      <c r="BD10" s="532"/>
      <c r="BE10" s="532"/>
      <c r="BF10" s="532"/>
      <c r="BG10" s="532"/>
      <c r="BH10" s="532"/>
      <c r="BI10" s="532"/>
      <c r="BJ10" s="532"/>
      <c r="BK10" s="532"/>
      <c r="BL10" s="532"/>
      <c r="BM10" s="532"/>
      <c r="BN10" s="532"/>
      <c r="BO10" s="532"/>
      <c r="BP10" s="532"/>
      <c r="BQ10" s="532"/>
      <c r="BR10" s="532"/>
      <c r="BS10" s="532"/>
      <c r="BT10" s="532"/>
      <c r="BU10" s="532"/>
      <c r="BV10" s="532"/>
      <c r="BW10" s="532"/>
      <c r="BX10" s="532"/>
      <c r="BY10" s="532"/>
      <c r="BZ10" s="532"/>
      <c r="CA10" s="532"/>
      <c r="CB10" s="532"/>
      <c r="CC10" s="532"/>
      <c r="CD10" s="532"/>
      <c r="CE10" s="532"/>
      <c r="CF10" s="532"/>
      <c r="CG10" s="532"/>
      <c r="CH10" s="532"/>
      <c r="CI10" s="532"/>
      <c r="CJ10" s="532"/>
      <c r="CK10" s="532"/>
      <c r="CL10" s="532"/>
      <c r="CM10" s="532"/>
      <c r="CN10" s="532"/>
      <c r="CO10" s="532"/>
      <c r="CP10" s="532"/>
      <c r="CQ10" s="532"/>
      <c r="CR10" s="532"/>
      <c r="CS10" s="532"/>
      <c r="CT10" s="532"/>
      <c r="CU10" s="532"/>
      <c r="CV10" s="532"/>
      <c r="CW10" s="532"/>
      <c r="CX10" s="532"/>
      <c r="CY10" s="532"/>
      <c r="CZ10" s="532"/>
      <c r="DA10" s="532"/>
      <c r="DB10" s="532"/>
      <c r="DC10" s="532"/>
      <c r="DD10" s="532"/>
      <c r="DE10" s="532"/>
      <c r="DF10" s="532"/>
      <c r="DG10" s="532"/>
      <c r="DH10" s="532"/>
      <c r="DI10" s="532"/>
      <c r="DJ10" s="532"/>
      <c r="DK10" s="532"/>
      <c r="DL10" s="532"/>
      <c r="DM10" s="532"/>
      <c r="DN10" s="532"/>
      <c r="DO10" s="532"/>
      <c r="DP10" s="532"/>
      <c r="DQ10" s="532"/>
      <c r="DR10" s="532"/>
      <c r="DS10" s="532"/>
      <c r="DT10" s="532"/>
      <c r="DU10" s="532"/>
      <c r="DV10" s="532"/>
      <c r="DW10" s="532"/>
      <c r="DX10" s="532"/>
      <c r="DY10" s="532"/>
      <c r="DZ10" s="532"/>
      <c r="EA10" s="532"/>
      <c r="EB10" s="532"/>
      <c r="EC10" s="532"/>
      <c r="ED10" s="532"/>
      <c r="EE10" s="532"/>
      <c r="EF10" s="532"/>
      <c r="EG10" s="532"/>
      <c r="EH10" s="532"/>
      <c r="EI10" s="532"/>
      <c r="EJ10" s="532"/>
      <c r="EK10" s="532"/>
      <c r="EL10" s="532"/>
      <c r="EM10" s="532"/>
      <c r="EN10" s="532"/>
      <c r="EO10" s="532"/>
      <c r="EP10" s="532"/>
      <c r="EQ10" s="532"/>
      <c r="ER10" s="532"/>
      <c r="ES10" s="532"/>
      <c r="ET10" s="532"/>
      <c r="EU10" s="532"/>
      <c r="EV10" s="532"/>
      <c r="EW10" s="532"/>
      <c r="EX10" s="532"/>
      <c r="EY10" s="532"/>
      <c r="EZ10" s="532"/>
      <c r="FA10" s="532"/>
      <c r="FB10" s="532"/>
      <c r="FC10" s="532"/>
      <c r="FD10" s="532"/>
      <c r="FE10" s="532"/>
      <c r="FF10" s="532"/>
      <c r="FG10" s="532"/>
      <c r="FH10" s="532"/>
      <c r="FI10" s="532"/>
      <c r="FJ10" s="532"/>
      <c r="FK10" s="532"/>
      <c r="FL10" s="532"/>
      <c r="FM10" s="532"/>
      <c r="FN10" s="532"/>
      <c r="FO10" s="532"/>
      <c r="FP10" s="532"/>
      <c r="FQ10" s="532"/>
      <c r="FR10" s="532"/>
      <c r="FS10" s="532"/>
      <c r="FT10" s="532"/>
      <c r="FU10" s="532"/>
      <c r="FV10" s="532"/>
      <c r="FW10" s="532"/>
      <c r="FX10" s="532"/>
      <c r="FY10" s="532"/>
      <c r="FZ10" s="532"/>
      <c r="GA10" s="532"/>
      <c r="GB10" s="532"/>
      <c r="GC10" s="532"/>
      <c r="GD10" s="532"/>
      <c r="GE10" s="532"/>
      <c r="GF10" s="532"/>
      <c r="GG10" s="532"/>
      <c r="GH10" s="532"/>
      <c r="GI10" s="532"/>
      <c r="GJ10" s="532"/>
      <c r="GK10" s="532"/>
      <c r="GL10" s="532"/>
      <c r="GM10" s="532"/>
      <c r="GN10" s="532"/>
      <c r="GO10" s="532"/>
      <c r="GP10" s="532"/>
      <c r="GQ10" s="532"/>
      <c r="GR10" s="532"/>
      <c r="GS10" s="532"/>
      <c r="GT10" s="532"/>
      <c r="GU10" s="532"/>
      <c r="GV10" s="532"/>
      <c r="GW10" s="532"/>
      <c r="GX10" s="532"/>
      <c r="GY10" s="532"/>
      <c r="GZ10" s="532"/>
      <c r="HA10" s="532"/>
      <c r="HB10" s="532"/>
      <c r="HC10" s="532"/>
      <c r="HD10" s="532"/>
      <c r="HE10" s="532"/>
      <c r="HF10" s="532"/>
      <c r="HG10" s="532"/>
      <c r="HH10" s="532"/>
      <c r="HI10" s="532"/>
      <c r="HJ10" s="532"/>
      <c r="HK10" s="532"/>
      <c r="HL10" s="532"/>
      <c r="HM10" s="532"/>
      <c r="HN10" s="532"/>
      <c r="HO10" s="532"/>
      <c r="HP10" s="532"/>
      <c r="HQ10" s="532"/>
      <c r="HR10" s="532"/>
      <c r="HS10" s="532"/>
      <c r="HT10" s="532"/>
      <c r="HU10" s="532"/>
      <c r="HV10" s="532"/>
      <c r="HW10" s="532"/>
      <c r="HX10" s="532"/>
      <c r="HY10" s="532"/>
      <c r="HZ10" s="532"/>
      <c r="IA10" s="532"/>
      <c r="IB10" s="532"/>
      <c r="IC10" s="532"/>
      <c r="ID10" s="532"/>
      <c r="IE10" s="532"/>
      <c r="IF10" s="532"/>
      <c r="IG10" s="532"/>
      <c r="IH10" s="532"/>
      <c r="II10" s="532"/>
      <c r="IJ10" s="532"/>
      <c r="IK10" s="532"/>
      <c r="IL10" s="532"/>
      <c r="IM10" s="532"/>
      <c r="IN10" s="532"/>
      <c r="IO10" s="532"/>
      <c r="IP10" s="532"/>
      <c r="IQ10" s="532"/>
      <c r="IR10" s="532"/>
      <c r="IS10" s="532"/>
      <c r="IT10" s="532"/>
      <c r="IU10" s="532"/>
      <c r="IV10" s="532"/>
      <c r="IW10" s="532"/>
    </row>
    <row r="11" ht="62" spans="1:257">
      <c r="A11" s="529" t="s">
        <v>7</v>
      </c>
      <c r="B11" s="533" t="s">
        <v>8</v>
      </c>
      <c r="IW11" s="549" t="s">
        <v>9</v>
      </c>
    </row>
    <row r="12" spans="1:257">
      <c r="A12" s="529"/>
      <c r="B12" s="530"/>
      <c r="C12" s="534"/>
      <c r="D12" s="534"/>
      <c r="E12" s="534"/>
      <c r="F12" s="534"/>
      <c r="G12" s="534"/>
      <c r="H12" s="534"/>
      <c r="I12" s="534"/>
      <c r="J12" s="534"/>
      <c r="K12" s="534"/>
      <c r="L12" s="534"/>
      <c r="M12" s="534"/>
      <c r="N12" s="534"/>
      <c r="O12" s="534"/>
      <c r="P12" s="534"/>
      <c r="Q12" s="534"/>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4"/>
      <c r="AO12" s="534"/>
      <c r="AP12" s="534"/>
      <c r="AQ12" s="534"/>
      <c r="AR12" s="534"/>
      <c r="AS12" s="534"/>
      <c r="AT12" s="534"/>
      <c r="AU12" s="534"/>
      <c r="AV12" s="534"/>
      <c r="AW12" s="534"/>
      <c r="AX12" s="534"/>
      <c r="AY12" s="534"/>
      <c r="AZ12" s="534"/>
      <c r="BA12" s="534"/>
      <c r="BB12" s="534"/>
      <c r="BC12" s="534"/>
      <c r="BD12" s="534"/>
      <c r="BE12" s="534"/>
      <c r="BF12" s="534"/>
      <c r="BG12" s="534"/>
      <c r="BH12" s="534"/>
      <c r="BI12" s="534"/>
      <c r="BJ12" s="534"/>
      <c r="BK12" s="534"/>
      <c r="BL12" s="534"/>
      <c r="BM12" s="534"/>
      <c r="BN12" s="534"/>
      <c r="BO12" s="534"/>
      <c r="BP12" s="534"/>
      <c r="BQ12" s="534"/>
      <c r="BR12" s="534"/>
      <c r="BS12" s="534"/>
      <c r="BT12" s="534"/>
      <c r="BU12" s="534"/>
      <c r="BV12" s="534"/>
      <c r="BW12" s="534"/>
      <c r="BX12" s="534"/>
      <c r="BY12" s="534"/>
      <c r="BZ12" s="534"/>
      <c r="CA12" s="534"/>
      <c r="CB12" s="534"/>
      <c r="CC12" s="534"/>
      <c r="CD12" s="534"/>
      <c r="CE12" s="534"/>
      <c r="CF12" s="534"/>
      <c r="CG12" s="534"/>
      <c r="CH12" s="534"/>
      <c r="CI12" s="534"/>
      <c r="CJ12" s="534"/>
      <c r="CK12" s="534"/>
      <c r="CL12" s="534"/>
      <c r="CM12" s="534"/>
      <c r="CN12" s="534"/>
      <c r="CO12" s="534"/>
      <c r="CP12" s="534"/>
      <c r="CQ12" s="534"/>
      <c r="CR12" s="534"/>
      <c r="CS12" s="534"/>
      <c r="CT12" s="534"/>
      <c r="CU12" s="534"/>
      <c r="CV12" s="534"/>
      <c r="CW12" s="534"/>
      <c r="CX12" s="534"/>
      <c r="CY12" s="534"/>
      <c r="CZ12" s="534"/>
      <c r="DA12" s="534"/>
      <c r="DB12" s="534"/>
      <c r="DC12" s="534"/>
      <c r="DD12" s="534"/>
      <c r="DE12" s="534"/>
      <c r="DF12" s="534"/>
      <c r="DG12" s="534"/>
      <c r="DH12" s="534"/>
      <c r="DI12" s="534"/>
      <c r="DJ12" s="534"/>
      <c r="DK12" s="534"/>
      <c r="DL12" s="534"/>
      <c r="DM12" s="534"/>
      <c r="DN12" s="534"/>
      <c r="DO12" s="534"/>
      <c r="DP12" s="534"/>
      <c r="DQ12" s="534"/>
      <c r="DR12" s="534"/>
      <c r="DS12" s="534"/>
      <c r="DT12" s="534"/>
      <c r="DU12" s="534"/>
      <c r="DV12" s="534"/>
      <c r="DW12" s="534"/>
      <c r="DX12" s="534"/>
      <c r="DY12" s="534"/>
      <c r="DZ12" s="534"/>
      <c r="EA12" s="534"/>
      <c r="EB12" s="534"/>
      <c r="EC12" s="534"/>
      <c r="ED12" s="534"/>
      <c r="EE12" s="534"/>
      <c r="EF12" s="534"/>
      <c r="EG12" s="534"/>
      <c r="EH12" s="534"/>
      <c r="EI12" s="534"/>
      <c r="EJ12" s="534"/>
      <c r="EK12" s="534"/>
      <c r="EL12" s="534"/>
      <c r="EM12" s="534"/>
      <c r="EN12" s="534"/>
      <c r="EO12" s="534"/>
      <c r="EP12" s="534"/>
      <c r="EQ12" s="534"/>
      <c r="ER12" s="534"/>
      <c r="ES12" s="534"/>
      <c r="ET12" s="534"/>
      <c r="EU12" s="534"/>
      <c r="EV12" s="534"/>
      <c r="EW12" s="534"/>
      <c r="EX12" s="534"/>
      <c r="EY12" s="534"/>
      <c r="EZ12" s="534"/>
      <c r="FA12" s="534"/>
      <c r="FB12" s="534"/>
      <c r="FC12" s="534"/>
      <c r="FD12" s="534"/>
      <c r="FE12" s="534"/>
      <c r="FF12" s="534"/>
      <c r="FG12" s="534"/>
      <c r="FH12" s="534"/>
      <c r="FI12" s="534"/>
      <c r="FJ12" s="534"/>
      <c r="FK12" s="534"/>
      <c r="FL12" s="534"/>
      <c r="FM12" s="534"/>
      <c r="FN12" s="534"/>
      <c r="FO12" s="534"/>
      <c r="FP12" s="534"/>
      <c r="FQ12" s="534"/>
      <c r="FR12" s="534"/>
      <c r="FS12" s="534"/>
      <c r="FT12" s="534"/>
      <c r="FU12" s="534"/>
      <c r="FV12" s="534"/>
      <c r="FW12" s="534"/>
      <c r="FX12" s="534"/>
      <c r="FY12" s="534"/>
      <c r="FZ12" s="534"/>
      <c r="GA12" s="534"/>
      <c r="GB12" s="534"/>
      <c r="GC12" s="534"/>
      <c r="GD12" s="534"/>
      <c r="GE12" s="534"/>
      <c r="GF12" s="534"/>
      <c r="GG12" s="534"/>
      <c r="GH12" s="534"/>
      <c r="GI12" s="534"/>
      <c r="GJ12" s="534"/>
      <c r="GK12" s="534"/>
      <c r="GL12" s="534"/>
      <c r="GM12" s="534"/>
      <c r="GN12" s="534"/>
      <c r="GO12" s="534"/>
      <c r="GP12" s="534"/>
      <c r="GQ12" s="534"/>
      <c r="GR12" s="534"/>
      <c r="GS12" s="534"/>
      <c r="GT12" s="534"/>
      <c r="GU12" s="534"/>
      <c r="GV12" s="534"/>
      <c r="GW12" s="534"/>
      <c r="GX12" s="534"/>
      <c r="GY12" s="534"/>
      <c r="GZ12" s="534"/>
      <c r="HA12" s="534"/>
      <c r="HB12" s="534"/>
      <c r="HC12" s="534"/>
      <c r="HD12" s="534"/>
      <c r="HE12" s="534"/>
      <c r="HF12" s="534"/>
      <c r="HG12" s="534"/>
      <c r="HH12" s="534"/>
      <c r="HI12" s="534"/>
      <c r="HJ12" s="534"/>
      <c r="HK12" s="534"/>
      <c r="HL12" s="534"/>
      <c r="HM12" s="534"/>
      <c r="HN12" s="534"/>
      <c r="HO12" s="534"/>
      <c r="HP12" s="534"/>
      <c r="HQ12" s="534"/>
      <c r="HR12" s="534"/>
      <c r="HS12" s="534"/>
      <c r="HT12" s="534"/>
      <c r="HU12" s="534"/>
      <c r="HV12" s="534"/>
      <c r="HW12" s="534"/>
      <c r="HX12" s="534"/>
      <c r="HY12" s="534"/>
      <c r="HZ12" s="534"/>
      <c r="IA12" s="534"/>
      <c r="IB12" s="534"/>
      <c r="IC12" s="534"/>
      <c r="ID12" s="534"/>
      <c r="IE12" s="534"/>
      <c r="IF12" s="534"/>
      <c r="IG12" s="534"/>
      <c r="IH12" s="534"/>
      <c r="II12" s="534"/>
      <c r="IJ12" s="534"/>
      <c r="IK12" s="534"/>
      <c r="IL12" s="534"/>
      <c r="IM12" s="534"/>
      <c r="IN12" s="534"/>
      <c r="IO12" s="534"/>
      <c r="IP12" s="534"/>
      <c r="IQ12" s="534"/>
      <c r="IR12" s="534"/>
      <c r="IS12" s="534"/>
      <c r="IT12" s="534"/>
      <c r="IU12" s="534"/>
      <c r="IV12" s="534"/>
      <c r="IW12" s="550"/>
    </row>
    <row r="13" ht="116.25" customHeight="1" spans="1:257">
      <c r="A13" s="529" t="s">
        <v>10</v>
      </c>
      <c r="B13" s="535" t="s">
        <v>11</v>
      </c>
      <c r="C13" s="536"/>
      <c r="D13" s="536"/>
      <c r="E13" s="536"/>
      <c r="F13" s="536"/>
      <c r="G13" s="536"/>
      <c r="H13" s="536"/>
      <c r="I13" s="536"/>
      <c r="J13" s="536"/>
      <c r="K13" s="536"/>
      <c r="L13" s="536"/>
      <c r="M13" s="536"/>
      <c r="N13" s="536"/>
      <c r="O13" s="536"/>
      <c r="P13" s="536"/>
      <c r="Q13" s="536"/>
      <c r="R13" s="536"/>
      <c r="S13" s="536"/>
      <c r="T13" s="536"/>
      <c r="U13" s="536"/>
      <c r="V13" s="536"/>
      <c r="W13" s="536"/>
      <c r="X13" s="536"/>
      <c r="Y13" s="536"/>
      <c r="Z13" s="536"/>
      <c r="AA13" s="536"/>
      <c r="AB13" s="536"/>
      <c r="AC13" s="536"/>
      <c r="AD13" s="536"/>
      <c r="AE13" s="536"/>
      <c r="AF13" s="536"/>
      <c r="AG13" s="536"/>
      <c r="AH13" s="536"/>
      <c r="AI13" s="536"/>
      <c r="AJ13" s="536"/>
      <c r="AK13" s="536"/>
      <c r="AL13" s="536"/>
      <c r="AM13" s="536"/>
      <c r="AN13" s="536"/>
      <c r="AO13" s="536"/>
      <c r="AP13" s="536"/>
      <c r="AQ13" s="536"/>
      <c r="AR13" s="536"/>
      <c r="AS13" s="536"/>
      <c r="AT13" s="536"/>
      <c r="AU13" s="536"/>
      <c r="AV13" s="536"/>
      <c r="AW13" s="536"/>
      <c r="AX13" s="536"/>
      <c r="AY13" s="536"/>
      <c r="AZ13" s="536"/>
      <c r="BA13" s="536"/>
      <c r="BB13" s="536"/>
      <c r="BC13" s="536"/>
      <c r="BD13" s="536"/>
      <c r="BE13" s="536"/>
      <c r="BF13" s="536"/>
      <c r="BG13" s="536"/>
      <c r="BH13" s="536"/>
      <c r="BI13" s="536"/>
      <c r="BJ13" s="536"/>
      <c r="BK13" s="536"/>
      <c r="BL13" s="536"/>
      <c r="BM13" s="536"/>
      <c r="BN13" s="536"/>
      <c r="BO13" s="536"/>
      <c r="BP13" s="536"/>
      <c r="BQ13" s="536"/>
      <c r="BR13" s="536"/>
      <c r="BS13" s="536"/>
      <c r="BT13" s="536"/>
      <c r="BU13" s="536"/>
      <c r="BV13" s="536"/>
      <c r="BW13" s="536"/>
      <c r="BX13" s="536"/>
      <c r="BY13" s="536"/>
      <c r="BZ13" s="536"/>
      <c r="CA13" s="536"/>
      <c r="CB13" s="536"/>
      <c r="CC13" s="536"/>
      <c r="CD13" s="536"/>
      <c r="CE13" s="536"/>
      <c r="CF13" s="536"/>
      <c r="CG13" s="536"/>
      <c r="CH13" s="536"/>
      <c r="CI13" s="536"/>
      <c r="CJ13" s="536"/>
      <c r="CK13" s="536"/>
      <c r="CL13" s="536"/>
      <c r="CM13" s="536"/>
      <c r="CN13" s="536"/>
      <c r="CO13" s="536"/>
      <c r="CP13" s="536"/>
      <c r="CQ13" s="536"/>
      <c r="CR13" s="536"/>
      <c r="CS13" s="536"/>
      <c r="CT13" s="536"/>
      <c r="CU13" s="536"/>
      <c r="CV13" s="536"/>
      <c r="CW13" s="536"/>
      <c r="CX13" s="536"/>
      <c r="CY13" s="536"/>
      <c r="CZ13" s="536"/>
      <c r="DA13" s="536"/>
      <c r="DB13" s="536"/>
      <c r="DC13" s="536"/>
      <c r="DD13" s="536"/>
      <c r="DE13" s="536"/>
      <c r="DF13" s="536"/>
      <c r="DG13" s="536"/>
      <c r="DH13" s="536"/>
      <c r="DI13" s="536"/>
      <c r="DJ13" s="536"/>
      <c r="DK13" s="536"/>
      <c r="DL13" s="536"/>
      <c r="DM13" s="536"/>
      <c r="DN13" s="536"/>
      <c r="DO13" s="536"/>
      <c r="DP13" s="536"/>
      <c r="DQ13" s="536"/>
      <c r="DR13" s="536"/>
      <c r="DS13" s="536"/>
      <c r="DT13" s="536"/>
      <c r="DU13" s="536"/>
      <c r="DV13" s="536"/>
      <c r="DW13" s="536"/>
      <c r="DX13" s="536"/>
      <c r="DY13" s="536"/>
      <c r="DZ13" s="536"/>
      <c r="EA13" s="536"/>
      <c r="EB13" s="536"/>
      <c r="EC13" s="536"/>
      <c r="ED13" s="536"/>
      <c r="EE13" s="536"/>
      <c r="EF13" s="536"/>
      <c r="EG13" s="536"/>
      <c r="EH13" s="536"/>
      <c r="EI13" s="536"/>
      <c r="EJ13" s="536"/>
      <c r="EK13" s="536"/>
      <c r="EL13" s="536"/>
      <c r="EM13" s="536"/>
      <c r="EN13" s="536"/>
      <c r="EO13" s="536"/>
      <c r="EP13" s="536"/>
      <c r="EQ13" s="536"/>
      <c r="ER13" s="536"/>
      <c r="ES13" s="536"/>
      <c r="ET13" s="536"/>
      <c r="EU13" s="536"/>
      <c r="EV13" s="536"/>
      <c r="EW13" s="536"/>
      <c r="EX13" s="536"/>
      <c r="EY13" s="536"/>
      <c r="EZ13" s="536"/>
      <c r="FA13" s="536"/>
      <c r="FB13" s="536"/>
      <c r="FC13" s="536"/>
      <c r="FD13" s="536"/>
      <c r="FE13" s="536"/>
      <c r="FF13" s="536"/>
      <c r="FG13" s="536"/>
      <c r="FH13" s="536"/>
      <c r="FI13" s="536"/>
      <c r="FJ13" s="536"/>
      <c r="FK13" s="536"/>
      <c r="FL13" s="536"/>
      <c r="FM13" s="536"/>
      <c r="FN13" s="536"/>
      <c r="FO13" s="536"/>
      <c r="FP13" s="536"/>
      <c r="FQ13" s="536"/>
      <c r="FR13" s="536"/>
      <c r="FS13" s="536"/>
      <c r="FT13" s="536"/>
      <c r="FU13" s="536"/>
      <c r="FV13" s="536"/>
      <c r="FW13" s="536"/>
      <c r="FX13" s="536"/>
      <c r="FY13" s="536"/>
      <c r="FZ13" s="536"/>
      <c r="GA13" s="536"/>
      <c r="GB13" s="536"/>
      <c r="GC13" s="536"/>
      <c r="GD13" s="536"/>
      <c r="GE13" s="536"/>
      <c r="GF13" s="536"/>
      <c r="GG13" s="536"/>
      <c r="GH13" s="536"/>
      <c r="GI13" s="536"/>
      <c r="GJ13" s="536"/>
      <c r="GK13" s="536"/>
      <c r="GL13" s="536"/>
      <c r="GM13" s="536"/>
      <c r="GN13" s="536"/>
      <c r="GO13" s="536"/>
      <c r="GP13" s="536"/>
      <c r="GQ13" s="536"/>
      <c r="GR13" s="536"/>
      <c r="GS13" s="536"/>
      <c r="GT13" s="536"/>
      <c r="GU13" s="536"/>
      <c r="GV13" s="536"/>
      <c r="GW13" s="536"/>
      <c r="GX13" s="536"/>
      <c r="GY13" s="536"/>
      <c r="GZ13" s="536"/>
      <c r="HA13" s="536"/>
      <c r="HB13" s="536"/>
      <c r="HC13" s="536"/>
      <c r="HD13" s="536"/>
      <c r="HE13" s="536"/>
      <c r="HF13" s="536"/>
      <c r="HG13" s="536"/>
      <c r="HH13" s="536"/>
      <c r="HI13" s="536"/>
      <c r="HJ13" s="536"/>
      <c r="HK13" s="536"/>
      <c r="HL13" s="536"/>
      <c r="HM13" s="536"/>
      <c r="HN13" s="536"/>
      <c r="HO13" s="536"/>
      <c r="HP13" s="536"/>
      <c r="HQ13" s="536"/>
      <c r="HR13" s="536"/>
      <c r="HS13" s="536"/>
      <c r="HT13" s="536"/>
      <c r="HU13" s="536"/>
      <c r="HV13" s="536"/>
      <c r="HW13" s="536"/>
      <c r="HX13" s="536"/>
      <c r="HY13" s="536"/>
      <c r="HZ13" s="536"/>
      <c r="IA13" s="536"/>
      <c r="IB13" s="536"/>
      <c r="IC13" s="536"/>
      <c r="ID13" s="536"/>
      <c r="IE13" s="536"/>
      <c r="IF13" s="536"/>
      <c r="IG13" s="536"/>
      <c r="IH13" s="536"/>
      <c r="II13" s="536"/>
      <c r="IJ13" s="536"/>
      <c r="IK13" s="536"/>
      <c r="IL13" s="536"/>
      <c r="IM13" s="536"/>
      <c r="IN13" s="536"/>
      <c r="IO13" s="536"/>
      <c r="IP13" s="536"/>
      <c r="IQ13" s="536"/>
      <c r="IR13" s="536"/>
      <c r="IS13" s="536"/>
      <c r="IT13" s="536"/>
      <c r="IU13" s="536"/>
      <c r="IV13" s="536"/>
      <c r="IW13" s="536"/>
    </row>
    <row r="14" ht="88.5" customHeight="1" spans="1:257">
      <c r="A14" s="537" t="s">
        <v>12</v>
      </c>
      <c r="B14" s="538" t="s">
        <v>13</v>
      </c>
      <c r="C14" s="539"/>
      <c r="D14" s="539"/>
      <c r="E14" s="539"/>
      <c r="F14" s="539"/>
      <c r="G14" s="539"/>
      <c r="H14" s="539"/>
      <c r="I14" s="539"/>
      <c r="J14" s="539"/>
      <c r="K14" s="539"/>
      <c r="L14" s="539"/>
      <c r="M14" s="539"/>
      <c r="N14" s="539"/>
      <c r="O14" s="539"/>
      <c r="P14" s="539"/>
      <c r="Q14" s="539"/>
      <c r="R14" s="539"/>
      <c r="S14" s="539"/>
      <c r="T14" s="539"/>
      <c r="U14" s="539"/>
      <c r="V14" s="539"/>
      <c r="W14" s="539"/>
      <c r="X14" s="539"/>
      <c r="Y14" s="539"/>
      <c r="Z14" s="539"/>
      <c r="AA14" s="539"/>
      <c r="AB14" s="539"/>
      <c r="AC14" s="539"/>
      <c r="AD14" s="539"/>
      <c r="AE14" s="539"/>
      <c r="AF14" s="539"/>
      <c r="AG14" s="539"/>
      <c r="AH14" s="539"/>
      <c r="AI14" s="539"/>
      <c r="AJ14" s="539"/>
      <c r="AK14" s="539"/>
      <c r="AL14" s="539"/>
      <c r="AM14" s="539"/>
      <c r="AN14" s="539"/>
      <c r="AO14" s="539"/>
      <c r="AP14" s="539"/>
      <c r="AQ14" s="539"/>
      <c r="AR14" s="539"/>
      <c r="AS14" s="539"/>
      <c r="AT14" s="539"/>
      <c r="AU14" s="539"/>
      <c r="AV14" s="539"/>
      <c r="AW14" s="539"/>
      <c r="AX14" s="539"/>
      <c r="AY14" s="539"/>
      <c r="AZ14" s="539"/>
      <c r="BA14" s="539"/>
      <c r="BB14" s="539"/>
      <c r="BC14" s="539"/>
      <c r="BD14" s="539"/>
      <c r="BE14" s="539"/>
      <c r="BF14" s="539"/>
      <c r="BG14" s="539"/>
      <c r="BH14" s="539"/>
      <c r="BI14" s="539"/>
      <c r="BJ14" s="539"/>
      <c r="BK14" s="539"/>
      <c r="BL14" s="539"/>
      <c r="BM14" s="539"/>
      <c r="BN14" s="539"/>
      <c r="BO14" s="539"/>
      <c r="BP14" s="539"/>
      <c r="BQ14" s="539"/>
      <c r="BR14" s="539"/>
      <c r="BS14" s="539"/>
      <c r="BT14" s="539"/>
      <c r="BU14" s="539"/>
      <c r="BV14" s="539"/>
      <c r="BW14" s="539"/>
      <c r="BX14" s="539"/>
      <c r="BY14" s="539"/>
      <c r="BZ14" s="539"/>
      <c r="CA14" s="539"/>
      <c r="CB14" s="539"/>
      <c r="CC14" s="539"/>
      <c r="CD14" s="539"/>
      <c r="CE14" s="539"/>
      <c r="CF14" s="539"/>
      <c r="CG14" s="539"/>
      <c r="CH14" s="539"/>
      <c r="CI14" s="539"/>
      <c r="CJ14" s="539"/>
      <c r="CK14" s="539"/>
      <c r="CL14" s="539"/>
      <c r="CM14" s="539"/>
      <c r="CN14" s="539"/>
      <c r="CO14" s="539"/>
      <c r="CP14" s="539"/>
      <c r="CQ14" s="539"/>
      <c r="CR14" s="539"/>
      <c r="CS14" s="539"/>
      <c r="CT14" s="539"/>
      <c r="CU14" s="539"/>
      <c r="CV14" s="539"/>
      <c r="CW14" s="539"/>
      <c r="CX14" s="539"/>
      <c r="CY14" s="539"/>
      <c r="CZ14" s="539"/>
      <c r="DA14" s="539"/>
      <c r="DB14" s="539"/>
      <c r="DC14" s="539"/>
      <c r="DD14" s="539"/>
      <c r="DE14" s="539"/>
      <c r="DF14" s="539"/>
      <c r="DG14" s="539"/>
      <c r="DH14" s="539"/>
      <c r="DI14" s="539"/>
      <c r="DJ14" s="539"/>
      <c r="DK14" s="539"/>
      <c r="DL14" s="539"/>
      <c r="DM14" s="539"/>
      <c r="DN14" s="539"/>
      <c r="DO14" s="539"/>
      <c r="DP14" s="539"/>
      <c r="DQ14" s="539"/>
      <c r="DR14" s="539"/>
      <c r="DS14" s="539"/>
      <c r="DT14" s="539"/>
      <c r="DU14" s="539"/>
      <c r="DV14" s="539"/>
      <c r="DW14" s="539"/>
      <c r="DX14" s="539"/>
      <c r="DY14" s="539"/>
      <c r="DZ14" s="539"/>
      <c r="EA14" s="539"/>
      <c r="EB14" s="539"/>
      <c r="EC14" s="539"/>
      <c r="ED14" s="539"/>
      <c r="EE14" s="539"/>
      <c r="EF14" s="539"/>
      <c r="EG14" s="539"/>
      <c r="EH14" s="539"/>
      <c r="EI14" s="539"/>
      <c r="EJ14" s="539"/>
      <c r="EK14" s="539"/>
      <c r="EL14" s="539"/>
      <c r="EM14" s="539"/>
      <c r="EN14" s="539"/>
      <c r="EO14" s="539"/>
      <c r="EP14" s="539"/>
      <c r="EQ14" s="539"/>
      <c r="ER14" s="539"/>
      <c r="ES14" s="539"/>
      <c r="ET14" s="539"/>
      <c r="EU14" s="539"/>
      <c r="EV14" s="539"/>
      <c r="EW14" s="539"/>
      <c r="EX14" s="539"/>
      <c r="EY14" s="539"/>
      <c r="EZ14" s="539"/>
      <c r="FA14" s="539"/>
      <c r="FB14" s="539"/>
      <c r="FC14" s="539"/>
      <c r="FD14" s="539"/>
      <c r="FE14" s="539"/>
      <c r="FF14" s="539"/>
      <c r="FG14" s="539"/>
      <c r="FH14" s="539"/>
      <c r="FI14" s="539"/>
      <c r="FJ14" s="539"/>
      <c r="FK14" s="539"/>
      <c r="FL14" s="539"/>
      <c r="FM14" s="539"/>
      <c r="FN14" s="539"/>
      <c r="FO14" s="539"/>
      <c r="FP14" s="539"/>
      <c r="FQ14" s="539"/>
      <c r="FR14" s="539"/>
      <c r="FS14" s="539"/>
      <c r="FT14" s="539"/>
      <c r="FU14" s="539"/>
      <c r="FV14" s="539"/>
      <c r="FW14" s="539"/>
      <c r="FX14" s="539"/>
      <c r="FY14" s="539"/>
      <c r="FZ14" s="539"/>
      <c r="GA14" s="539"/>
      <c r="GB14" s="539"/>
      <c r="GC14" s="539"/>
      <c r="GD14" s="539"/>
      <c r="GE14" s="539"/>
      <c r="GF14" s="539"/>
      <c r="GG14" s="539"/>
      <c r="GH14" s="539"/>
      <c r="GI14" s="539"/>
      <c r="GJ14" s="539"/>
      <c r="GK14" s="539"/>
      <c r="GL14" s="539"/>
      <c r="GM14" s="539"/>
      <c r="GN14" s="539"/>
      <c r="GO14" s="539"/>
      <c r="GP14" s="539"/>
      <c r="GQ14" s="539"/>
      <c r="GR14" s="539"/>
      <c r="GS14" s="539"/>
      <c r="GT14" s="539"/>
      <c r="GU14" s="539"/>
      <c r="GV14" s="539"/>
      <c r="GW14" s="539"/>
      <c r="GX14" s="539"/>
      <c r="GY14" s="539"/>
      <c r="GZ14" s="539"/>
      <c r="HA14" s="539"/>
      <c r="HB14" s="539"/>
      <c r="HC14" s="539"/>
      <c r="HD14" s="539"/>
      <c r="HE14" s="539"/>
      <c r="HF14" s="539"/>
      <c r="HG14" s="539"/>
      <c r="HH14" s="539"/>
      <c r="HI14" s="539"/>
      <c r="HJ14" s="539"/>
      <c r="HK14" s="539"/>
      <c r="HL14" s="539"/>
      <c r="HM14" s="539"/>
      <c r="HN14" s="539"/>
      <c r="HO14" s="539"/>
      <c r="HP14" s="539"/>
      <c r="HQ14" s="539"/>
      <c r="HR14" s="539"/>
      <c r="HS14" s="539"/>
      <c r="HT14" s="539"/>
      <c r="HU14" s="539"/>
      <c r="HV14" s="539"/>
      <c r="HW14" s="539"/>
      <c r="HX14" s="539"/>
      <c r="HY14" s="539"/>
      <c r="HZ14" s="539"/>
      <c r="IA14" s="539"/>
      <c r="IB14" s="539"/>
      <c r="IC14" s="539"/>
      <c r="ID14" s="539"/>
      <c r="IE14" s="539"/>
      <c r="IF14" s="539"/>
      <c r="IG14" s="539"/>
      <c r="IH14" s="539"/>
      <c r="II14" s="539"/>
      <c r="IJ14" s="539"/>
      <c r="IK14" s="539"/>
      <c r="IL14" s="539"/>
      <c r="IM14" s="539"/>
      <c r="IN14" s="539"/>
      <c r="IO14" s="539"/>
      <c r="IP14" s="539"/>
      <c r="IQ14" s="539"/>
      <c r="IR14" s="539"/>
      <c r="IS14" s="539"/>
      <c r="IT14" s="539"/>
      <c r="IU14" s="539"/>
      <c r="IV14" s="539"/>
      <c r="IW14" s="539"/>
    </row>
    <row r="15" ht="54" customHeight="1" spans="1:4">
      <c r="A15" s="527" t="s">
        <v>14</v>
      </c>
      <c r="B15" s="538" t="s">
        <v>15</v>
      </c>
      <c r="C15" s="540"/>
      <c r="D15" s="540"/>
    </row>
    <row r="16" ht="46.15" customHeight="1" spans="1:2">
      <c r="A16" s="529" t="s">
        <v>16</v>
      </c>
      <c r="B16" s="535" t="s">
        <v>17</v>
      </c>
    </row>
    <row r="17" ht="46.15" customHeight="1" spans="1:2">
      <c r="A17" s="529" t="s">
        <v>18</v>
      </c>
      <c r="B17" s="535" t="s">
        <v>19</v>
      </c>
    </row>
    <row r="18" spans="1:2">
      <c r="A18" s="529"/>
      <c r="B18" s="541"/>
    </row>
    <row r="19" spans="1:2">
      <c r="A19" s="542"/>
      <c r="B19" s="540"/>
    </row>
    <row r="20" spans="1:2">
      <c r="A20" s="543"/>
      <c r="B20" s="540"/>
    </row>
    <row r="21" spans="1:6">
      <c r="A21" s="544"/>
      <c r="B21" s="545"/>
      <c r="F21" s="546"/>
    </row>
    <row r="22" spans="1:6">
      <c r="A22" s="547"/>
      <c r="B22" s="547"/>
      <c r="E22" s="548"/>
      <c r="F22" s="548"/>
    </row>
    <row r="23" spans="1:2">
      <c r="A23" s="547"/>
      <c r="B23" s="547"/>
    </row>
    <row r="35" spans="12:12">
      <c r="L35" s="546"/>
    </row>
    <row r="77" spans="6:6">
      <c r="F77" s="548"/>
    </row>
    <row r="93" spans="6:6">
      <c r="F93" s="548"/>
    </row>
  </sheetData>
  <mergeCells count="4">
    <mergeCell ref="A4:B4"/>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AE57"/>
  <sheetViews>
    <sheetView showGridLines="0" tabSelected="1" zoomScale="85" zoomScaleNormal="85" topLeftCell="A23" workbookViewId="0">
      <selection activeCell="Q47" sqref="Q47"/>
    </sheetView>
  </sheetViews>
  <sheetFormatPr defaultColWidth="9" defaultRowHeight="14"/>
  <cols>
    <col min="1" max="1" width="5.37272727272727" style="302" customWidth="1"/>
    <col min="2" max="2" width="9" style="302"/>
    <col min="3" max="3" width="19.3727272727273" style="302" customWidth="1"/>
    <col min="4" max="4" width="14" style="302" customWidth="1"/>
    <col min="5" max="11" width="10.6272727272727" style="302" customWidth="1"/>
    <col min="12" max="12" width="20.1272727272727" style="302" customWidth="1"/>
    <col min="13" max="18" width="10.6272727272727" style="302" customWidth="1"/>
    <col min="19" max="19" width="10.6272727272727" style="303" customWidth="1"/>
    <col min="20" max="20" width="1.87272727272727" style="302" customWidth="1"/>
    <col min="21" max="21" width="4.37272727272727" style="1" customWidth="1"/>
    <col min="22" max="23" width="13.1272727272727" style="1" customWidth="1"/>
    <col min="24" max="24" width="28.2545454545455" style="1" customWidth="1"/>
    <col min="25" max="31" width="13.1272727272727" style="1" customWidth="1"/>
    <col min="32" max="36" width="9" style="1"/>
    <col min="37" max="16384" width="9" style="302"/>
  </cols>
  <sheetData>
    <row r="1" ht="30" customHeight="1" spans="2:31">
      <c r="B1" s="304" t="str">
        <f>封面!B7</f>
        <v>HW356048</v>
      </c>
      <c r="C1" s="304"/>
      <c r="D1" s="304"/>
      <c r="E1" s="304"/>
      <c r="F1" s="304"/>
      <c r="G1" s="304"/>
      <c r="H1" s="304"/>
      <c r="I1" s="304"/>
      <c r="J1" s="304"/>
      <c r="K1" s="398" t="s">
        <v>20</v>
      </c>
      <c r="L1" s="398"/>
      <c r="M1" s="398"/>
      <c r="N1" s="398"/>
      <c r="O1" s="398"/>
      <c r="P1" s="398"/>
      <c r="Q1" s="398"/>
      <c r="R1" s="398"/>
      <c r="S1" s="398"/>
      <c r="V1" s="438" t="s">
        <v>4</v>
      </c>
      <c r="W1" s="438"/>
      <c r="X1" s="438"/>
      <c r="Y1" s="438"/>
      <c r="Z1" s="484" t="s">
        <v>21</v>
      </c>
      <c r="AA1" s="484"/>
      <c r="AB1" s="484"/>
      <c r="AC1" s="484"/>
      <c r="AD1" s="484"/>
      <c r="AE1" s="484"/>
    </row>
    <row r="2" spans="2:31">
      <c r="B2" s="305"/>
      <c r="C2" s="306"/>
      <c r="D2" s="306"/>
      <c r="E2" s="306"/>
      <c r="F2" s="306"/>
      <c r="G2" s="306"/>
      <c r="H2" s="306"/>
      <c r="I2" s="306"/>
      <c r="J2" s="306"/>
      <c r="K2" s="305"/>
      <c r="L2" s="306"/>
      <c r="M2" s="306"/>
      <c r="N2" s="306"/>
      <c r="O2" s="306"/>
      <c r="P2" s="306"/>
      <c r="Q2" s="306"/>
      <c r="R2" s="306"/>
      <c r="S2" s="439"/>
      <c r="V2" s="440" t="s">
        <v>22</v>
      </c>
      <c r="W2" s="441"/>
      <c r="X2" s="442"/>
      <c r="Y2" s="485"/>
      <c r="Z2" s="441"/>
      <c r="AA2" s="485"/>
      <c r="AB2" s="485"/>
      <c r="AC2" s="485"/>
      <c r="AD2" s="485"/>
      <c r="AE2" s="486"/>
    </row>
    <row r="3" ht="15" spans="2:31">
      <c r="B3" s="307"/>
      <c r="C3" s="308" t="s">
        <v>23</v>
      </c>
      <c r="D3" s="309"/>
      <c r="E3" s="309"/>
      <c r="F3" s="309"/>
      <c r="G3" s="309"/>
      <c r="H3" s="309"/>
      <c r="I3" s="309"/>
      <c r="J3" s="309"/>
      <c r="K3" s="307"/>
      <c r="L3" s="308" t="s">
        <v>24</v>
      </c>
      <c r="M3" s="309"/>
      <c r="N3" s="309"/>
      <c r="O3" s="309"/>
      <c r="P3" s="309"/>
      <c r="Q3" s="309"/>
      <c r="R3" s="310"/>
      <c r="S3" s="415"/>
      <c r="V3" s="443"/>
      <c r="W3" s="444" t="s">
        <v>25</v>
      </c>
      <c r="X3" s="445" t="s">
        <v>4</v>
      </c>
      <c r="Y3" s="487"/>
      <c r="Z3" s="445"/>
      <c r="AA3" s="487"/>
      <c r="AB3" s="445"/>
      <c r="AC3" s="487"/>
      <c r="AD3" s="474"/>
      <c r="AE3" s="488"/>
    </row>
    <row r="4" spans="2:31">
      <c r="B4" s="307"/>
      <c r="C4" s="310"/>
      <c r="D4" s="310"/>
      <c r="E4" s="310"/>
      <c r="F4" s="310"/>
      <c r="G4" s="310"/>
      <c r="H4" s="310"/>
      <c r="I4" s="310"/>
      <c r="J4" s="310"/>
      <c r="K4" s="307"/>
      <c r="L4" s="310"/>
      <c r="M4" s="310"/>
      <c r="N4" s="310"/>
      <c r="O4" s="310"/>
      <c r="P4" s="310"/>
      <c r="Q4" s="310"/>
      <c r="R4" s="310"/>
      <c r="S4" s="415"/>
      <c r="V4" s="446"/>
      <c r="W4" s="444" t="s">
        <v>26</v>
      </c>
      <c r="X4" s="447" t="s">
        <v>27</v>
      </c>
      <c r="Y4" s="487"/>
      <c r="Z4" s="447"/>
      <c r="AA4" s="487"/>
      <c r="AB4" s="447"/>
      <c r="AC4" s="474"/>
      <c r="AD4" s="474"/>
      <c r="AE4" s="488"/>
    </row>
    <row r="5" spans="2:31">
      <c r="B5" s="307"/>
      <c r="C5" s="311" t="str">
        <f>封面!B7</f>
        <v>HW356048</v>
      </c>
      <c r="D5" s="312"/>
      <c r="E5" s="312"/>
      <c r="F5" s="312"/>
      <c r="G5" s="312"/>
      <c r="H5" s="313"/>
      <c r="I5" s="399"/>
      <c r="J5" s="399"/>
      <c r="K5" s="307"/>
      <c r="L5" s="311" t="str">
        <f>封面!B7</f>
        <v>HW356048</v>
      </c>
      <c r="M5" s="312"/>
      <c r="N5" s="312"/>
      <c r="O5" s="312"/>
      <c r="P5" s="312"/>
      <c r="Q5" s="313"/>
      <c r="R5" s="310"/>
      <c r="S5" s="415"/>
      <c r="V5" s="446"/>
      <c r="W5" s="444" t="s">
        <v>28</v>
      </c>
      <c r="X5" s="448">
        <v>508.16</v>
      </c>
      <c r="Y5" s="487"/>
      <c r="Z5" s="489"/>
      <c r="AA5" s="487"/>
      <c r="AB5" s="489"/>
      <c r="AC5" s="474"/>
      <c r="AD5" s="474"/>
      <c r="AE5" s="488"/>
    </row>
    <row r="6" spans="2:31">
      <c r="B6" s="307"/>
      <c r="C6" s="314" t="s">
        <v>29</v>
      </c>
      <c r="D6" s="315"/>
      <c r="E6" s="315"/>
      <c r="F6" s="315"/>
      <c r="G6" s="315"/>
      <c r="H6" s="316"/>
      <c r="I6" s="357"/>
      <c r="J6" s="357"/>
      <c r="K6" s="307"/>
      <c r="L6" s="314" t="s">
        <v>30</v>
      </c>
      <c r="M6" s="315"/>
      <c r="N6" s="315"/>
      <c r="O6" s="315"/>
      <c r="P6" s="315"/>
      <c r="Q6" s="316"/>
      <c r="R6" s="310"/>
      <c r="S6" s="415"/>
      <c r="V6" s="449"/>
      <c r="W6" s="450" t="s">
        <v>31</v>
      </c>
      <c r="X6" s="451">
        <v>1</v>
      </c>
      <c r="Y6" s="490"/>
      <c r="Z6" s="450"/>
      <c r="AA6" s="491"/>
      <c r="AB6" s="450"/>
      <c r="AC6" s="491"/>
      <c r="AD6" s="492"/>
      <c r="AE6" s="493"/>
    </row>
    <row r="7" ht="14.75" spans="2:31">
      <c r="B7" s="307"/>
      <c r="C7" s="317" t="s">
        <v>32</v>
      </c>
      <c r="D7" s="318">
        <v>1</v>
      </c>
      <c r="E7" s="319">
        <v>2</v>
      </c>
      <c r="F7" s="320">
        <v>3</v>
      </c>
      <c r="G7" s="321" t="s">
        <v>33</v>
      </c>
      <c r="H7" s="322" t="s">
        <v>34</v>
      </c>
      <c r="I7" s="310"/>
      <c r="J7" s="400"/>
      <c r="K7" s="307"/>
      <c r="L7" s="401" t="s">
        <v>32</v>
      </c>
      <c r="M7" s="402">
        <v>4</v>
      </c>
      <c r="N7" s="403">
        <v>5</v>
      </c>
      <c r="O7" s="404">
        <v>6</v>
      </c>
      <c r="P7" s="317" t="s">
        <v>35</v>
      </c>
      <c r="Q7" s="317" t="s">
        <v>34</v>
      </c>
      <c r="R7" s="310"/>
      <c r="S7" s="415"/>
      <c r="V7" s="452" t="s">
        <v>36</v>
      </c>
      <c r="W7" s="444"/>
      <c r="X7" s="453"/>
      <c r="Y7" s="474"/>
      <c r="Z7" s="444"/>
      <c r="AA7" s="445"/>
      <c r="AB7" s="445"/>
      <c r="AC7" s="445"/>
      <c r="AD7" s="445"/>
      <c r="AE7" s="488"/>
    </row>
    <row r="8" ht="15" customHeight="1" spans="2:31">
      <c r="B8" s="307"/>
      <c r="C8" s="323">
        <v>0.0833</v>
      </c>
      <c r="D8" s="324">
        <v>126</v>
      </c>
      <c r="E8" s="325">
        <v>108</v>
      </c>
      <c r="F8" s="325">
        <v>229</v>
      </c>
      <c r="G8" s="326">
        <f>AVERAGE(D8:F8)</f>
        <v>154.333333333333</v>
      </c>
      <c r="H8" s="327">
        <f>STDEV(D8:F8)</f>
        <v>65.2865478742239</v>
      </c>
      <c r="I8" s="207"/>
      <c r="J8" s="405"/>
      <c r="K8" s="307"/>
      <c r="L8" s="323">
        <v>0.0833</v>
      </c>
      <c r="M8" s="324">
        <v>696</v>
      </c>
      <c r="N8" s="325">
        <v>571</v>
      </c>
      <c r="O8" s="406">
        <v>541</v>
      </c>
      <c r="P8" s="326">
        <f t="shared" ref="P8:P14" si="0">AVERAGE(M8:O8)</f>
        <v>602.666666666667</v>
      </c>
      <c r="Q8" s="454">
        <f t="shared" ref="Q8:Q13" si="1">STDEV(M8:O8)</f>
        <v>82.2090830342568</v>
      </c>
      <c r="R8" s="310"/>
      <c r="S8" s="415"/>
      <c r="V8" s="455" t="s">
        <v>37</v>
      </c>
      <c r="W8" s="441"/>
      <c r="X8" s="442" t="s">
        <v>38</v>
      </c>
      <c r="Y8" s="485"/>
      <c r="Z8" s="494" t="s">
        <v>39</v>
      </c>
      <c r="AA8" s="495" t="s">
        <v>40</v>
      </c>
      <c r="AB8" s="496"/>
      <c r="AC8" s="496"/>
      <c r="AD8" s="496"/>
      <c r="AE8" s="486"/>
    </row>
    <row r="9" ht="15" customHeight="1" spans="2:31">
      <c r="B9" s="307"/>
      <c r="C9" s="328">
        <v>0.25</v>
      </c>
      <c r="D9" s="329">
        <v>29.8</v>
      </c>
      <c r="E9" s="330">
        <v>37.9</v>
      </c>
      <c r="F9" s="330">
        <v>68.8</v>
      </c>
      <c r="G9" s="331">
        <f t="shared" ref="G8:G11" si="2">AVERAGE(D9:F9)</f>
        <v>45.5</v>
      </c>
      <c r="H9" s="332">
        <f>STDEV(D9:F9)</f>
        <v>20.580816310341</v>
      </c>
      <c r="I9" s="207"/>
      <c r="J9" s="405"/>
      <c r="K9" s="307"/>
      <c r="L9" s="328">
        <v>0.25</v>
      </c>
      <c r="M9" s="342">
        <v>919</v>
      </c>
      <c r="N9" s="330">
        <v>185</v>
      </c>
      <c r="O9" s="407">
        <v>163</v>
      </c>
      <c r="P9" s="341">
        <f t="shared" si="0"/>
        <v>422.333333333333</v>
      </c>
      <c r="Q9" s="456">
        <f t="shared" si="1"/>
        <v>430.266584030567</v>
      </c>
      <c r="R9" s="310"/>
      <c r="S9" s="415"/>
      <c r="V9" s="446" t="s">
        <v>41</v>
      </c>
      <c r="W9" s="444"/>
      <c r="X9" s="457">
        <v>1</v>
      </c>
      <c r="Y9" s="474"/>
      <c r="Z9" s="444"/>
      <c r="AA9" s="474"/>
      <c r="AB9" s="472"/>
      <c r="AC9" s="472"/>
      <c r="AD9" s="472"/>
      <c r="AE9" s="488"/>
    </row>
    <row r="10" ht="15" customHeight="1" spans="2:31">
      <c r="B10" s="307"/>
      <c r="C10" s="333">
        <v>0.5</v>
      </c>
      <c r="D10" s="334">
        <v>17.1</v>
      </c>
      <c r="E10" s="330">
        <v>19.7</v>
      </c>
      <c r="F10" s="330">
        <v>21.1</v>
      </c>
      <c r="G10" s="331">
        <f t="shared" si="2"/>
        <v>19.3</v>
      </c>
      <c r="H10" s="335">
        <f>STDEV(D10:F10)</f>
        <v>2.02977831301844</v>
      </c>
      <c r="I10" s="207"/>
      <c r="J10" s="405"/>
      <c r="K10" s="307"/>
      <c r="L10" s="333">
        <v>0.5</v>
      </c>
      <c r="M10" s="329">
        <v>452</v>
      </c>
      <c r="N10" s="330">
        <v>144</v>
      </c>
      <c r="O10" s="407">
        <v>78.3</v>
      </c>
      <c r="P10" s="341">
        <f t="shared" si="0"/>
        <v>224.766666666667</v>
      </c>
      <c r="Q10" s="456">
        <f t="shared" si="1"/>
        <v>199.512814960176</v>
      </c>
      <c r="R10" s="310"/>
      <c r="S10" s="415"/>
      <c r="V10" s="446" t="s">
        <v>42</v>
      </c>
      <c r="W10" s="444"/>
      <c r="X10" s="458">
        <f>X9/X11</f>
        <v>0.2</v>
      </c>
      <c r="Y10" s="474"/>
      <c r="Z10" s="444"/>
      <c r="AA10" s="445"/>
      <c r="AB10" s="445"/>
      <c r="AC10" s="445"/>
      <c r="AD10" s="445"/>
      <c r="AE10" s="488"/>
    </row>
    <row r="11" ht="15" customHeight="1" spans="2:31">
      <c r="B11" s="307"/>
      <c r="C11" s="336">
        <v>1</v>
      </c>
      <c r="D11" s="329">
        <v>6.93</v>
      </c>
      <c r="E11" s="330">
        <v>15.8</v>
      </c>
      <c r="F11" s="337">
        <v>5.18</v>
      </c>
      <c r="G11" s="338">
        <f t="shared" si="2"/>
        <v>9.30333333333333</v>
      </c>
      <c r="H11" s="335">
        <f>STDEV(D11:F11)</f>
        <v>5.693911953423</v>
      </c>
      <c r="I11" s="207" t="s">
        <v>43</v>
      </c>
      <c r="J11" s="405"/>
      <c r="K11" s="307"/>
      <c r="L11" s="336">
        <v>1</v>
      </c>
      <c r="M11" s="329">
        <v>53.3</v>
      </c>
      <c r="N11" s="330">
        <v>41.5</v>
      </c>
      <c r="O11" s="407">
        <v>16.3</v>
      </c>
      <c r="P11" s="331">
        <f t="shared" si="0"/>
        <v>37.0333333333333</v>
      </c>
      <c r="Q11" s="459">
        <f t="shared" si="1"/>
        <v>18.9000881832158</v>
      </c>
      <c r="R11" s="310"/>
      <c r="S11" s="415"/>
      <c r="V11" s="446" t="s">
        <v>44</v>
      </c>
      <c r="W11" s="444"/>
      <c r="X11" s="457">
        <v>5</v>
      </c>
      <c r="Y11" s="474"/>
      <c r="Z11" s="474"/>
      <c r="AA11" s="472"/>
      <c r="AB11" s="472"/>
      <c r="AC11" s="472"/>
      <c r="AD11" s="472"/>
      <c r="AE11" s="488"/>
    </row>
    <row r="12" spans="2:31">
      <c r="B12" s="307"/>
      <c r="C12" s="339">
        <v>2</v>
      </c>
      <c r="D12" s="329" t="s">
        <v>45</v>
      </c>
      <c r="E12" s="330" t="s">
        <v>45</v>
      </c>
      <c r="F12" s="340" t="s">
        <v>45</v>
      </c>
      <c r="G12" s="341" t="s">
        <v>46</v>
      </c>
      <c r="H12" s="332" t="s">
        <v>46</v>
      </c>
      <c r="I12" s="207"/>
      <c r="J12" s="405"/>
      <c r="K12" s="307"/>
      <c r="L12" s="339">
        <v>2</v>
      </c>
      <c r="M12" s="329">
        <v>8.36</v>
      </c>
      <c r="N12" s="330" t="s">
        <v>45</v>
      </c>
      <c r="O12" s="407" t="s">
        <v>45</v>
      </c>
      <c r="P12" s="338">
        <f t="shared" si="0"/>
        <v>8.36</v>
      </c>
      <c r="Q12" s="459" t="s">
        <v>46</v>
      </c>
      <c r="R12" s="310"/>
      <c r="S12" s="415"/>
      <c r="V12" s="455" t="s">
        <v>37</v>
      </c>
      <c r="W12" s="441"/>
      <c r="X12" s="442" t="s">
        <v>47</v>
      </c>
      <c r="Y12" s="485"/>
      <c r="Z12" s="494" t="s">
        <v>39</v>
      </c>
      <c r="AA12" s="495" t="s">
        <v>40</v>
      </c>
      <c r="AB12" s="496"/>
      <c r="AC12" s="496"/>
      <c r="AD12" s="496"/>
      <c r="AE12" s="486"/>
    </row>
    <row r="13" spans="2:31">
      <c r="B13" s="307"/>
      <c r="C13" s="339">
        <v>4</v>
      </c>
      <c r="D13" s="342" t="s">
        <v>45</v>
      </c>
      <c r="E13" s="330" t="s">
        <v>45</v>
      </c>
      <c r="F13" s="330" t="s">
        <v>45</v>
      </c>
      <c r="G13" s="341" t="s">
        <v>46</v>
      </c>
      <c r="H13" s="332" t="s">
        <v>46</v>
      </c>
      <c r="I13" s="207"/>
      <c r="J13" s="405"/>
      <c r="K13" s="307"/>
      <c r="L13" s="339">
        <v>4</v>
      </c>
      <c r="M13" s="408">
        <v>4.1</v>
      </c>
      <c r="N13" s="330">
        <v>2.74</v>
      </c>
      <c r="O13" s="409">
        <v>3.1</v>
      </c>
      <c r="P13" s="338">
        <f t="shared" si="0"/>
        <v>3.31333333333333</v>
      </c>
      <c r="Q13" s="460">
        <f t="shared" si="1"/>
        <v>0.704651213958603</v>
      </c>
      <c r="R13" s="310"/>
      <c r="S13" s="415"/>
      <c r="V13" s="446" t="s">
        <v>41</v>
      </c>
      <c r="W13" s="444"/>
      <c r="X13" s="457">
        <v>10</v>
      </c>
      <c r="Y13" s="474"/>
      <c r="Z13" s="444"/>
      <c r="AA13" s="474"/>
      <c r="AB13" s="472"/>
      <c r="AC13" s="472"/>
      <c r="AD13" s="472"/>
      <c r="AE13" s="488"/>
    </row>
    <row r="14" spans="2:31">
      <c r="B14" s="307"/>
      <c r="C14" s="343">
        <v>6</v>
      </c>
      <c r="D14" s="329" t="s">
        <v>45</v>
      </c>
      <c r="E14" s="340" t="s">
        <v>45</v>
      </c>
      <c r="F14" s="330" t="s">
        <v>45</v>
      </c>
      <c r="G14" s="341" t="s">
        <v>46</v>
      </c>
      <c r="H14" s="332" t="s">
        <v>46</v>
      </c>
      <c r="I14" s="207"/>
      <c r="J14" s="405"/>
      <c r="K14" s="307"/>
      <c r="L14" s="343">
        <v>6</v>
      </c>
      <c r="M14" s="329">
        <v>2.33</v>
      </c>
      <c r="N14" s="330" t="s">
        <v>45</v>
      </c>
      <c r="O14" s="409" t="s">
        <v>45</v>
      </c>
      <c r="P14" s="338">
        <f t="shared" si="0"/>
        <v>2.33</v>
      </c>
      <c r="Q14" s="461" t="s">
        <v>46</v>
      </c>
      <c r="R14" s="310"/>
      <c r="S14" s="415"/>
      <c r="V14" s="446" t="s">
        <v>42</v>
      </c>
      <c r="W14" s="444"/>
      <c r="X14" s="457">
        <f>X13/X15</f>
        <v>1</v>
      </c>
      <c r="Y14" s="474"/>
      <c r="Z14" s="444"/>
      <c r="AA14" s="445"/>
      <c r="AB14" s="445"/>
      <c r="AC14" s="445"/>
      <c r="AD14" s="445"/>
      <c r="AE14" s="488"/>
    </row>
    <row r="15" ht="14.75" spans="2:31">
      <c r="B15" s="307"/>
      <c r="C15" s="343">
        <v>8</v>
      </c>
      <c r="D15" s="329" t="s">
        <v>45</v>
      </c>
      <c r="E15" s="330" t="s">
        <v>45</v>
      </c>
      <c r="F15" s="330" t="s">
        <v>45</v>
      </c>
      <c r="G15" s="341" t="s">
        <v>46</v>
      </c>
      <c r="H15" s="332" t="s">
        <v>46</v>
      </c>
      <c r="I15" s="207"/>
      <c r="J15" s="405"/>
      <c r="K15" s="307"/>
      <c r="L15" s="343">
        <v>8</v>
      </c>
      <c r="M15" s="329" t="s">
        <v>45</v>
      </c>
      <c r="N15" s="330" t="s">
        <v>45</v>
      </c>
      <c r="O15" s="407" t="s">
        <v>45</v>
      </c>
      <c r="P15" s="331" t="s">
        <v>46</v>
      </c>
      <c r="Q15" s="461" t="s">
        <v>46</v>
      </c>
      <c r="R15" s="310"/>
      <c r="S15" s="415"/>
      <c r="V15" s="446" t="s">
        <v>44</v>
      </c>
      <c r="W15" s="444"/>
      <c r="X15" s="457">
        <v>10</v>
      </c>
      <c r="Y15" s="474"/>
      <c r="Z15" s="474"/>
      <c r="AA15" s="472"/>
      <c r="AB15" s="472"/>
      <c r="AC15" s="472"/>
      <c r="AD15" s="472"/>
      <c r="AE15" s="488"/>
    </row>
    <row r="16" ht="14.75" spans="2:31">
      <c r="B16" s="307"/>
      <c r="C16" s="344">
        <v>24</v>
      </c>
      <c r="D16" s="345" t="s">
        <v>45</v>
      </c>
      <c r="E16" s="346" t="s">
        <v>45</v>
      </c>
      <c r="F16" s="347" t="s">
        <v>45</v>
      </c>
      <c r="G16" s="348" t="s">
        <v>46</v>
      </c>
      <c r="H16" s="349" t="s">
        <v>46</v>
      </c>
      <c r="I16" s="207"/>
      <c r="J16" s="405"/>
      <c r="K16" s="307"/>
      <c r="L16" s="344">
        <v>24</v>
      </c>
      <c r="M16" s="410" t="s">
        <v>45</v>
      </c>
      <c r="N16" s="411" t="s">
        <v>45</v>
      </c>
      <c r="O16" s="412" t="s">
        <v>45</v>
      </c>
      <c r="P16" s="413" t="s">
        <v>46</v>
      </c>
      <c r="Q16" s="462" t="s">
        <v>46</v>
      </c>
      <c r="R16" s="310"/>
      <c r="S16" s="415"/>
      <c r="V16" s="463" t="s">
        <v>48</v>
      </c>
      <c r="W16" s="464"/>
      <c r="X16" s="464"/>
      <c r="Y16" s="464"/>
      <c r="Z16" s="464"/>
      <c r="AA16" s="464"/>
      <c r="AB16" s="464"/>
      <c r="AC16" s="464"/>
      <c r="AD16" s="485"/>
      <c r="AE16" s="486"/>
    </row>
    <row r="17" spans="2:31">
      <c r="B17" s="307"/>
      <c r="C17" s="350"/>
      <c r="D17" s="351"/>
      <c r="E17" s="351"/>
      <c r="F17" s="351"/>
      <c r="G17" s="352"/>
      <c r="H17" s="353"/>
      <c r="I17" s="353"/>
      <c r="J17" s="353"/>
      <c r="K17" s="307"/>
      <c r="L17" s="310"/>
      <c r="M17" s="310"/>
      <c r="N17" s="310"/>
      <c r="O17" s="310"/>
      <c r="P17" s="310"/>
      <c r="Q17" s="310"/>
      <c r="R17" s="310"/>
      <c r="S17" s="415"/>
      <c r="V17" s="465" t="s">
        <v>49</v>
      </c>
      <c r="W17" s="466" t="s">
        <v>50</v>
      </c>
      <c r="X17" s="466" t="s">
        <v>51</v>
      </c>
      <c r="Y17" s="497" t="s">
        <v>52</v>
      </c>
      <c r="Z17" s="497" t="s">
        <v>53</v>
      </c>
      <c r="AA17" s="497" t="s">
        <v>54</v>
      </c>
      <c r="AB17" s="498" t="s">
        <v>55</v>
      </c>
      <c r="AC17" s="499"/>
      <c r="AD17" s="499"/>
      <c r="AE17" s="500"/>
    </row>
    <row r="18" spans="2:31">
      <c r="B18" s="307"/>
      <c r="C18" s="310"/>
      <c r="D18" s="310"/>
      <c r="E18" s="310"/>
      <c r="F18" s="310"/>
      <c r="G18" s="310"/>
      <c r="H18" s="310"/>
      <c r="I18" s="310"/>
      <c r="J18" s="310"/>
      <c r="K18" s="307"/>
      <c r="L18" s="310"/>
      <c r="M18" s="310"/>
      <c r="N18" s="310"/>
      <c r="O18" s="310"/>
      <c r="P18" s="310"/>
      <c r="Q18" s="310"/>
      <c r="R18" s="310"/>
      <c r="S18" s="415"/>
      <c r="V18" s="467"/>
      <c r="W18" s="468"/>
      <c r="X18" s="468"/>
      <c r="Y18" s="501"/>
      <c r="Z18" s="501"/>
      <c r="AA18" s="501"/>
      <c r="AB18" s="502"/>
      <c r="AC18" s="503"/>
      <c r="AD18" s="503"/>
      <c r="AE18" s="504"/>
    </row>
    <row r="19" ht="14.75" spans="2:31">
      <c r="B19" s="307"/>
      <c r="C19" s="310"/>
      <c r="D19" s="310"/>
      <c r="E19" s="310"/>
      <c r="F19" s="310"/>
      <c r="G19" s="310"/>
      <c r="H19" s="310"/>
      <c r="I19" s="310"/>
      <c r="J19" s="310"/>
      <c r="K19" s="307"/>
      <c r="L19" s="310"/>
      <c r="M19" s="310"/>
      <c r="N19" s="310"/>
      <c r="O19" s="310"/>
      <c r="P19" s="310"/>
      <c r="Q19" s="310"/>
      <c r="R19" s="310"/>
      <c r="S19" s="415"/>
      <c r="V19" s="469" t="s">
        <v>56</v>
      </c>
      <c r="W19" s="470" t="s">
        <v>4</v>
      </c>
      <c r="X19" s="471" t="s">
        <v>57</v>
      </c>
      <c r="Y19" s="505">
        <v>20</v>
      </c>
      <c r="Z19" s="506">
        <v>2.64</v>
      </c>
      <c r="AA19" s="507">
        <v>0.132</v>
      </c>
      <c r="AB19" s="508">
        <v>0.132</v>
      </c>
      <c r="AC19" s="503"/>
      <c r="AD19" s="503"/>
      <c r="AE19" s="504"/>
    </row>
    <row r="20" ht="33.75" customHeight="1" spans="2:31">
      <c r="B20" s="307"/>
      <c r="C20" s="310"/>
      <c r="D20" s="310"/>
      <c r="E20" s="310"/>
      <c r="F20" s="310"/>
      <c r="G20" s="310"/>
      <c r="H20" s="310"/>
      <c r="I20" s="310"/>
      <c r="J20" s="310"/>
      <c r="K20" s="307"/>
      <c r="L20" s="310"/>
      <c r="M20" s="310"/>
      <c r="N20" s="310"/>
      <c r="O20" s="310"/>
      <c r="P20" s="310"/>
      <c r="Q20" s="310"/>
      <c r="R20" s="310"/>
      <c r="S20" s="415"/>
      <c r="V20" s="443"/>
      <c r="W20" s="472"/>
      <c r="X20" s="472"/>
      <c r="Y20" s="472"/>
      <c r="Z20" s="28"/>
      <c r="AA20" s="28"/>
      <c r="AB20" s="472"/>
      <c r="AC20" s="472"/>
      <c r="AD20" s="472"/>
      <c r="AE20" s="509"/>
    </row>
    <row r="21" ht="15" customHeight="1" spans="2:31">
      <c r="B21" s="307"/>
      <c r="C21" s="310"/>
      <c r="D21" s="310"/>
      <c r="E21" s="310"/>
      <c r="F21" s="310"/>
      <c r="G21" s="354"/>
      <c r="H21" s="310"/>
      <c r="I21" s="310"/>
      <c r="J21" s="310"/>
      <c r="K21" s="307"/>
      <c r="L21" s="310"/>
      <c r="M21" s="310"/>
      <c r="N21" s="310"/>
      <c r="O21" s="310"/>
      <c r="P21" s="310"/>
      <c r="Q21" s="310"/>
      <c r="R21" s="310"/>
      <c r="S21" s="415"/>
      <c r="V21" s="443" t="s">
        <v>58</v>
      </c>
      <c r="W21" s="472"/>
      <c r="X21" s="472"/>
      <c r="Y21" s="472"/>
      <c r="Z21" s="28"/>
      <c r="AA21" s="28"/>
      <c r="AB21" s="472"/>
      <c r="AC21" s="472"/>
      <c r="AD21" s="472"/>
      <c r="AE21" s="509"/>
    </row>
    <row r="22" ht="15" customHeight="1" spans="2:31">
      <c r="B22" s="307"/>
      <c r="C22" s="310"/>
      <c r="D22" s="310"/>
      <c r="E22" s="310"/>
      <c r="F22" s="355"/>
      <c r="G22" s="355"/>
      <c r="H22" s="310"/>
      <c r="I22" s="310"/>
      <c r="J22" s="310"/>
      <c r="K22" s="307"/>
      <c r="L22" s="310"/>
      <c r="M22" s="310"/>
      <c r="N22" s="310"/>
      <c r="O22" s="310"/>
      <c r="P22" s="310"/>
      <c r="Q22" s="310"/>
      <c r="R22" s="310"/>
      <c r="S22" s="415"/>
      <c r="V22" s="473" t="s">
        <v>59</v>
      </c>
      <c r="W22" s="472"/>
      <c r="X22" s="472"/>
      <c r="Y22" s="472"/>
      <c r="Z22" s="472"/>
      <c r="AA22" s="474"/>
      <c r="AB22" s="472"/>
      <c r="AC22" s="472"/>
      <c r="AD22" s="472"/>
      <c r="AE22" s="509"/>
    </row>
    <row r="23" ht="34.5" customHeight="1" spans="2:31">
      <c r="B23" s="307"/>
      <c r="C23" s="310"/>
      <c r="D23" s="310"/>
      <c r="E23" s="310"/>
      <c r="F23" s="310"/>
      <c r="G23" s="310"/>
      <c r="H23" s="310"/>
      <c r="I23" s="310"/>
      <c r="J23" s="310"/>
      <c r="K23" s="307"/>
      <c r="L23" s="310"/>
      <c r="M23" s="310"/>
      <c r="N23" s="310"/>
      <c r="O23" s="310"/>
      <c r="P23" s="310"/>
      <c r="Q23" s="310"/>
      <c r="R23" s="310"/>
      <c r="S23" s="415"/>
      <c r="V23" s="473" t="s">
        <v>60</v>
      </c>
      <c r="W23" s="472"/>
      <c r="X23" s="472"/>
      <c r="Y23" s="472"/>
      <c r="Z23" s="472"/>
      <c r="AA23" s="474"/>
      <c r="AB23" s="472"/>
      <c r="AC23" s="472"/>
      <c r="AD23" s="472"/>
      <c r="AE23" s="509"/>
    </row>
    <row r="24" spans="2:31">
      <c r="B24" s="307"/>
      <c r="C24" s="310"/>
      <c r="D24" s="310"/>
      <c r="E24" s="310"/>
      <c r="F24" s="310"/>
      <c r="G24" s="310"/>
      <c r="H24" s="310"/>
      <c r="I24" s="310"/>
      <c r="J24" s="310"/>
      <c r="K24" s="307"/>
      <c r="L24" s="310"/>
      <c r="M24" s="310"/>
      <c r="N24" s="310"/>
      <c r="O24" s="310"/>
      <c r="P24" s="310"/>
      <c r="Q24" s="310"/>
      <c r="R24" s="310"/>
      <c r="S24" s="415"/>
      <c r="V24" s="473" t="s">
        <v>61</v>
      </c>
      <c r="W24" s="472"/>
      <c r="X24" s="472"/>
      <c r="Y24" s="472"/>
      <c r="Z24" s="472"/>
      <c r="AA24" s="474"/>
      <c r="AB24" s="474"/>
      <c r="AC24" s="445"/>
      <c r="AD24" s="445"/>
      <c r="AE24" s="488"/>
    </row>
    <row r="25" spans="2:31">
      <c r="B25" s="307"/>
      <c r="C25" s="356"/>
      <c r="D25" s="351"/>
      <c r="E25" s="351"/>
      <c r="F25" s="351"/>
      <c r="G25" s="357"/>
      <c r="H25" s="352"/>
      <c r="I25" s="352"/>
      <c r="J25" s="352"/>
      <c r="K25" s="307"/>
      <c r="L25" s="310"/>
      <c r="M25" s="310"/>
      <c r="N25" s="310"/>
      <c r="O25" s="310"/>
      <c r="P25" s="310"/>
      <c r="Q25" s="310"/>
      <c r="R25" s="310"/>
      <c r="S25" s="415"/>
      <c r="V25" s="473" t="s">
        <v>62</v>
      </c>
      <c r="W25" s="474"/>
      <c r="X25" s="445"/>
      <c r="Y25" s="445"/>
      <c r="Z25" s="445"/>
      <c r="AA25" s="474"/>
      <c r="AB25" s="472"/>
      <c r="AC25" s="472"/>
      <c r="AD25" s="472"/>
      <c r="AE25" s="488"/>
    </row>
    <row r="26" spans="2:31">
      <c r="B26" s="307"/>
      <c r="C26" s="356"/>
      <c r="D26" s="351"/>
      <c r="E26" s="351"/>
      <c r="F26" s="351"/>
      <c r="G26" s="357"/>
      <c r="H26" s="352"/>
      <c r="I26" s="352"/>
      <c r="J26" s="352"/>
      <c r="K26" s="307"/>
      <c r="L26" s="310"/>
      <c r="M26" s="310"/>
      <c r="N26" s="310"/>
      <c r="O26" s="310"/>
      <c r="P26" s="310"/>
      <c r="Q26" s="310"/>
      <c r="R26" s="310"/>
      <c r="S26" s="415"/>
      <c r="V26" s="473" t="s">
        <v>63</v>
      </c>
      <c r="W26" s="474"/>
      <c r="X26" s="445"/>
      <c r="Y26" s="445"/>
      <c r="Z26" s="445"/>
      <c r="AA26" s="474"/>
      <c r="AB26" s="472"/>
      <c r="AC26" s="472"/>
      <c r="AD26" s="472"/>
      <c r="AE26" s="488"/>
    </row>
    <row r="27" spans="2:31">
      <c r="B27" s="307"/>
      <c r="C27" s="356"/>
      <c r="D27" s="351"/>
      <c r="E27" s="351"/>
      <c r="F27" s="351"/>
      <c r="G27" s="357"/>
      <c r="H27" s="352"/>
      <c r="I27" s="352"/>
      <c r="J27" s="352"/>
      <c r="K27" s="307"/>
      <c r="L27" s="310"/>
      <c r="M27" s="310"/>
      <c r="N27" s="310"/>
      <c r="O27" s="310"/>
      <c r="P27" s="310"/>
      <c r="Q27" s="310"/>
      <c r="R27" s="310"/>
      <c r="S27" s="415"/>
      <c r="V27" s="443" t="s">
        <v>64</v>
      </c>
      <c r="W27" s="474"/>
      <c r="X27" s="445"/>
      <c r="Y27" s="445"/>
      <c r="Z27" s="445"/>
      <c r="AA27" s="474"/>
      <c r="AB27" s="472"/>
      <c r="AC27" s="472"/>
      <c r="AD27" s="472"/>
      <c r="AE27" s="488"/>
    </row>
    <row r="28" spans="2:31">
      <c r="B28" s="307"/>
      <c r="C28" s="310"/>
      <c r="D28" s="310"/>
      <c r="E28" s="310"/>
      <c r="F28" s="310"/>
      <c r="G28" s="310"/>
      <c r="H28" s="310"/>
      <c r="I28" s="310"/>
      <c r="J28" s="310"/>
      <c r="K28" s="307"/>
      <c r="L28" s="310"/>
      <c r="M28" s="310"/>
      <c r="N28" s="310"/>
      <c r="O28" s="310"/>
      <c r="P28" s="310"/>
      <c r="Q28" s="310"/>
      <c r="R28" s="310"/>
      <c r="S28" s="475"/>
      <c r="V28" s="473" t="s">
        <v>65</v>
      </c>
      <c r="W28" s="474"/>
      <c r="X28" s="445"/>
      <c r="Y28" s="445"/>
      <c r="Z28" s="445"/>
      <c r="AA28" s="474"/>
      <c r="AB28" s="472"/>
      <c r="AC28" s="472"/>
      <c r="AD28" s="472"/>
      <c r="AE28" s="488"/>
    </row>
    <row r="29" ht="15" customHeight="1" spans="2:31">
      <c r="B29" s="307"/>
      <c r="C29" s="310"/>
      <c r="D29" s="310"/>
      <c r="E29" s="310"/>
      <c r="F29" s="310"/>
      <c r="G29" s="310"/>
      <c r="H29" s="310"/>
      <c r="I29" s="310"/>
      <c r="J29" s="310"/>
      <c r="K29" s="307"/>
      <c r="L29" s="310"/>
      <c r="M29" s="310"/>
      <c r="N29" s="310"/>
      <c r="O29" s="310"/>
      <c r="P29" s="310"/>
      <c r="Q29" s="310"/>
      <c r="R29" s="310"/>
      <c r="S29" s="475"/>
      <c r="V29" s="473" t="s">
        <v>66</v>
      </c>
      <c r="W29" s="474"/>
      <c r="X29" s="474"/>
      <c r="Y29" s="474"/>
      <c r="Z29" s="474"/>
      <c r="AA29" s="474"/>
      <c r="AB29" s="474"/>
      <c r="AC29" s="474"/>
      <c r="AD29" s="474"/>
      <c r="AE29" s="488"/>
    </row>
    <row r="30" spans="2:31">
      <c r="B30" s="307"/>
      <c r="C30" s="310"/>
      <c r="D30" s="310"/>
      <c r="E30" s="310"/>
      <c r="F30" s="310"/>
      <c r="G30" s="310"/>
      <c r="H30" s="310"/>
      <c r="I30" s="310"/>
      <c r="J30" s="310"/>
      <c r="K30" s="307"/>
      <c r="L30" s="310"/>
      <c r="M30" s="310"/>
      <c r="N30" s="310"/>
      <c r="O30" s="310"/>
      <c r="P30" s="310"/>
      <c r="Q30" s="310"/>
      <c r="R30" s="310"/>
      <c r="S30" s="475"/>
      <c r="V30" s="473" t="s">
        <v>67</v>
      </c>
      <c r="W30" s="474"/>
      <c r="X30" s="474"/>
      <c r="Y30" s="474"/>
      <c r="Z30" s="474"/>
      <c r="AA30" s="474"/>
      <c r="AB30" s="474"/>
      <c r="AC30" s="474"/>
      <c r="AD30" s="474"/>
      <c r="AE30" s="488"/>
    </row>
    <row r="31" ht="15" customHeight="1" spans="2:31">
      <c r="B31" s="307"/>
      <c r="C31" s="310"/>
      <c r="D31" s="310"/>
      <c r="E31" s="310"/>
      <c r="F31" s="310"/>
      <c r="G31" s="310"/>
      <c r="H31" s="310"/>
      <c r="I31" s="310"/>
      <c r="J31" s="310"/>
      <c r="K31" s="307"/>
      <c r="L31" s="310"/>
      <c r="M31" s="310"/>
      <c r="N31" s="310"/>
      <c r="O31" s="310"/>
      <c r="P31" s="310"/>
      <c r="Q31" s="310"/>
      <c r="R31" s="310"/>
      <c r="S31" s="475"/>
      <c r="V31" s="476"/>
      <c r="W31" s="310"/>
      <c r="X31" s="310"/>
      <c r="Y31" s="310"/>
      <c r="Z31" s="310"/>
      <c r="AA31" s="510"/>
      <c r="AB31" s="510"/>
      <c r="AC31" s="510"/>
      <c r="AD31" s="511"/>
      <c r="AE31" s="488"/>
    </row>
    <row r="32" spans="2:31">
      <c r="B32" s="307"/>
      <c r="C32" s="310"/>
      <c r="D32" s="310"/>
      <c r="E32" s="310"/>
      <c r="F32" s="310"/>
      <c r="G32" s="310"/>
      <c r="H32" s="310"/>
      <c r="I32" s="310"/>
      <c r="J32" s="310"/>
      <c r="K32" s="307"/>
      <c r="L32" s="310"/>
      <c r="M32" s="310"/>
      <c r="N32" s="310"/>
      <c r="O32" s="310"/>
      <c r="P32" s="310"/>
      <c r="Q32" s="310"/>
      <c r="R32" s="310"/>
      <c r="S32" s="475"/>
      <c r="V32" s="305" t="s">
        <v>68</v>
      </c>
      <c r="W32" s="306"/>
      <c r="X32" s="306"/>
      <c r="Y32" s="306"/>
      <c r="Z32" s="306"/>
      <c r="AA32" s="512"/>
      <c r="AB32" s="512"/>
      <c r="AC32" s="512"/>
      <c r="AD32" s="513"/>
      <c r="AE32" s="486"/>
    </row>
    <row r="33" ht="14.75" spans="2:31">
      <c r="B33" s="358"/>
      <c r="C33" s="359"/>
      <c r="D33" s="359"/>
      <c r="E33" s="359"/>
      <c r="F33" s="359"/>
      <c r="G33" s="359"/>
      <c r="H33" s="359"/>
      <c r="I33" s="359"/>
      <c r="J33" s="359"/>
      <c r="K33" s="358"/>
      <c r="L33" s="359"/>
      <c r="M33" s="359"/>
      <c r="N33" s="359"/>
      <c r="O33" s="359"/>
      <c r="P33" s="359"/>
      <c r="Q33" s="359"/>
      <c r="R33" s="359"/>
      <c r="S33" s="477"/>
      <c r="V33" s="307"/>
      <c r="W33" s="302"/>
      <c r="X33" s="302"/>
      <c r="Y33" s="302"/>
      <c r="Z33" s="302"/>
      <c r="AA33" s="514"/>
      <c r="AB33" s="514"/>
      <c r="AC33" s="514"/>
      <c r="AD33" s="515"/>
      <c r="AE33" s="516"/>
    </row>
    <row r="34" ht="15" customHeight="1" spans="2:31">
      <c r="B34" s="360"/>
      <c r="C34" s="361" t="s">
        <v>69</v>
      </c>
      <c r="D34" s="362"/>
      <c r="E34" s="362"/>
      <c r="F34" s="362"/>
      <c r="G34" s="362"/>
      <c r="H34" s="362"/>
      <c r="I34" s="362"/>
      <c r="J34" s="414"/>
      <c r="K34" s="360"/>
      <c r="L34" s="361" t="s">
        <v>70</v>
      </c>
      <c r="M34" s="362"/>
      <c r="N34" s="362"/>
      <c r="O34" s="362"/>
      <c r="P34" s="362"/>
      <c r="Q34" s="362"/>
      <c r="R34" s="362"/>
      <c r="S34" s="439"/>
      <c r="V34" s="432" t="s">
        <v>71</v>
      </c>
      <c r="W34" s="478"/>
      <c r="X34" s="478"/>
      <c r="Y34" s="478"/>
      <c r="Z34" s="478"/>
      <c r="AA34" s="478"/>
      <c r="AB34" s="478"/>
      <c r="AC34" s="478"/>
      <c r="AD34" s="478"/>
      <c r="AE34" s="517"/>
    </row>
    <row r="35" ht="15" customHeight="1" spans="2:31">
      <c r="B35" s="307"/>
      <c r="C35" s="363"/>
      <c r="D35" s="363"/>
      <c r="E35" s="363"/>
      <c r="F35" s="363"/>
      <c r="G35" s="363"/>
      <c r="H35" s="363"/>
      <c r="I35" s="363"/>
      <c r="J35" s="415"/>
      <c r="K35" s="307"/>
      <c r="L35" s="363"/>
      <c r="M35" s="363"/>
      <c r="N35" s="363"/>
      <c r="O35" s="363"/>
      <c r="P35" s="363"/>
      <c r="Q35" s="363"/>
      <c r="R35" s="363"/>
      <c r="S35" s="475"/>
      <c r="V35" s="358"/>
      <c r="W35" s="359"/>
      <c r="X35" s="359"/>
      <c r="Y35" s="359"/>
      <c r="Z35" s="359"/>
      <c r="AA35" s="483"/>
      <c r="AB35" s="483"/>
      <c r="AC35" s="483"/>
      <c r="AD35" s="518"/>
      <c r="AE35" s="519"/>
    </row>
    <row r="36" ht="14.75" spans="2:31">
      <c r="B36" s="307"/>
      <c r="C36" s="364" t="s">
        <v>72</v>
      </c>
      <c r="D36" s="365" t="s">
        <v>73</v>
      </c>
      <c r="E36" s="366"/>
      <c r="F36" s="367"/>
      <c r="G36" s="368" t="s">
        <v>74</v>
      </c>
      <c r="H36" s="369" t="s">
        <v>75</v>
      </c>
      <c r="I36" s="368" t="s">
        <v>76</v>
      </c>
      <c r="J36" s="415"/>
      <c r="K36" s="416"/>
      <c r="L36" s="417" t="s">
        <v>72</v>
      </c>
      <c r="M36" s="418" t="s">
        <v>73</v>
      </c>
      <c r="N36" s="419"/>
      <c r="O36" s="420"/>
      <c r="P36" s="369" t="s">
        <v>74</v>
      </c>
      <c r="Q36" s="369" t="s">
        <v>75</v>
      </c>
      <c r="R36" s="369" t="s">
        <v>76</v>
      </c>
      <c r="S36" s="475"/>
      <c r="V36" s="302"/>
      <c r="W36" s="302"/>
      <c r="X36" s="302"/>
      <c r="Y36" s="302"/>
      <c r="Z36" s="302"/>
      <c r="AA36" s="514"/>
      <c r="AB36" s="514"/>
      <c r="AC36" s="514"/>
      <c r="AD36" s="515"/>
      <c r="AE36" s="483"/>
    </row>
    <row r="37" spans="2:31">
      <c r="B37" s="307"/>
      <c r="C37" s="370" t="s">
        <v>77</v>
      </c>
      <c r="D37" s="371">
        <v>1</v>
      </c>
      <c r="E37" s="371">
        <v>2</v>
      </c>
      <c r="F37" s="371">
        <v>3</v>
      </c>
      <c r="G37" s="372"/>
      <c r="H37" s="373"/>
      <c r="I37" s="372"/>
      <c r="J37" s="415"/>
      <c r="K37" s="421"/>
      <c r="L37" s="422" t="s">
        <v>77</v>
      </c>
      <c r="M37" s="423">
        <v>4</v>
      </c>
      <c r="N37" s="423">
        <v>5</v>
      </c>
      <c r="O37" s="423">
        <v>6</v>
      </c>
      <c r="P37" s="373"/>
      <c r="Q37" s="373"/>
      <c r="R37" s="373"/>
      <c r="S37" s="475"/>
      <c r="V37" s="305" t="s">
        <v>78</v>
      </c>
      <c r="W37" s="306"/>
      <c r="X37" s="306"/>
      <c r="Y37" s="306"/>
      <c r="Z37" s="306"/>
      <c r="AA37" s="512"/>
      <c r="AB37" s="512"/>
      <c r="AC37" s="512"/>
      <c r="AD37" s="513"/>
      <c r="AE37" s="520"/>
    </row>
    <row r="38" spans="2:31">
      <c r="B38" s="307"/>
      <c r="C38" s="374" t="s">
        <v>79</v>
      </c>
      <c r="D38" s="375" t="str">
        <f>封面!B7</f>
        <v>HW356048</v>
      </c>
      <c r="E38" s="376"/>
      <c r="F38" s="377"/>
      <c r="G38" s="372"/>
      <c r="H38" s="373"/>
      <c r="I38" s="372"/>
      <c r="J38" s="415"/>
      <c r="K38" s="424"/>
      <c r="L38" s="425" t="s">
        <v>79</v>
      </c>
      <c r="M38" s="375" t="str">
        <f>封面!B7</f>
        <v>HW356048</v>
      </c>
      <c r="N38" s="376"/>
      <c r="O38" s="377"/>
      <c r="P38" s="373"/>
      <c r="Q38" s="373"/>
      <c r="R38" s="373"/>
      <c r="S38" s="475"/>
      <c r="V38" s="307"/>
      <c r="W38" s="479" t="s">
        <v>80</v>
      </c>
      <c r="X38" s="480">
        <v>1</v>
      </c>
      <c r="Y38" s="480">
        <v>2</v>
      </c>
      <c r="Z38" s="480">
        <v>3</v>
      </c>
      <c r="AA38" s="480">
        <v>4</v>
      </c>
      <c r="AB38" s="480">
        <v>5</v>
      </c>
      <c r="AC38" s="480">
        <v>6</v>
      </c>
      <c r="AD38" s="514"/>
      <c r="AE38" s="521"/>
    </row>
    <row r="39" ht="15" customHeight="1" spans="2:31">
      <c r="B39" s="307"/>
      <c r="C39" s="374" t="s">
        <v>49</v>
      </c>
      <c r="D39" s="375" t="s">
        <v>38</v>
      </c>
      <c r="E39" s="376"/>
      <c r="F39" s="377"/>
      <c r="G39" s="372"/>
      <c r="H39" s="373"/>
      <c r="I39" s="372"/>
      <c r="J39" s="415"/>
      <c r="K39" s="424"/>
      <c r="L39" s="425" t="s">
        <v>49</v>
      </c>
      <c r="M39" s="426" t="s">
        <v>47</v>
      </c>
      <c r="N39" s="427"/>
      <c r="O39" s="428"/>
      <c r="P39" s="373"/>
      <c r="Q39" s="373"/>
      <c r="R39" s="373"/>
      <c r="S39" s="475"/>
      <c r="V39" s="307"/>
      <c r="W39" s="479" t="s">
        <v>81</v>
      </c>
      <c r="X39" s="481">
        <v>28.9</v>
      </c>
      <c r="Y39" s="480">
        <v>28.8</v>
      </c>
      <c r="Z39" s="480">
        <v>26.8</v>
      </c>
      <c r="AA39" s="480">
        <v>27.5</v>
      </c>
      <c r="AB39" s="480">
        <v>27.8</v>
      </c>
      <c r="AC39" s="481">
        <v>26.2</v>
      </c>
      <c r="AD39" s="514"/>
      <c r="AE39" s="521"/>
    </row>
    <row r="40" spans="2:31">
      <c r="B40" s="307"/>
      <c r="C40" s="374" t="s">
        <v>82</v>
      </c>
      <c r="D40" s="378">
        <v>1</v>
      </c>
      <c r="E40" s="379" t="s">
        <v>83</v>
      </c>
      <c r="F40" s="380"/>
      <c r="G40" s="381"/>
      <c r="H40" s="382"/>
      <c r="I40" s="381"/>
      <c r="J40" s="415"/>
      <c r="K40" s="424"/>
      <c r="L40" s="425" t="s">
        <v>82</v>
      </c>
      <c r="M40" s="429">
        <v>10</v>
      </c>
      <c r="N40" s="379" t="s">
        <v>83</v>
      </c>
      <c r="O40" s="380"/>
      <c r="P40" s="382"/>
      <c r="Q40" s="382"/>
      <c r="R40" s="382"/>
      <c r="S40" s="475"/>
      <c r="V40" s="307"/>
      <c r="W40" s="302"/>
      <c r="X40" s="302"/>
      <c r="Y40" s="302"/>
      <c r="Z40" s="302"/>
      <c r="AA40" s="514"/>
      <c r="AB40" s="514"/>
      <c r="AC40" s="514"/>
      <c r="AD40" s="515"/>
      <c r="AE40" s="516"/>
    </row>
    <row r="41" ht="14.75" spans="2:31">
      <c r="B41" s="307"/>
      <c r="C41" s="374" t="s">
        <v>84</v>
      </c>
      <c r="D41" s="383">
        <f>'PK 参数'!F3</f>
        <v>0.99431795</v>
      </c>
      <c r="E41" s="383">
        <f>'PK 参数'!F4</f>
        <v>0.62061534</v>
      </c>
      <c r="F41" s="383">
        <f>'PK 参数'!F5</f>
        <v>0.96078393</v>
      </c>
      <c r="G41" s="371">
        <v>3</v>
      </c>
      <c r="H41" s="384">
        <f t="shared" ref="H41:H55" si="3">AVERAGE(D41:F41)</f>
        <v>0.858572406666667</v>
      </c>
      <c r="I41" s="384">
        <f>STDEV(D41:F41)</f>
        <v>0.206757845816775</v>
      </c>
      <c r="J41" s="415"/>
      <c r="K41" s="430"/>
      <c r="L41" s="425" t="s">
        <v>84</v>
      </c>
      <c r="M41" s="383">
        <f>'PK 参数'!F7</f>
        <v>0.99117081</v>
      </c>
      <c r="N41" s="383">
        <f>'PK 参数'!F8</f>
        <v>0.95671412</v>
      </c>
      <c r="O41" s="383">
        <f>'PK 参数'!F9</f>
        <v>0.77614488</v>
      </c>
      <c r="P41" s="423">
        <v>3</v>
      </c>
      <c r="Q41" s="384">
        <f>AVERAGE(M41:O41)</f>
        <v>0.908009936666667</v>
      </c>
      <c r="R41" s="384">
        <f>STDEV(M41:O41)</f>
        <v>0.115490738800635</v>
      </c>
      <c r="S41" s="475"/>
      <c r="V41" s="482"/>
      <c r="W41" s="483"/>
      <c r="X41" s="483"/>
      <c r="Y41" s="483"/>
      <c r="Z41" s="483"/>
      <c r="AA41" s="483"/>
      <c r="AB41" s="483"/>
      <c r="AC41" s="483"/>
      <c r="AD41" s="518"/>
      <c r="AE41" s="519"/>
    </row>
    <row r="42" ht="21" customHeight="1" spans="2:19">
      <c r="B42" s="307"/>
      <c r="C42" s="374" t="s">
        <v>85</v>
      </c>
      <c r="D42" s="385">
        <f>'PK 参数'!H3</f>
        <v>3</v>
      </c>
      <c r="E42" s="385">
        <f>'PK 参数'!H4</f>
        <v>4</v>
      </c>
      <c r="F42" s="385">
        <f>'PK 参数'!H5</f>
        <v>3</v>
      </c>
      <c r="G42" s="371">
        <v>3</v>
      </c>
      <c r="H42" s="386">
        <f t="shared" si="3"/>
        <v>3.33333333333333</v>
      </c>
      <c r="I42" s="384">
        <f>STDEV(D42:F42)</f>
        <v>0.577350269189626</v>
      </c>
      <c r="J42" s="415"/>
      <c r="K42" s="430"/>
      <c r="L42" s="425" t="s">
        <v>85</v>
      </c>
      <c r="M42" s="385">
        <f>'PK 参数'!H7</f>
        <v>3</v>
      </c>
      <c r="N42" s="385">
        <f>'PK 参数'!H8</f>
        <v>4</v>
      </c>
      <c r="O42" s="385">
        <f>'PK 参数'!H9</f>
        <v>4</v>
      </c>
      <c r="P42" s="423">
        <v>3</v>
      </c>
      <c r="Q42" s="386">
        <f>AVERAGE(M42:O42)</f>
        <v>3.66666666666667</v>
      </c>
      <c r="R42" s="384">
        <f t="shared" ref="R42:R53" si="4">STDEV(M42:O42)</f>
        <v>0.577350269189626</v>
      </c>
      <c r="S42" s="475"/>
    </row>
    <row r="43" spans="2:19">
      <c r="B43" s="307"/>
      <c r="C43" s="374" t="s">
        <v>86</v>
      </c>
      <c r="D43" s="385">
        <f>'PK 参数'!S3</f>
        <v>1</v>
      </c>
      <c r="E43" s="385">
        <f>'PK 参数'!S4</f>
        <v>1</v>
      </c>
      <c r="F43" s="385">
        <f>'PK 参数'!S5</f>
        <v>1</v>
      </c>
      <c r="G43" s="371">
        <v>3</v>
      </c>
      <c r="H43" s="386">
        <f t="shared" si="3"/>
        <v>1</v>
      </c>
      <c r="I43" s="386">
        <f t="shared" ref="I43:I55" si="5">STDEV(D43:F43)</f>
        <v>0</v>
      </c>
      <c r="J43" s="415"/>
      <c r="K43" s="430"/>
      <c r="L43" s="425" t="s">
        <v>86</v>
      </c>
      <c r="M43" s="385">
        <f>'PK 参数'!S7</f>
        <v>6</v>
      </c>
      <c r="N43" s="385">
        <f>'PK 参数'!S8</f>
        <v>4</v>
      </c>
      <c r="O43" s="385">
        <f>'PK 参数'!S9</f>
        <v>4</v>
      </c>
      <c r="P43" s="423">
        <v>3</v>
      </c>
      <c r="Q43" s="386">
        <f>AVERAGE(M43:O43)</f>
        <v>4.66666666666667</v>
      </c>
      <c r="R43" s="386">
        <f t="shared" si="4"/>
        <v>1.15470053837925</v>
      </c>
      <c r="S43" s="475"/>
    </row>
    <row r="44" ht="17.5" spans="2:19">
      <c r="B44" s="307"/>
      <c r="C44" s="370" t="s">
        <v>87</v>
      </c>
      <c r="D44" s="383">
        <f>'PK 参数'!M3</f>
        <v>0.36005973</v>
      </c>
      <c r="E44" s="383">
        <f>'PK 参数'!M4</f>
        <v>0.37156534</v>
      </c>
      <c r="F44" s="383">
        <f>'PK 参数'!M5</f>
        <v>0.20646827</v>
      </c>
      <c r="G44" s="371">
        <v>3</v>
      </c>
      <c r="H44" s="384">
        <f t="shared" si="3"/>
        <v>0.31269778</v>
      </c>
      <c r="I44" s="389">
        <f t="shared" si="5"/>
        <v>0.0921771466335236</v>
      </c>
      <c r="J44" s="415"/>
      <c r="K44" s="421"/>
      <c r="L44" s="422" t="s">
        <v>87</v>
      </c>
      <c r="M44" s="385">
        <f>'PK 参数'!M7</f>
        <v>2.1701707</v>
      </c>
      <c r="N44" s="383">
        <f>'PK 参数'!M8</f>
        <v>0.63306588</v>
      </c>
      <c r="O44" s="383">
        <f>'PK 参数'!M9</f>
        <v>0.74133998</v>
      </c>
      <c r="P44" s="423">
        <v>3</v>
      </c>
      <c r="Q44" s="386">
        <f t="shared" ref="Q44:Q53" si="6">AVERAGE(M44:O44)</f>
        <v>1.18152552</v>
      </c>
      <c r="R44" s="384">
        <f t="shared" si="4"/>
        <v>0.857901678011896</v>
      </c>
      <c r="S44" s="475"/>
    </row>
    <row r="45" ht="17.5" spans="2:19">
      <c r="B45" s="307"/>
      <c r="C45" s="387" t="s">
        <v>88</v>
      </c>
      <c r="D45" s="388">
        <f>'PK 参数'!O3</f>
        <v>0.0833</v>
      </c>
      <c r="E45" s="388">
        <f>'PK 参数'!O4</f>
        <v>0.0833</v>
      </c>
      <c r="F45" s="388">
        <f>'PK 参数'!O5</f>
        <v>0.0833</v>
      </c>
      <c r="G45" s="371">
        <v>3</v>
      </c>
      <c r="H45" s="389">
        <f t="shared" si="3"/>
        <v>0.0833</v>
      </c>
      <c r="I45" s="386">
        <f t="shared" si="5"/>
        <v>0</v>
      </c>
      <c r="J45" s="415"/>
      <c r="K45" s="421"/>
      <c r="L45" s="422" t="s">
        <v>88</v>
      </c>
      <c r="M45" s="383">
        <f>'PK 参数'!P7</f>
        <v>0.25</v>
      </c>
      <c r="N45" s="388">
        <f>'PK 参数'!P8</f>
        <v>0.0833</v>
      </c>
      <c r="O45" s="388">
        <f>'PK 参数'!P9</f>
        <v>0.0833</v>
      </c>
      <c r="P45" s="423">
        <v>3</v>
      </c>
      <c r="Q45" s="384">
        <f t="shared" si="6"/>
        <v>0.138866666666667</v>
      </c>
      <c r="R45" s="389">
        <f t="shared" si="4"/>
        <v>0.0962442898739106</v>
      </c>
      <c r="S45" s="475"/>
    </row>
    <row r="46" ht="17.5" spans="2:19">
      <c r="B46" s="307"/>
      <c r="C46" s="387" t="s">
        <v>89</v>
      </c>
      <c r="D46" s="390">
        <f>'PK 参数'!P3</f>
        <v>126</v>
      </c>
      <c r="E46" s="390">
        <f>'PK 参数'!P4</f>
        <v>108</v>
      </c>
      <c r="F46" s="390">
        <f>'PK 参数'!P5</f>
        <v>229</v>
      </c>
      <c r="G46" s="371">
        <v>3</v>
      </c>
      <c r="H46" s="391">
        <f t="shared" si="3"/>
        <v>154.333333333333</v>
      </c>
      <c r="I46" s="393">
        <f t="shared" si="5"/>
        <v>65.2865478742239</v>
      </c>
      <c r="J46" s="415"/>
      <c r="K46" s="421"/>
      <c r="L46" s="370" t="s">
        <v>89</v>
      </c>
      <c r="M46" s="390">
        <f>'PK 参数'!Q7</f>
        <v>919</v>
      </c>
      <c r="N46" s="390">
        <f>'PK 参数'!Q8</f>
        <v>571</v>
      </c>
      <c r="O46" s="390">
        <f>'PK 参数'!Q9</f>
        <v>541</v>
      </c>
      <c r="P46" s="423">
        <v>3</v>
      </c>
      <c r="Q46" s="391">
        <f t="shared" si="6"/>
        <v>677</v>
      </c>
      <c r="R46" s="391">
        <f t="shared" si="4"/>
        <v>210.114254633045</v>
      </c>
      <c r="S46" s="475"/>
    </row>
    <row r="47" ht="17.5" spans="2:19">
      <c r="B47" s="307"/>
      <c r="C47" s="387" t="s">
        <v>90</v>
      </c>
      <c r="D47" s="392">
        <f>'PK 参数'!V3</f>
        <v>40.890189</v>
      </c>
      <c r="E47" s="392">
        <f>'PK 参数'!V4</f>
        <v>40.324889</v>
      </c>
      <c r="F47" s="392">
        <f>'PK 参数'!V5</f>
        <v>69.561697</v>
      </c>
      <c r="G47" s="371">
        <v>3</v>
      </c>
      <c r="H47" s="393">
        <f t="shared" si="3"/>
        <v>50.258925</v>
      </c>
      <c r="I47" s="393">
        <f t="shared" si="5"/>
        <v>16.7190803032191</v>
      </c>
      <c r="J47" s="415"/>
      <c r="K47" s="421"/>
      <c r="L47" s="370" t="s">
        <v>90</v>
      </c>
      <c r="M47" s="390">
        <f>'PK 参数'!V7</f>
        <v>511.01865</v>
      </c>
      <c r="N47" s="390">
        <f>'PK 参数'!V8</f>
        <v>240.65475</v>
      </c>
      <c r="O47" s="390">
        <f>'PK 参数'!V9</f>
        <v>164.12355</v>
      </c>
      <c r="P47" s="423">
        <v>3</v>
      </c>
      <c r="Q47" s="391">
        <f t="shared" si="6"/>
        <v>305.26565</v>
      </c>
      <c r="R47" s="391">
        <f t="shared" si="4"/>
        <v>182.249770644876</v>
      </c>
      <c r="S47" s="475"/>
    </row>
    <row r="48" ht="17.5" spans="2:19">
      <c r="B48" s="307"/>
      <c r="C48" s="387" t="s">
        <v>91</v>
      </c>
      <c r="D48" s="392">
        <f>'PK 参数'!Y3</f>
        <v>44.490022</v>
      </c>
      <c r="E48" s="392">
        <f>'PK 参数'!Y4</f>
        <v>48.794565</v>
      </c>
      <c r="F48" s="392">
        <f>'PK 参数'!Y5</f>
        <v>71.104667</v>
      </c>
      <c r="G48" s="371">
        <v>3</v>
      </c>
      <c r="H48" s="393">
        <f t="shared" si="3"/>
        <v>54.796418</v>
      </c>
      <c r="I48" s="393">
        <f t="shared" si="5"/>
        <v>14.2864100352122</v>
      </c>
      <c r="J48" s="415"/>
      <c r="K48" s="421"/>
      <c r="L48" s="370" t="s">
        <v>91</v>
      </c>
      <c r="M48" s="390">
        <f>'PK 参数'!Y7</f>
        <v>518.31363</v>
      </c>
      <c r="N48" s="390">
        <f>'PK 参数'!Y8</f>
        <v>243.15725</v>
      </c>
      <c r="O48" s="390">
        <f>'PK 参数'!Y9</f>
        <v>167.43909</v>
      </c>
      <c r="P48" s="423">
        <v>3</v>
      </c>
      <c r="Q48" s="391">
        <f t="shared" si="6"/>
        <v>309.636656666667</v>
      </c>
      <c r="R48" s="391">
        <f t="shared" si="4"/>
        <v>184.642544767226</v>
      </c>
      <c r="S48" s="475"/>
    </row>
    <row r="49" ht="17.5" spans="2:19">
      <c r="B49" s="307"/>
      <c r="C49" s="387" t="s">
        <v>92</v>
      </c>
      <c r="D49" s="383">
        <f>'PK 参数'!AP3</f>
        <v>0.19082652</v>
      </c>
      <c r="E49" s="383">
        <f>'PK 参数'!AP4</f>
        <v>0.26639667</v>
      </c>
      <c r="F49" s="383">
        <f>'PK 参数'!AP5</f>
        <v>0.16128607</v>
      </c>
      <c r="G49" s="371">
        <v>3</v>
      </c>
      <c r="H49" s="384">
        <f t="shared" si="3"/>
        <v>0.206169753333333</v>
      </c>
      <c r="I49" s="389">
        <f t="shared" si="5"/>
        <v>0.0542090459695689</v>
      </c>
      <c r="J49" s="415"/>
      <c r="K49" s="421"/>
      <c r="L49" s="422" t="s">
        <v>92</v>
      </c>
      <c r="M49" s="383">
        <f>'PK 参数'!AN7</f>
        <v>0.49254663</v>
      </c>
      <c r="N49" s="383">
        <f>'PK 参数'!AN8</f>
        <v>0.54703564</v>
      </c>
      <c r="O49" s="383">
        <f>'PK 参数'!AN9</f>
        <v>0.46263729</v>
      </c>
      <c r="P49" s="423">
        <v>3</v>
      </c>
      <c r="Q49" s="384">
        <f t="shared" si="6"/>
        <v>0.500739853333333</v>
      </c>
      <c r="R49" s="389">
        <f t="shared" si="4"/>
        <v>0.042791553513784</v>
      </c>
      <c r="S49" s="475"/>
    </row>
    <row r="50" ht="17.5" spans="2:19">
      <c r="B50" s="307"/>
      <c r="C50" s="387" t="s">
        <v>93</v>
      </c>
      <c r="D50" s="383">
        <f>'PK 参数'!AQ3</f>
        <v>0.2983303</v>
      </c>
      <c r="E50" s="383">
        <f>'PK 参数'!AQ4</f>
        <v>0.48678186</v>
      </c>
      <c r="F50" s="383">
        <f>'PK 参数'!AQ5</f>
        <v>0.18594994</v>
      </c>
      <c r="G50" s="371">
        <v>3</v>
      </c>
      <c r="H50" s="384">
        <f t="shared" si="3"/>
        <v>0.323687366666667</v>
      </c>
      <c r="I50" s="384">
        <f t="shared" si="5"/>
        <v>0.152010514916485</v>
      </c>
      <c r="J50" s="415"/>
      <c r="K50" s="421"/>
      <c r="L50" s="422" t="s">
        <v>93</v>
      </c>
      <c r="M50" s="383">
        <f>'PK 参数'!AO7</f>
        <v>0.6141267</v>
      </c>
      <c r="N50" s="383">
        <f>'PK 参数'!AO8</f>
        <v>0.5919721</v>
      </c>
      <c r="O50" s="383">
        <f>'PK 参数'!AO9</f>
        <v>0.55386036</v>
      </c>
      <c r="P50" s="423">
        <v>3</v>
      </c>
      <c r="Q50" s="384">
        <f t="shared" si="6"/>
        <v>0.586653053333333</v>
      </c>
      <c r="R50" s="389">
        <f t="shared" si="4"/>
        <v>0.0304832269835484</v>
      </c>
      <c r="S50" s="475"/>
    </row>
    <row r="51" ht="17.5" spans="2:19">
      <c r="B51" s="307"/>
      <c r="C51" s="387" t="s">
        <v>94</v>
      </c>
      <c r="D51" s="390">
        <f>'PK 参数'!R3</f>
        <v>258.97621</v>
      </c>
      <c r="E51" s="390">
        <f>'PK 参数'!R4</f>
        <v>182.25507</v>
      </c>
      <c r="F51" s="390">
        <f>'PK 参数'!R5</f>
        <v>417.64026</v>
      </c>
      <c r="G51" s="371">
        <v>3</v>
      </c>
      <c r="H51" s="391">
        <f t="shared" si="3"/>
        <v>286.290513333333</v>
      </c>
      <c r="I51" s="391">
        <f t="shared" si="5"/>
        <v>120.046242310091</v>
      </c>
      <c r="J51" s="415"/>
      <c r="K51" s="430"/>
      <c r="L51" s="425" t="s">
        <v>95</v>
      </c>
      <c r="M51" s="385">
        <f>'PK 参数'!AA7</f>
        <v>1.4074459</v>
      </c>
      <c r="N51" s="385">
        <f>'PK 参数'!AA8</f>
        <v>1.0291692</v>
      </c>
      <c r="O51" s="385">
        <f>'PK 参数'!AA9</f>
        <v>1.9801442</v>
      </c>
      <c r="P51" s="423">
        <v>3</v>
      </c>
      <c r="Q51" s="386">
        <f t="shared" si="6"/>
        <v>1.4722531</v>
      </c>
      <c r="R51" s="386">
        <f t="shared" si="4"/>
        <v>0.478788411028431</v>
      </c>
      <c r="S51" s="475"/>
    </row>
    <row r="52" ht="20.25" customHeight="1" spans="2:19">
      <c r="B52" s="307"/>
      <c r="C52" s="387" t="s">
        <v>96</v>
      </c>
      <c r="D52" s="385">
        <f>'PK 参数'!AS3</f>
        <v>6.7055551</v>
      </c>
      <c r="E52" s="385">
        <f>'PK 参数'!AS4</f>
        <v>9.9761491</v>
      </c>
      <c r="F52" s="385">
        <f>'PK 参数'!AS5</f>
        <v>2.615158</v>
      </c>
      <c r="G52" s="371">
        <v>3</v>
      </c>
      <c r="H52" s="386">
        <f t="shared" si="3"/>
        <v>6.4322874</v>
      </c>
      <c r="I52" s="386">
        <f t="shared" si="5"/>
        <v>3.68809624609598</v>
      </c>
      <c r="J52" s="415"/>
      <c r="K52" s="431"/>
      <c r="L52" s="425" t="s">
        <v>97</v>
      </c>
      <c r="M52" s="385">
        <f>'PK 参数'!AK7</f>
        <v>20.926041</v>
      </c>
      <c r="N52" s="385">
        <f>'PK 参数'!AK8</f>
        <v>8.542022</v>
      </c>
      <c r="O52" s="385">
        <f>'PK 参数'!AK9</f>
        <v>18.124416</v>
      </c>
      <c r="P52" s="423">
        <v>3</v>
      </c>
      <c r="Q52" s="386">
        <f t="shared" si="6"/>
        <v>15.8641596666667</v>
      </c>
      <c r="R52" s="386">
        <f t="shared" si="4"/>
        <v>6.49403962625501</v>
      </c>
      <c r="S52" s="475"/>
    </row>
    <row r="53" ht="17.5" spans="2:19">
      <c r="B53" s="307"/>
      <c r="C53" s="387" t="s">
        <v>98</v>
      </c>
      <c r="D53" s="392">
        <f>'PK 参数'!AC3</f>
        <v>11.675795</v>
      </c>
      <c r="E53" s="392">
        <f>'PK 参数'!AC4</f>
        <v>10.985967</v>
      </c>
      <c r="F53" s="385">
        <f>'PK 参数'!AC5</f>
        <v>4.189187</v>
      </c>
      <c r="G53" s="371">
        <v>3</v>
      </c>
      <c r="H53" s="386">
        <f t="shared" si="3"/>
        <v>8.95031633333334</v>
      </c>
      <c r="I53" s="386">
        <f t="shared" si="5"/>
        <v>4.1376599744229</v>
      </c>
      <c r="J53" s="415"/>
      <c r="K53" s="432"/>
      <c r="L53" s="433" t="s">
        <v>99</v>
      </c>
      <c r="M53" s="434">
        <f>(M48/(M40/D40)/H48)*100</f>
        <v>94.5889620011293</v>
      </c>
      <c r="N53" s="434">
        <f>(N48/(M40/D40))/H48*100</f>
        <v>44.3746614970344</v>
      </c>
      <c r="O53" s="434">
        <f>(O48/(M40/D40))/H48*100</f>
        <v>30.556575796615</v>
      </c>
      <c r="P53" s="433">
        <v>3</v>
      </c>
      <c r="Q53" s="386">
        <f t="shared" si="6"/>
        <v>56.5067330982596</v>
      </c>
      <c r="R53" s="386">
        <f t="shared" si="4"/>
        <v>33.6960975747038</v>
      </c>
      <c r="S53" s="475"/>
    </row>
    <row r="54" spans="2:19">
      <c r="B54" s="307"/>
      <c r="C54" s="387" t="s">
        <v>100</v>
      </c>
      <c r="D54" s="392">
        <f>'PK 参数'!AD3</f>
        <v>22.47695</v>
      </c>
      <c r="E54" s="392">
        <f>'PK 参数'!AD4</f>
        <v>20.494086</v>
      </c>
      <c r="F54" s="392">
        <f>'PK 参数'!AD5</f>
        <v>14.063774</v>
      </c>
      <c r="G54" s="371">
        <v>3</v>
      </c>
      <c r="H54" s="393">
        <f t="shared" si="3"/>
        <v>19.0116033333333</v>
      </c>
      <c r="I54" s="386">
        <f t="shared" si="5"/>
        <v>4.39814719449785</v>
      </c>
      <c r="J54" s="415"/>
      <c r="K54" s="307"/>
      <c r="L54" s="310"/>
      <c r="M54" s="310"/>
      <c r="N54" s="310"/>
      <c r="O54" s="310"/>
      <c r="P54" s="310"/>
      <c r="Q54" s="310"/>
      <c r="R54" s="310"/>
      <c r="S54" s="475"/>
    </row>
    <row r="55" ht="17.5" spans="2:19">
      <c r="B55" s="307"/>
      <c r="C55" s="394" t="s">
        <v>95</v>
      </c>
      <c r="D55" s="395">
        <f>'PK 参数'!AA3</f>
        <v>8.0913261</v>
      </c>
      <c r="E55" s="395">
        <f>'PK 参数'!AA4</f>
        <v>17.357828</v>
      </c>
      <c r="F55" s="395">
        <f>'PK 参数'!AA5</f>
        <v>2.1699989</v>
      </c>
      <c r="G55" s="371">
        <v>3</v>
      </c>
      <c r="H55" s="386">
        <f t="shared" si="3"/>
        <v>9.20638433333333</v>
      </c>
      <c r="I55" s="386">
        <f t="shared" si="5"/>
        <v>7.65506723291801</v>
      </c>
      <c r="J55" s="415"/>
      <c r="K55" s="307"/>
      <c r="L55" s="435"/>
      <c r="M55" s="287"/>
      <c r="N55" s="287"/>
      <c r="O55" s="287"/>
      <c r="P55" s="436"/>
      <c r="Q55" s="436"/>
      <c r="R55" s="436"/>
      <c r="S55" s="475"/>
    </row>
    <row r="56" ht="14.75" spans="2:19">
      <c r="B56" s="358"/>
      <c r="C56" s="359"/>
      <c r="D56" s="359"/>
      <c r="E56" s="359"/>
      <c r="F56" s="359"/>
      <c r="G56" s="359"/>
      <c r="H56" s="359"/>
      <c r="I56" s="359"/>
      <c r="J56" s="437"/>
      <c r="K56" s="358"/>
      <c r="L56" s="359"/>
      <c r="M56" s="359"/>
      <c r="N56" s="359"/>
      <c r="O56" s="359"/>
      <c r="P56" s="359"/>
      <c r="Q56" s="359"/>
      <c r="R56" s="359"/>
      <c r="S56" s="477"/>
    </row>
    <row r="57" ht="67.5" customHeight="1" spans="2:19">
      <c r="B57" s="396" t="s">
        <v>101</v>
      </c>
      <c r="C57" s="397"/>
      <c r="D57" s="397"/>
      <c r="E57" s="397"/>
      <c r="F57" s="397"/>
      <c r="G57" s="397"/>
      <c r="H57" s="397"/>
      <c r="I57" s="397"/>
      <c r="J57" s="397"/>
      <c r="K57" s="397"/>
      <c r="L57" s="397"/>
      <c r="M57" s="397"/>
      <c r="N57" s="397"/>
      <c r="O57" s="397"/>
      <c r="P57" s="397"/>
      <c r="Q57" s="397"/>
      <c r="R57" s="397"/>
      <c r="S57" s="397"/>
    </row>
  </sheetData>
  <mergeCells count="57">
    <mergeCell ref="B1:J1"/>
    <mergeCell ref="K1:S1"/>
    <mergeCell ref="V1:Y1"/>
    <mergeCell ref="Z1:AE1"/>
    <mergeCell ref="C3:H3"/>
    <mergeCell ref="L3:Q3"/>
    <mergeCell ref="C5:H5"/>
    <mergeCell ref="L5:Q5"/>
    <mergeCell ref="C6:H6"/>
    <mergeCell ref="L6:Q6"/>
    <mergeCell ref="I8:J8"/>
    <mergeCell ref="V8:W8"/>
    <mergeCell ref="I9:J9"/>
    <mergeCell ref="V9:W9"/>
    <mergeCell ref="I10:J10"/>
    <mergeCell ref="V10:W10"/>
    <mergeCell ref="I11:J11"/>
    <mergeCell ref="V11:W11"/>
    <mergeCell ref="I12:J12"/>
    <mergeCell ref="V12:W12"/>
    <mergeCell ref="I13:J13"/>
    <mergeCell ref="V13:W13"/>
    <mergeCell ref="I14:J14"/>
    <mergeCell ref="V14:W14"/>
    <mergeCell ref="I15:J15"/>
    <mergeCell ref="V15:W15"/>
    <mergeCell ref="I16:J16"/>
    <mergeCell ref="V29:AD29"/>
    <mergeCell ref="V30:AD30"/>
    <mergeCell ref="V34:AE34"/>
    <mergeCell ref="D36:F36"/>
    <mergeCell ref="M36:O36"/>
    <mergeCell ref="D38:F38"/>
    <mergeCell ref="M38:O38"/>
    <mergeCell ref="D39:F39"/>
    <mergeCell ref="M39:O39"/>
    <mergeCell ref="E40:F40"/>
    <mergeCell ref="N40:O40"/>
    <mergeCell ref="B57:S57"/>
    <mergeCell ref="G36:G40"/>
    <mergeCell ref="H36:H40"/>
    <mergeCell ref="I36:I40"/>
    <mergeCell ref="P36:P40"/>
    <mergeCell ref="Q36:Q40"/>
    <mergeCell ref="R36:R40"/>
    <mergeCell ref="V17:V18"/>
    <mergeCell ref="W17:W18"/>
    <mergeCell ref="X17:X18"/>
    <mergeCell ref="Y17:Y18"/>
    <mergeCell ref="Z17:Z18"/>
    <mergeCell ref="AA17:AA18"/>
    <mergeCell ref="AB17:AB18"/>
    <mergeCell ref="AC17:AC18"/>
    <mergeCell ref="AD17:AD18"/>
    <mergeCell ref="AE17:AE18"/>
    <mergeCell ref="C34:I35"/>
    <mergeCell ref="L34:R35"/>
  </mergeCells>
  <conditionalFormatting sqref="H17:J17">
    <cfRule type="expression" priority="182" stopIfTrue="1">
      <formula>"IF(COUNTIF(B33:D33,""BQL"")=0)"</formula>
    </cfRule>
    <cfRule type="expression" dxfId="0" priority="183" stopIfTrue="1">
      <formula>"IF(COUNTIF(B33:D33,""BQL"")=1)"</formula>
    </cfRule>
    <cfRule type="expression" priority="184" stopIfTrue="1">
      <formula>"IF(COUNTIF(B33:D33,""BQL"")&gt;1)"</formula>
    </cfRule>
  </conditionalFormatting>
  <conditionalFormatting sqref="C8:C14">
    <cfRule type="cellIs" dxfId="1" priority="2" stopIfTrue="1" operator="equal">
      <formula>""</formula>
    </cfRule>
  </conditionalFormatting>
  <conditionalFormatting sqref="L8:L14">
    <cfRule type="cellIs" dxfId="1" priority="1" stopIfTrue="1" operator="equal">
      <formula>""</formula>
    </cfRule>
  </conditionalFormatting>
  <conditionalFormatting sqref="G25:G27 G17">
    <cfRule type="expression" dxfId="2" priority="185" stopIfTrue="1">
      <formula>COUNTIF(D17:F17,"BQL")=0</formula>
    </cfRule>
    <cfRule type="expression" dxfId="2" priority="186" stopIfTrue="1">
      <formula>COUNTIF(D17:F17,"BQL")=1</formula>
    </cfRule>
    <cfRule type="expression" dxfId="2" priority="187" stopIfTrue="1">
      <formula>COUNTIF(D17:F17,"BQL")&gt;1</formula>
    </cfRule>
  </conditionalFormatting>
  <pageMargins left="0.7" right="0.7" top="0.75" bottom="0.75" header="0.3" footer="0.3"/>
  <pageSetup paperSize="9" scale="55"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9"/>
  <sheetViews>
    <sheetView showGridLines="0" workbookViewId="0">
      <pane xSplit="2" topLeftCell="J1" activePane="topRight" state="frozen"/>
      <selection/>
      <selection pane="topRight" activeCell="W24" sqref="W24"/>
    </sheetView>
  </sheetViews>
  <sheetFormatPr defaultColWidth="9" defaultRowHeight="14"/>
  <cols>
    <col min="1" max="1" width="16.8727272727273" style="285" customWidth="1"/>
    <col min="2" max="2" width="15.6272727272727" style="285" customWidth="1"/>
    <col min="3" max="3" width="11.6272727272727" style="285" customWidth="1"/>
    <col min="4" max="6" width="9.37272727272727" style="285" customWidth="1"/>
    <col min="7" max="7" width="10.1272727272727" style="285" customWidth="1"/>
    <col min="8" max="8" width="11.3727272727273" style="285" customWidth="1"/>
    <col min="9" max="9" width="9.37272727272727" style="285" customWidth="1"/>
    <col min="10" max="10" width="20.8727272727273" style="285" customWidth="1"/>
    <col min="11" max="11" width="11.3727272727273" style="285" customWidth="1"/>
    <col min="12" max="13" width="9.37272727272727" style="285" customWidth="1"/>
    <col min="14" max="14" width="11.1272727272727" style="285" customWidth="1"/>
    <col min="15" max="17" width="9.37272727272727" style="285" customWidth="1"/>
    <col min="18" max="18" width="11.8727272727273" style="285" customWidth="1"/>
    <col min="19" max="19" width="19" style="285" customWidth="1"/>
    <col min="20" max="21" width="9.37272727272727" style="285" customWidth="1"/>
    <col min="22" max="22" width="13.6272727272727" style="285" customWidth="1"/>
    <col min="23" max="23" width="9.37272727272727" style="285" customWidth="1"/>
    <col min="24" max="24" width="14.3727272727273" style="285" customWidth="1"/>
    <col min="25" max="28" width="9.37272727272727" style="285" customWidth="1"/>
    <col min="29" max="29" width="9.62727272727273" style="285" customWidth="1"/>
    <col min="30" max="30" width="20" style="285" customWidth="1"/>
    <col min="31" max="31" width="14.3727272727273" style="285" customWidth="1"/>
    <col min="32" max="32" width="10.6272727272727" style="285" customWidth="1"/>
    <col min="33" max="42" width="9.37272727272727" style="285" customWidth="1"/>
    <col min="43" max="45" width="10.6272727272727" style="285" customWidth="1"/>
    <col min="46" max="46" width="9.12727272727273" style="285" customWidth="1"/>
    <col min="47" max="16384" width="9" style="285"/>
  </cols>
  <sheetData>
    <row r="1" ht="18" customHeight="1" spans="1:2">
      <c r="A1" s="286" t="str">
        <f>封面!B7</f>
        <v>HW356048</v>
      </c>
      <c r="B1" s="287" t="s">
        <v>102</v>
      </c>
    </row>
    <row r="2" s="284" customFormat="1" ht="58.5" customHeight="1" spans="1:46">
      <c r="A2" s="288" t="s">
        <v>38</v>
      </c>
      <c r="B2" s="289" t="s">
        <v>103</v>
      </c>
      <c r="C2" s="289" t="s">
        <v>104</v>
      </c>
      <c r="D2" s="289" t="s">
        <v>105</v>
      </c>
      <c r="E2" s="289" t="s">
        <v>106</v>
      </c>
      <c r="F2" s="289" t="s">
        <v>84</v>
      </c>
      <c r="G2" s="289" t="s">
        <v>107</v>
      </c>
      <c r="H2" s="289" t="s">
        <v>85</v>
      </c>
      <c r="I2" s="289" t="s">
        <v>108</v>
      </c>
      <c r="J2" s="289" t="s">
        <v>109</v>
      </c>
      <c r="K2" s="289" t="s">
        <v>110</v>
      </c>
      <c r="L2" s="289" t="s">
        <v>111</v>
      </c>
      <c r="M2" s="289" t="s">
        <v>112</v>
      </c>
      <c r="N2" s="289" t="s">
        <v>113</v>
      </c>
      <c r="O2" s="289" t="s">
        <v>114</v>
      </c>
      <c r="P2" s="289" t="s">
        <v>115</v>
      </c>
      <c r="Q2" s="289" t="s">
        <v>116</v>
      </c>
      <c r="R2" s="289" t="s">
        <v>117</v>
      </c>
      <c r="S2" s="289" t="s">
        <v>118</v>
      </c>
      <c r="T2" s="289" t="s">
        <v>119</v>
      </c>
      <c r="U2" s="289" t="s">
        <v>120</v>
      </c>
      <c r="V2" s="289" t="s">
        <v>121</v>
      </c>
      <c r="W2" s="289" t="s">
        <v>122</v>
      </c>
      <c r="X2" s="289" t="s">
        <v>123</v>
      </c>
      <c r="Y2" s="289" t="s">
        <v>124</v>
      </c>
      <c r="Z2" s="289" t="s">
        <v>125</v>
      </c>
      <c r="AA2" s="289" t="s">
        <v>126</v>
      </c>
      <c r="AB2" s="289" t="s">
        <v>127</v>
      </c>
      <c r="AC2" s="289" t="s">
        <v>128</v>
      </c>
      <c r="AD2" s="289" t="s">
        <v>129</v>
      </c>
      <c r="AE2" s="289" t="s">
        <v>130</v>
      </c>
      <c r="AF2" s="289" t="s">
        <v>131</v>
      </c>
      <c r="AG2" s="289" t="s">
        <v>132</v>
      </c>
      <c r="AH2" s="289" t="s">
        <v>133</v>
      </c>
      <c r="AI2" s="289" t="s">
        <v>134</v>
      </c>
      <c r="AJ2" s="289" t="s">
        <v>135</v>
      </c>
      <c r="AK2" s="289" t="s">
        <v>136</v>
      </c>
      <c r="AL2" s="289" t="s">
        <v>137</v>
      </c>
      <c r="AM2" s="289" t="s">
        <v>138</v>
      </c>
      <c r="AN2" s="289" t="s">
        <v>139</v>
      </c>
      <c r="AO2" s="289" t="s">
        <v>140</v>
      </c>
      <c r="AP2" s="289" t="s">
        <v>141</v>
      </c>
      <c r="AQ2" s="289" t="s">
        <v>142</v>
      </c>
      <c r="AR2" s="289" t="s">
        <v>143</v>
      </c>
      <c r="AS2" s="289" t="s">
        <v>144</v>
      </c>
      <c r="AT2" s="295" t="s">
        <v>145</v>
      </c>
    </row>
    <row r="3" spans="1:46">
      <c r="A3" s="290"/>
      <c r="B3" s="291">
        <v>1</v>
      </c>
      <c r="C3" s="291">
        <v>4</v>
      </c>
      <c r="D3" s="291">
        <v>1</v>
      </c>
      <c r="E3" s="291">
        <v>0.99715898</v>
      </c>
      <c r="F3" s="291">
        <v>0.99431795</v>
      </c>
      <c r="G3" s="291">
        <v>-0.99857848</v>
      </c>
      <c r="H3" s="291">
        <v>3</v>
      </c>
      <c r="I3" s="291">
        <v>1.9250894</v>
      </c>
      <c r="J3" s="291">
        <v>3.8461177</v>
      </c>
      <c r="K3" s="291">
        <v>0.25</v>
      </c>
      <c r="L3" s="291">
        <v>1</v>
      </c>
      <c r="M3" s="291">
        <v>0.36005973</v>
      </c>
      <c r="N3" s="291">
        <v>2.0829877</v>
      </c>
      <c r="O3" s="291">
        <v>0.0833</v>
      </c>
      <c r="P3" s="291">
        <v>126</v>
      </c>
      <c r="Q3" s="291">
        <v>126</v>
      </c>
      <c r="R3" s="291">
        <v>258.97621</v>
      </c>
      <c r="S3" s="291">
        <v>1</v>
      </c>
      <c r="T3" s="291">
        <v>6.93</v>
      </c>
      <c r="U3" s="291">
        <v>6.8279761</v>
      </c>
      <c r="V3" s="291">
        <v>40.890189</v>
      </c>
      <c r="W3" s="291">
        <v>40.890189</v>
      </c>
      <c r="X3" s="291">
        <v>40.890189</v>
      </c>
      <c r="Y3" s="291">
        <v>44.490022</v>
      </c>
      <c r="Z3" s="291">
        <v>44.490022</v>
      </c>
      <c r="AA3" s="291">
        <v>8.0913261</v>
      </c>
      <c r="AB3" s="291">
        <v>36.040124</v>
      </c>
      <c r="AC3" s="291">
        <v>11.675795</v>
      </c>
      <c r="AD3" s="291">
        <v>22.47695</v>
      </c>
      <c r="AE3" s="291">
        <v>44.437025</v>
      </c>
      <c r="AF3" s="291">
        <v>44.437025</v>
      </c>
      <c r="AG3" s="291">
        <v>7.981713</v>
      </c>
      <c r="AH3" s="291">
        <v>36.083107</v>
      </c>
      <c r="AI3" s="291">
        <v>11.68972</v>
      </c>
      <c r="AJ3" s="291">
        <v>22.503757</v>
      </c>
      <c r="AK3" s="291">
        <v>7.8029325</v>
      </c>
      <c r="AL3" s="291">
        <v>13.272721</v>
      </c>
      <c r="AM3" s="291">
        <v>41.210757</v>
      </c>
      <c r="AN3" s="291">
        <v>13.192195</v>
      </c>
      <c r="AO3" s="291">
        <v>40.851901</v>
      </c>
      <c r="AP3" s="291">
        <v>0.19082652</v>
      </c>
      <c r="AQ3" s="291">
        <v>0.2983303</v>
      </c>
      <c r="AR3" s="291">
        <v>0.29687394</v>
      </c>
      <c r="AS3" s="291">
        <v>6.7055551</v>
      </c>
      <c r="AT3" s="296">
        <v>6.680779</v>
      </c>
    </row>
    <row r="4" spans="1:46">
      <c r="A4" s="290"/>
      <c r="B4" s="291">
        <v>2</v>
      </c>
      <c r="C4" s="291">
        <v>4</v>
      </c>
      <c r="D4" s="291">
        <v>1</v>
      </c>
      <c r="E4" s="291">
        <v>0.74707689</v>
      </c>
      <c r="F4" s="291">
        <v>0.62061534</v>
      </c>
      <c r="G4" s="291">
        <v>-0.8643361</v>
      </c>
      <c r="H4" s="291">
        <v>4</v>
      </c>
      <c r="I4" s="291">
        <v>1.8654786</v>
      </c>
      <c r="J4" s="291">
        <v>4.3694232</v>
      </c>
      <c r="K4" s="291">
        <v>0.0833</v>
      </c>
      <c r="L4" s="291">
        <v>1</v>
      </c>
      <c r="M4" s="291">
        <v>0.37156534</v>
      </c>
      <c r="N4" s="291">
        <v>2.46713</v>
      </c>
      <c r="O4" s="291">
        <v>0.0833</v>
      </c>
      <c r="P4" s="291">
        <v>108</v>
      </c>
      <c r="Q4" s="291">
        <v>108</v>
      </c>
      <c r="R4" s="291">
        <v>182.25507</v>
      </c>
      <c r="S4" s="291">
        <v>1</v>
      </c>
      <c r="T4" s="291">
        <v>15.8</v>
      </c>
      <c r="U4" s="291">
        <v>12.230644</v>
      </c>
      <c r="V4" s="291">
        <v>40.324889</v>
      </c>
      <c r="W4" s="291">
        <v>40.324889</v>
      </c>
      <c r="X4" s="291">
        <v>40.324889</v>
      </c>
      <c r="Y4" s="291">
        <v>48.794565</v>
      </c>
      <c r="Z4" s="291">
        <v>48.794565</v>
      </c>
      <c r="AA4" s="291">
        <v>17.357828</v>
      </c>
      <c r="AB4" s="291">
        <v>24.775554</v>
      </c>
      <c r="AC4" s="291">
        <v>10.985967</v>
      </c>
      <c r="AD4" s="291">
        <v>20.494086</v>
      </c>
      <c r="AE4" s="291">
        <v>46.881192</v>
      </c>
      <c r="AF4" s="291">
        <v>46.881192</v>
      </c>
      <c r="AG4" s="291">
        <v>13.984934</v>
      </c>
      <c r="AH4" s="291">
        <v>25.786724</v>
      </c>
      <c r="AI4" s="291">
        <v>11.43434</v>
      </c>
      <c r="AJ4" s="291">
        <v>21.330515</v>
      </c>
      <c r="AK4" s="291">
        <v>10.742416</v>
      </c>
      <c r="AL4" s="291">
        <v>23.752309</v>
      </c>
      <c r="AM4" s="291">
        <v>54.773171</v>
      </c>
      <c r="AN4" s="291">
        <v>20.813263</v>
      </c>
      <c r="AO4" s="291">
        <v>48.386678</v>
      </c>
      <c r="AP4" s="291">
        <v>0.26639667</v>
      </c>
      <c r="AQ4" s="291">
        <v>0.48678186</v>
      </c>
      <c r="AR4" s="291">
        <v>0.44395762</v>
      </c>
      <c r="AS4" s="291">
        <v>9.9761491</v>
      </c>
      <c r="AT4" s="296">
        <v>9.4698448</v>
      </c>
    </row>
    <row r="5" ht="14.75" spans="1:46">
      <c r="A5" s="292"/>
      <c r="B5" s="293">
        <v>3</v>
      </c>
      <c r="C5" s="293">
        <v>4</v>
      </c>
      <c r="D5" s="293">
        <v>1</v>
      </c>
      <c r="E5" s="293">
        <v>0.98039196</v>
      </c>
      <c r="F5" s="293">
        <v>0.96078393</v>
      </c>
      <c r="G5" s="293">
        <v>-0.99014745</v>
      </c>
      <c r="H5" s="293">
        <v>3</v>
      </c>
      <c r="I5" s="293">
        <v>3.3571608</v>
      </c>
      <c r="J5" s="293">
        <v>4.9334377</v>
      </c>
      <c r="K5" s="293">
        <v>0.25</v>
      </c>
      <c r="L5" s="293">
        <v>1</v>
      </c>
      <c r="M5" s="293">
        <v>0.20646827</v>
      </c>
      <c r="N5" s="293">
        <v>3.6325194</v>
      </c>
      <c r="O5" s="293">
        <v>0.0833</v>
      </c>
      <c r="P5" s="293">
        <v>229</v>
      </c>
      <c r="Q5" s="293">
        <v>229</v>
      </c>
      <c r="R5" s="293">
        <v>417.64026</v>
      </c>
      <c r="S5" s="293">
        <v>1</v>
      </c>
      <c r="T5" s="293">
        <v>5.18</v>
      </c>
      <c r="U5" s="293">
        <v>4.8369142</v>
      </c>
      <c r="V5" s="293">
        <v>69.561697</v>
      </c>
      <c r="W5" s="293">
        <v>69.561697</v>
      </c>
      <c r="X5" s="293">
        <v>69.561697</v>
      </c>
      <c r="Y5" s="293">
        <v>71.104667</v>
      </c>
      <c r="Z5" s="293">
        <v>71.104667</v>
      </c>
      <c r="AA5" s="293">
        <v>2.1699989</v>
      </c>
      <c r="AB5" s="293">
        <v>37.877355</v>
      </c>
      <c r="AC5" s="293">
        <v>4.189187</v>
      </c>
      <c r="AD5" s="293">
        <v>14.063774</v>
      </c>
      <c r="AE5" s="293">
        <v>71.002472</v>
      </c>
      <c r="AF5" s="293">
        <v>71.002472</v>
      </c>
      <c r="AG5" s="293">
        <v>2.0291903</v>
      </c>
      <c r="AH5" s="293">
        <v>37.931872</v>
      </c>
      <c r="AI5" s="293">
        <v>4.1952166</v>
      </c>
      <c r="AJ5" s="293">
        <v>14.084017</v>
      </c>
      <c r="AK5" s="293">
        <v>11.219333</v>
      </c>
      <c r="AL5" s="293">
        <v>13.221909</v>
      </c>
      <c r="AM5" s="293">
        <v>15.145894</v>
      </c>
      <c r="AN5" s="293">
        <v>13.089273</v>
      </c>
      <c r="AO5" s="293">
        <v>14.28605</v>
      </c>
      <c r="AP5" s="293">
        <v>0.16128607</v>
      </c>
      <c r="AQ5" s="293">
        <v>0.18594994</v>
      </c>
      <c r="AR5" s="293">
        <v>0.18434953</v>
      </c>
      <c r="AS5" s="293">
        <v>2.615158</v>
      </c>
      <c r="AT5" s="297">
        <v>2.5963819</v>
      </c>
    </row>
    <row r="6" s="284" customFormat="1" ht="58.5" customHeight="1" spans="1:46">
      <c r="A6" s="290" t="s">
        <v>47</v>
      </c>
      <c r="B6" s="284" t="s">
        <v>103</v>
      </c>
      <c r="C6" s="284" t="s">
        <v>104</v>
      </c>
      <c r="D6" s="284" t="s">
        <v>105</v>
      </c>
      <c r="E6" s="284" t="s">
        <v>106</v>
      </c>
      <c r="F6" s="284" t="s">
        <v>84</v>
      </c>
      <c r="G6" s="284" t="s">
        <v>107</v>
      </c>
      <c r="H6" s="284" t="s">
        <v>85</v>
      </c>
      <c r="I6" s="284" t="s">
        <v>108</v>
      </c>
      <c r="J6" s="284" t="s">
        <v>109</v>
      </c>
      <c r="K6" s="284" t="s">
        <v>110</v>
      </c>
      <c r="L6" s="284" t="s">
        <v>111</v>
      </c>
      <c r="M6" s="284" t="s">
        <v>112</v>
      </c>
      <c r="N6" s="284" t="s">
        <v>113</v>
      </c>
      <c r="O6" s="284" t="s">
        <v>146</v>
      </c>
      <c r="P6" s="284" t="s">
        <v>114</v>
      </c>
      <c r="Q6" s="284" t="s">
        <v>115</v>
      </c>
      <c r="R6" s="284" t="s">
        <v>116</v>
      </c>
      <c r="S6" s="284" t="s">
        <v>118</v>
      </c>
      <c r="T6" s="284" t="s">
        <v>119</v>
      </c>
      <c r="U6" s="284" t="s">
        <v>120</v>
      </c>
      <c r="V6" s="284" t="s">
        <v>121</v>
      </c>
      <c r="W6" s="284" t="s">
        <v>122</v>
      </c>
      <c r="X6" s="284" t="s">
        <v>123</v>
      </c>
      <c r="Y6" s="284" t="s">
        <v>124</v>
      </c>
      <c r="Z6" s="284" t="s">
        <v>125</v>
      </c>
      <c r="AA6" s="284" t="s">
        <v>126</v>
      </c>
      <c r="AB6" s="284" t="s">
        <v>147</v>
      </c>
      <c r="AC6" s="284" t="s">
        <v>148</v>
      </c>
      <c r="AD6" s="284" t="s">
        <v>130</v>
      </c>
      <c r="AE6" s="284" t="s">
        <v>131</v>
      </c>
      <c r="AF6" s="284" t="s">
        <v>132</v>
      </c>
      <c r="AG6" s="284" t="s">
        <v>149</v>
      </c>
      <c r="AH6" s="284" t="s">
        <v>150</v>
      </c>
      <c r="AI6" s="284" t="s">
        <v>136</v>
      </c>
      <c r="AJ6" s="284" t="s">
        <v>137</v>
      </c>
      <c r="AK6" s="284" t="s">
        <v>138</v>
      </c>
      <c r="AL6" s="284" t="s">
        <v>139</v>
      </c>
      <c r="AM6" s="284" t="s">
        <v>140</v>
      </c>
      <c r="AN6" s="284" t="s">
        <v>141</v>
      </c>
      <c r="AO6" s="284" t="s">
        <v>142</v>
      </c>
      <c r="AP6" s="298" t="s">
        <v>143</v>
      </c>
      <c r="AQ6" s="299"/>
      <c r="AR6" s="299"/>
      <c r="AS6" s="299"/>
      <c r="AT6" s="300"/>
    </row>
    <row r="7" spans="1:46">
      <c r="A7" s="290"/>
      <c r="B7" s="285">
        <v>4</v>
      </c>
      <c r="C7" s="285">
        <v>7</v>
      </c>
      <c r="D7" s="285">
        <v>10</v>
      </c>
      <c r="E7" s="285">
        <v>0.99558541</v>
      </c>
      <c r="F7" s="291">
        <v>0.99117081</v>
      </c>
      <c r="G7" s="285">
        <v>-0.99779026</v>
      </c>
      <c r="H7" s="291">
        <v>3</v>
      </c>
      <c r="I7" s="285">
        <v>0.31939754</v>
      </c>
      <c r="J7" s="285">
        <v>2.7376947</v>
      </c>
      <c r="K7" s="285">
        <v>2</v>
      </c>
      <c r="L7" s="285">
        <v>6</v>
      </c>
      <c r="M7" s="291">
        <v>2.1701707</v>
      </c>
      <c r="N7" s="285">
        <v>1.843173</v>
      </c>
      <c r="O7" s="285">
        <v>0</v>
      </c>
      <c r="P7" s="291">
        <v>0.25</v>
      </c>
      <c r="Q7" s="291">
        <v>919</v>
      </c>
      <c r="R7" s="291">
        <v>91.9</v>
      </c>
      <c r="S7" s="291">
        <v>6</v>
      </c>
      <c r="T7" s="285">
        <v>2.33</v>
      </c>
      <c r="U7" s="285">
        <v>2.273475</v>
      </c>
      <c r="V7" s="291">
        <v>511.01865</v>
      </c>
      <c r="W7" s="285">
        <v>51.101865</v>
      </c>
      <c r="X7" s="285">
        <v>511.01865</v>
      </c>
      <c r="Y7" s="291">
        <v>518.31363</v>
      </c>
      <c r="Z7" s="285">
        <v>51.831363</v>
      </c>
      <c r="AA7" s="291">
        <v>1.4074459</v>
      </c>
      <c r="AB7" s="285">
        <v>60.405405</v>
      </c>
      <c r="AC7" s="291">
        <v>19.293338</v>
      </c>
      <c r="AD7" s="291">
        <v>518.13666</v>
      </c>
      <c r="AE7" s="291">
        <v>51.813666</v>
      </c>
      <c r="AF7" s="285">
        <v>1.3737708</v>
      </c>
      <c r="AG7" s="285">
        <v>60.426037</v>
      </c>
      <c r="AH7" s="285">
        <v>19.299928</v>
      </c>
      <c r="AI7" s="285">
        <v>251.70051</v>
      </c>
      <c r="AJ7" s="285">
        <v>318.31024</v>
      </c>
      <c r="AK7" s="285">
        <v>20.926041</v>
      </c>
      <c r="AL7" s="285">
        <v>316.69431</v>
      </c>
      <c r="AM7" s="285">
        <v>20.522566</v>
      </c>
      <c r="AN7" s="291">
        <v>0.49254663</v>
      </c>
      <c r="AO7" s="291">
        <v>0.6141267</v>
      </c>
      <c r="AP7" s="296">
        <v>0.61121773</v>
      </c>
      <c r="AQ7" s="291"/>
      <c r="AR7" s="291"/>
      <c r="AS7" s="291"/>
      <c r="AT7" s="301"/>
    </row>
    <row r="8" spans="1:46">
      <c r="A8" s="290"/>
      <c r="B8" s="285">
        <v>5</v>
      </c>
      <c r="C8" s="285">
        <v>5</v>
      </c>
      <c r="D8" s="285">
        <v>10</v>
      </c>
      <c r="E8" s="285">
        <v>0.97114275</v>
      </c>
      <c r="F8" s="291">
        <v>0.95671412</v>
      </c>
      <c r="G8" s="285">
        <v>-0.98546575</v>
      </c>
      <c r="H8" s="291">
        <v>4</v>
      </c>
      <c r="I8" s="285">
        <v>1.0949053</v>
      </c>
      <c r="J8" s="285">
        <v>5.3048815</v>
      </c>
      <c r="K8" s="285">
        <v>0.25</v>
      </c>
      <c r="L8" s="285">
        <v>4</v>
      </c>
      <c r="M8" s="291">
        <v>0.63306588</v>
      </c>
      <c r="N8" s="285">
        <v>5.9235541</v>
      </c>
      <c r="O8" s="285">
        <v>0</v>
      </c>
      <c r="P8" s="291">
        <v>0.0833</v>
      </c>
      <c r="Q8" s="291">
        <v>571</v>
      </c>
      <c r="R8" s="291">
        <v>57.1</v>
      </c>
      <c r="S8" s="291">
        <v>4</v>
      </c>
      <c r="T8" s="285">
        <v>2.74</v>
      </c>
      <c r="U8" s="285">
        <v>2.5225249</v>
      </c>
      <c r="V8" s="291">
        <v>240.65475</v>
      </c>
      <c r="W8" s="285">
        <v>24.065475</v>
      </c>
      <c r="X8" s="285">
        <v>240.65475</v>
      </c>
      <c r="Y8" s="291">
        <v>243.15725</v>
      </c>
      <c r="Z8" s="285">
        <v>24.315725</v>
      </c>
      <c r="AA8" s="291">
        <v>1.0291692</v>
      </c>
      <c r="AB8" s="285">
        <v>37.560921</v>
      </c>
      <c r="AC8" s="291">
        <v>41.12565</v>
      </c>
      <c r="AD8" s="291">
        <v>242.95862</v>
      </c>
      <c r="AE8" s="291">
        <v>24.295862</v>
      </c>
      <c r="AF8" s="285">
        <v>0.94825816</v>
      </c>
      <c r="AG8" s="285">
        <v>37.591627</v>
      </c>
      <c r="AH8" s="285">
        <v>41.159271</v>
      </c>
      <c r="AI8" s="285">
        <v>131.64673</v>
      </c>
      <c r="AJ8" s="285">
        <v>143.94231</v>
      </c>
      <c r="AK8" s="285">
        <v>8.542022</v>
      </c>
      <c r="AL8" s="285">
        <v>142.9664</v>
      </c>
      <c r="AM8" s="285">
        <v>7.9177185</v>
      </c>
      <c r="AN8" s="291">
        <v>0.54703564</v>
      </c>
      <c r="AO8" s="291">
        <v>0.5919721</v>
      </c>
      <c r="AP8" s="296">
        <v>0.5884393</v>
      </c>
      <c r="AQ8" s="291"/>
      <c r="AR8" s="291"/>
      <c r="AS8" s="291"/>
      <c r="AT8" s="301"/>
    </row>
    <row r="9" ht="14.75" spans="1:42">
      <c r="A9" s="292"/>
      <c r="B9" s="294">
        <v>6</v>
      </c>
      <c r="C9" s="294">
        <v>5</v>
      </c>
      <c r="D9" s="294">
        <v>10</v>
      </c>
      <c r="E9" s="294">
        <v>0.85076325</v>
      </c>
      <c r="F9" s="293">
        <v>0.77614488</v>
      </c>
      <c r="G9" s="294">
        <v>-0.92236828</v>
      </c>
      <c r="H9" s="293">
        <v>4</v>
      </c>
      <c r="I9" s="294">
        <v>0.93499231</v>
      </c>
      <c r="J9" s="294">
        <v>4.6882677</v>
      </c>
      <c r="K9" s="294">
        <v>0.25</v>
      </c>
      <c r="L9" s="294">
        <v>4</v>
      </c>
      <c r="M9" s="293">
        <v>0.74133998</v>
      </c>
      <c r="N9" s="294">
        <v>5.0584079</v>
      </c>
      <c r="O9" s="294">
        <v>0</v>
      </c>
      <c r="P9" s="293">
        <v>0.0833</v>
      </c>
      <c r="Q9" s="293">
        <v>541</v>
      </c>
      <c r="R9" s="293">
        <v>54.1</v>
      </c>
      <c r="S9" s="293">
        <v>4</v>
      </c>
      <c r="T9" s="294">
        <v>3.1</v>
      </c>
      <c r="U9" s="294">
        <v>2.5813137</v>
      </c>
      <c r="V9" s="293">
        <v>164.12355</v>
      </c>
      <c r="W9" s="294">
        <v>16.412355</v>
      </c>
      <c r="X9" s="294">
        <v>164.12355</v>
      </c>
      <c r="Y9" s="293">
        <v>167.43909</v>
      </c>
      <c r="Z9" s="294">
        <v>16.743909</v>
      </c>
      <c r="AA9" s="293">
        <v>1.9801442</v>
      </c>
      <c r="AB9" s="294">
        <v>63.875618</v>
      </c>
      <c r="AC9" s="294">
        <v>59.723212</v>
      </c>
      <c r="AD9" s="294">
        <v>166.88434</v>
      </c>
      <c r="AE9" s="294">
        <v>16.688434</v>
      </c>
      <c r="AF9" s="294">
        <v>1.6543111</v>
      </c>
      <c r="AG9" s="294">
        <v>64.087951</v>
      </c>
      <c r="AH9" s="294">
        <v>59.921741</v>
      </c>
      <c r="AI9" s="294">
        <v>75.929675</v>
      </c>
      <c r="AJ9" s="294">
        <v>92.737872</v>
      </c>
      <c r="AK9" s="294">
        <v>18.124416</v>
      </c>
      <c r="AL9" s="294">
        <v>89.925556</v>
      </c>
      <c r="AM9" s="294">
        <v>15.563852</v>
      </c>
      <c r="AN9" s="293">
        <v>0.46263729</v>
      </c>
      <c r="AO9" s="293">
        <v>0.55386036</v>
      </c>
      <c r="AP9" s="297">
        <v>0.53884959</v>
      </c>
    </row>
  </sheetData>
  <mergeCells count="2">
    <mergeCell ref="A2:A5"/>
    <mergeCell ref="A6:A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O228"/>
  <sheetViews>
    <sheetView showGridLines="0" zoomScale="80" zoomScaleNormal="80" topLeftCell="A157" workbookViewId="0">
      <selection activeCell="I198" sqref="I198"/>
    </sheetView>
  </sheetViews>
  <sheetFormatPr defaultColWidth="9" defaultRowHeight="14"/>
  <cols>
    <col min="1" max="1" width="46.6272727272727" style="228" customWidth="1"/>
    <col min="2" max="2" width="13.5" style="229" customWidth="1"/>
    <col min="3" max="3" width="40.1272727272727" style="229" customWidth="1"/>
    <col min="4" max="4" width="13.2545454545455" style="230" customWidth="1"/>
    <col min="5" max="5" width="14.3727272727273" style="231" customWidth="1"/>
    <col min="6" max="6" width="13.2545454545455" style="232" customWidth="1"/>
    <col min="7" max="7" width="10.8727272727273" style="229" customWidth="1"/>
    <col min="8" max="8" width="10.7545454545455" style="229" customWidth="1"/>
    <col min="9" max="9" width="10.6272727272727" style="229"/>
    <col min="10" max="10" width="11.7545454545455" style="229" customWidth="1"/>
    <col min="11" max="11" width="13.2545454545455" style="229" customWidth="1"/>
    <col min="12" max="13" width="9" style="229"/>
    <col min="14" max="14" width="10.5" style="229" customWidth="1"/>
    <col min="15" max="16384" width="9" style="229"/>
  </cols>
  <sheetData>
    <row r="1" s="117" customFormat="1" ht="14.25" customHeight="1" spans="1:7">
      <c r="A1" s="233"/>
      <c r="B1" s="233"/>
      <c r="C1" s="234"/>
      <c r="D1" s="234"/>
      <c r="E1" s="234"/>
      <c r="F1" s="235"/>
      <c r="G1" s="234"/>
    </row>
    <row r="2" s="117" customFormat="1" ht="14.25" customHeight="1" spans="1:15">
      <c r="A2" s="236" t="s">
        <v>151</v>
      </c>
      <c r="B2" s="237"/>
      <c r="C2" s="238"/>
      <c r="D2" s="238"/>
      <c r="E2" s="238"/>
      <c r="F2" s="239"/>
      <c r="G2" s="238"/>
      <c r="H2" s="240"/>
      <c r="I2" s="240"/>
      <c r="J2" s="240"/>
      <c r="K2" s="240"/>
      <c r="L2" s="240"/>
      <c r="M2" s="240"/>
      <c r="N2" s="240"/>
      <c r="O2" s="257"/>
    </row>
    <row r="3" s="117" customFormat="1" ht="14.25" customHeight="1" spans="1:15">
      <c r="A3" s="241" t="s">
        <v>152</v>
      </c>
      <c r="B3" s="233"/>
      <c r="C3" s="234"/>
      <c r="D3" s="234"/>
      <c r="E3" s="234"/>
      <c r="F3" s="235"/>
      <c r="G3" s="234"/>
      <c r="O3" s="258"/>
    </row>
    <row r="4" s="117" customFormat="1" ht="14.25" customHeight="1" spans="1:15">
      <c r="A4" s="242" t="s">
        <v>153</v>
      </c>
      <c r="B4" s="243"/>
      <c r="C4" s="219"/>
      <c r="D4" s="244"/>
      <c r="E4" s="219"/>
      <c r="F4" s="245"/>
      <c r="G4" s="219"/>
      <c r="O4" s="258"/>
    </row>
    <row r="5" s="117" customFormat="1" ht="14.25" customHeight="1" spans="1:15">
      <c r="A5" s="241"/>
      <c r="B5" s="233"/>
      <c r="C5" s="234"/>
      <c r="D5" s="234"/>
      <c r="E5" s="234"/>
      <c r="F5" s="235"/>
      <c r="G5" s="234"/>
      <c r="O5" s="258"/>
    </row>
    <row r="6" s="117" customFormat="1" ht="14.25" customHeight="1" spans="1:15">
      <c r="A6" s="241" t="s">
        <v>154</v>
      </c>
      <c r="B6" s="233"/>
      <c r="C6" s="234"/>
      <c r="D6" s="234"/>
      <c r="E6" s="234"/>
      <c r="F6" s="235"/>
      <c r="G6" s="234"/>
      <c r="O6" s="258"/>
    </row>
    <row r="7" s="117" customFormat="1" ht="14.25" customHeight="1" spans="1:15">
      <c r="A7" s="241" t="s">
        <v>155</v>
      </c>
      <c r="B7" s="233"/>
      <c r="C7" s="234"/>
      <c r="D7" s="234"/>
      <c r="E7" s="234"/>
      <c r="F7" s="235"/>
      <c r="G7" s="234"/>
      <c r="O7" s="258"/>
    </row>
    <row r="8" s="117" customFormat="1" ht="14.25" customHeight="1" spans="1:15">
      <c r="A8" s="242" t="s">
        <v>156</v>
      </c>
      <c r="B8" s="243"/>
      <c r="C8" s="219"/>
      <c r="D8" s="244"/>
      <c r="E8" s="219"/>
      <c r="F8" s="245"/>
      <c r="G8" s="219"/>
      <c r="O8" s="258"/>
    </row>
    <row r="9" s="117" customFormat="1" ht="14.25" customHeight="1" spans="1:15">
      <c r="A9" s="241"/>
      <c r="B9" s="233"/>
      <c r="C9" s="234"/>
      <c r="D9" s="234"/>
      <c r="E9" s="234"/>
      <c r="F9" s="235"/>
      <c r="G9" s="234"/>
      <c r="O9" s="258"/>
    </row>
    <row r="10" s="117" customFormat="1" ht="14.25" customHeight="1" spans="1:15">
      <c r="A10" s="241" t="s">
        <v>157</v>
      </c>
      <c r="B10" s="246" t="s">
        <v>158</v>
      </c>
      <c r="C10" s="234" t="s">
        <v>159</v>
      </c>
      <c r="D10" s="234" t="s">
        <v>160</v>
      </c>
      <c r="E10" s="234" t="s">
        <v>161</v>
      </c>
      <c r="F10" s="235" t="s">
        <v>162</v>
      </c>
      <c r="G10" s="234"/>
      <c r="O10" s="258"/>
    </row>
    <row r="11" s="117" customFormat="1" ht="14.25" customHeight="1" spans="1:15">
      <c r="A11" s="241" t="s">
        <v>163</v>
      </c>
      <c r="B11" s="247">
        <v>2.94e-5</v>
      </c>
      <c r="C11" s="234"/>
      <c r="D11" s="234"/>
      <c r="E11" s="234"/>
      <c r="F11" s="235"/>
      <c r="G11" s="234"/>
      <c r="O11" s="258"/>
    </row>
    <row r="12" s="117" customFormat="1" ht="14.25" customHeight="1" spans="1:15">
      <c r="A12" s="241" t="s">
        <v>164</v>
      </c>
      <c r="B12" s="248">
        <v>2.32e-5</v>
      </c>
      <c r="C12" s="234"/>
      <c r="D12" s="234"/>
      <c r="E12" s="234"/>
      <c r="F12" s="235"/>
      <c r="G12" s="234"/>
      <c r="O12" s="258"/>
    </row>
    <row r="13" s="117" customFormat="1" ht="14.25" customHeight="1" spans="1:15">
      <c r="A13" s="241" t="s">
        <v>165</v>
      </c>
      <c r="B13" s="233">
        <v>0.9946</v>
      </c>
      <c r="C13" s="234"/>
      <c r="D13" s="234"/>
      <c r="E13" s="234"/>
      <c r="F13" s="235"/>
      <c r="G13" s="234"/>
      <c r="O13" s="258"/>
    </row>
    <row r="14" s="117" customFormat="1" ht="14.25" customHeight="1" spans="1:15">
      <c r="A14" s="242" t="s">
        <v>166</v>
      </c>
      <c r="B14" s="243"/>
      <c r="C14" s="219"/>
      <c r="D14" s="244"/>
      <c r="E14" s="219"/>
      <c r="F14" s="245"/>
      <c r="G14" s="219"/>
      <c r="O14" s="258"/>
    </row>
    <row r="15" s="117" customFormat="1" ht="14.25" customHeight="1" spans="1:15">
      <c r="A15" s="242"/>
      <c r="B15" s="243"/>
      <c r="C15" s="219"/>
      <c r="D15" s="244"/>
      <c r="E15" s="219"/>
      <c r="F15" s="245"/>
      <c r="G15" s="219"/>
      <c r="O15" s="258"/>
    </row>
    <row r="16" s="227" customFormat="1" ht="54" customHeight="1" spans="1:15">
      <c r="A16" s="249"/>
      <c r="B16" s="250"/>
      <c r="C16" s="250"/>
      <c r="D16" s="251"/>
      <c r="E16" s="251"/>
      <c r="F16" s="252"/>
      <c r="G16" s="251"/>
      <c r="H16" s="253"/>
      <c r="I16" s="253"/>
      <c r="J16" s="253"/>
      <c r="K16" s="253"/>
      <c r="L16" s="253"/>
      <c r="M16" s="253"/>
      <c r="N16" s="253"/>
      <c r="O16" s="259"/>
    </row>
    <row r="17" s="117" customFormat="1" ht="15" customHeight="1" spans="1:15">
      <c r="A17" s="241"/>
      <c r="B17" s="233"/>
      <c r="C17" s="233"/>
      <c r="D17" s="233"/>
      <c r="E17" s="233"/>
      <c r="F17" s="254"/>
      <c r="G17" s="233"/>
      <c r="O17" s="258"/>
    </row>
    <row r="18" s="117" customFormat="1" ht="15" customHeight="1" spans="1:15">
      <c r="A18" s="241" t="s">
        <v>167</v>
      </c>
      <c r="B18" s="233" t="s">
        <v>168</v>
      </c>
      <c r="C18" s="233" t="s">
        <v>169</v>
      </c>
      <c r="D18" s="233" t="s">
        <v>170</v>
      </c>
      <c r="E18" s="233" t="s">
        <v>171</v>
      </c>
      <c r="F18" s="254" t="s">
        <v>172</v>
      </c>
      <c r="G18" s="233" t="s">
        <v>173</v>
      </c>
      <c r="H18" s="117" t="s">
        <v>174</v>
      </c>
      <c r="I18" s="117" t="s">
        <v>175</v>
      </c>
      <c r="J18" s="117" t="s">
        <v>176</v>
      </c>
      <c r="K18" s="117" t="s">
        <v>177</v>
      </c>
      <c r="L18" s="117" t="s">
        <v>178</v>
      </c>
      <c r="M18" s="117" t="s">
        <v>179</v>
      </c>
      <c r="N18" s="117" t="s">
        <v>180</v>
      </c>
      <c r="O18" s="258" t="s">
        <v>181</v>
      </c>
    </row>
    <row r="19" s="117" customFormat="1" ht="15" customHeight="1" spans="1:15">
      <c r="A19" s="241" t="s">
        <v>182</v>
      </c>
      <c r="B19" s="233" t="s">
        <v>183</v>
      </c>
      <c r="C19" s="233" t="s">
        <v>184</v>
      </c>
      <c r="D19" s="233" t="s">
        <v>4</v>
      </c>
      <c r="E19" s="233" t="s">
        <v>185</v>
      </c>
      <c r="F19" s="254" t="e">
        <v>#DIV/0!</v>
      </c>
      <c r="G19" s="233">
        <v>0</v>
      </c>
      <c r="H19" s="117">
        <v>0</v>
      </c>
      <c r="I19" s="117" t="e">
        <v>#DIV/0!</v>
      </c>
      <c r="J19" s="117">
        <v>0</v>
      </c>
      <c r="K19" s="117">
        <v>0</v>
      </c>
      <c r="M19" s="117">
        <v>0</v>
      </c>
      <c r="N19" s="117" t="s">
        <v>185</v>
      </c>
      <c r="O19" s="258">
        <v>1</v>
      </c>
    </row>
    <row r="20" s="117" customFormat="1" ht="15" customHeight="1" spans="1:15">
      <c r="A20" s="241" t="s">
        <v>182</v>
      </c>
      <c r="B20" s="233" t="s">
        <v>183</v>
      </c>
      <c r="C20" s="233" t="s">
        <v>184</v>
      </c>
      <c r="D20" s="233" t="s">
        <v>4</v>
      </c>
      <c r="E20" s="233" t="s">
        <v>185</v>
      </c>
      <c r="F20" s="254" t="e">
        <v>#DIV/0!</v>
      </c>
      <c r="G20" s="233">
        <v>0</v>
      </c>
      <c r="H20" s="117">
        <v>0</v>
      </c>
      <c r="I20" s="117" t="e">
        <v>#DIV/0!</v>
      </c>
      <c r="J20" s="117">
        <v>0</v>
      </c>
      <c r="K20" s="117">
        <v>0</v>
      </c>
      <c r="M20" s="117">
        <v>0</v>
      </c>
      <c r="N20" s="117" t="s">
        <v>185</v>
      </c>
      <c r="O20" s="258">
        <v>1</v>
      </c>
    </row>
    <row r="21" s="117" customFormat="1" ht="15" customHeight="1" spans="1:15">
      <c r="A21" s="241" t="s">
        <v>182</v>
      </c>
      <c r="B21" s="233" t="s">
        <v>183</v>
      </c>
      <c r="C21" s="233" t="s">
        <v>184</v>
      </c>
      <c r="D21" s="233" t="s">
        <v>4</v>
      </c>
      <c r="E21" s="233" t="s">
        <v>185</v>
      </c>
      <c r="F21" s="254" t="e">
        <v>#DIV/0!</v>
      </c>
      <c r="G21" s="233">
        <v>0</v>
      </c>
      <c r="H21" s="117">
        <v>0</v>
      </c>
      <c r="I21" s="117" t="e">
        <v>#DIV/0!</v>
      </c>
      <c r="J21" s="117">
        <v>0</v>
      </c>
      <c r="K21" s="117">
        <v>0</v>
      </c>
      <c r="M21" s="117">
        <v>0</v>
      </c>
      <c r="N21" s="117" t="s">
        <v>185</v>
      </c>
      <c r="O21" s="258">
        <v>1</v>
      </c>
    </row>
    <row r="22" s="117" customFormat="1" ht="15" customHeight="1" spans="1:15">
      <c r="A22" s="241" t="s">
        <v>186</v>
      </c>
      <c r="B22" s="233" t="s">
        <v>183</v>
      </c>
      <c r="C22" s="233" t="s">
        <v>184</v>
      </c>
      <c r="D22" s="233" t="s">
        <v>4</v>
      </c>
      <c r="E22" s="233" t="s">
        <v>185</v>
      </c>
      <c r="F22" s="254" t="s">
        <v>187</v>
      </c>
      <c r="G22" s="233">
        <v>0</v>
      </c>
      <c r="H22" s="117">
        <v>0</v>
      </c>
      <c r="I22" s="117">
        <v>0</v>
      </c>
      <c r="J22" s="117">
        <v>13800000</v>
      </c>
      <c r="K22" s="117">
        <v>1.16</v>
      </c>
      <c r="M22" s="117">
        <v>0</v>
      </c>
      <c r="N22" s="117" t="s">
        <v>185</v>
      </c>
      <c r="O22" s="258">
        <v>1</v>
      </c>
    </row>
    <row r="23" s="117" customFormat="1" ht="15" customHeight="1" spans="1:15">
      <c r="A23" s="241" t="s">
        <v>188</v>
      </c>
      <c r="B23" s="233" t="s">
        <v>189</v>
      </c>
      <c r="C23" s="233" t="s">
        <v>184</v>
      </c>
      <c r="D23" s="233" t="s">
        <v>4</v>
      </c>
      <c r="E23" s="233">
        <v>1</v>
      </c>
      <c r="F23" s="254" t="s">
        <v>190</v>
      </c>
      <c r="G23" s="233">
        <v>251</v>
      </c>
      <c r="H23" s="117">
        <v>1.39</v>
      </c>
      <c r="I23" s="117">
        <v>1.82e-5</v>
      </c>
      <c r="J23" s="117">
        <v>13800000</v>
      </c>
      <c r="K23" s="117">
        <v>1.17</v>
      </c>
      <c r="L23" s="117">
        <v>0</v>
      </c>
      <c r="M23" s="117">
        <v>0</v>
      </c>
      <c r="N23" s="117" t="s">
        <v>185</v>
      </c>
      <c r="O23" s="258">
        <v>1</v>
      </c>
    </row>
    <row r="24" s="117" customFormat="1" ht="15" customHeight="1" spans="1:15">
      <c r="A24" s="241" t="s">
        <v>191</v>
      </c>
      <c r="B24" s="233" t="s">
        <v>189</v>
      </c>
      <c r="C24" s="233" t="s">
        <v>184</v>
      </c>
      <c r="D24" s="233" t="s">
        <v>4</v>
      </c>
      <c r="E24" s="233">
        <v>2</v>
      </c>
      <c r="F24" s="254">
        <v>1.97</v>
      </c>
      <c r="G24" s="233">
        <v>1060</v>
      </c>
      <c r="H24" s="117">
        <v>1.39</v>
      </c>
      <c r="I24" s="117">
        <v>7.51e-5</v>
      </c>
      <c r="J24" s="117">
        <v>14100000</v>
      </c>
      <c r="K24" s="117">
        <v>1.16</v>
      </c>
      <c r="L24" s="117">
        <v>1</v>
      </c>
      <c r="M24" s="117">
        <v>0</v>
      </c>
      <c r="N24" s="260">
        <v>98.41</v>
      </c>
      <c r="O24" s="258">
        <v>1</v>
      </c>
    </row>
    <row r="25" s="117" customFormat="1" ht="15" customHeight="1" spans="1:15">
      <c r="A25" s="241" t="s">
        <v>192</v>
      </c>
      <c r="B25" s="233" t="s">
        <v>189</v>
      </c>
      <c r="C25" s="233" t="s">
        <v>184</v>
      </c>
      <c r="D25" s="233" t="s">
        <v>4</v>
      </c>
      <c r="E25" s="233">
        <v>10</v>
      </c>
      <c r="F25" s="254">
        <v>10.5</v>
      </c>
      <c r="G25" s="233">
        <v>3800</v>
      </c>
      <c r="H25" s="117">
        <v>1.38</v>
      </c>
      <c r="I25" s="117">
        <v>0.000273</v>
      </c>
      <c r="J25" s="117">
        <v>13900000</v>
      </c>
      <c r="K25" s="117">
        <v>1.16</v>
      </c>
      <c r="L25" s="117">
        <v>1</v>
      </c>
      <c r="M25" s="117">
        <v>0</v>
      </c>
      <c r="N25" s="117">
        <v>104.97</v>
      </c>
      <c r="O25" s="258">
        <v>1</v>
      </c>
    </row>
    <row r="26" s="117" customFormat="1" ht="15" customHeight="1" spans="1:15">
      <c r="A26" s="241" t="s">
        <v>193</v>
      </c>
      <c r="B26" s="233" t="s">
        <v>189</v>
      </c>
      <c r="C26" s="233" t="s">
        <v>184</v>
      </c>
      <c r="D26" s="233" t="s">
        <v>4</v>
      </c>
      <c r="E26" s="233">
        <v>50</v>
      </c>
      <c r="F26" s="254">
        <v>58.9</v>
      </c>
      <c r="G26" s="233">
        <v>19200</v>
      </c>
      <c r="H26" s="117">
        <v>1.39</v>
      </c>
      <c r="I26" s="117">
        <v>0.0014</v>
      </c>
      <c r="J26" s="117">
        <v>13800000</v>
      </c>
      <c r="K26" s="117">
        <v>1.16</v>
      </c>
      <c r="L26" s="117">
        <v>1</v>
      </c>
      <c r="M26" s="117">
        <v>0</v>
      </c>
      <c r="N26" s="117">
        <v>117.87</v>
      </c>
      <c r="O26" s="258">
        <v>1</v>
      </c>
    </row>
    <row r="27" s="117" customFormat="1" ht="15" customHeight="1" spans="1:15">
      <c r="A27" s="241" t="s">
        <v>194</v>
      </c>
      <c r="B27" s="233" t="s">
        <v>189</v>
      </c>
      <c r="C27" s="233" t="s">
        <v>184</v>
      </c>
      <c r="D27" s="233" t="s">
        <v>4</v>
      </c>
      <c r="E27" s="233">
        <v>200</v>
      </c>
      <c r="F27" s="254">
        <v>179</v>
      </c>
      <c r="G27" s="233">
        <v>57900</v>
      </c>
      <c r="H27" s="117">
        <v>1.39</v>
      </c>
      <c r="I27" s="117">
        <v>0.00419</v>
      </c>
      <c r="J27" s="117">
        <v>13800000</v>
      </c>
      <c r="K27" s="117">
        <v>1.16</v>
      </c>
      <c r="L27" s="117">
        <v>1</v>
      </c>
      <c r="M27" s="117">
        <v>0</v>
      </c>
      <c r="N27" s="117">
        <v>89.66</v>
      </c>
      <c r="O27" s="258">
        <v>1</v>
      </c>
    </row>
    <row r="28" s="117" customFormat="1" ht="15" customHeight="1" spans="1:15">
      <c r="A28" s="241" t="s">
        <v>195</v>
      </c>
      <c r="B28" s="233" t="s">
        <v>189</v>
      </c>
      <c r="C28" s="233" t="s">
        <v>184</v>
      </c>
      <c r="D28" s="233" t="s">
        <v>4</v>
      </c>
      <c r="E28" s="233">
        <v>1000</v>
      </c>
      <c r="F28" s="254">
        <v>961</v>
      </c>
      <c r="G28" s="233">
        <v>308000</v>
      </c>
      <c r="H28" s="117">
        <v>1.39</v>
      </c>
      <c r="I28" s="117">
        <v>0.0223</v>
      </c>
      <c r="J28" s="117">
        <v>13800000</v>
      </c>
      <c r="K28" s="117">
        <v>1.16</v>
      </c>
      <c r="L28" s="117">
        <v>1</v>
      </c>
      <c r="M28" s="117">
        <v>0</v>
      </c>
      <c r="N28" s="117">
        <v>96.14</v>
      </c>
      <c r="O28" s="258">
        <v>1</v>
      </c>
    </row>
    <row r="29" s="117" customFormat="1" ht="15" customHeight="1" spans="1:15">
      <c r="A29" s="241" t="s">
        <v>196</v>
      </c>
      <c r="B29" s="233" t="s">
        <v>189</v>
      </c>
      <c r="C29" s="233" t="s">
        <v>184</v>
      </c>
      <c r="D29" s="233" t="s">
        <v>4</v>
      </c>
      <c r="E29" s="233">
        <v>1800</v>
      </c>
      <c r="F29" s="254">
        <v>1870</v>
      </c>
      <c r="G29" s="233">
        <v>579000</v>
      </c>
      <c r="H29" s="117">
        <v>1.39</v>
      </c>
      <c r="I29" s="117">
        <v>0.0433</v>
      </c>
      <c r="J29" s="117">
        <v>13400000</v>
      </c>
      <c r="K29" s="117">
        <v>1.16</v>
      </c>
      <c r="L29" s="117">
        <v>1</v>
      </c>
      <c r="M29" s="117">
        <v>0</v>
      </c>
      <c r="N29" s="117">
        <v>103.64</v>
      </c>
      <c r="O29" s="258">
        <v>1</v>
      </c>
    </row>
    <row r="30" s="117" customFormat="1" ht="15" customHeight="1" spans="1:15">
      <c r="A30" s="241" t="s">
        <v>197</v>
      </c>
      <c r="B30" s="233" t="s">
        <v>189</v>
      </c>
      <c r="C30" s="233" t="s">
        <v>184</v>
      </c>
      <c r="D30" s="233" t="s">
        <v>4</v>
      </c>
      <c r="E30" s="233">
        <v>2000</v>
      </c>
      <c r="F30" s="254">
        <v>1790</v>
      </c>
      <c r="G30" s="233">
        <v>584000</v>
      </c>
      <c r="H30" s="117">
        <v>1.38</v>
      </c>
      <c r="I30" s="117">
        <v>0.0414</v>
      </c>
      <c r="J30" s="117">
        <v>14100000</v>
      </c>
      <c r="K30" s="117">
        <v>1.16</v>
      </c>
      <c r="L30" s="117">
        <v>1</v>
      </c>
      <c r="M30" s="117">
        <v>0</v>
      </c>
      <c r="N30" s="117">
        <v>89.31</v>
      </c>
      <c r="O30" s="258">
        <v>1</v>
      </c>
    </row>
    <row r="31" s="117" customFormat="1" ht="15" customHeight="1" spans="1:15">
      <c r="A31" s="241" t="s">
        <v>182</v>
      </c>
      <c r="B31" s="233" t="s">
        <v>183</v>
      </c>
      <c r="C31" s="233" t="s">
        <v>184</v>
      </c>
      <c r="D31" s="233" t="s">
        <v>4</v>
      </c>
      <c r="E31" s="233" t="s">
        <v>185</v>
      </c>
      <c r="F31" s="254" t="e">
        <v>#DIV/0!</v>
      </c>
      <c r="G31" s="233">
        <v>0</v>
      </c>
      <c r="H31" s="117">
        <v>0</v>
      </c>
      <c r="I31" s="117" t="e">
        <v>#DIV/0!</v>
      </c>
      <c r="J31" s="117">
        <v>0</v>
      </c>
      <c r="K31" s="117">
        <v>0</v>
      </c>
      <c r="M31" s="117">
        <v>0</v>
      </c>
      <c r="N31" s="117" t="s">
        <v>185</v>
      </c>
      <c r="O31" s="258">
        <v>1</v>
      </c>
    </row>
    <row r="32" s="117" customFormat="1" ht="15" customHeight="1" spans="1:15">
      <c r="A32" s="241" t="s">
        <v>182</v>
      </c>
      <c r="B32" s="233" t="s">
        <v>183</v>
      </c>
      <c r="C32" s="233" t="s">
        <v>184</v>
      </c>
      <c r="D32" s="233" t="s">
        <v>4</v>
      </c>
      <c r="E32" s="233" t="s">
        <v>185</v>
      </c>
      <c r="F32" s="254" t="e">
        <v>#DIV/0!</v>
      </c>
      <c r="G32" s="233">
        <v>0</v>
      </c>
      <c r="H32" s="117">
        <v>0</v>
      </c>
      <c r="I32" s="117" t="e">
        <v>#DIV/0!</v>
      </c>
      <c r="J32" s="117">
        <v>0</v>
      </c>
      <c r="K32" s="117">
        <v>0</v>
      </c>
      <c r="M32" s="117">
        <v>0</v>
      </c>
      <c r="N32" s="117" t="s">
        <v>185</v>
      </c>
      <c r="O32" s="258">
        <v>1</v>
      </c>
    </row>
    <row r="33" s="117" customFormat="1" ht="15" customHeight="1" spans="1:15">
      <c r="A33" s="241" t="s">
        <v>198</v>
      </c>
      <c r="B33" s="233" t="s">
        <v>199</v>
      </c>
      <c r="C33" s="233" t="s">
        <v>184</v>
      </c>
      <c r="D33" s="233" t="s">
        <v>4</v>
      </c>
      <c r="E33" s="233">
        <v>3</v>
      </c>
      <c r="F33" s="254">
        <v>3.47</v>
      </c>
      <c r="G33" s="233">
        <v>1500</v>
      </c>
      <c r="H33" s="117">
        <v>1.39</v>
      </c>
      <c r="I33" s="117">
        <v>0.00011</v>
      </c>
      <c r="J33" s="117">
        <v>13700000</v>
      </c>
      <c r="K33" s="117">
        <v>1.16</v>
      </c>
      <c r="L33" s="117">
        <v>1</v>
      </c>
      <c r="M33" s="117">
        <v>0</v>
      </c>
      <c r="N33" s="117">
        <v>115.61</v>
      </c>
      <c r="O33" s="258">
        <v>1</v>
      </c>
    </row>
    <row r="34" s="117" customFormat="1" ht="15" customHeight="1" spans="1:15">
      <c r="A34" s="241" t="s">
        <v>200</v>
      </c>
      <c r="B34" s="233" t="s">
        <v>199</v>
      </c>
      <c r="C34" s="233" t="s">
        <v>184</v>
      </c>
      <c r="D34" s="233" t="s">
        <v>4</v>
      </c>
      <c r="E34" s="233">
        <v>100</v>
      </c>
      <c r="F34" s="254">
        <v>106</v>
      </c>
      <c r="G34" s="233">
        <v>35400</v>
      </c>
      <c r="H34" s="117">
        <v>1.39</v>
      </c>
      <c r="I34" s="117">
        <v>0.00249</v>
      </c>
      <c r="J34" s="117">
        <v>14200000</v>
      </c>
      <c r="K34" s="117">
        <v>1.17</v>
      </c>
      <c r="L34" s="117">
        <v>1</v>
      </c>
      <c r="M34" s="117">
        <v>0</v>
      </c>
      <c r="N34" s="117">
        <v>106.13</v>
      </c>
      <c r="O34" s="258">
        <v>1</v>
      </c>
    </row>
    <row r="35" s="117" customFormat="1" ht="15" customHeight="1" spans="1:15">
      <c r="A35" s="241" t="s">
        <v>201</v>
      </c>
      <c r="B35" s="233" t="s">
        <v>199</v>
      </c>
      <c r="C35" s="233" t="s">
        <v>184</v>
      </c>
      <c r="D35" s="233" t="s">
        <v>4</v>
      </c>
      <c r="E35" s="233">
        <v>1600</v>
      </c>
      <c r="F35" s="254">
        <v>1590</v>
      </c>
      <c r="G35" s="233">
        <v>500000</v>
      </c>
      <c r="H35" s="117">
        <v>1.38</v>
      </c>
      <c r="I35" s="117">
        <v>0.0369</v>
      </c>
      <c r="J35" s="117">
        <v>13600000</v>
      </c>
      <c r="K35" s="117">
        <v>1.16</v>
      </c>
      <c r="L35" s="117">
        <v>1</v>
      </c>
      <c r="M35" s="117">
        <v>0</v>
      </c>
      <c r="N35" s="117">
        <v>99.32</v>
      </c>
      <c r="O35" s="258">
        <v>1</v>
      </c>
    </row>
    <row r="36" s="117" customFormat="1" ht="15" customHeight="1" spans="1:15">
      <c r="A36" s="241" t="s">
        <v>202</v>
      </c>
      <c r="B36" s="233" t="s">
        <v>199</v>
      </c>
      <c r="C36" s="233" t="s">
        <v>184</v>
      </c>
      <c r="D36" s="233" t="s">
        <v>4</v>
      </c>
      <c r="E36" s="233">
        <v>16000</v>
      </c>
      <c r="F36" s="254">
        <v>17700</v>
      </c>
      <c r="G36" s="233">
        <v>580000</v>
      </c>
      <c r="H36" s="117">
        <v>1.38</v>
      </c>
      <c r="I36" s="117">
        <v>0.0412</v>
      </c>
      <c r="J36" s="117">
        <v>14100000</v>
      </c>
      <c r="K36" s="117">
        <v>1.16</v>
      </c>
      <c r="L36" s="117">
        <v>1</v>
      </c>
      <c r="M36" s="117">
        <v>0</v>
      </c>
      <c r="N36" s="117">
        <v>110.94</v>
      </c>
      <c r="O36" s="258">
        <v>10</v>
      </c>
    </row>
    <row r="37" s="117" customFormat="1" ht="15" customHeight="1" spans="1:15">
      <c r="A37" s="241" t="s">
        <v>203</v>
      </c>
      <c r="B37" s="233" t="s">
        <v>199</v>
      </c>
      <c r="C37" s="233" t="s">
        <v>184</v>
      </c>
      <c r="D37" s="233" t="s">
        <v>4</v>
      </c>
      <c r="E37" s="233">
        <v>16000</v>
      </c>
      <c r="F37" s="254">
        <v>15700</v>
      </c>
      <c r="G37" s="233">
        <v>503000</v>
      </c>
      <c r="H37" s="117">
        <v>1.39</v>
      </c>
      <c r="I37" s="117">
        <v>0.0364</v>
      </c>
      <c r="J37" s="117">
        <v>13800000</v>
      </c>
      <c r="K37" s="117">
        <v>1.17</v>
      </c>
      <c r="L37" s="117">
        <v>1</v>
      </c>
      <c r="M37" s="117">
        <v>0</v>
      </c>
      <c r="N37" s="117">
        <v>98.01</v>
      </c>
      <c r="O37" s="258">
        <v>10</v>
      </c>
    </row>
    <row r="38" s="117" customFormat="1" ht="15" customHeight="1" spans="1:15">
      <c r="A38" s="241" t="s">
        <v>204</v>
      </c>
      <c r="B38" s="233" t="s">
        <v>199</v>
      </c>
      <c r="C38" s="233" t="s">
        <v>184</v>
      </c>
      <c r="D38" s="233" t="s">
        <v>4</v>
      </c>
      <c r="E38" s="233">
        <v>16000</v>
      </c>
      <c r="F38" s="254">
        <v>19100</v>
      </c>
      <c r="G38" s="233">
        <v>600000</v>
      </c>
      <c r="H38" s="117">
        <v>1.39</v>
      </c>
      <c r="I38" s="117">
        <v>0.0444</v>
      </c>
      <c r="J38" s="117">
        <v>13500000</v>
      </c>
      <c r="K38" s="117">
        <v>1.17</v>
      </c>
      <c r="L38" s="117">
        <v>1</v>
      </c>
      <c r="M38" s="117">
        <v>0</v>
      </c>
      <c r="N38" s="117">
        <v>119.53</v>
      </c>
      <c r="O38" s="258">
        <v>10</v>
      </c>
    </row>
    <row r="39" s="117" customFormat="1" ht="15" customHeight="1" spans="1:15">
      <c r="A39" s="241" t="s">
        <v>205</v>
      </c>
      <c r="B39" s="233" t="s">
        <v>199</v>
      </c>
      <c r="C39" s="233" t="s">
        <v>184</v>
      </c>
      <c r="D39" s="233" t="s">
        <v>4</v>
      </c>
      <c r="E39" s="233">
        <v>50</v>
      </c>
      <c r="F39" s="254">
        <v>59.6</v>
      </c>
      <c r="G39" s="233">
        <v>20000</v>
      </c>
      <c r="H39" s="117">
        <v>1.39</v>
      </c>
      <c r="I39" s="117">
        <v>0.00141</v>
      </c>
      <c r="J39" s="117">
        <v>14100000</v>
      </c>
      <c r="K39" s="117">
        <v>1.17</v>
      </c>
      <c r="L39" s="117">
        <v>1</v>
      </c>
      <c r="M39" s="117">
        <v>0</v>
      </c>
      <c r="N39" s="117">
        <v>119.15</v>
      </c>
      <c r="O39" s="258">
        <v>1</v>
      </c>
    </row>
    <row r="40" s="117" customFormat="1" ht="15" customHeight="1" spans="1:15">
      <c r="A40" s="241" t="s">
        <v>206</v>
      </c>
      <c r="B40" s="233" t="s">
        <v>199</v>
      </c>
      <c r="C40" s="233" t="s">
        <v>184</v>
      </c>
      <c r="D40" s="233" t="s">
        <v>4</v>
      </c>
      <c r="E40" s="233">
        <v>50</v>
      </c>
      <c r="F40" s="254">
        <v>54.5</v>
      </c>
      <c r="G40" s="233">
        <v>18000</v>
      </c>
      <c r="H40" s="117">
        <v>1.39</v>
      </c>
      <c r="I40" s="117">
        <v>0.00129</v>
      </c>
      <c r="J40" s="117">
        <v>13900000</v>
      </c>
      <c r="K40" s="117">
        <v>1.16</v>
      </c>
      <c r="L40" s="117">
        <v>1</v>
      </c>
      <c r="M40" s="117">
        <v>0</v>
      </c>
      <c r="N40" s="117">
        <v>108.92</v>
      </c>
      <c r="O40" s="258">
        <v>1</v>
      </c>
    </row>
    <row r="41" s="117" customFormat="1" ht="15" customHeight="1" spans="1:15">
      <c r="A41" s="241" t="s">
        <v>207</v>
      </c>
      <c r="B41" s="233" t="s">
        <v>199</v>
      </c>
      <c r="C41" s="233" t="s">
        <v>184</v>
      </c>
      <c r="D41" s="233" t="s">
        <v>4</v>
      </c>
      <c r="E41" s="233">
        <v>50</v>
      </c>
      <c r="F41" s="254">
        <v>55.3</v>
      </c>
      <c r="G41" s="233">
        <v>18500</v>
      </c>
      <c r="H41" s="117">
        <v>1.39</v>
      </c>
      <c r="I41" s="117">
        <v>0.00131</v>
      </c>
      <c r="J41" s="117">
        <v>14100000</v>
      </c>
      <c r="K41" s="117">
        <v>1.16</v>
      </c>
      <c r="L41" s="117">
        <v>1</v>
      </c>
      <c r="M41" s="117">
        <v>0</v>
      </c>
      <c r="N41" s="117">
        <v>110.61</v>
      </c>
      <c r="O41" s="258">
        <v>1</v>
      </c>
    </row>
    <row r="42" s="117" customFormat="1" ht="15" customHeight="1" spans="1:15">
      <c r="A42" s="241" t="s">
        <v>208</v>
      </c>
      <c r="B42" s="233" t="s">
        <v>199</v>
      </c>
      <c r="C42" s="233" t="s">
        <v>184</v>
      </c>
      <c r="D42" s="233" t="s">
        <v>4</v>
      </c>
      <c r="E42" s="233">
        <v>50</v>
      </c>
      <c r="F42" s="254">
        <v>57.7</v>
      </c>
      <c r="G42" s="233">
        <v>19200</v>
      </c>
      <c r="H42" s="117">
        <v>1.39</v>
      </c>
      <c r="I42" s="117">
        <v>0.00137</v>
      </c>
      <c r="J42" s="117">
        <v>14100000</v>
      </c>
      <c r="K42" s="117">
        <v>1.16</v>
      </c>
      <c r="L42" s="117">
        <v>1</v>
      </c>
      <c r="M42" s="117">
        <v>0</v>
      </c>
      <c r="N42" s="117">
        <v>115.36</v>
      </c>
      <c r="O42" s="258">
        <v>1</v>
      </c>
    </row>
    <row r="43" s="117" customFormat="1" ht="15" customHeight="1" spans="1:15">
      <c r="A43" s="241" t="s">
        <v>209</v>
      </c>
      <c r="B43" s="233" t="s">
        <v>199</v>
      </c>
      <c r="C43" s="233" t="s">
        <v>184</v>
      </c>
      <c r="D43" s="233" t="s">
        <v>4</v>
      </c>
      <c r="E43" s="233">
        <v>50</v>
      </c>
      <c r="F43" s="254">
        <v>45.3</v>
      </c>
      <c r="G43" s="233">
        <v>15000</v>
      </c>
      <c r="H43" s="117">
        <v>1.39</v>
      </c>
      <c r="I43" s="117">
        <v>0.00108</v>
      </c>
      <c r="J43" s="117">
        <v>13900000</v>
      </c>
      <c r="K43" s="117">
        <v>1.16</v>
      </c>
      <c r="L43" s="117">
        <v>1</v>
      </c>
      <c r="M43" s="117">
        <v>0</v>
      </c>
      <c r="N43" s="117">
        <v>90.62</v>
      </c>
      <c r="O43" s="258">
        <v>1</v>
      </c>
    </row>
    <row r="44" s="117" customFormat="1" ht="15" customHeight="1" spans="1:15">
      <c r="A44" s="241" t="s">
        <v>210</v>
      </c>
      <c r="B44" s="233" t="s">
        <v>199</v>
      </c>
      <c r="C44" s="233" t="s">
        <v>184</v>
      </c>
      <c r="D44" s="233" t="s">
        <v>4</v>
      </c>
      <c r="E44" s="233">
        <v>50</v>
      </c>
      <c r="F44" s="254">
        <v>49.9</v>
      </c>
      <c r="G44" s="233">
        <v>16500</v>
      </c>
      <c r="H44" s="117">
        <v>1.39</v>
      </c>
      <c r="I44" s="117">
        <v>0.00119</v>
      </c>
      <c r="J44" s="117">
        <v>13900000</v>
      </c>
      <c r="K44" s="117">
        <v>1.16</v>
      </c>
      <c r="L44" s="117">
        <v>1</v>
      </c>
      <c r="M44" s="117">
        <v>0</v>
      </c>
      <c r="N44" s="117">
        <v>99.84</v>
      </c>
      <c r="O44" s="258">
        <v>1</v>
      </c>
    </row>
    <row r="45" s="117" customFormat="1" ht="15" customHeight="1" spans="1:15">
      <c r="A45" s="241" t="s">
        <v>182</v>
      </c>
      <c r="B45" s="233" t="s">
        <v>183</v>
      </c>
      <c r="C45" s="233" t="s">
        <v>184</v>
      </c>
      <c r="D45" s="233" t="s">
        <v>4</v>
      </c>
      <c r="E45" s="233" t="s">
        <v>185</v>
      </c>
      <c r="F45" s="254" t="e">
        <v>#DIV/0!</v>
      </c>
      <c r="G45" s="233">
        <v>0</v>
      </c>
      <c r="H45" s="117">
        <v>0</v>
      </c>
      <c r="I45" s="117" t="e">
        <v>#DIV/0!</v>
      </c>
      <c r="J45" s="117">
        <v>0</v>
      </c>
      <c r="K45" s="117">
        <v>0</v>
      </c>
      <c r="M45" s="117">
        <v>0</v>
      </c>
      <c r="N45" s="117" t="s">
        <v>185</v>
      </c>
      <c r="O45" s="258">
        <v>1</v>
      </c>
    </row>
    <row r="46" s="117" customFormat="1" ht="15" customHeight="1" spans="1:15">
      <c r="A46" s="241" t="s">
        <v>182</v>
      </c>
      <c r="B46" s="233" t="s">
        <v>183</v>
      </c>
      <c r="C46" s="233" t="s">
        <v>184</v>
      </c>
      <c r="D46" s="233" t="s">
        <v>4</v>
      </c>
      <c r="E46" s="233" t="s">
        <v>185</v>
      </c>
      <c r="F46" s="254" t="e">
        <v>#DIV/0!</v>
      </c>
      <c r="G46" s="233">
        <v>0</v>
      </c>
      <c r="H46" s="117">
        <v>0</v>
      </c>
      <c r="I46" s="117" t="e">
        <v>#DIV/0!</v>
      </c>
      <c r="J46" s="117">
        <v>0</v>
      </c>
      <c r="K46" s="117">
        <v>0</v>
      </c>
      <c r="M46" s="117">
        <v>0</v>
      </c>
      <c r="N46" s="117" t="s">
        <v>185</v>
      </c>
      <c r="O46" s="258">
        <v>1</v>
      </c>
    </row>
    <row r="47" s="117" customFormat="1" ht="15" customHeight="1" spans="1:15">
      <c r="A47" s="241" t="s">
        <v>211</v>
      </c>
      <c r="B47" s="233" t="s">
        <v>183</v>
      </c>
      <c r="C47" s="233" t="s">
        <v>184</v>
      </c>
      <c r="D47" s="233" t="s">
        <v>4</v>
      </c>
      <c r="E47" s="233" t="s">
        <v>185</v>
      </c>
      <c r="F47" s="254" t="s">
        <v>190</v>
      </c>
      <c r="G47" s="233">
        <v>167</v>
      </c>
      <c r="H47" s="117">
        <v>1.35</v>
      </c>
      <c r="I47" s="117">
        <v>1.2e-5</v>
      </c>
      <c r="J47" s="117">
        <v>14000000</v>
      </c>
      <c r="K47" s="117">
        <v>1.17</v>
      </c>
      <c r="M47" s="117">
        <v>0</v>
      </c>
      <c r="N47" s="117" t="s">
        <v>185</v>
      </c>
      <c r="O47" s="258">
        <v>1</v>
      </c>
    </row>
    <row r="48" s="117" customFormat="1" ht="15" customHeight="1" spans="1:15">
      <c r="A48" s="241" t="s">
        <v>212</v>
      </c>
      <c r="B48" s="233" t="s">
        <v>183</v>
      </c>
      <c r="C48" s="233" t="s">
        <v>184</v>
      </c>
      <c r="D48" s="233" t="s">
        <v>4</v>
      </c>
      <c r="E48" s="233" t="s">
        <v>185</v>
      </c>
      <c r="F48" s="254">
        <v>0.78</v>
      </c>
      <c r="G48" s="233">
        <v>654</v>
      </c>
      <c r="H48" s="117">
        <v>1.39</v>
      </c>
      <c r="I48" s="117">
        <v>4.75e-5</v>
      </c>
      <c r="J48" s="117">
        <v>13800000</v>
      </c>
      <c r="K48" s="117">
        <v>1.17</v>
      </c>
      <c r="M48" s="117">
        <v>0</v>
      </c>
      <c r="N48" s="117" t="s">
        <v>185</v>
      </c>
      <c r="O48" s="258">
        <v>1</v>
      </c>
    </row>
    <row r="49" s="117" customFormat="1" ht="15" customHeight="1" spans="1:15">
      <c r="A49" s="241" t="s">
        <v>213</v>
      </c>
      <c r="B49" s="233" t="s">
        <v>183</v>
      </c>
      <c r="C49" s="233" t="s">
        <v>184</v>
      </c>
      <c r="D49" s="233" t="s">
        <v>4</v>
      </c>
      <c r="E49" s="233" t="s">
        <v>185</v>
      </c>
      <c r="F49" s="254" t="s">
        <v>187</v>
      </c>
      <c r="G49" s="233">
        <v>0</v>
      </c>
      <c r="H49" s="117">
        <v>0</v>
      </c>
      <c r="I49" s="117">
        <v>0</v>
      </c>
      <c r="J49" s="117">
        <v>13900000</v>
      </c>
      <c r="K49" s="117">
        <v>1.16</v>
      </c>
      <c r="M49" s="117">
        <v>0</v>
      </c>
      <c r="N49" s="117" t="s">
        <v>185</v>
      </c>
      <c r="O49" s="258">
        <v>1</v>
      </c>
    </row>
    <row r="50" s="117" customFormat="1" ht="15" customHeight="1" spans="1:15">
      <c r="A50" s="241" t="s">
        <v>214</v>
      </c>
      <c r="B50" s="233" t="s">
        <v>183</v>
      </c>
      <c r="C50" s="233" t="s">
        <v>184</v>
      </c>
      <c r="D50" s="233" t="s">
        <v>4</v>
      </c>
      <c r="E50" s="233" t="s">
        <v>185</v>
      </c>
      <c r="F50" s="254" t="s">
        <v>190</v>
      </c>
      <c r="G50" s="233">
        <v>400</v>
      </c>
      <c r="H50" s="117">
        <v>1.4</v>
      </c>
      <c r="I50" s="117">
        <v>2.78e-5</v>
      </c>
      <c r="J50" s="117">
        <v>14400000</v>
      </c>
      <c r="K50" s="117">
        <v>1.17</v>
      </c>
      <c r="M50" s="117">
        <v>0</v>
      </c>
      <c r="N50" s="117" t="s">
        <v>185</v>
      </c>
      <c r="O50" s="258">
        <v>1</v>
      </c>
    </row>
    <row r="51" s="117" customFormat="1" ht="15" customHeight="1" spans="1:15">
      <c r="A51" s="241" t="s">
        <v>215</v>
      </c>
      <c r="B51" s="233" t="s">
        <v>183</v>
      </c>
      <c r="C51" s="233" t="s">
        <v>184</v>
      </c>
      <c r="D51" s="233" t="s">
        <v>4</v>
      </c>
      <c r="E51" s="233" t="s">
        <v>185</v>
      </c>
      <c r="F51" s="254">
        <v>0.179</v>
      </c>
      <c r="G51" s="233">
        <v>472</v>
      </c>
      <c r="H51" s="117">
        <v>1.38</v>
      </c>
      <c r="I51" s="117">
        <v>3.36e-5</v>
      </c>
      <c r="J51" s="117">
        <v>14000000</v>
      </c>
      <c r="K51" s="117">
        <v>1.17</v>
      </c>
      <c r="M51" s="117">
        <v>0</v>
      </c>
      <c r="N51" s="260" t="s">
        <v>185</v>
      </c>
      <c r="O51" s="258">
        <v>1</v>
      </c>
    </row>
    <row r="52" s="117" customFormat="1" ht="15" customHeight="1" spans="1:15">
      <c r="A52" s="241" t="s">
        <v>216</v>
      </c>
      <c r="B52" s="233" t="s">
        <v>183</v>
      </c>
      <c r="C52" s="233" t="s">
        <v>184</v>
      </c>
      <c r="D52" s="233" t="s">
        <v>4</v>
      </c>
      <c r="E52" s="233" t="s">
        <v>185</v>
      </c>
      <c r="F52" s="254" t="s">
        <v>190</v>
      </c>
      <c r="G52" s="233">
        <v>343</v>
      </c>
      <c r="H52" s="117">
        <v>1.39</v>
      </c>
      <c r="I52" s="117">
        <v>2.5e-5</v>
      </c>
      <c r="J52" s="117">
        <v>13700000</v>
      </c>
      <c r="K52" s="117">
        <v>1.17</v>
      </c>
      <c r="M52" s="117">
        <v>0</v>
      </c>
      <c r="N52" s="117" t="s">
        <v>185</v>
      </c>
      <c r="O52" s="258">
        <v>1</v>
      </c>
    </row>
    <row r="53" s="117" customFormat="1" ht="15" customHeight="1" spans="1:15">
      <c r="A53" s="241" t="s">
        <v>217</v>
      </c>
      <c r="B53" s="233" t="s">
        <v>183</v>
      </c>
      <c r="C53" s="233" t="s">
        <v>184</v>
      </c>
      <c r="D53" s="233" t="s">
        <v>4</v>
      </c>
      <c r="E53" s="233" t="s">
        <v>185</v>
      </c>
      <c r="F53" s="254">
        <v>0.544</v>
      </c>
      <c r="G53" s="233">
        <v>578</v>
      </c>
      <c r="H53" s="117">
        <v>1.39</v>
      </c>
      <c r="I53" s="117">
        <v>4.2e-5</v>
      </c>
      <c r="J53" s="117">
        <v>13700000</v>
      </c>
      <c r="K53" s="117">
        <v>1.17</v>
      </c>
      <c r="M53" s="117">
        <v>0</v>
      </c>
      <c r="N53" s="117" t="s">
        <v>185</v>
      </c>
      <c r="O53" s="258">
        <v>1</v>
      </c>
    </row>
    <row r="54" s="117" customFormat="1" ht="15" customHeight="1" spans="1:15">
      <c r="A54" s="241" t="s">
        <v>218</v>
      </c>
      <c r="B54" s="233" t="s">
        <v>183</v>
      </c>
      <c r="C54" s="233" t="s">
        <v>184</v>
      </c>
      <c r="D54" s="233" t="s">
        <v>4</v>
      </c>
      <c r="E54" s="233" t="s">
        <v>185</v>
      </c>
      <c r="F54" s="255">
        <v>0.419</v>
      </c>
      <c r="G54" s="233">
        <v>534</v>
      </c>
      <c r="H54" s="117">
        <v>1.34</v>
      </c>
      <c r="I54" s="117">
        <v>3.91e-5</v>
      </c>
      <c r="J54" s="117">
        <v>13600000</v>
      </c>
      <c r="K54" s="117">
        <v>1.17</v>
      </c>
      <c r="M54" s="117">
        <v>0</v>
      </c>
      <c r="N54" s="117" t="s">
        <v>185</v>
      </c>
      <c r="O54" s="258">
        <v>1</v>
      </c>
    </row>
    <row r="55" s="117" customFormat="1" ht="15" customHeight="1" spans="1:15">
      <c r="A55" s="241" t="s">
        <v>219</v>
      </c>
      <c r="B55" s="233" t="s">
        <v>183</v>
      </c>
      <c r="C55" s="233" t="s">
        <v>184</v>
      </c>
      <c r="D55" s="233" t="s">
        <v>4</v>
      </c>
      <c r="E55" s="233" t="s">
        <v>185</v>
      </c>
      <c r="F55" s="254" t="s">
        <v>190</v>
      </c>
      <c r="G55" s="233">
        <v>163</v>
      </c>
      <c r="H55" s="117">
        <v>1.39</v>
      </c>
      <c r="I55" s="117">
        <v>1.19e-5</v>
      </c>
      <c r="J55" s="117">
        <v>13800000</v>
      </c>
      <c r="K55" s="117">
        <v>1.17</v>
      </c>
      <c r="M55" s="117">
        <v>0</v>
      </c>
      <c r="N55" s="117" t="s">
        <v>185</v>
      </c>
      <c r="O55" s="258">
        <v>1</v>
      </c>
    </row>
    <row r="56" s="117" customFormat="1" ht="15" customHeight="1" spans="1:15">
      <c r="A56" s="241" t="s">
        <v>220</v>
      </c>
      <c r="B56" s="233" t="s">
        <v>183</v>
      </c>
      <c r="C56" s="233" t="s">
        <v>184</v>
      </c>
      <c r="D56" s="233" t="s">
        <v>4</v>
      </c>
      <c r="E56" s="233" t="s">
        <v>185</v>
      </c>
      <c r="F56" s="254" t="s">
        <v>187</v>
      </c>
      <c r="G56" s="233">
        <v>0</v>
      </c>
      <c r="H56" s="117">
        <v>0</v>
      </c>
      <c r="I56" s="117">
        <v>0</v>
      </c>
      <c r="J56" s="117">
        <v>13800000</v>
      </c>
      <c r="K56" s="117">
        <v>1.17</v>
      </c>
      <c r="M56" s="117">
        <v>0</v>
      </c>
      <c r="N56" s="117" t="s">
        <v>185</v>
      </c>
      <c r="O56" s="258">
        <v>1</v>
      </c>
    </row>
    <row r="57" s="117" customFormat="1" ht="15" customHeight="1" spans="1:15">
      <c r="A57" s="241" t="s">
        <v>221</v>
      </c>
      <c r="B57" s="233" t="s">
        <v>183</v>
      </c>
      <c r="C57" s="233" t="s">
        <v>184</v>
      </c>
      <c r="D57" s="233" t="s">
        <v>4</v>
      </c>
      <c r="E57" s="233" t="s">
        <v>185</v>
      </c>
      <c r="F57" s="256" t="s">
        <v>190</v>
      </c>
      <c r="G57" s="233">
        <v>196</v>
      </c>
      <c r="H57" s="117">
        <v>1.39</v>
      </c>
      <c r="I57" s="117">
        <v>1.44e-5</v>
      </c>
      <c r="J57" s="117">
        <v>13600000</v>
      </c>
      <c r="K57" s="117">
        <v>1.17</v>
      </c>
      <c r="M57" s="117">
        <v>0</v>
      </c>
      <c r="N57" s="117" t="s">
        <v>185</v>
      </c>
      <c r="O57" s="258">
        <v>1</v>
      </c>
    </row>
    <row r="58" s="117" customFormat="1" ht="15" customHeight="1" spans="1:15">
      <c r="A58" s="241" t="s">
        <v>222</v>
      </c>
      <c r="B58" s="233" t="s">
        <v>183</v>
      </c>
      <c r="C58" s="233" t="s">
        <v>184</v>
      </c>
      <c r="D58" s="233" t="s">
        <v>4</v>
      </c>
      <c r="E58" s="233" t="s">
        <v>185</v>
      </c>
      <c r="F58" s="256" t="s">
        <v>190</v>
      </c>
      <c r="G58" s="233">
        <v>303</v>
      </c>
      <c r="H58" s="117">
        <v>1.39</v>
      </c>
      <c r="I58" s="117">
        <v>2.21e-5</v>
      </c>
      <c r="J58" s="117">
        <v>13700000</v>
      </c>
      <c r="K58" s="117">
        <v>1.17</v>
      </c>
      <c r="M58" s="117">
        <v>0</v>
      </c>
      <c r="N58" s="117" t="s">
        <v>185</v>
      </c>
      <c r="O58" s="258">
        <v>1</v>
      </c>
    </row>
    <row r="59" s="117" customFormat="1" ht="15" customHeight="1" spans="1:15">
      <c r="A59" s="241" t="s">
        <v>223</v>
      </c>
      <c r="B59" s="233" t="s">
        <v>183</v>
      </c>
      <c r="C59" s="233" t="s">
        <v>184</v>
      </c>
      <c r="D59" s="233" t="s">
        <v>4</v>
      </c>
      <c r="E59" s="233" t="s">
        <v>185</v>
      </c>
      <c r="F59" s="254">
        <v>0.481</v>
      </c>
      <c r="G59" s="233">
        <v>576</v>
      </c>
      <c r="H59" s="117">
        <v>1.39</v>
      </c>
      <c r="I59" s="117">
        <v>4.06e-5</v>
      </c>
      <c r="J59" s="117">
        <v>14200000</v>
      </c>
      <c r="K59" s="117">
        <v>1.17</v>
      </c>
      <c r="M59" s="117">
        <v>0</v>
      </c>
      <c r="N59" s="117" t="s">
        <v>185</v>
      </c>
      <c r="O59" s="258">
        <v>1</v>
      </c>
    </row>
    <row r="60" s="117" customFormat="1" ht="15" customHeight="1" spans="1:15">
      <c r="A60" s="241" t="s">
        <v>224</v>
      </c>
      <c r="B60" s="233" t="s">
        <v>183</v>
      </c>
      <c r="C60" s="233" t="s">
        <v>184</v>
      </c>
      <c r="D60" s="233" t="s">
        <v>4</v>
      </c>
      <c r="E60" s="233" t="s">
        <v>185</v>
      </c>
      <c r="F60" s="256">
        <v>0.28</v>
      </c>
      <c r="G60" s="233">
        <v>513</v>
      </c>
      <c r="H60" s="117">
        <v>1.38</v>
      </c>
      <c r="I60" s="117">
        <v>3.59e-5</v>
      </c>
      <c r="J60" s="117">
        <v>14300000</v>
      </c>
      <c r="K60" s="117">
        <v>1.17</v>
      </c>
      <c r="M60" s="117">
        <v>0</v>
      </c>
      <c r="N60" s="117" t="s">
        <v>185</v>
      </c>
      <c r="O60" s="258">
        <v>1</v>
      </c>
    </row>
    <row r="61" s="117" customFormat="1" ht="15" customHeight="1" spans="1:15">
      <c r="A61" s="241" t="s">
        <v>225</v>
      </c>
      <c r="B61" s="233" t="s">
        <v>183</v>
      </c>
      <c r="C61" s="233" t="s">
        <v>184</v>
      </c>
      <c r="D61" s="233" t="s">
        <v>4</v>
      </c>
      <c r="E61" s="233" t="s">
        <v>185</v>
      </c>
      <c r="F61" s="256" t="s">
        <v>190</v>
      </c>
      <c r="G61" s="233">
        <v>338</v>
      </c>
      <c r="H61" s="117">
        <v>1.39</v>
      </c>
      <c r="I61" s="117">
        <v>2.54e-5</v>
      </c>
      <c r="J61" s="117">
        <v>13300000</v>
      </c>
      <c r="K61" s="117">
        <v>1.17</v>
      </c>
      <c r="M61" s="117">
        <v>0</v>
      </c>
      <c r="N61" s="117" t="s">
        <v>185</v>
      </c>
      <c r="O61" s="258">
        <v>1</v>
      </c>
    </row>
    <row r="62" s="117" customFormat="1" ht="15" customHeight="1" spans="1:15">
      <c r="A62" s="241" t="s">
        <v>226</v>
      </c>
      <c r="B62" s="233" t="s">
        <v>183</v>
      </c>
      <c r="C62" s="233" t="s">
        <v>184</v>
      </c>
      <c r="D62" s="233" t="s">
        <v>4</v>
      </c>
      <c r="E62" s="233" t="s">
        <v>185</v>
      </c>
      <c r="F62" s="256">
        <v>6.93</v>
      </c>
      <c r="G62" s="233">
        <v>2590</v>
      </c>
      <c r="H62" s="117">
        <v>1.39</v>
      </c>
      <c r="I62" s="117">
        <v>0.00019</v>
      </c>
      <c r="J62" s="117">
        <v>13600000</v>
      </c>
      <c r="K62" s="117">
        <v>1.17</v>
      </c>
      <c r="M62" s="117">
        <v>0</v>
      </c>
      <c r="N62" s="117" t="s">
        <v>185</v>
      </c>
      <c r="O62" s="258">
        <v>1</v>
      </c>
    </row>
    <row r="63" s="117" customFormat="1" ht="15" customHeight="1" spans="1:15">
      <c r="A63" s="241" t="s">
        <v>227</v>
      </c>
      <c r="B63" s="233" t="s">
        <v>183</v>
      </c>
      <c r="C63" s="233" t="s">
        <v>184</v>
      </c>
      <c r="D63" s="233" t="s">
        <v>4</v>
      </c>
      <c r="E63" s="233" t="s">
        <v>185</v>
      </c>
      <c r="F63" s="254">
        <v>15.8</v>
      </c>
      <c r="G63" s="233">
        <v>5240</v>
      </c>
      <c r="H63" s="117">
        <v>1.38</v>
      </c>
      <c r="I63" s="117">
        <v>0.000397</v>
      </c>
      <c r="J63" s="117">
        <v>13200000</v>
      </c>
      <c r="K63" s="117">
        <v>1.16</v>
      </c>
      <c r="M63" s="117">
        <v>0</v>
      </c>
      <c r="N63" s="117" t="s">
        <v>185</v>
      </c>
      <c r="O63" s="258">
        <v>1</v>
      </c>
    </row>
    <row r="64" s="117" customFormat="1" ht="15" customHeight="1" spans="1:15">
      <c r="A64" s="241" t="s">
        <v>228</v>
      </c>
      <c r="B64" s="233" t="s">
        <v>183</v>
      </c>
      <c r="C64" s="233" t="s">
        <v>184</v>
      </c>
      <c r="D64" s="233" t="s">
        <v>4</v>
      </c>
      <c r="E64" s="233" t="s">
        <v>185</v>
      </c>
      <c r="F64" s="254">
        <v>5.18</v>
      </c>
      <c r="G64" s="233">
        <v>1960</v>
      </c>
      <c r="H64" s="117">
        <v>1.39</v>
      </c>
      <c r="I64" s="117">
        <v>0.00015</v>
      </c>
      <c r="J64" s="117">
        <v>13100000</v>
      </c>
      <c r="K64" s="117">
        <v>1.17</v>
      </c>
      <c r="M64" s="117">
        <v>0</v>
      </c>
      <c r="N64" s="117" t="s">
        <v>185</v>
      </c>
      <c r="O64" s="258">
        <v>1</v>
      </c>
    </row>
    <row r="65" s="117" customFormat="1" ht="15" customHeight="1" spans="1:15">
      <c r="A65" s="241" t="s">
        <v>229</v>
      </c>
      <c r="B65" s="233" t="s">
        <v>183</v>
      </c>
      <c r="C65" s="233" t="s">
        <v>184</v>
      </c>
      <c r="D65" s="233" t="s">
        <v>4</v>
      </c>
      <c r="E65" s="233" t="s">
        <v>185</v>
      </c>
      <c r="F65" s="256">
        <v>17.1</v>
      </c>
      <c r="G65" s="233">
        <v>5630</v>
      </c>
      <c r="H65" s="117">
        <v>1.38</v>
      </c>
      <c r="I65" s="117">
        <v>0.000425</v>
      </c>
      <c r="J65" s="117">
        <v>13200000</v>
      </c>
      <c r="K65" s="117">
        <v>1.16</v>
      </c>
      <c r="M65" s="117">
        <v>0</v>
      </c>
      <c r="N65" s="117" t="s">
        <v>185</v>
      </c>
      <c r="O65" s="258">
        <v>1</v>
      </c>
    </row>
    <row r="66" s="117" customFormat="1" ht="15" customHeight="1" spans="1:15">
      <c r="A66" s="241" t="s">
        <v>230</v>
      </c>
      <c r="B66" s="233" t="s">
        <v>183</v>
      </c>
      <c r="C66" s="233" t="s">
        <v>184</v>
      </c>
      <c r="D66" s="233" t="s">
        <v>4</v>
      </c>
      <c r="E66" s="233" t="s">
        <v>185</v>
      </c>
      <c r="F66" s="256">
        <v>19.7</v>
      </c>
      <c r="G66" s="233">
        <v>6590</v>
      </c>
      <c r="H66" s="117">
        <v>1.39</v>
      </c>
      <c r="I66" s="117">
        <v>0.000486</v>
      </c>
      <c r="J66" s="117">
        <v>13600000</v>
      </c>
      <c r="K66" s="117">
        <v>1.16</v>
      </c>
      <c r="M66" s="117">
        <v>0</v>
      </c>
      <c r="N66" s="117" t="s">
        <v>185</v>
      </c>
      <c r="O66" s="258">
        <v>1</v>
      </c>
    </row>
    <row r="67" s="117" customFormat="1" ht="15" customHeight="1" spans="1:15">
      <c r="A67" s="241" t="s">
        <v>231</v>
      </c>
      <c r="B67" s="233" t="s">
        <v>183</v>
      </c>
      <c r="C67" s="233" t="s">
        <v>184</v>
      </c>
      <c r="D67" s="233" t="s">
        <v>4</v>
      </c>
      <c r="E67" s="233" t="s">
        <v>185</v>
      </c>
      <c r="F67" s="256">
        <v>21.1</v>
      </c>
      <c r="G67" s="233">
        <v>6740</v>
      </c>
      <c r="H67" s="117">
        <v>1.39</v>
      </c>
      <c r="I67" s="117">
        <v>0.000518</v>
      </c>
      <c r="J67" s="117">
        <v>13000000</v>
      </c>
      <c r="K67" s="117">
        <v>1.17</v>
      </c>
      <c r="M67" s="117">
        <v>0</v>
      </c>
      <c r="N67" s="117" t="s">
        <v>185</v>
      </c>
      <c r="O67" s="258">
        <v>1</v>
      </c>
    </row>
    <row r="68" s="117" customFormat="1" ht="15" customHeight="1" spans="1:15">
      <c r="A68" s="241" t="s">
        <v>232</v>
      </c>
      <c r="B68" s="233" t="s">
        <v>183</v>
      </c>
      <c r="C68" s="233" t="s">
        <v>184</v>
      </c>
      <c r="D68" s="233" t="s">
        <v>4</v>
      </c>
      <c r="E68" s="233" t="s">
        <v>185</v>
      </c>
      <c r="F68" s="254">
        <v>29.8</v>
      </c>
      <c r="G68" s="233">
        <v>9650</v>
      </c>
      <c r="H68" s="117">
        <v>1.38</v>
      </c>
      <c r="I68" s="117">
        <v>0.000719</v>
      </c>
      <c r="J68" s="117">
        <v>13400000</v>
      </c>
      <c r="K68" s="117">
        <v>1.16</v>
      </c>
      <c r="M68" s="117">
        <v>0</v>
      </c>
      <c r="N68" s="117" t="s">
        <v>185</v>
      </c>
      <c r="O68" s="258">
        <v>1</v>
      </c>
    </row>
    <row r="69" s="117" customFormat="1" ht="15" customHeight="1" spans="1:15">
      <c r="A69" s="241" t="s">
        <v>233</v>
      </c>
      <c r="B69" s="233" t="s">
        <v>183</v>
      </c>
      <c r="C69" s="233" t="s">
        <v>184</v>
      </c>
      <c r="D69" s="233" t="s">
        <v>4</v>
      </c>
      <c r="E69" s="233" t="s">
        <v>185</v>
      </c>
      <c r="F69" s="254">
        <v>37.9</v>
      </c>
      <c r="G69" s="233">
        <v>12300</v>
      </c>
      <c r="H69" s="117">
        <v>1.39</v>
      </c>
      <c r="I69" s="117">
        <v>0.000909</v>
      </c>
      <c r="J69" s="117">
        <v>13500000</v>
      </c>
      <c r="K69" s="117">
        <v>1.16</v>
      </c>
      <c r="M69" s="117">
        <v>0</v>
      </c>
      <c r="N69" s="117" t="s">
        <v>185</v>
      </c>
      <c r="O69" s="258">
        <v>1</v>
      </c>
    </row>
    <row r="70" s="117" customFormat="1" ht="15" customHeight="1" spans="1:15">
      <c r="A70" s="241" t="s">
        <v>234</v>
      </c>
      <c r="B70" s="233" t="s">
        <v>183</v>
      </c>
      <c r="C70" s="233" t="s">
        <v>184</v>
      </c>
      <c r="D70" s="233" t="s">
        <v>4</v>
      </c>
      <c r="E70" s="233" t="s">
        <v>185</v>
      </c>
      <c r="F70" s="256">
        <v>68.8</v>
      </c>
      <c r="G70" s="233">
        <v>21500</v>
      </c>
      <c r="H70" s="117">
        <v>1.39</v>
      </c>
      <c r="I70" s="117">
        <v>0.00162</v>
      </c>
      <c r="J70" s="117">
        <v>13300000</v>
      </c>
      <c r="K70" s="117">
        <v>1.17</v>
      </c>
      <c r="M70" s="117">
        <v>0</v>
      </c>
      <c r="N70" s="117" t="s">
        <v>185</v>
      </c>
      <c r="O70" s="258">
        <v>1</v>
      </c>
    </row>
    <row r="71" s="117" customFormat="1" ht="15" customHeight="1" spans="1:15">
      <c r="A71" s="241" t="s">
        <v>235</v>
      </c>
      <c r="B71" s="233" t="s">
        <v>183</v>
      </c>
      <c r="C71" s="233" t="s">
        <v>184</v>
      </c>
      <c r="D71" s="233" t="s">
        <v>4</v>
      </c>
      <c r="E71" s="233" t="s">
        <v>185</v>
      </c>
      <c r="F71" s="254">
        <v>126</v>
      </c>
      <c r="G71" s="233">
        <v>40000</v>
      </c>
      <c r="H71" s="117">
        <v>1.39</v>
      </c>
      <c r="I71" s="117">
        <v>0.00296</v>
      </c>
      <c r="J71" s="117">
        <v>13500000</v>
      </c>
      <c r="K71" s="117">
        <v>1.16</v>
      </c>
      <c r="M71" s="117">
        <v>0</v>
      </c>
      <c r="N71" s="117" t="s">
        <v>185</v>
      </c>
      <c r="O71" s="258">
        <v>1</v>
      </c>
    </row>
    <row r="72" s="117" customFormat="1" ht="15" customHeight="1" spans="1:15">
      <c r="A72" s="241" t="s">
        <v>236</v>
      </c>
      <c r="B72" s="233" t="s">
        <v>183</v>
      </c>
      <c r="C72" s="233" t="s">
        <v>184</v>
      </c>
      <c r="D72" s="233" t="s">
        <v>4</v>
      </c>
      <c r="E72" s="233" t="s">
        <v>185</v>
      </c>
      <c r="F72" s="254">
        <v>108</v>
      </c>
      <c r="G72" s="233">
        <v>34800</v>
      </c>
      <c r="H72" s="117">
        <v>1.38</v>
      </c>
      <c r="I72" s="117">
        <v>0.00254</v>
      </c>
      <c r="J72" s="117">
        <v>13700000</v>
      </c>
      <c r="K72" s="117">
        <v>1.16</v>
      </c>
      <c r="M72" s="117">
        <v>0</v>
      </c>
      <c r="N72" s="117" t="s">
        <v>185</v>
      </c>
      <c r="O72" s="258">
        <v>1</v>
      </c>
    </row>
    <row r="73" s="117" customFormat="1" ht="15" customHeight="1" spans="1:15">
      <c r="A73" s="241" t="s">
        <v>237</v>
      </c>
      <c r="B73" s="233" t="s">
        <v>183</v>
      </c>
      <c r="C73" s="233" t="s">
        <v>184</v>
      </c>
      <c r="D73" s="233" t="s">
        <v>4</v>
      </c>
      <c r="E73" s="233" t="s">
        <v>185</v>
      </c>
      <c r="F73" s="254">
        <v>229</v>
      </c>
      <c r="G73" s="233">
        <v>72100</v>
      </c>
      <c r="H73" s="117">
        <v>1.39</v>
      </c>
      <c r="I73" s="117">
        <v>0.00533</v>
      </c>
      <c r="J73" s="117">
        <v>13500000</v>
      </c>
      <c r="K73" s="117">
        <v>1.17</v>
      </c>
      <c r="M73" s="117">
        <v>0</v>
      </c>
      <c r="N73" s="117" t="s">
        <v>185</v>
      </c>
      <c r="O73" s="258">
        <v>1</v>
      </c>
    </row>
    <row r="74" s="117" customFormat="1" ht="15" customHeight="1" spans="1:15">
      <c r="A74" s="241" t="s">
        <v>182</v>
      </c>
      <c r="B74" s="233" t="s">
        <v>183</v>
      </c>
      <c r="C74" s="233" t="s">
        <v>184</v>
      </c>
      <c r="D74" s="233" t="s">
        <v>4</v>
      </c>
      <c r="E74" s="233" t="s">
        <v>185</v>
      </c>
      <c r="F74" s="255" t="e">
        <v>#DIV/0!</v>
      </c>
      <c r="G74" s="233">
        <v>326</v>
      </c>
      <c r="H74" s="117">
        <v>1.4</v>
      </c>
      <c r="I74" s="117" t="e">
        <v>#DIV/0!</v>
      </c>
      <c r="J74" s="117">
        <v>0</v>
      </c>
      <c r="K74" s="117">
        <v>0</v>
      </c>
      <c r="M74" s="117">
        <v>0</v>
      </c>
      <c r="N74" s="117" t="s">
        <v>185</v>
      </c>
      <c r="O74" s="258">
        <v>1</v>
      </c>
    </row>
    <row r="75" s="117" customFormat="1" ht="15" customHeight="1" spans="1:15">
      <c r="A75" s="241" t="s">
        <v>238</v>
      </c>
      <c r="B75" s="233" t="s">
        <v>183</v>
      </c>
      <c r="C75" s="233" t="s">
        <v>184</v>
      </c>
      <c r="D75" s="233" t="s">
        <v>4</v>
      </c>
      <c r="E75" s="233" t="s">
        <v>185</v>
      </c>
      <c r="F75" s="254">
        <v>0.594</v>
      </c>
      <c r="G75" s="233">
        <v>584</v>
      </c>
      <c r="H75" s="117">
        <v>1.38</v>
      </c>
      <c r="I75" s="117">
        <v>4.32e-5</v>
      </c>
      <c r="J75" s="117">
        <v>13500000</v>
      </c>
      <c r="K75" s="117">
        <v>1.17</v>
      </c>
      <c r="M75" s="117">
        <v>0</v>
      </c>
      <c r="N75" s="117" t="s">
        <v>185</v>
      </c>
      <c r="O75" s="258">
        <v>1</v>
      </c>
    </row>
    <row r="76" s="117" customFormat="1" ht="15" customHeight="1" spans="1:15">
      <c r="A76" s="241" t="s">
        <v>239</v>
      </c>
      <c r="B76" s="233" t="s">
        <v>183</v>
      </c>
      <c r="C76" s="233" t="s">
        <v>184</v>
      </c>
      <c r="D76" s="233" t="s">
        <v>4</v>
      </c>
      <c r="E76" s="233" t="s">
        <v>185</v>
      </c>
      <c r="F76" s="254" t="s">
        <v>187</v>
      </c>
      <c r="G76" s="233">
        <v>0</v>
      </c>
      <c r="H76" s="117">
        <v>0</v>
      </c>
      <c r="I76" s="117">
        <v>0</v>
      </c>
      <c r="J76" s="117">
        <v>13800000</v>
      </c>
      <c r="K76" s="117">
        <v>1.16</v>
      </c>
      <c r="M76" s="117">
        <v>0</v>
      </c>
      <c r="N76" s="117" t="s">
        <v>185</v>
      </c>
      <c r="O76" s="258">
        <v>1</v>
      </c>
    </row>
    <row r="77" s="117" customFormat="1" ht="15" customHeight="1" spans="1:15">
      <c r="A77" s="241" t="s">
        <v>240</v>
      </c>
      <c r="B77" s="233" t="s">
        <v>183</v>
      </c>
      <c r="C77" s="233" t="s">
        <v>184</v>
      </c>
      <c r="D77" s="233" t="s">
        <v>4</v>
      </c>
      <c r="E77" s="233" t="s">
        <v>185</v>
      </c>
      <c r="F77" s="256">
        <v>0.472</v>
      </c>
      <c r="G77" s="233">
        <v>545</v>
      </c>
      <c r="H77" s="117">
        <v>1.39</v>
      </c>
      <c r="I77" s="117">
        <v>4.04e-5</v>
      </c>
      <c r="J77" s="117">
        <v>13500000</v>
      </c>
      <c r="K77" s="117">
        <v>1.17</v>
      </c>
      <c r="M77" s="117">
        <v>0</v>
      </c>
      <c r="N77" s="117" t="s">
        <v>185</v>
      </c>
      <c r="O77" s="258">
        <v>1</v>
      </c>
    </row>
    <row r="78" s="117" customFormat="1" ht="15" customHeight="1" spans="1:15">
      <c r="A78" s="241" t="s">
        <v>241</v>
      </c>
      <c r="B78" s="233" t="s">
        <v>183</v>
      </c>
      <c r="C78" s="233" t="s">
        <v>184</v>
      </c>
      <c r="D78" s="233" t="s">
        <v>4</v>
      </c>
      <c r="E78" s="233" t="s">
        <v>185</v>
      </c>
      <c r="F78" s="254" t="s">
        <v>190</v>
      </c>
      <c r="G78" s="233">
        <v>403</v>
      </c>
      <c r="H78" s="117">
        <v>1.38</v>
      </c>
      <c r="I78" s="117">
        <v>2.9e-5</v>
      </c>
      <c r="J78" s="117">
        <v>13900000</v>
      </c>
      <c r="K78" s="117">
        <v>1.16</v>
      </c>
      <c r="M78" s="117">
        <v>0</v>
      </c>
      <c r="N78" s="117" t="s">
        <v>185</v>
      </c>
      <c r="O78" s="258">
        <v>1</v>
      </c>
    </row>
    <row r="79" s="117" customFormat="1" ht="15" customHeight="1" spans="1:15">
      <c r="A79" s="241" t="s">
        <v>242</v>
      </c>
      <c r="B79" s="233" t="s">
        <v>183</v>
      </c>
      <c r="C79" s="233" t="s">
        <v>184</v>
      </c>
      <c r="D79" s="233" t="s">
        <v>4</v>
      </c>
      <c r="E79" s="233" t="s">
        <v>185</v>
      </c>
      <c r="F79" s="254">
        <v>0.812</v>
      </c>
      <c r="G79" s="233">
        <v>661</v>
      </c>
      <c r="H79" s="117">
        <v>1.38</v>
      </c>
      <c r="I79" s="117">
        <v>4.83e-5</v>
      </c>
      <c r="J79" s="117">
        <v>13700000</v>
      </c>
      <c r="K79" s="117">
        <v>1.16</v>
      </c>
      <c r="M79" s="117">
        <v>0</v>
      </c>
      <c r="N79" s="117" t="s">
        <v>185</v>
      </c>
      <c r="O79" s="258">
        <v>1</v>
      </c>
    </row>
    <row r="80" s="117" customFormat="1" ht="15" customHeight="1" spans="1:15">
      <c r="A80" s="241" t="s">
        <v>243</v>
      </c>
      <c r="B80" s="233" t="s">
        <v>183</v>
      </c>
      <c r="C80" s="233" t="s">
        <v>184</v>
      </c>
      <c r="D80" s="233" t="s">
        <v>4</v>
      </c>
      <c r="E80" s="233" t="s">
        <v>185</v>
      </c>
      <c r="F80" s="256">
        <v>0.895</v>
      </c>
      <c r="G80" s="233">
        <v>671</v>
      </c>
      <c r="H80" s="117">
        <v>1.39</v>
      </c>
      <c r="I80" s="117">
        <v>5.02e-5</v>
      </c>
      <c r="J80" s="117">
        <v>13400000</v>
      </c>
      <c r="K80" s="117">
        <v>1.17</v>
      </c>
      <c r="M80" s="117">
        <v>0</v>
      </c>
      <c r="N80" s="117" t="s">
        <v>185</v>
      </c>
      <c r="O80" s="258">
        <v>1</v>
      </c>
    </row>
    <row r="81" s="117" customFormat="1" ht="15" customHeight="1" spans="1:15">
      <c r="A81" s="241" t="s">
        <v>244</v>
      </c>
      <c r="B81" s="233" t="s">
        <v>183</v>
      </c>
      <c r="C81" s="233" t="s">
        <v>184</v>
      </c>
      <c r="D81" s="233" t="s">
        <v>4</v>
      </c>
      <c r="E81" s="233" t="s">
        <v>185</v>
      </c>
      <c r="F81" s="254">
        <v>2.74</v>
      </c>
      <c r="G81" s="233">
        <v>1260</v>
      </c>
      <c r="H81" s="117">
        <v>1.39</v>
      </c>
      <c r="I81" s="117">
        <v>9.3e-5</v>
      </c>
      <c r="J81" s="117">
        <v>13600000</v>
      </c>
      <c r="K81" s="117">
        <v>1.17</v>
      </c>
      <c r="M81" s="117">
        <v>0</v>
      </c>
      <c r="N81" s="117" t="s">
        <v>185</v>
      </c>
      <c r="O81" s="258">
        <v>1</v>
      </c>
    </row>
    <row r="82" s="117" customFormat="1" ht="15" customHeight="1" spans="1:15">
      <c r="A82" s="241" t="s">
        <v>245</v>
      </c>
      <c r="B82" s="233" t="s">
        <v>183</v>
      </c>
      <c r="C82" s="233" t="s">
        <v>184</v>
      </c>
      <c r="D82" s="233" t="s">
        <v>4</v>
      </c>
      <c r="E82" s="233" t="s">
        <v>185</v>
      </c>
      <c r="F82" s="254">
        <v>3.1</v>
      </c>
      <c r="G82" s="233">
        <v>1370</v>
      </c>
      <c r="H82" s="117">
        <v>1.37</v>
      </c>
      <c r="I82" s="117">
        <v>0.000101</v>
      </c>
      <c r="J82" s="117">
        <v>13500000</v>
      </c>
      <c r="K82" s="117">
        <v>1.17</v>
      </c>
      <c r="M82" s="117">
        <v>0</v>
      </c>
      <c r="N82" s="117" t="s">
        <v>185</v>
      </c>
      <c r="O82" s="258">
        <v>1</v>
      </c>
    </row>
    <row r="83" s="117" customFormat="1" ht="15" customHeight="1" spans="1:15">
      <c r="A83" s="241" t="s">
        <v>246</v>
      </c>
      <c r="B83" s="233" t="s">
        <v>183</v>
      </c>
      <c r="C83" s="233" t="s">
        <v>184</v>
      </c>
      <c r="D83" s="233" t="s">
        <v>4</v>
      </c>
      <c r="E83" s="233" t="s">
        <v>185</v>
      </c>
      <c r="F83" s="254" t="s">
        <v>187</v>
      </c>
      <c r="G83" s="233">
        <v>0</v>
      </c>
      <c r="H83" s="117">
        <v>0</v>
      </c>
      <c r="I83" s="117">
        <v>0</v>
      </c>
      <c r="J83" s="117">
        <v>13800000</v>
      </c>
      <c r="K83" s="117">
        <v>1.16</v>
      </c>
      <c r="M83" s="117">
        <v>0</v>
      </c>
      <c r="N83" s="117" t="s">
        <v>185</v>
      </c>
      <c r="O83" s="258">
        <v>1</v>
      </c>
    </row>
    <row r="84" s="117" customFormat="1" ht="15" customHeight="1" spans="1:15">
      <c r="A84" s="241" t="s">
        <v>247</v>
      </c>
      <c r="B84" s="233" t="s">
        <v>183</v>
      </c>
      <c r="C84" s="233" t="s">
        <v>184</v>
      </c>
      <c r="D84" s="233" t="s">
        <v>4</v>
      </c>
      <c r="E84" s="233" t="s">
        <v>185</v>
      </c>
      <c r="F84" s="254" t="s">
        <v>190</v>
      </c>
      <c r="G84" s="233">
        <v>181</v>
      </c>
      <c r="H84" s="117">
        <v>1.38</v>
      </c>
      <c r="I84" s="117">
        <v>1.3e-5</v>
      </c>
      <c r="J84" s="117">
        <v>13900000</v>
      </c>
      <c r="K84" s="117">
        <v>1.16</v>
      </c>
      <c r="M84" s="117">
        <v>0</v>
      </c>
      <c r="N84" s="117" t="s">
        <v>185</v>
      </c>
      <c r="O84" s="258">
        <v>1</v>
      </c>
    </row>
    <row r="85" s="117" customFormat="1" ht="15" customHeight="1" spans="1:15">
      <c r="A85" s="241" t="s">
        <v>248</v>
      </c>
      <c r="B85" s="233" t="s">
        <v>183</v>
      </c>
      <c r="C85" s="233" t="s">
        <v>184</v>
      </c>
      <c r="D85" s="233" t="s">
        <v>4</v>
      </c>
      <c r="E85" s="233" t="s">
        <v>185</v>
      </c>
      <c r="F85" s="254">
        <v>41.5</v>
      </c>
      <c r="G85" s="233">
        <v>1750</v>
      </c>
      <c r="H85" s="117">
        <v>1.39</v>
      </c>
      <c r="I85" s="117">
        <v>0.000126</v>
      </c>
      <c r="J85" s="117">
        <v>13900000</v>
      </c>
      <c r="K85" s="117">
        <v>1.17</v>
      </c>
      <c r="M85" s="117">
        <v>0</v>
      </c>
      <c r="N85" s="117" t="s">
        <v>185</v>
      </c>
      <c r="O85" s="258">
        <v>10</v>
      </c>
    </row>
    <row r="86" s="117" customFormat="1" ht="15" customHeight="1" spans="1:15">
      <c r="A86" s="241" t="s">
        <v>249</v>
      </c>
      <c r="B86" s="233" t="s">
        <v>183</v>
      </c>
      <c r="C86" s="233" t="s">
        <v>184</v>
      </c>
      <c r="D86" s="233" t="s">
        <v>4</v>
      </c>
      <c r="E86" s="233" t="s">
        <v>185</v>
      </c>
      <c r="F86" s="254">
        <v>16.3</v>
      </c>
      <c r="G86" s="233">
        <v>937</v>
      </c>
      <c r="H86" s="117">
        <v>1.39</v>
      </c>
      <c r="I86" s="117">
        <v>6.72e-5</v>
      </c>
      <c r="J86" s="117">
        <v>13900000</v>
      </c>
      <c r="K86" s="117">
        <v>1.17</v>
      </c>
      <c r="M86" s="117">
        <v>0</v>
      </c>
      <c r="N86" s="117" t="s">
        <v>185</v>
      </c>
      <c r="O86" s="258">
        <v>10</v>
      </c>
    </row>
    <row r="87" s="117" customFormat="1" ht="15" customHeight="1" spans="1:15">
      <c r="A87" s="241" t="s">
        <v>250</v>
      </c>
      <c r="B87" s="233" t="s">
        <v>183</v>
      </c>
      <c r="C87" s="233" t="s">
        <v>184</v>
      </c>
      <c r="D87" s="233" t="s">
        <v>4</v>
      </c>
      <c r="E87" s="233" t="s">
        <v>185</v>
      </c>
      <c r="F87" s="254">
        <v>144</v>
      </c>
      <c r="G87" s="233">
        <v>5070</v>
      </c>
      <c r="H87" s="117">
        <v>1.39</v>
      </c>
      <c r="I87" s="117">
        <v>0.000364</v>
      </c>
      <c r="J87" s="117">
        <v>13900000</v>
      </c>
      <c r="K87" s="117">
        <v>1.17</v>
      </c>
      <c r="M87" s="117">
        <v>0</v>
      </c>
      <c r="N87" s="117" t="s">
        <v>185</v>
      </c>
      <c r="O87" s="258">
        <v>10</v>
      </c>
    </row>
    <row r="88" s="117" customFormat="1" ht="15" customHeight="1" spans="1:15">
      <c r="A88" s="241" t="s">
        <v>251</v>
      </c>
      <c r="B88" s="233" t="s">
        <v>183</v>
      </c>
      <c r="C88" s="233" t="s">
        <v>184</v>
      </c>
      <c r="D88" s="233" t="s">
        <v>4</v>
      </c>
      <c r="E88" s="233" t="s">
        <v>185</v>
      </c>
      <c r="F88" s="254">
        <v>78.3</v>
      </c>
      <c r="G88" s="233">
        <v>2990</v>
      </c>
      <c r="H88" s="117">
        <v>1.39</v>
      </c>
      <c r="I88" s="117">
        <v>0.000211</v>
      </c>
      <c r="J88" s="117">
        <v>14200000</v>
      </c>
      <c r="K88" s="117">
        <v>1.17</v>
      </c>
      <c r="M88" s="117">
        <v>0</v>
      </c>
      <c r="N88" s="117" t="s">
        <v>185</v>
      </c>
      <c r="O88" s="258">
        <v>10</v>
      </c>
    </row>
    <row r="89" s="117" customFormat="1" ht="15" customHeight="1" spans="1:15">
      <c r="A89" s="241" t="s">
        <v>252</v>
      </c>
      <c r="B89" s="233" t="s">
        <v>183</v>
      </c>
      <c r="C89" s="233" t="s">
        <v>184</v>
      </c>
      <c r="D89" s="233" t="s">
        <v>4</v>
      </c>
      <c r="E89" s="233" t="s">
        <v>185</v>
      </c>
      <c r="F89" s="254">
        <v>185</v>
      </c>
      <c r="G89" s="233">
        <v>6350</v>
      </c>
      <c r="H89" s="117">
        <v>1.39</v>
      </c>
      <c r="I89" s="117">
        <v>0.000459</v>
      </c>
      <c r="J89" s="117">
        <v>13800000</v>
      </c>
      <c r="K89" s="117">
        <v>1.17</v>
      </c>
      <c r="M89" s="117">
        <v>0</v>
      </c>
      <c r="N89" s="117" t="s">
        <v>185</v>
      </c>
      <c r="O89" s="258">
        <v>10</v>
      </c>
    </row>
    <row r="90" s="117" customFormat="1" ht="15" customHeight="1" spans="1:15">
      <c r="A90" s="241" t="s">
        <v>253</v>
      </c>
      <c r="B90" s="233" t="s">
        <v>183</v>
      </c>
      <c r="C90" s="233" t="s">
        <v>184</v>
      </c>
      <c r="D90" s="233" t="s">
        <v>4</v>
      </c>
      <c r="E90" s="233" t="s">
        <v>185</v>
      </c>
      <c r="F90" s="256">
        <v>163</v>
      </c>
      <c r="G90" s="233">
        <v>5710</v>
      </c>
      <c r="H90" s="117">
        <v>1.39</v>
      </c>
      <c r="I90" s="117">
        <v>0.000408</v>
      </c>
      <c r="J90" s="117">
        <v>14000000</v>
      </c>
      <c r="K90" s="117">
        <v>1.17</v>
      </c>
      <c r="M90" s="117">
        <v>0</v>
      </c>
      <c r="N90" s="117" t="s">
        <v>185</v>
      </c>
      <c r="O90" s="258">
        <v>10</v>
      </c>
    </row>
    <row r="91" s="117" customFormat="1" ht="15" customHeight="1" spans="1:15">
      <c r="A91" s="241" t="s">
        <v>254</v>
      </c>
      <c r="B91" s="233" t="s">
        <v>183</v>
      </c>
      <c r="C91" s="233" t="s">
        <v>184</v>
      </c>
      <c r="D91" s="233" t="s">
        <v>4</v>
      </c>
      <c r="E91" s="233" t="s">
        <v>185</v>
      </c>
      <c r="F91" s="254">
        <v>571</v>
      </c>
      <c r="G91" s="233">
        <v>184000</v>
      </c>
      <c r="H91" s="117">
        <v>1.39</v>
      </c>
      <c r="I91" s="117">
        <v>0.0133</v>
      </c>
      <c r="J91" s="117">
        <v>13800000</v>
      </c>
      <c r="K91" s="117">
        <v>1.17</v>
      </c>
      <c r="M91" s="117">
        <v>0</v>
      </c>
      <c r="N91" s="117" t="s">
        <v>185</v>
      </c>
      <c r="O91" s="258">
        <v>1</v>
      </c>
    </row>
    <row r="92" s="117" customFormat="1" ht="15" customHeight="1" spans="1:15">
      <c r="A92" s="241" t="s">
        <v>255</v>
      </c>
      <c r="B92" s="233" t="s">
        <v>183</v>
      </c>
      <c r="C92" s="233" t="s">
        <v>184</v>
      </c>
      <c r="D92" s="233" t="s">
        <v>4</v>
      </c>
      <c r="E92" s="233" t="s">
        <v>185</v>
      </c>
      <c r="F92" s="255">
        <v>541</v>
      </c>
      <c r="G92" s="233">
        <v>170000</v>
      </c>
      <c r="H92" s="117">
        <v>1.39</v>
      </c>
      <c r="I92" s="117">
        <v>0.0126</v>
      </c>
      <c r="J92" s="117">
        <v>13500000</v>
      </c>
      <c r="K92" s="117">
        <v>1.17</v>
      </c>
      <c r="M92" s="117">
        <v>0</v>
      </c>
      <c r="N92" s="117" t="s">
        <v>185</v>
      </c>
      <c r="O92" s="258">
        <v>1</v>
      </c>
    </row>
    <row r="93" s="117" customFormat="1" ht="14.25" customHeight="1" spans="1:15">
      <c r="A93" s="241" t="s">
        <v>182</v>
      </c>
      <c r="B93" s="233" t="s">
        <v>183</v>
      </c>
      <c r="C93" s="233" t="s">
        <v>184</v>
      </c>
      <c r="D93" s="233" t="s">
        <v>4</v>
      </c>
      <c r="E93" s="233" t="s">
        <v>185</v>
      </c>
      <c r="F93" s="254" t="e">
        <v>#DIV/0!</v>
      </c>
      <c r="G93" s="233">
        <v>153</v>
      </c>
      <c r="H93" s="117">
        <v>1.35</v>
      </c>
      <c r="I93" s="117" t="e">
        <v>#DIV/0!</v>
      </c>
      <c r="J93" s="117">
        <v>0</v>
      </c>
      <c r="K93" s="117">
        <v>0</v>
      </c>
      <c r="M93" s="117">
        <v>0</v>
      </c>
      <c r="N93" s="117" t="s">
        <v>185</v>
      </c>
      <c r="O93" s="258">
        <v>1</v>
      </c>
    </row>
    <row r="94" s="117" customFormat="1" ht="14.25" customHeight="1" spans="1:15">
      <c r="A94" s="241" t="s">
        <v>182</v>
      </c>
      <c r="B94" s="233" t="s">
        <v>183</v>
      </c>
      <c r="C94" s="233" t="s">
        <v>184</v>
      </c>
      <c r="D94" s="233" t="s">
        <v>4</v>
      </c>
      <c r="E94" s="233" t="s">
        <v>185</v>
      </c>
      <c r="F94" s="254" t="e">
        <v>#DIV/0!</v>
      </c>
      <c r="G94" s="233">
        <v>0</v>
      </c>
      <c r="H94" s="117">
        <v>0</v>
      </c>
      <c r="I94" s="117" t="e">
        <v>#DIV/0!</v>
      </c>
      <c r="J94" s="117">
        <v>0</v>
      </c>
      <c r="K94" s="117">
        <v>0</v>
      </c>
      <c r="M94" s="117">
        <v>0</v>
      </c>
      <c r="N94" s="117" t="s">
        <v>185</v>
      </c>
      <c r="O94" s="258">
        <v>1</v>
      </c>
    </row>
    <row r="95" s="117" customFormat="1" ht="14.25" customHeight="1" spans="1:15">
      <c r="A95" s="241" t="s">
        <v>256</v>
      </c>
      <c r="B95" s="233" t="s">
        <v>199</v>
      </c>
      <c r="C95" s="233" t="s">
        <v>184</v>
      </c>
      <c r="D95" s="233" t="s">
        <v>4</v>
      </c>
      <c r="E95" s="233">
        <v>3</v>
      </c>
      <c r="F95" s="254">
        <v>2.64</v>
      </c>
      <c r="G95" s="233">
        <v>1250</v>
      </c>
      <c r="H95" s="117">
        <v>1.38</v>
      </c>
      <c r="I95" s="117">
        <v>9.06e-5</v>
      </c>
      <c r="J95" s="117">
        <v>13700000</v>
      </c>
      <c r="K95" s="117">
        <v>1.16</v>
      </c>
      <c r="L95" s="117">
        <v>1</v>
      </c>
      <c r="M95" s="117">
        <v>0</v>
      </c>
      <c r="N95" s="117">
        <v>88.01</v>
      </c>
      <c r="O95" s="258">
        <v>1</v>
      </c>
    </row>
    <row r="96" s="117" customFormat="1" ht="14.25" customHeight="1" spans="1:15">
      <c r="A96" s="241" t="s">
        <v>257</v>
      </c>
      <c r="B96" s="233" t="s">
        <v>199</v>
      </c>
      <c r="C96" s="233" t="s">
        <v>184</v>
      </c>
      <c r="D96" s="233" t="s">
        <v>4</v>
      </c>
      <c r="E96" s="233">
        <v>100</v>
      </c>
      <c r="F96" s="254">
        <v>101</v>
      </c>
      <c r="G96" s="233">
        <v>32600</v>
      </c>
      <c r="H96" s="117">
        <v>1.38</v>
      </c>
      <c r="I96" s="117">
        <v>0.00238</v>
      </c>
      <c r="J96" s="117">
        <v>13700000</v>
      </c>
      <c r="K96" s="117">
        <v>1.16</v>
      </c>
      <c r="L96" s="117">
        <v>1</v>
      </c>
      <c r="M96" s="117">
        <v>0</v>
      </c>
      <c r="N96" s="117">
        <v>101.25</v>
      </c>
      <c r="O96" s="258">
        <v>1</v>
      </c>
    </row>
    <row r="97" s="117" customFormat="1" ht="14.25" customHeight="1" spans="1:15">
      <c r="A97" s="241" t="s">
        <v>258</v>
      </c>
      <c r="B97" s="233" t="s">
        <v>199</v>
      </c>
      <c r="C97" s="233" t="s">
        <v>184</v>
      </c>
      <c r="D97" s="233" t="s">
        <v>4</v>
      </c>
      <c r="E97" s="233">
        <v>1600</v>
      </c>
      <c r="F97" s="261">
        <v>1420</v>
      </c>
      <c r="G97" s="233">
        <v>46000</v>
      </c>
      <c r="H97" s="117">
        <v>1.39</v>
      </c>
      <c r="I97" s="117">
        <v>0.0331</v>
      </c>
      <c r="J97" s="117">
        <v>13900000</v>
      </c>
      <c r="K97" s="117">
        <v>1.16</v>
      </c>
      <c r="L97" s="117">
        <v>1</v>
      </c>
      <c r="M97" s="117">
        <v>0</v>
      </c>
      <c r="N97" s="117">
        <v>89.05</v>
      </c>
      <c r="O97" s="258">
        <v>1</v>
      </c>
    </row>
    <row r="98" ht="14.75" spans="1:15">
      <c r="A98" s="242"/>
      <c r="B98" s="243"/>
      <c r="C98" s="243"/>
      <c r="D98" s="262"/>
      <c r="E98" s="243"/>
      <c r="F98" s="263"/>
      <c r="G98" s="243"/>
      <c r="O98" s="280"/>
    </row>
    <row r="99" spans="1:15">
      <c r="A99" s="264" t="s">
        <v>259</v>
      </c>
      <c r="B99" s="265"/>
      <c r="C99" s="266"/>
      <c r="D99" s="267"/>
      <c r="E99" s="268"/>
      <c r="O99" s="280"/>
    </row>
    <row r="100" spans="1:15">
      <c r="A100" s="269" t="s">
        <v>260</v>
      </c>
      <c r="B100" s="270">
        <f>AVERAGE(J22:J30,J33:J44,J47:J73,J75:J92,J95:J97)</f>
        <v>13749275.3623188</v>
      </c>
      <c r="C100" s="270"/>
      <c r="D100" s="270"/>
      <c r="E100" s="271"/>
      <c r="O100" s="280"/>
    </row>
    <row r="101" spans="1:15">
      <c r="A101" s="269" t="s">
        <v>261</v>
      </c>
      <c r="B101" s="270">
        <f>STDEV(J22:J30,J33:J44,J47:J73,J75:J92,J95:J97)</f>
        <v>285751.428592897</v>
      </c>
      <c r="C101" s="270"/>
      <c r="D101" s="270"/>
      <c r="E101" s="271"/>
      <c r="O101" s="280"/>
    </row>
    <row r="102" spans="1:15">
      <c r="A102" s="272" t="s">
        <v>262</v>
      </c>
      <c r="B102" s="273">
        <f>B101/B100*100</f>
        <v>2.0783017363666</v>
      </c>
      <c r="C102" s="273"/>
      <c r="D102" s="274" t="s">
        <v>263</v>
      </c>
      <c r="E102" s="275" t="s">
        <v>264</v>
      </c>
      <c r="O102" s="280"/>
    </row>
    <row r="103" ht="14.75" spans="1:15">
      <c r="A103" s="276"/>
      <c r="B103" s="277"/>
      <c r="C103" s="277"/>
      <c r="D103" s="278"/>
      <c r="E103" s="279"/>
      <c r="G103" s="233"/>
      <c r="H103" s="254"/>
      <c r="I103" s="254"/>
      <c r="J103" s="117"/>
      <c r="K103" s="117"/>
      <c r="O103" s="280"/>
    </row>
    <row r="104" spans="7:15">
      <c r="G104" s="233"/>
      <c r="H104" s="254"/>
      <c r="I104" s="254"/>
      <c r="J104" s="117"/>
      <c r="K104" s="117"/>
      <c r="O104" s="280"/>
    </row>
    <row r="105" spans="7:15">
      <c r="G105" s="233"/>
      <c r="H105" s="254"/>
      <c r="I105" s="261"/>
      <c r="J105" s="117"/>
      <c r="K105" s="117"/>
      <c r="O105" s="280"/>
    </row>
    <row r="106" spans="7:15">
      <c r="G106" s="233"/>
      <c r="H106" s="254"/>
      <c r="J106" s="117"/>
      <c r="O106" s="280"/>
    </row>
    <row r="107" spans="7:15">
      <c r="G107" s="233"/>
      <c r="H107" s="254"/>
      <c r="J107" s="117"/>
      <c r="O107" s="280"/>
    </row>
    <row r="108" spans="7:15">
      <c r="G108" s="233"/>
      <c r="H108" s="254"/>
      <c r="J108" s="117"/>
      <c r="O108" s="280"/>
    </row>
    <row r="109" spans="15:15">
      <c r="O109" s="280"/>
    </row>
    <row r="110" spans="15:15">
      <c r="O110" s="280"/>
    </row>
    <row r="111" spans="15:15">
      <c r="O111" s="280"/>
    </row>
    <row r="112" spans="15:15">
      <c r="O112" s="280"/>
    </row>
    <row r="113" spans="15:15">
      <c r="O113" s="280"/>
    </row>
    <row r="114" spans="15:15">
      <c r="O114" s="280"/>
    </row>
    <row r="115" spans="15:15">
      <c r="O115" s="280"/>
    </row>
    <row r="116" spans="15:15">
      <c r="O116" s="280"/>
    </row>
    <row r="117" spans="15:15">
      <c r="O117" s="280"/>
    </row>
    <row r="118" spans="15:15">
      <c r="O118" s="280"/>
    </row>
    <row r="119" spans="15:15">
      <c r="O119" s="280"/>
    </row>
    <row r="120" spans="15:15">
      <c r="O120" s="280"/>
    </row>
    <row r="121" spans="15:15">
      <c r="O121" s="280"/>
    </row>
    <row r="122" spans="15:15">
      <c r="O122" s="280"/>
    </row>
    <row r="123" spans="15:15">
      <c r="O123" s="280"/>
    </row>
    <row r="124" spans="15:15">
      <c r="O124" s="280"/>
    </row>
    <row r="125" spans="15:15">
      <c r="O125" s="280"/>
    </row>
    <row r="126" spans="15:15">
      <c r="O126" s="280"/>
    </row>
    <row r="127" spans="15:15">
      <c r="O127" s="280"/>
    </row>
    <row r="128" spans="15:15">
      <c r="O128" s="280"/>
    </row>
    <row r="129" spans="15:15">
      <c r="O129" s="280"/>
    </row>
    <row r="130" spans="15:15">
      <c r="O130" s="280"/>
    </row>
    <row r="131" spans="15:15">
      <c r="O131" s="280"/>
    </row>
    <row r="132" spans="15:15">
      <c r="O132" s="280"/>
    </row>
    <row r="133" spans="15:15">
      <c r="O133" s="280"/>
    </row>
    <row r="134" spans="15:15">
      <c r="O134" s="280"/>
    </row>
    <row r="135" spans="15:15">
      <c r="O135" s="280"/>
    </row>
    <row r="136" spans="15:15">
      <c r="O136" s="280"/>
    </row>
    <row r="137" ht="14.75" spans="1:15">
      <c r="A137" s="276"/>
      <c r="B137" s="277"/>
      <c r="C137" s="277"/>
      <c r="D137" s="278"/>
      <c r="E137" s="281"/>
      <c r="F137" s="282"/>
      <c r="G137" s="277"/>
      <c r="H137" s="277"/>
      <c r="I137" s="277"/>
      <c r="J137" s="277"/>
      <c r="K137" s="277"/>
      <c r="L137" s="277"/>
      <c r="M137" s="277"/>
      <c r="N137" s="277"/>
      <c r="O137" s="283"/>
    </row>
    <row r="138" spans="1:1">
      <c r="A138" s="229"/>
    </row>
    <row r="139" ht="14.75" spans="1:1">
      <c r="A139" s="229"/>
    </row>
    <row r="140" spans="1:15">
      <c r="A140" s="236" t="s">
        <v>151</v>
      </c>
      <c r="B140" s="237"/>
      <c r="C140" s="238"/>
      <c r="D140" s="238"/>
      <c r="E140" s="238"/>
      <c r="F140" s="239"/>
      <c r="G140" s="238"/>
      <c r="H140" s="240"/>
      <c r="I140" s="240"/>
      <c r="J140" s="240"/>
      <c r="K140" s="240"/>
      <c r="L140" s="240"/>
      <c r="M140" s="240"/>
      <c r="N140" s="240"/>
      <c r="O140" s="257"/>
    </row>
    <row r="141" spans="1:15">
      <c r="A141" s="241" t="s">
        <v>152</v>
      </c>
      <c r="B141" s="233"/>
      <c r="C141" s="234"/>
      <c r="D141" s="234"/>
      <c r="E141" s="234"/>
      <c r="F141" s="235"/>
      <c r="G141" s="234"/>
      <c r="H141" s="117"/>
      <c r="I141" s="117"/>
      <c r="J141" s="117"/>
      <c r="K141" s="117"/>
      <c r="L141" s="117"/>
      <c r="M141" s="117"/>
      <c r="N141" s="117"/>
      <c r="O141" s="258"/>
    </row>
    <row r="142" spans="1:15">
      <c r="A142" s="242" t="s">
        <v>153</v>
      </c>
      <c r="B142" s="243"/>
      <c r="C142" s="219"/>
      <c r="D142" s="244"/>
      <c r="E142" s="219"/>
      <c r="F142" s="245"/>
      <c r="G142" s="219"/>
      <c r="H142" s="117"/>
      <c r="I142" s="117"/>
      <c r="J142" s="117"/>
      <c r="K142" s="117"/>
      <c r="L142" s="117"/>
      <c r="M142" s="117"/>
      <c r="N142" s="117"/>
      <c r="O142" s="258"/>
    </row>
    <row r="143" spans="1:15">
      <c r="A143" s="241"/>
      <c r="B143" s="233"/>
      <c r="C143" s="234"/>
      <c r="D143" s="234"/>
      <c r="E143" s="234"/>
      <c r="F143" s="235"/>
      <c r="G143" s="234"/>
      <c r="H143" s="117"/>
      <c r="I143" s="117"/>
      <c r="J143" s="117"/>
      <c r="K143" s="117"/>
      <c r="L143" s="117"/>
      <c r="M143" s="117"/>
      <c r="N143" s="117"/>
      <c r="O143" s="258"/>
    </row>
    <row r="144" spans="1:15">
      <c r="A144" s="241" t="s">
        <v>154</v>
      </c>
      <c r="B144" s="233"/>
      <c r="C144" s="234"/>
      <c r="D144" s="234"/>
      <c r="E144" s="234"/>
      <c r="F144" s="235"/>
      <c r="G144" s="234"/>
      <c r="H144" s="117"/>
      <c r="I144" s="117"/>
      <c r="J144" s="117"/>
      <c r="K144" s="117"/>
      <c r="L144" s="117"/>
      <c r="M144" s="117"/>
      <c r="N144" s="117"/>
      <c r="O144" s="258"/>
    </row>
    <row r="145" spans="1:15">
      <c r="A145" s="241" t="s">
        <v>155</v>
      </c>
      <c r="B145" s="233"/>
      <c r="C145" s="234"/>
      <c r="D145" s="234"/>
      <c r="E145" s="234"/>
      <c r="F145" s="235"/>
      <c r="G145" s="234"/>
      <c r="H145" s="117"/>
      <c r="I145" s="117"/>
      <c r="J145" s="117"/>
      <c r="K145" s="117"/>
      <c r="L145" s="117"/>
      <c r="M145" s="117"/>
      <c r="N145" s="117"/>
      <c r="O145" s="258"/>
    </row>
    <row r="146" spans="1:15">
      <c r="A146" s="242" t="s">
        <v>156</v>
      </c>
      <c r="B146" s="243"/>
      <c r="C146" s="219"/>
      <c r="D146" s="244"/>
      <c r="E146" s="219"/>
      <c r="F146" s="245"/>
      <c r="G146" s="219"/>
      <c r="H146" s="117"/>
      <c r="I146" s="117"/>
      <c r="J146" s="117"/>
      <c r="K146" s="117"/>
      <c r="L146" s="117"/>
      <c r="M146" s="117"/>
      <c r="N146" s="117"/>
      <c r="O146" s="258"/>
    </row>
    <row r="147" spans="1:15">
      <c r="A147" s="241"/>
      <c r="B147" s="233"/>
      <c r="C147" s="234"/>
      <c r="D147" s="234"/>
      <c r="E147" s="234"/>
      <c r="F147" s="235"/>
      <c r="G147" s="234"/>
      <c r="H147" s="117"/>
      <c r="I147" s="117"/>
      <c r="J147" s="117"/>
      <c r="K147" s="117"/>
      <c r="L147" s="117"/>
      <c r="M147" s="117"/>
      <c r="N147" s="117"/>
      <c r="O147" s="258"/>
    </row>
    <row r="148" spans="1:15">
      <c r="A148" s="241" t="s">
        <v>157</v>
      </c>
      <c r="B148" s="246" t="s">
        <v>158</v>
      </c>
      <c r="C148" s="234" t="s">
        <v>159</v>
      </c>
      <c r="D148" s="234" t="s">
        <v>160</v>
      </c>
      <c r="E148" s="234" t="s">
        <v>161</v>
      </c>
      <c r="F148" s="235" t="s">
        <v>162</v>
      </c>
      <c r="G148" s="234"/>
      <c r="H148" s="117"/>
      <c r="I148" s="117"/>
      <c r="J148" s="117"/>
      <c r="K148" s="117"/>
      <c r="L148" s="117"/>
      <c r="M148" s="117"/>
      <c r="N148" s="117"/>
      <c r="O148" s="258"/>
    </row>
    <row r="149" spans="1:15">
      <c r="A149" s="241" t="s">
        <v>163</v>
      </c>
      <c r="B149" s="247">
        <v>-1.3e-5</v>
      </c>
      <c r="C149" s="234"/>
      <c r="D149" s="234"/>
      <c r="E149" s="234"/>
      <c r="F149" s="235"/>
      <c r="G149" s="234"/>
      <c r="H149" s="117"/>
      <c r="I149" s="117"/>
      <c r="J149" s="117"/>
      <c r="K149" s="117"/>
      <c r="L149" s="117"/>
      <c r="M149" s="117"/>
      <c r="N149" s="117"/>
      <c r="O149" s="258"/>
    </row>
    <row r="150" spans="1:15">
      <c r="A150" s="241" t="s">
        <v>164</v>
      </c>
      <c r="B150" s="248">
        <v>2.4e-5</v>
      </c>
      <c r="C150" s="234"/>
      <c r="D150" s="234"/>
      <c r="E150" s="234"/>
      <c r="F150" s="235"/>
      <c r="G150" s="234"/>
      <c r="H150" s="117"/>
      <c r="I150" s="117"/>
      <c r="J150" s="117"/>
      <c r="K150" s="117"/>
      <c r="L150" s="117"/>
      <c r="M150" s="117"/>
      <c r="N150" s="117"/>
      <c r="O150" s="258"/>
    </row>
    <row r="151" spans="1:15">
      <c r="A151" s="241" t="s">
        <v>165</v>
      </c>
      <c r="B151" s="233">
        <v>0.9992</v>
      </c>
      <c r="C151" s="234"/>
      <c r="D151" s="234"/>
      <c r="E151" s="234"/>
      <c r="F151" s="235"/>
      <c r="G151" s="234"/>
      <c r="H151" s="117"/>
      <c r="I151" s="117"/>
      <c r="J151" s="117"/>
      <c r="K151" s="117"/>
      <c r="L151" s="117"/>
      <c r="M151" s="117"/>
      <c r="N151" s="117"/>
      <c r="O151" s="258"/>
    </row>
    <row r="152" spans="1:15">
      <c r="A152" s="242" t="s">
        <v>166</v>
      </c>
      <c r="B152" s="243"/>
      <c r="C152" s="219"/>
      <c r="D152" s="244"/>
      <c r="E152" s="219"/>
      <c r="F152" s="245"/>
      <c r="G152" s="219"/>
      <c r="H152" s="117"/>
      <c r="I152" s="117"/>
      <c r="J152" s="117"/>
      <c r="K152" s="117"/>
      <c r="L152" s="117"/>
      <c r="M152" s="117"/>
      <c r="N152" s="117"/>
      <c r="O152" s="258"/>
    </row>
    <row r="153" spans="1:15">
      <c r="A153" s="242"/>
      <c r="B153" s="243"/>
      <c r="C153" s="219"/>
      <c r="D153" s="244"/>
      <c r="E153" s="219"/>
      <c r="F153" s="245"/>
      <c r="G153" s="219"/>
      <c r="H153" s="117"/>
      <c r="I153" s="117"/>
      <c r="J153" s="117"/>
      <c r="K153" s="117"/>
      <c r="L153" s="117"/>
      <c r="M153" s="117"/>
      <c r="N153" s="117"/>
      <c r="O153" s="258"/>
    </row>
    <row r="154" spans="1:15">
      <c r="A154" s="249"/>
      <c r="B154" s="250"/>
      <c r="C154" s="250"/>
      <c r="D154" s="251"/>
      <c r="E154" s="251"/>
      <c r="F154" s="252"/>
      <c r="G154" s="251"/>
      <c r="H154" s="253"/>
      <c r="I154" s="253"/>
      <c r="J154" s="253"/>
      <c r="K154" s="253"/>
      <c r="L154" s="253"/>
      <c r="M154" s="253"/>
      <c r="N154" s="253"/>
      <c r="O154" s="259"/>
    </row>
    <row r="155" spans="1:15">
      <c r="A155" s="241"/>
      <c r="B155" s="233"/>
      <c r="C155" s="233"/>
      <c r="D155" s="233"/>
      <c r="E155" s="233"/>
      <c r="F155" s="254"/>
      <c r="G155" s="233"/>
      <c r="H155" s="117"/>
      <c r="I155" s="117"/>
      <c r="J155" s="117"/>
      <c r="K155" s="117"/>
      <c r="L155" s="117"/>
      <c r="M155" s="117"/>
      <c r="N155" s="117"/>
      <c r="O155" s="258"/>
    </row>
    <row r="156" spans="1:15">
      <c r="A156" s="241" t="s">
        <v>167</v>
      </c>
      <c r="B156" s="233" t="s">
        <v>168</v>
      </c>
      <c r="C156" s="233" t="s">
        <v>169</v>
      </c>
      <c r="D156" s="233" t="s">
        <v>170</v>
      </c>
      <c r="E156" s="233" t="s">
        <v>171</v>
      </c>
      <c r="F156" s="254" t="s">
        <v>172</v>
      </c>
      <c r="G156" s="233" t="s">
        <v>173</v>
      </c>
      <c r="H156" s="117" t="s">
        <v>174</v>
      </c>
      <c r="I156" s="117" t="s">
        <v>175</v>
      </c>
      <c r="J156" s="117" t="s">
        <v>176</v>
      </c>
      <c r="K156" s="117" t="s">
        <v>177</v>
      </c>
      <c r="L156" s="117" t="s">
        <v>178</v>
      </c>
      <c r="M156" s="117" t="s">
        <v>179</v>
      </c>
      <c r="N156" s="117" t="s">
        <v>180</v>
      </c>
      <c r="O156" s="258" t="s">
        <v>181</v>
      </c>
    </row>
    <row r="157" spans="1:15">
      <c r="A157" s="241" t="s">
        <v>182</v>
      </c>
      <c r="B157" s="233" t="s">
        <v>183</v>
      </c>
      <c r="C157" s="233" t="s">
        <v>184</v>
      </c>
      <c r="D157" s="233" t="s">
        <v>4</v>
      </c>
      <c r="E157" s="233" t="s">
        <v>185</v>
      </c>
      <c r="F157" s="254" t="e">
        <v>#DIV/0!</v>
      </c>
      <c r="G157" s="233">
        <v>0</v>
      </c>
      <c r="H157" s="117">
        <v>0</v>
      </c>
      <c r="I157" s="117" t="e">
        <v>#DIV/0!</v>
      </c>
      <c r="J157" s="117">
        <v>0</v>
      </c>
      <c r="K157" s="117">
        <v>0</v>
      </c>
      <c r="L157" s="117"/>
      <c r="M157" s="117">
        <v>0</v>
      </c>
      <c r="N157" s="117" t="s">
        <v>185</v>
      </c>
      <c r="O157" s="258">
        <v>1</v>
      </c>
    </row>
    <row r="158" spans="1:15">
      <c r="A158" s="241" t="s">
        <v>182</v>
      </c>
      <c r="B158" s="233" t="s">
        <v>183</v>
      </c>
      <c r="C158" s="233" t="s">
        <v>184</v>
      </c>
      <c r="D158" s="233" t="s">
        <v>4</v>
      </c>
      <c r="E158" s="233" t="s">
        <v>185</v>
      </c>
      <c r="F158" s="254" t="e">
        <v>#DIV/0!</v>
      </c>
      <c r="G158" s="233">
        <v>272</v>
      </c>
      <c r="H158" s="117">
        <v>1.43</v>
      </c>
      <c r="I158" s="117" t="e">
        <v>#DIV/0!</v>
      </c>
      <c r="J158" s="117">
        <v>0</v>
      </c>
      <c r="K158" s="117">
        <v>0</v>
      </c>
      <c r="L158" s="117"/>
      <c r="M158" s="117">
        <v>0</v>
      </c>
      <c r="N158" s="117" t="s">
        <v>185</v>
      </c>
      <c r="O158" s="258">
        <v>1</v>
      </c>
    </row>
    <row r="159" spans="1:15">
      <c r="A159" s="241" t="s">
        <v>182</v>
      </c>
      <c r="B159" s="233" t="s">
        <v>183</v>
      </c>
      <c r="C159" s="233" t="s">
        <v>184</v>
      </c>
      <c r="D159" s="233" t="s">
        <v>4</v>
      </c>
      <c r="E159" s="233" t="s">
        <v>185</v>
      </c>
      <c r="F159" s="254" t="e">
        <v>#DIV/0!</v>
      </c>
      <c r="G159" s="233">
        <v>237</v>
      </c>
      <c r="H159" s="117">
        <v>1.36</v>
      </c>
      <c r="I159" s="117" t="e">
        <v>#DIV/0!</v>
      </c>
      <c r="J159" s="117">
        <v>0</v>
      </c>
      <c r="K159" s="117">
        <v>0</v>
      </c>
      <c r="L159" s="117"/>
      <c r="M159" s="117">
        <v>0</v>
      </c>
      <c r="N159" s="117" t="s">
        <v>185</v>
      </c>
      <c r="O159" s="258">
        <v>1</v>
      </c>
    </row>
    <row r="160" spans="1:15">
      <c r="A160" s="241" t="s">
        <v>186</v>
      </c>
      <c r="B160" s="233" t="s">
        <v>183</v>
      </c>
      <c r="C160" s="233" t="s">
        <v>184</v>
      </c>
      <c r="D160" s="233" t="s">
        <v>4</v>
      </c>
      <c r="E160" s="233" t="s">
        <v>185</v>
      </c>
      <c r="F160" s="254" t="s">
        <v>187</v>
      </c>
      <c r="G160" s="233">
        <v>0</v>
      </c>
      <c r="H160" s="117">
        <v>0</v>
      </c>
      <c r="I160" s="117">
        <v>0</v>
      </c>
      <c r="J160" s="117">
        <v>9980000</v>
      </c>
      <c r="K160" s="117">
        <v>1.18</v>
      </c>
      <c r="L160" s="117"/>
      <c r="M160" s="117">
        <v>0</v>
      </c>
      <c r="N160" s="117" t="s">
        <v>185</v>
      </c>
      <c r="O160" s="258">
        <v>1</v>
      </c>
    </row>
    <row r="161" spans="1:15">
      <c r="A161" s="241" t="s">
        <v>188</v>
      </c>
      <c r="B161" s="233" t="s">
        <v>189</v>
      </c>
      <c r="C161" s="233" t="s">
        <v>184</v>
      </c>
      <c r="D161" s="233" t="s">
        <v>4</v>
      </c>
      <c r="E161" s="233">
        <v>1</v>
      </c>
      <c r="F161" s="254">
        <v>0.996</v>
      </c>
      <c r="G161" s="233">
        <v>110</v>
      </c>
      <c r="H161" s="117">
        <v>1.39</v>
      </c>
      <c r="I161" s="117">
        <v>1.09e-5</v>
      </c>
      <c r="J161" s="117">
        <v>10100000</v>
      </c>
      <c r="K161" s="117">
        <v>1.18</v>
      </c>
      <c r="L161" s="117">
        <v>1</v>
      </c>
      <c r="M161" s="117">
        <v>0</v>
      </c>
      <c r="N161" s="117">
        <v>99.64</v>
      </c>
      <c r="O161" s="258">
        <v>1</v>
      </c>
    </row>
    <row r="162" spans="1:15">
      <c r="A162" s="241" t="s">
        <v>191</v>
      </c>
      <c r="B162" s="233" t="s">
        <v>189</v>
      </c>
      <c r="C162" s="233" t="s">
        <v>184</v>
      </c>
      <c r="D162" s="233" t="s">
        <v>4</v>
      </c>
      <c r="E162" s="233">
        <v>2</v>
      </c>
      <c r="F162" s="254">
        <v>0.722</v>
      </c>
      <c r="G162" s="233">
        <v>44</v>
      </c>
      <c r="H162" s="117">
        <v>1.35</v>
      </c>
      <c r="I162" s="117">
        <v>4.27e-6</v>
      </c>
      <c r="J162" s="117">
        <v>10300000</v>
      </c>
      <c r="K162" s="117">
        <v>1.18</v>
      </c>
      <c r="L162" s="117">
        <v>0</v>
      </c>
      <c r="M162" s="117">
        <v>0</v>
      </c>
      <c r="N162" s="260">
        <v>36.09</v>
      </c>
      <c r="O162" s="258">
        <v>1</v>
      </c>
    </row>
    <row r="163" spans="1:15">
      <c r="A163" s="241" t="s">
        <v>192</v>
      </c>
      <c r="B163" s="233" t="s">
        <v>189</v>
      </c>
      <c r="C163" s="233" t="s">
        <v>184</v>
      </c>
      <c r="D163" s="233" t="s">
        <v>4</v>
      </c>
      <c r="E163" s="233">
        <v>10</v>
      </c>
      <c r="F163" s="254">
        <v>10.3</v>
      </c>
      <c r="G163" s="233">
        <v>2530</v>
      </c>
      <c r="H163" s="117">
        <v>1.4</v>
      </c>
      <c r="I163" s="117">
        <v>0.000235</v>
      </c>
      <c r="J163" s="117">
        <v>10800000</v>
      </c>
      <c r="K163" s="117">
        <v>1.18</v>
      </c>
      <c r="L163" s="117">
        <v>1</v>
      </c>
      <c r="M163" s="117">
        <v>0</v>
      </c>
      <c r="N163" s="117">
        <v>103.35</v>
      </c>
      <c r="O163" s="258">
        <v>1</v>
      </c>
    </row>
    <row r="164" spans="1:15">
      <c r="A164" s="241" t="s">
        <v>193</v>
      </c>
      <c r="B164" s="233" t="s">
        <v>189</v>
      </c>
      <c r="C164" s="233" t="s">
        <v>184</v>
      </c>
      <c r="D164" s="233" t="s">
        <v>4</v>
      </c>
      <c r="E164" s="233">
        <v>50</v>
      </c>
      <c r="F164" s="254">
        <v>51.2</v>
      </c>
      <c r="G164" s="233">
        <v>12800</v>
      </c>
      <c r="H164" s="117">
        <v>1.39</v>
      </c>
      <c r="I164" s="117">
        <v>0.00122</v>
      </c>
      <c r="J164" s="117">
        <v>10500000</v>
      </c>
      <c r="K164" s="117">
        <v>1.18</v>
      </c>
      <c r="L164" s="117">
        <v>1</v>
      </c>
      <c r="M164" s="117">
        <v>0</v>
      </c>
      <c r="N164" s="117">
        <v>102.49</v>
      </c>
      <c r="O164" s="258">
        <v>1</v>
      </c>
    </row>
    <row r="165" spans="1:15">
      <c r="A165" s="241" t="s">
        <v>194</v>
      </c>
      <c r="B165" s="233" t="s">
        <v>189</v>
      </c>
      <c r="C165" s="233" t="s">
        <v>184</v>
      </c>
      <c r="D165" s="233" t="s">
        <v>4</v>
      </c>
      <c r="E165" s="233">
        <v>200</v>
      </c>
      <c r="F165" s="254">
        <v>190</v>
      </c>
      <c r="G165" s="233">
        <v>47200</v>
      </c>
      <c r="H165" s="117">
        <v>1.4</v>
      </c>
      <c r="I165" s="117">
        <v>0.00455</v>
      </c>
      <c r="J165" s="117">
        <v>10400000</v>
      </c>
      <c r="K165" s="117">
        <v>1.18</v>
      </c>
      <c r="L165" s="117">
        <v>1</v>
      </c>
      <c r="M165" s="117">
        <v>0</v>
      </c>
      <c r="N165" s="117">
        <v>95.17</v>
      </c>
      <c r="O165" s="258">
        <v>1</v>
      </c>
    </row>
    <row r="166" spans="1:15">
      <c r="A166" s="241" t="s">
        <v>195</v>
      </c>
      <c r="B166" s="233" t="s">
        <v>189</v>
      </c>
      <c r="C166" s="233" t="s">
        <v>184</v>
      </c>
      <c r="D166" s="233" t="s">
        <v>4</v>
      </c>
      <c r="E166" s="233">
        <v>1000</v>
      </c>
      <c r="F166" s="254">
        <v>955</v>
      </c>
      <c r="G166" s="233">
        <v>246000</v>
      </c>
      <c r="H166" s="117">
        <v>1.39</v>
      </c>
      <c r="I166" s="117">
        <v>0.0229</v>
      </c>
      <c r="J166" s="117">
        <v>10800000</v>
      </c>
      <c r="K166" s="117">
        <v>1.18</v>
      </c>
      <c r="L166" s="117">
        <v>1</v>
      </c>
      <c r="M166" s="117">
        <v>0</v>
      </c>
      <c r="N166" s="117">
        <v>95.54</v>
      </c>
      <c r="O166" s="258">
        <v>1</v>
      </c>
    </row>
    <row r="167" spans="1:15">
      <c r="A167" s="241" t="s">
        <v>196</v>
      </c>
      <c r="B167" s="233" t="s">
        <v>189</v>
      </c>
      <c r="C167" s="233" t="s">
        <v>184</v>
      </c>
      <c r="D167" s="233" t="s">
        <v>4</v>
      </c>
      <c r="E167" s="233">
        <v>1800</v>
      </c>
      <c r="F167" s="254">
        <v>1320</v>
      </c>
      <c r="G167" s="233">
        <v>342000</v>
      </c>
      <c r="H167" s="117">
        <v>1.39</v>
      </c>
      <c r="I167" s="117">
        <v>0.0317</v>
      </c>
      <c r="J167" s="117">
        <v>10800000</v>
      </c>
      <c r="K167" s="117">
        <v>1.18</v>
      </c>
      <c r="L167" s="117">
        <v>0</v>
      </c>
      <c r="M167" s="117">
        <v>0</v>
      </c>
      <c r="N167" s="117">
        <v>73.61</v>
      </c>
      <c r="O167" s="258">
        <v>1</v>
      </c>
    </row>
    <row r="168" spans="1:15">
      <c r="A168" s="241" t="s">
        <v>197</v>
      </c>
      <c r="B168" s="233" t="s">
        <v>189</v>
      </c>
      <c r="C168" s="233" t="s">
        <v>184</v>
      </c>
      <c r="D168" s="233" t="s">
        <v>4</v>
      </c>
      <c r="E168" s="233">
        <v>2000</v>
      </c>
      <c r="F168" s="254">
        <v>2080</v>
      </c>
      <c r="G168" s="233">
        <v>531000</v>
      </c>
      <c r="H168" s="117">
        <v>1.39</v>
      </c>
      <c r="I168" s="117">
        <v>0.0498</v>
      </c>
      <c r="J168" s="117">
        <v>10700000</v>
      </c>
      <c r="K168" s="117">
        <v>1.18</v>
      </c>
      <c r="L168" s="117">
        <v>1</v>
      </c>
      <c r="M168" s="117">
        <v>0</v>
      </c>
      <c r="N168" s="117">
        <v>103.81</v>
      </c>
      <c r="O168" s="258">
        <v>1</v>
      </c>
    </row>
    <row r="169" spans="1:15">
      <c r="A169" s="241" t="s">
        <v>182</v>
      </c>
      <c r="B169" s="233" t="s">
        <v>183</v>
      </c>
      <c r="C169" s="233" t="s">
        <v>184</v>
      </c>
      <c r="D169" s="233" t="s">
        <v>4</v>
      </c>
      <c r="E169" s="233" t="s">
        <v>185</v>
      </c>
      <c r="F169" s="254" t="e">
        <v>#DIV/0!</v>
      </c>
      <c r="G169" s="233">
        <v>224</v>
      </c>
      <c r="H169" s="117">
        <v>1.38</v>
      </c>
      <c r="I169" s="117" t="e">
        <v>#DIV/0!</v>
      </c>
      <c r="J169" s="117">
        <v>0</v>
      </c>
      <c r="K169" s="117">
        <v>0</v>
      </c>
      <c r="L169" s="117"/>
      <c r="M169" s="117">
        <v>0</v>
      </c>
      <c r="N169" s="117" t="s">
        <v>185</v>
      </c>
      <c r="O169" s="258">
        <v>1</v>
      </c>
    </row>
    <row r="170" spans="1:15">
      <c r="A170" s="241" t="s">
        <v>182</v>
      </c>
      <c r="B170" s="233" t="s">
        <v>183</v>
      </c>
      <c r="C170" s="233" t="s">
        <v>184</v>
      </c>
      <c r="D170" s="233" t="s">
        <v>4</v>
      </c>
      <c r="E170" s="233" t="s">
        <v>185</v>
      </c>
      <c r="F170" s="254" t="e">
        <v>#DIV/0!</v>
      </c>
      <c r="G170" s="233">
        <v>264</v>
      </c>
      <c r="H170" s="117">
        <v>1.35</v>
      </c>
      <c r="I170" s="117" t="e">
        <v>#DIV/0!</v>
      </c>
      <c r="J170" s="117">
        <v>0</v>
      </c>
      <c r="K170" s="117">
        <v>0</v>
      </c>
      <c r="L170" s="117"/>
      <c r="M170" s="117">
        <v>0</v>
      </c>
      <c r="N170" s="117" t="s">
        <v>185</v>
      </c>
      <c r="O170" s="258">
        <v>1</v>
      </c>
    </row>
    <row r="171" spans="1:15">
      <c r="A171" s="241" t="s">
        <v>198</v>
      </c>
      <c r="B171" s="233" t="s">
        <v>199</v>
      </c>
      <c r="C171" s="233" t="s">
        <v>184</v>
      </c>
      <c r="D171" s="233" t="s">
        <v>4</v>
      </c>
      <c r="E171" s="233">
        <v>3</v>
      </c>
      <c r="F171" s="254">
        <v>2.97</v>
      </c>
      <c r="G171" s="233">
        <v>641</v>
      </c>
      <c r="H171" s="117">
        <v>1.41</v>
      </c>
      <c r="I171" s="117">
        <v>5.83e-5</v>
      </c>
      <c r="J171" s="117">
        <v>11000000</v>
      </c>
      <c r="K171" s="117">
        <v>1.18</v>
      </c>
      <c r="L171" s="117">
        <v>1</v>
      </c>
      <c r="M171" s="117">
        <v>0</v>
      </c>
      <c r="N171" s="117">
        <v>99.14</v>
      </c>
      <c r="O171" s="258">
        <v>1</v>
      </c>
    </row>
    <row r="172" spans="1:15">
      <c r="A172" s="241" t="s">
        <v>200</v>
      </c>
      <c r="B172" s="233" t="s">
        <v>199</v>
      </c>
      <c r="C172" s="233" t="s">
        <v>184</v>
      </c>
      <c r="D172" s="233" t="s">
        <v>4</v>
      </c>
      <c r="E172" s="233">
        <v>100</v>
      </c>
      <c r="F172" s="254">
        <v>85.9</v>
      </c>
      <c r="G172" s="233">
        <v>22300</v>
      </c>
      <c r="H172" s="117">
        <v>1.39</v>
      </c>
      <c r="I172" s="117">
        <v>0.00205</v>
      </c>
      <c r="J172" s="117">
        <v>10900000</v>
      </c>
      <c r="K172" s="117">
        <v>1.17</v>
      </c>
      <c r="L172" s="117">
        <v>1</v>
      </c>
      <c r="M172" s="117">
        <v>0</v>
      </c>
      <c r="N172" s="117">
        <v>85.94</v>
      </c>
      <c r="O172" s="258">
        <v>1</v>
      </c>
    </row>
    <row r="173" spans="1:15">
      <c r="A173" s="241" t="s">
        <v>201</v>
      </c>
      <c r="B173" s="233" t="s">
        <v>199</v>
      </c>
      <c r="C173" s="233" t="s">
        <v>184</v>
      </c>
      <c r="D173" s="233" t="s">
        <v>4</v>
      </c>
      <c r="E173" s="233">
        <v>1600</v>
      </c>
      <c r="F173" s="254">
        <v>1480</v>
      </c>
      <c r="G173" s="233">
        <v>385000</v>
      </c>
      <c r="H173" s="117">
        <v>1.39</v>
      </c>
      <c r="I173" s="117">
        <v>0.0354</v>
      </c>
      <c r="J173" s="117">
        <v>10900000</v>
      </c>
      <c r="K173" s="117">
        <v>1.18</v>
      </c>
      <c r="L173" s="117">
        <v>1</v>
      </c>
      <c r="M173" s="117">
        <v>0</v>
      </c>
      <c r="N173" s="117">
        <v>92.39</v>
      </c>
      <c r="O173" s="258">
        <v>1</v>
      </c>
    </row>
    <row r="174" spans="1:15">
      <c r="A174" s="241" t="s">
        <v>182</v>
      </c>
      <c r="B174" s="233" t="s">
        <v>183</v>
      </c>
      <c r="C174" s="233" t="s">
        <v>184</v>
      </c>
      <c r="D174" s="233" t="s">
        <v>4</v>
      </c>
      <c r="E174" s="233" t="s">
        <v>185</v>
      </c>
      <c r="F174" s="254" t="e">
        <v>#DIV/0!</v>
      </c>
      <c r="G174" s="233">
        <v>118</v>
      </c>
      <c r="H174" s="117">
        <v>1.4</v>
      </c>
      <c r="I174" s="117" t="e">
        <v>#DIV/0!</v>
      </c>
      <c r="J174" s="117">
        <v>0</v>
      </c>
      <c r="K174" s="117">
        <v>0</v>
      </c>
      <c r="L174" s="117"/>
      <c r="M174" s="117">
        <v>0</v>
      </c>
      <c r="N174" s="117" t="s">
        <v>185</v>
      </c>
      <c r="O174" s="258">
        <v>1</v>
      </c>
    </row>
    <row r="175" spans="1:15">
      <c r="A175" s="241" t="s">
        <v>265</v>
      </c>
      <c r="B175" s="233" t="s">
        <v>183</v>
      </c>
      <c r="C175" s="233" t="s">
        <v>184</v>
      </c>
      <c r="D175" s="233" t="s">
        <v>4</v>
      </c>
      <c r="E175" s="233" t="s">
        <v>185</v>
      </c>
      <c r="F175" s="254" t="s">
        <v>187</v>
      </c>
      <c r="G175" s="233">
        <v>0</v>
      </c>
      <c r="H175" s="117">
        <v>0</v>
      </c>
      <c r="I175" s="117">
        <v>0</v>
      </c>
      <c r="J175" s="117">
        <v>13800000</v>
      </c>
      <c r="K175" s="117">
        <v>1.17</v>
      </c>
      <c r="L175" s="117"/>
      <c r="M175" s="117">
        <v>0</v>
      </c>
      <c r="N175" s="117" t="s">
        <v>185</v>
      </c>
      <c r="O175" s="258">
        <v>1</v>
      </c>
    </row>
    <row r="176" spans="1:15">
      <c r="A176" s="241" t="s">
        <v>266</v>
      </c>
      <c r="B176" s="233" t="s">
        <v>183</v>
      </c>
      <c r="C176" s="233" t="s">
        <v>184</v>
      </c>
      <c r="D176" s="233" t="s">
        <v>4</v>
      </c>
      <c r="E176" s="233" t="s">
        <v>185</v>
      </c>
      <c r="F176" s="254">
        <v>0.036</v>
      </c>
      <c r="G176" s="233">
        <v>412</v>
      </c>
      <c r="H176" s="117">
        <v>1.38</v>
      </c>
      <c r="I176" s="117">
        <v>3.03e-5</v>
      </c>
      <c r="J176" s="117">
        <v>13600000</v>
      </c>
      <c r="K176" s="117">
        <v>1.17</v>
      </c>
      <c r="L176" s="117"/>
      <c r="M176" s="117">
        <v>0</v>
      </c>
      <c r="N176" s="117" t="s">
        <v>185</v>
      </c>
      <c r="O176" s="258">
        <v>1</v>
      </c>
    </row>
    <row r="177" spans="1:15">
      <c r="A177" s="241" t="s">
        <v>267</v>
      </c>
      <c r="B177" s="233" t="s">
        <v>183</v>
      </c>
      <c r="C177" s="233" t="s">
        <v>184</v>
      </c>
      <c r="D177" s="233" t="s">
        <v>4</v>
      </c>
      <c r="E177" s="233" t="s">
        <v>185</v>
      </c>
      <c r="F177" s="254">
        <v>2.33</v>
      </c>
      <c r="G177" s="233">
        <v>435</v>
      </c>
      <c r="H177" s="117">
        <v>1.39</v>
      </c>
      <c r="I177" s="117">
        <v>4.28e-5</v>
      </c>
      <c r="J177" s="117">
        <v>10200000</v>
      </c>
      <c r="K177" s="117">
        <v>1.18</v>
      </c>
      <c r="L177" s="117"/>
      <c r="M177" s="117">
        <v>0</v>
      </c>
      <c r="N177" s="117" t="s">
        <v>185</v>
      </c>
      <c r="O177" s="258">
        <v>1</v>
      </c>
    </row>
    <row r="178" spans="1:15">
      <c r="A178" s="241" t="s">
        <v>268</v>
      </c>
      <c r="B178" s="233" t="s">
        <v>183</v>
      </c>
      <c r="C178" s="233" t="s">
        <v>184</v>
      </c>
      <c r="D178" s="233" t="s">
        <v>4</v>
      </c>
      <c r="E178" s="233" t="s">
        <v>185</v>
      </c>
      <c r="F178" s="254">
        <v>4.1</v>
      </c>
      <c r="G178" s="233">
        <v>902</v>
      </c>
      <c r="H178" s="117">
        <v>1.38</v>
      </c>
      <c r="I178" s="117">
        <v>8.52e-5</v>
      </c>
      <c r="J178" s="117">
        <v>10600000</v>
      </c>
      <c r="K178" s="117">
        <v>1.17</v>
      </c>
      <c r="L178" s="117"/>
      <c r="M178" s="117">
        <v>0</v>
      </c>
      <c r="N178" s="117" t="s">
        <v>185</v>
      </c>
      <c r="O178" s="258">
        <v>1</v>
      </c>
    </row>
    <row r="179" spans="1:15">
      <c r="A179" s="241" t="s">
        <v>269</v>
      </c>
      <c r="B179" s="233" t="s">
        <v>183</v>
      </c>
      <c r="C179" s="233" t="s">
        <v>184</v>
      </c>
      <c r="D179" s="233" t="s">
        <v>4</v>
      </c>
      <c r="E179" s="233" t="s">
        <v>185</v>
      </c>
      <c r="F179" s="254">
        <v>8.36</v>
      </c>
      <c r="G179" s="233">
        <v>1900</v>
      </c>
      <c r="H179" s="117">
        <v>1.39</v>
      </c>
      <c r="I179" s="117">
        <v>0.000187</v>
      </c>
      <c r="J179" s="117">
        <v>10100000</v>
      </c>
      <c r="K179" s="117">
        <v>1.18</v>
      </c>
      <c r="L179" s="117"/>
      <c r="M179" s="117">
        <v>0</v>
      </c>
      <c r="N179" s="117" t="s">
        <v>185</v>
      </c>
      <c r="O179" s="258">
        <v>1</v>
      </c>
    </row>
    <row r="180" spans="1:15">
      <c r="A180" s="241" t="s">
        <v>270</v>
      </c>
      <c r="B180" s="233" t="s">
        <v>183</v>
      </c>
      <c r="C180" s="233" t="s">
        <v>184</v>
      </c>
      <c r="D180" s="233" t="s">
        <v>4</v>
      </c>
      <c r="E180" s="233" t="s">
        <v>185</v>
      </c>
      <c r="F180" s="254">
        <v>53.3</v>
      </c>
      <c r="G180" s="233">
        <v>12700</v>
      </c>
      <c r="H180" s="117">
        <v>1.4</v>
      </c>
      <c r="I180" s="117">
        <v>0.00126</v>
      </c>
      <c r="J180" s="117">
        <v>10000000</v>
      </c>
      <c r="K180" s="117">
        <v>1.19</v>
      </c>
      <c r="L180" s="117"/>
      <c r="M180" s="117">
        <v>0</v>
      </c>
      <c r="N180" s="117" t="s">
        <v>185</v>
      </c>
      <c r="O180" s="258">
        <v>1</v>
      </c>
    </row>
    <row r="181" spans="1:15">
      <c r="A181" s="241" t="s">
        <v>271</v>
      </c>
      <c r="B181" s="233" t="s">
        <v>183</v>
      </c>
      <c r="C181" s="233" t="s">
        <v>184</v>
      </c>
      <c r="D181" s="233" t="s">
        <v>4</v>
      </c>
      <c r="E181" s="233" t="s">
        <v>185</v>
      </c>
      <c r="F181" s="254">
        <v>452</v>
      </c>
      <c r="G181" s="233">
        <v>109000</v>
      </c>
      <c r="H181" s="117">
        <v>1.38</v>
      </c>
      <c r="I181" s="117">
        <v>0.0108</v>
      </c>
      <c r="J181" s="117">
        <v>10100000</v>
      </c>
      <c r="K181" s="117">
        <v>1.16</v>
      </c>
      <c r="L181" s="117"/>
      <c r="M181" s="117">
        <v>0</v>
      </c>
      <c r="N181" s="117" t="s">
        <v>185</v>
      </c>
      <c r="O181" s="258">
        <v>1</v>
      </c>
    </row>
    <row r="182" spans="1:15">
      <c r="A182" s="241" t="s">
        <v>272</v>
      </c>
      <c r="B182" s="233" t="s">
        <v>183</v>
      </c>
      <c r="C182" s="233" t="s">
        <v>184</v>
      </c>
      <c r="D182" s="233" t="s">
        <v>4</v>
      </c>
      <c r="E182" s="233" t="s">
        <v>185</v>
      </c>
      <c r="F182" s="254">
        <v>919</v>
      </c>
      <c r="G182" s="233">
        <v>227000</v>
      </c>
      <c r="H182" s="117">
        <v>1.39</v>
      </c>
      <c r="I182" s="117">
        <v>0.022</v>
      </c>
      <c r="J182" s="117">
        <v>10300000</v>
      </c>
      <c r="K182" s="117">
        <v>1.17</v>
      </c>
      <c r="L182" s="117"/>
      <c r="M182" s="117">
        <v>0</v>
      </c>
      <c r="N182" s="117" t="s">
        <v>185</v>
      </c>
      <c r="O182" s="258">
        <v>1</v>
      </c>
    </row>
    <row r="183" spans="1:15">
      <c r="A183" s="241" t="s">
        <v>273</v>
      </c>
      <c r="B183" s="233" t="s">
        <v>183</v>
      </c>
      <c r="C183" s="233" t="s">
        <v>184</v>
      </c>
      <c r="D183" s="233" t="s">
        <v>4</v>
      </c>
      <c r="E183" s="233" t="s">
        <v>185</v>
      </c>
      <c r="F183" s="254">
        <v>696</v>
      </c>
      <c r="G183" s="233">
        <v>171000</v>
      </c>
      <c r="H183" s="117">
        <v>1.39</v>
      </c>
      <c r="I183" s="117">
        <v>0.0167</v>
      </c>
      <c r="J183" s="117">
        <v>10300000</v>
      </c>
      <c r="K183" s="117">
        <v>1.17</v>
      </c>
      <c r="L183" s="117"/>
      <c r="M183" s="117">
        <v>0</v>
      </c>
      <c r="N183" s="117" t="s">
        <v>185</v>
      </c>
      <c r="O183" s="258">
        <v>1</v>
      </c>
    </row>
    <row r="184" spans="1:15">
      <c r="A184" s="241" t="s">
        <v>182</v>
      </c>
      <c r="B184" s="233" t="s">
        <v>183</v>
      </c>
      <c r="C184" s="233" t="s">
        <v>184</v>
      </c>
      <c r="D184" s="233" t="s">
        <v>4</v>
      </c>
      <c r="E184" s="233" t="s">
        <v>185</v>
      </c>
      <c r="F184" s="254" t="e">
        <v>#DIV/0!</v>
      </c>
      <c r="G184" s="233">
        <v>116</v>
      </c>
      <c r="H184" s="117">
        <v>1.39</v>
      </c>
      <c r="I184" s="117" t="e">
        <v>#DIV/0!</v>
      </c>
      <c r="J184" s="117">
        <v>0</v>
      </c>
      <c r="K184" s="117">
        <v>0</v>
      </c>
      <c r="L184" s="117"/>
      <c r="M184" s="117">
        <v>0</v>
      </c>
      <c r="N184" s="117" t="s">
        <v>185</v>
      </c>
      <c r="O184" s="258">
        <v>1</v>
      </c>
    </row>
    <row r="185" spans="1:15">
      <c r="A185" s="241" t="s">
        <v>182</v>
      </c>
      <c r="B185" s="233" t="s">
        <v>183</v>
      </c>
      <c r="C185" s="233" t="s">
        <v>184</v>
      </c>
      <c r="D185" s="233" t="s">
        <v>4</v>
      </c>
      <c r="E185" s="233" t="s">
        <v>185</v>
      </c>
      <c r="F185" s="254" t="e">
        <v>#DIV/0!</v>
      </c>
      <c r="G185" s="233">
        <v>0</v>
      </c>
      <c r="H185" s="117">
        <v>0</v>
      </c>
      <c r="I185" s="117" t="e">
        <v>#DIV/0!</v>
      </c>
      <c r="J185" s="117">
        <v>0</v>
      </c>
      <c r="K185" s="117">
        <v>0</v>
      </c>
      <c r="L185" s="117"/>
      <c r="M185" s="117">
        <v>0</v>
      </c>
      <c r="N185" s="117" t="s">
        <v>185</v>
      </c>
      <c r="O185" s="258">
        <v>1</v>
      </c>
    </row>
    <row r="186" spans="1:15">
      <c r="A186" s="241" t="s">
        <v>256</v>
      </c>
      <c r="B186" s="233" t="s">
        <v>199</v>
      </c>
      <c r="C186" s="233" t="s">
        <v>184</v>
      </c>
      <c r="D186" s="233" t="s">
        <v>4</v>
      </c>
      <c r="E186" s="233">
        <v>3</v>
      </c>
      <c r="F186" s="254">
        <v>5.6</v>
      </c>
      <c r="G186" s="233">
        <v>1310</v>
      </c>
      <c r="H186" s="117">
        <v>1.39</v>
      </c>
      <c r="I186" s="117">
        <v>0.000121</v>
      </c>
      <c r="J186" s="117">
        <v>10800000</v>
      </c>
      <c r="K186" s="117">
        <v>1.18</v>
      </c>
      <c r="L186" s="117">
        <v>1</v>
      </c>
      <c r="M186" s="117">
        <v>0</v>
      </c>
      <c r="N186" s="117">
        <v>186.64</v>
      </c>
      <c r="O186" s="258">
        <v>1</v>
      </c>
    </row>
    <row r="187" spans="1:15">
      <c r="A187" s="241" t="s">
        <v>257</v>
      </c>
      <c r="B187" s="233" t="s">
        <v>199</v>
      </c>
      <c r="C187" s="233" t="s">
        <v>184</v>
      </c>
      <c r="D187" s="233" t="s">
        <v>4</v>
      </c>
      <c r="E187" s="233">
        <v>100</v>
      </c>
      <c r="F187" s="254">
        <v>99</v>
      </c>
      <c r="G187" s="233">
        <v>26300</v>
      </c>
      <c r="H187" s="117">
        <v>1.39</v>
      </c>
      <c r="I187" s="117">
        <v>0.00236</v>
      </c>
      <c r="J187" s="117">
        <v>11200000</v>
      </c>
      <c r="K187" s="117">
        <v>1.18</v>
      </c>
      <c r="L187" s="117">
        <v>1</v>
      </c>
      <c r="M187" s="117">
        <v>0</v>
      </c>
      <c r="N187" s="117">
        <v>98.96</v>
      </c>
      <c r="O187" s="258">
        <v>1</v>
      </c>
    </row>
    <row r="188" spans="1:15">
      <c r="A188" s="241" t="s">
        <v>258</v>
      </c>
      <c r="B188" s="233" t="s">
        <v>199</v>
      </c>
      <c r="C188" s="233" t="s">
        <v>184</v>
      </c>
      <c r="D188" s="233" t="s">
        <v>4</v>
      </c>
      <c r="E188" s="233">
        <v>1600</v>
      </c>
      <c r="F188" s="254">
        <v>1720</v>
      </c>
      <c r="G188" s="233">
        <v>455000</v>
      </c>
      <c r="H188" s="117">
        <v>1.39</v>
      </c>
      <c r="I188" s="117">
        <v>0.0413</v>
      </c>
      <c r="J188" s="117">
        <v>11000000</v>
      </c>
      <c r="K188" s="117">
        <v>1.18</v>
      </c>
      <c r="L188" s="117">
        <v>1</v>
      </c>
      <c r="M188" s="117">
        <v>0</v>
      </c>
      <c r="N188" s="117">
        <v>107.74</v>
      </c>
      <c r="O188" s="258">
        <v>1</v>
      </c>
    </row>
    <row r="189" ht="14.75" spans="1:15">
      <c r="A189" s="242"/>
      <c r="B189" s="243"/>
      <c r="C189" s="243"/>
      <c r="D189" s="262"/>
      <c r="E189" s="243"/>
      <c r="F189" s="263"/>
      <c r="G189" s="243"/>
      <c r="O189" s="280"/>
    </row>
    <row r="190" spans="1:15">
      <c r="A190" s="264" t="s">
        <v>259</v>
      </c>
      <c r="B190" s="265"/>
      <c r="C190" s="266"/>
      <c r="D190" s="267"/>
      <c r="E190" s="268"/>
      <c r="O190" s="280"/>
    </row>
    <row r="191" spans="1:15">
      <c r="A191" s="269" t="s">
        <v>260</v>
      </c>
      <c r="B191" s="270">
        <f>AVERAGE(J160:J168,J171:J173,J175:J183,J186:J188)</f>
        <v>10799166.6666667</v>
      </c>
      <c r="C191" s="270"/>
      <c r="D191" s="270"/>
      <c r="E191" s="271"/>
      <c r="O191" s="280"/>
    </row>
    <row r="192" spans="1:15">
      <c r="A192" s="269" t="s">
        <v>261</v>
      </c>
      <c r="B192" s="270">
        <f>STDEV(J160:J168,J171:J173,J175:J183,J186:J188)</f>
        <v>962162.04305795</v>
      </c>
      <c r="C192" s="270"/>
      <c r="D192" s="270"/>
      <c r="E192" s="271"/>
      <c r="O192" s="280"/>
    </row>
    <row r="193" spans="1:15">
      <c r="A193" s="272" t="s">
        <v>262</v>
      </c>
      <c r="B193" s="273">
        <f>B192/B191*100</f>
        <v>8.90959527486334</v>
      </c>
      <c r="C193" s="273"/>
      <c r="D193" s="274" t="s">
        <v>263</v>
      </c>
      <c r="E193" s="275" t="s">
        <v>264</v>
      </c>
      <c r="O193" s="280"/>
    </row>
    <row r="194" ht="14.75" spans="1:15">
      <c r="A194" s="276"/>
      <c r="B194" s="277"/>
      <c r="C194" s="277"/>
      <c r="D194" s="278"/>
      <c r="E194" s="279"/>
      <c r="O194" s="280"/>
    </row>
    <row r="195" spans="15:15">
      <c r="O195" s="280"/>
    </row>
    <row r="196" spans="15:15">
      <c r="O196" s="280"/>
    </row>
    <row r="197" spans="15:15">
      <c r="O197" s="280"/>
    </row>
    <row r="198" spans="15:15">
      <c r="O198" s="280"/>
    </row>
    <row r="199" spans="15:15">
      <c r="O199" s="280"/>
    </row>
    <row r="200" spans="15:15">
      <c r="O200" s="280"/>
    </row>
    <row r="201" spans="15:15">
      <c r="O201" s="280"/>
    </row>
    <row r="202" spans="15:15">
      <c r="O202" s="280"/>
    </row>
    <row r="203" spans="15:15">
      <c r="O203" s="280"/>
    </row>
    <row r="204" spans="15:15">
      <c r="O204" s="280"/>
    </row>
    <row r="205" spans="15:15">
      <c r="O205" s="280"/>
    </row>
    <row r="206" spans="15:15">
      <c r="O206" s="280"/>
    </row>
    <row r="207" spans="15:15">
      <c r="O207" s="280"/>
    </row>
    <row r="208" spans="15:15">
      <c r="O208" s="280"/>
    </row>
    <row r="209" spans="15:15">
      <c r="O209" s="280"/>
    </row>
    <row r="210" spans="15:15">
      <c r="O210" s="280"/>
    </row>
    <row r="211" spans="15:15">
      <c r="O211" s="280"/>
    </row>
    <row r="212" spans="15:15">
      <c r="O212" s="280"/>
    </row>
    <row r="213" spans="15:15">
      <c r="O213" s="280"/>
    </row>
    <row r="214" spans="15:15">
      <c r="O214" s="280"/>
    </row>
    <row r="215" spans="15:15">
      <c r="O215" s="280"/>
    </row>
    <row r="216" spans="15:15">
      <c r="O216" s="280"/>
    </row>
    <row r="217" spans="15:15">
      <c r="O217" s="280"/>
    </row>
    <row r="218" spans="15:15">
      <c r="O218" s="280"/>
    </row>
    <row r="219" spans="15:15">
      <c r="O219" s="280"/>
    </row>
    <row r="220" spans="15:15">
      <c r="O220" s="280"/>
    </row>
    <row r="221" spans="15:15">
      <c r="O221" s="280"/>
    </row>
    <row r="222" spans="15:15">
      <c r="O222" s="280"/>
    </row>
    <row r="223" spans="15:15">
      <c r="O223" s="280"/>
    </row>
    <row r="224" spans="15:15">
      <c r="O224" s="280"/>
    </row>
    <row r="225" spans="15:15">
      <c r="O225" s="280"/>
    </row>
    <row r="226" spans="15:15">
      <c r="O226" s="280"/>
    </row>
    <row r="227" spans="15:15">
      <c r="O227" s="280"/>
    </row>
    <row r="228" ht="14.75" spans="1:15">
      <c r="A228" s="276"/>
      <c r="B228" s="277"/>
      <c r="C228" s="277"/>
      <c r="D228" s="278"/>
      <c r="E228" s="281"/>
      <c r="F228" s="282"/>
      <c r="G228" s="277"/>
      <c r="H228" s="277"/>
      <c r="I228" s="277"/>
      <c r="J228" s="277"/>
      <c r="K228" s="277"/>
      <c r="L228" s="277"/>
      <c r="M228" s="277"/>
      <c r="N228" s="277"/>
      <c r="O228" s="283"/>
    </row>
  </sheetData>
  <mergeCells count="6">
    <mergeCell ref="B100:D100"/>
    <mergeCell ref="B101:D101"/>
    <mergeCell ref="B102:C102"/>
    <mergeCell ref="B191:D191"/>
    <mergeCell ref="B192:D192"/>
    <mergeCell ref="B193:C193"/>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93"/>
  <sheetViews>
    <sheetView showGridLines="0" workbookViewId="0">
      <selection activeCell="L32" sqref="L32"/>
    </sheetView>
  </sheetViews>
  <sheetFormatPr defaultColWidth="9" defaultRowHeight="14"/>
  <cols>
    <col min="1" max="1" width="1.87272727272727" style="184" customWidth="1"/>
    <col min="2" max="2" width="4.37272727272727" style="184" customWidth="1"/>
    <col min="3" max="3" width="17.2545454545455" style="184" customWidth="1"/>
    <col min="4" max="9" width="11.3727272727273" style="184" customWidth="1"/>
    <col min="10" max="10" width="6.37272727272727" style="184" customWidth="1"/>
    <col min="11" max="16384" width="9" style="184"/>
  </cols>
  <sheetData>
    <row r="1" spans="1:8">
      <c r="A1" s="185"/>
      <c r="B1" s="186"/>
      <c r="C1" s="186"/>
      <c r="D1" s="186"/>
      <c r="E1" s="186"/>
      <c r="F1" s="186"/>
      <c r="G1" s="186"/>
      <c r="H1" s="186"/>
    </row>
    <row r="2" ht="14.75" spans="1:8">
      <c r="A2" s="185"/>
      <c r="B2" s="187"/>
      <c r="C2" s="186"/>
      <c r="D2" s="186"/>
      <c r="E2" s="186"/>
      <c r="F2" s="186"/>
      <c r="G2" s="186"/>
      <c r="H2" s="186"/>
    </row>
    <row r="3" spans="1:10">
      <c r="A3" s="185"/>
      <c r="B3" s="188"/>
      <c r="C3" s="189"/>
      <c r="D3" s="190"/>
      <c r="E3" s="190"/>
      <c r="F3" s="190"/>
      <c r="G3" s="190"/>
      <c r="H3" s="190"/>
      <c r="I3" s="214"/>
      <c r="J3" s="215"/>
    </row>
    <row r="4" spans="1:10">
      <c r="A4" s="185"/>
      <c r="B4" s="191"/>
      <c r="C4" s="192"/>
      <c r="D4" s="193"/>
      <c r="E4" s="193"/>
      <c r="F4" s="193"/>
      <c r="G4" s="193"/>
      <c r="H4" s="193"/>
      <c r="I4" s="193"/>
      <c r="J4" s="216"/>
    </row>
    <row r="5" spans="1:12">
      <c r="A5" s="185"/>
      <c r="B5" s="194"/>
      <c r="C5" s="195" t="s">
        <v>274</v>
      </c>
      <c r="D5" s="196" t="s">
        <v>275</v>
      </c>
      <c r="E5" s="196" t="s">
        <v>276</v>
      </c>
      <c r="F5" s="196" t="s">
        <v>277</v>
      </c>
      <c r="G5" s="196" t="s">
        <v>278</v>
      </c>
      <c r="H5" s="197"/>
      <c r="I5" s="197"/>
      <c r="J5" s="217"/>
      <c r="K5" s="197"/>
      <c r="L5" s="197"/>
    </row>
    <row r="6" spans="1:12">
      <c r="A6" s="185"/>
      <c r="B6" s="194"/>
      <c r="C6" s="195"/>
      <c r="D6" s="13" t="s">
        <v>188</v>
      </c>
      <c r="E6" s="198">
        <v>1</v>
      </c>
      <c r="F6" s="199" t="s">
        <v>190</v>
      </c>
      <c r="G6" s="200" t="s">
        <v>185</v>
      </c>
      <c r="H6" s="197"/>
      <c r="I6" s="197"/>
      <c r="J6" s="217"/>
      <c r="K6" s="197"/>
      <c r="L6" s="197"/>
    </row>
    <row r="7" ht="15.75" customHeight="1" spans="1:17">
      <c r="A7" s="185"/>
      <c r="B7" s="194"/>
      <c r="C7" s="195"/>
      <c r="D7" s="13" t="s">
        <v>191</v>
      </c>
      <c r="E7" s="198">
        <v>2</v>
      </c>
      <c r="F7" s="199">
        <v>1.97</v>
      </c>
      <c r="G7" s="200">
        <v>98.41</v>
      </c>
      <c r="H7" s="197"/>
      <c r="I7" s="197"/>
      <c r="J7" s="217"/>
      <c r="K7" s="197"/>
      <c r="L7" s="218"/>
      <c r="O7" s="219"/>
      <c r="P7" s="219"/>
      <c r="Q7" s="219"/>
    </row>
    <row r="8" spans="1:17">
      <c r="A8" s="185"/>
      <c r="B8" s="194"/>
      <c r="C8" s="195"/>
      <c r="D8" s="13" t="s">
        <v>192</v>
      </c>
      <c r="E8" s="198">
        <v>10</v>
      </c>
      <c r="F8" s="199">
        <v>10.5</v>
      </c>
      <c r="G8" s="200">
        <v>104.97</v>
      </c>
      <c r="H8" s="197"/>
      <c r="I8" s="197"/>
      <c r="J8" s="217"/>
      <c r="K8" s="197"/>
      <c r="L8" s="197"/>
      <c r="O8" s="219"/>
      <c r="P8" s="219"/>
      <c r="Q8" s="219"/>
    </row>
    <row r="9" spans="1:17">
      <c r="A9" s="185"/>
      <c r="B9" s="194"/>
      <c r="C9" s="195"/>
      <c r="D9" s="13" t="s">
        <v>193</v>
      </c>
      <c r="E9" s="198">
        <v>50</v>
      </c>
      <c r="F9" s="199">
        <v>58.9</v>
      </c>
      <c r="G9" s="200">
        <v>117.87</v>
      </c>
      <c r="H9" s="197"/>
      <c r="I9" s="197"/>
      <c r="J9" s="217"/>
      <c r="K9" s="197"/>
      <c r="L9" s="197"/>
      <c r="O9" s="219"/>
      <c r="P9" s="219"/>
      <c r="Q9" s="219"/>
    </row>
    <row r="10" ht="15.75" customHeight="1" spans="1:17">
      <c r="A10" s="185"/>
      <c r="B10" s="194"/>
      <c r="C10" s="195"/>
      <c r="D10" s="13" t="s">
        <v>194</v>
      </c>
      <c r="E10" s="198">
        <v>200</v>
      </c>
      <c r="F10" s="199">
        <v>179</v>
      </c>
      <c r="G10" s="200">
        <v>89.66</v>
      </c>
      <c r="H10" s="197"/>
      <c r="I10" s="197"/>
      <c r="J10" s="217"/>
      <c r="K10" s="197"/>
      <c r="L10" s="197"/>
      <c r="O10" s="219"/>
      <c r="P10" s="219"/>
      <c r="Q10" s="219"/>
    </row>
    <row r="11" spans="1:17">
      <c r="A11" s="185"/>
      <c r="B11" s="194"/>
      <c r="C11" s="195"/>
      <c r="D11" s="13" t="s">
        <v>195</v>
      </c>
      <c r="E11" s="198">
        <v>1000</v>
      </c>
      <c r="F11" s="199">
        <v>961</v>
      </c>
      <c r="G11" s="201">
        <v>96.14</v>
      </c>
      <c r="H11" s="197"/>
      <c r="I11" s="197"/>
      <c r="J11" s="217"/>
      <c r="K11" s="220"/>
      <c r="L11" s="197"/>
      <c r="O11" s="219"/>
      <c r="P11" s="219"/>
      <c r="Q11" s="219"/>
    </row>
    <row r="12" spans="1:17">
      <c r="A12" s="185"/>
      <c r="B12" s="194"/>
      <c r="C12" s="195"/>
      <c r="D12" s="13" t="s">
        <v>196</v>
      </c>
      <c r="E12" s="198">
        <v>1800</v>
      </c>
      <c r="F12" s="199">
        <v>1870</v>
      </c>
      <c r="G12" s="200">
        <v>103.64</v>
      </c>
      <c r="H12" s="197"/>
      <c r="I12" s="197"/>
      <c r="J12" s="217"/>
      <c r="K12" s="220"/>
      <c r="L12" s="197"/>
      <c r="O12" s="219"/>
      <c r="P12" s="219"/>
      <c r="Q12" s="219"/>
    </row>
    <row r="13" ht="15" customHeight="1" spans="1:20">
      <c r="A13" s="185"/>
      <c r="B13" s="194"/>
      <c r="C13" s="195"/>
      <c r="D13" s="13" t="s">
        <v>197</v>
      </c>
      <c r="E13" s="198">
        <v>2000</v>
      </c>
      <c r="F13" s="199">
        <v>1790</v>
      </c>
      <c r="G13" s="200">
        <v>89.31</v>
      </c>
      <c r="H13" s="197"/>
      <c r="I13" s="197"/>
      <c r="J13" s="217"/>
      <c r="K13" s="197"/>
      <c r="L13" s="197"/>
      <c r="O13" s="219"/>
      <c r="P13" s="219"/>
      <c r="Q13" s="219"/>
      <c r="S13" s="219"/>
      <c r="T13" s="219"/>
    </row>
    <row r="14" ht="15" customHeight="1" spans="1:20">
      <c r="A14" s="185"/>
      <c r="B14" s="194"/>
      <c r="C14" s="202"/>
      <c r="D14" s="193"/>
      <c r="H14" s="193"/>
      <c r="I14" s="193"/>
      <c r="J14" s="217"/>
      <c r="K14" s="197"/>
      <c r="L14" s="197"/>
      <c r="O14" s="219"/>
      <c r="P14" s="219"/>
      <c r="Q14" s="219"/>
      <c r="S14" s="219"/>
      <c r="T14" s="219"/>
    </row>
    <row r="15" spans="1:20">
      <c r="A15" s="185"/>
      <c r="B15" s="194"/>
      <c r="C15" s="203" t="s">
        <v>279</v>
      </c>
      <c r="D15" s="196" t="s">
        <v>275</v>
      </c>
      <c r="E15" s="196" t="s">
        <v>276</v>
      </c>
      <c r="F15" s="196" t="s">
        <v>277</v>
      </c>
      <c r="G15" s="196"/>
      <c r="H15" s="196" t="s">
        <v>280</v>
      </c>
      <c r="I15" s="196"/>
      <c r="J15" s="217"/>
      <c r="K15" s="221"/>
      <c r="L15" s="197"/>
      <c r="S15" s="219"/>
      <c r="T15" s="219"/>
    </row>
    <row r="16" spans="1:20">
      <c r="A16" s="185"/>
      <c r="B16" s="194"/>
      <c r="C16" s="203"/>
      <c r="D16" s="196"/>
      <c r="E16" s="196"/>
      <c r="F16" s="204">
        <v>1</v>
      </c>
      <c r="G16" s="204">
        <v>2</v>
      </c>
      <c r="H16" s="204">
        <v>1</v>
      </c>
      <c r="I16" s="204">
        <v>2</v>
      </c>
      <c r="J16" s="217"/>
      <c r="K16" s="222"/>
      <c r="L16" s="197"/>
      <c r="S16" s="219"/>
      <c r="T16" s="219"/>
    </row>
    <row r="17" spans="1:20">
      <c r="A17" s="185"/>
      <c r="B17" s="194"/>
      <c r="C17" s="203"/>
      <c r="D17" s="13" t="s">
        <v>281</v>
      </c>
      <c r="E17" s="198">
        <v>3</v>
      </c>
      <c r="F17" s="199">
        <v>3.47</v>
      </c>
      <c r="G17" s="199">
        <v>2.64</v>
      </c>
      <c r="H17" s="200">
        <v>115.61</v>
      </c>
      <c r="I17" s="200">
        <v>88.01</v>
      </c>
      <c r="J17" s="217"/>
      <c r="K17" s="222"/>
      <c r="L17" s="197"/>
      <c r="S17" s="219"/>
      <c r="T17" s="219"/>
    </row>
    <row r="18" spans="1:20">
      <c r="A18" s="185"/>
      <c r="B18" s="194"/>
      <c r="C18" s="203"/>
      <c r="D18" s="13" t="s">
        <v>282</v>
      </c>
      <c r="E18" s="198">
        <v>100</v>
      </c>
      <c r="F18" s="199">
        <v>106</v>
      </c>
      <c r="G18" s="199">
        <v>101</v>
      </c>
      <c r="H18" s="200">
        <v>106.13</v>
      </c>
      <c r="I18" s="200">
        <v>101.25</v>
      </c>
      <c r="J18" s="217"/>
      <c r="K18" s="222"/>
      <c r="L18" s="197"/>
      <c r="S18" s="219"/>
      <c r="T18" s="219"/>
    </row>
    <row r="19" spans="1:12">
      <c r="A19" s="185"/>
      <c r="B19" s="194"/>
      <c r="C19" s="203"/>
      <c r="D19" s="13" t="s">
        <v>283</v>
      </c>
      <c r="E19" s="198">
        <v>1600</v>
      </c>
      <c r="F19" s="199">
        <v>1590</v>
      </c>
      <c r="G19" s="199">
        <v>1420</v>
      </c>
      <c r="H19" s="200">
        <v>99.32</v>
      </c>
      <c r="I19" s="200">
        <v>89.05</v>
      </c>
      <c r="J19" s="217"/>
      <c r="K19" s="222"/>
      <c r="L19" s="197"/>
    </row>
    <row r="20" spans="2:12">
      <c r="B20" s="194"/>
      <c r="C20" s="203"/>
      <c r="D20" s="205" t="s">
        <v>284</v>
      </c>
      <c r="E20" s="205">
        <v>16000</v>
      </c>
      <c r="F20" s="205">
        <v>17700</v>
      </c>
      <c r="G20" s="206" t="s">
        <v>285</v>
      </c>
      <c r="H20" s="205">
        <v>110.94</v>
      </c>
      <c r="I20" s="223" t="s">
        <v>285</v>
      </c>
      <c r="J20" s="217"/>
      <c r="K20" s="197"/>
      <c r="L20" s="197"/>
    </row>
    <row r="21" spans="2:12">
      <c r="B21" s="194"/>
      <c r="C21" s="203"/>
      <c r="D21" s="205"/>
      <c r="E21" s="205">
        <v>16000</v>
      </c>
      <c r="F21" s="205">
        <v>15700</v>
      </c>
      <c r="G21" s="205"/>
      <c r="H21" s="205">
        <v>98.01</v>
      </c>
      <c r="I21" s="223"/>
      <c r="J21" s="217"/>
      <c r="K21" s="197"/>
      <c r="L21" s="197"/>
    </row>
    <row r="22" spans="2:12">
      <c r="B22" s="194"/>
      <c r="C22" s="203"/>
      <c r="D22" s="205"/>
      <c r="E22" s="205">
        <v>16000</v>
      </c>
      <c r="F22" s="205">
        <v>19100</v>
      </c>
      <c r="G22" s="205"/>
      <c r="H22" s="205">
        <v>119.53</v>
      </c>
      <c r="I22" s="223"/>
      <c r="J22" s="217"/>
      <c r="K22" s="197"/>
      <c r="L22" s="197"/>
    </row>
    <row r="23" spans="2:12">
      <c r="B23" s="194"/>
      <c r="C23" s="193"/>
      <c r="D23" s="207"/>
      <c r="E23" s="207"/>
      <c r="F23" s="207"/>
      <c r="G23" s="207"/>
      <c r="H23" s="207"/>
      <c r="I23" s="193"/>
      <c r="J23" s="217"/>
      <c r="K23" s="197"/>
      <c r="L23" s="197"/>
    </row>
    <row r="24" ht="57.75" customHeight="1" spans="2:10">
      <c r="B24" s="208"/>
      <c r="C24" s="209" t="s">
        <v>286</v>
      </c>
      <c r="D24" s="209"/>
      <c r="E24" s="209"/>
      <c r="F24" s="209"/>
      <c r="G24" s="209"/>
      <c r="H24" s="209"/>
      <c r="I24" s="209"/>
      <c r="J24" s="216"/>
    </row>
    <row r="25" ht="14.75" spans="2:10">
      <c r="B25" s="210"/>
      <c r="C25" s="211"/>
      <c r="D25" s="211"/>
      <c r="E25" s="211"/>
      <c r="F25" s="211"/>
      <c r="G25" s="211"/>
      <c r="H25" s="211"/>
      <c r="I25" s="211"/>
      <c r="J25" s="224"/>
    </row>
    <row r="27" spans="4:6">
      <c r="D27" s="212"/>
      <c r="E27" s="212"/>
      <c r="F27" s="212"/>
    </row>
    <row r="28" spans="4:8">
      <c r="D28" s="212"/>
      <c r="E28" s="212"/>
      <c r="F28" s="212"/>
      <c r="G28" s="213"/>
      <c r="H28" s="213"/>
    </row>
    <row r="29" spans="4:8">
      <c r="D29" s="212"/>
      <c r="E29" s="212"/>
      <c r="F29" s="212"/>
      <c r="G29" s="213"/>
      <c r="H29" s="213"/>
    </row>
    <row r="30" spans="4:8">
      <c r="D30" s="212"/>
      <c r="E30" s="212"/>
      <c r="F30" s="212"/>
      <c r="G30" s="213"/>
      <c r="H30" s="213"/>
    </row>
    <row r="32" spans="5:6">
      <c r="E32" s="212"/>
      <c r="F32" s="212"/>
    </row>
    <row r="33" spans="5:6">
      <c r="E33" s="212"/>
      <c r="F33" s="212"/>
    </row>
    <row r="34" spans="5:6">
      <c r="E34" s="212"/>
      <c r="F34" s="212"/>
    </row>
    <row r="35" spans="5:12">
      <c r="E35" s="212"/>
      <c r="F35" s="212"/>
      <c r="L35" s="225"/>
    </row>
    <row r="77" spans="6:6">
      <c r="F77" s="226"/>
    </row>
    <row r="93" spans="6:6">
      <c r="F93" s="226"/>
    </row>
  </sheetData>
  <mergeCells count="10">
    <mergeCell ref="F15:G15"/>
    <mergeCell ref="H15:I15"/>
    <mergeCell ref="C24:I24"/>
    <mergeCell ref="C5:C13"/>
    <mergeCell ref="C15:C22"/>
    <mergeCell ref="D15:D16"/>
    <mergeCell ref="D20:D22"/>
    <mergeCell ref="E15:E16"/>
    <mergeCell ref="G20:G22"/>
    <mergeCell ref="I20:I2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25"/>
  <sheetViews>
    <sheetView showGridLines="0" workbookViewId="0">
      <selection activeCell="I34" sqref="I34"/>
    </sheetView>
  </sheetViews>
  <sheetFormatPr defaultColWidth="9" defaultRowHeight="14"/>
  <cols>
    <col min="1" max="1" width="2.62727272727273" style="144" customWidth="1"/>
    <col min="2" max="2" width="12.3727272727273" style="144" customWidth="1"/>
    <col min="3" max="3" width="19.2545454545455" style="144" customWidth="1"/>
    <col min="4" max="4" width="13.1272727272727" style="144" customWidth="1"/>
    <col min="5" max="5" width="14.3727272727273" style="144" customWidth="1"/>
    <col min="6" max="6" width="12.3727272727273" style="144" customWidth="1"/>
    <col min="7" max="7" width="13.8727272727273" style="144" customWidth="1"/>
    <col min="8" max="8" width="13.8727272727273" style="145" customWidth="1"/>
    <col min="9" max="9" width="22.2545454545455" style="144" customWidth="1"/>
    <col min="10" max="10" width="12.3727272727273" style="144" customWidth="1"/>
    <col min="11" max="12" width="14.3727272727273" style="144" customWidth="1"/>
    <col min="13" max="13" width="7.37272727272727" style="144" customWidth="1"/>
    <col min="14" max="14" width="15.3727272727273" style="144" customWidth="1"/>
    <col min="15" max="15" width="22.3727272727273" style="144" customWidth="1"/>
    <col min="16" max="16384" width="9" style="144"/>
  </cols>
  <sheetData>
    <row r="1" ht="14.75" spans="2:13">
      <c r="B1" s="146"/>
      <c r="C1" s="147"/>
      <c r="D1" s="146"/>
      <c r="E1" s="146"/>
      <c r="F1" s="146"/>
      <c r="G1" s="146"/>
      <c r="H1" s="146"/>
      <c r="I1" s="146"/>
      <c r="J1" s="146"/>
      <c r="K1" s="146"/>
      <c r="L1" s="146"/>
      <c r="M1" s="146"/>
    </row>
    <row r="2" spans="2:15">
      <c r="B2" s="148" t="s">
        <v>287</v>
      </c>
      <c r="C2" s="147"/>
      <c r="D2" s="147"/>
      <c r="E2" s="147"/>
      <c r="F2" s="147"/>
      <c r="G2" s="147"/>
      <c r="H2" s="147"/>
      <c r="I2" s="147"/>
      <c r="J2" s="147"/>
      <c r="K2" s="147"/>
      <c r="L2" s="147"/>
      <c r="M2" s="147"/>
      <c r="N2" s="173"/>
      <c r="O2" s="174"/>
    </row>
    <row r="3" spans="2:15">
      <c r="B3" s="149" t="s">
        <v>38</v>
      </c>
      <c r="C3" s="150" t="s">
        <v>288</v>
      </c>
      <c r="D3" s="146"/>
      <c r="E3" s="146"/>
      <c r="F3" s="146"/>
      <c r="G3" s="146"/>
      <c r="H3" s="146"/>
      <c r="I3" s="146"/>
      <c r="J3" s="146"/>
      <c r="K3" s="146"/>
      <c r="L3" s="146"/>
      <c r="M3" s="146"/>
      <c r="N3" s="175"/>
      <c r="O3" s="176"/>
    </row>
    <row r="4" spans="2:15">
      <c r="B4" s="149"/>
      <c r="C4" s="146" t="s">
        <v>289</v>
      </c>
      <c r="D4" s="146"/>
      <c r="E4" s="146"/>
      <c r="F4" s="146"/>
      <c r="G4" s="146"/>
      <c r="H4" s="146"/>
      <c r="I4" s="146"/>
      <c r="J4" s="146"/>
      <c r="K4" s="146"/>
      <c r="L4" s="146"/>
      <c r="M4" s="146"/>
      <c r="N4" s="175"/>
      <c r="O4" s="176"/>
    </row>
    <row r="5" spans="2:15">
      <c r="B5" s="149"/>
      <c r="C5" s="146" t="s">
        <v>290</v>
      </c>
      <c r="D5" s="146"/>
      <c r="E5" s="146"/>
      <c r="F5" s="146"/>
      <c r="G5" s="146"/>
      <c r="H5" s="146"/>
      <c r="I5" s="146"/>
      <c r="J5" s="146"/>
      <c r="K5" s="146"/>
      <c r="L5" s="146"/>
      <c r="M5" s="146"/>
      <c r="N5" s="175"/>
      <c r="O5" s="176"/>
    </row>
    <row r="6" ht="15" customHeight="1" spans="2:15">
      <c r="B6" s="149"/>
      <c r="C6" s="151" t="s">
        <v>291</v>
      </c>
      <c r="D6" s="151"/>
      <c r="E6" s="151"/>
      <c r="F6" s="151"/>
      <c r="G6" s="151"/>
      <c r="H6" s="151"/>
      <c r="I6" s="151"/>
      <c r="J6" s="146"/>
      <c r="K6" s="146"/>
      <c r="L6" s="146"/>
      <c r="M6" s="146"/>
      <c r="N6" s="175"/>
      <c r="O6" s="176"/>
    </row>
    <row r="7" ht="15" customHeight="1" spans="2:15">
      <c r="B7" s="149"/>
      <c r="C7" s="151"/>
      <c r="D7" s="151"/>
      <c r="E7" s="151"/>
      <c r="F7" s="151"/>
      <c r="G7" s="151"/>
      <c r="H7" s="151"/>
      <c r="I7" s="151"/>
      <c r="J7" s="146"/>
      <c r="K7" s="146"/>
      <c r="L7" s="146"/>
      <c r="M7" s="146"/>
      <c r="N7" s="175"/>
      <c r="O7" s="176"/>
    </row>
    <row r="8" ht="15" customHeight="1" spans="2:15">
      <c r="B8" s="149" t="s">
        <v>47</v>
      </c>
      <c r="C8" s="150" t="s">
        <v>292</v>
      </c>
      <c r="D8" s="146"/>
      <c r="E8" s="146"/>
      <c r="F8" s="146"/>
      <c r="G8" s="146"/>
      <c r="H8" s="146"/>
      <c r="I8" s="146"/>
      <c r="J8" s="146"/>
      <c r="K8" s="146"/>
      <c r="L8" s="146"/>
      <c r="M8" s="146"/>
      <c r="N8" s="175"/>
      <c r="O8" s="176"/>
    </row>
    <row r="9" ht="15" customHeight="1" spans="2:15">
      <c r="B9" s="149"/>
      <c r="C9" s="146" t="s">
        <v>293</v>
      </c>
      <c r="D9" s="146"/>
      <c r="E9" s="146"/>
      <c r="F9" s="146"/>
      <c r="G9" s="146"/>
      <c r="H9" s="146"/>
      <c r="I9" s="146"/>
      <c r="J9" s="146"/>
      <c r="K9" s="146"/>
      <c r="L9" s="146"/>
      <c r="M9" s="146"/>
      <c r="N9" s="175"/>
      <c r="O9" s="176"/>
    </row>
    <row r="10" ht="15" customHeight="1" spans="2:15">
      <c r="B10" s="149"/>
      <c r="C10" s="146" t="s">
        <v>294</v>
      </c>
      <c r="D10" s="146"/>
      <c r="E10" s="146"/>
      <c r="F10" s="146"/>
      <c r="G10" s="146"/>
      <c r="H10" s="146"/>
      <c r="I10" s="146"/>
      <c r="J10" s="146"/>
      <c r="K10" s="146"/>
      <c r="L10" s="146"/>
      <c r="M10" s="146"/>
      <c r="N10" s="175"/>
      <c r="O10" s="176"/>
    </row>
    <row r="11" ht="15" customHeight="1" spans="2:15">
      <c r="B11" s="149"/>
      <c r="C11" s="151" t="s">
        <v>291</v>
      </c>
      <c r="D11" s="151"/>
      <c r="E11" s="151"/>
      <c r="F11" s="151"/>
      <c r="G11" s="151"/>
      <c r="H11" s="151"/>
      <c r="I11" s="151"/>
      <c r="J11" s="146"/>
      <c r="K11" s="146"/>
      <c r="L11" s="146"/>
      <c r="M11" s="146"/>
      <c r="N11" s="175"/>
      <c r="O11" s="176"/>
    </row>
    <row r="12" spans="2:15">
      <c r="B12" s="149"/>
      <c r="C12" s="151"/>
      <c r="D12" s="151"/>
      <c r="E12" s="151"/>
      <c r="F12" s="151"/>
      <c r="G12" s="151"/>
      <c r="H12" s="151"/>
      <c r="I12" s="151"/>
      <c r="J12" s="146"/>
      <c r="K12" s="146"/>
      <c r="L12" s="146"/>
      <c r="M12" s="146"/>
      <c r="N12" s="175"/>
      <c r="O12" s="176"/>
    </row>
    <row r="13" s="142" customFormat="1" ht="18" customHeight="1" spans="2:15">
      <c r="B13" s="152"/>
      <c r="C13" s="153"/>
      <c r="D13" s="153"/>
      <c r="E13" s="153"/>
      <c r="F13" s="153"/>
      <c r="G13" s="153"/>
      <c r="H13" s="153"/>
      <c r="I13" s="153"/>
      <c r="J13" s="146"/>
      <c r="K13" s="146"/>
      <c r="L13" s="146"/>
      <c r="M13" s="146"/>
      <c r="N13" s="146"/>
      <c r="O13" s="177"/>
    </row>
    <row r="14" ht="28" spans="2:15">
      <c r="B14" s="154"/>
      <c r="C14" s="155" t="s">
        <v>50</v>
      </c>
      <c r="D14" s="155" t="s">
        <v>295</v>
      </c>
      <c r="E14" s="155" t="s">
        <v>296</v>
      </c>
      <c r="F14" s="155" t="s">
        <v>297</v>
      </c>
      <c r="G14" s="155" t="s">
        <v>298</v>
      </c>
      <c r="H14" s="155" t="s">
        <v>299</v>
      </c>
      <c r="I14" s="155" t="s">
        <v>300</v>
      </c>
      <c r="J14" s="155" t="s">
        <v>301</v>
      </c>
      <c r="K14" s="178" t="s">
        <v>302</v>
      </c>
      <c r="L14" s="178" t="s">
        <v>303</v>
      </c>
      <c r="M14" s="146"/>
      <c r="N14" s="175"/>
      <c r="O14" s="176"/>
    </row>
    <row r="15" spans="2:15">
      <c r="B15" s="154"/>
      <c r="C15" s="156" t="s">
        <v>4</v>
      </c>
      <c r="D15" s="157" t="s">
        <v>38</v>
      </c>
      <c r="E15" s="158">
        <v>0.2</v>
      </c>
      <c r="F15" s="159">
        <f>E15/0.00005</f>
        <v>4000</v>
      </c>
      <c r="G15" s="160">
        <v>59.6</v>
      </c>
      <c r="H15" s="161">
        <f t="shared" ref="H15:H20" si="0">G15*F15/1000000</f>
        <v>0.2384</v>
      </c>
      <c r="I15" s="161">
        <f>AVERAGE(H15:H17)</f>
        <v>0.225866666666667</v>
      </c>
      <c r="J15" s="179">
        <f>(I15-E15)/E15*100</f>
        <v>12.9333333333333</v>
      </c>
      <c r="K15" s="123">
        <f>STDEV(H15:H17)/I15*100</f>
        <v>4.85750214336971</v>
      </c>
      <c r="L15" s="178" t="s">
        <v>304</v>
      </c>
      <c r="M15" s="146"/>
      <c r="N15" s="175"/>
      <c r="O15" s="176"/>
    </row>
    <row r="16" spans="2:15">
      <c r="B16" s="154"/>
      <c r="C16" s="162"/>
      <c r="D16" s="157"/>
      <c r="E16" s="158"/>
      <c r="F16" s="159">
        <f>F15</f>
        <v>4000</v>
      </c>
      <c r="G16" s="163">
        <v>54.5</v>
      </c>
      <c r="H16" s="161">
        <f t="shared" si="0"/>
        <v>0.218</v>
      </c>
      <c r="I16" s="161"/>
      <c r="J16" s="179"/>
      <c r="K16" s="123"/>
      <c r="L16" s="178"/>
      <c r="M16" s="146"/>
      <c r="N16" s="175"/>
      <c r="O16" s="176"/>
    </row>
    <row r="17" spans="2:15">
      <c r="B17" s="154"/>
      <c r="C17" s="162"/>
      <c r="D17" s="157"/>
      <c r="E17" s="158"/>
      <c r="F17" s="159">
        <f>F15</f>
        <v>4000</v>
      </c>
      <c r="G17" s="160">
        <v>55.3</v>
      </c>
      <c r="H17" s="161">
        <f t="shared" si="0"/>
        <v>0.2212</v>
      </c>
      <c r="I17" s="161"/>
      <c r="J17" s="179"/>
      <c r="K17" s="123"/>
      <c r="L17" s="178"/>
      <c r="M17" s="146"/>
      <c r="N17" s="175"/>
      <c r="O17" s="176"/>
    </row>
    <row r="18" spans="2:15">
      <c r="B18" s="154"/>
      <c r="C18" s="162"/>
      <c r="D18" s="157" t="s">
        <v>47</v>
      </c>
      <c r="E18" s="158">
        <v>1</v>
      </c>
      <c r="F18" s="159">
        <v>20000</v>
      </c>
      <c r="G18" s="160">
        <v>57.7</v>
      </c>
      <c r="H18" s="161">
        <f t="shared" si="0"/>
        <v>1.154</v>
      </c>
      <c r="I18" s="161">
        <f>AVERAGE(H18:H20)</f>
        <v>1.01933333333333</v>
      </c>
      <c r="J18" s="179">
        <f>(I18-E18)/E18*100</f>
        <v>1.93333333333332</v>
      </c>
      <c r="K18" s="123">
        <f>STDEV(H18:H20)/I18*100</f>
        <v>12.2990964006974</v>
      </c>
      <c r="L18" s="178" t="s">
        <v>304</v>
      </c>
      <c r="M18" s="146"/>
      <c r="N18" s="175"/>
      <c r="O18" s="176"/>
    </row>
    <row r="19" spans="2:15">
      <c r="B19" s="154"/>
      <c r="C19" s="162"/>
      <c r="D19" s="157"/>
      <c r="E19" s="158"/>
      <c r="F19" s="159">
        <f>F18</f>
        <v>20000</v>
      </c>
      <c r="G19" s="163">
        <v>45.3</v>
      </c>
      <c r="H19" s="161">
        <f t="shared" si="0"/>
        <v>0.906</v>
      </c>
      <c r="I19" s="161"/>
      <c r="J19" s="179"/>
      <c r="K19" s="123"/>
      <c r="L19" s="178"/>
      <c r="M19" s="146"/>
      <c r="N19" s="175"/>
      <c r="O19" s="176"/>
    </row>
    <row r="20" spans="2:15">
      <c r="B20" s="154"/>
      <c r="C20" s="164"/>
      <c r="D20" s="157"/>
      <c r="E20" s="158"/>
      <c r="F20" s="159">
        <f>F18</f>
        <v>20000</v>
      </c>
      <c r="G20" s="160">
        <v>49.9</v>
      </c>
      <c r="H20" s="161">
        <f t="shared" si="0"/>
        <v>0.998</v>
      </c>
      <c r="I20" s="161"/>
      <c r="J20" s="179"/>
      <c r="K20" s="123"/>
      <c r="L20" s="178"/>
      <c r="M20" s="146"/>
      <c r="N20" s="175"/>
      <c r="O20" s="176"/>
    </row>
    <row r="21" spans="2:15">
      <c r="B21" s="154"/>
      <c r="C21" s="165"/>
      <c r="D21" s="166"/>
      <c r="E21" s="167"/>
      <c r="F21" s="166"/>
      <c r="G21" s="168"/>
      <c r="H21" s="169"/>
      <c r="I21" s="169"/>
      <c r="J21" s="180"/>
      <c r="K21" s="181"/>
      <c r="L21" s="181"/>
      <c r="M21" s="146"/>
      <c r="N21" s="175"/>
      <c r="O21" s="176"/>
    </row>
    <row r="22" spans="2:15">
      <c r="B22" s="154"/>
      <c r="C22" s="165"/>
      <c r="D22" s="166"/>
      <c r="E22" s="167"/>
      <c r="F22" s="166"/>
      <c r="G22" s="168"/>
      <c r="H22" s="169"/>
      <c r="I22" s="169"/>
      <c r="J22" s="180"/>
      <c r="K22" s="181"/>
      <c r="L22" s="181"/>
      <c r="M22" s="146"/>
      <c r="N22" s="175"/>
      <c r="O22" s="176"/>
    </row>
    <row r="23" spans="2:15">
      <c r="B23" s="154"/>
      <c r="C23" s="165"/>
      <c r="D23" s="166"/>
      <c r="E23" s="167"/>
      <c r="F23" s="166"/>
      <c r="G23" s="168"/>
      <c r="H23" s="169"/>
      <c r="I23" s="169"/>
      <c r="J23" s="180"/>
      <c r="K23" s="181"/>
      <c r="L23" s="181"/>
      <c r="M23" s="146"/>
      <c r="N23" s="175"/>
      <c r="O23" s="176"/>
    </row>
    <row r="24" spans="2:15">
      <c r="B24" s="154"/>
      <c r="C24" s="165" t="s">
        <v>305</v>
      </c>
      <c r="D24" s="166"/>
      <c r="E24" s="167"/>
      <c r="F24" s="166"/>
      <c r="G24" s="168"/>
      <c r="H24" s="169"/>
      <c r="I24" s="169"/>
      <c r="J24" s="180"/>
      <c r="K24" s="181"/>
      <c r="L24" s="181"/>
      <c r="M24" s="146"/>
      <c r="N24" s="175"/>
      <c r="O24" s="176"/>
    </row>
    <row r="25" s="143" customFormat="1" ht="14.75" spans="2:15">
      <c r="B25" s="170"/>
      <c r="C25" s="171" t="s">
        <v>306</v>
      </c>
      <c r="D25" s="172"/>
      <c r="E25" s="172"/>
      <c r="F25" s="172"/>
      <c r="G25" s="172"/>
      <c r="H25" s="172"/>
      <c r="I25" s="172"/>
      <c r="J25" s="172"/>
      <c r="K25" s="172"/>
      <c r="L25" s="172"/>
      <c r="M25" s="172"/>
      <c r="N25" s="182"/>
      <c r="O25" s="183"/>
    </row>
  </sheetData>
  <mergeCells count="15">
    <mergeCell ref="C6:I6"/>
    <mergeCell ref="C11:I11"/>
    <mergeCell ref="C15:C20"/>
    <mergeCell ref="D15:D17"/>
    <mergeCell ref="D18:D20"/>
    <mergeCell ref="E15:E17"/>
    <mergeCell ref="E18:E20"/>
    <mergeCell ref="I15:I17"/>
    <mergeCell ref="I18:I20"/>
    <mergeCell ref="J15:J17"/>
    <mergeCell ref="J18:J20"/>
    <mergeCell ref="K15:K17"/>
    <mergeCell ref="K18:K20"/>
    <mergeCell ref="L15:L17"/>
    <mergeCell ref="L18:L20"/>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8"/>
  <sheetViews>
    <sheetView showGridLines="0" zoomScale="90" zoomScaleNormal="90" workbookViewId="0">
      <selection activeCell="I26" sqref="I26"/>
    </sheetView>
  </sheetViews>
  <sheetFormatPr defaultColWidth="9" defaultRowHeight="14"/>
  <cols>
    <col min="1" max="1" width="2.75454545454545" style="97" customWidth="1"/>
    <col min="2" max="2" width="9" style="97"/>
    <col min="3" max="3" width="17.6272727272727" style="97" customWidth="1"/>
    <col min="4" max="4" width="22.3727272727273" style="97" customWidth="1"/>
    <col min="5" max="5" width="21" style="97" customWidth="1"/>
    <col min="6" max="8" width="9" style="97"/>
    <col min="9" max="9" width="14.1272727272727" style="97" customWidth="1"/>
    <col min="10" max="10" width="9" style="97"/>
    <col min="11" max="11" width="21.8727272727273" style="97" customWidth="1"/>
    <col min="12" max="223" width="9" style="97"/>
    <col min="224" max="224" width="11.3727272727273" style="97" customWidth="1"/>
    <col min="225" max="225" width="17.8727272727273" style="97" customWidth="1"/>
    <col min="226" max="226" width="19" style="97" customWidth="1"/>
    <col min="227" max="227" width="22.8727272727273" style="97" customWidth="1"/>
    <col min="228" max="228" width="12.6272727272727" style="97" customWidth="1"/>
    <col min="229" max="479" width="9" style="97"/>
    <col min="480" max="480" width="11.3727272727273" style="97" customWidth="1"/>
    <col min="481" max="481" width="17.8727272727273" style="97" customWidth="1"/>
    <col min="482" max="482" width="19" style="97" customWidth="1"/>
    <col min="483" max="483" width="22.8727272727273" style="97" customWidth="1"/>
    <col min="484" max="484" width="12.6272727272727" style="97" customWidth="1"/>
    <col min="485" max="735" width="9" style="97"/>
    <col min="736" max="736" width="11.3727272727273" style="97" customWidth="1"/>
    <col min="737" max="737" width="17.8727272727273" style="97" customWidth="1"/>
    <col min="738" max="738" width="19" style="97" customWidth="1"/>
    <col min="739" max="739" width="22.8727272727273" style="97" customWidth="1"/>
    <col min="740" max="740" width="12.6272727272727" style="97" customWidth="1"/>
    <col min="741" max="991" width="9" style="97"/>
    <col min="992" max="992" width="11.3727272727273" style="97" customWidth="1"/>
    <col min="993" max="993" width="17.8727272727273" style="97" customWidth="1"/>
    <col min="994" max="994" width="19" style="97" customWidth="1"/>
    <col min="995" max="995" width="22.8727272727273" style="97" customWidth="1"/>
    <col min="996" max="996" width="12.6272727272727" style="97" customWidth="1"/>
    <col min="997" max="1247" width="9" style="97"/>
    <col min="1248" max="1248" width="11.3727272727273" style="97" customWidth="1"/>
    <col min="1249" max="1249" width="17.8727272727273" style="97" customWidth="1"/>
    <col min="1250" max="1250" width="19" style="97" customWidth="1"/>
    <col min="1251" max="1251" width="22.8727272727273" style="97" customWidth="1"/>
    <col min="1252" max="1252" width="12.6272727272727" style="97" customWidth="1"/>
    <col min="1253" max="1503" width="9" style="97"/>
    <col min="1504" max="1504" width="11.3727272727273" style="97" customWidth="1"/>
    <col min="1505" max="1505" width="17.8727272727273" style="97" customWidth="1"/>
    <col min="1506" max="1506" width="19" style="97" customWidth="1"/>
    <col min="1507" max="1507" width="22.8727272727273" style="97" customWidth="1"/>
    <col min="1508" max="1508" width="12.6272727272727" style="97" customWidth="1"/>
    <col min="1509" max="1759" width="9" style="97"/>
    <col min="1760" max="1760" width="11.3727272727273" style="97" customWidth="1"/>
    <col min="1761" max="1761" width="17.8727272727273" style="97" customWidth="1"/>
    <col min="1762" max="1762" width="19" style="97" customWidth="1"/>
    <col min="1763" max="1763" width="22.8727272727273" style="97" customWidth="1"/>
    <col min="1764" max="1764" width="12.6272727272727" style="97" customWidth="1"/>
    <col min="1765" max="2015" width="9" style="97"/>
    <col min="2016" max="2016" width="11.3727272727273" style="97" customWidth="1"/>
    <col min="2017" max="2017" width="17.8727272727273" style="97" customWidth="1"/>
    <col min="2018" max="2018" width="19" style="97" customWidth="1"/>
    <col min="2019" max="2019" width="22.8727272727273" style="97" customWidth="1"/>
    <col min="2020" max="2020" width="12.6272727272727" style="97" customWidth="1"/>
    <col min="2021" max="2271" width="9" style="97"/>
    <col min="2272" max="2272" width="11.3727272727273" style="97" customWidth="1"/>
    <col min="2273" max="2273" width="17.8727272727273" style="97" customWidth="1"/>
    <col min="2274" max="2274" width="19" style="97" customWidth="1"/>
    <col min="2275" max="2275" width="22.8727272727273" style="97" customWidth="1"/>
    <col min="2276" max="2276" width="12.6272727272727" style="97" customWidth="1"/>
    <col min="2277" max="2527" width="9" style="97"/>
    <col min="2528" max="2528" width="11.3727272727273" style="97" customWidth="1"/>
    <col min="2529" max="2529" width="17.8727272727273" style="97" customWidth="1"/>
    <col min="2530" max="2530" width="19" style="97" customWidth="1"/>
    <col min="2531" max="2531" width="22.8727272727273" style="97" customWidth="1"/>
    <col min="2532" max="2532" width="12.6272727272727" style="97" customWidth="1"/>
    <col min="2533" max="2783" width="9" style="97"/>
    <col min="2784" max="2784" width="11.3727272727273" style="97" customWidth="1"/>
    <col min="2785" max="2785" width="17.8727272727273" style="97" customWidth="1"/>
    <col min="2786" max="2786" width="19" style="97" customWidth="1"/>
    <col min="2787" max="2787" width="22.8727272727273" style="97" customWidth="1"/>
    <col min="2788" max="2788" width="12.6272727272727" style="97" customWidth="1"/>
    <col min="2789" max="3039" width="9" style="97"/>
    <col min="3040" max="3040" width="11.3727272727273" style="97" customWidth="1"/>
    <col min="3041" max="3041" width="17.8727272727273" style="97" customWidth="1"/>
    <col min="3042" max="3042" width="19" style="97" customWidth="1"/>
    <col min="3043" max="3043" width="22.8727272727273" style="97" customWidth="1"/>
    <col min="3044" max="3044" width="12.6272727272727" style="97" customWidth="1"/>
    <col min="3045" max="3295" width="9" style="97"/>
    <col min="3296" max="3296" width="11.3727272727273" style="97" customWidth="1"/>
    <col min="3297" max="3297" width="17.8727272727273" style="97" customWidth="1"/>
    <col min="3298" max="3298" width="19" style="97" customWidth="1"/>
    <col min="3299" max="3299" width="22.8727272727273" style="97" customWidth="1"/>
    <col min="3300" max="3300" width="12.6272727272727" style="97" customWidth="1"/>
    <col min="3301" max="3551" width="9" style="97"/>
    <col min="3552" max="3552" width="11.3727272727273" style="97" customWidth="1"/>
    <col min="3553" max="3553" width="17.8727272727273" style="97" customWidth="1"/>
    <col min="3554" max="3554" width="19" style="97" customWidth="1"/>
    <col min="3555" max="3555" width="22.8727272727273" style="97" customWidth="1"/>
    <col min="3556" max="3556" width="12.6272727272727" style="97" customWidth="1"/>
    <col min="3557" max="3807" width="9" style="97"/>
    <col min="3808" max="3808" width="11.3727272727273" style="97" customWidth="1"/>
    <col min="3809" max="3809" width="17.8727272727273" style="97" customWidth="1"/>
    <col min="3810" max="3810" width="19" style="97" customWidth="1"/>
    <col min="3811" max="3811" width="22.8727272727273" style="97" customWidth="1"/>
    <col min="3812" max="3812" width="12.6272727272727" style="97" customWidth="1"/>
    <col min="3813" max="4063" width="9" style="97"/>
    <col min="4064" max="4064" width="11.3727272727273" style="97" customWidth="1"/>
    <col min="4065" max="4065" width="17.8727272727273" style="97" customWidth="1"/>
    <col min="4066" max="4066" width="19" style="97" customWidth="1"/>
    <col min="4067" max="4067" width="22.8727272727273" style="97" customWidth="1"/>
    <col min="4068" max="4068" width="12.6272727272727" style="97" customWidth="1"/>
    <col min="4069" max="4319" width="9" style="97"/>
    <col min="4320" max="4320" width="11.3727272727273" style="97" customWidth="1"/>
    <col min="4321" max="4321" width="17.8727272727273" style="97" customWidth="1"/>
    <col min="4322" max="4322" width="19" style="97" customWidth="1"/>
    <col min="4323" max="4323" width="22.8727272727273" style="97" customWidth="1"/>
    <col min="4324" max="4324" width="12.6272727272727" style="97" customWidth="1"/>
    <col min="4325" max="4575" width="9" style="97"/>
    <col min="4576" max="4576" width="11.3727272727273" style="97" customWidth="1"/>
    <col min="4577" max="4577" width="17.8727272727273" style="97" customWidth="1"/>
    <col min="4578" max="4578" width="19" style="97" customWidth="1"/>
    <col min="4579" max="4579" width="22.8727272727273" style="97" customWidth="1"/>
    <col min="4580" max="4580" width="12.6272727272727" style="97" customWidth="1"/>
    <col min="4581" max="4831" width="9" style="97"/>
    <col min="4832" max="4832" width="11.3727272727273" style="97" customWidth="1"/>
    <col min="4833" max="4833" width="17.8727272727273" style="97" customWidth="1"/>
    <col min="4834" max="4834" width="19" style="97" customWidth="1"/>
    <col min="4835" max="4835" width="22.8727272727273" style="97" customWidth="1"/>
    <col min="4836" max="4836" width="12.6272727272727" style="97" customWidth="1"/>
    <col min="4837" max="5087" width="9" style="97"/>
    <col min="5088" max="5088" width="11.3727272727273" style="97" customWidth="1"/>
    <col min="5089" max="5089" width="17.8727272727273" style="97" customWidth="1"/>
    <col min="5090" max="5090" width="19" style="97" customWidth="1"/>
    <col min="5091" max="5091" width="22.8727272727273" style="97" customWidth="1"/>
    <col min="5092" max="5092" width="12.6272727272727" style="97" customWidth="1"/>
    <col min="5093" max="5343" width="9" style="97"/>
    <col min="5344" max="5344" width="11.3727272727273" style="97" customWidth="1"/>
    <col min="5345" max="5345" width="17.8727272727273" style="97" customWidth="1"/>
    <col min="5346" max="5346" width="19" style="97" customWidth="1"/>
    <col min="5347" max="5347" width="22.8727272727273" style="97" customWidth="1"/>
    <col min="5348" max="5348" width="12.6272727272727" style="97" customWidth="1"/>
    <col min="5349" max="5599" width="9" style="97"/>
    <col min="5600" max="5600" width="11.3727272727273" style="97" customWidth="1"/>
    <col min="5601" max="5601" width="17.8727272727273" style="97" customWidth="1"/>
    <col min="5602" max="5602" width="19" style="97" customWidth="1"/>
    <col min="5603" max="5603" width="22.8727272727273" style="97" customWidth="1"/>
    <col min="5604" max="5604" width="12.6272727272727" style="97" customWidth="1"/>
    <col min="5605" max="5855" width="9" style="97"/>
    <col min="5856" max="5856" width="11.3727272727273" style="97" customWidth="1"/>
    <col min="5857" max="5857" width="17.8727272727273" style="97" customWidth="1"/>
    <col min="5858" max="5858" width="19" style="97" customWidth="1"/>
    <col min="5859" max="5859" width="22.8727272727273" style="97" customWidth="1"/>
    <col min="5860" max="5860" width="12.6272727272727" style="97" customWidth="1"/>
    <col min="5861" max="6111" width="9" style="97"/>
    <col min="6112" max="6112" width="11.3727272727273" style="97" customWidth="1"/>
    <col min="6113" max="6113" width="17.8727272727273" style="97" customWidth="1"/>
    <col min="6114" max="6114" width="19" style="97" customWidth="1"/>
    <col min="6115" max="6115" width="22.8727272727273" style="97" customWidth="1"/>
    <col min="6116" max="6116" width="12.6272727272727" style="97" customWidth="1"/>
    <col min="6117" max="6367" width="9" style="97"/>
    <col min="6368" max="6368" width="11.3727272727273" style="97" customWidth="1"/>
    <col min="6369" max="6369" width="17.8727272727273" style="97" customWidth="1"/>
    <col min="6370" max="6370" width="19" style="97" customWidth="1"/>
    <col min="6371" max="6371" width="22.8727272727273" style="97" customWidth="1"/>
    <col min="6372" max="6372" width="12.6272727272727" style="97" customWidth="1"/>
    <col min="6373" max="6623" width="9" style="97"/>
    <col min="6624" max="6624" width="11.3727272727273" style="97" customWidth="1"/>
    <col min="6625" max="6625" width="17.8727272727273" style="97" customWidth="1"/>
    <col min="6626" max="6626" width="19" style="97" customWidth="1"/>
    <col min="6627" max="6627" width="22.8727272727273" style="97" customWidth="1"/>
    <col min="6628" max="6628" width="12.6272727272727" style="97" customWidth="1"/>
    <col min="6629" max="6879" width="9" style="97"/>
    <col min="6880" max="6880" width="11.3727272727273" style="97" customWidth="1"/>
    <col min="6881" max="6881" width="17.8727272727273" style="97" customWidth="1"/>
    <col min="6882" max="6882" width="19" style="97" customWidth="1"/>
    <col min="6883" max="6883" width="22.8727272727273" style="97" customWidth="1"/>
    <col min="6884" max="6884" width="12.6272727272727" style="97" customWidth="1"/>
    <col min="6885" max="7135" width="9" style="97"/>
    <col min="7136" max="7136" width="11.3727272727273" style="97" customWidth="1"/>
    <col min="7137" max="7137" width="17.8727272727273" style="97" customWidth="1"/>
    <col min="7138" max="7138" width="19" style="97" customWidth="1"/>
    <col min="7139" max="7139" width="22.8727272727273" style="97" customWidth="1"/>
    <col min="7140" max="7140" width="12.6272727272727" style="97" customWidth="1"/>
    <col min="7141" max="7391" width="9" style="97"/>
    <col min="7392" max="7392" width="11.3727272727273" style="97" customWidth="1"/>
    <col min="7393" max="7393" width="17.8727272727273" style="97" customWidth="1"/>
    <col min="7394" max="7394" width="19" style="97" customWidth="1"/>
    <col min="7395" max="7395" width="22.8727272727273" style="97" customWidth="1"/>
    <col min="7396" max="7396" width="12.6272727272727" style="97" customWidth="1"/>
    <col min="7397" max="7647" width="9" style="97"/>
    <col min="7648" max="7648" width="11.3727272727273" style="97" customWidth="1"/>
    <col min="7649" max="7649" width="17.8727272727273" style="97" customWidth="1"/>
    <col min="7650" max="7650" width="19" style="97" customWidth="1"/>
    <col min="7651" max="7651" width="22.8727272727273" style="97" customWidth="1"/>
    <col min="7652" max="7652" width="12.6272727272727" style="97" customWidth="1"/>
    <col min="7653" max="7903" width="9" style="97"/>
    <col min="7904" max="7904" width="11.3727272727273" style="97" customWidth="1"/>
    <col min="7905" max="7905" width="17.8727272727273" style="97" customWidth="1"/>
    <col min="7906" max="7906" width="19" style="97" customWidth="1"/>
    <col min="7907" max="7907" width="22.8727272727273" style="97" customWidth="1"/>
    <col min="7908" max="7908" width="12.6272727272727" style="97" customWidth="1"/>
    <col min="7909" max="8159" width="9" style="97"/>
    <col min="8160" max="8160" width="11.3727272727273" style="97" customWidth="1"/>
    <col min="8161" max="8161" width="17.8727272727273" style="97" customWidth="1"/>
    <col min="8162" max="8162" width="19" style="97" customWidth="1"/>
    <col min="8163" max="8163" width="22.8727272727273" style="97" customWidth="1"/>
    <col min="8164" max="8164" width="12.6272727272727" style="97" customWidth="1"/>
    <col min="8165" max="8415" width="9" style="97"/>
    <col min="8416" max="8416" width="11.3727272727273" style="97" customWidth="1"/>
    <col min="8417" max="8417" width="17.8727272727273" style="97" customWidth="1"/>
    <col min="8418" max="8418" width="19" style="97" customWidth="1"/>
    <col min="8419" max="8419" width="22.8727272727273" style="97" customWidth="1"/>
    <col min="8420" max="8420" width="12.6272727272727" style="97" customWidth="1"/>
    <col min="8421" max="8671" width="9" style="97"/>
    <col min="8672" max="8672" width="11.3727272727273" style="97" customWidth="1"/>
    <col min="8673" max="8673" width="17.8727272727273" style="97" customWidth="1"/>
    <col min="8674" max="8674" width="19" style="97" customWidth="1"/>
    <col min="8675" max="8675" width="22.8727272727273" style="97" customWidth="1"/>
    <col min="8676" max="8676" width="12.6272727272727" style="97" customWidth="1"/>
    <col min="8677" max="8927" width="9" style="97"/>
    <col min="8928" max="8928" width="11.3727272727273" style="97" customWidth="1"/>
    <col min="8929" max="8929" width="17.8727272727273" style="97" customWidth="1"/>
    <col min="8930" max="8930" width="19" style="97" customWidth="1"/>
    <col min="8931" max="8931" width="22.8727272727273" style="97" customWidth="1"/>
    <col min="8932" max="8932" width="12.6272727272727" style="97" customWidth="1"/>
    <col min="8933" max="9183" width="9" style="97"/>
    <col min="9184" max="9184" width="11.3727272727273" style="97" customWidth="1"/>
    <col min="9185" max="9185" width="17.8727272727273" style="97" customWidth="1"/>
    <col min="9186" max="9186" width="19" style="97" customWidth="1"/>
    <col min="9187" max="9187" width="22.8727272727273" style="97" customWidth="1"/>
    <col min="9188" max="9188" width="12.6272727272727" style="97" customWidth="1"/>
    <col min="9189" max="9439" width="9" style="97"/>
    <col min="9440" max="9440" width="11.3727272727273" style="97" customWidth="1"/>
    <col min="9441" max="9441" width="17.8727272727273" style="97" customWidth="1"/>
    <col min="9442" max="9442" width="19" style="97" customWidth="1"/>
    <col min="9443" max="9443" width="22.8727272727273" style="97" customWidth="1"/>
    <col min="9444" max="9444" width="12.6272727272727" style="97" customWidth="1"/>
    <col min="9445" max="9695" width="9" style="97"/>
    <col min="9696" max="9696" width="11.3727272727273" style="97" customWidth="1"/>
    <col min="9697" max="9697" width="17.8727272727273" style="97" customWidth="1"/>
    <col min="9698" max="9698" width="19" style="97" customWidth="1"/>
    <col min="9699" max="9699" width="22.8727272727273" style="97" customWidth="1"/>
    <col min="9700" max="9700" width="12.6272727272727" style="97" customWidth="1"/>
    <col min="9701" max="9951" width="9" style="97"/>
    <col min="9952" max="9952" width="11.3727272727273" style="97" customWidth="1"/>
    <col min="9953" max="9953" width="17.8727272727273" style="97" customWidth="1"/>
    <col min="9954" max="9954" width="19" style="97" customWidth="1"/>
    <col min="9955" max="9955" width="22.8727272727273" style="97" customWidth="1"/>
    <col min="9956" max="9956" width="12.6272727272727" style="97" customWidth="1"/>
    <col min="9957" max="10207" width="9" style="97"/>
    <col min="10208" max="10208" width="11.3727272727273" style="97" customWidth="1"/>
    <col min="10209" max="10209" width="17.8727272727273" style="97" customWidth="1"/>
    <col min="10210" max="10210" width="19" style="97" customWidth="1"/>
    <col min="10211" max="10211" width="22.8727272727273" style="97" customWidth="1"/>
    <col min="10212" max="10212" width="12.6272727272727" style="97" customWidth="1"/>
    <col min="10213" max="10463" width="9" style="97"/>
    <col min="10464" max="10464" width="11.3727272727273" style="97" customWidth="1"/>
    <col min="10465" max="10465" width="17.8727272727273" style="97" customWidth="1"/>
    <col min="10466" max="10466" width="19" style="97" customWidth="1"/>
    <col min="10467" max="10467" width="22.8727272727273" style="97" customWidth="1"/>
    <col min="10468" max="10468" width="12.6272727272727" style="97" customWidth="1"/>
    <col min="10469" max="10719" width="9" style="97"/>
    <col min="10720" max="10720" width="11.3727272727273" style="97" customWidth="1"/>
    <col min="10721" max="10721" width="17.8727272727273" style="97" customWidth="1"/>
    <col min="10722" max="10722" width="19" style="97" customWidth="1"/>
    <col min="10723" max="10723" width="22.8727272727273" style="97" customWidth="1"/>
    <col min="10724" max="10724" width="12.6272727272727" style="97" customWidth="1"/>
    <col min="10725" max="10975" width="9" style="97"/>
    <col min="10976" max="10976" width="11.3727272727273" style="97" customWidth="1"/>
    <col min="10977" max="10977" width="17.8727272727273" style="97" customWidth="1"/>
    <col min="10978" max="10978" width="19" style="97" customWidth="1"/>
    <col min="10979" max="10979" width="22.8727272727273" style="97" customWidth="1"/>
    <col min="10980" max="10980" width="12.6272727272727" style="97" customWidth="1"/>
    <col min="10981" max="11231" width="9" style="97"/>
    <col min="11232" max="11232" width="11.3727272727273" style="97" customWidth="1"/>
    <col min="11233" max="11233" width="17.8727272727273" style="97" customWidth="1"/>
    <col min="11234" max="11234" width="19" style="97" customWidth="1"/>
    <col min="11235" max="11235" width="22.8727272727273" style="97" customWidth="1"/>
    <col min="11236" max="11236" width="12.6272727272727" style="97" customWidth="1"/>
    <col min="11237" max="11487" width="9" style="97"/>
    <col min="11488" max="11488" width="11.3727272727273" style="97" customWidth="1"/>
    <col min="11489" max="11489" width="17.8727272727273" style="97" customWidth="1"/>
    <col min="11490" max="11490" width="19" style="97" customWidth="1"/>
    <col min="11491" max="11491" width="22.8727272727273" style="97" customWidth="1"/>
    <col min="11492" max="11492" width="12.6272727272727" style="97" customWidth="1"/>
    <col min="11493" max="11743" width="9" style="97"/>
    <col min="11744" max="11744" width="11.3727272727273" style="97" customWidth="1"/>
    <col min="11745" max="11745" width="17.8727272727273" style="97" customWidth="1"/>
    <col min="11746" max="11746" width="19" style="97" customWidth="1"/>
    <col min="11747" max="11747" width="22.8727272727273" style="97" customWidth="1"/>
    <col min="11748" max="11748" width="12.6272727272727" style="97" customWidth="1"/>
    <col min="11749" max="11999" width="9" style="97"/>
    <col min="12000" max="12000" width="11.3727272727273" style="97" customWidth="1"/>
    <col min="12001" max="12001" width="17.8727272727273" style="97" customWidth="1"/>
    <col min="12002" max="12002" width="19" style="97" customWidth="1"/>
    <col min="12003" max="12003" width="22.8727272727273" style="97" customWidth="1"/>
    <col min="12004" max="12004" width="12.6272727272727" style="97" customWidth="1"/>
    <col min="12005" max="12255" width="9" style="97"/>
    <col min="12256" max="12256" width="11.3727272727273" style="97" customWidth="1"/>
    <col min="12257" max="12257" width="17.8727272727273" style="97" customWidth="1"/>
    <col min="12258" max="12258" width="19" style="97" customWidth="1"/>
    <col min="12259" max="12259" width="22.8727272727273" style="97" customWidth="1"/>
    <col min="12260" max="12260" width="12.6272727272727" style="97" customWidth="1"/>
    <col min="12261" max="12511" width="9" style="97"/>
    <col min="12512" max="12512" width="11.3727272727273" style="97" customWidth="1"/>
    <col min="12513" max="12513" width="17.8727272727273" style="97" customWidth="1"/>
    <col min="12514" max="12514" width="19" style="97" customWidth="1"/>
    <col min="12515" max="12515" width="22.8727272727273" style="97" customWidth="1"/>
    <col min="12516" max="12516" width="12.6272727272727" style="97" customWidth="1"/>
    <col min="12517" max="12767" width="9" style="97"/>
    <col min="12768" max="12768" width="11.3727272727273" style="97" customWidth="1"/>
    <col min="12769" max="12769" width="17.8727272727273" style="97" customWidth="1"/>
    <col min="12770" max="12770" width="19" style="97" customWidth="1"/>
    <col min="12771" max="12771" width="22.8727272727273" style="97" customWidth="1"/>
    <col min="12772" max="12772" width="12.6272727272727" style="97" customWidth="1"/>
    <col min="12773" max="13023" width="9" style="97"/>
    <col min="13024" max="13024" width="11.3727272727273" style="97" customWidth="1"/>
    <col min="13025" max="13025" width="17.8727272727273" style="97" customWidth="1"/>
    <col min="13026" max="13026" width="19" style="97" customWidth="1"/>
    <col min="13027" max="13027" width="22.8727272727273" style="97" customWidth="1"/>
    <col min="13028" max="13028" width="12.6272727272727" style="97" customWidth="1"/>
    <col min="13029" max="13279" width="9" style="97"/>
    <col min="13280" max="13280" width="11.3727272727273" style="97" customWidth="1"/>
    <col min="13281" max="13281" width="17.8727272727273" style="97" customWidth="1"/>
    <col min="13282" max="13282" width="19" style="97" customWidth="1"/>
    <col min="13283" max="13283" width="22.8727272727273" style="97" customWidth="1"/>
    <col min="13284" max="13284" width="12.6272727272727" style="97" customWidth="1"/>
    <col min="13285" max="13535" width="9" style="97"/>
    <col min="13536" max="13536" width="11.3727272727273" style="97" customWidth="1"/>
    <col min="13537" max="13537" width="17.8727272727273" style="97" customWidth="1"/>
    <col min="13538" max="13538" width="19" style="97" customWidth="1"/>
    <col min="13539" max="13539" width="22.8727272727273" style="97" customWidth="1"/>
    <col min="13540" max="13540" width="12.6272727272727" style="97" customWidth="1"/>
    <col min="13541" max="13791" width="9" style="97"/>
    <col min="13792" max="13792" width="11.3727272727273" style="97" customWidth="1"/>
    <col min="13793" max="13793" width="17.8727272727273" style="97" customWidth="1"/>
    <col min="13794" max="13794" width="19" style="97" customWidth="1"/>
    <col min="13795" max="13795" width="22.8727272727273" style="97" customWidth="1"/>
    <col min="13796" max="13796" width="12.6272727272727" style="97" customWidth="1"/>
    <col min="13797" max="14047" width="9" style="97"/>
    <col min="14048" max="14048" width="11.3727272727273" style="97" customWidth="1"/>
    <col min="14049" max="14049" width="17.8727272727273" style="97" customWidth="1"/>
    <col min="14050" max="14050" width="19" style="97" customWidth="1"/>
    <col min="14051" max="14051" width="22.8727272727273" style="97" customWidth="1"/>
    <col min="14052" max="14052" width="12.6272727272727" style="97" customWidth="1"/>
    <col min="14053" max="14303" width="9" style="97"/>
    <col min="14304" max="14304" width="11.3727272727273" style="97" customWidth="1"/>
    <col min="14305" max="14305" width="17.8727272727273" style="97" customWidth="1"/>
    <col min="14306" max="14306" width="19" style="97" customWidth="1"/>
    <col min="14307" max="14307" width="22.8727272727273" style="97" customWidth="1"/>
    <col min="14308" max="14308" width="12.6272727272727" style="97" customWidth="1"/>
    <col min="14309" max="14559" width="9" style="97"/>
    <col min="14560" max="14560" width="11.3727272727273" style="97" customWidth="1"/>
    <col min="14561" max="14561" width="17.8727272727273" style="97" customWidth="1"/>
    <col min="14562" max="14562" width="19" style="97" customWidth="1"/>
    <col min="14563" max="14563" width="22.8727272727273" style="97" customWidth="1"/>
    <col min="14564" max="14564" width="12.6272727272727" style="97" customWidth="1"/>
    <col min="14565" max="14815" width="9" style="97"/>
    <col min="14816" max="14816" width="11.3727272727273" style="97" customWidth="1"/>
    <col min="14817" max="14817" width="17.8727272727273" style="97" customWidth="1"/>
    <col min="14818" max="14818" width="19" style="97" customWidth="1"/>
    <col min="14819" max="14819" width="22.8727272727273" style="97" customWidth="1"/>
    <col min="14820" max="14820" width="12.6272727272727" style="97" customWidth="1"/>
    <col min="14821" max="15071" width="9" style="97"/>
    <col min="15072" max="15072" width="11.3727272727273" style="97" customWidth="1"/>
    <col min="15073" max="15073" width="17.8727272727273" style="97" customWidth="1"/>
    <col min="15074" max="15074" width="19" style="97" customWidth="1"/>
    <col min="15075" max="15075" width="22.8727272727273" style="97" customWidth="1"/>
    <col min="15076" max="15076" width="12.6272727272727" style="97" customWidth="1"/>
    <col min="15077" max="15327" width="9" style="97"/>
    <col min="15328" max="15328" width="11.3727272727273" style="97" customWidth="1"/>
    <col min="15329" max="15329" width="17.8727272727273" style="97" customWidth="1"/>
    <col min="15330" max="15330" width="19" style="97" customWidth="1"/>
    <col min="15331" max="15331" width="22.8727272727273" style="97" customWidth="1"/>
    <col min="15332" max="15332" width="12.6272727272727" style="97" customWidth="1"/>
    <col min="15333" max="15583" width="9" style="97"/>
    <col min="15584" max="15584" width="11.3727272727273" style="97" customWidth="1"/>
    <col min="15585" max="15585" width="17.8727272727273" style="97" customWidth="1"/>
    <col min="15586" max="15586" width="19" style="97" customWidth="1"/>
    <col min="15587" max="15587" width="22.8727272727273" style="97" customWidth="1"/>
    <col min="15588" max="15588" width="12.6272727272727" style="97" customWidth="1"/>
    <col min="15589" max="15839" width="9" style="97"/>
    <col min="15840" max="15840" width="11.3727272727273" style="97" customWidth="1"/>
    <col min="15841" max="15841" width="17.8727272727273" style="97" customWidth="1"/>
    <col min="15842" max="15842" width="19" style="97" customWidth="1"/>
    <col min="15843" max="15843" width="22.8727272727273" style="97" customWidth="1"/>
    <col min="15844" max="15844" width="12.6272727272727" style="97" customWidth="1"/>
    <col min="15845" max="16095" width="9" style="97"/>
    <col min="16096" max="16096" width="11.3727272727273" style="97" customWidth="1"/>
    <col min="16097" max="16097" width="17.8727272727273" style="97" customWidth="1"/>
    <col min="16098" max="16098" width="19" style="97" customWidth="1"/>
    <col min="16099" max="16099" width="22.8727272727273" style="97" customWidth="1"/>
    <col min="16100" max="16100" width="12.6272727272727" style="97" customWidth="1"/>
    <col min="16101" max="16384" width="9" style="97"/>
  </cols>
  <sheetData>
    <row r="1" ht="14.75"/>
    <row r="2" spans="2:10">
      <c r="B2" s="98" t="s">
        <v>307</v>
      </c>
      <c r="C2" s="99"/>
      <c r="D2" s="99"/>
      <c r="E2" s="99"/>
      <c r="F2" s="100"/>
      <c r="G2" s="100"/>
      <c r="H2" s="100"/>
      <c r="I2" s="100"/>
      <c r="J2" s="137"/>
    </row>
    <row r="3" spans="2:10">
      <c r="B3" s="101"/>
      <c r="C3" s="102" t="s">
        <v>308</v>
      </c>
      <c r="D3" s="103" t="s">
        <v>309</v>
      </c>
      <c r="E3" s="104"/>
      <c r="F3" s="105"/>
      <c r="G3" s="105"/>
      <c r="H3" s="105"/>
      <c r="I3" s="105"/>
      <c r="J3" s="138"/>
    </row>
    <row r="4" spans="2:10">
      <c r="B4" s="101"/>
      <c r="C4" s="102"/>
      <c r="D4" s="103"/>
      <c r="E4" s="104"/>
      <c r="F4" s="105"/>
      <c r="G4" s="105"/>
      <c r="H4" s="105"/>
      <c r="I4" s="105"/>
      <c r="J4" s="138"/>
    </row>
    <row r="5" spans="2:10">
      <c r="B5" s="101"/>
      <c r="C5" s="102" t="s">
        <v>310</v>
      </c>
      <c r="D5" s="103" t="s">
        <v>311</v>
      </c>
      <c r="E5" s="104"/>
      <c r="F5" s="105"/>
      <c r="G5" s="105"/>
      <c r="H5" s="105"/>
      <c r="I5" s="105"/>
      <c r="J5" s="138"/>
    </row>
    <row r="6" spans="2:10">
      <c r="B6" s="101"/>
      <c r="C6" s="106"/>
      <c r="D6" s="104"/>
      <c r="E6" s="104"/>
      <c r="F6" s="105"/>
      <c r="G6" s="105"/>
      <c r="H6" s="105"/>
      <c r="I6" s="105"/>
      <c r="J6" s="138"/>
    </row>
    <row r="7" spans="2:10">
      <c r="B7" s="101"/>
      <c r="C7" s="102" t="s">
        <v>312</v>
      </c>
      <c r="D7" s="107" t="s">
        <v>313</v>
      </c>
      <c r="E7" s="104"/>
      <c r="F7" s="105"/>
      <c r="G7" s="105"/>
      <c r="H7" s="105"/>
      <c r="I7" s="105"/>
      <c r="J7" s="138"/>
    </row>
    <row r="8" spans="2:10">
      <c r="B8" s="101"/>
      <c r="C8" s="106"/>
      <c r="D8" s="104"/>
      <c r="E8" s="104"/>
      <c r="F8" s="105"/>
      <c r="G8" s="105"/>
      <c r="H8" s="105"/>
      <c r="I8" s="105"/>
      <c r="J8" s="138"/>
    </row>
    <row r="9" ht="19.5" customHeight="1" spans="2:10">
      <c r="B9" s="101"/>
      <c r="C9" s="102" t="s">
        <v>314</v>
      </c>
      <c r="D9" s="108" t="s">
        <v>4</v>
      </c>
      <c r="E9" s="104"/>
      <c r="F9" s="105"/>
      <c r="G9" s="105"/>
      <c r="H9" s="105"/>
      <c r="I9" s="105"/>
      <c r="J9" s="138"/>
    </row>
    <row r="10" spans="2:10">
      <c r="B10" s="101"/>
      <c r="C10" s="106"/>
      <c r="D10" s="104"/>
      <c r="E10" s="104"/>
      <c r="F10" s="105"/>
      <c r="G10" s="105"/>
      <c r="H10" s="105"/>
      <c r="I10" s="105"/>
      <c r="J10" s="138"/>
    </row>
    <row r="11" spans="2:10">
      <c r="B11" s="109"/>
      <c r="C11" s="102" t="s">
        <v>315</v>
      </c>
      <c r="D11" s="110" t="s">
        <v>316</v>
      </c>
      <c r="E11" s="110"/>
      <c r="F11" s="105"/>
      <c r="G11" s="105"/>
      <c r="H11" s="105"/>
      <c r="I11" s="105"/>
      <c r="J11" s="138"/>
    </row>
    <row r="12" spans="2:10">
      <c r="B12" s="109"/>
      <c r="C12" s="111"/>
      <c r="D12" s="104"/>
      <c r="E12" s="104"/>
      <c r="F12" s="105"/>
      <c r="G12" s="105"/>
      <c r="H12" s="105"/>
      <c r="I12" s="105"/>
      <c r="J12" s="138"/>
    </row>
    <row r="13" spans="2:10">
      <c r="B13" s="109"/>
      <c r="C13" s="102" t="s">
        <v>317</v>
      </c>
      <c r="D13" s="112" t="s">
        <v>318</v>
      </c>
      <c r="E13" s="104"/>
      <c r="F13" s="105"/>
      <c r="G13" s="105"/>
      <c r="H13" s="105"/>
      <c r="I13" s="105"/>
      <c r="J13" s="138"/>
    </row>
    <row r="14" spans="2:10">
      <c r="B14" s="109"/>
      <c r="C14" s="106"/>
      <c r="D14" s="107" t="s">
        <v>319</v>
      </c>
      <c r="E14" s="104"/>
      <c r="F14" s="105"/>
      <c r="G14" s="105"/>
      <c r="H14" s="105"/>
      <c r="I14" s="105"/>
      <c r="J14" s="138"/>
    </row>
    <row r="15" ht="21" customHeight="1" spans="2:10">
      <c r="B15" s="109"/>
      <c r="C15" s="106"/>
      <c r="D15" s="108" t="s">
        <v>4</v>
      </c>
      <c r="E15" s="110" t="s">
        <v>156</v>
      </c>
      <c r="F15" s="105"/>
      <c r="G15" s="105"/>
      <c r="H15" s="105"/>
      <c r="I15" s="105"/>
      <c r="J15" s="138"/>
    </row>
    <row r="16" spans="2:10">
      <c r="B16" s="109" t="s">
        <v>43</v>
      </c>
      <c r="C16" s="111"/>
      <c r="D16" s="110" t="s">
        <v>316</v>
      </c>
      <c r="E16" s="113" t="s">
        <v>153</v>
      </c>
      <c r="F16" s="105"/>
      <c r="G16" s="105"/>
      <c r="H16" s="105"/>
      <c r="I16" s="105"/>
      <c r="J16" s="138"/>
    </row>
    <row r="17" spans="2:10">
      <c r="B17" s="101"/>
      <c r="C17" s="102" t="s">
        <v>320</v>
      </c>
      <c r="D17" s="110"/>
      <c r="E17" s="104"/>
      <c r="F17" s="105"/>
      <c r="G17" s="105"/>
      <c r="H17" s="105"/>
      <c r="I17" s="105"/>
      <c r="J17" s="138"/>
    </row>
    <row r="18" spans="2:10">
      <c r="B18" s="101"/>
      <c r="C18" s="106"/>
      <c r="D18" s="114" t="s">
        <v>321</v>
      </c>
      <c r="E18" s="115" t="s">
        <v>322</v>
      </c>
      <c r="F18" s="116"/>
      <c r="G18" s="117"/>
      <c r="H18" s="116"/>
      <c r="I18" s="105"/>
      <c r="J18" s="138"/>
    </row>
    <row r="19" spans="2:10">
      <c r="B19" s="101"/>
      <c r="C19" s="106"/>
      <c r="D19" s="114" t="s">
        <v>323</v>
      </c>
      <c r="E19" s="1" t="s">
        <v>324</v>
      </c>
      <c r="F19" s="116"/>
      <c r="G19" s="117"/>
      <c r="H19" s="116"/>
      <c r="I19" s="105"/>
      <c r="J19" s="138"/>
    </row>
    <row r="20" spans="2:10">
      <c r="B20" s="101"/>
      <c r="C20" s="106"/>
      <c r="D20" s="114" t="s">
        <v>325</v>
      </c>
      <c r="E20" s="117" t="s">
        <v>326</v>
      </c>
      <c r="F20" s="117"/>
      <c r="G20" s="118"/>
      <c r="H20" s="116"/>
      <c r="I20" s="105"/>
      <c r="J20" s="138"/>
    </row>
    <row r="21" spans="2:10">
      <c r="B21" s="101"/>
      <c r="C21" s="106"/>
      <c r="D21" s="118"/>
      <c r="E21" s="119" t="s">
        <v>327</v>
      </c>
      <c r="F21" s="116"/>
      <c r="G21" s="117"/>
      <c r="H21" s="116"/>
      <c r="I21" s="105"/>
      <c r="J21" s="138"/>
    </row>
    <row r="22" spans="2:10">
      <c r="B22" s="101"/>
      <c r="C22" s="106"/>
      <c r="D22" s="120" t="s">
        <v>328</v>
      </c>
      <c r="E22" s="121"/>
      <c r="F22" s="117"/>
      <c r="G22" s="117"/>
      <c r="H22" s="117"/>
      <c r="I22" s="105"/>
      <c r="J22" s="138"/>
    </row>
    <row r="23" ht="28" spans="2:10">
      <c r="B23" s="101"/>
      <c r="C23" s="106"/>
      <c r="D23" s="118"/>
      <c r="E23" s="122" t="s">
        <v>329</v>
      </c>
      <c r="F23" s="122" t="s">
        <v>330</v>
      </c>
      <c r="G23" s="122" t="s">
        <v>331</v>
      </c>
      <c r="H23" s="122" t="s">
        <v>332</v>
      </c>
      <c r="I23" s="105"/>
      <c r="J23" s="138"/>
    </row>
    <row r="24" spans="2:10">
      <c r="B24" s="101"/>
      <c r="C24" s="106"/>
      <c r="D24" s="118"/>
      <c r="E24" s="123">
        <v>1.6</v>
      </c>
      <c r="F24" s="124">
        <v>0.8</v>
      </c>
      <c r="G24" s="125">
        <f>100-H24</f>
        <v>5</v>
      </c>
      <c r="H24" s="126">
        <v>95</v>
      </c>
      <c r="I24" s="105"/>
      <c r="J24" s="138"/>
    </row>
    <row r="25" spans="2:10">
      <c r="B25" s="101"/>
      <c r="C25" s="106"/>
      <c r="D25" s="118"/>
      <c r="E25" s="123">
        <v>1.9</v>
      </c>
      <c r="F25" s="124">
        <v>0.8</v>
      </c>
      <c r="G25" s="125">
        <f>100-H25</f>
        <v>5</v>
      </c>
      <c r="H25" s="126">
        <v>95</v>
      </c>
      <c r="I25" s="105"/>
      <c r="J25" s="138"/>
    </row>
    <row r="26" spans="2:10">
      <c r="B26" s="101"/>
      <c r="C26" s="106"/>
      <c r="D26" s="118"/>
      <c r="E26" s="123">
        <v>1.91</v>
      </c>
      <c r="F26" s="124">
        <f>F25</f>
        <v>0.8</v>
      </c>
      <c r="G26" s="125">
        <f>100-H26</f>
        <v>80</v>
      </c>
      <c r="H26" s="127">
        <v>20</v>
      </c>
      <c r="I26" s="105"/>
      <c r="J26" s="138"/>
    </row>
    <row r="27" spans="2:10">
      <c r="B27" s="101"/>
      <c r="C27" s="104"/>
      <c r="D27" s="118"/>
      <c r="E27" s="128">
        <v>2.2</v>
      </c>
      <c r="F27" s="124">
        <f>F26</f>
        <v>0.8</v>
      </c>
      <c r="G27" s="125">
        <f>100-H27</f>
        <v>80</v>
      </c>
      <c r="H27" s="127">
        <v>20</v>
      </c>
      <c r="I27" s="105"/>
      <c r="J27" s="138"/>
    </row>
    <row r="28" spans="2:10">
      <c r="B28" s="101"/>
      <c r="C28" s="104"/>
      <c r="D28" s="118" t="s">
        <v>333</v>
      </c>
      <c r="E28" s="118">
        <v>40</v>
      </c>
      <c r="F28" s="129"/>
      <c r="G28" s="129"/>
      <c r="H28" s="129"/>
      <c r="I28" s="105"/>
      <c r="J28" s="138"/>
    </row>
    <row r="29" spans="2:10">
      <c r="B29" s="101"/>
      <c r="C29" s="104"/>
      <c r="D29" s="118" t="s">
        <v>334</v>
      </c>
      <c r="E29" s="118">
        <v>5</v>
      </c>
      <c r="F29" s="129"/>
      <c r="G29" s="129"/>
      <c r="H29" s="129"/>
      <c r="I29" s="105"/>
      <c r="J29" s="138"/>
    </row>
    <row r="30" spans="2:10">
      <c r="B30" s="101"/>
      <c r="C30" s="104"/>
      <c r="D30" s="110" t="s">
        <v>335</v>
      </c>
      <c r="E30" s="104"/>
      <c r="F30" s="105"/>
      <c r="G30" s="105"/>
      <c r="H30" s="105"/>
      <c r="I30" s="105"/>
      <c r="J30" s="138"/>
    </row>
    <row r="31" spans="2:10">
      <c r="B31" s="101"/>
      <c r="C31" s="104"/>
      <c r="D31" s="130" t="s">
        <v>4</v>
      </c>
      <c r="E31" s="104" t="s">
        <v>336</v>
      </c>
      <c r="F31" s="105"/>
      <c r="G31" s="105"/>
      <c r="H31" s="105"/>
      <c r="I31" s="105"/>
      <c r="J31" s="138"/>
    </row>
    <row r="32" spans="2:10">
      <c r="B32" s="101"/>
      <c r="C32" s="104"/>
      <c r="D32" s="104" t="s">
        <v>337</v>
      </c>
      <c r="E32" s="104" t="s">
        <v>338</v>
      </c>
      <c r="F32" s="105"/>
      <c r="G32" s="105"/>
      <c r="H32" s="105"/>
      <c r="I32" s="105"/>
      <c r="J32" s="138"/>
    </row>
    <row r="33" spans="2:10">
      <c r="B33" s="101"/>
      <c r="C33" s="104"/>
      <c r="D33" s="130"/>
      <c r="E33" s="130"/>
      <c r="F33" s="105"/>
      <c r="G33" s="105"/>
      <c r="H33" s="105"/>
      <c r="I33" s="105"/>
      <c r="J33" s="138"/>
    </row>
    <row r="34" ht="117" customHeight="1" spans="2:11">
      <c r="B34" s="101"/>
      <c r="C34" s="106" t="s">
        <v>339</v>
      </c>
      <c r="D34" s="131" t="s">
        <v>340</v>
      </c>
      <c r="E34" s="131"/>
      <c r="F34" s="131"/>
      <c r="G34" s="131"/>
      <c r="H34" s="131"/>
      <c r="I34" s="131"/>
      <c r="J34" s="138"/>
      <c r="K34" s="139"/>
    </row>
    <row r="35" ht="14.75" spans="2:10">
      <c r="B35" s="132"/>
      <c r="C35" s="133" t="s">
        <v>341</v>
      </c>
      <c r="D35" s="134" t="s">
        <v>342</v>
      </c>
      <c r="E35" s="135"/>
      <c r="F35" s="136"/>
      <c r="G35" s="136"/>
      <c r="H35" s="136"/>
      <c r="I35" s="136"/>
      <c r="J35" s="140"/>
    </row>
    <row r="72" spans="5:5">
      <c r="E72" s="141"/>
    </row>
    <row r="88" spans="5:5">
      <c r="E88" s="141"/>
    </row>
  </sheetData>
  <mergeCells count="2">
    <mergeCell ref="D33:E33"/>
    <mergeCell ref="D34:I34"/>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0"/>
  </sheetPr>
  <dimension ref="B1:L49"/>
  <sheetViews>
    <sheetView showGridLines="0" zoomScale="85" zoomScaleNormal="85" workbookViewId="0">
      <selection activeCell="R40" sqref="R40"/>
    </sheetView>
  </sheetViews>
  <sheetFormatPr defaultColWidth="9" defaultRowHeight="14"/>
  <cols>
    <col min="1" max="1" width="2.5" style="28" customWidth="1"/>
    <col min="2" max="2" width="1.62727272727273" style="29" customWidth="1"/>
    <col min="3" max="3" width="15.6272727272727" style="30" customWidth="1"/>
    <col min="4" max="4" width="16" style="30" customWidth="1"/>
    <col min="5" max="6" width="10.3727272727273" style="30" customWidth="1"/>
    <col min="7" max="7" width="10.8727272727273" style="30" customWidth="1"/>
    <col min="8" max="8" width="11.8727272727273" style="30" customWidth="1"/>
    <col min="9" max="9" width="12.3727272727273" style="30" customWidth="1"/>
    <col min="10" max="11" width="9" style="30"/>
    <col min="12" max="12" width="1.75454545454545" style="30" customWidth="1"/>
    <col min="13" max="16384" width="9" style="28"/>
  </cols>
  <sheetData>
    <row r="1" ht="14.75"/>
    <row r="2" spans="2:12">
      <c r="B2" s="31"/>
      <c r="C2" s="32"/>
      <c r="D2" s="32"/>
      <c r="E2" s="32"/>
      <c r="F2" s="32"/>
      <c r="G2" s="32"/>
      <c r="H2" s="32"/>
      <c r="I2" s="32"/>
      <c r="J2" s="32"/>
      <c r="K2" s="32"/>
      <c r="L2" s="81"/>
    </row>
    <row r="3" spans="2:12">
      <c r="B3" s="33"/>
      <c r="C3" s="34" t="s">
        <v>343</v>
      </c>
      <c r="D3" s="35"/>
      <c r="E3" s="35"/>
      <c r="F3" s="35"/>
      <c r="G3" s="35"/>
      <c r="H3" s="35"/>
      <c r="I3" s="35"/>
      <c r="J3" s="35"/>
      <c r="K3" s="35"/>
      <c r="L3" s="82"/>
    </row>
    <row r="4" spans="2:12">
      <c r="B4" s="33"/>
      <c r="C4" s="35"/>
      <c r="D4" s="35"/>
      <c r="E4" s="35"/>
      <c r="F4" s="35"/>
      <c r="G4" s="35"/>
      <c r="H4" s="35"/>
      <c r="I4" s="35"/>
      <c r="J4" s="35"/>
      <c r="K4" s="35"/>
      <c r="L4" s="82"/>
    </row>
    <row r="5" ht="28" spans="2:12">
      <c r="B5" s="33"/>
      <c r="C5" s="36" t="s">
        <v>344</v>
      </c>
      <c r="D5" s="36" t="s">
        <v>345</v>
      </c>
      <c r="E5" s="36" t="s">
        <v>346</v>
      </c>
      <c r="F5" s="36" t="s">
        <v>347</v>
      </c>
      <c r="G5" s="36" t="s">
        <v>348</v>
      </c>
      <c r="H5" s="36" t="s">
        <v>349</v>
      </c>
      <c r="I5" s="43"/>
      <c r="J5" s="35"/>
      <c r="K5" s="83"/>
      <c r="L5" s="84"/>
    </row>
    <row r="6" spans="2:12">
      <c r="B6" s="33"/>
      <c r="C6" s="37" t="s">
        <v>4</v>
      </c>
      <c r="D6" s="38" t="s">
        <v>350</v>
      </c>
      <c r="E6" s="39">
        <v>1</v>
      </c>
      <c r="F6" s="40" t="s">
        <v>351</v>
      </c>
      <c r="G6" s="41" t="s">
        <v>46</v>
      </c>
      <c r="H6" s="41">
        <v>508.16</v>
      </c>
      <c r="I6" s="43"/>
      <c r="J6" s="35"/>
      <c r="K6" s="83"/>
      <c r="L6" s="84"/>
    </row>
    <row r="7" spans="2:12">
      <c r="B7" s="33"/>
      <c r="C7" s="42" t="s">
        <v>352</v>
      </c>
      <c r="D7" s="42"/>
      <c r="E7" s="42"/>
      <c r="F7" s="42"/>
      <c r="G7" s="42"/>
      <c r="H7" s="42"/>
      <c r="I7" s="42"/>
      <c r="J7" s="42"/>
      <c r="K7" s="42"/>
      <c r="L7" s="85"/>
    </row>
    <row r="8" spans="2:12">
      <c r="B8" s="33"/>
      <c r="C8" s="35"/>
      <c r="D8" s="35"/>
      <c r="E8" s="35"/>
      <c r="F8" s="35"/>
      <c r="G8" s="35"/>
      <c r="H8" s="35"/>
      <c r="I8" s="35"/>
      <c r="J8" s="35"/>
      <c r="K8" s="35"/>
      <c r="L8" s="82"/>
    </row>
    <row r="9" spans="2:12">
      <c r="B9" s="33"/>
      <c r="C9" s="34" t="s">
        <v>353</v>
      </c>
      <c r="D9" s="43"/>
      <c r="E9" s="43"/>
      <c r="F9" s="43"/>
      <c r="G9" s="35"/>
      <c r="H9" s="35"/>
      <c r="I9" s="35"/>
      <c r="J9" s="35"/>
      <c r="K9" s="35"/>
      <c r="L9" s="82"/>
    </row>
    <row r="10" spans="2:12">
      <c r="B10" s="33"/>
      <c r="C10" s="35" t="s">
        <v>43</v>
      </c>
      <c r="D10" s="44"/>
      <c r="E10" s="45"/>
      <c r="F10" s="45"/>
      <c r="G10" s="35"/>
      <c r="H10" s="35"/>
      <c r="I10" s="35"/>
      <c r="J10" s="35"/>
      <c r="K10" s="35"/>
      <c r="L10" s="82"/>
    </row>
    <row r="11" spans="2:12">
      <c r="B11" s="33"/>
      <c r="C11" s="46" t="s">
        <v>354</v>
      </c>
      <c r="D11" s="47"/>
      <c r="E11" s="47"/>
      <c r="F11" s="47"/>
      <c r="G11" s="47"/>
      <c r="H11" s="47"/>
      <c r="I11" s="47"/>
      <c r="J11" s="47"/>
      <c r="K11" s="86"/>
      <c r="L11" s="82"/>
    </row>
    <row r="12" spans="2:12">
      <c r="B12" s="33"/>
      <c r="C12" s="48" t="s">
        <v>355</v>
      </c>
      <c r="D12" s="49"/>
      <c r="E12" s="49"/>
      <c r="F12" s="49"/>
      <c r="G12" s="49"/>
      <c r="H12" s="49"/>
      <c r="I12" s="49"/>
      <c r="J12" s="49"/>
      <c r="K12" s="87"/>
      <c r="L12" s="82"/>
    </row>
    <row r="13" spans="2:12">
      <c r="B13" s="33"/>
      <c r="C13" s="35"/>
      <c r="D13" s="44"/>
      <c r="E13" s="44"/>
      <c r="F13" s="44"/>
      <c r="G13" s="35"/>
      <c r="H13" s="35"/>
      <c r="I13" s="35"/>
      <c r="J13" s="35"/>
      <c r="K13" s="35"/>
      <c r="L13" s="82"/>
    </row>
    <row r="14" spans="2:12">
      <c r="B14" s="33"/>
      <c r="C14" s="34" t="s">
        <v>356</v>
      </c>
      <c r="D14" s="35"/>
      <c r="E14" s="35"/>
      <c r="F14" s="35"/>
      <c r="G14" s="35"/>
      <c r="H14" s="35"/>
      <c r="I14" s="35"/>
      <c r="J14" s="35"/>
      <c r="K14" s="35"/>
      <c r="L14" s="82"/>
    </row>
    <row r="15" spans="2:12">
      <c r="B15" s="33"/>
      <c r="C15" s="35"/>
      <c r="D15" s="35"/>
      <c r="E15" s="35"/>
      <c r="F15" s="35"/>
      <c r="G15" s="35"/>
      <c r="H15" s="35"/>
      <c r="I15" s="35"/>
      <c r="J15" s="35"/>
      <c r="K15" s="35"/>
      <c r="L15" s="82"/>
    </row>
    <row r="16" spans="2:12">
      <c r="B16" s="33"/>
      <c r="C16" s="50" t="s">
        <v>357</v>
      </c>
      <c r="D16" s="51"/>
      <c r="E16" s="51"/>
      <c r="F16" s="51"/>
      <c r="G16" s="51"/>
      <c r="H16" s="51"/>
      <c r="I16" s="51"/>
      <c r="J16" s="51"/>
      <c r="K16" s="88"/>
      <c r="L16" s="82"/>
    </row>
    <row r="17" spans="2:12">
      <c r="B17" s="33"/>
      <c r="C17" s="52" t="s">
        <v>358</v>
      </c>
      <c r="D17" s="35"/>
      <c r="E17" s="35"/>
      <c r="F17" s="35"/>
      <c r="G17" s="35"/>
      <c r="H17" s="35"/>
      <c r="I17" s="35"/>
      <c r="J17" s="35"/>
      <c r="K17" s="89"/>
      <c r="L17" s="82"/>
    </row>
    <row r="18" spans="2:12">
      <c r="B18" s="33"/>
      <c r="C18" s="52" t="s">
        <v>359</v>
      </c>
      <c r="D18" s="35"/>
      <c r="E18" s="35"/>
      <c r="F18" s="35"/>
      <c r="G18" s="35"/>
      <c r="H18" s="35"/>
      <c r="I18" s="35"/>
      <c r="J18" s="35"/>
      <c r="K18" s="89"/>
      <c r="L18" s="82"/>
    </row>
    <row r="19" spans="2:12">
      <c r="B19" s="33"/>
      <c r="C19" s="53" t="s">
        <v>360</v>
      </c>
      <c r="D19" s="54"/>
      <c r="E19" s="54"/>
      <c r="F19" s="54"/>
      <c r="G19" s="54"/>
      <c r="H19" s="54"/>
      <c r="I19" s="54"/>
      <c r="J19" s="54"/>
      <c r="K19" s="90"/>
      <c r="L19" s="82"/>
    </row>
    <row r="20" spans="2:12">
      <c r="B20" s="33"/>
      <c r="C20" s="35"/>
      <c r="D20" s="35"/>
      <c r="E20" s="35"/>
      <c r="F20" s="35"/>
      <c r="G20" s="35"/>
      <c r="H20" s="35"/>
      <c r="I20" s="35"/>
      <c r="J20" s="35"/>
      <c r="K20" s="35"/>
      <c r="L20" s="82"/>
    </row>
    <row r="21" spans="2:12">
      <c r="B21" s="33"/>
      <c r="C21" s="34" t="s">
        <v>361</v>
      </c>
      <c r="D21" s="35"/>
      <c r="E21" s="35"/>
      <c r="F21" s="35"/>
      <c r="G21" s="35"/>
      <c r="H21" s="35"/>
      <c r="I21" s="35"/>
      <c r="J21" s="35"/>
      <c r="K21" s="35"/>
      <c r="L21" s="82"/>
    </row>
    <row r="22" spans="2:12">
      <c r="B22" s="33"/>
      <c r="C22" s="35"/>
      <c r="D22" s="35"/>
      <c r="E22" s="35"/>
      <c r="F22" s="35"/>
      <c r="G22" s="35"/>
      <c r="H22" s="35"/>
      <c r="I22" s="35"/>
      <c r="J22" s="35"/>
      <c r="K22" s="35"/>
      <c r="L22" s="82"/>
    </row>
    <row r="23" spans="2:12">
      <c r="B23" s="33"/>
      <c r="C23" s="55" t="s">
        <v>362</v>
      </c>
      <c r="D23" s="55" t="s">
        <v>363</v>
      </c>
      <c r="E23" s="56" t="s">
        <v>364</v>
      </c>
      <c r="F23" s="57" t="s">
        <v>365</v>
      </c>
      <c r="G23" s="57" t="s">
        <v>366</v>
      </c>
      <c r="H23" s="57" t="s">
        <v>367</v>
      </c>
      <c r="I23" s="55" t="s">
        <v>368</v>
      </c>
      <c r="J23" s="55" t="s">
        <v>369</v>
      </c>
      <c r="K23" s="35"/>
      <c r="L23" s="82"/>
    </row>
    <row r="24" spans="2:12">
      <c r="B24" s="33"/>
      <c r="C24" s="58"/>
      <c r="D24" s="58"/>
      <c r="E24" s="59" t="s">
        <v>370</v>
      </c>
      <c r="F24" s="57" t="s">
        <v>371</v>
      </c>
      <c r="G24" s="57" t="s">
        <v>372</v>
      </c>
      <c r="H24" s="57" t="s">
        <v>373</v>
      </c>
      <c r="I24" s="58"/>
      <c r="J24" s="58"/>
      <c r="K24" s="35"/>
      <c r="L24" s="82"/>
    </row>
    <row r="25" spans="2:12">
      <c r="B25" s="33"/>
      <c r="C25" s="60">
        <v>1</v>
      </c>
      <c r="D25" s="37" t="s">
        <v>4</v>
      </c>
      <c r="E25" s="61">
        <v>3</v>
      </c>
      <c r="F25" s="62">
        <v>1</v>
      </c>
      <c r="G25" s="62">
        <v>0.2</v>
      </c>
      <c r="H25" s="62">
        <v>5</v>
      </c>
      <c r="I25" s="91" t="s">
        <v>374</v>
      </c>
      <c r="J25" s="60" t="s">
        <v>375</v>
      </c>
      <c r="K25" s="35"/>
      <c r="L25" s="82"/>
    </row>
    <row r="26" spans="2:12">
      <c r="B26" s="33"/>
      <c r="C26" s="60">
        <v>2</v>
      </c>
      <c r="D26" s="37" t="s">
        <v>4</v>
      </c>
      <c r="E26" s="61">
        <v>3</v>
      </c>
      <c r="F26" s="62">
        <v>10</v>
      </c>
      <c r="G26" s="62">
        <v>1</v>
      </c>
      <c r="H26" s="62">
        <v>10</v>
      </c>
      <c r="I26" s="91" t="s">
        <v>376</v>
      </c>
      <c r="J26" s="60" t="s">
        <v>375</v>
      </c>
      <c r="K26" s="35"/>
      <c r="L26" s="82"/>
    </row>
    <row r="27" spans="2:12">
      <c r="B27" s="33"/>
      <c r="C27" s="63" t="s">
        <v>377</v>
      </c>
      <c r="D27" s="64"/>
      <c r="E27" s="64"/>
      <c r="F27" s="64"/>
      <c r="G27" s="64"/>
      <c r="H27" s="64"/>
      <c r="I27" s="64"/>
      <c r="J27" s="64"/>
      <c r="K27" s="35"/>
      <c r="L27" s="82"/>
    </row>
    <row r="28" spans="2:12">
      <c r="B28" s="33"/>
      <c r="C28" s="35"/>
      <c r="D28" s="35"/>
      <c r="E28" s="35"/>
      <c r="F28" s="35"/>
      <c r="G28" s="35"/>
      <c r="H28" s="35"/>
      <c r="I28" s="35"/>
      <c r="J28" s="35"/>
      <c r="K28" s="35"/>
      <c r="L28" s="82"/>
    </row>
    <row r="29" spans="2:12">
      <c r="B29" s="33"/>
      <c r="C29" s="34" t="s">
        <v>378</v>
      </c>
      <c r="D29" s="35"/>
      <c r="E29" s="35"/>
      <c r="F29" s="35"/>
      <c r="G29" s="35"/>
      <c r="H29" s="35"/>
      <c r="I29" s="35"/>
      <c r="J29" s="35"/>
      <c r="K29" s="35"/>
      <c r="L29" s="82"/>
    </row>
    <row r="30" spans="2:12">
      <c r="B30" s="33"/>
      <c r="C30" s="35"/>
      <c r="D30" s="35"/>
      <c r="E30" s="35"/>
      <c r="F30" s="35"/>
      <c r="G30" s="35"/>
      <c r="H30" s="35"/>
      <c r="I30" s="35"/>
      <c r="J30" s="35"/>
      <c r="K30" s="35"/>
      <c r="L30" s="82"/>
    </row>
    <row r="31" spans="2:12">
      <c r="B31" s="33"/>
      <c r="C31" s="65" t="s">
        <v>379</v>
      </c>
      <c r="D31" s="66"/>
      <c r="E31" s="66"/>
      <c r="F31" s="66"/>
      <c r="G31" s="66"/>
      <c r="H31" s="66"/>
      <c r="I31" s="66"/>
      <c r="J31" s="66"/>
      <c r="K31" s="92"/>
      <c r="L31" s="82"/>
    </row>
    <row r="32" spans="2:12">
      <c r="B32" s="33"/>
      <c r="C32" s="35"/>
      <c r="D32" s="35"/>
      <c r="E32" s="35"/>
      <c r="F32" s="35"/>
      <c r="G32" s="35"/>
      <c r="H32" s="35"/>
      <c r="I32" s="35"/>
      <c r="J32" s="35"/>
      <c r="K32" s="35"/>
      <c r="L32" s="82"/>
    </row>
    <row r="33" spans="2:12">
      <c r="B33" s="33"/>
      <c r="C33" s="34" t="s">
        <v>380</v>
      </c>
      <c r="D33" s="35"/>
      <c r="E33" s="35"/>
      <c r="F33" s="35"/>
      <c r="G33" s="35"/>
      <c r="H33" s="35"/>
      <c r="I33" s="35"/>
      <c r="J33" s="35"/>
      <c r="K33" s="35"/>
      <c r="L33" s="82"/>
    </row>
    <row r="34" spans="2:12">
      <c r="B34" s="33"/>
      <c r="C34" s="35"/>
      <c r="D34" s="35"/>
      <c r="E34" s="35"/>
      <c r="F34" s="35"/>
      <c r="G34" s="35"/>
      <c r="H34" s="35"/>
      <c r="I34" s="35"/>
      <c r="J34" s="35"/>
      <c r="K34" s="35"/>
      <c r="L34" s="82"/>
    </row>
    <row r="35" ht="18" customHeight="1" spans="2:12">
      <c r="B35" s="33"/>
      <c r="C35" s="67" t="s">
        <v>381</v>
      </c>
      <c r="D35" s="47"/>
      <c r="E35" s="47"/>
      <c r="F35" s="47"/>
      <c r="G35" s="47"/>
      <c r="H35" s="47"/>
      <c r="I35" s="47"/>
      <c r="J35" s="47"/>
      <c r="K35" s="86"/>
      <c r="L35" s="82"/>
    </row>
    <row r="36" spans="2:12">
      <c r="B36" s="33"/>
      <c r="C36" s="68" t="s">
        <v>382</v>
      </c>
      <c r="D36" s="69"/>
      <c r="E36" s="69"/>
      <c r="F36" s="69"/>
      <c r="G36" s="69"/>
      <c r="H36" s="69"/>
      <c r="I36" s="69"/>
      <c r="J36" s="69"/>
      <c r="K36" s="93"/>
      <c r="L36" s="82"/>
    </row>
    <row r="37" spans="2:12">
      <c r="B37" s="33"/>
      <c r="C37" s="70"/>
      <c r="D37" s="70"/>
      <c r="E37" s="70"/>
      <c r="F37" s="70"/>
      <c r="G37" s="70"/>
      <c r="H37" s="70"/>
      <c r="I37" s="70"/>
      <c r="J37" s="70"/>
      <c r="K37" s="70"/>
      <c r="L37" s="82"/>
    </row>
    <row r="38" spans="2:12">
      <c r="B38" s="33"/>
      <c r="C38" s="34" t="s">
        <v>383</v>
      </c>
      <c r="D38" s="35"/>
      <c r="E38" s="35"/>
      <c r="F38" s="35"/>
      <c r="G38" s="35"/>
      <c r="H38" s="35"/>
      <c r="I38" s="35"/>
      <c r="J38" s="35"/>
      <c r="K38" s="35"/>
      <c r="L38" s="82"/>
    </row>
    <row r="39" spans="2:12">
      <c r="B39" s="33"/>
      <c r="C39" s="34"/>
      <c r="D39" s="35"/>
      <c r="E39" s="35"/>
      <c r="F39" s="35"/>
      <c r="G39" s="35"/>
      <c r="H39" s="35"/>
      <c r="I39" s="35"/>
      <c r="J39" s="35"/>
      <c r="K39" s="35"/>
      <c r="L39" s="82"/>
    </row>
    <row r="40" ht="30" customHeight="1" spans="2:12">
      <c r="B40" s="33"/>
      <c r="C40" s="71" t="s">
        <v>384</v>
      </c>
      <c r="D40" s="72"/>
      <c r="E40" s="72"/>
      <c r="F40" s="72"/>
      <c r="G40" s="72"/>
      <c r="H40" s="72"/>
      <c r="I40" s="72"/>
      <c r="J40" s="72"/>
      <c r="K40" s="72"/>
      <c r="L40" s="82"/>
    </row>
    <row r="41" spans="2:12">
      <c r="B41" s="33"/>
      <c r="C41" s="73"/>
      <c r="D41" s="73"/>
      <c r="E41" s="73"/>
      <c r="F41" s="73"/>
      <c r="G41" s="73"/>
      <c r="H41" s="73"/>
      <c r="I41" s="73"/>
      <c r="J41" s="73"/>
      <c r="K41" s="35"/>
      <c r="L41" s="82"/>
    </row>
    <row r="42" spans="2:12">
      <c r="B42" s="33"/>
      <c r="C42" s="34" t="s">
        <v>385</v>
      </c>
      <c r="D42" s="73"/>
      <c r="E42" s="73"/>
      <c r="F42" s="73"/>
      <c r="G42" s="73"/>
      <c r="H42" s="73"/>
      <c r="I42" s="73"/>
      <c r="J42" s="73"/>
      <c r="K42" s="35"/>
      <c r="L42" s="82"/>
    </row>
    <row r="43" spans="2:12">
      <c r="B43" s="33"/>
      <c r="C43" s="34"/>
      <c r="D43" s="73"/>
      <c r="E43" s="73"/>
      <c r="F43" s="73"/>
      <c r="G43" s="73"/>
      <c r="H43" s="73"/>
      <c r="I43" s="73"/>
      <c r="J43" s="73"/>
      <c r="K43" s="35"/>
      <c r="L43" s="82"/>
    </row>
    <row r="44" ht="30" customHeight="1" spans="2:12">
      <c r="B44" s="33"/>
      <c r="C44" s="74" t="s">
        <v>386</v>
      </c>
      <c r="D44" s="75"/>
      <c r="E44" s="75"/>
      <c r="F44" s="75"/>
      <c r="G44" s="75"/>
      <c r="H44" s="75"/>
      <c r="I44" s="75"/>
      <c r="J44" s="75"/>
      <c r="K44" s="94"/>
      <c r="L44" s="82"/>
    </row>
    <row r="45" spans="2:12">
      <c r="B45" s="33"/>
      <c r="C45" s="64"/>
      <c r="D45" s="64"/>
      <c r="E45" s="64"/>
      <c r="F45" s="64"/>
      <c r="G45" s="64"/>
      <c r="H45" s="64"/>
      <c r="I45" s="64"/>
      <c r="J45" s="64"/>
      <c r="K45" s="64"/>
      <c r="L45" s="82"/>
    </row>
    <row r="46" spans="2:12">
      <c r="B46" s="33"/>
      <c r="C46" s="76" t="s">
        <v>387</v>
      </c>
      <c r="D46" s="76"/>
      <c r="E46" s="76"/>
      <c r="F46" s="76"/>
      <c r="G46" s="76"/>
      <c r="H46" s="76"/>
      <c r="I46" s="76"/>
      <c r="J46" s="76"/>
      <c r="K46" s="76"/>
      <c r="L46" s="82"/>
    </row>
    <row r="47" spans="2:12">
      <c r="B47" s="33"/>
      <c r="C47" s="76"/>
      <c r="D47" s="76"/>
      <c r="E47" s="76"/>
      <c r="F47" s="76"/>
      <c r="G47" s="76"/>
      <c r="H47" s="76"/>
      <c r="I47" s="76"/>
      <c r="J47" s="76"/>
      <c r="K47" s="76"/>
      <c r="L47" s="82"/>
    </row>
    <row r="48" spans="2:12">
      <c r="B48" s="33"/>
      <c r="C48" s="77" t="s">
        <v>388</v>
      </c>
      <c r="D48" s="78"/>
      <c r="E48" s="78"/>
      <c r="F48" s="78"/>
      <c r="G48" s="78"/>
      <c r="H48" s="78"/>
      <c r="I48" s="78"/>
      <c r="J48" s="78"/>
      <c r="K48" s="95"/>
      <c r="L48" s="82"/>
    </row>
    <row r="49" ht="14.75" spans="2:12">
      <c r="B49" s="79"/>
      <c r="C49" s="80"/>
      <c r="D49" s="80"/>
      <c r="E49" s="80"/>
      <c r="F49" s="80"/>
      <c r="G49" s="80"/>
      <c r="H49" s="80"/>
      <c r="I49" s="80"/>
      <c r="J49" s="80"/>
      <c r="K49" s="80"/>
      <c r="L49" s="96"/>
    </row>
  </sheetData>
  <protectedRanges>
    <protectedRange sqref="H6" name="送样单_8_2"/>
    <protectedRange sqref="H6" name="送样单_8_2_1"/>
    <protectedRange sqref="G6:H6" name="EditableByClient"/>
  </protectedRanges>
  <mergeCells count="15">
    <mergeCell ref="C7:K7"/>
    <mergeCell ref="C11:K11"/>
    <mergeCell ref="C12:K12"/>
    <mergeCell ref="C27:J27"/>
    <mergeCell ref="C35:K35"/>
    <mergeCell ref="C36:K36"/>
    <mergeCell ref="C40:K40"/>
    <mergeCell ref="C44:K44"/>
    <mergeCell ref="C45:K45"/>
    <mergeCell ref="C46:K46"/>
    <mergeCell ref="C48:K48"/>
    <mergeCell ref="C23:C24"/>
    <mergeCell ref="D23:D24"/>
    <mergeCell ref="I23:I24"/>
    <mergeCell ref="J23:J24"/>
  </mergeCells>
  <pageMargins left="0.75" right="0.75" top="1" bottom="1" header="0.5" footer="0.5"/>
  <pageSetup paperSize="9" scale="84" orientation="landscape"/>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4:Q25"/>
  <sheetViews>
    <sheetView workbookViewId="0">
      <selection activeCell="E29" sqref="E29"/>
    </sheetView>
  </sheetViews>
  <sheetFormatPr defaultColWidth="9" defaultRowHeight="14"/>
  <cols>
    <col min="1" max="1" width="3.37272727272727" style="1" customWidth="1"/>
    <col min="2" max="2" width="22.7545454545455" style="1" customWidth="1"/>
    <col min="3" max="4" width="30.8727272727273" style="1" customWidth="1"/>
    <col min="5" max="5" width="23.7545454545455" style="1" customWidth="1"/>
    <col min="6" max="16384" width="9" style="1"/>
  </cols>
  <sheetData>
    <row r="4" ht="21.75" customHeight="1" spans="2:5">
      <c r="B4" s="2" t="s">
        <v>389</v>
      </c>
      <c r="C4" s="3"/>
      <c r="D4" s="3"/>
      <c r="E4" s="3"/>
    </row>
    <row r="5" ht="29.25" customHeight="1" spans="2:5">
      <c r="B5" s="4" t="s">
        <v>312</v>
      </c>
      <c r="C5" s="5" t="s">
        <v>390</v>
      </c>
      <c r="D5" s="6"/>
      <c r="E5" s="7"/>
    </row>
    <row r="6" ht="27" customHeight="1" spans="2:5">
      <c r="B6" s="4" t="s">
        <v>391</v>
      </c>
      <c r="C6" s="8" t="s">
        <v>392</v>
      </c>
      <c r="D6" s="9"/>
      <c r="E6" s="10"/>
    </row>
    <row r="7" ht="21.75" customHeight="1" spans="2:5">
      <c r="B7" s="4" t="s">
        <v>393</v>
      </c>
      <c r="C7" s="4" t="s">
        <v>394</v>
      </c>
      <c r="D7" s="4" t="s">
        <v>395</v>
      </c>
      <c r="E7" s="4" t="s">
        <v>396</v>
      </c>
    </row>
    <row r="8" ht="26.25" customHeight="1" spans="2:5">
      <c r="B8" s="11" t="s">
        <v>397</v>
      </c>
      <c r="C8" s="12">
        <v>29967</v>
      </c>
      <c r="D8" s="12">
        <v>20067</v>
      </c>
      <c r="E8" s="13">
        <v>8087</v>
      </c>
    </row>
    <row r="9" ht="21.75" customHeight="1" spans="2:11">
      <c r="B9" s="14" t="s">
        <v>398</v>
      </c>
      <c r="C9" s="15" t="s">
        <v>46</v>
      </c>
      <c r="D9" s="15">
        <f>(D8-C8)/C8*100</f>
        <v>-33.0363399739714</v>
      </c>
      <c r="E9" s="15">
        <f>(E8-C8)/C8*100</f>
        <v>-73.0136483465145</v>
      </c>
      <c r="K9"/>
    </row>
    <row r="10" ht="45.75" customHeight="1" spans="2:11">
      <c r="B10" s="14" t="s">
        <v>399</v>
      </c>
      <c r="C10" s="16" t="s">
        <v>400</v>
      </c>
      <c r="D10" s="17"/>
      <c r="E10" s="18"/>
      <c r="K10"/>
    </row>
    <row r="13" ht="14.75"/>
    <row r="14" ht="70" spans="2:17">
      <c r="B14" s="19" t="s">
        <v>167</v>
      </c>
      <c r="C14" s="20" t="s">
        <v>168</v>
      </c>
      <c r="D14" s="20" t="s">
        <v>169</v>
      </c>
      <c r="E14" s="20" t="s">
        <v>170</v>
      </c>
      <c r="F14" s="20" t="s">
        <v>171</v>
      </c>
      <c r="G14" s="20" t="s">
        <v>172</v>
      </c>
      <c r="H14" s="20" t="s">
        <v>173</v>
      </c>
      <c r="I14" s="20" t="s">
        <v>174</v>
      </c>
      <c r="J14" s="20" t="s">
        <v>175</v>
      </c>
      <c r="K14" s="20" t="s">
        <v>176</v>
      </c>
      <c r="L14" s="20" t="s">
        <v>177</v>
      </c>
      <c r="M14" s="20" t="s">
        <v>178</v>
      </c>
      <c r="N14" s="20" t="s">
        <v>179</v>
      </c>
      <c r="O14" s="20" t="s">
        <v>180</v>
      </c>
      <c r="P14" s="20" t="s">
        <v>181</v>
      </c>
      <c r="Q14" s="25"/>
    </row>
    <row r="15" spans="2:17">
      <c r="B15" s="21" t="s">
        <v>401</v>
      </c>
      <c r="C15" s="22" t="s">
        <v>183</v>
      </c>
      <c r="D15" s="22" t="s">
        <v>184</v>
      </c>
      <c r="E15" s="22" t="s">
        <v>4</v>
      </c>
      <c r="F15" s="22" t="s">
        <v>185</v>
      </c>
      <c r="G15" s="22">
        <v>0</v>
      </c>
      <c r="H15" s="22">
        <v>27700</v>
      </c>
      <c r="I15" s="22">
        <v>1.39</v>
      </c>
      <c r="J15" s="22">
        <v>0.00214</v>
      </c>
      <c r="K15" s="22">
        <v>12900000</v>
      </c>
      <c r="L15" s="22">
        <v>1.18</v>
      </c>
      <c r="M15" s="22"/>
      <c r="N15" s="22">
        <v>0</v>
      </c>
      <c r="O15" s="22" t="s">
        <v>185</v>
      </c>
      <c r="P15" s="22">
        <v>1</v>
      </c>
      <c r="Q15" s="26"/>
    </row>
    <row r="16" spans="2:17">
      <c r="B16" s="21" t="s">
        <v>401</v>
      </c>
      <c r="C16" s="22" t="s">
        <v>183</v>
      </c>
      <c r="D16" s="22" t="s">
        <v>184</v>
      </c>
      <c r="E16" s="22" t="s">
        <v>4</v>
      </c>
      <c r="F16" s="22" t="s">
        <v>185</v>
      </c>
      <c r="G16" s="22">
        <v>0</v>
      </c>
      <c r="H16" s="22">
        <v>31500</v>
      </c>
      <c r="I16" s="22">
        <v>1.39</v>
      </c>
      <c r="J16" s="22">
        <v>0.00239</v>
      </c>
      <c r="K16" s="22">
        <v>13200000</v>
      </c>
      <c r="L16" s="22">
        <v>1.17</v>
      </c>
      <c r="M16" s="22"/>
      <c r="N16" s="22">
        <v>0</v>
      </c>
      <c r="O16" s="22" t="s">
        <v>185</v>
      </c>
      <c r="P16" s="22">
        <v>1</v>
      </c>
      <c r="Q16" s="26"/>
    </row>
    <row r="17" spans="2:17">
      <c r="B17" s="21" t="s">
        <v>401</v>
      </c>
      <c r="C17" s="22" t="s">
        <v>183</v>
      </c>
      <c r="D17" s="22" t="s">
        <v>184</v>
      </c>
      <c r="E17" s="22" t="s">
        <v>4</v>
      </c>
      <c r="F17" s="22" t="s">
        <v>185</v>
      </c>
      <c r="G17" s="22">
        <v>0</v>
      </c>
      <c r="H17" s="22">
        <v>30700</v>
      </c>
      <c r="I17" s="22">
        <v>1.39</v>
      </c>
      <c r="J17" s="22">
        <v>0.00235</v>
      </c>
      <c r="K17" s="22">
        <v>13100000</v>
      </c>
      <c r="L17" s="22">
        <v>1.17</v>
      </c>
      <c r="M17" s="22"/>
      <c r="N17" s="22">
        <v>0</v>
      </c>
      <c r="O17" s="22" t="s">
        <v>185</v>
      </c>
      <c r="P17" s="22">
        <v>1</v>
      </c>
      <c r="Q17" s="26"/>
    </row>
    <row r="18" spans="2:17">
      <c r="B18" s="21" t="s">
        <v>402</v>
      </c>
      <c r="C18" s="22" t="s">
        <v>183</v>
      </c>
      <c r="D18" s="22" t="s">
        <v>184</v>
      </c>
      <c r="E18" s="22" t="s">
        <v>4</v>
      </c>
      <c r="F18" s="22" t="s">
        <v>185</v>
      </c>
      <c r="G18" s="22">
        <v>0</v>
      </c>
      <c r="H18" s="22">
        <v>18100</v>
      </c>
      <c r="I18" s="22">
        <v>1.39</v>
      </c>
      <c r="J18" s="22">
        <v>0.00149</v>
      </c>
      <c r="K18" s="22">
        <v>12100000</v>
      </c>
      <c r="L18" s="22">
        <v>1.18</v>
      </c>
      <c r="M18" s="22"/>
      <c r="N18" s="22">
        <v>0</v>
      </c>
      <c r="O18" s="22" t="s">
        <v>185</v>
      </c>
      <c r="P18" s="22">
        <v>1</v>
      </c>
      <c r="Q18" s="26"/>
    </row>
    <row r="19" spans="2:17">
      <c r="B19" s="21" t="s">
        <v>402</v>
      </c>
      <c r="C19" s="22" t="s">
        <v>183</v>
      </c>
      <c r="D19" s="22" t="s">
        <v>184</v>
      </c>
      <c r="E19" s="22" t="s">
        <v>4</v>
      </c>
      <c r="F19" s="22" t="s">
        <v>185</v>
      </c>
      <c r="G19" s="22">
        <v>0</v>
      </c>
      <c r="H19" s="22">
        <v>21100</v>
      </c>
      <c r="I19" s="22">
        <v>1.39</v>
      </c>
      <c r="J19" s="22">
        <v>0.00169</v>
      </c>
      <c r="K19" s="22">
        <v>12400000</v>
      </c>
      <c r="L19" s="22">
        <v>1.17</v>
      </c>
      <c r="M19" s="22"/>
      <c r="N19" s="22">
        <v>0</v>
      </c>
      <c r="O19" s="22" t="s">
        <v>185</v>
      </c>
      <c r="P19" s="22">
        <v>1</v>
      </c>
      <c r="Q19" s="26"/>
    </row>
    <row r="20" spans="2:17">
      <c r="B20" s="21" t="s">
        <v>402</v>
      </c>
      <c r="C20" s="22" t="s">
        <v>183</v>
      </c>
      <c r="D20" s="22" t="s">
        <v>184</v>
      </c>
      <c r="E20" s="22" t="s">
        <v>4</v>
      </c>
      <c r="F20" s="22" t="s">
        <v>185</v>
      </c>
      <c r="G20" s="22">
        <v>0</v>
      </c>
      <c r="H20" s="22">
        <v>21000</v>
      </c>
      <c r="I20" s="22">
        <v>1.39</v>
      </c>
      <c r="J20" s="22">
        <v>0.00168</v>
      </c>
      <c r="K20" s="22">
        <v>12500000</v>
      </c>
      <c r="L20" s="22">
        <v>1.17</v>
      </c>
      <c r="M20" s="22"/>
      <c r="N20" s="22">
        <v>0</v>
      </c>
      <c r="O20" s="22" t="s">
        <v>185</v>
      </c>
      <c r="P20" s="22">
        <v>1</v>
      </c>
      <c r="Q20" s="26"/>
    </row>
    <row r="21" spans="2:17">
      <c r="B21" s="21" t="s">
        <v>403</v>
      </c>
      <c r="C21" s="22" t="s">
        <v>183</v>
      </c>
      <c r="D21" s="22" t="s">
        <v>184</v>
      </c>
      <c r="E21" s="22" t="s">
        <v>4</v>
      </c>
      <c r="F21" s="22" t="s">
        <v>185</v>
      </c>
      <c r="G21" s="22">
        <v>0</v>
      </c>
      <c r="H21" s="22">
        <v>6600</v>
      </c>
      <c r="I21" s="22">
        <v>1.39</v>
      </c>
      <c r="J21" s="22">
        <v>0.000647</v>
      </c>
      <c r="K21" s="22">
        <v>10200000</v>
      </c>
      <c r="L21" s="22">
        <v>1.17</v>
      </c>
      <c r="M21" s="22"/>
      <c r="N21" s="22">
        <v>0</v>
      </c>
      <c r="O21" s="22" t="s">
        <v>185</v>
      </c>
      <c r="P21" s="22">
        <v>1</v>
      </c>
      <c r="Q21" s="26"/>
    </row>
    <row r="22" spans="2:17">
      <c r="B22" s="21" t="s">
        <v>403</v>
      </c>
      <c r="C22" s="22" t="s">
        <v>183</v>
      </c>
      <c r="D22" s="22" t="s">
        <v>184</v>
      </c>
      <c r="E22" s="22" t="s">
        <v>4</v>
      </c>
      <c r="F22" s="22" t="s">
        <v>185</v>
      </c>
      <c r="G22" s="22">
        <v>0</v>
      </c>
      <c r="H22" s="22">
        <v>8910</v>
      </c>
      <c r="I22" s="22">
        <v>1.39</v>
      </c>
      <c r="J22" s="22">
        <v>0.000763</v>
      </c>
      <c r="K22" s="22">
        <v>11700000</v>
      </c>
      <c r="L22" s="22">
        <v>1.18</v>
      </c>
      <c r="M22" s="22"/>
      <c r="N22" s="22">
        <v>0</v>
      </c>
      <c r="O22" s="22" t="s">
        <v>185</v>
      </c>
      <c r="P22" s="22">
        <v>1</v>
      </c>
      <c r="Q22" s="26"/>
    </row>
    <row r="23" spans="2:17">
      <c r="B23" s="21" t="s">
        <v>403</v>
      </c>
      <c r="C23" s="22" t="s">
        <v>183</v>
      </c>
      <c r="D23" s="22" t="s">
        <v>184</v>
      </c>
      <c r="E23" s="22" t="s">
        <v>4</v>
      </c>
      <c r="F23" s="22" t="s">
        <v>185</v>
      </c>
      <c r="G23" s="22">
        <v>0</v>
      </c>
      <c r="H23" s="22">
        <v>8750</v>
      </c>
      <c r="I23" s="22">
        <v>1.39</v>
      </c>
      <c r="J23" s="22">
        <v>0.000721</v>
      </c>
      <c r="K23" s="22">
        <v>12100000</v>
      </c>
      <c r="L23" s="22">
        <v>1.17</v>
      </c>
      <c r="M23" s="22"/>
      <c r="N23" s="22">
        <v>0</v>
      </c>
      <c r="O23" s="22" t="s">
        <v>185</v>
      </c>
      <c r="P23" s="22">
        <v>1</v>
      </c>
      <c r="Q23" s="26"/>
    </row>
    <row r="24" spans="2:17">
      <c r="B24" s="21"/>
      <c r="C24" s="22"/>
      <c r="D24" s="22"/>
      <c r="E24" s="22"/>
      <c r="F24" s="22"/>
      <c r="G24" s="22"/>
      <c r="H24" s="22"/>
      <c r="I24" s="22"/>
      <c r="J24" s="22"/>
      <c r="K24" s="22"/>
      <c r="L24" s="22"/>
      <c r="M24" s="22"/>
      <c r="N24" s="22"/>
      <c r="O24" s="22"/>
      <c r="P24" s="22"/>
      <c r="Q24" s="26"/>
    </row>
    <row r="25" ht="14.75" spans="2:17">
      <c r="B25" s="23"/>
      <c r="C25" s="24"/>
      <c r="D25" s="24"/>
      <c r="E25" s="24"/>
      <c r="F25" s="24"/>
      <c r="G25" s="24"/>
      <c r="H25" s="24"/>
      <c r="I25" s="24"/>
      <c r="J25" s="24"/>
      <c r="K25" s="24"/>
      <c r="L25" s="24"/>
      <c r="M25" s="24"/>
      <c r="N25" s="24"/>
      <c r="O25" s="24"/>
      <c r="P25" s="24"/>
      <c r="Q25" s="27"/>
    </row>
  </sheetData>
  <mergeCells count="4">
    <mergeCell ref="B4:D4"/>
    <mergeCell ref="C5:E5"/>
    <mergeCell ref="C6:E6"/>
    <mergeCell ref="C10:E10"/>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otherUserPermission="visible"/>
  <rangeList sheetStid="39" master="" otherUserPermission="visible"/>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送样单_8_2_1" rangeCreator="" othersAccessPermission="edit"/>
    <arrUserId title="EditableByClient" rangeCreator="" othersAccessPermission="edit"/>
  </rangeList>
  <rangeList sheetStid="4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封面</vt:lpstr>
      <vt:lpstr>结果汇总</vt:lpstr>
      <vt:lpstr>PK 参数</vt:lpstr>
      <vt:lpstr>原始数据</vt:lpstr>
      <vt:lpstr>标曲&amp;质控</vt:lpstr>
      <vt:lpstr>给药制剂浓度检测</vt:lpstr>
      <vt:lpstr>LC-MS分析方法 </vt:lpstr>
      <vt:lpstr>试验设计</vt:lpstr>
      <vt:lpstr>血浆稳定性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2024-10-17T09:34:09Z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E85B26F13B3949D7939795D554DAF0A1_13</vt:lpwstr>
  </property>
</Properties>
</file>