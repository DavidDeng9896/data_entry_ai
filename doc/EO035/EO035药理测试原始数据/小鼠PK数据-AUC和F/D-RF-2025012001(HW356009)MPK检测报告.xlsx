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defaultThemeVersion="124226"/>
  <mc:AlternateContent xmlns:mc="http://schemas.openxmlformats.org/markup-compatibility/2006">
    <mc:Choice Requires="x15">
      <x15ac:absPath xmlns:x15ac="http://schemas.microsoft.com/office/spreadsheetml/2010/11/ac" url="D:\Users\User\Desktop\"/>
    </mc:Choice>
  </mc:AlternateContent>
  <bookViews>
    <workbookView xWindow="0" yWindow="0" windowWidth="27945" windowHeight="12375" tabRatio="777" activeTab="1"/>
  </bookViews>
  <sheets>
    <sheet name="封面" sheetId="41" r:id="rId1"/>
    <sheet name="结果汇总" sheetId="39" r:id="rId2"/>
    <sheet name="PK 参数" sheetId="23" r:id="rId3"/>
    <sheet name="原始数据" sheetId="43" r:id="rId4"/>
    <sheet name="标曲&amp;质控" sheetId="44" r:id="rId5"/>
    <sheet name="给药制剂浓度检测" sheetId="47" r:id="rId6"/>
    <sheet name="LC-MS分析方法 " sheetId="40" r:id="rId7"/>
    <sheet name="试验设计" sheetId="34" r:id="rId8"/>
  </sheets>
  <definedNames>
    <definedName name="_xlnm.Print_Area" localSheetId="1">结果汇总!#REF!</definedName>
    <definedName name="_xlnm.Print_Area" localSheetId="7">试验设计!#REF!</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48" i="39" l="1"/>
  <c r="G9" i="39"/>
  <c r="H50" i="39"/>
  <c r="D30" i="40"/>
  <c r="G26" i="40"/>
  <c r="F26" i="40"/>
  <c r="G25" i="40"/>
  <c r="F25" i="40"/>
  <c r="G24" i="40"/>
  <c r="F24" i="40"/>
  <c r="G23" i="40"/>
  <c r="D14" i="40"/>
  <c r="D8" i="40"/>
  <c r="H10" i="47"/>
  <c r="F10" i="47"/>
  <c r="H9" i="47"/>
  <c r="F9" i="47"/>
  <c r="K8" i="47"/>
  <c r="J8" i="47"/>
  <c r="I8" i="47"/>
  <c r="H8" i="47"/>
  <c r="B79" i="43"/>
  <c r="B78" i="43"/>
  <c r="B77" i="43"/>
  <c r="A1" i="23"/>
  <c r="I54" i="39"/>
  <c r="H54" i="39"/>
  <c r="F54" i="39"/>
  <c r="E54" i="39"/>
  <c r="D54" i="39"/>
  <c r="I53" i="39"/>
  <c r="H53" i="39"/>
  <c r="F53" i="39"/>
  <c r="E53" i="39"/>
  <c r="D53" i="39"/>
  <c r="I52" i="39"/>
  <c r="H52" i="39"/>
  <c r="F52" i="39"/>
  <c r="E52" i="39"/>
  <c r="D52" i="39"/>
  <c r="I51" i="39"/>
  <c r="H51" i="39"/>
  <c r="F51" i="39"/>
  <c r="E51" i="39"/>
  <c r="D51" i="39"/>
  <c r="I50" i="39"/>
  <c r="F50" i="39"/>
  <c r="E50" i="39"/>
  <c r="D50" i="39"/>
  <c r="I49" i="39"/>
  <c r="H49" i="39"/>
  <c r="F49" i="39"/>
  <c r="E49" i="39"/>
  <c r="D49" i="39"/>
  <c r="I48" i="39"/>
  <c r="F48" i="39"/>
  <c r="E48" i="39"/>
  <c r="D48" i="39"/>
  <c r="I47" i="39"/>
  <c r="H47" i="39"/>
  <c r="F47" i="39"/>
  <c r="E47" i="39"/>
  <c r="D47" i="39"/>
  <c r="I46" i="39"/>
  <c r="H46" i="39"/>
  <c r="F46" i="39"/>
  <c r="E46" i="39"/>
  <c r="D46" i="39"/>
  <c r="I45" i="39"/>
  <c r="H45" i="39"/>
  <c r="F45" i="39"/>
  <c r="E45" i="39"/>
  <c r="D45" i="39"/>
  <c r="I44" i="39"/>
  <c r="H44" i="39"/>
  <c r="F44" i="39"/>
  <c r="E44" i="39"/>
  <c r="D44" i="39"/>
  <c r="I43" i="39"/>
  <c r="H43" i="39"/>
  <c r="F43" i="39"/>
  <c r="E43" i="39"/>
  <c r="D43" i="39"/>
  <c r="D40" i="39"/>
  <c r="H16" i="39"/>
  <c r="G16" i="39"/>
  <c r="H15" i="39"/>
  <c r="G15" i="39"/>
  <c r="H14" i="39"/>
  <c r="G14" i="39"/>
  <c r="H13" i="39"/>
  <c r="G13" i="39"/>
  <c r="H12" i="39"/>
  <c r="G12" i="39"/>
  <c r="H11" i="39"/>
  <c r="G11" i="39"/>
  <c r="H10" i="39"/>
  <c r="G10" i="39"/>
  <c r="H9" i="39"/>
  <c r="H8" i="39"/>
  <c r="G8" i="39"/>
  <c r="C5" i="39"/>
</calcChain>
</file>

<file path=xl/sharedStrings.xml><?xml version="1.0" encoding="utf-8"?>
<sst xmlns="http://schemas.openxmlformats.org/spreadsheetml/2006/main" count="623" uniqueCount="332">
  <si>
    <r>
      <rPr>
        <sz val="16"/>
        <rFont val="宋体"/>
        <charset val="134"/>
      </rPr>
      <t>合肥中科普瑞昇生物医药科技有限公司</t>
    </r>
  </si>
  <si>
    <r>
      <rPr>
        <b/>
        <sz val="12"/>
        <rFont val="宋体"/>
        <charset val="134"/>
      </rPr>
      <t>项目编号：</t>
    </r>
  </si>
  <si>
    <t>D-RF-2025012001</t>
  </si>
  <si>
    <r>
      <rPr>
        <b/>
        <sz val="12"/>
        <rFont val="宋体"/>
        <charset val="134"/>
      </rPr>
      <t>化合物名称</t>
    </r>
  </si>
  <si>
    <t>HW356009</t>
  </si>
  <si>
    <r>
      <rPr>
        <b/>
        <sz val="12"/>
        <rFont val="宋体"/>
        <charset val="134"/>
      </rPr>
      <t>项目名称：</t>
    </r>
  </si>
  <si>
    <t>化合物HW356009在小鼠体内药代动力学研究</t>
  </si>
  <si>
    <r>
      <rPr>
        <b/>
        <sz val="12"/>
        <rFont val="宋体"/>
        <charset val="134"/>
      </rPr>
      <t>关键时间结点：</t>
    </r>
  </si>
  <si>
    <r>
      <rPr>
        <sz val="12"/>
        <rFont val="宋体"/>
        <charset val="134"/>
      </rPr>
      <t>动物试验给药日期：</t>
    </r>
    <r>
      <rPr>
        <sz val="12"/>
        <rFont val="Times New Roman"/>
        <family val="1"/>
      </rPr>
      <t xml:space="preserve">
</t>
    </r>
    <r>
      <rPr>
        <sz val="12"/>
        <rFont val="宋体"/>
        <charset val="134"/>
      </rPr>
      <t>检测开始日期：</t>
    </r>
    <r>
      <rPr>
        <sz val="12"/>
        <rFont val="Times New Roman"/>
        <family val="1"/>
      </rPr>
      <t xml:space="preserve">
</t>
    </r>
    <r>
      <rPr>
        <sz val="12"/>
        <rFont val="宋体"/>
        <charset val="134"/>
      </rPr>
      <t>试验结束日期：</t>
    </r>
    <r>
      <rPr>
        <sz val="12"/>
        <rFont val="Times New Roman"/>
        <family val="1"/>
      </rPr>
      <t xml:space="preserve">
</t>
    </r>
    <r>
      <rPr>
        <sz val="12"/>
        <rFont val="宋体"/>
        <charset val="134"/>
      </rPr>
      <t>报告日期：</t>
    </r>
  </si>
  <si>
    <t>2025-01-21
2025-01-22
2025-01-23
2025-01-23</t>
  </si>
  <si>
    <r>
      <rPr>
        <b/>
        <sz val="12"/>
        <rFont val="宋体"/>
        <charset val="134"/>
      </rPr>
      <t>试验承担单位</t>
    </r>
  </si>
  <si>
    <r>
      <rPr>
        <sz val="12"/>
        <rFont val="宋体"/>
        <charset val="134"/>
      </rPr>
      <t>负责人：邵杰</t>
    </r>
    <r>
      <rPr>
        <sz val="12"/>
        <rFont val="Times New Roman"/>
        <family val="1"/>
      </rPr>
      <t xml:space="preserve">
</t>
    </r>
    <r>
      <rPr>
        <sz val="12"/>
        <rFont val="宋体"/>
        <charset val="134"/>
      </rPr>
      <t>单位名称：合肥中科普瑞昇生物医药科技有限公司</t>
    </r>
    <r>
      <rPr>
        <sz val="12"/>
        <rFont val="Times New Roman"/>
        <family val="1"/>
      </rPr>
      <t xml:space="preserve">
</t>
    </r>
    <r>
      <rPr>
        <sz val="12"/>
        <rFont val="宋体"/>
        <charset val="134"/>
      </rPr>
      <t>地址：安徽省合肥市高新区孔雀台路与习友路交叉口国家健康大数据产业园</t>
    </r>
    <r>
      <rPr>
        <sz val="12"/>
        <rFont val="Times New Roman"/>
        <family val="1"/>
      </rPr>
      <t>A6</t>
    </r>
    <r>
      <rPr>
        <sz val="12"/>
        <rFont val="宋体"/>
        <charset val="134"/>
      </rPr>
      <t>栋</t>
    </r>
    <r>
      <rPr>
        <sz val="12"/>
        <rFont val="Times New Roman"/>
        <family val="1"/>
      </rPr>
      <t xml:space="preserve">
</t>
    </r>
    <r>
      <rPr>
        <sz val="12"/>
        <rFont val="宋体"/>
        <charset val="134"/>
      </rPr>
      <t>联系方式：</t>
    </r>
    <r>
      <rPr>
        <sz val="12"/>
        <rFont val="Times New Roman"/>
        <family val="1"/>
      </rPr>
      <t>0551-62673491
Email</t>
    </r>
    <r>
      <rPr>
        <sz val="12"/>
        <rFont val="宋体"/>
        <charset val="134"/>
      </rPr>
      <t>：</t>
    </r>
    <r>
      <rPr>
        <sz val="12"/>
        <rFont val="Times New Roman"/>
        <family val="1"/>
      </rPr>
      <t>jshao@precedo.cn</t>
    </r>
  </si>
  <si>
    <r>
      <rPr>
        <b/>
        <sz val="12"/>
        <color theme="1"/>
        <rFont val="宋体"/>
        <charset val="134"/>
      </rPr>
      <t>委托单位</t>
    </r>
  </si>
  <si>
    <r>
      <rPr>
        <sz val="12"/>
        <color theme="1"/>
        <rFont val="宋体"/>
        <charset val="134"/>
      </rPr>
      <t>负责人：刘勇</t>
    </r>
    <r>
      <rPr>
        <sz val="12"/>
        <color theme="1"/>
        <rFont val="Times New Roman"/>
        <family val="1"/>
      </rPr>
      <t xml:space="preserve">
</t>
    </r>
    <r>
      <rPr>
        <sz val="12"/>
        <color theme="1"/>
        <rFont val="宋体"/>
        <charset val="134"/>
      </rPr>
      <t>委托单位名称：湖北生物医药产业技术研究院有限公司</t>
    </r>
    <r>
      <rPr>
        <sz val="12"/>
        <color theme="1"/>
        <rFont val="Times New Roman"/>
        <family val="1"/>
      </rPr>
      <t xml:space="preserve">
</t>
    </r>
    <r>
      <rPr>
        <sz val="12"/>
        <color theme="1"/>
        <rFont val="宋体"/>
        <charset val="134"/>
      </rPr>
      <t>邮箱：</t>
    </r>
    <r>
      <rPr>
        <sz val="12"/>
        <color theme="1"/>
        <rFont val="Times New Roman"/>
        <family val="1"/>
      </rPr>
      <t xml:space="preserve">liuyong@renfu.com
</t>
    </r>
    <r>
      <rPr>
        <sz val="12"/>
        <color theme="1"/>
        <rFont val="宋体"/>
        <charset val="134"/>
      </rPr>
      <t>电话：</t>
    </r>
    <r>
      <rPr>
        <sz val="12"/>
        <color theme="1"/>
        <rFont val="Times New Roman"/>
        <family val="1"/>
      </rPr>
      <t>18062052364</t>
    </r>
  </si>
  <si>
    <r>
      <rPr>
        <b/>
        <sz val="12"/>
        <rFont val="宋体"/>
        <charset val="134"/>
      </rPr>
      <t>质控人员</t>
    </r>
  </si>
  <si>
    <t>刘海宾</t>
  </si>
  <si>
    <r>
      <rPr>
        <b/>
        <sz val="12"/>
        <rFont val="宋体"/>
        <charset val="134"/>
      </rPr>
      <t>分析负责人</t>
    </r>
  </si>
  <si>
    <r>
      <rPr>
        <sz val="12"/>
        <rFont val="宋体"/>
        <charset val="134"/>
      </rPr>
      <t>孙成芳</t>
    </r>
  </si>
  <si>
    <r>
      <rPr>
        <b/>
        <sz val="12"/>
        <rFont val="宋体"/>
        <charset val="134"/>
      </rPr>
      <t>动物负责人</t>
    </r>
  </si>
  <si>
    <t>卢秋宇</t>
  </si>
  <si>
    <t xml:space="preserve"> HW356009PK数据</t>
  </si>
  <si>
    <r>
      <rPr>
        <b/>
        <sz val="12"/>
        <rFont val="宋体"/>
        <charset val="134"/>
      </rPr>
      <t>化合物信息和制剂配制</t>
    </r>
  </si>
  <si>
    <r>
      <rPr>
        <b/>
        <sz val="11"/>
        <rFont val="宋体"/>
        <charset val="134"/>
      </rPr>
      <t>化合物信息</t>
    </r>
  </si>
  <si>
    <t>表1：单次灌胃口服给予HW356009后小鼠血浆中药物浓度</t>
  </si>
  <si>
    <r>
      <rPr>
        <sz val="11"/>
        <rFont val="宋体"/>
        <charset val="134"/>
      </rPr>
      <t>化合物名称</t>
    </r>
  </si>
  <si>
    <r>
      <rPr>
        <sz val="11"/>
        <rFont val="宋体"/>
        <charset val="134"/>
      </rPr>
      <t>批号</t>
    </r>
  </si>
  <si>
    <t>HWH817-LHX-35-151</t>
  </si>
  <si>
    <r>
      <rPr>
        <sz val="11"/>
        <rFont val="宋体"/>
        <charset val="134"/>
      </rPr>
      <t>分子量</t>
    </r>
  </si>
  <si>
    <t>PO-10mg/kg</t>
  </si>
  <si>
    <r>
      <rPr>
        <sz val="11"/>
        <rFont val="宋体"/>
        <charset val="134"/>
      </rPr>
      <t>纯度</t>
    </r>
  </si>
  <si>
    <t>Time (h)</t>
  </si>
  <si>
    <t>Mean</t>
  </si>
  <si>
    <t>SD</t>
  </si>
  <si>
    <r>
      <rPr>
        <b/>
        <sz val="11"/>
        <rFont val="Times New Roman"/>
        <family val="1"/>
      </rPr>
      <t>PK</t>
    </r>
    <r>
      <rPr>
        <b/>
        <sz val="11"/>
        <rFont val="宋体"/>
        <charset val="134"/>
      </rPr>
      <t>研究基本信息</t>
    </r>
  </si>
  <si>
    <r>
      <rPr>
        <sz val="11"/>
        <rFont val="宋体"/>
        <charset val="134"/>
      </rPr>
      <t>给药途径</t>
    </r>
    <r>
      <rPr>
        <sz val="11"/>
        <rFont val="Times New Roman"/>
        <family val="1"/>
      </rPr>
      <t>:</t>
    </r>
  </si>
  <si>
    <t>PO</t>
  </si>
  <si>
    <r>
      <rPr>
        <b/>
        <sz val="11"/>
        <rFont val="宋体"/>
        <charset val="134"/>
      </rPr>
      <t>推荐溶媒</t>
    </r>
    <r>
      <rPr>
        <b/>
        <sz val="11"/>
        <rFont val="Times New Roman"/>
        <family val="1"/>
      </rPr>
      <t>:</t>
    </r>
  </si>
  <si>
    <t>5%DMSO+10%Solutol+85%Saline</t>
  </si>
  <si>
    <r>
      <rPr>
        <sz val="11"/>
        <rFont val="宋体"/>
        <charset val="134"/>
      </rPr>
      <t>剂量</t>
    </r>
    <r>
      <rPr>
        <sz val="11"/>
        <rFont val="Times New Roman"/>
        <family val="1"/>
      </rPr>
      <t xml:space="preserve"> (mg/kg):</t>
    </r>
  </si>
  <si>
    <r>
      <rPr>
        <sz val="11"/>
        <rFont val="宋体"/>
        <charset val="134"/>
      </rPr>
      <t>浓度</t>
    </r>
    <r>
      <rPr>
        <sz val="11"/>
        <rFont val="Times New Roman"/>
        <family val="1"/>
      </rPr>
      <t>(mg/mL):</t>
    </r>
  </si>
  <si>
    <r>
      <rPr>
        <sz val="11"/>
        <rFont val="宋体"/>
        <charset val="134"/>
      </rPr>
      <t>给药体积</t>
    </r>
    <r>
      <rPr>
        <sz val="11"/>
        <rFont val="Times New Roman"/>
        <family val="1"/>
      </rPr>
      <t xml:space="preserve"> (mL/kg):</t>
    </r>
  </si>
  <si>
    <r>
      <rPr>
        <b/>
        <sz val="11"/>
        <rFont val="宋体"/>
        <charset val="134"/>
      </rPr>
      <t>制剂配制计算</t>
    </r>
  </si>
  <si>
    <r>
      <rPr>
        <sz val="11"/>
        <rFont val="宋体"/>
        <charset val="134"/>
      </rPr>
      <t>给药途径</t>
    </r>
  </si>
  <si>
    <r>
      <rPr>
        <sz val="11"/>
        <rFont val="宋体"/>
        <charset val="134"/>
      </rPr>
      <t>化合物</t>
    </r>
  </si>
  <si>
    <r>
      <rPr>
        <sz val="11"/>
        <rFont val="宋体"/>
        <charset val="134"/>
      </rPr>
      <t>制剂</t>
    </r>
  </si>
  <si>
    <r>
      <rPr>
        <sz val="11"/>
        <rFont val="宋体"/>
        <charset val="134"/>
      </rPr>
      <t>浓度</t>
    </r>
    <r>
      <rPr>
        <sz val="11"/>
        <rFont val="Times New Roman"/>
        <family val="1"/>
      </rPr>
      <t>(mg/mL)</t>
    </r>
  </si>
  <si>
    <r>
      <rPr>
        <sz val="11"/>
        <rFont val="宋体"/>
        <charset val="134"/>
      </rPr>
      <t>化合物重量</t>
    </r>
    <r>
      <rPr>
        <sz val="11"/>
        <rFont val="Times New Roman"/>
        <family val="1"/>
      </rPr>
      <t>(mg)</t>
    </r>
  </si>
  <si>
    <r>
      <rPr>
        <sz val="11"/>
        <rFont val="宋体"/>
        <charset val="134"/>
      </rPr>
      <t>最终总体积</t>
    </r>
    <r>
      <rPr>
        <sz val="11"/>
        <rFont val="Times New Roman"/>
        <family val="1"/>
      </rPr>
      <t>(mL)</t>
    </r>
  </si>
  <si>
    <r>
      <rPr>
        <sz val="11"/>
        <rFont val="Times New Roman"/>
        <family val="1"/>
      </rPr>
      <t>DMSO</t>
    </r>
    <r>
      <rPr>
        <sz val="11"/>
        <rFont val="宋体"/>
        <charset val="134"/>
      </rPr>
      <t>体积</t>
    </r>
    <r>
      <rPr>
        <sz val="11"/>
        <rFont val="Times New Roman"/>
        <family val="1"/>
      </rPr>
      <t>(mL)</t>
    </r>
  </si>
  <si>
    <r>
      <rPr>
        <sz val="11"/>
        <rFont val="Times New Roman"/>
        <family val="1"/>
      </rPr>
      <t>Solutol</t>
    </r>
    <r>
      <rPr>
        <sz val="11"/>
        <rFont val="宋体"/>
        <charset val="134"/>
      </rPr>
      <t>体积</t>
    </r>
    <r>
      <rPr>
        <sz val="11"/>
        <rFont val="Times New Roman"/>
        <family val="1"/>
      </rPr>
      <t>(mL)</t>
    </r>
  </si>
  <si>
    <r>
      <rPr>
        <sz val="11"/>
        <rFont val="Times New Roman"/>
        <family val="1"/>
      </rPr>
      <t>Saline</t>
    </r>
    <r>
      <rPr>
        <sz val="11"/>
        <rFont val="宋体"/>
        <charset val="134"/>
      </rPr>
      <t>体积</t>
    </r>
    <r>
      <rPr>
        <sz val="11"/>
        <rFont val="Times New Roman"/>
        <family val="1"/>
      </rPr>
      <t>(mL)</t>
    </r>
  </si>
  <si>
    <t>BQL</t>
  </si>
  <si>
    <r>
      <rPr>
        <b/>
        <sz val="11"/>
        <rFont val="Times New Roman"/>
        <family val="1"/>
      </rPr>
      <t>PO</t>
    </r>
    <r>
      <rPr>
        <b/>
        <sz val="11"/>
        <rFont val="宋体"/>
        <charset val="134"/>
      </rPr>
      <t>制剂配制过程（给药当天现配现用）</t>
    </r>
  </si>
  <si>
    <r>
      <rPr>
        <sz val="11"/>
        <rFont val="Times New Roman"/>
        <family val="1"/>
      </rPr>
      <t xml:space="preserve">(1) </t>
    </r>
    <r>
      <rPr>
        <sz val="11"/>
        <rFont val="宋体"/>
        <charset val="134"/>
      </rPr>
      <t>准确称取化合物</t>
    </r>
    <r>
      <rPr>
        <sz val="11"/>
        <rFont val="Times New Roman"/>
        <family val="1"/>
      </rPr>
      <t>1.48 mg</t>
    </r>
    <r>
      <rPr>
        <sz val="11"/>
        <rFont val="宋体"/>
        <charset val="134"/>
      </rPr>
      <t>，放入</t>
    </r>
    <r>
      <rPr>
        <sz val="11"/>
        <rFont val="Times New Roman"/>
        <family val="1"/>
      </rPr>
      <t xml:space="preserve">5 mL </t>
    </r>
    <r>
      <rPr>
        <sz val="11"/>
        <rFont val="宋体"/>
        <charset val="134"/>
      </rPr>
      <t>玻璃瓶中</t>
    </r>
  </si>
  <si>
    <r>
      <rPr>
        <sz val="11"/>
        <rFont val="Times New Roman"/>
        <family val="1"/>
      </rPr>
      <t xml:space="preserve">(2) </t>
    </r>
    <r>
      <rPr>
        <sz val="11"/>
        <rFont val="宋体"/>
        <charset val="134"/>
      </rPr>
      <t>加入</t>
    </r>
    <r>
      <rPr>
        <sz val="11"/>
        <rFont val="Times New Roman"/>
        <family val="1"/>
      </rPr>
      <t>0.072 mL DMSO</t>
    </r>
    <r>
      <rPr>
        <sz val="11"/>
        <rFont val="宋体"/>
        <charset val="134"/>
      </rPr>
      <t>，涡旋超声至化合物呈无色澄清状态</t>
    </r>
  </si>
  <si>
    <r>
      <rPr>
        <sz val="11"/>
        <rFont val="Times New Roman"/>
        <family val="1"/>
      </rPr>
      <t xml:space="preserve">(3) </t>
    </r>
    <r>
      <rPr>
        <sz val="11"/>
        <rFont val="宋体"/>
        <charset val="134"/>
      </rPr>
      <t>加入</t>
    </r>
    <r>
      <rPr>
        <sz val="11"/>
        <rFont val="Times New Roman"/>
        <family val="1"/>
      </rPr>
      <t>0.144 mL Solutol</t>
    </r>
    <r>
      <rPr>
        <sz val="11"/>
        <rFont val="宋体"/>
        <charset val="134"/>
      </rPr>
      <t>，涡旋超声至化合物呈无色澄清状态</t>
    </r>
  </si>
  <si>
    <r>
      <rPr>
        <sz val="11"/>
        <rFont val="Times New Roman"/>
        <family val="1"/>
      </rPr>
      <t xml:space="preserve">(4) </t>
    </r>
    <r>
      <rPr>
        <sz val="11"/>
        <rFont val="宋体"/>
        <charset val="134"/>
      </rPr>
      <t>加入</t>
    </r>
    <r>
      <rPr>
        <sz val="11"/>
        <rFont val="Times New Roman"/>
        <family val="1"/>
      </rPr>
      <t>1.221 mL Saline</t>
    </r>
    <r>
      <rPr>
        <sz val="11"/>
        <rFont val="宋体"/>
        <charset val="134"/>
      </rPr>
      <t>，涡旋超声至化合物呈无色澄清状态，即可得到</t>
    </r>
    <r>
      <rPr>
        <sz val="11"/>
        <rFont val="Times New Roman"/>
        <family val="1"/>
      </rPr>
      <t>PO</t>
    </r>
    <r>
      <rPr>
        <sz val="11"/>
        <rFont val="宋体"/>
        <charset val="134"/>
      </rPr>
      <t>制剂</t>
    </r>
  </si>
  <si>
    <r>
      <rPr>
        <b/>
        <sz val="11"/>
        <rFont val="宋体"/>
        <charset val="134"/>
      </rPr>
      <t>动物临床观察：</t>
    </r>
  </si>
  <si>
    <r>
      <rPr>
        <sz val="11"/>
        <rFont val="宋体"/>
        <charset val="134"/>
      </rPr>
      <t>所有实验动物均未观察到异常现象。</t>
    </r>
  </si>
  <si>
    <r>
      <rPr>
        <b/>
        <sz val="11"/>
        <rFont val="宋体"/>
        <charset val="134"/>
      </rPr>
      <t>动物体重：</t>
    </r>
  </si>
  <si>
    <r>
      <rPr>
        <sz val="11"/>
        <rFont val="宋体"/>
        <charset val="134"/>
      </rPr>
      <t>动物编号</t>
    </r>
  </si>
  <si>
    <r>
      <rPr>
        <sz val="11"/>
        <rFont val="宋体"/>
        <charset val="134"/>
      </rPr>
      <t>体重</t>
    </r>
    <r>
      <rPr>
        <sz val="11"/>
        <rFont val="Times New Roman"/>
        <family val="1"/>
      </rPr>
      <t>(g)</t>
    </r>
  </si>
  <si>
    <t>表2：单次灌胃给予HW356009后小鼠血浆PK数据</t>
  </si>
  <si>
    <r>
      <rPr>
        <b/>
        <sz val="11"/>
        <rFont val="宋体"/>
        <charset val="134"/>
      </rPr>
      <t>信息</t>
    </r>
    <r>
      <rPr>
        <b/>
        <sz val="11"/>
        <rFont val="Times New Roman"/>
        <family val="1"/>
      </rPr>
      <t>/</t>
    </r>
    <r>
      <rPr>
        <b/>
        <sz val="11"/>
        <rFont val="宋体"/>
        <charset val="134"/>
      </rPr>
      <t>参数类型</t>
    </r>
  </si>
  <si>
    <r>
      <rPr>
        <b/>
        <sz val="11"/>
        <rFont val="Times New Roman"/>
        <family val="1"/>
      </rPr>
      <t>PK</t>
    </r>
    <r>
      <rPr>
        <b/>
        <sz val="11"/>
        <rFont val="宋体"/>
        <charset val="134"/>
      </rPr>
      <t>参数</t>
    </r>
  </si>
  <si>
    <t>n</t>
  </si>
  <si>
    <r>
      <rPr>
        <b/>
        <sz val="11"/>
        <rFont val="宋体"/>
        <charset val="134"/>
      </rPr>
      <t>均值</t>
    </r>
  </si>
  <si>
    <r>
      <rPr>
        <b/>
        <sz val="11"/>
        <rFont val="宋体"/>
        <charset val="134"/>
      </rPr>
      <t>标准差</t>
    </r>
  </si>
  <si>
    <r>
      <rPr>
        <sz val="11"/>
        <rFont val="宋体"/>
        <charset val="134"/>
      </rPr>
      <t>分组</t>
    </r>
  </si>
  <si>
    <r>
      <rPr>
        <sz val="11"/>
        <rFont val="宋体"/>
        <charset val="134"/>
      </rPr>
      <t>分析物</t>
    </r>
  </si>
  <si>
    <r>
      <rPr>
        <sz val="11"/>
        <rFont val="宋体"/>
        <charset val="134"/>
      </rPr>
      <t>给药剂量</t>
    </r>
  </si>
  <si>
    <t>mg/kg</t>
  </si>
  <si>
    <t>Rsq_adjusted</t>
  </si>
  <si>
    <t>No_points_lambda_z</t>
  </si>
  <si>
    <t>Tlast (h)</t>
  </si>
  <si>
    <r>
      <rPr>
        <sz val="11"/>
        <rFont val="Times New Roman"/>
        <family val="1"/>
      </rPr>
      <t>T</t>
    </r>
    <r>
      <rPr>
        <vertAlign val="subscript"/>
        <sz val="11"/>
        <rFont val="Times New Roman"/>
        <family val="1"/>
      </rPr>
      <t xml:space="preserve">1/2 </t>
    </r>
    <r>
      <rPr>
        <sz val="11"/>
        <rFont val="宋体"/>
        <charset val="134"/>
      </rPr>
      <t>（</t>
    </r>
    <r>
      <rPr>
        <sz val="11"/>
        <rFont val="Times New Roman"/>
        <family val="1"/>
      </rPr>
      <t>h</t>
    </r>
    <r>
      <rPr>
        <sz val="11"/>
        <rFont val="宋体"/>
        <charset val="134"/>
      </rPr>
      <t>）</t>
    </r>
  </si>
  <si>
    <r>
      <rPr>
        <sz val="11"/>
        <rFont val="Times New Roman"/>
        <family val="1"/>
      </rPr>
      <t>T</t>
    </r>
    <r>
      <rPr>
        <vertAlign val="subscript"/>
        <sz val="11"/>
        <rFont val="Times New Roman"/>
        <family val="1"/>
      </rPr>
      <t>max</t>
    </r>
    <r>
      <rPr>
        <sz val="11"/>
        <rFont val="宋体"/>
        <charset val="134"/>
      </rPr>
      <t>（</t>
    </r>
    <r>
      <rPr>
        <sz val="11"/>
        <rFont val="Times New Roman"/>
        <family val="1"/>
      </rPr>
      <t>h</t>
    </r>
    <r>
      <rPr>
        <sz val="11"/>
        <rFont val="宋体"/>
        <charset val="134"/>
      </rPr>
      <t>）</t>
    </r>
  </si>
  <si>
    <r>
      <rPr>
        <sz val="11"/>
        <rFont val="Times New Roman"/>
        <family val="1"/>
      </rPr>
      <t>C</t>
    </r>
    <r>
      <rPr>
        <vertAlign val="subscript"/>
        <sz val="11"/>
        <rFont val="Times New Roman"/>
        <family val="1"/>
      </rPr>
      <t xml:space="preserve">max </t>
    </r>
    <r>
      <rPr>
        <sz val="11"/>
        <rFont val="Times New Roman"/>
        <family val="1"/>
      </rPr>
      <t>(ng/mL)</t>
    </r>
  </si>
  <si>
    <r>
      <rPr>
        <sz val="11"/>
        <rFont val="Times New Roman"/>
        <family val="1"/>
      </rPr>
      <t>AUC</t>
    </r>
    <r>
      <rPr>
        <vertAlign val="subscript"/>
        <sz val="11"/>
        <rFont val="Times New Roman"/>
        <family val="1"/>
      </rPr>
      <t xml:space="preserve">(0-t) </t>
    </r>
    <r>
      <rPr>
        <sz val="11"/>
        <rFont val="Times New Roman"/>
        <family val="1"/>
      </rPr>
      <t>(h*ng/mL)</t>
    </r>
  </si>
  <si>
    <r>
      <rPr>
        <sz val="11"/>
        <rFont val="Times New Roman"/>
        <family val="1"/>
      </rPr>
      <t>AUC</t>
    </r>
    <r>
      <rPr>
        <vertAlign val="subscript"/>
        <sz val="11"/>
        <rFont val="Times New Roman"/>
        <family val="1"/>
      </rPr>
      <t>(0-∞</t>
    </r>
    <r>
      <rPr>
        <vertAlign val="subscript"/>
        <sz val="11"/>
        <rFont val="宋体"/>
        <charset val="134"/>
      </rPr>
      <t>）</t>
    </r>
    <r>
      <rPr>
        <sz val="11"/>
        <rFont val="Times New Roman"/>
        <family val="1"/>
      </rPr>
      <t>(h*ng/mL)</t>
    </r>
  </si>
  <si>
    <r>
      <rPr>
        <sz val="11"/>
        <rFont val="Times New Roman"/>
        <family val="1"/>
      </rPr>
      <t>MRT</t>
    </r>
    <r>
      <rPr>
        <vertAlign val="subscript"/>
        <sz val="11"/>
        <rFont val="Times New Roman"/>
        <family val="1"/>
      </rPr>
      <t>(0-t)</t>
    </r>
    <r>
      <rPr>
        <sz val="11"/>
        <rFont val="宋体"/>
        <charset val="134"/>
      </rPr>
      <t>（</t>
    </r>
    <r>
      <rPr>
        <sz val="11"/>
        <rFont val="Times New Roman"/>
        <family val="1"/>
      </rPr>
      <t>h</t>
    </r>
    <r>
      <rPr>
        <sz val="11"/>
        <rFont val="宋体"/>
        <charset val="134"/>
      </rPr>
      <t>）</t>
    </r>
  </si>
  <si>
    <r>
      <rPr>
        <sz val="11"/>
        <rFont val="Times New Roman"/>
        <family val="1"/>
      </rPr>
      <t>MRT</t>
    </r>
    <r>
      <rPr>
        <vertAlign val="subscript"/>
        <sz val="11"/>
        <rFont val="Times New Roman"/>
        <family val="1"/>
      </rPr>
      <t>(0-∞</t>
    </r>
    <r>
      <rPr>
        <vertAlign val="subscript"/>
        <sz val="11"/>
        <rFont val="宋体"/>
        <charset val="134"/>
      </rPr>
      <t>）</t>
    </r>
    <r>
      <rPr>
        <sz val="11"/>
        <rFont val="Times New Roman"/>
        <family val="1"/>
      </rPr>
      <t>(h</t>
    </r>
    <r>
      <rPr>
        <sz val="11"/>
        <rFont val="宋体"/>
        <charset val="134"/>
      </rPr>
      <t>）</t>
    </r>
  </si>
  <si>
    <r>
      <rPr>
        <sz val="11"/>
        <rFont val="Times New Roman"/>
        <family val="1"/>
      </rPr>
      <t>AUC</t>
    </r>
    <r>
      <rPr>
        <vertAlign val="subscript"/>
        <sz val="11"/>
        <rFont val="Times New Roman"/>
        <family val="1"/>
      </rPr>
      <t>Extrap</t>
    </r>
    <r>
      <rPr>
        <sz val="11"/>
        <rFont val="Times New Roman"/>
        <family val="1"/>
      </rPr>
      <t>(%)</t>
    </r>
  </si>
  <si>
    <t>AUMC_Extrap({%})</t>
  </si>
  <si>
    <r>
      <rPr>
        <sz val="11"/>
        <rFont val="宋体"/>
        <charset val="134"/>
      </rPr>
      <t>备注：若</t>
    </r>
    <r>
      <rPr>
        <sz val="11"/>
        <rFont val="Times New Roman"/>
        <family val="1"/>
      </rPr>
      <t>Rsq_adjusted</t>
    </r>
    <r>
      <rPr>
        <sz val="11"/>
        <rFont val="宋体"/>
        <charset val="134"/>
      </rPr>
      <t>的数值小于</t>
    </r>
    <r>
      <rPr>
        <sz val="11"/>
        <rFont val="Times New Roman"/>
        <family val="1"/>
      </rPr>
      <t>0.9</t>
    </r>
    <r>
      <rPr>
        <sz val="11"/>
        <rFont val="宋体"/>
        <charset val="134"/>
      </rPr>
      <t>，则消除相拟合的</t>
    </r>
    <r>
      <rPr>
        <sz val="11"/>
        <rFont val="Times New Roman"/>
        <family val="1"/>
      </rPr>
      <t>T</t>
    </r>
    <r>
      <rPr>
        <vertAlign val="subscript"/>
        <sz val="11"/>
        <rFont val="Times New Roman"/>
        <family val="1"/>
      </rPr>
      <t>1/2</t>
    </r>
    <r>
      <rPr>
        <sz val="11"/>
        <rFont val="宋体"/>
        <charset val="134"/>
      </rPr>
      <t>可能不准确。</t>
    </r>
    <r>
      <rPr>
        <sz val="11"/>
        <rFont val="Times New Roman"/>
        <family val="1"/>
      </rPr>
      <t xml:space="preserve">
</t>
    </r>
    <r>
      <rPr>
        <sz val="11"/>
        <rFont val="宋体"/>
        <charset val="134"/>
      </rPr>
      <t>若</t>
    </r>
    <r>
      <rPr>
        <sz val="11"/>
        <rFont val="Times New Roman"/>
        <family val="1"/>
      </rPr>
      <t>AUC</t>
    </r>
    <r>
      <rPr>
        <vertAlign val="subscript"/>
        <sz val="11"/>
        <rFont val="Times New Roman"/>
        <family val="1"/>
      </rPr>
      <t>Extrap(%)</t>
    </r>
    <r>
      <rPr>
        <sz val="11"/>
        <rFont val="宋体"/>
        <charset val="134"/>
      </rPr>
      <t>的数值大于</t>
    </r>
    <r>
      <rPr>
        <sz val="11"/>
        <rFont val="Times New Roman"/>
        <family val="1"/>
      </rPr>
      <t>20%</t>
    </r>
    <r>
      <rPr>
        <sz val="11"/>
        <rFont val="宋体"/>
        <charset val="134"/>
      </rPr>
      <t>，则消除相拟合的</t>
    </r>
    <r>
      <rPr>
        <sz val="11"/>
        <rFont val="Times New Roman"/>
        <family val="1"/>
      </rPr>
      <t>AUC</t>
    </r>
    <r>
      <rPr>
        <vertAlign val="subscript"/>
        <sz val="11"/>
        <rFont val="Times New Roman"/>
        <family val="1"/>
      </rPr>
      <t>0-∞</t>
    </r>
    <r>
      <rPr>
        <sz val="11"/>
        <rFont val="宋体"/>
        <charset val="134"/>
      </rPr>
      <t>可能不准确。</t>
    </r>
    <r>
      <rPr>
        <sz val="11"/>
        <rFont val="Times New Roman"/>
        <family val="1"/>
      </rPr>
      <t xml:space="preserve">
</t>
    </r>
    <r>
      <rPr>
        <sz val="11"/>
        <rFont val="宋体"/>
        <charset val="134"/>
      </rPr>
      <t>若</t>
    </r>
    <r>
      <rPr>
        <sz val="11"/>
        <rFont val="Times New Roman"/>
        <family val="1"/>
      </rPr>
      <t>AUMC_Extrap</t>
    </r>
    <r>
      <rPr>
        <vertAlign val="subscript"/>
        <sz val="11"/>
        <rFont val="Times New Roman"/>
        <family val="1"/>
      </rPr>
      <t>({%})</t>
    </r>
    <r>
      <rPr>
        <sz val="11"/>
        <rFont val="宋体"/>
        <charset val="134"/>
      </rPr>
      <t>的数值大于</t>
    </r>
    <r>
      <rPr>
        <sz val="11"/>
        <rFont val="Times New Roman"/>
        <family val="1"/>
      </rPr>
      <t>20%</t>
    </r>
    <r>
      <rPr>
        <sz val="11"/>
        <rFont val="宋体"/>
        <charset val="134"/>
      </rPr>
      <t>，则消除相拟合的</t>
    </r>
    <r>
      <rPr>
        <sz val="11"/>
        <rFont val="Times New Roman"/>
        <family val="1"/>
      </rPr>
      <t>MRT</t>
    </r>
    <r>
      <rPr>
        <vertAlign val="subscript"/>
        <sz val="11"/>
        <rFont val="Times New Roman"/>
        <family val="1"/>
      </rPr>
      <t>0-∞</t>
    </r>
    <r>
      <rPr>
        <sz val="11"/>
        <rFont val="宋体"/>
        <charset val="134"/>
      </rPr>
      <t>可能不准确。</t>
    </r>
  </si>
  <si>
    <t>PK parameters</t>
  </si>
  <si>
    <t>Sort</t>
  </si>
  <si>
    <t>N_Samples</t>
  </si>
  <si>
    <t>Dose(mg/kg)</t>
  </si>
  <si>
    <t>Rsq</t>
  </si>
  <si>
    <t>Corr_XY</t>
  </si>
  <si>
    <t>Lambda_z(1/h)</t>
  </si>
  <si>
    <t>Lambda_z_intercept</t>
  </si>
  <si>
    <t>Lambda_z_lower(h)</t>
  </si>
  <si>
    <t>Lambda_z_upper(h)</t>
  </si>
  <si>
    <t>HL_Lambda_z(h)</t>
  </si>
  <si>
    <t>Span</t>
  </si>
  <si>
    <t>Tlag(h)</t>
  </si>
  <si>
    <t>Tmax(h)</t>
  </si>
  <si>
    <t>Cmax(ng/mL)</t>
  </si>
  <si>
    <t>Cmax_D(kg*ng/mL/mg)</t>
  </si>
  <si>
    <t>Tlast(h)</t>
  </si>
  <si>
    <t>Clast(ng/mL)</t>
  </si>
  <si>
    <t>Clast_pred(ng/mL)</t>
  </si>
  <si>
    <t>AUClast(h*ng/mL)</t>
  </si>
  <si>
    <t>AUClast_D(h*kg*ng/mL/mg)</t>
  </si>
  <si>
    <t>AUCall(h*ng/mL)</t>
  </si>
  <si>
    <t>AUCINF_obs(h*ng/mL)</t>
  </si>
  <si>
    <t>AUCINF_D_obs(h*kg*ng/mL/mg)</t>
  </si>
  <si>
    <t>AUC_%Extrap_obs({%})</t>
  </si>
  <si>
    <t>Vz_F_obs(L/kg)</t>
  </si>
  <si>
    <t>Cl_F_obs(L/h/kg)</t>
  </si>
  <si>
    <t>AUCINF_pred(h*ng/mL)</t>
  </si>
  <si>
    <t>AUCINF_D_pred(h*kg*ng/mL/mg)</t>
  </si>
  <si>
    <t>AUC_%Extrap_pred({%})</t>
  </si>
  <si>
    <t>Vz_F_pred(L/kg)</t>
  </si>
  <si>
    <t>Cl_F_pred(L/h/kg)</t>
  </si>
  <si>
    <t>AUMClast(h*h*ng/mL)</t>
  </si>
  <si>
    <t>AUMCINF_obs(h*h*ng/mL)</t>
  </si>
  <si>
    <t>AUMC_%Extrap_obs({%})</t>
  </si>
  <si>
    <t>AUMCINF_pred(h*h*ng/mL)</t>
  </si>
  <si>
    <t>AUMC_%Extrap_pred({%})</t>
  </si>
  <si>
    <t>MRTlast(h)</t>
  </si>
  <si>
    <t>MRTINF_obs(h)</t>
  </si>
  <si>
    <t>MRTINF_pred(h)</t>
  </si>
  <si>
    <t>Peak Name: Tolbutamide</t>
  </si>
  <si>
    <t>Use as Internal Standard</t>
  </si>
  <si>
    <t>Q1/Q3 Masses: 271.10/155.00 Da</t>
  </si>
  <si>
    <t>Peak Name: HW356009</t>
  </si>
  <si>
    <t>Internal Standard: Tolbutamide</t>
  </si>
  <si>
    <t>Q1/Q3 Masses: 604.30/411.20 Da</t>
  </si>
  <si>
    <t>Fit</t>
  </si>
  <si>
    <t>Linear</t>
  </si>
  <si>
    <t>Weighting</t>
  </si>
  <si>
    <t>1  / (x * x)</t>
  </si>
  <si>
    <t>Iterate</t>
  </si>
  <si>
    <t>No</t>
  </si>
  <si>
    <t>Intercept</t>
  </si>
  <si>
    <t>Slope</t>
  </si>
  <si>
    <t>Correlation coefficient</t>
  </si>
  <si>
    <t>Use Area</t>
  </si>
  <si>
    <t>Sample Name</t>
  </si>
  <si>
    <t>Sample Type</t>
  </si>
  <si>
    <t>File Name</t>
  </si>
  <si>
    <t>Analyte Peak Name</t>
  </si>
  <si>
    <t>Analyte Concentration (ng/mL)</t>
  </si>
  <si>
    <t>Calculated Concentration (ng/mL)</t>
  </si>
  <si>
    <t>Analyte Peak Area (counts)</t>
  </si>
  <si>
    <t>Analyte Retention Time (min)</t>
  </si>
  <si>
    <t>Area Ratio</t>
  </si>
  <si>
    <t>IS Peak Area (counts)</t>
  </si>
  <si>
    <t>IS Retention Time (min)</t>
  </si>
  <si>
    <t>Use Record</t>
  </si>
  <si>
    <t>Record Modified</t>
  </si>
  <si>
    <t>Accuracy (%)</t>
  </si>
  <si>
    <t>Dilution Factor</t>
  </si>
  <si>
    <t>Doubleblank</t>
  </si>
  <si>
    <t>Unknown</t>
  </si>
  <si>
    <t>HW356009-20250122-Mouse-Plasma\SA.wiff</t>
  </si>
  <si>
    <t>N/A</t>
  </si>
  <si>
    <t>Blank</t>
  </si>
  <si>
    <t>No Peak</t>
  </si>
  <si>
    <t>B-STD1</t>
  </si>
  <si>
    <t>Standard</t>
  </si>
  <si>
    <t>B-STD2</t>
  </si>
  <si>
    <t>B-STD3</t>
  </si>
  <si>
    <t>B-STD4</t>
  </si>
  <si>
    <t>B-STD5</t>
  </si>
  <si>
    <t>B-STD6</t>
  </si>
  <si>
    <t>B-STD7</t>
  </si>
  <si>
    <t>B-STD8</t>
  </si>
  <si>
    <t>B-LQC-1</t>
  </si>
  <si>
    <t>Quality Control</t>
  </si>
  <si>
    <t>B-MQC-1</t>
  </si>
  <si>
    <t>B-HQC-1</t>
  </si>
  <si>
    <t>B-DQC-1</t>
  </si>
  <si>
    <t>B-DQC-2</t>
  </si>
  <si>
    <t>B-DQC-3</t>
  </si>
  <si>
    <t>PO-DOSE-1</t>
  </si>
  <si>
    <t>PO-DOSE-2</t>
  </si>
  <si>
    <t>PO-DOSE-3</t>
  </si>
  <si>
    <t>HW356009-Plasma-10MPK-PO-24hr-Mouse1</t>
  </si>
  <si>
    <t>HW356009-Plasma-10MPK-PO-24hr-Mouse2</t>
  </si>
  <si>
    <t>HW356009-Plasma-10MPK-PO-24hr-Mouse3</t>
  </si>
  <si>
    <t>HW356009-Plasma-10MPK-PO-8hr-Mouse1 DL10</t>
  </si>
  <si>
    <t>HW356009-Plasma-10MPK-PO-8hr-Mouse2 DL10</t>
  </si>
  <si>
    <t>HW356009-Plasma-10MPK-PO-8hr-Mouse3 DL10</t>
  </si>
  <si>
    <t>HW356009-Plasma-10MPK-PO-6hr-Mouse1 DL10</t>
  </si>
  <si>
    <t>HW356009-Plasma-10MPK-PO-6hr-Mouse2 DL10</t>
  </si>
  <si>
    <t>HW356009-Plasma-10MPK-PO-6hr-Mouse3 DL10</t>
  </si>
  <si>
    <t>HW356009-Plasma-10MPK-PO-4hr-Mouse1 DL10</t>
  </si>
  <si>
    <t>HW356009-Plasma-10MPK-PO-4hr-Mouse2 DL10</t>
  </si>
  <si>
    <t>HW356009-Plasma-10MPK-PO-4hr-Mouse3 DL10</t>
  </si>
  <si>
    <t xml:space="preserve">HW356009-Plasma-10MPK-PO-2hr-Mouse1 DL10 </t>
  </si>
  <si>
    <t xml:space="preserve">HW356009-Plasma-10MPK-PO-2hr-Mouse2 DL10 </t>
  </si>
  <si>
    <t>HW356009-Plasma-10MPK-PO-2hr-Mouse3 DL10</t>
  </si>
  <si>
    <t xml:space="preserve">HW356009-Plasma-10MPK-PO-1hr-Mouse1 DL10 </t>
  </si>
  <si>
    <t xml:space="preserve">HW356009-Plasma-10MPK-PO-1hr-Mouse2 DL10 </t>
  </si>
  <si>
    <t xml:space="preserve">HW356009-Plasma-10MPK-PO-1hr-Mouse3 DL10 </t>
  </si>
  <si>
    <t xml:space="preserve">HW356009-Plasma-10MPK-PO-30min-Mouse1 DL10 </t>
  </si>
  <si>
    <t xml:space="preserve">HW356009-Plasma-10MPK-PO-30min-Mouse2 DL10 </t>
  </si>
  <si>
    <t xml:space="preserve">HW356009-Plasma-10MPK-PO-30min-Mouse3 DL10 </t>
  </si>
  <si>
    <t xml:space="preserve">HW356009-Plasma-10MPK-PO-15min-Mouse1 DL10 </t>
  </si>
  <si>
    <t xml:space="preserve">HW356009-Plasma-10MPK-PO-15min-Mouse2 DL10 </t>
  </si>
  <si>
    <t xml:space="preserve">HW356009-Plasma-10MPK-PO-15min-Mouse3 DL10 </t>
  </si>
  <si>
    <t xml:space="preserve">HW356009-Plasma-10MPK-PO-5min-Mouse1 DL10 </t>
  </si>
  <si>
    <t xml:space="preserve">HW356009-Plasma-10MPK-PO-5min-Mouse2 DL10 </t>
  </si>
  <si>
    <t xml:space="preserve">HW356009-Plasma-10MPK-PO-5min-Mouse3 DL10 </t>
  </si>
  <si>
    <t>B-LQC-2</t>
  </si>
  <si>
    <t>B-MQC-2</t>
  </si>
  <si>
    <t>B-HQC-2</t>
  </si>
  <si>
    <r>
      <rPr>
        <b/>
        <sz val="11"/>
        <rFont val="宋体"/>
        <charset val="134"/>
      </rPr>
      <t>内标峰面积变异</t>
    </r>
  </si>
  <si>
    <r>
      <rPr>
        <sz val="11"/>
        <rFont val="宋体"/>
        <charset val="134"/>
      </rPr>
      <t>内标峰面积均值（</t>
    </r>
    <r>
      <rPr>
        <sz val="11"/>
        <rFont val="Times New Roman"/>
        <family val="1"/>
      </rPr>
      <t>Double Blank</t>
    </r>
    <r>
      <rPr>
        <sz val="11"/>
        <rFont val="宋体"/>
        <charset val="134"/>
      </rPr>
      <t>除外）</t>
    </r>
  </si>
  <si>
    <t xml:space="preserve">SD </t>
  </si>
  <si>
    <t>%CV</t>
  </si>
  <si>
    <r>
      <rPr>
        <b/>
        <sz val="11"/>
        <rFont val="宋体"/>
        <charset val="134"/>
      </rPr>
      <t>接受标准</t>
    </r>
  </si>
  <si>
    <t>&lt; ± 30%</t>
  </si>
  <si>
    <r>
      <rPr>
        <b/>
        <sz val="11"/>
        <color indexed="8"/>
        <rFont val="宋体"/>
        <charset val="134"/>
      </rPr>
      <t>标准曲线</t>
    </r>
  </si>
  <si>
    <r>
      <rPr>
        <b/>
        <sz val="11"/>
        <color indexed="8"/>
        <rFont val="宋体"/>
        <charset val="134"/>
      </rPr>
      <t>编号</t>
    </r>
  </si>
  <si>
    <r>
      <rPr>
        <b/>
        <sz val="11"/>
        <color indexed="8"/>
        <rFont val="宋体"/>
        <charset val="134"/>
      </rPr>
      <t>标示浓度</t>
    </r>
  </si>
  <si>
    <r>
      <rPr>
        <b/>
        <sz val="11"/>
        <color indexed="8"/>
        <rFont val="宋体"/>
        <charset val="134"/>
      </rPr>
      <t>实测浓度</t>
    </r>
  </si>
  <si>
    <r>
      <rPr>
        <b/>
        <sz val="11"/>
        <color indexed="8"/>
        <rFont val="宋体"/>
        <charset val="134"/>
      </rPr>
      <t>准确度</t>
    </r>
    <r>
      <rPr>
        <b/>
        <sz val="11"/>
        <color indexed="8"/>
        <rFont val="Times New Roman"/>
        <family val="1"/>
      </rPr>
      <t>%</t>
    </r>
  </si>
  <si>
    <t>质控样本</t>
  </si>
  <si>
    <t>准确度%</t>
  </si>
  <si>
    <t>B-LQC</t>
  </si>
  <si>
    <t>B-MQC</t>
  </si>
  <si>
    <t>B-HQC</t>
  </si>
  <si>
    <t>NA</t>
  </si>
  <si>
    <r>
      <rPr>
        <sz val="11"/>
        <rFont val="宋体"/>
        <charset val="134"/>
      </rPr>
      <t>生物样品分析方法及所有样品的分析由合肥中科普瑞昇生物分析实验室完成，分析样品的同时进行质控样品的日内准确度评价，并要求超过</t>
    </r>
    <r>
      <rPr>
        <sz val="11"/>
        <rFont val="Times New Roman"/>
        <family val="1"/>
      </rPr>
      <t>66.7%</t>
    </r>
    <r>
      <rPr>
        <sz val="11"/>
        <rFont val="宋体"/>
        <charset val="134"/>
      </rPr>
      <t>的质控样品的准确度在</t>
    </r>
    <r>
      <rPr>
        <sz val="11"/>
        <rFont val="Times New Roman"/>
        <family val="1"/>
      </rPr>
      <t>80-120%</t>
    </r>
    <r>
      <rPr>
        <sz val="11"/>
        <rFont val="宋体"/>
        <charset val="134"/>
      </rPr>
      <t>之间。伴随样品分析的线性标准品至少</t>
    </r>
    <r>
      <rPr>
        <sz val="11"/>
        <rFont val="Times New Roman"/>
        <family val="1"/>
      </rPr>
      <t>6</t>
    </r>
    <r>
      <rPr>
        <sz val="11"/>
        <rFont val="宋体"/>
        <charset val="134"/>
      </rPr>
      <t>个且≥</t>
    </r>
    <r>
      <rPr>
        <sz val="11"/>
        <rFont val="Times New Roman"/>
        <family val="1"/>
      </rPr>
      <t>75%</t>
    </r>
    <r>
      <rPr>
        <sz val="11"/>
        <rFont val="宋体"/>
        <charset val="134"/>
      </rPr>
      <t>的校准标样满足偏差在±</t>
    </r>
    <r>
      <rPr>
        <sz val="11"/>
        <rFont val="Times New Roman"/>
        <family val="1"/>
      </rPr>
      <t>20%</t>
    </r>
    <r>
      <rPr>
        <sz val="11"/>
        <rFont val="宋体"/>
        <charset val="134"/>
      </rPr>
      <t>范围内。</t>
    </r>
  </si>
  <si>
    <r>
      <rPr>
        <b/>
        <sz val="11"/>
        <rFont val="Times New Roman"/>
        <family val="1"/>
      </rPr>
      <t xml:space="preserve">PK </t>
    </r>
    <r>
      <rPr>
        <b/>
        <sz val="11"/>
        <rFont val="宋体"/>
        <charset val="134"/>
      </rPr>
      <t>给药制剂浓度测定</t>
    </r>
  </si>
  <si>
    <r>
      <rPr>
        <sz val="11"/>
        <rFont val="宋体"/>
        <charset val="134"/>
      </rPr>
      <t>检测步骤：</t>
    </r>
    <r>
      <rPr>
        <sz val="11"/>
        <rFont val="Times New Roman"/>
        <family val="1"/>
      </rPr>
      <t xml:space="preserve">  (</t>
    </r>
    <r>
      <rPr>
        <sz val="11"/>
        <rFont val="宋体"/>
        <charset val="134"/>
      </rPr>
      <t>将药制剂原液稀释</t>
    </r>
    <r>
      <rPr>
        <sz val="11"/>
        <rFont val="Times New Roman"/>
        <family val="1"/>
      </rPr>
      <t>4000</t>
    </r>
    <r>
      <rPr>
        <sz val="11"/>
        <rFont val="宋体"/>
        <charset val="134"/>
      </rPr>
      <t>倍后进行浓度检测</t>
    </r>
    <r>
      <rPr>
        <sz val="11"/>
        <rFont val="Times New Roman"/>
        <family val="1"/>
      </rPr>
      <t>)</t>
    </r>
  </si>
  <si>
    <r>
      <rPr>
        <sz val="11"/>
        <rFont val="Times New Roman"/>
        <family val="1"/>
      </rPr>
      <t>1)</t>
    </r>
    <r>
      <rPr>
        <sz val="11"/>
        <rFont val="宋体"/>
        <charset val="134"/>
      </rPr>
      <t>移取口服制剂</t>
    </r>
    <r>
      <rPr>
        <sz val="11"/>
        <rFont val="Times New Roman"/>
        <family val="1"/>
      </rPr>
      <t>50 μL</t>
    </r>
    <r>
      <rPr>
        <sz val="11"/>
        <rFont val="宋体"/>
        <charset val="134"/>
      </rPr>
      <t>，加入二甲基亚砜</t>
    </r>
    <r>
      <rPr>
        <sz val="11"/>
        <rFont val="Times New Roman"/>
        <family val="1"/>
      </rPr>
      <t>950 μL</t>
    </r>
    <r>
      <rPr>
        <sz val="11"/>
        <rFont val="宋体"/>
        <charset val="134"/>
      </rPr>
      <t>混合均匀（该过程稀释</t>
    </r>
    <r>
      <rPr>
        <sz val="11"/>
        <rFont val="Times New Roman"/>
        <family val="1"/>
      </rPr>
      <t>20</t>
    </r>
    <r>
      <rPr>
        <sz val="11"/>
        <rFont val="宋体"/>
        <charset val="134"/>
      </rPr>
      <t>倍）</t>
    </r>
    <r>
      <rPr>
        <sz val="11"/>
        <rFont val="Times New Roman"/>
        <family val="1"/>
      </rPr>
      <t>;</t>
    </r>
  </si>
  <si>
    <r>
      <rPr>
        <sz val="11"/>
        <rFont val="Times New Roman"/>
        <family val="1"/>
      </rPr>
      <t xml:space="preserve">2) </t>
    </r>
    <r>
      <rPr>
        <sz val="11"/>
        <rFont val="宋体"/>
        <charset val="134"/>
      </rPr>
      <t>将第一步中的口服制剂稀释液移取</t>
    </r>
    <r>
      <rPr>
        <sz val="11"/>
        <rFont val="Times New Roman"/>
        <family val="1"/>
      </rPr>
      <t>100 μL</t>
    </r>
    <r>
      <rPr>
        <sz val="11"/>
        <rFont val="宋体"/>
        <charset val="134"/>
      </rPr>
      <t>，准确加入二甲基亚砜</t>
    </r>
    <r>
      <rPr>
        <sz val="11"/>
        <rFont val="Times New Roman"/>
        <family val="1"/>
      </rPr>
      <t>900 μL</t>
    </r>
    <r>
      <rPr>
        <sz val="11"/>
        <rFont val="宋体"/>
        <charset val="134"/>
      </rPr>
      <t>，混合均匀（该过程稀释</t>
    </r>
    <r>
      <rPr>
        <sz val="11"/>
        <rFont val="Times New Roman"/>
        <family val="1"/>
      </rPr>
      <t>10</t>
    </r>
    <r>
      <rPr>
        <sz val="11"/>
        <rFont val="宋体"/>
        <charset val="134"/>
      </rPr>
      <t>倍）；</t>
    </r>
  </si>
  <si>
    <r>
      <rPr>
        <sz val="11"/>
        <rFont val="Times New Roman"/>
        <family val="1"/>
      </rPr>
      <t>3)</t>
    </r>
    <r>
      <rPr>
        <sz val="11"/>
        <rFont val="宋体"/>
        <charset val="134"/>
      </rPr>
      <t>将第二步的溶液移取</t>
    </r>
    <r>
      <rPr>
        <sz val="11"/>
        <rFont val="Times New Roman"/>
        <family val="1"/>
      </rPr>
      <t xml:space="preserve">2.5 μL </t>
    </r>
    <r>
      <rPr>
        <sz val="11"/>
        <rFont val="宋体"/>
        <charset val="134"/>
      </rPr>
      <t>加入到</t>
    </r>
    <r>
      <rPr>
        <sz val="11"/>
        <rFont val="Times New Roman"/>
        <family val="1"/>
      </rPr>
      <t>47.5 μL</t>
    </r>
    <r>
      <rPr>
        <sz val="11"/>
        <rFont val="宋体"/>
        <charset val="134"/>
      </rPr>
      <t>血浆中，同标曲质控同法处理，混匀，交由</t>
    </r>
    <r>
      <rPr>
        <sz val="11"/>
        <rFont val="Times New Roman"/>
        <family val="1"/>
      </rPr>
      <t>LC-MS/MS</t>
    </r>
    <r>
      <rPr>
        <sz val="11"/>
        <rFont val="宋体"/>
        <charset val="134"/>
      </rPr>
      <t>分析（此过程稀释</t>
    </r>
    <r>
      <rPr>
        <sz val="11"/>
        <rFont val="Times New Roman"/>
        <family val="1"/>
      </rPr>
      <t>20</t>
    </r>
    <r>
      <rPr>
        <sz val="11"/>
        <rFont val="宋体"/>
        <charset val="134"/>
      </rPr>
      <t>倍）。</t>
    </r>
  </si>
  <si>
    <r>
      <rPr>
        <sz val="11"/>
        <rFont val="宋体"/>
        <charset val="134"/>
      </rPr>
      <t>给药方式</t>
    </r>
  </si>
  <si>
    <r>
      <rPr>
        <sz val="11"/>
        <rFont val="宋体"/>
        <charset val="134"/>
      </rPr>
      <t>设计浓度</t>
    </r>
    <r>
      <rPr>
        <sz val="11"/>
        <rFont val="Times New Roman"/>
        <family val="1"/>
      </rPr>
      <t>. (mg/mL)</t>
    </r>
  </si>
  <si>
    <r>
      <rPr>
        <sz val="11"/>
        <rFont val="宋体"/>
        <charset val="134"/>
      </rPr>
      <t>稀释倍数</t>
    </r>
  </si>
  <si>
    <r>
      <rPr>
        <sz val="11"/>
        <rFont val="宋体"/>
        <charset val="134"/>
      </rPr>
      <t>测试浓度</t>
    </r>
    <r>
      <rPr>
        <sz val="11"/>
        <rFont val="Times New Roman"/>
        <family val="1"/>
      </rPr>
      <t>(ng/mL)</t>
    </r>
  </si>
  <si>
    <r>
      <rPr>
        <sz val="11"/>
        <rFont val="宋体"/>
        <charset val="134"/>
      </rPr>
      <t>计算浓度</t>
    </r>
    <r>
      <rPr>
        <sz val="11"/>
        <rFont val="Times New Roman"/>
        <family val="1"/>
      </rPr>
      <t xml:space="preserve"> (mg/mL)</t>
    </r>
  </si>
  <si>
    <r>
      <rPr>
        <sz val="11"/>
        <rFont val="宋体"/>
        <charset val="134"/>
      </rPr>
      <t>平均浓度</t>
    </r>
    <r>
      <rPr>
        <sz val="11"/>
        <rFont val="Times New Roman"/>
        <family val="1"/>
      </rPr>
      <t xml:space="preserve"> (mg/mL)</t>
    </r>
  </si>
  <si>
    <r>
      <rPr>
        <sz val="11"/>
        <rFont val="宋体"/>
        <charset val="134"/>
      </rPr>
      <t>偏差</t>
    </r>
    <r>
      <rPr>
        <sz val="11"/>
        <rFont val="Times New Roman"/>
        <family val="1"/>
      </rPr>
      <t xml:space="preserve"> (%)</t>
    </r>
  </si>
  <si>
    <r>
      <rPr>
        <sz val="11"/>
        <rFont val="宋体"/>
        <charset val="134"/>
      </rPr>
      <t>变异系数</t>
    </r>
    <r>
      <rPr>
        <sz val="11"/>
        <rFont val="Times New Roman"/>
        <family val="1"/>
      </rPr>
      <t>(%)</t>
    </r>
  </si>
  <si>
    <r>
      <rPr>
        <sz val="11"/>
        <rFont val="宋体"/>
        <charset val="134"/>
      </rPr>
      <t>测试方法</t>
    </r>
  </si>
  <si>
    <t>HPLC-MS/MS</t>
  </si>
  <si>
    <r>
      <rPr>
        <b/>
        <u/>
        <sz val="11"/>
        <rFont val="宋体"/>
        <charset val="134"/>
      </rPr>
      <t>结果：</t>
    </r>
  </si>
  <si>
    <r>
      <rPr>
        <sz val="11"/>
        <rFont val="宋体"/>
        <charset val="134"/>
      </rPr>
      <t>与设计剂量浓度</t>
    </r>
    <r>
      <rPr>
        <sz val="11"/>
        <rFont val="Times New Roman"/>
        <family val="1"/>
      </rPr>
      <t>(PO:1 mg/mL)</t>
    </r>
    <r>
      <rPr>
        <sz val="11"/>
        <rFont val="宋体"/>
        <charset val="134"/>
      </rPr>
      <t>比较，</t>
    </r>
    <r>
      <rPr>
        <sz val="11"/>
        <rFont val="Times New Roman"/>
        <family val="1"/>
      </rPr>
      <t xml:space="preserve"> </t>
    </r>
    <r>
      <rPr>
        <sz val="11"/>
        <rFont val="宋体"/>
        <charset val="134"/>
      </rPr>
      <t>剂量浓度在</t>
    </r>
    <r>
      <rPr>
        <sz val="11"/>
        <rFont val="Times New Roman"/>
        <family val="1"/>
      </rPr>
      <t>(± 20%)</t>
    </r>
    <r>
      <rPr>
        <sz val="11"/>
        <rFont val="宋体"/>
        <charset val="134"/>
      </rPr>
      <t>标准范围内。</t>
    </r>
  </si>
  <si>
    <r>
      <rPr>
        <b/>
        <sz val="11"/>
        <color indexed="8"/>
        <rFont val="宋体"/>
        <charset val="134"/>
      </rPr>
      <t>分析方法</t>
    </r>
  </si>
  <si>
    <r>
      <rPr>
        <b/>
        <sz val="11"/>
        <color indexed="8"/>
        <rFont val="宋体"/>
        <charset val="134"/>
      </rPr>
      <t>设备型号</t>
    </r>
  </si>
  <si>
    <t>LC-MS/MS ( Triple Quad 5500+)</t>
  </si>
  <si>
    <r>
      <rPr>
        <b/>
        <sz val="11"/>
        <color theme="1"/>
        <rFont val="宋体"/>
        <charset val="134"/>
      </rPr>
      <t>设备编号</t>
    </r>
  </si>
  <si>
    <t>LC-MS/MS-004</t>
  </si>
  <si>
    <r>
      <rPr>
        <b/>
        <sz val="11"/>
        <color indexed="8"/>
        <rFont val="宋体"/>
        <charset val="134"/>
      </rPr>
      <t>基质类型</t>
    </r>
  </si>
  <si>
    <t>小鼠血浆</t>
  </si>
  <si>
    <r>
      <rPr>
        <b/>
        <sz val="11"/>
        <color indexed="8"/>
        <rFont val="宋体"/>
        <charset val="134"/>
      </rPr>
      <t>分析物</t>
    </r>
  </si>
  <si>
    <r>
      <rPr>
        <b/>
        <sz val="11"/>
        <color indexed="8"/>
        <rFont val="宋体"/>
        <charset val="134"/>
      </rPr>
      <t>内标</t>
    </r>
  </si>
  <si>
    <t>Tolbutamide</t>
  </si>
  <si>
    <r>
      <rPr>
        <b/>
        <sz val="11"/>
        <color indexed="8"/>
        <rFont val="宋体"/>
        <charset val="134"/>
      </rPr>
      <t>质谱条件</t>
    </r>
  </si>
  <si>
    <r>
      <rPr>
        <sz val="11"/>
        <color indexed="8"/>
        <rFont val="Times New Roman"/>
        <family val="1"/>
      </rPr>
      <t>ESI</t>
    </r>
    <r>
      <rPr>
        <sz val="11"/>
        <color indexed="8"/>
        <rFont val="宋体"/>
        <charset val="134"/>
      </rPr>
      <t>源正离子模式</t>
    </r>
  </si>
  <si>
    <r>
      <rPr>
        <sz val="11"/>
        <color indexed="8"/>
        <rFont val="宋体"/>
        <charset val="134"/>
      </rPr>
      <t>多反应监测</t>
    </r>
  </si>
  <si>
    <t>Q1/Q3 Masses:  604.30/411.20 Da</t>
  </si>
  <si>
    <t xml:space="preserve"> </t>
  </si>
  <si>
    <t>Q1/Q3 Masses:271.10/155.00 Da</t>
  </si>
  <si>
    <r>
      <rPr>
        <b/>
        <sz val="11"/>
        <color indexed="8"/>
        <rFont val="宋体"/>
        <charset val="134"/>
      </rPr>
      <t>液相条件</t>
    </r>
  </si>
  <si>
    <r>
      <rPr>
        <sz val="11"/>
        <rFont val="宋体"/>
        <charset val="134"/>
      </rPr>
      <t>色谱柱</t>
    </r>
  </si>
  <si>
    <t>Synergi 4µm Fusion-RP 80A LC Column 50*2 mm</t>
  </si>
  <si>
    <r>
      <rPr>
        <sz val="11"/>
        <rFont val="宋体"/>
        <charset val="134"/>
      </rPr>
      <t>色谱型号</t>
    </r>
  </si>
  <si>
    <r>
      <rPr>
        <sz val="11"/>
        <rFont val="Times New Roman"/>
        <family val="1"/>
      </rPr>
      <t>ExionLC</t>
    </r>
    <r>
      <rPr>
        <sz val="11"/>
        <rFont val="宋体"/>
        <charset val="134"/>
      </rPr>
      <t>液相系统</t>
    </r>
  </si>
  <si>
    <r>
      <rPr>
        <sz val="11"/>
        <rFont val="宋体"/>
        <charset val="134"/>
      </rPr>
      <t>流动相</t>
    </r>
  </si>
  <si>
    <r>
      <rPr>
        <sz val="11"/>
        <rFont val="Times New Roman"/>
        <family val="1"/>
      </rPr>
      <t xml:space="preserve">A: </t>
    </r>
    <r>
      <rPr>
        <sz val="11"/>
        <rFont val="宋体"/>
        <charset val="134"/>
      </rPr>
      <t>水（含</t>
    </r>
    <r>
      <rPr>
        <sz val="11"/>
        <rFont val="Times New Roman"/>
        <family val="1"/>
      </rPr>
      <t>0.1%FA</t>
    </r>
    <r>
      <rPr>
        <sz val="11"/>
        <rFont val="宋体"/>
        <charset val="134"/>
      </rPr>
      <t>）</t>
    </r>
  </si>
  <si>
    <r>
      <rPr>
        <sz val="11"/>
        <rFont val="Times New Roman"/>
        <family val="1"/>
      </rPr>
      <t>B:</t>
    </r>
    <r>
      <rPr>
        <sz val="11"/>
        <rFont val="宋体"/>
        <charset val="134"/>
      </rPr>
      <t>乙腈</t>
    </r>
  </si>
  <si>
    <r>
      <rPr>
        <sz val="11"/>
        <rFont val="宋体"/>
        <charset val="134"/>
      </rPr>
      <t>液相程序</t>
    </r>
  </si>
  <si>
    <r>
      <rPr>
        <sz val="11"/>
        <rFont val="宋体"/>
        <charset val="134"/>
      </rPr>
      <t>时间</t>
    </r>
    <r>
      <rPr>
        <sz val="11"/>
        <rFont val="Times New Roman"/>
        <family val="1"/>
      </rPr>
      <t xml:space="preserve"> (min)</t>
    </r>
  </si>
  <si>
    <r>
      <rPr>
        <sz val="11"/>
        <rFont val="宋体"/>
        <charset val="134"/>
      </rPr>
      <t>流速</t>
    </r>
    <r>
      <rPr>
        <sz val="11"/>
        <rFont val="Times New Roman"/>
        <family val="1"/>
      </rPr>
      <t xml:space="preserve"> (mL/min)</t>
    </r>
  </si>
  <si>
    <t>A (%)</t>
  </si>
  <si>
    <t>B (%)</t>
  </si>
  <si>
    <r>
      <rPr>
        <sz val="11"/>
        <rFont val="宋体"/>
        <charset val="134"/>
      </rPr>
      <t>柱温</t>
    </r>
    <r>
      <rPr>
        <sz val="11"/>
        <rFont val="Times New Roman"/>
        <family val="1"/>
      </rPr>
      <t xml:space="preserve"> (°C):</t>
    </r>
  </si>
  <si>
    <r>
      <rPr>
        <sz val="11"/>
        <rFont val="宋体"/>
        <charset val="134"/>
      </rPr>
      <t>进样体积</t>
    </r>
    <r>
      <rPr>
        <sz val="11"/>
        <rFont val="Times New Roman"/>
        <family val="1"/>
      </rPr>
      <t>(μL):</t>
    </r>
  </si>
  <si>
    <t xml:space="preserve">10 μL </t>
  </si>
  <si>
    <r>
      <rPr>
        <sz val="11"/>
        <color indexed="8"/>
        <rFont val="宋体"/>
        <charset val="134"/>
      </rPr>
      <t>保留时间</t>
    </r>
    <r>
      <rPr>
        <sz val="11"/>
        <color indexed="8"/>
        <rFont val="Times New Roman"/>
        <family val="1"/>
      </rPr>
      <t>:</t>
    </r>
  </si>
  <si>
    <t>1.35 min</t>
  </si>
  <si>
    <t>IS:</t>
  </si>
  <si>
    <t>1.02 min</t>
  </si>
  <si>
    <r>
      <rPr>
        <b/>
        <sz val="11"/>
        <color indexed="8"/>
        <rFont val="宋体"/>
        <charset val="134"/>
      </rPr>
      <t>样品前处理</t>
    </r>
    <r>
      <rPr>
        <b/>
        <sz val="11"/>
        <color indexed="8"/>
        <rFont val="Times New Roman"/>
        <family val="1"/>
      </rPr>
      <t xml:space="preserve"> </t>
    </r>
  </si>
  <si>
    <r>
      <rPr>
        <sz val="11"/>
        <color theme="1"/>
        <rFont val="Times New Roman"/>
        <family val="1"/>
      </rPr>
      <t xml:space="preserve">1. </t>
    </r>
    <r>
      <rPr>
        <sz val="11"/>
        <color theme="1"/>
        <rFont val="宋体"/>
        <charset val="134"/>
      </rPr>
      <t>所有样品完全融化后，混匀</t>
    </r>
    <r>
      <rPr>
        <sz val="11"/>
        <color theme="1"/>
        <rFont val="Times New Roman"/>
        <family val="1"/>
      </rPr>
      <t>10</t>
    </r>
    <r>
      <rPr>
        <sz val="11"/>
        <color theme="1"/>
        <rFont val="宋体"/>
        <charset val="134"/>
      </rPr>
      <t>～</t>
    </r>
    <r>
      <rPr>
        <sz val="11"/>
        <color theme="1"/>
        <rFont val="Times New Roman"/>
        <family val="1"/>
      </rPr>
      <t>30</t>
    </r>
    <r>
      <rPr>
        <sz val="11"/>
        <color theme="1"/>
        <rFont val="宋体"/>
        <charset val="134"/>
      </rPr>
      <t>秒，</t>
    </r>
    <r>
      <rPr>
        <sz val="11"/>
        <color theme="1"/>
        <rFont val="Times New Roman"/>
        <family val="1"/>
      </rPr>
      <t>4000 rpm</t>
    </r>
    <r>
      <rPr>
        <sz val="11"/>
        <color theme="1"/>
        <rFont val="宋体"/>
        <charset val="134"/>
      </rPr>
      <t>、</t>
    </r>
    <r>
      <rPr>
        <sz val="11"/>
        <color theme="1"/>
        <rFont val="Times New Roman"/>
        <family val="1"/>
      </rPr>
      <t>4°C</t>
    </r>
    <r>
      <rPr>
        <sz val="11"/>
        <color theme="1"/>
        <rFont val="宋体"/>
        <charset val="134"/>
      </rPr>
      <t>条件下离心</t>
    </r>
    <r>
      <rPr>
        <sz val="11"/>
        <color theme="1"/>
        <rFont val="Times New Roman"/>
        <family val="1"/>
      </rPr>
      <t>0.5</t>
    </r>
    <r>
      <rPr>
        <sz val="11"/>
        <color theme="1"/>
        <rFont val="宋体"/>
        <charset val="134"/>
      </rPr>
      <t>分钟。</t>
    </r>
    <r>
      <rPr>
        <sz val="11"/>
        <color theme="1"/>
        <rFont val="Times New Roman"/>
        <family val="1"/>
      </rPr>
      <t xml:space="preserve">
2.</t>
    </r>
    <r>
      <rPr>
        <sz val="11"/>
        <color theme="1"/>
        <rFont val="宋体"/>
        <charset val="134"/>
      </rPr>
      <t>移取</t>
    </r>
    <r>
      <rPr>
        <sz val="11"/>
        <color theme="1"/>
        <rFont val="Times New Roman"/>
        <family val="1"/>
      </rPr>
      <t>10 μL</t>
    </r>
    <r>
      <rPr>
        <sz val="11"/>
        <color theme="1"/>
        <rFont val="宋体"/>
        <charset val="134"/>
      </rPr>
      <t>血浆样品（空白样品和内标空白样品加</t>
    </r>
    <r>
      <rPr>
        <sz val="11"/>
        <color theme="1"/>
        <rFont val="Times New Roman"/>
        <family val="1"/>
      </rPr>
      <t>10.0 μL</t>
    </r>
    <r>
      <rPr>
        <sz val="11"/>
        <color theme="1"/>
        <rFont val="宋体"/>
        <charset val="134"/>
      </rPr>
      <t>空白血浆）至</t>
    </r>
    <r>
      <rPr>
        <sz val="11"/>
        <color theme="1"/>
        <rFont val="Times New Roman"/>
        <family val="1"/>
      </rPr>
      <t>96</t>
    </r>
    <r>
      <rPr>
        <sz val="11"/>
        <color theme="1"/>
        <rFont val="宋体"/>
        <charset val="134"/>
      </rPr>
      <t>孔板中，加入</t>
    </r>
    <r>
      <rPr>
        <sz val="11"/>
        <color theme="1"/>
        <rFont val="Times New Roman"/>
        <family val="1"/>
      </rPr>
      <t>200 μL</t>
    </r>
    <r>
      <rPr>
        <sz val="11"/>
        <color theme="1"/>
        <rFont val="宋体"/>
        <charset val="134"/>
      </rPr>
      <t>含内标（</t>
    </r>
    <r>
      <rPr>
        <sz val="11"/>
        <color theme="1"/>
        <rFont val="Times New Roman"/>
        <family val="1"/>
      </rPr>
      <t>100 ng/mL</t>
    </r>
    <r>
      <rPr>
        <sz val="11"/>
        <color theme="1"/>
        <rFont val="宋体"/>
        <charset val="134"/>
      </rPr>
      <t>）</t>
    </r>
    <r>
      <rPr>
        <sz val="11"/>
        <color theme="1"/>
        <rFont val="Times New Roman"/>
        <family val="1"/>
      </rPr>
      <t>50%</t>
    </r>
    <r>
      <rPr>
        <sz val="11"/>
        <color theme="1"/>
        <rFont val="宋体"/>
        <charset val="134"/>
      </rPr>
      <t>甲醇乙腈溶液（</t>
    </r>
    <r>
      <rPr>
        <sz val="11"/>
        <color theme="1"/>
        <rFont val="Times New Roman"/>
        <family val="1"/>
      </rPr>
      <t>Doubleblank</t>
    </r>
    <r>
      <rPr>
        <sz val="11"/>
        <color theme="1"/>
        <rFont val="宋体"/>
        <charset val="134"/>
      </rPr>
      <t>样品加入</t>
    </r>
    <r>
      <rPr>
        <sz val="11"/>
        <color theme="1"/>
        <rFont val="Times New Roman"/>
        <family val="1"/>
      </rPr>
      <t>200 μL 50%</t>
    </r>
    <r>
      <rPr>
        <sz val="11"/>
        <color theme="1"/>
        <rFont val="宋体"/>
        <charset val="134"/>
      </rPr>
      <t>甲醇乙腈溶液）。</t>
    </r>
    <r>
      <rPr>
        <sz val="11"/>
        <color theme="1"/>
        <rFont val="Times New Roman"/>
        <family val="1"/>
      </rPr>
      <t xml:space="preserve">
3. </t>
    </r>
    <r>
      <rPr>
        <sz val="11"/>
        <color theme="1"/>
        <rFont val="宋体"/>
        <charset val="134"/>
      </rPr>
      <t>将样品涡旋</t>
    </r>
    <r>
      <rPr>
        <sz val="11"/>
        <color theme="1"/>
        <rFont val="Times New Roman"/>
        <family val="1"/>
      </rPr>
      <t>5</t>
    </r>
    <r>
      <rPr>
        <sz val="11"/>
        <color theme="1"/>
        <rFont val="宋体"/>
        <charset val="134"/>
      </rPr>
      <t>分钟后，在</t>
    </r>
    <r>
      <rPr>
        <sz val="11"/>
        <color theme="1"/>
        <rFont val="Times New Roman"/>
        <family val="1"/>
      </rPr>
      <t>4000 rpm</t>
    </r>
    <r>
      <rPr>
        <sz val="11"/>
        <color theme="1"/>
        <rFont val="宋体"/>
        <charset val="134"/>
      </rPr>
      <t>、</t>
    </r>
    <r>
      <rPr>
        <sz val="11"/>
        <color theme="1"/>
        <rFont val="Times New Roman"/>
        <family val="1"/>
      </rPr>
      <t>4°C</t>
    </r>
    <r>
      <rPr>
        <sz val="11"/>
        <color theme="1"/>
        <rFont val="宋体"/>
        <charset val="134"/>
      </rPr>
      <t>条件下离心</t>
    </r>
    <r>
      <rPr>
        <sz val="11"/>
        <color theme="1"/>
        <rFont val="Times New Roman"/>
        <family val="1"/>
      </rPr>
      <t>10</t>
    </r>
    <r>
      <rPr>
        <sz val="11"/>
        <color theme="1"/>
        <rFont val="宋体"/>
        <charset val="134"/>
      </rPr>
      <t>分钟，移取</t>
    </r>
    <r>
      <rPr>
        <sz val="11"/>
        <color theme="1"/>
        <rFont val="Times New Roman"/>
        <family val="1"/>
      </rPr>
      <t>80 μL</t>
    </r>
    <r>
      <rPr>
        <sz val="11"/>
        <color theme="1"/>
        <rFont val="宋体"/>
        <charset val="134"/>
      </rPr>
      <t>加入到</t>
    </r>
    <r>
      <rPr>
        <sz val="11"/>
        <color theme="1"/>
        <rFont val="Times New Roman"/>
        <family val="1"/>
      </rPr>
      <t>80 μL</t>
    </r>
    <r>
      <rPr>
        <sz val="11"/>
        <color theme="1"/>
        <rFont val="宋体"/>
        <charset val="134"/>
      </rPr>
      <t>的水中，混合均匀，交由</t>
    </r>
    <r>
      <rPr>
        <sz val="11"/>
        <color theme="1"/>
        <rFont val="Times New Roman"/>
        <family val="1"/>
      </rPr>
      <t>LC-MS/MS</t>
    </r>
    <r>
      <rPr>
        <sz val="11"/>
        <color theme="1"/>
        <rFont val="宋体"/>
        <charset val="134"/>
      </rPr>
      <t>分析。</t>
    </r>
    <r>
      <rPr>
        <sz val="11"/>
        <color theme="1"/>
        <rFont val="Times New Roman"/>
        <family val="1"/>
      </rPr>
      <t xml:space="preserve">
</t>
    </r>
  </si>
  <si>
    <r>
      <rPr>
        <b/>
        <sz val="11"/>
        <color indexed="8"/>
        <rFont val="宋体"/>
        <charset val="134"/>
      </rPr>
      <t>线性范围</t>
    </r>
  </si>
  <si>
    <t xml:space="preserve">1-2000 ng/mL </t>
  </si>
  <si>
    <r>
      <rPr>
        <b/>
        <sz val="11"/>
        <color indexed="8"/>
        <rFont val="宋体"/>
        <charset val="134"/>
      </rPr>
      <t>供试品信息</t>
    </r>
  </si>
  <si>
    <r>
      <rPr>
        <sz val="11"/>
        <color indexed="8"/>
        <rFont val="宋体"/>
        <charset val="134"/>
      </rPr>
      <t>名称</t>
    </r>
  </si>
  <si>
    <r>
      <rPr>
        <sz val="11"/>
        <color indexed="8"/>
        <rFont val="宋体"/>
        <charset val="134"/>
      </rPr>
      <t>保存条件</t>
    </r>
  </si>
  <si>
    <r>
      <rPr>
        <sz val="11"/>
        <color indexed="8"/>
        <rFont val="宋体"/>
        <charset val="134"/>
      </rPr>
      <t>纯度</t>
    </r>
    <r>
      <rPr>
        <sz val="11"/>
        <color indexed="8"/>
        <rFont val="Times New Roman"/>
        <family val="1"/>
      </rPr>
      <t>*</t>
    </r>
  </si>
  <si>
    <r>
      <rPr>
        <sz val="11"/>
        <color indexed="8"/>
        <rFont val="宋体"/>
        <charset val="134"/>
      </rPr>
      <t>盐或酯或游离形式</t>
    </r>
  </si>
  <si>
    <r>
      <rPr>
        <sz val="11"/>
        <color indexed="8"/>
        <rFont val="宋体"/>
        <charset val="134"/>
      </rPr>
      <t>分子量（盐）</t>
    </r>
  </si>
  <si>
    <r>
      <rPr>
        <sz val="11"/>
        <color indexed="8"/>
        <rFont val="宋体"/>
        <charset val="134"/>
      </rPr>
      <t>分子量（游离形式）</t>
    </r>
  </si>
  <si>
    <t>RT</t>
  </si>
  <si>
    <r>
      <rPr>
        <sz val="11"/>
        <color rgb="FF000000"/>
        <rFont val="宋体"/>
        <charset val="134"/>
      </rPr>
      <t>游离形式</t>
    </r>
  </si>
  <si>
    <t>/</t>
  </si>
  <si>
    <r>
      <rPr>
        <b/>
        <sz val="11"/>
        <color indexed="8"/>
        <rFont val="Times New Roman"/>
        <family val="1"/>
      </rPr>
      <t>*:</t>
    </r>
    <r>
      <rPr>
        <b/>
        <sz val="11"/>
        <color indexed="8"/>
        <rFont val="宋体"/>
        <charset val="134"/>
      </rPr>
      <t>配制时需要折算纯度。</t>
    </r>
  </si>
  <si>
    <r>
      <rPr>
        <b/>
        <sz val="11"/>
        <color indexed="8"/>
        <rFont val="宋体"/>
        <charset val="134"/>
      </rPr>
      <t>供试品配制</t>
    </r>
  </si>
  <si>
    <r>
      <rPr>
        <sz val="11"/>
        <color indexed="8"/>
        <rFont val="宋体"/>
        <charset val="134"/>
      </rPr>
      <t>给药当天配制。</t>
    </r>
  </si>
  <si>
    <r>
      <rPr>
        <sz val="11"/>
        <color rgb="FF000000"/>
        <rFont val="宋体"/>
        <charset val="134"/>
      </rPr>
      <t>溶媒：</t>
    </r>
    <r>
      <rPr>
        <sz val="11"/>
        <color rgb="FF000000"/>
        <rFont val="Times New Roman"/>
        <family val="1"/>
      </rPr>
      <t>5%DMSO+10%Solutol+85%Saline</t>
    </r>
  </si>
  <si>
    <r>
      <rPr>
        <b/>
        <sz val="11"/>
        <color indexed="8"/>
        <rFont val="宋体"/>
        <charset val="134"/>
      </rPr>
      <t>实验动物</t>
    </r>
  </si>
  <si>
    <r>
      <rPr>
        <sz val="11"/>
        <color rgb="FF000000"/>
        <rFont val="宋体"/>
        <charset val="134"/>
      </rPr>
      <t>种属：</t>
    </r>
    <r>
      <rPr>
        <sz val="11"/>
        <color rgb="FF000000"/>
        <rFont val="Times New Roman"/>
        <family val="1"/>
      </rPr>
      <t>ICR</t>
    </r>
    <r>
      <rPr>
        <sz val="11"/>
        <color rgb="FF000000"/>
        <rFont val="宋体"/>
        <charset val="134"/>
      </rPr>
      <t>小鼠，</t>
    </r>
    <r>
      <rPr>
        <sz val="11"/>
        <color rgb="FF000000"/>
        <rFont val="Times New Roman"/>
        <family val="1"/>
      </rPr>
      <t>SPF</t>
    </r>
    <r>
      <rPr>
        <sz val="11"/>
        <color rgb="FF000000"/>
        <rFont val="宋体"/>
        <charset val="134"/>
      </rPr>
      <t>级。</t>
    </r>
  </si>
  <si>
    <r>
      <rPr>
        <sz val="11"/>
        <color rgb="FF000000"/>
        <rFont val="宋体"/>
        <charset val="134"/>
      </rPr>
      <t>来源：北京维通利华实验动物技术有限公司</t>
    </r>
  </si>
  <si>
    <r>
      <rPr>
        <sz val="11"/>
        <color rgb="FF000000"/>
        <rFont val="宋体"/>
        <charset val="134"/>
      </rPr>
      <t>数量：雄性</t>
    </r>
    <r>
      <rPr>
        <sz val="11"/>
        <color rgb="FF000000"/>
        <rFont val="Times New Roman"/>
        <family val="1"/>
      </rPr>
      <t>4</t>
    </r>
    <r>
      <rPr>
        <sz val="11"/>
        <color rgb="FF000000"/>
        <rFont val="宋体"/>
        <charset val="134"/>
      </rPr>
      <t>只。实验需要：雄性</t>
    </r>
    <r>
      <rPr>
        <sz val="11"/>
        <color rgb="FF000000"/>
        <rFont val="Times New Roman"/>
        <family val="1"/>
      </rPr>
      <t>3</t>
    </r>
    <r>
      <rPr>
        <sz val="11"/>
        <color rgb="FF000000"/>
        <rFont val="宋体"/>
        <charset val="134"/>
      </rPr>
      <t>只。</t>
    </r>
  </si>
  <si>
    <r>
      <rPr>
        <sz val="11"/>
        <color indexed="8"/>
        <rFont val="宋体"/>
        <charset val="134"/>
      </rPr>
      <t>动物挑选：不进行随机分组</t>
    </r>
  </si>
  <si>
    <r>
      <rPr>
        <b/>
        <sz val="11"/>
        <color indexed="8"/>
        <rFont val="宋体"/>
        <charset val="134"/>
      </rPr>
      <t>实验设计</t>
    </r>
  </si>
  <si>
    <r>
      <rPr>
        <b/>
        <sz val="11"/>
        <color indexed="8"/>
        <rFont val="宋体"/>
        <charset val="134"/>
      </rPr>
      <t>组别</t>
    </r>
  </si>
  <si>
    <r>
      <rPr>
        <b/>
        <sz val="11"/>
        <color indexed="8"/>
        <rFont val="宋体"/>
        <charset val="134"/>
      </rPr>
      <t>受试物</t>
    </r>
  </si>
  <si>
    <r>
      <rPr>
        <b/>
        <sz val="11"/>
        <color indexed="8"/>
        <rFont val="宋体"/>
        <charset val="134"/>
      </rPr>
      <t>动物数量</t>
    </r>
  </si>
  <si>
    <r>
      <rPr>
        <b/>
        <sz val="11"/>
        <color indexed="8"/>
        <rFont val="宋体"/>
        <charset val="134"/>
      </rPr>
      <t>剂量</t>
    </r>
  </si>
  <si>
    <r>
      <rPr>
        <b/>
        <sz val="11"/>
        <color indexed="8"/>
        <rFont val="宋体"/>
        <charset val="134"/>
      </rPr>
      <t>浓度</t>
    </r>
  </si>
  <si>
    <r>
      <rPr>
        <b/>
        <sz val="11"/>
        <color indexed="8"/>
        <rFont val="宋体"/>
        <charset val="134"/>
      </rPr>
      <t>给药体积</t>
    </r>
  </si>
  <si>
    <r>
      <rPr>
        <b/>
        <sz val="11"/>
        <color indexed="8"/>
        <rFont val="宋体"/>
        <charset val="134"/>
      </rPr>
      <t>给予方式</t>
    </r>
  </si>
  <si>
    <r>
      <rPr>
        <b/>
        <sz val="11"/>
        <color indexed="8"/>
        <rFont val="宋体"/>
        <charset val="134"/>
      </rPr>
      <t>采集样本</t>
    </r>
  </si>
  <si>
    <r>
      <rPr>
        <b/>
        <sz val="11"/>
        <color rgb="FF000000"/>
        <rFont val="宋体"/>
        <charset val="134"/>
      </rPr>
      <t>雄性</t>
    </r>
  </si>
  <si>
    <t>(mg/kg)</t>
  </si>
  <si>
    <t>(mg/mL)</t>
  </si>
  <si>
    <t>(mL/kg)</t>
  </si>
  <si>
    <r>
      <rPr>
        <sz val="11"/>
        <color rgb="FF000000"/>
        <rFont val="Times New Roman"/>
        <family val="1"/>
      </rPr>
      <t>PO*</t>
    </r>
    <r>
      <rPr>
        <sz val="11"/>
        <color rgb="FF000000"/>
        <rFont val="宋体"/>
        <charset val="134"/>
      </rPr>
      <t>，单次</t>
    </r>
  </si>
  <si>
    <r>
      <rPr>
        <sz val="11"/>
        <color rgb="FF000000"/>
        <rFont val="宋体"/>
        <charset val="134"/>
      </rPr>
      <t>血浆</t>
    </r>
  </si>
  <si>
    <r>
      <rPr>
        <sz val="11"/>
        <color rgb="FF000000"/>
        <rFont val="宋体"/>
        <charset val="134"/>
      </rPr>
      <t>注：</t>
    </r>
    <r>
      <rPr>
        <sz val="11"/>
        <color rgb="FF000000"/>
        <rFont val="Times New Roman"/>
        <family val="1"/>
      </rPr>
      <t xml:space="preserve"> *, </t>
    </r>
    <r>
      <rPr>
        <sz val="11"/>
        <color rgb="FF000000"/>
        <rFont val="宋体"/>
        <charset val="134"/>
      </rPr>
      <t>口服给药组动物给药前禁食过夜（</t>
    </r>
    <r>
      <rPr>
        <sz val="11"/>
        <color rgb="FF000000"/>
        <rFont val="Times New Roman"/>
        <family val="1"/>
      </rPr>
      <t>10-14</t>
    </r>
    <r>
      <rPr>
        <sz val="11"/>
        <color rgb="FF000000"/>
        <rFont val="宋体"/>
        <charset val="134"/>
      </rPr>
      <t>小时），给药</t>
    </r>
    <r>
      <rPr>
        <sz val="11"/>
        <color rgb="FF000000"/>
        <rFont val="Times New Roman"/>
        <family val="1"/>
      </rPr>
      <t>4</t>
    </r>
    <r>
      <rPr>
        <sz val="11"/>
        <color rgb="FF000000"/>
        <rFont val="宋体"/>
        <charset val="134"/>
      </rPr>
      <t>小时后给食。</t>
    </r>
  </si>
  <si>
    <r>
      <rPr>
        <b/>
        <sz val="11"/>
        <color indexed="8"/>
        <rFont val="宋体"/>
        <charset val="134"/>
      </rPr>
      <t>给药方式</t>
    </r>
  </si>
  <si>
    <t>给药前称重，根据体重，计算给药量。通过灌胃口服给药。</t>
  </si>
  <si>
    <r>
      <rPr>
        <b/>
        <sz val="11"/>
        <color indexed="8"/>
        <rFont val="宋体"/>
        <charset val="134"/>
      </rPr>
      <t>采血时间点：</t>
    </r>
  </si>
  <si>
    <r>
      <rPr>
        <sz val="11"/>
        <color rgb="FF000000"/>
        <rFont val="宋体"/>
        <charset val="134"/>
      </rPr>
      <t>给药后：</t>
    </r>
    <r>
      <rPr>
        <sz val="11"/>
        <color rgb="FF000000"/>
        <rFont val="Times New Roman"/>
        <family val="1"/>
      </rPr>
      <t>0.083 h</t>
    </r>
    <r>
      <rPr>
        <sz val="11"/>
        <color rgb="FF000000"/>
        <rFont val="宋体"/>
        <charset val="134"/>
      </rPr>
      <t>，</t>
    </r>
    <r>
      <rPr>
        <sz val="11"/>
        <color rgb="FF000000"/>
        <rFont val="Times New Roman"/>
        <family val="1"/>
      </rPr>
      <t>0.25 h</t>
    </r>
    <r>
      <rPr>
        <sz val="11"/>
        <color rgb="FF000000"/>
        <rFont val="宋体"/>
        <charset val="134"/>
      </rPr>
      <t>，</t>
    </r>
    <r>
      <rPr>
        <sz val="11"/>
        <color rgb="FF000000"/>
        <rFont val="Times New Roman"/>
        <family val="1"/>
      </rPr>
      <t>0.5 h</t>
    </r>
    <r>
      <rPr>
        <sz val="11"/>
        <color rgb="FF000000"/>
        <rFont val="宋体"/>
        <charset val="134"/>
      </rPr>
      <t>，</t>
    </r>
    <r>
      <rPr>
        <sz val="11"/>
        <color rgb="FF000000"/>
        <rFont val="Times New Roman"/>
        <family val="1"/>
      </rPr>
      <t>1 h</t>
    </r>
    <r>
      <rPr>
        <sz val="11"/>
        <color rgb="FF000000"/>
        <rFont val="宋体"/>
        <charset val="134"/>
      </rPr>
      <t>，</t>
    </r>
    <r>
      <rPr>
        <sz val="11"/>
        <color rgb="FF000000"/>
        <rFont val="Times New Roman"/>
        <family val="1"/>
      </rPr>
      <t>2 h</t>
    </r>
    <r>
      <rPr>
        <sz val="11"/>
        <color rgb="FF000000"/>
        <rFont val="宋体"/>
        <charset val="134"/>
      </rPr>
      <t>，</t>
    </r>
    <r>
      <rPr>
        <sz val="11"/>
        <color rgb="FF000000"/>
        <rFont val="Times New Roman"/>
        <family val="1"/>
      </rPr>
      <t>4 h</t>
    </r>
    <r>
      <rPr>
        <sz val="11"/>
        <color rgb="FF000000"/>
        <rFont val="宋体"/>
        <charset val="134"/>
      </rPr>
      <t>，</t>
    </r>
    <r>
      <rPr>
        <sz val="11"/>
        <color rgb="FF000000"/>
        <rFont val="Times New Roman"/>
        <family val="1"/>
      </rPr>
      <t>6 h</t>
    </r>
    <r>
      <rPr>
        <sz val="11"/>
        <color rgb="FF000000"/>
        <rFont val="宋体"/>
        <charset val="134"/>
      </rPr>
      <t>，</t>
    </r>
    <r>
      <rPr>
        <sz val="11"/>
        <color rgb="FF000000"/>
        <rFont val="Times New Roman"/>
        <family val="1"/>
      </rPr>
      <t>8 h</t>
    </r>
    <r>
      <rPr>
        <sz val="11"/>
        <color rgb="FF000000"/>
        <rFont val="宋体"/>
        <charset val="134"/>
      </rPr>
      <t>，</t>
    </r>
    <r>
      <rPr>
        <sz val="11"/>
        <color rgb="FF000000"/>
        <rFont val="Times New Roman"/>
        <family val="1"/>
      </rPr>
      <t>24 h</t>
    </r>
  </si>
  <si>
    <r>
      <rPr>
        <sz val="11"/>
        <color rgb="FF000000"/>
        <rFont val="宋体"/>
        <charset val="134"/>
      </rPr>
      <t>经脸颊采血，每个样品采集约</t>
    </r>
    <r>
      <rPr>
        <sz val="11"/>
        <color rgb="FF000000"/>
        <rFont val="Times New Roman"/>
        <family val="1"/>
      </rPr>
      <t>0.05 mL</t>
    </r>
    <r>
      <rPr>
        <sz val="11"/>
        <color rgb="FF000000"/>
        <rFont val="宋体"/>
        <charset val="134"/>
      </rPr>
      <t>，</t>
    </r>
    <r>
      <rPr>
        <sz val="11"/>
        <color rgb="FF000000"/>
        <rFont val="Times New Roman"/>
        <family val="1"/>
      </rPr>
      <t>EDTA-K2</t>
    </r>
    <r>
      <rPr>
        <sz val="11"/>
        <color rgb="FF000000"/>
        <rFont val="宋体"/>
        <charset val="134"/>
      </rPr>
      <t>抗凝，采集后放置湿冰上。</t>
    </r>
  </si>
  <si>
    <r>
      <rPr>
        <b/>
        <sz val="11"/>
        <color indexed="8"/>
        <rFont val="宋体"/>
        <charset val="134"/>
      </rPr>
      <t>血浆样品处理</t>
    </r>
  </si>
  <si>
    <r>
      <rPr>
        <sz val="11"/>
        <color rgb="FF000000"/>
        <rFont val="宋体"/>
        <charset val="134"/>
      </rPr>
      <t>血液样本采集后置于冰上，并于</t>
    </r>
    <r>
      <rPr>
        <sz val="11"/>
        <color rgb="FF000000"/>
        <rFont val="Times New Roman"/>
        <family val="1"/>
      </rPr>
      <t>1</t>
    </r>
    <r>
      <rPr>
        <sz val="11"/>
        <color rgb="FF000000"/>
        <rFont val="宋体"/>
        <charset val="134"/>
      </rPr>
      <t>小时之内离心分离血浆</t>
    </r>
    <r>
      <rPr>
        <sz val="11"/>
        <color rgb="FF000000"/>
        <rFont val="Times New Roman"/>
        <family val="1"/>
      </rPr>
      <t>(</t>
    </r>
    <r>
      <rPr>
        <sz val="11"/>
        <color rgb="FF000000"/>
        <rFont val="宋体"/>
        <charset val="134"/>
      </rPr>
      <t>离心条件：</t>
    </r>
    <r>
      <rPr>
        <sz val="11"/>
        <color rgb="FF000000"/>
        <rFont val="Times New Roman"/>
        <family val="1"/>
      </rPr>
      <t>6000 g</t>
    </r>
    <r>
      <rPr>
        <sz val="11"/>
        <color rgb="FF000000"/>
        <rFont val="宋体"/>
        <charset val="134"/>
      </rPr>
      <t>，</t>
    </r>
    <r>
      <rPr>
        <sz val="11"/>
        <color rgb="FF000000"/>
        <rFont val="Times New Roman"/>
        <family val="1"/>
      </rPr>
      <t>3</t>
    </r>
    <r>
      <rPr>
        <sz val="11"/>
        <color rgb="FF000000"/>
        <rFont val="宋体"/>
        <charset val="134"/>
      </rPr>
      <t>分钟，</t>
    </r>
    <r>
      <rPr>
        <sz val="11"/>
        <color rgb="FF000000"/>
        <rFont val="Times New Roman"/>
        <family val="1"/>
      </rPr>
      <t>2-8 ºC)</t>
    </r>
    <r>
      <rPr>
        <sz val="11"/>
        <color rgb="FF000000"/>
        <rFont val="宋体"/>
        <charset val="134"/>
      </rPr>
      <t>。血浆样本在分析前存放时则放于</t>
    </r>
    <r>
      <rPr>
        <sz val="11"/>
        <color rgb="FF000000"/>
        <rFont val="Times New Roman"/>
        <family val="1"/>
      </rPr>
      <t>-80℃</t>
    </r>
    <r>
      <rPr>
        <sz val="11"/>
        <color rgb="FF000000"/>
        <rFont val="宋体"/>
        <charset val="134"/>
      </rPr>
      <t>冰箱内。</t>
    </r>
  </si>
  <si>
    <r>
      <rPr>
        <b/>
        <sz val="11"/>
        <color indexed="8"/>
        <rFont val="宋体"/>
        <charset val="134"/>
      </rPr>
      <t>结果分析</t>
    </r>
  </si>
  <si>
    <r>
      <rPr>
        <sz val="11"/>
        <color indexed="8"/>
        <rFont val="宋体"/>
        <charset val="134"/>
      </rPr>
      <t>通过不同时间点的血药浓度数据，运用</t>
    </r>
    <r>
      <rPr>
        <sz val="11"/>
        <color indexed="8"/>
        <rFont val="Times New Roman"/>
        <family val="1"/>
      </rPr>
      <t>Phoenix WinNonlin8.2.0</t>
    </r>
    <r>
      <rPr>
        <sz val="11"/>
        <color indexed="8"/>
        <rFont val="宋体"/>
        <charset val="134"/>
      </rPr>
      <t>计算药代动力学参数，提供</t>
    </r>
    <r>
      <rPr>
        <sz val="11"/>
        <color indexed="8"/>
        <rFont val="Times New Roman"/>
        <family val="1"/>
      </rPr>
      <t>AUC0-t</t>
    </r>
    <r>
      <rPr>
        <sz val="11"/>
        <color indexed="8"/>
        <rFont val="宋体"/>
        <charset val="134"/>
      </rPr>
      <t>、</t>
    </r>
    <r>
      <rPr>
        <sz val="11"/>
        <color indexed="8"/>
        <rFont val="Times New Roman"/>
        <family val="1"/>
      </rPr>
      <t>AUC0-∞</t>
    </r>
    <r>
      <rPr>
        <sz val="11"/>
        <color indexed="8"/>
        <rFont val="宋体"/>
        <charset val="134"/>
      </rPr>
      <t>、</t>
    </r>
    <r>
      <rPr>
        <sz val="11"/>
        <color indexed="8"/>
        <rFont val="Times New Roman"/>
        <family val="1"/>
      </rPr>
      <t>MRT0-∞</t>
    </r>
    <r>
      <rPr>
        <sz val="11"/>
        <color indexed="8"/>
        <rFont val="宋体"/>
        <charset val="134"/>
      </rPr>
      <t>、</t>
    </r>
    <r>
      <rPr>
        <sz val="11"/>
        <color indexed="8"/>
        <rFont val="Times New Roman"/>
        <family val="1"/>
      </rPr>
      <t>Cmax</t>
    </r>
    <r>
      <rPr>
        <sz val="11"/>
        <color indexed="8"/>
        <rFont val="宋体"/>
        <charset val="134"/>
      </rPr>
      <t>、</t>
    </r>
    <r>
      <rPr>
        <sz val="11"/>
        <color indexed="8"/>
        <rFont val="Times New Roman"/>
        <family val="1"/>
      </rPr>
      <t>Tmax</t>
    </r>
    <r>
      <rPr>
        <sz val="11"/>
        <color indexed="8"/>
        <rFont val="宋体"/>
        <charset val="134"/>
      </rPr>
      <t>、和</t>
    </r>
    <r>
      <rPr>
        <sz val="11"/>
        <color indexed="8"/>
        <rFont val="Times New Roman"/>
        <family val="1"/>
      </rPr>
      <t>T1/2</t>
    </r>
    <r>
      <rPr>
        <sz val="11"/>
        <color indexed="8"/>
        <rFont val="宋体"/>
        <charset val="134"/>
      </rPr>
      <t>等参数及其平均值和标准差。</t>
    </r>
  </si>
  <si>
    <r>
      <rPr>
        <b/>
        <sz val="11"/>
        <color indexed="8"/>
        <rFont val="宋体"/>
        <charset val="134"/>
      </rPr>
      <t>剩余供试品、血浆的处置</t>
    </r>
  </si>
  <si>
    <r>
      <rPr>
        <sz val="11"/>
        <color rgb="FF000000"/>
        <rFont val="宋体"/>
        <charset val="134"/>
      </rPr>
      <t>剩余供试品和剩余血浆样品在试验结束后继续存放于</t>
    </r>
    <r>
      <rPr>
        <sz val="11"/>
        <color rgb="FF000000"/>
        <rFont val="Times New Roman"/>
        <family val="1"/>
      </rPr>
      <t>-80 °C</t>
    </r>
    <r>
      <rPr>
        <sz val="11"/>
        <color rgb="FF000000"/>
        <rFont val="宋体"/>
        <charset val="134"/>
      </rPr>
      <t>冰箱暂存，保存期限为一个月。</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</si>
</sst>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4">
    <numFmt numFmtId="43" formatCode="_ * #,##0.00_ ;_ * \-#,##0.00_ ;_ * &quot;-&quot;??_ ;_ @_ "/>
    <numFmt numFmtId="178" formatCode="0.0%"/>
    <numFmt numFmtId="179" formatCode="0.00_ "/>
    <numFmt numFmtId="180" formatCode="0.0"/>
    <numFmt numFmtId="181" formatCode="0.0_ "/>
    <numFmt numFmtId="182" formatCode="0_);[Red]\(0\)"/>
    <numFmt numFmtId="183" formatCode="0.000_ "/>
    <numFmt numFmtId="184" formatCode="0.0_);[Red]\(0.0\)"/>
    <numFmt numFmtId="185" formatCode="0.0000"/>
    <numFmt numFmtId="186" formatCode="0.00_);[Red]\(0.00\)"/>
    <numFmt numFmtId="187" formatCode="0.0000_ "/>
    <numFmt numFmtId="188" formatCode="0_ "/>
    <numFmt numFmtId="189" formatCode="0.000"/>
    <numFmt numFmtId="190" formatCode="0.00000"/>
  </numFmts>
  <fonts count="61" x14ac:knownFonts="1">
    <font>
      <sz val="11"/>
      <color theme="1"/>
      <name val="宋体"/>
      <charset val="134"/>
      <scheme val="minor"/>
    </font>
    <font>
      <sz val="11"/>
      <color theme="1"/>
      <name val="Times New Roman"/>
      <family val="1"/>
    </font>
    <font>
      <sz val="11"/>
      <color indexed="8"/>
      <name val="Times New Roman"/>
      <family val="1"/>
    </font>
    <font>
      <b/>
      <sz val="11"/>
      <color indexed="8"/>
      <name val="Times New Roman"/>
      <family val="1"/>
    </font>
    <font>
      <sz val="11"/>
      <name val="Times New Roman"/>
      <family val="1"/>
    </font>
    <font>
      <sz val="11"/>
      <color rgb="FF000000"/>
      <name val="Times New Roman"/>
      <family val="1"/>
    </font>
    <font>
      <sz val="11"/>
      <color rgb="FF000000"/>
      <name val="宋体"/>
      <charset val="134"/>
    </font>
    <font>
      <b/>
      <sz val="11"/>
      <color rgb="FF000000"/>
      <name val="Times New Roman"/>
      <family val="1"/>
    </font>
    <font>
      <b/>
      <sz val="11"/>
      <color theme="1"/>
      <name val="Times New Roman"/>
      <family val="1"/>
    </font>
    <font>
      <sz val="10.5"/>
      <color theme="1"/>
      <name val="Times New Roman"/>
      <family val="1"/>
    </font>
    <font>
      <b/>
      <sz val="11"/>
      <name val="Times New Roman"/>
      <family val="1"/>
    </font>
    <font>
      <b/>
      <u/>
      <sz val="11"/>
      <name val="Times New Roman"/>
      <family val="1"/>
    </font>
    <font>
      <b/>
      <sz val="14"/>
      <name val="Times New Roman"/>
      <family val="1"/>
    </font>
    <font>
      <b/>
      <sz val="12"/>
      <name val="Times New Roman"/>
      <family val="1"/>
    </font>
    <font>
      <sz val="11"/>
      <name val="宋体"/>
      <charset val="134"/>
    </font>
    <font>
      <sz val="11"/>
      <color rgb="FFFF0000"/>
      <name val="Times New Roman"/>
      <family val="1"/>
    </font>
    <font>
      <sz val="12"/>
      <name val="Times New Roman"/>
      <family val="1"/>
    </font>
    <font>
      <sz val="16"/>
      <name val="Times New Roman"/>
      <family val="1"/>
    </font>
    <font>
      <b/>
      <sz val="12"/>
      <name val="宋体"/>
      <charset val="134"/>
    </font>
    <font>
      <b/>
      <sz val="12"/>
      <color theme="1"/>
      <name val="Times New Roman"/>
      <family val="1"/>
    </font>
    <font>
      <sz val="12"/>
      <color theme="1"/>
      <name val="Times New Roman"/>
      <family val="1"/>
    </font>
    <font>
      <sz val="12"/>
      <name val="宋体"/>
      <charset val="134"/>
    </font>
    <font>
      <b/>
      <sz val="12"/>
      <color indexed="8"/>
      <name val="Times New Roman"/>
      <family val="1"/>
    </font>
    <font>
      <sz val="12"/>
      <color indexed="8"/>
      <name val="Times New Roman"/>
      <family val="1"/>
    </font>
    <font>
      <sz val="11"/>
      <color theme="1"/>
      <name val="宋体"/>
      <charset val="134"/>
      <scheme val="minor"/>
    </font>
    <font>
      <sz val="12"/>
      <color indexed="8"/>
      <name val="Calibri"/>
      <family val="2"/>
    </font>
    <font>
      <sz val="12"/>
      <color indexed="9"/>
      <name val="Calibri"/>
      <family val="2"/>
    </font>
    <font>
      <sz val="12"/>
      <color indexed="14"/>
      <name val="Calibri"/>
      <family val="2"/>
    </font>
    <font>
      <b/>
      <sz val="12"/>
      <color indexed="52"/>
      <name val="Calibri"/>
      <family val="2"/>
    </font>
    <font>
      <b/>
      <sz val="12"/>
      <color indexed="9"/>
      <name val="Calibri"/>
      <family val="2"/>
    </font>
    <font>
      <i/>
      <sz val="12"/>
      <color indexed="23"/>
      <name val="Calibri"/>
      <family val="2"/>
    </font>
    <font>
      <sz val="12"/>
      <color indexed="17"/>
      <name val="Calibri"/>
      <family val="2"/>
    </font>
    <font>
      <b/>
      <sz val="15"/>
      <color indexed="62"/>
      <name val="Calibri"/>
      <family val="2"/>
    </font>
    <font>
      <b/>
      <sz val="13"/>
      <color indexed="62"/>
      <name val="Calibri"/>
      <family val="2"/>
    </font>
    <font>
      <b/>
      <sz val="11"/>
      <color indexed="62"/>
      <name val="Calibri"/>
      <family val="2"/>
    </font>
    <font>
      <sz val="12"/>
      <color indexed="62"/>
      <name val="Calibri"/>
      <family val="2"/>
    </font>
    <font>
      <sz val="12"/>
      <color indexed="52"/>
      <name val="Calibri"/>
      <family val="2"/>
    </font>
    <font>
      <sz val="12"/>
      <color indexed="60"/>
      <name val="Calibri"/>
      <family val="2"/>
    </font>
    <font>
      <sz val="10"/>
      <color indexed="0"/>
      <name val="Arial"/>
      <family val="2"/>
    </font>
    <font>
      <sz val="10"/>
      <name val="Arial"/>
      <family val="2"/>
    </font>
    <font>
      <sz val="11"/>
      <color indexed="8"/>
      <name val="宋体"/>
      <charset val="134"/>
    </font>
    <font>
      <b/>
      <sz val="12"/>
      <color indexed="63"/>
      <name val="Calibri"/>
      <family val="2"/>
    </font>
    <font>
      <sz val="10"/>
      <color indexed="8"/>
      <name val="Arial"/>
      <family val="2"/>
    </font>
    <font>
      <b/>
      <sz val="18"/>
      <color indexed="62"/>
      <name val="Cambria"/>
      <family val="1"/>
    </font>
    <font>
      <b/>
      <sz val="12"/>
      <color indexed="8"/>
      <name val="Calibri"/>
      <family val="2"/>
    </font>
    <font>
      <sz val="12"/>
      <color indexed="10"/>
      <name val="Calibri"/>
      <family val="2"/>
    </font>
    <font>
      <sz val="10"/>
      <name val="Tahoma"/>
      <family val="2"/>
    </font>
    <font>
      <sz val="10"/>
      <name val="MS Sans Serif"/>
      <family val="2"/>
    </font>
    <font>
      <b/>
      <sz val="11"/>
      <color indexed="8"/>
      <name val="宋体"/>
      <charset val="134"/>
    </font>
    <font>
      <b/>
      <sz val="11"/>
      <name val="宋体"/>
      <charset val="134"/>
    </font>
    <font>
      <vertAlign val="subscript"/>
      <sz val="11"/>
      <name val="Times New Roman"/>
      <family val="1"/>
    </font>
    <font>
      <b/>
      <sz val="11"/>
      <color theme="1"/>
      <name val="宋体"/>
      <charset val="134"/>
    </font>
    <font>
      <b/>
      <u/>
      <sz val="11"/>
      <name val="宋体"/>
      <charset val="134"/>
    </font>
    <font>
      <sz val="11"/>
      <color theme="1"/>
      <name val="宋体"/>
      <charset val="134"/>
    </font>
    <font>
      <sz val="16"/>
      <name val="宋体"/>
      <charset val="134"/>
    </font>
    <font>
      <vertAlign val="subscript"/>
      <sz val="11"/>
      <name val="宋体"/>
      <charset val="134"/>
    </font>
    <font>
      <b/>
      <sz val="11"/>
      <color rgb="FF000000"/>
      <name val="宋体"/>
      <charset val="134"/>
    </font>
    <font>
      <b/>
      <sz val="12"/>
      <color theme="1"/>
      <name val="宋体"/>
      <charset val="134"/>
    </font>
    <font>
      <sz val="12"/>
      <color theme="1"/>
      <name val="宋体"/>
      <charset val="134"/>
    </font>
    <font>
      <sz val="9"/>
      <name val="宋体"/>
      <charset val="134"/>
      <scheme val="minor"/>
    </font>
    <font>
      <sz val="9"/>
      <name val="宋体"/>
      <family val="3"/>
      <charset val="134"/>
      <scheme val="minor"/>
    </font>
  </fonts>
  <fills count="25">
    <fill>
      <patternFill patternType="none"/>
    </fill>
    <fill>
      <patternFill patternType="gray125"/>
    </fill>
    <fill>
      <patternFill patternType="solid">
        <fgColor theme="0"/>
        <bgColor indexed="64"/>
      </patternFill>
    </fill>
    <fill>
      <patternFill patternType="solid">
        <fgColor rgb="FFFFFFFF"/>
        <bgColor rgb="FF000000"/>
      </patternFill>
    </fill>
    <fill>
      <patternFill patternType="solid">
        <fgColor rgb="FFFFFFCC"/>
        <bgColor indexed="64"/>
      </patternFill>
    </fill>
    <fill>
      <patternFill patternType="solid">
        <fgColor theme="9" tint="0.59999389629810485"/>
        <bgColor indexed="64"/>
      </patternFill>
    </fill>
    <fill>
      <patternFill patternType="solid">
        <fgColor indexed="9"/>
        <bgColor indexed="64"/>
      </patternFill>
    </fill>
    <fill>
      <patternFill patternType="solid">
        <fgColor indexed="47"/>
        <bgColor indexed="64"/>
      </patternFill>
    </fill>
    <fill>
      <patternFill patternType="solid">
        <fgColor theme="5" tint="0.79967650379955446"/>
        <bgColor indexed="64"/>
      </patternFill>
    </fill>
    <fill>
      <patternFill patternType="solid">
        <fgColor theme="5" tint="0.79964598529007846"/>
        <bgColor indexed="64"/>
      </patternFill>
    </fill>
    <fill>
      <patternFill patternType="solid">
        <fgColor indexed="26"/>
        <bgColor indexed="64"/>
      </patternFill>
    </fill>
    <fill>
      <patternFill patternType="solid">
        <fgColor theme="7" tint="0.79967650379955446"/>
        <bgColor indexed="64"/>
      </patternFill>
    </fill>
    <fill>
      <patternFill patternType="solid">
        <fgColor theme="7" tint="0.79964598529007846"/>
        <bgColor indexed="64"/>
      </patternFill>
    </fill>
    <fill>
      <patternFill patternType="solid">
        <fgColor indexed="27"/>
        <bgColor indexed="64"/>
      </patternFill>
    </fill>
    <fill>
      <patternFill patternType="solid">
        <fgColor indexed="22"/>
        <bgColor indexed="64"/>
      </patternFill>
    </fill>
    <fill>
      <patternFill patternType="solid">
        <fgColor indexed="29"/>
        <bgColor indexed="64"/>
      </patternFill>
    </fill>
    <fill>
      <patternFill patternType="solid">
        <fgColor indexed="43"/>
        <bgColor indexed="64"/>
      </patternFill>
    </fill>
    <fill>
      <patternFill patternType="solid">
        <fgColor indexed="44"/>
        <bgColor indexed="64"/>
      </patternFill>
    </fill>
    <fill>
      <patternFill patternType="solid">
        <fgColor indexed="49"/>
        <bgColor indexed="64"/>
      </patternFill>
    </fill>
    <fill>
      <patternFill patternType="solid">
        <fgColor indexed="19"/>
        <bgColor indexed="64"/>
      </patternFill>
    </fill>
    <fill>
      <patternFill patternType="solid">
        <fgColor indexed="54"/>
        <bgColor indexed="64"/>
      </patternFill>
    </fill>
    <fill>
      <patternFill patternType="solid">
        <fgColor indexed="53"/>
        <bgColor indexed="64"/>
      </patternFill>
    </fill>
    <fill>
      <patternFill patternType="solid">
        <fgColor indexed="45"/>
        <bgColor indexed="64"/>
      </patternFill>
    </fill>
    <fill>
      <patternFill patternType="solid">
        <fgColor indexed="55"/>
        <bgColor indexed="64"/>
      </patternFill>
    </fill>
    <fill>
      <patternFill patternType="solid">
        <fgColor indexed="42"/>
        <bgColor indexed="64"/>
      </patternFill>
    </fill>
  </fills>
  <borders count="45">
    <border>
      <left/>
      <right/>
      <top/>
      <bottom/>
      <diagonal/>
    </border>
    <border>
      <left style="medium">
        <color auto="1"/>
      </left>
      <right/>
      <top style="medium">
        <color auto="1"/>
      </top>
      <bottom/>
      <diagonal/>
    </border>
    <border>
      <left/>
      <right/>
      <top style="medium">
        <color auto="1"/>
      </top>
      <bottom/>
      <diagonal/>
    </border>
    <border>
      <left style="medium">
        <color auto="1"/>
      </left>
      <right/>
      <top/>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style="thin">
        <color auto="1"/>
      </left>
      <right/>
      <top/>
      <bottom style="thin">
        <color auto="1"/>
      </bottom>
      <diagonal/>
    </border>
    <border>
      <left/>
      <right/>
      <top/>
      <bottom style="thin">
        <color auto="1"/>
      </bottom>
      <diagonal/>
    </border>
    <border>
      <left style="thin">
        <color auto="1"/>
      </left>
      <right/>
      <top/>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medium">
        <color auto="1"/>
      </left>
      <right/>
      <top/>
      <bottom style="medium">
        <color auto="1"/>
      </bottom>
      <diagonal/>
    </border>
    <border>
      <left/>
      <right/>
      <top/>
      <bottom style="medium">
        <color auto="1"/>
      </bottom>
      <diagonal/>
    </border>
    <border>
      <left/>
      <right style="medium">
        <color auto="1"/>
      </right>
      <top style="medium">
        <color auto="1"/>
      </top>
      <bottom/>
      <diagonal/>
    </border>
    <border>
      <left/>
      <right style="medium">
        <color auto="1"/>
      </right>
      <top/>
      <bottom/>
      <diagonal/>
    </border>
    <border>
      <left/>
      <right style="thin">
        <color auto="1"/>
      </right>
      <top style="thin">
        <color auto="1"/>
      </top>
      <bottom/>
      <diagonal/>
    </border>
    <border>
      <left/>
      <right style="thin">
        <color auto="1"/>
      </right>
      <top/>
      <bottom style="thin">
        <color auto="1"/>
      </bottom>
      <diagonal/>
    </border>
    <border>
      <left/>
      <right style="thin">
        <color auto="1"/>
      </right>
      <top/>
      <bottom/>
      <diagonal/>
    </border>
    <border>
      <left/>
      <right style="thin">
        <color auto="1"/>
      </right>
      <top style="thin">
        <color auto="1"/>
      </top>
      <bottom style="thin">
        <color auto="1"/>
      </bottom>
      <diagonal/>
    </border>
    <border>
      <left/>
      <right style="medium">
        <color auto="1"/>
      </right>
      <top/>
      <bottom style="medium">
        <color auto="1"/>
      </bottom>
      <diagonal/>
    </border>
    <border>
      <left style="thin">
        <color auto="1"/>
      </left>
      <right style="thin">
        <color auto="1"/>
      </right>
      <top/>
      <bottom/>
      <diagonal/>
    </border>
    <border>
      <left style="medium">
        <color auto="1"/>
      </left>
      <right/>
      <top style="medium">
        <color auto="1"/>
      </top>
      <bottom style="medium">
        <color auto="1"/>
      </bottom>
      <diagonal/>
    </border>
    <border>
      <left/>
      <right/>
      <top style="medium">
        <color auto="1"/>
      </top>
      <bottom style="medium">
        <color auto="1"/>
      </bottom>
      <diagonal/>
    </border>
    <border>
      <left style="medium">
        <color auto="1"/>
      </left>
      <right style="thin">
        <color auto="1"/>
      </right>
      <top style="medium">
        <color auto="1"/>
      </top>
      <bottom/>
      <diagonal/>
    </border>
    <border>
      <left style="thin">
        <color auto="1"/>
      </left>
      <right style="thin">
        <color auto="1"/>
      </right>
      <top style="medium">
        <color auto="1"/>
      </top>
      <bottom/>
      <diagonal/>
    </border>
    <border>
      <left style="medium">
        <color auto="1"/>
      </left>
      <right style="thin">
        <color auto="1"/>
      </right>
      <top/>
      <bottom style="thin">
        <color auto="1"/>
      </bottom>
      <diagonal/>
    </border>
    <border>
      <left style="medium">
        <color auto="1"/>
      </left>
      <right style="thin">
        <color auto="1"/>
      </right>
      <top style="thin">
        <color auto="1"/>
      </top>
      <bottom/>
      <diagonal/>
    </border>
    <border>
      <left style="medium">
        <color auto="1"/>
      </left>
      <right style="thin">
        <color auto="1"/>
      </right>
      <top/>
      <bottom/>
      <diagonal/>
    </border>
    <border>
      <left style="thin">
        <color auto="1"/>
      </left>
      <right/>
      <top style="medium">
        <color auto="1"/>
      </top>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49"/>
      </bottom>
      <diagonal/>
    </border>
    <border>
      <left/>
      <right/>
      <top/>
      <bottom style="thick">
        <color indexed="22"/>
      </bottom>
      <diagonal/>
    </border>
    <border>
      <left/>
      <right/>
      <top/>
      <bottom style="medium">
        <color indexed="49"/>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49"/>
      </top>
      <bottom style="double">
        <color indexed="49"/>
      </bottom>
      <diagonal/>
    </border>
  </borders>
  <cellStyleXfs count="326">
    <xf numFmtId="0" fontId="0" fillId="0" borderId="0"/>
    <xf numFmtId="0" fontId="25" fillId="6" borderId="0" applyNumberFormat="0" applyBorder="0" applyAlignment="0" applyProtection="0"/>
    <xf numFmtId="0" fontId="25" fillId="6" borderId="0" applyNumberFormat="0" applyBorder="0" applyAlignment="0" applyProtection="0"/>
    <xf numFmtId="0" fontId="25" fillId="7" borderId="0" applyNumberFormat="0" applyBorder="0" applyAlignment="0" applyProtection="0"/>
    <xf numFmtId="0" fontId="24" fillId="8" borderId="0" applyNumberFormat="0" applyBorder="0" applyAlignment="0" applyProtection="0">
      <alignment vertical="center"/>
    </xf>
    <xf numFmtId="0" fontId="25" fillId="7" borderId="0" applyNumberFormat="0" applyBorder="0" applyAlignment="0" applyProtection="0"/>
    <xf numFmtId="0" fontId="24" fillId="8" borderId="0" applyNumberFormat="0" applyBorder="0" applyAlignment="0" applyProtection="0">
      <alignment vertical="center"/>
    </xf>
    <xf numFmtId="0" fontId="24" fillId="9" borderId="0" applyNumberFormat="0" applyBorder="0" applyAlignment="0" applyProtection="0">
      <alignment vertical="center"/>
    </xf>
    <xf numFmtId="0" fontId="25" fillId="7" borderId="0" applyNumberFormat="0" applyBorder="0" applyAlignment="0" applyProtection="0"/>
    <xf numFmtId="0" fontId="24" fillId="8" borderId="0" applyNumberFormat="0" applyBorder="0" applyAlignment="0" applyProtection="0">
      <alignment vertical="center"/>
    </xf>
    <xf numFmtId="0" fontId="24" fillId="9" borderId="0" applyNumberFormat="0" applyBorder="0" applyAlignment="0" applyProtection="0">
      <alignment vertical="center"/>
    </xf>
    <xf numFmtId="0" fontId="24" fillId="8" borderId="0" applyNumberFormat="0" applyBorder="0" applyAlignment="0" applyProtection="0">
      <alignment vertical="center"/>
    </xf>
    <xf numFmtId="0" fontId="25" fillId="10" borderId="0" applyNumberFormat="0" applyBorder="0" applyAlignment="0" applyProtection="0"/>
    <xf numFmtId="0" fontId="25" fillId="10" borderId="0" applyNumberFormat="0" applyBorder="0" applyAlignment="0" applyProtection="0"/>
    <xf numFmtId="0" fontId="25" fillId="6" borderId="0" applyNumberFormat="0" applyBorder="0" applyAlignment="0" applyProtection="0"/>
    <xf numFmtId="0" fontId="24" fillId="11" borderId="0" applyNumberFormat="0" applyBorder="0" applyAlignment="0" applyProtection="0">
      <alignment vertical="center"/>
    </xf>
    <xf numFmtId="0" fontId="25" fillId="6" borderId="0" applyNumberFormat="0" applyBorder="0" applyAlignment="0" applyProtection="0"/>
    <xf numFmtId="0" fontId="24" fillId="11" borderId="0" applyNumberFormat="0" applyBorder="0" applyAlignment="0" applyProtection="0">
      <alignment vertical="center"/>
    </xf>
    <xf numFmtId="0" fontId="24" fillId="12" borderId="0" applyNumberFormat="0" applyBorder="0" applyAlignment="0" applyProtection="0">
      <alignment vertical="center"/>
    </xf>
    <xf numFmtId="0" fontId="25" fillId="6" borderId="0" applyNumberFormat="0" applyBorder="0" applyAlignment="0" applyProtection="0"/>
    <xf numFmtId="0" fontId="24" fillId="11" borderId="0" applyNumberFormat="0" applyBorder="0" applyAlignment="0" applyProtection="0">
      <alignment vertical="center"/>
    </xf>
    <xf numFmtId="0" fontId="24" fillId="12" borderId="0" applyNumberFormat="0" applyBorder="0" applyAlignment="0" applyProtection="0">
      <alignment vertical="center"/>
    </xf>
    <xf numFmtId="0" fontId="24" fillId="11" borderId="0" applyNumberFormat="0" applyBorder="0" applyAlignment="0" applyProtection="0">
      <alignment vertical="center"/>
    </xf>
    <xf numFmtId="0" fontId="25" fillId="13" borderId="0" applyNumberFormat="0" applyBorder="0" applyAlignment="0" applyProtection="0"/>
    <xf numFmtId="0" fontId="25" fillId="13" borderId="0" applyNumberFormat="0" applyBorder="0" applyAlignment="0" applyProtection="0"/>
    <xf numFmtId="0" fontId="25" fillId="7" borderId="0" applyNumberFormat="0" applyBorder="0" applyAlignment="0" applyProtection="0"/>
    <xf numFmtId="0" fontId="25" fillId="7" borderId="0" applyNumberFormat="0" applyBorder="0" applyAlignment="0" applyProtection="0"/>
    <xf numFmtId="0" fontId="25" fillId="14" borderId="0" applyNumberFormat="0" applyBorder="0" applyAlignment="0" applyProtection="0"/>
    <xf numFmtId="0" fontId="25" fillId="14" borderId="0" applyNumberFormat="0" applyBorder="0" applyAlignment="0" applyProtection="0"/>
    <xf numFmtId="0" fontId="25" fillId="15" borderId="0" applyNumberFormat="0" applyBorder="0" applyAlignment="0" applyProtection="0"/>
    <xf numFmtId="0" fontId="25" fillId="15" borderId="0" applyNumberFormat="0" applyBorder="0" applyAlignment="0" applyProtection="0"/>
    <xf numFmtId="0" fontId="25" fillId="16" borderId="0" applyNumberFormat="0" applyBorder="0" applyAlignment="0" applyProtection="0"/>
    <xf numFmtId="0" fontId="25" fillId="16" borderId="0" applyNumberFormat="0" applyBorder="0" applyAlignment="0" applyProtection="0"/>
    <xf numFmtId="0" fontId="25" fillId="14" borderId="0" applyNumberFormat="0" applyBorder="0" applyAlignment="0" applyProtection="0"/>
    <xf numFmtId="0" fontId="25" fillId="14" borderId="0" applyNumberFormat="0" applyBorder="0" applyAlignment="0" applyProtection="0"/>
    <xf numFmtId="0" fontId="25" fillId="17" borderId="0" applyNumberFormat="0" applyBorder="0" applyAlignment="0" applyProtection="0"/>
    <xf numFmtId="0" fontId="25" fillId="17" borderId="0" applyNumberFormat="0" applyBorder="0" applyAlignment="0" applyProtection="0"/>
    <xf numFmtId="0" fontId="25" fillId="7" borderId="0" applyNumberFormat="0" applyBorder="0" applyAlignment="0" applyProtection="0"/>
    <xf numFmtId="0" fontId="24" fillId="5" borderId="0" applyNumberFormat="0" applyBorder="0" applyAlignment="0" applyProtection="0">
      <alignment vertical="center"/>
    </xf>
    <xf numFmtId="0" fontId="25" fillId="7" borderId="0" applyNumberFormat="0" applyBorder="0" applyAlignment="0" applyProtection="0"/>
    <xf numFmtId="0" fontId="24" fillId="5" borderId="0" applyNumberFormat="0" applyBorder="0" applyAlignment="0" applyProtection="0">
      <alignment vertical="center"/>
    </xf>
    <xf numFmtId="0" fontId="25" fillId="7" borderId="0" applyNumberFormat="0" applyBorder="0" applyAlignment="0" applyProtection="0"/>
    <xf numFmtId="0" fontId="24" fillId="5" borderId="0" applyNumberFormat="0" applyBorder="0" applyAlignment="0" applyProtection="0">
      <alignment vertical="center"/>
    </xf>
    <xf numFmtId="0" fontId="24" fillId="5" borderId="0" applyNumberFormat="0" applyBorder="0" applyAlignment="0" applyProtection="0">
      <alignment vertical="center"/>
    </xf>
    <xf numFmtId="0" fontId="24" fillId="5" borderId="0" applyNumberFormat="0" applyBorder="0" applyAlignment="0" applyProtection="0">
      <alignment vertical="center"/>
    </xf>
    <xf numFmtId="0" fontId="26" fillId="18" borderId="0" applyNumberFormat="0" applyBorder="0" applyAlignment="0" applyProtection="0"/>
    <xf numFmtId="0" fontId="26" fillId="18" borderId="0" applyNumberFormat="0" applyBorder="0" applyAlignment="0" applyProtection="0"/>
    <xf numFmtId="0" fontId="26" fillId="15" borderId="0" applyNumberFormat="0" applyBorder="0" applyAlignment="0" applyProtection="0"/>
    <xf numFmtId="0" fontId="26" fillId="15" borderId="0" applyNumberFormat="0" applyBorder="0" applyAlignment="0" applyProtection="0"/>
    <xf numFmtId="0" fontId="26" fillId="16" borderId="0" applyNumberFormat="0" applyBorder="0" applyAlignment="0" applyProtection="0"/>
    <xf numFmtId="0" fontId="26" fillId="16" borderId="0" applyNumberFormat="0" applyBorder="0" applyAlignment="0" applyProtection="0"/>
    <xf numFmtId="0" fontId="26" fillId="14" borderId="0" applyNumberFormat="0" applyBorder="0" applyAlignment="0" applyProtection="0"/>
    <xf numFmtId="0" fontId="26" fillId="14" borderId="0" applyNumberFormat="0" applyBorder="0" applyAlignment="0" applyProtection="0"/>
    <xf numFmtId="0" fontId="26" fillId="18" borderId="0" applyNumberFormat="0" applyBorder="0" applyAlignment="0" applyProtection="0"/>
    <xf numFmtId="0" fontId="26" fillId="18" borderId="0" applyNumberFormat="0" applyBorder="0" applyAlignment="0" applyProtection="0"/>
    <xf numFmtId="0" fontId="26" fillId="7" borderId="0" applyNumberFormat="0" applyBorder="0" applyAlignment="0" applyProtection="0"/>
    <xf numFmtId="0" fontId="26" fillId="7" borderId="0" applyNumberFormat="0" applyBorder="0" applyAlignment="0" applyProtection="0"/>
    <xf numFmtId="0" fontId="26" fillId="18" borderId="0" applyNumberFormat="0" applyBorder="0" applyAlignment="0" applyProtection="0"/>
    <xf numFmtId="0" fontId="26" fillId="18" borderId="0" applyNumberFormat="0" applyBorder="0" applyAlignment="0" applyProtection="0"/>
    <xf numFmtId="0" fontId="26" fillId="19" borderId="0" applyNumberFormat="0" applyBorder="0" applyAlignment="0" applyProtection="0"/>
    <xf numFmtId="0" fontId="26" fillId="19" borderId="0" applyNumberFormat="0" applyBorder="0" applyAlignment="0" applyProtection="0"/>
    <xf numFmtId="0" fontId="26" fillId="19" borderId="0" applyNumberFormat="0" applyBorder="0" applyAlignment="0" applyProtection="0"/>
    <xf numFmtId="0" fontId="26" fillId="19" borderId="0" applyNumberFormat="0" applyBorder="0" applyAlignment="0" applyProtection="0"/>
    <xf numFmtId="0" fontId="26" fillId="20" borderId="0" applyNumberFormat="0" applyBorder="0" applyAlignment="0" applyProtection="0"/>
    <xf numFmtId="0" fontId="26" fillId="20" borderId="0" applyNumberFormat="0" applyBorder="0" applyAlignment="0" applyProtection="0"/>
    <xf numFmtId="0" fontId="26" fillId="18" borderId="0" applyNumberFormat="0" applyBorder="0" applyAlignment="0" applyProtection="0"/>
    <xf numFmtId="0" fontId="26" fillId="18" borderId="0" applyNumberFormat="0" applyBorder="0" applyAlignment="0" applyProtection="0"/>
    <xf numFmtId="0" fontId="26" fillId="21" borderId="0" applyNumberFormat="0" applyBorder="0" applyAlignment="0" applyProtection="0"/>
    <xf numFmtId="0" fontId="26" fillId="21" borderId="0" applyNumberFormat="0" applyBorder="0" applyAlignment="0" applyProtection="0"/>
    <xf numFmtId="0" fontId="27" fillId="22" borderId="0" applyNumberFormat="0" applyBorder="0" applyAlignment="0" applyProtection="0"/>
    <xf numFmtId="0" fontId="27" fillId="22" borderId="0" applyNumberFormat="0" applyBorder="0" applyAlignment="0" applyProtection="0"/>
    <xf numFmtId="0" fontId="28" fillId="6" borderId="36" applyNumberFormat="0" applyAlignment="0" applyProtection="0"/>
    <xf numFmtId="0" fontId="28" fillId="6" borderId="36" applyNumberFormat="0" applyAlignment="0" applyProtection="0"/>
    <xf numFmtId="0" fontId="29" fillId="23" borderId="37" applyNumberFormat="0" applyAlignment="0" applyProtection="0"/>
    <xf numFmtId="0" fontId="29" fillId="23" borderId="37" applyNumberFormat="0" applyAlignment="0" applyProtection="0"/>
    <xf numFmtId="0" fontId="30" fillId="0" borderId="0" applyNumberFormat="0" applyFill="0" applyBorder="0" applyAlignment="0" applyProtection="0"/>
    <xf numFmtId="0" fontId="31" fillId="24" borderId="0" applyNumberFormat="0" applyBorder="0" applyAlignment="0" applyProtection="0"/>
    <xf numFmtId="0" fontId="31" fillId="24" borderId="0" applyNumberFormat="0" applyBorder="0" applyAlignment="0" applyProtection="0"/>
    <xf numFmtId="0" fontId="32" fillId="0" borderId="38" applyNumberFormat="0" applyFill="0" applyAlignment="0" applyProtection="0"/>
    <xf numFmtId="0" fontId="33" fillId="0" borderId="39" applyNumberFormat="0" applyFill="0" applyAlignment="0" applyProtection="0"/>
    <xf numFmtId="0" fontId="34" fillId="0" borderId="40" applyNumberFormat="0" applyFill="0" applyAlignment="0" applyProtection="0"/>
    <xf numFmtId="0" fontId="34" fillId="0" borderId="0" applyNumberFormat="0" applyFill="0" applyBorder="0" applyAlignment="0" applyProtection="0"/>
    <xf numFmtId="0" fontId="35" fillId="7" borderId="36" applyNumberFormat="0" applyAlignment="0" applyProtection="0"/>
    <xf numFmtId="0" fontId="35" fillId="7" borderId="36" applyNumberFormat="0" applyAlignment="0" applyProtection="0"/>
    <xf numFmtId="0" fontId="36" fillId="0" borderId="41" applyNumberFormat="0" applyFill="0" applyAlignment="0" applyProtection="0"/>
    <xf numFmtId="0" fontId="37" fillId="16" borderId="0" applyNumberFormat="0" applyBorder="0" applyAlignment="0" applyProtection="0"/>
    <xf numFmtId="0" fontId="37" fillId="16" borderId="0" applyNumberFormat="0" applyBorder="0" applyAlignment="0" applyProtection="0"/>
    <xf numFmtId="0" fontId="38" fillId="0" borderId="0"/>
    <xf numFmtId="0" fontId="39" fillId="0" borderId="0">
      <alignment vertical="top"/>
    </xf>
    <xf numFmtId="0" fontId="24" fillId="0" borderId="0">
      <alignment vertical="center"/>
    </xf>
    <xf numFmtId="0" fontId="24" fillId="0" borderId="0">
      <alignment vertical="center"/>
    </xf>
    <xf numFmtId="0" fontId="21" fillId="0" borderId="0">
      <alignment vertical="center"/>
    </xf>
    <xf numFmtId="0" fontId="21" fillId="0" borderId="0">
      <alignment vertical="center"/>
    </xf>
    <xf numFmtId="0" fontId="24" fillId="0" borderId="0">
      <alignment vertical="center"/>
    </xf>
    <xf numFmtId="0" fontId="39" fillId="0" borderId="0"/>
    <xf numFmtId="0" fontId="21" fillId="10" borderId="42" applyNumberFormat="0" applyFont="0" applyAlignment="0" applyProtection="0"/>
    <xf numFmtId="0" fontId="24" fillId="4" borderId="35" applyNumberFormat="0" applyFont="0" applyAlignment="0" applyProtection="0"/>
    <xf numFmtId="0" fontId="24" fillId="4" borderId="35" applyNumberFormat="0" applyFont="0" applyAlignment="0" applyProtection="0"/>
    <xf numFmtId="0" fontId="40" fillId="4" borderId="35" applyNumberFormat="0" applyFont="0" applyAlignment="0" applyProtection="0"/>
    <xf numFmtId="0" fontId="40" fillId="4" borderId="35" applyNumberFormat="0" applyFont="0" applyAlignment="0" applyProtection="0"/>
    <xf numFmtId="0" fontId="40" fillId="4" borderId="35" applyNumberFormat="0" applyFont="0" applyAlignment="0" applyProtection="0"/>
    <xf numFmtId="0" fontId="24" fillId="4" borderId="35" applyNumberFormat="0" applyFont="0" applyAlignment="0" applyProtection="0"/>
    <xf numFmtId="0" fontId="40" fillId="4" borderId="35" applyNumberFormat="0" applyFont="0" applyAlignment="0" applyProtection="0"/>
    <xf numFmtId="0" fontId="40" fillId="4" borderId="35" applyNumberFormat="0" applyFont="0" applyAlignment="0" applyProtection="0"/>
    <xf numFmtId="0" fontId="40" fillId="4" borderId="35" applyNumberFormat="0" applyFont="0" applyAlignment="0" applyProtection="0"/>
    <xf numFmtId="0" fontId="40" fillId="4" borderId="35" applyNumberFormat="0" applyFont="0" applyAlignment="0" applyProtection="0"/>
    <xf numFmtId="0" fontId="40" fillId="4" borderId="35" applyNumberFormat="0" applyFont="0" applyAlignment="0" applyProtection="0"/>
    <xf numFmtId="0" fontId="24" fillId="4" borderId="35" applyNumberFormat="0" applyFont="0" applyAlignment="0" applyProtection="0"/>
    <xf numFmtId="0" fontId="24" fillId="4" borderId="35" applyNumberFormat="0" applyFont="0" applyAlignment="0" applyProtection="0"/>
    <xf numFmtId="0" fontId="40" fillId="4" borderId="35" applyNumberFormat="0" applyFont="0" applyAlignment="0" applyProtection="0"/>
    <xf numFmtId="0" fontId="40" fillId="4" borderId="35" applyNumberFormat="0" applyFont="0" applyAlignment="0" applyProtection="0"/>
    <xf numFmtId="0" fontId="40" fillId="4" borderId="35" applyNumberFormat="0" applyFont="0" applyAlignment="0" applyProtection="0"/>
    <xf numFmtId="0" fontId="40" fillId="4" borderId="35" applyNumberFormat="0" applyFont="0" applyAlignment="0" applyProtection="0"/>
    <xf numFmtId="0" fontId="24" fillId="4" borderId="35" applyNumberFormat="0" applyFont="0" applyAlignment="0" applyProtection="0"/>
    <xf numFmtId="0" fontId="24" fillId="4" borderId="35" applyNumberFormat="0" applyFont="0" applyAlignment="0" applyProtection="0"/>
    <xf numFmtId="0" fontId="40" fillId="4" borderId="35" applyNumberFormat="0" applyFont="0" applyAlignment="0" applyProtection="0"/>
    <xf numFmtId="0" fontId="40" fillId="4" borderId="35" applyNumberFormat="0" applyFont="0" applyAlignment="0" applyProtection="0"/>
    <xf numFmtId="0" fontId="40" fillId="4" borderId="35" applyNumberFormat="0" applyFont="0" applyAlignment="0" applyProtection="0"/>
    <xf numFmtId="0" fontId="21" fillId="10" borderId="42" applyNumberFormat="0" applyFont="0" applyAlignment="0" applyProtection="0"/>
    <xf numFmtId="0" fontId="21" fillId="10" borderId="42" applyNumberFormat="0" applyFont="0" applyAlignment="0" applyProtection="0"/>
    <xf numFmtId="0" fontId="21" fillId="10" borderId="42" applyNumberFormat="0" applyFont="0" applyAlignment="0" applyProtection="0"/>
    <xf numFmtId="0" fontId="21" fillId="10" borderId="42" applyNumberFormat="0" applyFont="0" applyAlignment="0" applyProtection="0"/>
    <xf numFmtId="0" fontId="21" fillId="10" borderId="42" applyNumberFormat="0" applyFont="0" applyAlignment="0" applyProtection="0"/>
    <xf numFmtId="0" fontId="21" fillId="10" borderId="42" applyNumberFormat="0" applyFont="0" applyAlignment="0" applyProtection="0"/>
    <xf numFmtId="0" fontId="21" fillId="10" borderId="42" applyNumberFormat="0" applyFont="0" applyAlignment="0" applyProtection="0"/>
    <xf numFmtId="0" fontId="21" fillId="10" borderId="42" applyNumberFormat="0" applyFont="0" applyAlignment="0" applyProtection="0"/>
    <xf numFmtId="0" fontId="21" fillId="10" borderId="42" applyNumberFormat="0" applyFont="0" applyAlignment="0" applyProtection="0"/>
    <xf numFmtId="0" fontId="41" fillId="6" borderId="43" applyNumberFormat="0" applyAlignment="0" applyProtection="0"/>
    <xf numFmtId="0" fontId="41" fillId="6" borderId="43" applyNumberFormat="0" applyAlignment="0" applyProtection="0"/>
    <xf numFmtId="0" fontId="42" fillId="0" borderId="0">
      <alignment vertical="top"/>
    </xf>
    <xf numFmtId="0" fontId="42" fillId="0" borderId="0">
      <alignment vertical="top"/>
    </xf>
    <xf numFmtId="0" fontId="42" fillId="0" borderId="0">
      <alignment vertical="top"/>
    </xf>
    <xf numFmtId="0" fontId="43" fillId="0" borderId="0" applyNumberFormat="0" applyFill="0" applyBorder="0" applyAlignment="0" applyProtection="0"/>
    <xf numFmtId="0" fontId="44" fillId="0" borderId="44" applyNumberFormat="0" applyFill="0" applyAlignment="0" applyProtection="0"/>
    <xf numFmtId="0" fontId="44" fillId="0" borderId="44" applyNumberFormat="0" applyFill="0" applyAlignment="0" applyProtection="0"/>
    <xf numFmtId="0" fontId="45" fillId="0" borderId="0" applyNumberFormat="0" applyFill="0" applyBorder="0" applyAlignment="0" applyProtection="0"/>
    <xf numFmtId="9" fontId="21" fillId="0" borderId="0" applyFont="0" applyFill="0" applyBorder="0" applyAlignment="0" applyProtection="0">
      <alignment vertical="center"/>
    </xf>
    <xf numFmtId="0" fontId="46" fillId="0" borderId="0"/>
    <xf numFmtId="0" fontId="24" fillId="0" borderId="0">
      <alignment vertical="center"/>
    </xf>
    <xf numFmtId="0" fontId="46" fillId="0" borderId="0"/>
    <xf numFmtId="0" fontId="24" fillId="0" borderId="0"/>
    <xf numFmtId="0" fontId="24" fillId="0" borderId="0"/>
    <xf numFmtId="0" fontId="46" fillId="0" borderId="0"/>
    <xf numFmtId="0" fontId="24" fillId="0" borderId="0"/>
    <xf numFmtId="0" fontId="24" fillId="0" borderId="0">
      <alignment vertical="center"/>
    </xf>
    <xf numFmtId="0" fontId="46" fillId="0" borderId="0"/>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1" fillId="0" borderId="0">
      <alignment vertical="center"/>
    </xf>
    <xf numFmtId="0" fontId="24" fillId="0" borderId="0"/>
    <xf numFmtId="0" fontId="24" fillId="0" borderId="0"/>
    <xf numFmtId="0" fontId="46" fillId="0" borderId="0"/>
    <xf numFmtId="0" fontId="46" fillId="0" borderId="0"/>
    <xf numFmtId="0" fontId="46" fillId="0" borderId="0"/>
    <xf numFmtId="0" fontId="46" fillId="0" borderId="0"/>
    <xf numFmtId="0" fontId="24" fillId="0" borderId="0">
      <alignment vertical="center"/>
    </xf>
    <xf numFmtId="0" fontId="24" fillId="0" borderId="0">
      <alignment vertical="center"/>
    </xf>
    <xf numFmtId="0" fontId="46" fillId="0" borderId="0"/>
    <xf numFmtId="0" fontId="21" fillId="0" borderId="0">
      <alignment vertical="top"/>
    </xf>
    <xf numFmtId="0" fontId="46" fillId="0" borderId="0"/>
    <xf numFmtId="0" fontId="46" fillId="0" borderId="0"/>
    <xf numFmtId="0" fontId="21" fillId="0" borderId="0">
      <alignment vertical="top"/>
    </xf>
    <xf numFmtId="0" fontId="21" fillId="0" borderId="0">
      <alignment vertical="top"/>
    </xf>
    <xf numFmtId="0" fontId="21" fillId="0" borderId="0">
      <alignment vertical="top"/>
    </xf>
    <xf numFmtId="0" fontId="21" fillId="0" borderId="0">
      <alignment vertical="top"/>
    </xf>
    <xf numFmtId="0" fontId="21" fillId="0" borderId="0">
      <alignment vertical="top"/>
    </xf>
    <xf numFmtId="0" fontId="21" fillId="0" borderId="0">
      <alignment vertical="top"/>
    </xf>
    <xf numFmtId="0" fontId="21" fillId="0" borderId="0">
      <alignment vertical="top"/>
    </xf>
    <xf numFmtId="0" fontId="21" fillId="0" borderId="0"/>
    <xf numFmtId="0" fontId="21" fillId="0" borderId="0"/>
    <xf numFmtId="0" fontId="21" fillId="0" borderId="0"/>
    <xf numFmtId="0" fontId="21" fillId="0" borderId="0"/>
    <xf numFmtId="0" fontId="21" fillId="0" borderId="0">
      <alignment vertical="top"/>
    </xf>
    <xf numFmtId="0" fontId="21" fillId="0" borderId="0">
      <alignment vertical="top"/>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1" fillId="0" borderId="0">
      <alignment vertical="top"/>
    </xf>
    <xf numFmtId="0" fontId="24" fillId="0" borderId="0">
      <alignment vertical="center"/>
    </xf>
    <xf numFmtId="0" fontId="21" fillId="0" borderId="0">
      <alignment vertical="top"/>
    </xf>
    <xf numFmtId="0" fontId="21" fillId="0" borderId="0">
      <alignment vertical="top"/>
    </xf>
    <xf numFmtId="0" fontId="21" fillId="0" borderId="0">
      <alignment vertical="top"/>
    </xf>
    <xf numFmtId="0" fontId="21" fillId="0" borderId="0">
      <alignment vertical="top"/>
    </xf>
    <xf numFmtId="0" fontId="21" fillId="0" borderId="0">
      <alignment vertical="top"/>
    </xf>
    <xf numFmtId="0" fontId="21" fillId="0" borderId="0">
      <alignment vertical="top"/>
    </xf>
    <xf numFmtId="0" fontId="21" fillId="0" borderId="0">
      <alignment vertical="top"/>
    </xf>
    <xf numFmtId="0" fontId="21" fillId="0" borderId="0">
      <alignment vertical="top"/>
    </xf>
    <xf numFmtId="0" fontId="21" fillId="0" borderId="0">
      <alignment vertical="top"/>
    </xf>
    <xf numFmtId="0" fontId="21" fillId="0" borderId="0">
      <alignment vertical="top"/>
    </xf>
    <xf numFmtId="0" fontId="24" fillId="0" borderId="0">
      <alignment vertical="center"/>
    </xf>
    <xf numFmtId="0" fontId="46" fillId="0" borderId="0"/>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46" fillId="0" borderId="0"/>
    <xf numFmtId="0" fontId="46" fillId="0" borderId="0"/>
    <xf numFmtId="0" fontId="46" fillId="0" borderId="0"/>
    <xf numFmtId="0" fontId="46" fillId="0" borderId="0"/>
    <xf numFmtId="0" fontId="46" fillId="0" borderId="0"/>
    <xf numFmtId="0" fontId="24" fillId="0" borderId="0"/>
    <xf numFmtId="0" fontId="21" fillId="0" borderId="0">
      <alignment vertical="top"/>
    </xf>
    <xf numFmtId="0" fontId="21" fillId="0" borderId="0">
      <alignment vertical="top"/>
    </xf>
    <xf numFmtId="0" fontId="21" fillId="0" borderId="0">
      <alignment vertical="top"/>
    </xf>
    <xf numFmtId="0" fontId="21" fillId="0" borderId="0">
      <alignment vertical="top"/>
    </xf>
    <xf numFmtId="0" fontId="21" fillId="0" borderId="0">
      <alignment vertical="top"/>
    </xf>
    <xf numFmtId="0" fontId="21" fillId="0" borderId="0">
      <alignment vertical="top"/>
    </xf>
    <xf numFmtId="0" fontId="21" fillId="0" borderId="0">
      <alignment vertical="top"/>
    </xf>
    <xf numFmtId="0" fontId="47" fillId="0" borderId="0">
      <alignment vertical="top"/>
    </xf>
    <xf numFmtId="0" fontId="21" fillId="0" borderId="0">
      <alignment vertical="top"/>
    </xf>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46" fillId="0" borderId="0"/>
    <xf numFmtId="0" fontId="24" fillId="0" borderId="0"/>
    <xf numFmtId="0" fontId="46" fillId="0" borderId="0"/>
    <xf numFmtId="0" fontId="46" fillId="0" borderId="0"/>
    <xf numFmtId="0" fontId="24" fillId="0" borderId="0">
      <alignment vertical="center"/>
    </xf>
    <xf numFmtId="0" fontId="24" fillId="0" borderId="0">
      <alignment vertical="center"/>
    </xf>
    <xf numFmtId="0" fontId="24" fillId="0" borderId="0">
      <alignment vertical="center"/>
    </xf>
    <xf numFmtId="0" fontId="46" fillId="0" borderId="0"/>
    <xf numFmtId="0" fontId="24" fillId="0" borderId="0">
      <alignment vertical="center"/>
    </xf>
    <xf numFmtId="0" fontId="46" fillId="0" borderId="0"/>
    <xf numFmtId="0" fontId="24" fillId="0" borderId="0"/>
    <xf numFmtId="0" fontId="24" fillId="0" borderId="0"/>
    <xf numFmtId="0" fontId="24" fillId="0" borderId="0"/>
    <xf numFmtId="0" fontId="24" fillId="0" borderId="0"/>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xf numFmtId="0" fontId="24" fillId="0" borderId="0">
      <alignment vertical="center"/>
    </xf>
    <xf numFmtId="0" fontId="24" fillId="0" borderId="0">
      <alignment vertical="center"/>
    </xf>
    <xf numFmtId="0" fontId="24"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42" fillId="0" borderId="0">
      <alignment vertical="top"/>
    </xf>
    <xf numFmtId="0" fontId="39" fillId="0" borderId="0">
      <alignment vertical="top"/>
    </xf>
    <xf numFmtId="0" fontId="42" fillId="0" borderId="0">
      <alignment vertical="top"/>
    </xf>
    <xf numFmtId="43" fontId="24" fillId="0" borderId="0" applyFont="0" applyFill="0" applyBorder="0" applyAlignment="0" applyProtection="0">
      <alignment vertical="center"/>
    </xf>
    <xf numFmtId="43" fontId="24" fillId="0" borderId="0" applyFont="0" applyFill="0" applyBorder="0" applyAlignment="0" applyProtection="0">
      <alignment vertical="center"/>
    </xf>
    <xf numFmtId="43" fontId="24" fillId="0" borderId="0" applyFont="0" applyFill="0" applyBorder="0" applyAlignment="0" applyProtection="0">
      <alignment vertical="center"/>
    </xf>
    <xf numFmtId="43" fontId="24" fillId="0" borderId="0" applyFont="0" applyFill="0" applyBorder="0" applyAlignment="0" applyProtection="0">
      <alignment vertical="center"/>
    </xf>
    <xf numFmtId="43" fontId="24" fillId="0" borderId="0" applyFont="0" applyFill="0" applyBorder="0" applyAlignment="0" applyProtection="0">
      <alignment vertical="center"/>
    </xf>
    <xf numFmtId="43" fontId="24" fillId="0" borderId="0" applyFont="0" applyFill="0" applyBorder="0" applyAlignment="0" applyProtection="0">
      <alignment vertical="center"/>
    </xf>
    <xf numFmtId="43" fontId="24" fillId="0" borderId="0" applyFont="0" applyFill="0" applyBorder="0" applyAlignment="0" applyProtection="0">
      <alignment vertical="center"/>
    </xf>
    <xf numFmtId="43" fontId="24" fillId="0" borderId="0" applyFont="0" applyFill="0" applyBorder="0" applyAlignment="0" applyProtection="0">
      <alignment vertical="center"/>
    </xf>
  </cellStyleXfs>
  <cellXfs count="479">
    <xf numFmtId="0" fontId="0" fillId="0" borderId="0" xfId="0"/>
    <xf numFmtId="0" fontId="1" fillId="2" borderId="0" xfId="0" applyFont="1" applyFill="1" applyAlignment="1">
      <alignment vertical="center"/>
    </xf>
    <xf numFmtId="0" fontId="1" fillId="2" borderId="0" xfId="0" applyFont="1" applyFill="1" applyAlignment="1"/>
    <xf numFmtId="0" fontId="2" fillId="2" borderId="0" xfId="0" applyFont="1" applyFill="1" applyAlignment="1"/>
    <xf numFmtId="0" fontId="1" fillId="2" borderId="1" xfId="0" applyFont="1" applyFill="1" applyBorder="1" applyAlignment="1"/>
    <xf numFmtId="0" fontId="2" fillId="2" borderId="2" xfId="0" applyFont="1" applyFill="1" applyBorder="1" applyAlignment="1"/>
    <xf numFmtId="0" fontId="1" fillId="2" borderId="3" xfId="0" applyFont="1" applyFill="1" applyBorder="1" applyAlignment="1"/>
    <xf numFmtId="0" fontId="3" fillId="2" borderId="0" xfId="0" applyFont="1" applyFill="1" applyBorder="1" applyAlignment="1"/>
    <xf numFmtId="0" fontId="2" fillId="2" borderId="0" xfId="0" applyFont="1" applyFill="1" applyBorder="1" applyAlignment="1"/>
    <xf numFmtId="0" fontId="2" fillId="2" borderId="4" xfId="0" applyFont="1" applyFill="1" applyBorder="1" applyAlignment="1">
      <alignment horizontal="center" vertical="center" wrapText="1"/>
    </xf>
    <xf numFmtId="49" fontId="4" fillId="2" borderId="4" xfId="0" applyNumberFormat="1" applyFont="1" applyFill="1" applyBorder="1" applyAlignment="1">
      <alignment horizontal="center" vertical="center" wrapText="1"/>
    </xf>
    <xf numFmtId="49" fontId="1" fillId="2" borderId="4" xfId="0" applyNumberFormat="1" applyFont="1" applyFill="1" applyBorder="1" applyAlignment="1">
      <alignment horizontal="center" vertical="center" wrapText="1"/>
    </xf>
    <xf numFmtId="178" fontId="2" fillId="2" borderId="4" xfId="0" applyNumberFormat="1" applyFont="1" applyFill="1" applyBorder="1" applyAlignment="1">
      <alignment horizontal="center" vertical="center" wrapText="1"/>
    </xf>
    <xf numFmtId="0" fontId="5" fillId="2" borderId="4" xfId="0" applyFont="1" applyFill="1" applyBorder="1" applyAlignment="1">
      <alignment horizontal="center" vertical="center" wrapText="1"/>
    </xf>
    <xf numFmtId="179" fontId="2" fillId="2" borderId="4" xfId="0" applyNumberFormat="1" applyFont="1" applyFill="1" applyBorder="1" applyAlignment="1">
      <alignment horizontal="center" vertical="center" wrapText="1"/>
    </xf>
    <xf numFmtId="0" fontId="2" fillId="2" borderId="0" xfId="0" applyFont="1" applyFill="1" applyBorder="1" applyAlignment="1">
      <alignment horizontal="center" vertical="center" wrapText="1"/>
    </xf>
    <xf numFmtId="0" fontId="2" fillId="2" borderId="0" xfId="0" applyFont="1" applyFill="1" applyBorder="1" applyAlignment="1">
      <alignment horizontal="center" wrapText="1"/>
    </xf>
    <xf numFmtId="0" fontId="2" fillId="2" borderId="0" xfId="0" applyFont="1" applyFill="1" applyBorder="1" applyAlignment="1">
      <alignment horizontal="center"/>
    </xf>
    <xf numFmtId="0" fontId="6" fillId="2" borderId="5" xfId="0" applyFont="1" applyFill="1" applyBorder="1" applyAlignment="1"/>
    <xf numFmtId="0" fontId="2" fillId="2" borderId="6" xfId="0" applyFont="1" applyFill="1" applyBorder="1" applyAlignment="1"/>
    <xf numFmtId="0" fontId="5" fillId="2" borderId="9" xfId="0" applyFont="1" applyFill="1" applyBorder="1" applyAlignment="1"/>
    <xf numFmtId="0" fontId="6" fillId="2" borderId="9" xfId="0" applyFont="1" applyFill="1" applyBorder="1" applyAlignment="1"/>
    <xf numFmtId="0" fontId="2" fillId="2" borderId="7" xfId="0" applyFont="1" applyFill="1" applyBorder="1" applyAlignment="1"/>
    <xf numFmtId="0" fontId="2" fillId="2" borderId="8" xfId="0" applyFont="1" applyFill="1" applyBorder="1" applyAlignment="1"/>
    <xf numFmtId="0" fontId="3" fillId="2" borderId="5" xfId="0" applyFont="1" applyFill="1" applyBorder="1" applyAlignment="1">
      <alignment horizontal="center" vertical="center" wrapText="1"/>
    </xf>
    <xf numFmtId="0" fontId="3" fillId="2" borderId="4"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5" fillId="2" borderId="11" xfId="0" applyFont="1" applyFill="1" applyBorder="1" applyAlignment="1">
      <alignment horizontal="center" vertical="center" wrapText="1"/>
    </xf>
    <xf numFmtId="49" fontId="2" fillId="2" borderId="11" xfId="0" applyNumberFormat="1" applyFont="1" applyFill="1" applyBorder="1" applyAlignment="1">
      <alignment horizontal="center" vertical="center" wrapText="1"/>
    </xf>
    <xf numFmtId="0" fontId="2" fillId="2" borderId="11" xfId="0" applyFont="1" applyFill="1" applyBorder="1" applyAlignment="1">
      <alignment horizontal="center" vertical="center" wrapText="1"/>
    </xf>
    <xf numFmtId="0" fontId="5" fillId="2" borderId="0" xfId="0" applyFont="1" applyFill="1" applyBorder="1" applyAlignment="1">
      <alignment horizontal="left" vertical="center" wrapText="1"/>
    </xf>
    <xf numFmtId="0" fontId="6" fillId="2" borderId="12" xfId="0" applyFont="1" applyFill="1" applyBorder="1" applyAlignment="1"/>
    <xf numFmtId="0" fontId="2" fillId="2" borderId="13" xfId="0" applyFont="1" applyFill="1" applyBorder="1" applyAlignment="1"/>
    <xf numFmtId="0" fontId="2" fillId="2" borderId="0" xfId="0" applyFont="1" applyFill="1" applyBorder="1" applyAlignment="1">
      <alignment horizontal="left" vertical="top" wrapText="1"/>
    </xf>
    <xf numFmtId="0" fontId="1" fillId="2" borderId="14" xfId="0" applyFont="1" applyFill="1" applyBorder="1" applyAlignment="1"/>
    <xf numFmtId="0" fontId="2" fillId="2" borderId="15" xfId="0" applyFont="1" applyFill="1" applyBorder="1" applyAlignment="1"/>
    <xf numFmtId="0" fontId="2" fillId="2" borderId="16" xfId="0" applyFont="1" applyFill="1" applyBorder="1" applyAlignment="1"/>
    <xf numFmtId="0" fontId="2" fillId="2" borderId="17" xfId="0" applyFont="1" applyFill="1" applyBorder="1" applyAlignment="1"/>
    <xf numFmtId="0" fontId="1" fillId="2" borderId="0" xfId="0" applyFont="1" applyFill="1" applyBorder="1" applyAlignment="1"/>
    <xf numFmtId="0" fontId="1" fillId="2" borderId="17" xfId="0" applyFont="1" applyFill="1" applyBorder="1" applyAlignment="1"/>
    <xf numFmtId="0" fontId="3" fillId="2" borderId="17" xfId="0" applyFont="1" applyFill="1" applyBorder="1" applyAlignment="1">
      <alignment vertical="top"/>
    </xf>
    <xf numFmtId="0" fontId="2" fillId="2" borderId="18" xfId="0" applyFont="1" applyFill="1" applyBorder="1" applyAlignment="1"/>
    <xf numFmtId="0" fontId="2" fillId="2" borderId="20" xfId="0" applyFont="1" applyFill="1" applyBorder="1" applyAlignment="1"/>
    <xf numFmtId="0" fontId="2" fillId="2" borderId="19" xfId="0" applyFont="1" applyFill="1" applyBorder="1" applyAlignment="1"/>
    <xf numFmtId="0" fontId="2" fillId="2" borderId="21" xfId="0" applyFont="1" applyFill="1" applyBorder="1" applyAlignment="1"/>
    <xf numFmtId="0" fontId="2" fillId="2" borderId="22" xfId="0" applyFont="1" applyFill="1" applyBorder="1" applyAlignment="1"/>
    <xf numFmtId="0" fontId="2" fillId="0" borderId="0" xfId="0" applyFont="1" applyFill="1" applyAlignment="1">
      <alignment horizontal="left" vertical="center"/>
    </xf>
    <xf numFmtId="0" fontId="3" fillId="0" borderId="1" xfId="141" applyFont="1" applyFill="1" applyBorder="1" applyAlignment="1">
      <alignment horizontal="left" vertical="center"/>
    </xf>
    <xf numFmtId="0" fontId="1" fillId="0" borderId="2" xfId="141" applyFont="1" applyFill="1" applyBorder="1" applyAlignment="1">
      <alignment horizontal="left" vertical="center"/>
    </xf>
    <xf numFmtId="0" fontId="2" fillId="0" borderId="2" xfId="0" applyFont="1" applyFill="1" applyBorder="1" applyAlignment="1">
      <alignment horizontal="left" vertical="center"/>
    </xf>
    <xf numFmtId="0" fontId="1" fillId="0" borderId="3" xfId="141" applyFont="1" applyFill="1" applyBorder="1" applyAlignment="1">
      <alignment horizontal="left" vertical="center"/>
    </xf>
    <xf numFmtId="0" fontId="3" fillId="0" borderId="0" xfId="141" applyFont="1" applyFill="1" applyBorder="1" applyAlignment="1">
      <alignment horizontal="left" vertical="center" wrapText="1"/>
    </xf>
    <xf numFmtId="0" fontId="2" fillId="0" borderId="0" xfId="141" applyFont="1" applyAlignment="1">
      <alignment horizontal="left" vertical="center"/>
    </xf>
    <xf numFmtId="0" fontId="1" fillId="0" borderId="0" xfId="141" applyFont="1" applyFill="1" applyBorder="1" applyAlignment="1">
      <alignment horizontal="left" vertical="center"/>
    </xf>
    <xf numFmtId="0" fontId="2" fillId="0" borderId="0" xfId="0" applyFont="1" applyFill="1" applyBorder="1" applyAlignment="1">
      <alignment horizontal="left" vertical="center"/>
    </xf>
    <xf numFmtId="0" fontId="8" fillId="2" borderId="0" xfId="141" applyFont="1" applyFill="1" applyBorder="1" applyAlignment="1">
      <alignment horizontal="left" vertical="center" wrapText="1"/>
    </xf>
    <xf numFmtId="0" fontId="1" fillId="2" borderId="0" xfId="141" applyFont="1" applyFill="1" applyAlignment="1">
      <alignment horizontal="left" vertical="center"/>
    </xf>
    <xf numFmtId="0" fontId="2" fillId="0" borderId="0" xfId="141" applyFont="1" applyFill="1" applyBorder="1" applyAlignment="1">
      <alignment horizontal="left" vertical="center"/>
    </xf>
    <xf numFmtId="0" fontId="4" fillId="0" borderId="0" xfId="141" applyFont="1" applyFill="1" applyBorder="1" applyAlignment="1">
      <alignment horizontal="left" vertical="center" wrapText="1"/>
    </xf>
    <xf numFmtId="0" fontId="2" fillId="0" borderId="3" xfId="141" applyFont="1" applyFill="1" applyBorder="1" applyAlignment="1">
      <alignment horizontal="left" vertical="center"/>
    </xf>
    <xf numFmtId="0" fontId="3" fillId="0" borderId="0" xfId="141" applyFont="1" applyFill="1" applyBorder="1" applyAlignment="1">
      <alignment horizontal="left" vertical="center"/>
    </xf>
    <xf numFmtId="0" fontId="4" fillId="0" borderId="0" xfId="0" applyFont="1" applyBorder="1" applyAlignment="1">
      <alignment horizontal="left" vertical="center"/>
    </xf>
    <xf numFmtId="0" fontId="9" fillId="0" borderId="0" xfId="0" applyFont="1" applyAlignment="1">
      <alignment horizontal="left" vertical="center"/>
    </xf>
    <xf numFmtId="0" fontId="4" fillId="0" borderId="0" xfId="0" applyFont="1" applyFill="1" applyBorder="1" applyAlignment="1">
      <alignment horizontal="left" vertical="center" wrapText="1"/>
    </xf>
    <xf numFmtId="0" fontId="4" fillId="0" borderId="0" xfId="0" applyFont="1" applyFill="1" applyBorder="1" applyAlignment="1">
      <alignment horizontal="left" vertical="center"/>
    </xf>
    <xf numFmtId="0" fontId="4" fillId="0" borderId="0" xfId="0" applyFont="1" applyAlignment="1">
      <alignment horizontal="left" vertical="center"/>
    </xf>
    <xf numFmtId="2" fontId="4" fillId="0" borderId="0" xfId="0" applyNumberFormat="1" applyFont="1" applyFill="1" applyBorder="1" applyAlignment="1">
      <alignment horizontal="left" vertical="center"/>
    </xf>
    <xf numFmtId="180" fontId="4" fillId="0" borderId="0" xfId="0" applyNumberFormat="1" applyFont="1" applyFill="1" applyBorder="1" applyAlignment="1">
      <alignment horizontal="left" vertical="center"/>
    </xf>
    <xf numFmtId="0" fontId="4" fillId="0" borderId="4" xfId="0" applyFont="1" applyFill="1" applyBorder="1" applyAlignment="1">
      <alignment horizontal="left" vertical="center" wrapText="1"/>
    </xf>
    <xf numFmtId="2" fontId="4" fillId="0" borderId="4" xfId="0" applyNumberFormat="1" applyFont="1" applyFill="1" applyBorder="1" applyAlignment="1">
      <alignment horizontal="left" vertical="center" wrapText="1"/>
    </xf>
    <xf numFmtId="180" fontId="4" fillId="0" borderId="4" xfId="0" applyNumberFormat="1" applyFont="1" applyFill="1" applyBorder="1" applyAlignment="1">
      <alignment horizontal="left" vertical="center" wrapText="1"/>
    </xf>
    <xf numFmtId="2" fontId="2" fillId="0" borderId="4" xfId="0" applyNumberFormat="1" applyFont="1" applyFill="1" applyBorder="1" applyAlignment="1">
      <alignment horizontal="left" vertical="center"/>
    </xf>
    <xf numFmtId="180" fontId="2" fillId="0" borderId="4" xfId="0" applyNumberFormat="1" applyFont="1" applyFill="1" applyBorder="1" applyAlignment="1">
      <alignment horizontal="left" vertical="center"/>
    </xf>
    <xf numFmtId="0" fontId="4" fillId="0" borderId="0" xfId="0" applyFont="1" applyBorder="1" applyAlignment="1">
      <alignment horizontal="left" vertical="center" wrapText="1"/>
    </xf>
    <xf numFmtId="0" fontId="1" fillId="0" borderId="14" xfId="141" applyFont="1" applyFill="1" applyBorder="1" applyAlignment="1">
      <alignment horizontal="left" vertical="center"/>
    </xf>
    <xf numFmtId="0" fontId="3" fillId="0" borderId="15" xfId="141" applyFont="1" applyFill="1" applyBorder="1" applyAlignment="1">
      <alignment horizontal="left" vertical="center" wrapText="1"/>
    </xf>
    <xf numFmtId="0" fontId="2" fillId="0" borderId="15" xfId="141" applyFont="1" applyFill="1" applyBorder="1" applyAlignment="1">
      <alignment horizontal="left" vertical="center"/>
    </xf>
    <xf numFmtId="0" fontId="2" fillId="0" borderId="15" xfId="141" applyFont="1" applyFill="1" applyBorder="1" applyAlignment="1">
      <alignment horizontal="left" vertical="center" wrapText="1"/>
    </xf>
    <xf numFmtId="0" fontId="2" fillId="0" borderId="15" xfId="0" applyFont="1" applyFill="1" applyBorder="1" applyAlignment="1">
      <alignment horizontal="left" vertical="center"/>
    </xf>
    <xf numFmtId="0" fontId="2" fillId="0" borderId="16" xfId="0" applyFont="1" applyFill="1" applyBorder="1" applyAlignment="1">
      <alignment horizontal="left" vertical="center"/>
    </xf>
    <xf numFmtId="0" fontId="2" fillId="0" borderId="17" xfId="0" applyFont="1" applyFill="1" applyBorder="1" applyAlignment="1">
      <alignment horizontal="left" vertical="center"/>
    </xf>
    <xf numFmtId="2" fontId="2" fillId="0" borderId="0" xfId="0" applyNumberFormat="1" applyFont="1" applyFill="1" applyAlignment="1">
      <alignment horizontal="left" vertical="center"/>
    </xf>
    <xf numFmtId="0" fontId="2" fillId="0" borderId="22" xfId="0" applyFont="1" applyFill="1" applyBorder="1" applyAlignment="1">
      <alignment horizontal="left" vertical="center"/>
    </xf>
    <xf numFmtId="180" fontId="2" fillId="0" borderId="0" xfId="0" applyNumberFormat="1" applyFont="1" applyFill="1" applyAlignment="1">
      <alignment horizontal="left" vertical="center"/>
    </xf>
    <xf numFmtId="0" fontId="2" fillId="0" borderId="0" xfId="0" applyFont="1" applyFill="1" applyAlignment="1">
      <alignment vertical="top"/>
    </xf>
    <xf numFmtId="0" fontId="4" fillId="0" borderId="0" xfId="0" applyFont="1" applyFill="1" applyAlignment="1">
      <alignment wrapText="1"/>
    </xf>
    <xf numFmtId="0" fontId="4" fillId="0" borderId="0" xfId="0" applyFont="1" applyFill="1" applyAlignment="1"/>
    <xf numFmtId="0" fontId="4" fillId="0" borderId="0" xfId="0" applyFont="1" applyFill="1" applyAlignment="1">
      <alignment horizontal="center" vertical="center" wrapText="1"/>
    </xf>
    <xf numFmtId="0" fontId="4" fillId="0" borderId="0" xfId="0" applyFont="1" applyFill="1" applyBorder="1" applyAlignment="1">
      <alignment vertical="top"/>
    </xf>
    <xf numFmtId="0" fontId="4" fillId="0" borderId="2" xfId="0" applyFont="1" applyFill="1" applyBorder="1" applyAlignment="1">
      <alignment vertical="top"/>
    </xf>
    <xf numFmtId="0" fontId="10" fillId="0" borderId="1" xfId="0" applyFont="1" applyFill="1" applyBorder="1" applyAlignment="1">
      <alignment vertical="top"/>
    </xf>
    <xf numFmtId="0" fontId="4" fillId="0" borderId="3" xfId="0" applyFont="1" applyFill="1" applyBorder="1" applyAlignment="1">
      <alignment horizontal="right"/>
    </xf>
    <xf numFmtId="0" fontId="2" fillId="0" borderId="3" xfId="0" applyFont="1" applyFill="1" applyBorder="1" applyAlignment="1">
      <alignment horizontal="right"/>
    </xf>
    <xf numFmtId="0" fontId="4" fillId="0" borderId="3" xfId="0" applyFont="1" applyFill="1" applyBorder="1" applyAlignment="1">
      <alignment vertical="top"/>
    </xf>
    <xf numFmtId="0" fontId="4" fillId="0" borderId="4" xfId="311" applyFont="1" applyFill="1" applyBorder="1" applyAlignment="1">
      <alignment horizontal="center" vertical="center" wrapText="1"/>
    </xf>
    <xf numFmtId="182" fontId="4" fillId="0" borderId="4" xfId="311" applyNumberFormat="1" applyFont="1" applyFill="1" applyBorder="1" applyAlignment="1">
      <alignment horizontal="center" vertical="center"/>
    </xf>
    <xf numFmtId="0" fontId="1" fillId="0" borderId="4" xfId="0" applyFont="1" applyFill="1" applyBorder="1" applyAlignment="1">
      <alignment horizontal="center" vertical="center"/>
    </xf>
    <xf numFmtId="183" fontId="4" fillId="0" borderId="4" xfId="311" applyNumberFormat="1" applyFont="1" applyFill="1" applyBorder="1" applyAlignment="1">
      <alignment horizontal="center" vertical="center"/>
    </xf>
    <xf numFmtId="179" fontId="4" fillId="0" borderId="4" xfId="311" applyNumberFormat="1" applyFont="1" applyFill="1" applyBorder="1" applyAlignment="1">
      <alignment horizontal="center" vertical="center"/>
    </xf>
    <xf numFmtId="0" fontId="11" fillId="0" borderId="0" xfId="0" applyFont="1" applyFill="1" applyBorder="1" applyAlignment="1">
      <alignment vertical="top"/>
    </xf>
    <xf numFmtId="0" fontId="4" fillId="0" borderId="0" xfId="311" applyFont="1" applyFill="1" applyBorder="1" applyAlignment="1">
      <alignment horizontal="center" vertical="center"/>
    </xf>
    <xf numFmtId="179" fontId="4" fillId="0" borderId="0" xfId="311" applyNumberFormat="1" applyFont="1" applyFill="1" applyBorder="1" applyAlignment="1">
      <alignment horizontal="center" vertical="center"/>
    </xf>
    <xf numFmtId="0" fontId="4" fillId="0" borderId="0" xfId="0" applyFont="1" applyFill="1" applyBorder="1" applyAlignment="1">
      <alignment horizontal="center"/>
    </xf>
    <xf numFmtId="183" fontId="4" fillId="0" borderId="0" xfId="311" applyNumberFormat="1" applyFont="1" applyFill="1" applyBorder="1" applyAlignment="1">
      <alignment horizontal="center" vertical="center"/>
    </xf>
    <xf numFmtId="0" fontId="4" fillId="0" borderId="14" xfId="0" applyFont="1" applyFill="1" applyBorder="1" applyAlignment="1">
      <alignment vertical="top" wrapText="1"/>
    </xf>
    <xf numFmtId="0" fontId="4" fillId="0" borderId="15" xfId="130" applyFont="1" applyFill="1" applyBorder="1" applyAlignment="1"/>
    <xf numFmtId="0" fontId="4" fillId="0" borderId="15" xfId="130" applyFont="1" applyFill="1" applyBorder="1" applyAlignment="1">
      <alignment wrapText="1"/>
    </xf>
    <xf numFmtId="180" fontId="4" fillId="0" borderId="0" xfId="0" applyNumberFormat="1" applyFont="1" applyFill="1" applyAlignment="1"/>
    <xf numFmtId="0" fontId="4" fillId="0" borderId="2" xfId="0" applyFont="1" applyFill="1" applyBorder="1" applyAlignment="1"/>
    <xf numFmtId="0" fontId="4" fillId="0" borderId="16" xfId="0" applyFont="1" applyFill="1" applyBorder="1" applyAlignment="1"/>
    <xf numFmtId="0" fontId="4" fillId="0" borderId="17" xfId="0" applyFont="1" applyFill="1" applyBorder="1" applyAlignment="1"/>
    <xf numFmtId="0" fontId="2" fillId="0" borderId="0" xfId="0" applyFont="1" applyFill="1" applyBorder="1" applyAlignment="1">
      <alignment vertical="top"/>
    </xf>
    <xf numFmtId="0" fontId="2" fillId="0" borderId="17" xfId="0" applyFont="1" applyFill="1" applyBorder="1" applyAlignment="1">
      <alignment vertical="top"/>
    </xf>
    <xf numFmtId="0" fontId="4" fillId="0" borderId="4" xfId="0" applyFont="1" applyFill="1" applyBorder="1" applyAlignment="1">
      <alignment horizontal="center" vertical="center" wrapText="1"/>
    </xf>
    <xf numFmtId="0" fontId="4" fillId="0" borderId="0" xfId="0" applyFont="1" applyFill="1" applyBorder="1" applyAlignment="1"/>
    <xf numFmtId="184" fontId="2" fillId="0" borderId="0" xfId="89" applyNumberFormat="1" applyFont="1" applyFill="1" applyBorder="1">
      <alignment vertical="center"/>
    </xf>
    <xf numFmtId="181" fontId="4" fillId="0" borderId="0" xfId="311" applyNumberFormat="1" applyFont="1" applyFill="1" applyBorder="1" applyAlignment="1">
      <alignment horizontal="center" vertical="center"/>
    </xf>
    <xf numFmtId="0" fontId="4" fillId="0" borderId="0" xfId="0" applyFont="1" applyFill="1" applyBorder="1" applyAlignment="1">
      <alignment horizontal="center" vertical="center" wrapText="1"/>
    </xf>
    <xf numFmtId="0" fontId="4" fillId="0" borderId="15" xfId="0" applyFont="1" applyFill="1" applyBorder="1" applyAlignment="1">
      <alignment wrapText="1"/>
    </xf>
    <xf numFmtId="0" fontId="4" fillId="0" borderId="22" xfId="0" applyFont="1" applyFill="1" applyBorder="1" applyAlignment="1">
      <alignment wrapText="1"/>
    </xf>
    <xf numFmtId="0" fontId="4" fillId="0" borderId="0" xfId="312" applyFont="1" applyAlignment="1">
      <alignment horizontal="center" vertical="center"/>
    </xf>
    <xf numFmtId="0" fontId="4" fillId="0" borderId="0" xfId="0" applyFont="1" applyAlignment="1"/>
    <xf numFmtId="0" fontId="4" fillId="0" borderId="0" xfId="0" applyFont="1" applyBorder="1" applyAlignment="1"/>
    <xf numFmtId="0" fontId="11" fillId="0" borderId="0" xfId="0" applyFont="1" applyBorder="1" applyAlignment="1"/>
    <xf numFmtId="0" fontId="11" fillId="0" borderId="1" xfId="0" applyFont="1" applyBorder="1" applyAlignment="1"/>
    <xf numFmtId="14" fontId="4" fillId="0" borderId="2" xfId="0" applyNumberFormat="1" applyFont="1" applyBorder="1" applyAlignment="1"/>
    <xf numFmtId="0" fontId="4" fillId="0" borderId="2" xfId="0" applyFont="1" applyBorder="1" applyAlignment="1"/>
    <xf numFmtId="182" fontId="11" fillId="0" borderId="3" xfId="0" applyNumberFormat="1" applyFont="1" applyBorder="1" applyAlignment="1"/>
    <xf numFmtId="0" fontId="10" fillId="0" borderId="0" xfId="312" applyFont="1" applyFill="1" applyBorder="1" applyAlignment="1">
      <alignment vertical="center"/>
    </xf>
    <xf numFmtId="0" fontId="4" fillId="0" borderId="0" xfId="312" applyFont="1" applyFill="1" applyBorder="1" applyAlignment="1">
      <alignment horizontal="center" vertical="center"/>
    </xf>
    <xf numFmtId="0" fontId="11" fillId="0" borderId="3" xfId="0" applyFont="1" applyBorder="1" applyAlignment="1"/>
    <xf numFmtId="0" fontId="3" fillId="0" borderId="4" xfId="0" applyFont="1" applyFill="1" applyBorder="1" applyAlignment="1">
      <alignment horizontal="center" vertical="center" wrapText="1"/>
    </xf>
    <xf numFmtId="0" fontId="1" fillId="0" borderId="0" xfId="93" applyFont="1" applyBorder="1">
      <alignment vertical="center"/>
    </xf>
    <xf numFmtId="0" fontId="4" fillId="0" borderId="0" xfId="312" applyFont="1" applyFill="1" applyBorder="1" applyAlignment="1">
      <alignment horizontal="left" vertical="center"/>
    </xf>
    <xf numFmtId="0" fontId="10" fillId="0" borderId="4" xfId="0" applyFont="1" applyFill="1" applyBorder="1" applyAlignment="1">
      <alignment horizontal="center" vertical="center" wrapText="1"/>
    </xf>
    <xf numFmtId="0" fontId="4" fillId="0" borderId="0" xfId="0" applyFont="1" applyBorder="1" applyAlignment="1">
      <alignment horizontal="center" vertical="center"/>
    </xf>
    <xf numFmtId="0" fontId="4" fillId="0" borderId="3" xfId="312" applyFont="1" applyBorder="1" applyAlignment="1">
      <alignment horizontal="center" vertical="center"/>
    </xf>
    <xf numFmtId="0" fontId="4" fillId="0" borderId="14" xfId="312" applyFont="1" applyBorder="1" applyAlignment="1">
      <alignment horizontal="center" vertical="center"/>
    </xf>
    <xf numFmtId="0" fontId="4" fillId="0" borderId="15" xfId="312" applyFont="1" applyBorder="1" applyAlignment="1">
      <alignment horizontal="center" vertical="center"/>
    </xf>
    <xf numFmtId="0" fontId="1" fillId="0" borderId="0" xfId="0" applyFont="1" applyFill="1" applyAlignment="1">
      <alignment vertical="center"/>
    </xf>
    <xf numFmtId="0" fontId="1" fillId="0" borderId="0" xfId="0" applyFont="1" applyAlignment="1">
      <alignment vertical="center"/>
    </xf>
    <xf numFmtId="0" fontId="4" fillId="0" borderId="2" xfId="312" applyFont="1" applyBorder="1" applyAlignment="1">
      <alignment horizontal="center" vertical="center"/>
    </xf>
    <xf numFmtId="0" fontId="4" fillId="0" borderId="16" xfId="312" applyFont="1" applyBorder="1" applyAlignment="1">
      <alignment horizontal="center" vertical="center"/>
    </xf>
    <xf numFmtId="0" fontId="4" fillId="0" borderId="0" xfId="312" applyFont="1" applyBorder="1" applyAlignment="1">
      <alignment horizontal="center" vertical="center"/>
    </xf>
    <xf numFmtId="0" fontId="4" fillId="0" borderId="17" xfId="312" applyFont="1" applyBorder="1" applyAlignment="1">
      <alignment horizontal="center" vertical="center"/>
    </xf>
    <xf numFmtId="11" fontId="1" fillId="0" borderId="17" xfId="93" applyNumberFormat="1" applyFont="1" applyBorder="1">
      <alignment vertical="center"/>
    </xf>
    <xf numFmtId="185" fontId="1" fillId="0" borderId="0" xfId="93" applyNumberFormat="1" applyFont="1" applyBorder="1">
      <alignment vertical="center"/>
    </xf>
    <xf numFmtId="0" fontId="1" fillId="0" borderId="0" xfId="0" applyFont="1" applyBorder="1" applyAlignment="1">
      <alignment horizontal="center" vertical="center"/>
    </xf>
    <xf numFmtId="1" fontId="1" fillId="0" borderId="0" xfId="93" applyNumberFormat="1" applyFont="1" applyBorder="1">
      <alignment vertical="center"/>
    </xf>
    <xf numFmtId="2" fontId="1" fillId="0" borderId="0" xfId="93" applyNumberFormat="1" applyFont="1" applyBorder="1">
      <alignment vertical="center"/>
    </xf>
    <xf numFmtId="180" fontId="1" fillId="0" borderId="0" xfId="93" applyNumberFormat="1" applyFont="1" applyBorder="1">
      <alignment vertical="center"/>
    </xf>
    <xf numFmtId="0" fontId="4" fillId="0" borderId="22" xfId="312" applyFont="1" applyBorder="1" applyAlignment="1">
      <alignment horizontal="center" vertical="center"/>
    </xf>
    <xf numFmtId="2" fontId="4" fillId="0" borderId="0" xfId="312" applyNumberFormat="1" applyFont="1" applyAlignment="1">
      <alignment horizontal="center" vertical="center"/>
    </xf>
    <xf numFmtId="180" fontId="4" fillId="0" borderId="0" xfId="312" applyNumberFormat="1" applyFont="1" applyAlignment="1">
      <alignment horizontal="center" vertical="center"/>
    </xf>
    <xf numFmtId="0" fontId="10" fillId="0" borderId="0" xfId="0" applyFont="1" applyFill="1" applyBorder="1" applyAlignment="1">
      <alignment horizontal="left" vertical="center" wrapText="1"/>
    </xf>
    <xf numFmtId="0" fontId="10" fillId="0" borderId="0" xfId="0" applyFont="1" applyFill="1" applyBorder="1" applyAlignment="1">
      <alignment horizontal="left" vertical="center"/>
    </xf>
    <xf numFmtId="0" fontId="4" fillId="0" borderId="0" xfId="0" applyFont="1" applyFill="1" applyBorder="1" applyAlignment="1">
      <alignment horizontal="left"/>
    </xf>
    <xf numFmtId="182" fontId="4" fillId="0" borderId="0" xfId="0" applyNumberFormat="1" applyFont="1" applyFill="1" applyBorder="1" applyAlignment="1">
      <alignment horizontal="left"/>
    </xf>
    <xf numFmtId="1" fontId="4" fillId="0" borderId="0" xfId="0" applyNumberFormat="1" applyFont="1" applyFill="1" applyBorder="1" applyAlignment="1">
      <alignment horizontal="left"/>
    </xf>
    <xf numFmtId="186" fontId="4" fillId="0" borderId="0" xfId="0" applyNumberFormat="1" applyFont="1" applyFill="1" applyBorder="1" applyAlignment="1">
      <alignment horizontal="left"/>
    </xf>
    <xf numFmtId="11" fontId="4" fillId="0" borderId="0" xfId="0" applyNumberFormat="1" applyFont="1" applyFill="1" applyBorder="1" applyAlignment="1">
      <alignment horizontal="left"/>
    </xf>
    <xf numFmtId="0" fontId="1" fillId="0" borderId="1" xfId="0" applyFont="1" applyFill="1" applyBorder="1" applyAlignment="1">
      <alignment vertical="center"/>
    </xf>
    <xf numFmtId="0" fontId="1" fillId="0" borderId="2" xfId="0" applyFont="1" applyFill="1" applyBorder="1" applyAlignment="1">
      <alignment vertical="center"/>
    </xf>
    <xf numFmtId="0" fontId="1" fillId="0" borderId="3" xfId="0" applyFont="1" applyFill="1" applyBorder="1" applyAlignment="1">
      <alignment vertical="center"/>
    </xf>
    <xf numFmtId="11" fontId="1" fillId="0" borderId="0" xfId="0" applyNumberFormat="1" applyFont="1" applyFill="1" applyAlignment="1">
      <alignment vertical="center"/>
    </xf>
    <xf numFmtId="0" fontId="1" fillId="0" borderId="0" xfId="0" applyFont="1" applyFill="1" applyBorder="1" applyAlignment="1">
      <alignment vertical="center"/>
    </xf>
    <xf numFmtId="0" fontId="4" fillId="0" borderId="16" xfId="0" applyFont="1" applyFill="1" applyBorder="1" applyAlignment="1">
      <alignment horizontal="left" vertical="center"/>
    </xf>
    <xf numFmtId="0" fontId="4" fillId="0" borderId="17" xfId="0" applyFont="1" applyFill="1" applyBorder="1" applyAlignment="1">
      <alignment horizontal="left" vertical="center"/>
    </xf>
    <xf numFmtId="0" fontId="10" fillId="0" borderId="17" xfId="0" applyFont="1" applyFill="1" applyBorder="1" applyAlignment="1">
      <alignment horizontal="left" vertical="center" wrapText="1"/>
    </xf>
    <xf numFmtId="0" fontId="4" fillId="0" borderId="17" xfId="0" applyFont="1" applyFill="1" applyBorder="1" applyAlignment="1">
      <alignment horizontal="left" vertical="center" wrapText="1"/>
    </xf>
    <xf numFmtId="0" fontId="10" fillId="0" borderId="17" xfId="0" applyFont="1" applyFill="1" applyBorder="1" applyAlignment="1">
      <alignment horizontal="left" vertical="center"/>
    </xf>
    <xf numFmtId="0" fontId="4" fillId="0" borderId="3" xfId="0" applyFont="1" applyFill="1" applyBorder="1" applyAlignment="1">
      <alignment horizontal="left"/>
    </xf>
    <xf numFmtId="0" fontId="10" fillId="0" borderId="1" xfId="129" applyFont="1" applyFill="1" applyBorder="1" applyAlignment="1">
      <alignment horizontal="left" vertical="top"/>
    </xf>
    <xf numFmtId="0" fontId="4" fillId="0" borderId="2" xfId="313" applyFont="1" applyFill="1" applyBorder="1" applyAlignment="1">
      <alignment horizontal="left" vertical="center"/>
    </xf>
    <xf numFmtId="182" fontId="4" fillId="0" borderId="2" xfId="313" applyNumberFormat="1" applyFont="1" applyFill="1" applyBorder="1" applyAlignment="1">
      <alignment horizontal="left" vertical="center"/>
    </xf>
    <xf numFmtId="11" fontId="4" fillId="0" borderId="16" xfId="313" applyNumberFormat="1" applyFont="1" applyFill="1" applyBorder="1" applyAlignment="1">
      <alignment horizontal="left" vertical="center"/>
    </xf>
    <xf numFmtId="0" fontId="4" fillId="0" borderId="3" xfId="313" applyFont="1" applyFill="1" applyBorder="1" applyAlignment="1">
      <alignment horizontal="left" vertical="center"/>
    </xf>
    <xf numFmtId="11" fontId="4" fillId="0" borderId="17" xfId="313" applyNumberFormat="1" applyFont="1" applyFill="1" applyBorder="1" applyAlignment="1">
      <alignment horizontal="left" vertical="center"/>
    </xf>
    <xf numFmtId="0" fontId="10" fillId="0" borderId="14" xfId="313" applyFont="1" applyFill="1" applyBorder="1" applyAlignment="1">
      <alignment horizontal="left" vertical="center"/>
    </xf>
    <xf numFmtId="179" fontId="10" fillId="0" borderId="15" xfId="313" applyNumberFormat="1" applyFont="1" applyFill="1" applyBorder="1" applyAlignment="1">
      <alignment horizontal="left" vertical="center"/>
    </xf>
    <xf numFmtId="11" fontId="10" fillId="0" borderId="22" xfId="313" applyNumberFormat="1" applyFont="1" applyFill="1" applyBorder="1" applyAlignment="1">
      <alignment horizontal="left" vertical="center"/>
    </xf>
    <xf numFmtId="1" fontId="4" fillId="0" borderId="15" xfId="0" applyNumberFormat="1" applyFont="1" applyFill="1" applyBorder="1" applyAlignment="1">
      <alignment horizontal="left"/>
    </xf>
    <xf numFmtId="0" fontId="4" fillId="0" borderId="15" xfId="0" applyFont="1" applyFill="1" applyBorder="1" applyAlignment="1">
      <alignment horizontal="left"/>
    </xf>
    <xf numFmtId="182" fontId="4" fillId="0" borderId="15" xfId="0" applyNumberFormat="1" applyFont="1" applyFill="1" applyBorder="1" applyAlignment="1">
      <alignment horizontal="left"/>
    </xf>
    <xf numFmtId="186" fontId="4" fillId="0" borderId="15" xfId="0" applyNumberFormat="1" applyFont="1" applyFill="1" applyBorder="1" applyAlignment="1">
      <alignment horizontal="left"/>
    </xf>
    <xf numFmtId="11" fontId="4" fillId="0" borderId="15" xfId="0" applyNumberFormat="1" applyFont="1" applyFill="1" applyBorder="1" applyAlignment="1">
      <alignment horizontal="left"/>
    </xf>
    <xf numFmtId="0" fontId="4" fillId="0" borderId="17" xfId="0" applyFont="1" applyFill="1" applyBorder="1" applyAlignment="1">
      <alignment horizontal="left"/>
    </xf>
    <xf numFmtId="0" fontId="4" fillId="0" borderId="22" xfId="0" applyFont="1" applyFill="1" applyBorder="1" applyAlignment="1">
      <alignment horizontal="left"/>
    </xf>
    <xf numFmtId="0" fontId="10" fillId="0" borderId="0" xfId="0" applyFont="1" applyFill="1" applyBorder="1" applyAlignment="1">
      <alignment horizontal="center" vertical="center" wrapText="1"/>
    </xf>
    <xf numFmtId="0" fontId="4" fillId="0" borderId="0" xfId="0" applyFont="1" applyFill="1" applyBorder="1" applyAlignment="1">
      <alignment horizontal="center" vertical="center"/>
    </xf>
    <xf numFmtId="0" fontId="10" fillId="0" borderId="0" xfId="0" applyFont="1" applyFill="1" applyBorder="1" applyAlignment="1">
      <alignment horizontal="right" vertical="center"/>
    </xf>
    <xf numFmtId="0" fontId="10" fillId="0" borderId="0" xfId="0" applyFont="1" applyFill="1" applyBorder="1" applyAlignment="1">
      <alignment vertical="center"/>
    </xf>
    <xf numFmtId="0" fontId="10" fillId="0" borderId="2" xfId="0" applyFont="1" applyFill="1" applyBorder="1" applyAlignment="1">
      <alignment horizontal="center" vertical="center" wrapText="1"/>
    </xf>
    <xf numFmtId="0" fontId="4" fillId="0" borderId="0" xfId="164" applyFont="1" applyFill="1" applyBorder="1" applyAlignment="1">
      <alignment horizontal="center" vertical="center"/>
    </xf>
    <xf numFmtId="0" fontId="4" fillId="0" borderId="15" xfId="0" applyFont="1" applyFill="1" applyBorder="1" applyAlignment="1">
      <alignment horizontal="center" vertical="center"/>
    </xf>
    <xf numFmtId="0" fontId="4" fillId="0" borderId="15" xfId="164" applyFont="1" applyFill="1" applyBorder="1" applyAlignment="1">
      <alignment horizontal="center" vertical="center"/>
    </xf>
    <xf numFmtId="0" fontId="10" fillId="0" borderId="2" xfId="164" applyFont="1" applyFill="1" applyBorder="1" applyAlignment="1">
      <alignment horizontal="center" vertical="center" wrapText="1"/>
    </xf>
    <xf numFmtId="0" fontId="10" fillId="0" borderId="16" xfId="164" applyFont="1" applyFill="1" applyBorder="1" applyAlignment="1">
      <alignment horizontal="center" vertical="center" wrapText="1"/>
    </xf>
    <xf numFmtId="0" fontId="10" fillId="0" borderId="0" xfId="0" applyFont="1" applyFill="1" applyAlignment="1">
      <alignment horizontal="center" vertical="center" wrapText="1"/>
    </xf>
    <xf numFmtId="0" fontId="4" fillId="0" borderId="17" xfId="164" applyFont="1" applyFill="1" applyBorder="1" applyAlignment="1">
      <alignment horizontal="center" vertical="center"/>
    </xf>
    <xf numFmtId="0" fontId="4" fillId="0" borderId="0" xfId="0" applyFont="1" applyFill="1" applyAlignment="1">
      <alignment horizontal="center" vertical="center"/>
    </xf>
    <xf numFmtId="0" fontId="4" fillId="0" borderId="22" xfId="0" applyFont="1" applyFill="1" applyBorder="1" applyAlignment="1">
      <alignment horizontal="center" vertical="center"/>
    </xf>
    <xf numFmtId="0" fontId="4" fillId="2" borderId="0" xfId="270" applyFont="1" applyFill="1" applyAlignment="1">
      <alignment vertical="center"/>
    </xf>
    <xf numFmtId="0" fontId="4" fillId="2" borderId="0" xfId="270" applyFont="1" applyFill="1"/>
    <xf numFmtId="0" fontId="10" fillId="2" borderId="1" xfId="270" applyFont="1" applyFill="1" applyBorder="1" applyAlignment="1">
      <alignment vertical="center"/>
    </xf>
    <xf numFmtId="0" fontId="4" fillId="2" borderId="2" xfId="270" applyFont="1" applyFill="1" applyBorder="1" applyAlignment="1">
      <alignment vertical="center"/>
    </xf>
    <xf numFmtId="0" fontId="4" fillId="2" borderId="3" xfId="270" applyFont="1" applyFill="1" applyBorder="1" applyAlignment="1">
      <alignment vertical="center"/>
    </xf>
    <xf numFmtId="0" fontId="4" fillId="2" borderId="0" xfId="270" applyFont="1" applyFill="1" applyBorder="1" applyAlignment="1">
      <alignment vertical="center"/>
    </xf>
    <xf numFmtId="0" fontId="10" fillId="2" borderId="12" xfId="94" applyFont="1" applyFill="1" applyBorder="1" applyAlignment="1">
      <alignment horizontal="center" vertical="center"/>
    </xf>
    <xf numFmtId="0" fontId="10" fillId="2" borderId="5" xfId="94" applyFont="1" applyFill="1" applyBorder="1" applyAlignment="1">
      <alignment horizontal="center"/>
    </xf>
    <xf numFmtId="0" fontId="10" fillId="2" borderId="6" xfId="94" applyFont="1" applyFill="1" applyBorder="1" applyAlignment="1">
      <alignment horizontal="center"/>
    </xf>
    <xf numFmtId="0" fontId="10" fillId="2" borderId="18" xfId="94" applyFont="1" applyFill="1" applyBorder="1" applyAlignment="1">
      <alignment horizontal="center"/>
    </xf>
    <xf numFmtId="0" fontId="10" fillId="2" borderId="18" xfId="94" applyFont="1" applyFill="1" applyBorder="1" applyAlignment="1">
      <alignment horizontal="center" vertical="center"/>
    </xf>
    <xf numFmtId="187" fontId="4" fillId="2" borderId="9" xfId="316" applyNumberFormat="1" applyFont="1" applyFill="1" applyBorder="1" applyAlignment="1">
      <alignment horizontal="center" vertical="center"/>
    </xf>
    <xf numFmtId="0" fontId="1" fillId="0" borderId="5" xfId="0" applyNumberFormat="1" applyFont="1" applyFill="1" applyBorder="1" applyAlignment="1">
      <alignment horizontal="center" vertical="center"/>
    </xf>
    <xf numFmtId="0" fontId="1" fillId="0" borderId="6" xfId="0" applyNumberFormat="1" applyFont="1" applyFill="1" applyBorder="1" applyAlignment="1">
      <alignment horizontal="center" vertical="center"/>
    </xf>
    <xf numFmtId="0" fontId="1" fillId="0" borderId="18" xfId="0" applyNumberFormat="1" applyFont="1" applyFill="1" applyBorder="1" applyAlignment="1">
      <alignment horizontal="center" vertical="center"/>
    </xf>
    <xf numFmtId="188" fontId="4" fillId="0" borderId="5" xfId="94" applyNumberFormat="1" applyFont="1" applyFill="1" applyBorder="1" applyAlignment="1">
      <alignment horizontal="center" vertical="center"/>
    </xf>
    <xf numFmtId="188" fontId="4" fillId="0" borderId="18" xfId="94" applyNumberFormat="1" applyFont="1" applyFill="1" applyBorder="1" applyAlignment="1">
      <alignment horizontal="center" vertical="center"/>
    </xf>
    <xf numFmtId="183" fontId="4" fillId="2" borderId="9" xfId="316" applyNumberFormat="1" applyFont="1" applyFill="1" applyBorder="1" applyAlignment="1">
      <alignment horizontal="center" vertical="center"/>
    </xf>
    <xf numFmtId="0" fontId="1" fillId="0" borderId="9" xfId="0" applyNumberFormat="1" applyFont="1" applyFill="1" applyBorder="1" applyAlignment="1">
      <alignment horizontal="center" vertical="center"/>
    </xf>
    <xf numFmtId="0" fontId="1" fillId="0" borderId="0" xfId="0" applyNumberFormat="1" applyFont="1" applyFill="1" applyBorder="1" applyAlignment="1">
      <alignment horizontal="center" vertical="center"/>
    </xf>
    <xf numFmtId="0" fontId="1" fillId="0" borderId="20" xfId="0" applyNumberFormat="1" applyFont="1" applyFill="1" applyBorder="1" applyAlignment="1">
      <alignment horizontal="center" vertical="center"/>
    </xf>
    <xf numFmtId="188" fontId="4" fillId="0" borderId="9" xfId="94" applyNumberFormat="1" applyFont="1" applyFill="1" applyBorder="1" applyAlignment="1">
      <alignment horizontal="center" vertical="center"/>
    </xf>
    <xf numFmtId="188" fontId="4" fillId="0" borderId="20" xfId="94" applyNumberFormat="1" applyFont="1" applyFill="1" applyBorder="1" applyAlignment="1">
      <alignment horizontal="center" vertical="center"/>
    </xf>
    <xf numFmtId="179" fontId="4" fillId="2" borderId="9" xfId="316" applyNumberFormat="1" applyFont="1" applyFill="1" applyBorder="1" applyAlignment="1">
      <alignment horizontal="center" vertical="center"/>
    </xf>
    <xf numFmtId="181" fontId="4" fillId="2" borderId="9" xfId="316" applyNumberFormat="1" applyFont="1" applyFill="1" applyBorder="1" applyAlignment="1">
      <alignment horizontal="center" vertical="center"/>
    </xf>
    <xf numFmtId="188" fontId="4" fillId="2" borderId="9" xfId="316" applyNumberFormat="1" applyFont="1" applyFill="1" applyBorder="1" applyAlignment="1">
      <alignment horizontal="center" vertical="center"/>
    </xf>
    <xf numFmtId="181" fontId="4" fillId="0" borderId="20" xfId="94" applyNumberFormat="1" applyFont="1" applyFill="1" applyBorder="1" applyAlignment="1">
      <alignment horizontal="center" vertical="center"/>
    </xf>
    <xf numFmtId="188" fontId="4" fillId="2" borderId="9" xfId="315" applyNumberFormat="1" applyFont="1" applyFill="1" applyBorder="1" applyAlignment="1">
      <alignment horizontal="center" vertical="center"/>
    </xf>
    <xf numFmtId="188" fontId="4" fillId="2" borderId="7" xfId="315" applyNumberFormat="1" applyFont="1" applyFill="1" applyBorder="1" applyAlignment="1">
      <alignment horizontal="center" vertical="center"/>
    </xf>
    <xf numFmtId="0" fontId="1" fillId="0" borderId="7" xfId="0" applyNumberFormat="1" applyFont="1" applyFill="1" applyBorder="1" applyAlignment="1">
      <alignment horizontal="center" vertical="center"/>
    </xf>
    <xf numFmtId="0" fontId="1" fillId="0" borderId="8" xfId="0" applyNumberFormat="1" applyFont="1" applyFill="1" applyBorder="1" applyAlignment="1">
      <alignment horizontal="center" vertical="center"/>
    </xf>
    <xf numFmtId="0" fontId="1" fillId="0" borderId="19" xfId="0" applyNumberFormat="1" applyFont="1" applyFill="1" applyBorder="1" applyAlignment="1">
      <alignment horizontal="center" vertical="center"/>
    </xf>
    <xf numFmtId="179" fontId="4" fillId="0" borderId="7" xfId="94" applyNumberFormat="1" applyFont="1" applyFill="1" applyBorder="1" applyAlignment="1">
      <alignment horizontal="center" vertical="center"/>
    </xf>
    <xf numFmtId="179" fontId="4" fillId="0" borderId="19" xfId="94" applyNumberFormat="1" applyFont="1" applyFill="1" applyBorder="1" applyAlignment="1">
      <alignment horizontal="center" vertical="center"/>
    </xf>
    <xf numFmtId="188" fontId="4" fillId="2" borderId="0" xfId="315" applyNumberFormat="1" applyFont="1" applyFill="1" applyBorder="1" applyAlignment="1">
      <alignment horizontal="center" vertical="center"/>
    </xf>
    <xf numFmtId="188" fontId="1" fillId="0" borderId="0" xfId="0" applyNumberFormat="1" applyFont="1" applyBorder="1" applyAlignment="1">
      <alignment horizontal="center"/>
    </xf>
    <xf numFmtId="188" fontId="4" fillId="0" borderId="0" xfId="94" applyNumberFormat="1" applyFont="1" applyFill="1" applyBorder="1" applyAlignment="1">
      <alignment horizontal="center" vertical="center"/>
    </xf>
    <xf numFmtId="181" fontId="1" fillId="0" borderId="0" xfId="0" applyNumberFormat="1" applyFont="1" applyBorder="1" applyAlignment="1">
      <alignment horizontal="center"/>
    </xf>
    <xf numFmtId="0" fontId="4" fillId="2" borderId="14" xfId="270" applyFont="1" applyFill="1" applyBorder="1" applyAlignment="1">
      <alignment vertical="center"/>
    </xf>
    <xf numFmtId="0" fontId="4" fillId="2" borderId="15" xfId="270" applyFont="1" applyFill="1" applyBorder="1" applyAlignment="1">
      <alignment vertical="center"/>
    </xf>
    <xf numFmtId="0" fontId="4" fillId="2" borderId="1" xfId="270" applyFont="1" applyFill="1" applyBorder="1" applyAlignment="1">
      <alignment vertical="center"/>
    </xf>
    <xf numFmtId="0" fontId="10" fillId="0" borderId="3" xfId="0" applyFont="1" applyFill="1" applyBorder="1" applyAlignment="1">
      <alignment horizontal="center" vertical="center"/>
    </xf>
    <xf numFmtId="0" fontId="10" fillId="0" borderId="4" xfId="0" applyFont="1" applyBorder="1" applyAlignment="1">
      <alignment horizontal="center" vertical="center"/>
    </xf>
    <xf numFmtId="0" fontId="4" fillId="0" borderId="3" xfId="271" applyFont="1" applyFill="1" applyBorder="1" applyAlignment="1">
      <alignment horizontal="center" vertical="center"/>
    </xf>
    <xf numFmtId="0" fontId="4" fillId="0" borderId="11" xfId="0" applyFont="1" applyBorder="1" applyAlignment="1">
      <alignment horizontal="center" vertical="center"/>
    </xf>
    <xf numFmtId="0" fontId="4" fillId="0" borderId="19" xfId="0" applyFont="1" applyBorder="1" applyAlignment="1">
      <alignment horizontal="center" vertical="center"/>
    </xf>
    <xf numFmtId="0" fontId="4" fillId="0" borderId="3" xfId="271" applyFont="1" applyFill="1" applyBorder="1" applyAlignment="1">
      <alignment horizontal="center" vertical="center" wrapText="1"/>
    </xf>
    <xf numFmtId="0" fontId="4" fillId="0" borderId="11" xfId="0" applyFont="1" applyBorder="1" applyAlignment="1">
      <alignment horizontal="center" vertical="center" wrapText="1"/>
    </xf>
    <xf numFmtId="188" fontId="4" fillId="0" borderId="12" xfId="0" applyNumberFormat="1" applyFont="1" applyFill="1" applyBorder="1" applyAlignment="1">
      <alignment vertical="center"/>
    </xf>
    <xf numFmtId="0" fontId="4" fillId="0" borderId="3" xfId="0" applyFont="1" applyFill="1" applyBorder="1" applyAlignment="1">
      <alignment horizontal="center" vertical="center" wrapText="1"/>
    </xf>
    <xf numFmtId="189" fontId="4" fillId="0" borderId="19" xfId="0" applyNumberFormat="1" applyFont="1" applyBorder="1" applyAlignment="1">
      <alignment horizontal="center" vertical="center"/>
    </xf>
    <xf numFmtId="189" fontId="4" fillId="3" borderId="19" xfId="0" applyNumberFormat="1" applyFont="1" applyFill="1" applyBorder="1" applyAlignment="1">
      <alignment horizontal="center" vertical="center"/>
    </xf>
    <xf numFmtId="179" fontId="4" fillId="0" borderId="19" xfId="0" applyNumberFormat="1" applyFont="1" applyBorder="1" applyAlignment="1">
      <alignment horizontal="center" vertical="center"/>
    </xf>
    <xf numFmtId="188" fontId="4" fillId="0" borderId="19" xfId="0" applyNumberFormat="1" applyFont="1" applyBorder="1" applyAlignment="1">
      <alignment horizontal="center" vertical="center"/>
    </xf>
    <xf numFmtId="2" fontId="4" fillId="3" borderId="19" xfId="0" applyNumberFormat="1" applyFont="1" applyFill="1" applyBorder="1" applyAlignment="1">
      <alignment horizontal="center" vertical="center"/>
    </xf>
    <xf numFmtId="180" fontId="4" fillId="0" borderId="19" xfId="0" applyNumberFormat="1" applyFont="1" applyBorder="1" applyAlignment="1">
      <alignment horizontal="center" vertical="center"/>
    </xf>
    <xf numFmtId="2" fontId="4" fillId="0" borderId="19" xfId="0" applyNumberFormat="1" applyFont="1" applyBorder="1" applyAlignment="1">
      <alignment horizontal="center" vertical="center"/>
    </xf>
    <xf numFmtId="1" fontId="4" fillId="0" borderId="19" xfId="0" applyNumberFormat="1" applyFont="1" applyBorder="1" applyAlignment="1">
      <alignment horizontal="center" vertical="center"/>
    </xf>
    <xf numFmtId="180" fontId="4" fillId="3" borderId="19" xfId="0" applyNumberFormat="1" applyFont="1" applyFill="1" applyBorder="1" applyAlignment="1">
      <alignment horizontal="center" vertical="center"/>
    </xf>
    <xf numFmtId="1" fontId="4" fillId="3" borderId="19" xfId="0" applyNumberFormat="1" applyFont="1" applyFill="1" applyBorder="1" applyAlignment="1">
      <alignment horizontal="center" vertical="center"/>
    </xf>
    <xf numFmtId="0" fontId="4" fillId="0" borderId="3" xfId="164" applyFont="1" applyFill="1" applyBorder="1" applyAlignment="1">
      <alignment horizontal="center" vertical="center" wrapText="1"/>
    </xf>
    <xf numFmtId="0" fontId="10" fillId="0" borderId="0" xfId="0" applyFont="1" applyFill="1" applyBorder="1" applyAlignment="1">
      <alignment horizontal="center" vertical="center"/>
    </xf>
    <xf numFmtId="2" fontId="10" fillId="0" borderId="0" xfId="0" applyNumberFormat="1" applyFont="1" applyFill="1" applyBorder="1" applyAlignment="1">
      <alignment vertical="center"/>
    </xf>
    <xf numFmtId="2" fontId="10" fillId="0" borderId="0" xfId="271" applyNumberFormat="1" applyFont="1" applyFill="1" applyBorder="1" applyAlignment="1">
      <alignment vertical="center"/>
    </xf>
    <xf numFmtId="0" fontId="4" fillId="2" borderId="16" xfId="270" applyFont="1" applyFill="1" applyBorder="1"/>
    <xf numFmtId="0" fontId="10" fillId="2" borderId="1" xfId="317" applyFont="1" applyFill="1" applyBorder="1" applyAlignment="1">
      <alignment vertical="center"/>
    </xf>
    <xf numFmtId="0" fontId="4" fillId="2" borderId="2" xfId="317" applyFont="1" applyFill="1" applyBorder="1" applyAlignment="1">
      <alignment horizontal="right" vertical="center"/>
    </xf>
    <xf numFmtId="0" fontId="4" fillId="2" borderId="2" xfId="317" applyFont="1" applyFill="1" applyBorder="1" applyAlignment="1">
      <alignment horizontal="left" vertical="center"/>
    </xf>
    <xf numFmtId="0" fontId="4" fillId="2" borderId="2" xfId="317" applyFont="1" applyFill="1" applyBorder="1" applyAlignment="1">
      <alignment vertical="center"/>
    </xf>
    <xf numFmtId="0" fontId="4" fillId="2" borderId="17" xfId="270" applyFont="1" applyFill="1" applyBorder="1" applyAlignment="1">
      <alignment vertical="center"/>
    </xf>
    <xf numFmtId="0" fontId="10" fillId="2" borderId="3" xfId="317" applyFont="1" applyFill="1" applyBorder="1" applyAlignment="1">
      <alignment vertical="center"/>
    </xf>
    <xf numFmtId="0" fontId="4" fillId="2" borderId="0" xfId="317" applyFont="1" applyFill="1" applyBorder="1" applyAlignment="1">
      <alignment horizontal="right" vertical="center"/>
    </xf>
    <xf numFmtId="49" fontId="4" fillId="2" borderId="0" xfId="317" applyNumberFormat="1" applyFont="1" applyFill="1" applyBorder="1" applyAlignment="1">
      <alignment horizontal="left" vertical="center"/>
    </xf>
    <xf numFmtId="0" fontId="4" fillId="2" borderId="0" xfId="314" applyFont="1" applyFill="1" applyBorder="1" applyAlignment="1">
      <alignment vertical="center"/>
    </xf>
    <xf numFmtId="0" fontId="4" fillId="2" borderId="0" xfId="317" applyFont="1" applyFill="1" applyBorder="1" applyAlignment="1">
      <alignment horizontal="left" vertical="center"/>
    </xf>
    <xf numFmtId="0" fontId="4" fillId="2" borderId="3" xfId="317" applyFont="1" applyFill="1" applyBorder="1" applyAlignment="1">
      <alignment horizontal="right" vertical="center"/>
    </xf>
    <xf numFmtId="2" fontId="4" fillId="2" borderId="0" xfId="317" applyNumberFormat="1" applyFont="1" applyFill="1" applyBorder="1" applyAlignment="1">
      <alignment horizontal="left" vertical="center"/>
    </xf>
    <xf numFmtId="0" fontId="4" fillId="2" borderId="14" xfId="317" applyFont="1" applyFill="1" applyBorder="1" applyAlignment="1">
      <alignment horizontal="right" vertical="center"/>
    </xf>
    <xf numFmtId="0" fontId="4" fillId="2" borderId="15" xfId="317" applyFont="1" applyFill="1" applyBorder="1" applyAlignment="1">
      <alignment horizontal="right" vertical="center"/>
    </xf>
    <xf numFmtId="178" fontId="4" fillId="2" borderId="15" xfId="0" applyNumberFormat="1" applyFont="1" applyFill="1" applyBorder="1" applyAlignment="1">
      <alignment horizontal="left" vertical="center" wrapText="1"/>
    </xf>
    <xf numFmtId="183" fontId="4" fillId="2" borderId="15" xfId="317" applyNumberFormat="1" applyFont="1" applyFill="1" applyBorder="1" applyAlignment="1">
      <alignment horizontal="left" vertical="center"/>
    </xf>
    <xf numFmtId="0" fontId="10" fillId="2" borderId="3" xfId="317" applyFont="1" applyFill="1" applyBorder="1" applyAlignment="1">
      <alignment horizontal="left" vertical="center"/>
    </xf>
    <xf numFmtId="14" fontId="10" fillId="2" borderId="0" xfId="317" applyNumberFormat="1" applyFont="1" applyFill="1" applyBorder="1" applyAlignment="1">
      <alignment vertical="center"/>
    </xf>
    <xf numFmtId="0" fontId="4" fillId="2" borderId="0" xfId="317" applyFont="1" applyFill="1" applyBorder="1" applyAlignment="1">
      <alignment vertical="center"/>
    </xf>
    <xf numFmtId="0" fontId="4" fillId="2" borderId="1" xfId="317" applyFont="1" applyFill="1" applyBorder="1" applyAlignment="1">
      <alignment vertical="center"/>
    </xf>
    <xf numFmtId="0" fontId="10" fillId="2" borderId="2" xfId="317" applyFont="1" applyFill="1" applyBorder="1" applyAlignment="1">
      <alignment horizontal="right" vertical="center"/>
    </xf>
    <xf numFmtId="0" fontId="4" fillId="2" borderId="3" xfId="317" applyFont="1" applyFill="1" applyBorder="1" applyAlignment="1">
      <alignment vertical="center"/>
    </xf>
    <xf numFmtId="0" fontId="4" fillId="0" borderId="0" xfId="317" applyFont="1" applyFill="1" applyBorder="1" applyAlignment="1">
      <alignment horizontal="left" vertical="center"/>
    </xf>
    <xf numFmtId="0" fontId="4" fillId="2" borderId="14" xfId="317" applyFont="1" applyFill="1" applyBorder="1" applyAlignment="1">
      <alignment vertical="center"/>
    </xf>
    <xf numFmtId="0" fontId="4" fillId="2" borderId="15" xfId="317" applyFont="1" applyFill="1" applyBorder="1" applyAlignment="1">
      <alignment vertical="center"/>
    </xf>
    <xf numFmtId="0" fontId="1" fillId="2" borderId="3" xfId="0" applyFont="1" applyFill="1" applyBorder="1" applyAlignment="1">
      <alignment vertical="center"/>
    </xf>
    <xf numFmtId="0" fontId="10" fillId="2" borderId="24" xfId="0" applyFont="1" applyFill="1" applyBorder="1" applyAlignment="1">
      <alignment horizontal="center" vertical="center"/>
    </xf>
    <xf numFmtId="0" fontId="4" fillId="2" borderId="25" xfId="0" applyFont="1" applyFill="1" applyBorder="1" applyAlignment="1"/>
    <xf numFmtId="0" fontId="4" fillId="2" borderId="3" xfId="317" applyFont="1" applyFill="1" applyBorder="1" applyAlignment="1">
      <alignment horizontal="center" vertical="center"/>
    </xf>
    <xf numFmtId="49" fontId="4" fillId="2" borderId="0" xfId="317" applyNumberFormat="1" applyFont="1" applyFill="1" applyBorder="1" applyAlignment="1">
      <alignment horizontal="center" vertical="center" wrapText="1"/>
    </xf>
    <xf numFmtId="0" fontId="4" fillId="2" borderId="0" xfId="317" applyFont="1" applyFill="1" applyBorder="1" applyAlignment="1">
      <alignment horizontal="center" vertical="center" wrapText="1"/>
    </xf>
    <xf numFmtId="181" fontId="4" fillId="2" borderId="0" xfId="317" applyNumberFormat="1" applyFont="1" applyFill="1" applyBorder="1" applyAlignment="1">
      <alignment horizontal="center" vertical="center" wrapText="1"/>
    </xf>
    <xf numFmtId="181" fontId="4" fillId="2" borderId="0" xfId="317" applyNumberFormat="1" applyFont="1" applyFill="1" applyBorder="1" applyAlignment="1">
      <alignment horizontal="center" vertical="center"/>
    </xf>
    <xf numFmtId="0" fontId="1" fillId="2" borderId="0" xfId="0" applyFont="1" applyFill="1" applyBorder="1" applyAlignment="1">
      <alignment vertical="center"/>
    </xf>
    <xf numFmtId="0" fontId="4" fillId="2" borderId="0" xfId="317" applyFont="1" applyFill="1" applyBorder="1" applyAlignment="1">
      <alignment horizontal="left" vertical="center" wrapText="1"/>
    </xf>
    <xf numFmtId="0" fontId="4" fillId="2" borderId="15" xfId="317" applyFont="1" applyFill="1" applyBorder="1" applyAlignment="1">
      <alignment horizontal="left" vertical="center"/>
    </xf>
    <xf numFmtId="0" fontId="4" fillId="2" borderId="17" xfId="270" applyFont="1" applyFill="1" applyBorder="1"/>
    <xf numFmtId="0" fontId="4" fillId="2" borderId="4" xfId="270" applyFont="1" applyFill="1" applyBorder="1" applyAlignment="1">
      <alignment vertical="center"/>
    </xf>
    <xf numFmtId="0" fontId="4" fillId="2" borderId="4" xfId="270" applyFont="1" applyFill="1" applyBorder="1" applyAlignment="1">
      <alignment horizontal="center" vertical="center"/>
    </xf>
    <xf numFmtId="0" fontId="4" fillId="2" borderId="22" xfId="270" applyFont="1" applyFill="1" applyBorder="1"/>
    <xf numFmtId="181" fontId="4" fillId="2" borderId="4" xfId="270" applyNumberFormat="1" applyFont="1" applyFill="1" applyBorder="1" applyAlignment="1">
      <alignment horizontal="center" vertical="center"/>
    </xf>
    <xf numFmtId="190" fontId="4" fillId="3" borderId="19" xfId="0" applyNumberFormat="1" applyFont="1" applyFill="1" applyBorder="1" applyAlignment="1">
      <alignment horizontal="center" vertical="center"/>
    </xf>
    <xf numFmtId="0" fontId="4" fillId="2" borderId="0" xfId="270" applyFont="1" applyFill="1" applyBorder="1"/>
    <xf numFmtId="0" fontId="4" fillId="2" borderId="16" xfId="317" applyFont="1" applyFill="1" applyBorder="1" applyAlignment="1">
      <alignment vertical="center"/>
    </xf>
    <xf numFmtId="0" fontId="4" fillId="2" borderId="17" xfId="317" applyFont="1" applyFill="1" applyBorder="1" applyAlignment="1">
      <alignment vertical="center"/>
    </xf>
    <xf numFmtId="10" fontId="4" fillId="2" borderId="15" xfId="317" applyNumberFormat="1" applyFont="1" applyFill="1" applyBorder="1" applyAlignment="1">
      <alignment horizontal="left" vertical="center"/>
    </xf>
    <xf numFmtId="0" fontId="4" fillId="2" borderId="22" xfId="317" applyFont="1" applyFill="1" applyBorder="1" applyAlignment="1">
      <alignment horizontal="left" vertical="center"/>
    </xf>
    <xf numFmtId="0" fontId="4" fillId="2" borderId="17" xfId="317" applyFont="1" applyFill="1" applyBorder="1" applyAlignment="1">
      <alignment horizontal="left" vertical="center"/>
    </xf>
    <xf numFmtId="9" fontId="4" fillId="2" borderId="2" xfId="317" applyNumberFormat="1" applyFont="1" applyFill="1" applyBorder="1" applyAlignment="1">
      <alignment vertical="center"/>
    </xf>
    <xf numFmtId="0" fontId="4" fillId="2" borderId="22" xfId="317" applyFont="1" applyFill="1" applyBorder="1" applyAlignment="1">
      <alignment vertical="center"/>
    </xf>
    <xf numFmtId="0" fontId="1" fillId="2" borderId="17" xfId="0" applyFont="1" applyFill="1" applyBorder="1" applyAlignment="1">
      <alignment vertical="center"/>
    </xf>
    <xf numFmtId="183" fontId="4" fillId="2" borderId="0" xfId="317" applyNumberFormat="1" applyFont="1" applyFill="1" applyBorder="1" applyAlignment="1">
      <alignment horizontal="center" vertical="center"/>
    </xf>
    <xf numFmtId="183" fontId="4" fillId="2" borderId="0" xfId="317" applyNumberFormat="1" applyFont="1" applyFill="1" applyBorder="1" applyAlignment="1">
      <alignment horizontal="center" vertical="center" wrapText="1"/>
    </xf>
    <xf numFmtId="183" fontId="4" fillId="2" borderId="17" xfId="317" applyNumberFormat="1" applyFont="1" applyFill="1" applyBorder="1" applyAlignment="1">
      <alignment horizontal="center" vertical="center" wrapText="1"/>
    </xf>
    <xf numFmtId="183" fontId="1" fillId="2" borderId="0" xfId="0" applyNumberFormat="1" applyFont="1" applyFill="1" applyBorder="1" applyAlignment="1">
      <alignment horizontal="center" vertical="center"/>
    </xf>
    <xf numFmtId="183" fontId="1" fillId="2" borderId="17" xfId="0" applyNumberFormat="1" applyFont="1" applyFill="1" applyBorder="1" applyAlignment="1">
      <alignment horizontal="center" vertical="center"/>
    </xf>
    <xf numFmtId="0" fontId="4" fillId="2" borderId="17" xfId="317" applyFont="1" applyFill="1" applyBorder="1" applyAlignment="1">
      <alignment horizontal="left" vertical="center" wrapText="1"/>
    </xf>
    <xf numFmtId="0" fontId="15" fillId="2" borderId="2" xfId="270" applyFont="1" applyFill="1" applyBorder="1" applyAlignment="1">
      <alignment vertical="center"/>
    </xf>
    <xf numFmtId="0" fontId="15" fillId="2" borderId="16" xfId="270" applyFont="1" applyFill="1" applyBorder="1"/>
    <xf numFmtId="0" fontId="15" fillId="2" borderId="0" xfId="270" applyFont="1" applyFill="1" applyBorder="1" applyAlignment="1">
      <alignment vertical="center"/>
    </xf>
    <xf numFmtId="0" fontId="15" fillId="2" borderId="17" xfId="270" applyFont="1" applyFill="1" applyBorder="1"/>
    <xf numFmtId="0" fontId="4" fillId="2" borderId="17" xfId="270" applyFont="1" applyFill="1" applyBorder="1" applyAlignment="1">
      <alignment horizontal="center" vertical="center"/>
    </xf>
    <xf numFmtId="0" fontId="15" fillId="2" borderId="15" xfId="270" applyFont="1" applyFill="1" applyBorder="1" applyAlignment="1">
      <alignment vertical="center"/>
    </xf>
    <xf numFmtId="0" fontId="15" fillId="2" borderId="22" xfId="270" applyFont="1" applyFill="1" applyBorder="1"/>
    <xf numFmtId="0" fontId="15" fillId="2" borderId="0" xfId="270" applyFont="1" applyFill="1" applyAlignment="1">
      <alignment vertical="center"/>
    </xf>
    <xf numFmtId="0" fontId="4" fillId="2" borderId="0" xfId="270" applyFont="1" applyFill="1" applyBorder="1" applyAlignment="1">
      <alignment horizontal="center" vertical="center"/>
    </xf>
    <xf numFmtId="0" fontId="16" fillId="0" borderId="0" xfId="186" applyFont="1" applyFill="1" applyBorder="1" applyAlignment="1">
      <alignment horizontal="center" vertical="center"/>
    </xf>
    <xf numFmtId="0" fontId="16" fillId="0" borderId="0" xfId="186" applyFont="1" applyFill="1" applyBorder="1" applyAlignment="1">
      <alignment horizontal="center" vertical="top"/>
    </xf>
    <xf numFmtId="0" fontId="13" fillId="0" borderId="0" xfId="270" applyFont="1" applyFill="1" applyBorder="1" applyAlignment="1">
      <alignment horizontal="center" vertical="center"/>
    </xf>
    <xf numFmtId="0" fontId="13" fillId="0" borderId="0" xfId="186" applyFont="1" applyFill="1" applyBorder="1" applyAlignment="1">
      <alignment vertical="top" wrapText="1"/>
    </xf>
    <xf numFmtId="0" fontId="13" fillId="0" borderId="0" xfId="186" applyFont="1" applyFill="1" applyBorder="1" applyAlignment="1">
      <alignment horizontal="left" vertical="top" wrapText="1"/>
    </xf>
    <xf numFmtId="49" fontId="13" fillId="0" borderId="0" xfId="186" applyNumberFormat="1" applyFont="1" applyFill="1" applyBorder="1" applyAlignment="1">
      <alignment horizontal="left" vertical="top"/>
    </xf>
    <xf numFmtId="0" fontId="13" fillId="0" borderId="0" xfId="186" applyFont="1" applyFill="1" applyBorder="1" applyAlignment="1">
      <alignment horizontal="left" vertical="center" wrapText="1"/>
    </xf>
    <xf numFmtId="0" fontId="16" fillId="0" borderId="0" xfId="186" applyFont="1" applyFill="1" applyBorder="1" applyAlignment="1">
      <alignment horizontal="left" vertical="top" wrapText="1"/>
    </xf>
    <xf numFmtId="0" fontId="13" fillId="0" borderId="0" xfId="186" applyFont="1" applyFill="1" applyBorder="1" applyAlignment="1">
      <alignment horizontal="center" vertical="center"/>
    </xf>
    <xf numFmtId="0" fontId="19" fillId="0" borderId="0" xfId="0" applyFont="1" applyFill="1" applyAlignment="1">
      <alignment horizontal="center" vertical="center"/>
    </xf>
    <xf numFmtId="0" fontId="21" fillId="0" borderId="0" xfId="186" applyFont="1" applyFill="1" applyBorder="1" applyAlignment="1">
      <alignment horizontal="left" vertical="center" wrapText="1"/>
    </xf>
    <xf numFmtId="0" fontId="16" fillId="0" borderId="0" xfId="0" applyFont="1" applyFill="1" applyBorder="1" applyAlignment="1">
      <alignment horizontal="center"/>
    </xf>
    <xf numFmtId="0" fontId="16" fillId="0" borderId="0" xfId="186" applyFont="1" applyFill="1" applyBorder="1" applyAlignment="1">
      <alignment horizontal="left" vertical="center" wrapText="1"/>
    </xf>
    <xf numFmtId="0" fontId="13" fillId="0" borderId="0" xfId="0" applyFont="1" applyFill="1" applyBorder="1" applyAlignment="1">
      <alignment horizontal="center" vertical="center"/>
    </xf>
    <xf numFmtId="0" fontId="1" fillId="0" borderId="0" xfId="0" applyFont="1" applyFill="1" applyAlignment="1">
      <alignment horizontal="center"/>
    </xf>
    <xf numFmtId="0" fontId="22" fillId="0" borderId="0" xfId="0" applyFont="1" applyFill="1" applyBorder="1" applyAlignment="1">
      <alignment horizontal="center"/>
    </xf>
    <xf numFmtId="0" fontId="23" fillId="0" borderId="0" xfId="0" applyFont="1" applyFill="1" applyBorder="1" applyAlignment="1">
      <alignment horizontal="center" vertical="top" wrapText="1"/>
    </xf>
    <xf numFmtId="2" fontId="16" fillId="0" borderId="0" xfId="186" applyNumberFormat="1" applyFont="1" applyFill="1" applyBorder="1" applyAlignment="1">
      <alignment horizontal="center" vertical="center"/>
    </xf>
    <xf numFmtId="14" fontId="16" fillId="0" borderId="0" xfId="186" applyNumberFormat="1" applyFont="1" applyFill="1" applyBorder="1" applyAlignment="1">
      <alignment horizontal="left" vertical="top" wrapText="1"/>
    </xf>
    <xf numFmtId="14" fontId="13" fillId="0" borderId="0" xfId="186" applyNumberFormat="1" applyFont="1" applyFill="1" applyBorder="1" applyAlignment="1">
      <alignment horizontal="left" vertical="top" wrapText="1"/>
    </xf>
    <xf numFmtId="180" fontId="16" fillId="0" borderId="0" xfId="186" applyNumberFormat="1" applyFont="1" applyFill="1" applyBorder="1" applyAlignment="1">
      <alignment horizontal="center" vertical="center"/>
    </xf>
    <xf numFmtId="0" fontId="13" fillId="0" borderId="0" xfId="186" applyFont="1" applyFill="1" applyBorder="1" applyAlignment="1">
      <alignment horizontal="center" vertical="top"/>
    </xf>
    <xf numFmtId="0" fontId="18" fillId="0" borderId="0" xfId="186" applyFont="1" applyFill="1" applyBorder="1" applyAlignment="1">
      <alignment horizontal="left" vertical="center" wrapText="1"/>
    </xf>
    <xf numFmtId="0" fontId="13" fillId="0" borderId="0" xfId="186" applyFont="1" applyFill="1" applyBorder="1" applyAlignment="1">
      <alignment horizontal="left" vertical="center" wrapText="1"/>
    </xf>
    <xf numFmtId="0" fontId="16" fillId="2" borderId="0" xfId="186" applyFont="1" applyFill="1" applyBorder="1" applyAlignment="1">
      <alignment horizontal="left" vertical="center" wrapText="1"/>
    </xf>
    <xf numFmtId="0" fontId="20" fillId="0" borderId="0" xfId="186" applyFont="1" applyFill="1" applyBorder="1" applyAlignment="1">
      <alignment horizontal="left" vertical="center" wrapText="1"/>
    </xf>
    <xf numFmtId="0" fontId="16" fillId="0" borderId="0" xfId="186" applyFont="1" applyFill="1" applyAlignment="1">
      <alignment horizontal="center" vertical="top" wrapText="1"/>
    </xf>
    <xf numFmtId="0" fontId="17" fillId="0" borderId="0" xfId="186" applyFont="1" applyFill="1" applyBorder="1" applyAlignment="1">
      <alignment horizontal="center" vertical="center"/>
    </xf>
    <xf numFmtId="0" fontId="12" fillId="2" borderId="15" xfId="270" applyFont="1" applyFill="1" applyBorder="1" applyAlignment="1">
      <alignment horizontal="center" vertical="center"/>
    </xf>
    <xf numFmtId="49" fontId="13" fillId="2" borderId="15" xfId="270" applyNumberFormat="1" applyFont="1" applyFill="1" applyBorder="1" applyAlignment="1">
      <alignment horizontal="right" vertical="center"/>
    </xf>
    <xf numFmtId="0" fontId="13" fillId="2" borderId="15" xfId="270" applyFont="1" applyFill="1" applyBorder="1" applyAlignment="1">
      <alignment horizontal="left" vertical="center"/>
    </xf>
    <xf numFmtId="0" fontId="13" fillId="2" borderId="0" xfId="0" applyFont="1" applyFill="1" applyBorder="1" applyAlignment="1">
      <alignment horizontal="center"/>
    </xf>
    <xf numFmtId="0" fontId="10" fillId="2" borderId="12" xfId="315" applyFont="1" applyFill="1" applyBorder="1" applyAlignment="1">
      <alignment horizontal="center" vertical="center"/>
    </xf>
    <xf numFmtId="0" fontId="10" fillId="2" borderId="13" xfId="315" applyFont="1" applyFill="1" applyBorder="1" applyAlignment="1">
      <alignment horizontal="center" vertical="center"/>
    </xf>
    <xf numFmtId="0" fontId="10" fillId="2" borderId="21" xfId="315" applyFont="1" applyFill="1" applyBorder="1" applyAlignment="1">
      <alignment horizontal="center" vertical="center"/>
    </xf>
    <xf numFmtId="179" fontId="10" fillId="0" borderId="12" xfId="94" applyNumberFormat="1" applyFont="1" applyFill="1" applyBorder="1" applyAlignment="1">
      <alignment horizontal="center" vertical="center"/>
    </xf>
    <xf numFmtId="179" fontId="10" fillId="0" borderId="6" xfId="94" applyNumberFormat="1" applyFont="1" applyFill="1" applyBorder="1" applyAlignment="1">
      <alignment horizontal="center" vertical="center"/>
    </xf>
    <xf numFmtId="179" fontId="10" fillId="0" borderId="13" xfId="94" applyNumberFormat="1" applyFont="1" applyFill="1" applyBorder="1" applyAlignment="1">
      <alignment horizontal="center" vertical="center"/>
    </xf>
    <xf numFmtId="179" fontId="10" fillId="0" borderId="21" xfId="94" applyNumberFormat="1" applyFont="1" applyFill="1" applyBorder="1" applyAlignment="1">
      <alignment horizontal="center" vertical="center"/>
    </xf>
    <xf numFmtId="0" fontId="4" fillId="2" borderId="3" xfId="270" applyFont="1" applyFill="1" applyBorder="1" applyAlignment="1">
      <alignment horizontal="center" vertical="center"/>
    </xf>
    <xf numFmtId="0" fontId="4" fillId="2" borderId="0" xfId="270" applyFont="1" applyFill="1" applyAlignment="1">
      <alignment horizontal="center" vertical="center"/>
    </xf>
    <xf numFmtId="0" fontId="4" fillId="2" borderId="17" xfId="270" applyFont="1" applyFill="1" applyBorder="1" applyAlignment="1">
      <alignment horizontal="center" vertical="center"/>
    </xf>
    <xf numFmtId="0" fontId="10" fillId="0" borderId="12" xfId="0" applyFont="1" applyBorder="1" applyAlignment="1">
      <alignment horizontal="center" vertical="center"/>
    </xf>
    <xf numFmtId="0" fontId="10" fillId="0" borderId="13" xfId="0" applyFont="1" applyBorder="1" applyAlignment="1">
      <alignment horizontal="center" vertical="center"/>
    </xf>
    <xf numFmtId="0" fontId="10" fillId="0" borderId="21" xfId="0" applyFont="1" applyBorder="1" applyAlignment="1">
      <alignment horizontal="center" vertical="center"/>
    </xf>
    <xf numFmtId="0" fontId="4" fillId="3" borderId="12" xfId="0" applyFont="1" applyFill="1" applyBorder="1" applyAlignment="1">
      <alignment horizontal="center" vertical="center"/>
    </xf>
    <xf numFmtId="0" fontId="4" fillId="3" borderId="13" xfId="0" applyFont="1" applyFill="1" applyBorder="1" applyAlignment="1">
      <alignment horizontal="center" vertical="center"/>
    </xf>
    <xf numFmtId="0" fontId="4" fillId="3" borderId="21" xfId="0" applyFont="1" applyFill="1" applyBorder="1" applyAlignment="1">
      <alignment horizontal="center" vertical="center"/>
    </xf>
    <xf numFmtId="0" fontId="4" fillId="0" borderId="12" xfId="0" applyFont="1" applyBorder="1" applyAlignment="1">
      <alignment horizontal="center" vertical="center"/>
    </xf>
    <xf numFmtId="0" fontId="4" fillId="0" borderId="13" xfId="0" applyFont="1" applyBorder="1" applyAlignment="1">
      <alignment horizontal="center" vertical="center"/>
    </xf>
    <xf numFmtId="0" fontId="4" fillId="0" borderId="21" xfId="0" applyFont="1" applyBorder="1" applyAlignment="1">
      <alignment horizontal="center" vertical="center"/>
    </xf>
    <xf numFmtId="0" fontId="4" fillId="0" borderId="13" xfId="0" applyFont="1" applyBorder="1" applyAlignment="1">
      <alignment horizontal="left" vertical="center"/>
    </xf>
    <xf numFmtId="0" fontId="4" fillId="0" borderId="21" xfId="0" applyFont="1" applyBorder="1" applyAlignment="1">
      <alignment horizontal="left" vertical="center"/>
    </xf>
    <xf numFmtId="0" fontId="14" fillId="2" borderId="0" xfId="270" applyFont="1" applyFill="1" applyBorder="1" applyAlignment="1">
      <alignment horizontal="left" vertical="center" wrapText="1"/>
    </xf>
    <xf numFmtId="0" fontId="4" fillId="2" borderId="0" xfId="270" applyFont="1" applyFill="1" applyBorder="1" applyAlignment="1">
      <alignment horizontal="left" vertical="center"/>
    </xf>
    <xf numFmtId="0" fontId="10" fillId="0" borderId="10" xfId="0" applyFont="1" applyBorder="1" applyAlignment="1">
      <alignment horizontal="center" vertical="center"/>
    </xf>
    <xf numFmtId="0" fontId="10" fillId="0" borderId="23" xfId="0" applyFont="1" applyBorder="1" applyAlignment="1">
      <alignment horizontal="center" vertical="center"/>
    </xf>
    <xf numFmtId="0" fontId="10" fillId="0" borderId="11" xfId="0" applyFont="1" applyBorder="1" applyAlignment="1">
      <alignment horizontal="center" vertical="center"/>
    </xf>
    <xf numFmtId="0" fontId="4" fillId="2" borderId="26" xfId="317" applyFont="1" applyFill="1" applyBorder="1" applyAlignment="1">
      <alignment horizontal="center" vertical="center" wrapText="1"/>
    </xf>
    <xf numFmtId="0" fontId="4" fillId="2" borderId="28" xfId="317" applyFont="1" applyFill="1" applyBorder="1" applyAlignment="1">
      <alignment horizontal="center" vertical="center" wrapText="1"/>
    </xf>
    <xf numFmtId="0" fontId="4" fillId="2" borderId="29" xfId="317" applyFont="1" applyFill="1" applyBorder="1" applyAlignment="1">
      <alignment horizontal="center" vertical="center"/>
    </xf>
    <xf numFmtId="0" fontId="4" fillId="2" borderId="30" xfId="317" applyFont="1" applyFill="1" applyBorder="1" applyAlignment="1">
      <alignment horizontal="center" vertical="center"/>
    </xf>
    <xf numFmtId="0" fontId="4" fillId="2" borderId="28" xfId="317" applyFont="1" applyFill="1" applyBorder="1" applyAlignment="1">
      <alignment horizontal="center" vertical="center"/>
    </xf>
    <xf numFmtId="0" fontId="4" fillId="2" borderId="27" xfId="317" applyFont="1" applyFill="1" applyBorder="1" applyAlignment="1">
      <alignment horizontal="center" vertical="center"/>
    </xf>
    <xf numFmtId="0" fontId="4" fillId="2" borderId="11" xfId="317" applyFont="1" applyFill="1" applyBorder="1" applyAlignment="1">
      <alignment horizontal="center" vertical="center"/>
    </xf>
    <xf numFmtId="49" fontId="4" fillId="2" borderId="10" xfId="317" applyNumberFormat="1" applyFont="1" applyFill="1" applyBorder="1" applyAlignment="1">
      <alignment horizontal="center" vertical="center" wrapText="1"/>
    </xf>
    <xf numFmtId="49" fontId="4" fillId="2" borderId="23" xfId="317" applyNumberFormat="1" applyFont="1" applyFill="1" applyBorder="1" applyAlignment="1">
      <alignment horizontal="center" vertical="center" wrapText="1"/>
    </xf>
    <xf numFmtId="49" fontId="4" fillId="2" borderId="11" xfId="317" applyNumberFormat="1" applyFont="1" applyFill="1" applyBorder="1" applyAlignment="1">
      <alignment horizontal="center" vertical="center" wrapText="1"/>
    </xf>
    <xf numFmtId="0" fontId="4" fillId="2" borderId="10" xfId="317" applyFont="1" applyFill="1" applyBorder="1" applyAlignment="1">
      <alignment horizontal="center" vertical="center" wrapText="1"/>
    </xf>
    <xf numFmtId="0" fontId="4" fillId="2" borderId="23" xfId="317" applyFont="1" applyFill="1" applyBorder="1" applyAlignment="1">
      <alignment horizontal="center" vertical="center" wrapText="1"/>
    </xf>
    <xf numFmtId="0" fontId="4" fillId="2" borderId="11" xfId="317" applyFont="1" applyFill="1" applyBorder="1" applyAlignment="1">
      <alignment horizontal="center" vertical="center" wrapText="1"/>
    </xf>
    <xf numFmtId="0" fontId="4" fillId="2" borderId="27" xfId="317" applyFont="1" applyFill="1" applyBorder="1" applyAlignment="1">
      <alignment horizontal="center" vertical="center" wrapText="1"/>
    </xf>
    <xf numFmtId="188" fontId="4" fillId="2" borderId="10" xfId="317" applyNumberFormat="1" applyFont="1" applyFill="1" applyBorder="1" applyAlignment="1">
      <alignment horizontal="center" vertical="center" wrapText="1"/>
    </xf>
    <xf numFmtId="188" fontId="4" fillId="2" borderId="23" xfId="317" applyNumberFormat="1" applyFont="1" applyFill="1" applyBorder="1" applyAlignment="1">
      <alignment horizontal="center" vertical="center" wrapText="1"/>
    </xf>
    <xf numFmtId="188" fontId="4" fillId="2" borderId="11" xfId="317" applyNumberFormat="1" applyFont="1" applyFill="1" applyBorder="1" applyAlignment="1">
      <alignment horizontal="center" vertical="center" wrapText="1"/>
    </xf>
    <xf numFmtId="179" fontId="4" fillId="2" borderId="10" xfId="317" applyNumberFormat="1" applyFont="1" applyFill="1" applyBorder="1" applyAlignment="1">
      <alignment horizontal="center" vertical="center"/>
    </xf>
    <xf numFmtId="179" fontId="4" fillId="2" borderId="23" xfId="317" applyNumberFormat="1" applyFont="1" applyFill="1" applyBorder="1" applyAlignment="1">
      <alignment horizontal="center" vertical="center"/>
    </xf>
    <xf numFmtId="179" fontId="4" fillId="2" borderId="11" xfId="317" applyNumberFormat="1" applyFont="1" applyFill="1" applyBorder="1" applyAlignment="1">
      <alignment horizontal="center" vertical="center"/>
    </xf>
    <xf numFmtId="0" fontId="4" fillId="2" borderId="31" xfId="317" applyFont="1" applyFill="1" applyBorder="1" applyAlignment="1">
      <alignment horizontal="center" vertical="center" wrapText="1"/>
    </xf>
    <xf numFmtId="0" fontId="4" fillId="2" borderId="7" xfId="317" applyFont="1" applyFill="1" applyBorder="1" applyAlignment="1">
      <alignment horizontal="center" vertical="center" wrapText="1"/>
    </xf>
    <xf numFmtId="183" fontId="4" fillId="2" borderId="5" xfId="317" applyNumberFormat="1" applyFont="1" applyFill="1" applyBorder="1" applyAlignment="1">
      <alignment horizontal="center" vertical="center"/>
    </xf>
    <xf numFmtId="183" fontId="4" fillId="2" borderId="9" xfId="317" applyNumberFormat="1" applyFont="1" applyFill="1" applyBorder="1" applyAlignment="1">
      <alignment horizontal="center" vertical="center"/>
    </xf>
    <xf numFmtId="183" fontId="4" fillId="2" borderId="7" xfId="317" applyNumberFormat="1" applyFont="1" applyFill="1" applyBorder="1" applyAlignment="1">
      <alignment horizontal="center" vertical="center"/>
    </xf>
    <xf numFmtId="0" fontId="4" fillId="2" borderId="32" xfId="317" applyFont="1" applyFill="1" applyBorder="1" applyAlignment="1">
      <alignment horizontal="center" vertical="center" wrapText="1"/>
    </xf>
    <xf numFmtId="0" fontId="4" fillId="2" borderId="4" xfId="317" applyFont="1" applyFill="1" applyBorder="1" applyAlignment="1">
      <alignment horizontal="center" vertical="center" wrapText="1"/>
    </xf>
    <xf numFmtId="183" fontId="4" fillId="2" borderId="4" xfId="317" applyNumberFormat="1" applyFont="1" applyFill="1" applyBorder="1" applyAlignment="1">
      <alignment horizontal="center" vertical="center" wrapText="1"/>
    </xf>
    <xf numFmtId="0" fontId="4" fillId="2" borderId="33" xfId="317" applyFont="1" applyFill="1" applyBorder="1" applyAlignment="1">
      <alignment horizontal="center" vertical="center" wrapText="1"/>
    </xf>
    <xf numFmtId="0" fontId="4" fillId="2" borderId="34" xfId="317" applyFont="1" applyFill="1" applyBorder="1" applyAlignment="1">
      <alignment horizontal="center" vertical="center" wrapText="1"/>
    </xf>
    <xf numFmtId="183" fontId="4" fillId="2" borderId="34" xfId="317" applyNumberFormat="1" applyFont="1" applyFill="1" applyBorder="1" applyAlignment="1">
      <alignment horizontal="center" vertical="center" wrapText="1"/>
    </xf>
    <xf numFmtId="0" fontId="13" fillId="2" borderId="2" xfId="0" applyFont="1" applyFill="1" applyBorder="1" applyAlignment="1">
      <alignment horizontal="center" vertical="center"/>
    </xf>
    <xf numFmtId="0" fontId="13" fillId="2" borderId="8" xfId="0" applyFont="1" applyFill="1" applyBorder="1" applyAlignment="1">
      <alignment horizontal="center" vertical="center"/>
    </xf>
    <xf numFmtId="0" fontId="10" fillId="0" borderId="1" xfId="0" applyFont="1" applyFill="1" applyBorder="1" applyAlignment="1">
      <alignment horizontal="center" vertical="center" wrapText="1"/>
    </xf>
    <xf numFmtId="0" fontId="10" fillId="0" borderId="3" xfId="0" applyFont="1" applyFill="1" applyBorder="1" applyAlignment="1">
      <alignment horizontal="center" vertical="center" wrapText="1"/>
    </xf>
    <xf numFmtId="0" fontId="10" fillId="0" borderId="14" xfId="0" applyFont="1" applyFill="1" applyBorder="1" applyAlignment="1">
      <alignment horizontal="center" vertical="center" wrapText="1"/>
    </xf>
    <xf numFmtId="11" fontId="4" fillId="0" borderId="0" xfId="313" applyNumberFormat="1" applyFont="1" applyFill="1" applyBorder="1" applyAlignment="1">
      <alignment horizontal="left" vertical="center"/>
    </xf>
    <xf numFmtId="179" fontId="10" fillId="0" borderId="15" xfId="313" applyNumberFormat="1" applyFont="1" applyFill="1" applyBorder="1" applyAlignment="1">
      <alignment horizontal="left" vertical="center"/>
    </xf>
    <xf numFmtId="0" fontId="3" fillId="0" borderId="4" xfId="0" applyFont="1" applyFill="1" applyBorder="1" applyAlignment="1">
      <alignment horizontal="center" vertical="center" wrapText="1"/>
    </xf>
    <xf numFmtId="0" fontId="4" fillId="0" borderId="0" xfId="312" applyFont="1" applyBorder="1" applyAlignment="1">
      <alignment horizontal="left" vertical="center" wrapText="1"/>
    </xf>
    <xf numFmtId="0" fontId="3" fillId="0" borderId="4" xfId="312" applyFont="1" applyFill="1" applyBorder="1" applyAlignment="1">
      <alignment horizontal="center" vertical="center" wrapText="1"/>
    </xf>
    <xf numFmtId="0" fontId="10" fillId="0" borderId="4" xfId="312" applyFont="1" applyFill="1" applyBorder="1" applyAlignment="1">
      <alignment horizontal="center" vertical="center"/>
    </xf>
    <xf numFmtId="0" fontId="1" fillId="0" borderId="10" xfId="0" applyFont="1" applyFill="1" applyBorder="1" applyAlignment="1">
      <alignment horizontal="center" vertical="center"/>
    </xf>
    <xf numFmtId="0" fontId="1" fillId="0" borderId="23" xfId="0" applyFont="1" applyFill="1" applyBorder="1" applyAlignment="1">
      <alignment horizontal="center" vertical="center"/>
    </xf>
    <xf numFmtId="0" fontId="1" fillId="0" borderId="11" xfId="0" applyFont="1" applyFill="1" applyBorder="1" applyAlignment="1">
      <alignment horizontal="center" vertical="center"/>
    </xf>
    <xf numFmtId="0" fontId="4" fillId="0" borderId="0" xfId="0" applyFont="1" applyFill="1" applyBorder="1" applyAlignment="1">
      <alignment horizontal="left" vertical="top" wrapText="1"/>
    </xf>
    <xf numFmtId="49" fontId="4" fillId="0" borderId="23" xfId="311" applyNumberFormat="1" applyFont="1" applyFill="1" applyBorder="1" applyAlignment="1">
      <alignment horizontal="center" vertical="center"/>
    </xf>
    <xf numFmtId="49" fontId="4" fillId="0" borderId="11" xfId="311" applyNumberFormat="1" applyFont="1" applyFill="1" applyBorder="1" applyAlignment="1">
      <alignment horizontal="center" vertical="center"/>
    </xf>
    <xf numFmtId="0" fontId="4" fillId="0" borderId="4" xfId="311" applyFont="1" applyFill="1" applyBorder="1" applyAlignment="1">
      <alignment horizontal="center" vertical="center"/>
    </xf>
    <xf numFmtId="181" fontId="4" fillId="0" borderId="4" xfId="311" applyNumberFormat="1" applyFont="1" applyFill="1" applyBorder="1" applyAlignment="1">
      <alignment horizontal="center" vertical="center"/>
    </xf>
    <xf numFmtId="183" fontId="4" fillId="0" borderId="4" xfId="311" applyNumberFormat="1" applyFont="1" applyFill="1" applyBorder="1" applyAlignment="1">
      <alignment horizontal="center" vertical="center"/>
    </xf>
    <xf numFmtId="179" fontId="4" fillId="0" borderId="4" xfId="311" applyNumberFormat="1" applyFont="1" applyFill="1" applyBorder="1" applyAlignment="1">
      <alignment horizontal="center" vertical="center"/>
    </xf>
    <xf numFmtId="2" fontId="4" fillId="0" borderId="4" xfId="0" applyNumberFormat="1" applyFont="1" applyFill="1" applyBorder="1" applyAlignment="1">
      <alignment horizontal="center" vertical="center" wrapText="1"/>
    </xf>
    <xf numFmtId="0" fontId="4" fillId="0" borderId="4" xfId="0" applyFont="1" applyFill="1" applyBorder="1" applyAlignment="1">
      <alignment horizontal="center" vertical="center" wrapText="1"/>
    </xf>
    <xf numFmtId="0" fontId="1" fillId="2" borderId="0" xfId="141" applyFont="1" applyFill="1" applyBorder="1" applyAlignment="1">
      <alignment horizontal="left" vertical="center" wrapText="1"/>
    </xf>
    <xf numFmtId="0" fontId="3" fillId="2" borderId="0" xfId="0" applyFont="1" applyFill="1" applyBorder="1" applyAlignment="1">
      <alignment horizontal="left" vertical="top"/>
    </xf>
    <xf numFmtId="0" fontId="2" fillId="2" borderId="5" xfId="0" applyFont="1" applyFill="1" applyBorder="1" applyAlignment="1">
      <alignment horizontal="left" vertical="top" wrapText="1"/>
    </xf>
    <xf numFmtId="0" fontId="2" fillId="2" borderId="6" xfId="0" applyFont="1" applyFill="1" applyBorder="1" applyAlignment="1">
      <alignment horizontal="left" vertical="top" wrapText="1"/>
    </xf>
    <xf numFmtId="0" fontId="2" fillId="2" borderId="18" xfId="0" applyFont="1" applyFill="1" applyBorder="1" applyAlignment="1">
      <alignment horizontal="left" vertical="top" wrapText="1"/>
    </xf>
    <xf numFmtId="0" fontId="5" fillId="2" borderId="7" xfId="0" applyFont="1" applyFill="1" applyBorder="1" applyAlignment="1">
      <alignment horizontal="left" vertical="top" wrapText="1"/>
    </xf>
    <xf numFmtId="0" fontId="2" fillId="2" borderId="8" xfId="0" applyFont="1" applyFill="1" applyBorder="1" applyAlignment="1">
      <alignment horizontal="left" vertical="top" wrapText="1"/>
    </xf>
    <xf numFmtId="0" fontId="2" fillId="2" borderId="19" xfId="0" applyFont="1" applyFill="1" applyBorder="1" applyAlignment="1">
      <alignment horizontal="left" vertical="top" wrapText="1"/>
    </xf>
    <xf numFmtId="0" fontId="5" fillId="2" borderId="0" xfId="0" applyFont="1" applyFill="1" applyBorder="1" applyAlignment="1">
      <alignment horizontal="left" vertical="center" wrapText="1"/>
    </xf>
    <xf numFmtId="0" fontId="2" fillId="2" borderId="0" xfId="0" applyFont="1" applyFill="1" applyBorder="1" applyAlignment="1">
      <alignment horizontal="left" vertical="center" wrapText="1"/>
    </xf>
    <xf numFmtId="0" fontId="5" fillId="2" borderId="0" xfId="0" applyFont="1" applyFill="1" applyAlignment="1"/>
    <xf numFmtId="0" fontId="2" fillId="2" borderId="0" xfId="0" applyFont="1" applyFill="1" applyAlignment="1"/>
    <xf numFmtId="0" fontId="5" fillId="2" borderId="5" xfId="0" applyFont="1" applyFill="1" applyBorder="1" applyAlignment="1">
      <alignment horizontal="left" vertical="top" wrapText="1"/>
    </xf>
    <xf numFmtId="0" fontId="6" fillId="2" borderId="7" xfId="0" applyFont="1" applyFill="1" applyBorder="1" applyAlignment="1">
      <alignment horizontal="left" vertical="center"/>
    </xf>
    <xf numFmtId="0" fontId="5" fillId="2" borderId="8" xfId="0" applyFont="1" applyFill="1" applyBorder="1" applyAlignment="1">
      <alignment horizontal="left" vertical="center"/>
    </xf>
    <xf numFmtId="0" fontId="5" fillId="2" borderId="19" xfId="0" applyFont="1" applyFill="1" applyBorder="1" applyAlignment="1">
      <alignment horizontal="left" vertical="center"/>
    </xf>
    <xf numFmtId="0" fontId="3" fillId="2" borderId="0" xfId="0" applyFont="1" applyFill="1" applyBorder="1" applyAlignment="1">
      <alignment horizontal="left" vertical="center" wrapText="1"/>
    </xf>
    <xf numFmtId="0" fontId="5" fillId="2" borderId="12" xfId="0" applyFont="1" applyFill="1" applyBorder="1" applyAlignment="1">
      <alignment horizontal="left" vertical="center"/>
    </xf>
    <xf numFmtId="0" fontId="2" fillId="2" borderId="13" xfId="0" applyFont="1" applyFill="1" applyBorder="1" applyAlignment="1">
      <alignment horizontal="left" vertical="center"/>
    </xf>
    <xf numFmtId="0" fontId="2" fillId="2" borderId="21" xfId="0" applyFont="1" applyFill="1" applyBorder="1" applyAlignment="1">
      <alignment horizontal="left" vertical="center"/>
    </xf>
    <xf numFmtId="0" fontId="3" fillId="2" borderId="10" xfId="0" applyFont="1" applyFill="1" applyBorder="1" applyAlignment="1">
      <alignment horizontal="center" vertical="center" wrapText="1"/>
    </xf>
    <xf numFmtId="0" fontId="3" fillId="2" borderId="11" xfId="0" applyFont="1" applyFill="1" applyBorder="1" applyAlignment="1">
      <alignment horizontal="center" vertical="center" wrapText="1"/>
    </xf>
    <xf numFmtId="0" fontId="5" fillId="2" borderId="5" xfId="0" applyFont="1" applyFill="1" applyBorder="1" applyAlignment="1">
      <alignment horizontal="left" vertical="center" wrapText="1"/>
    </xf>
    <xf numFmtId="0" fontId="5" fillId="2" borderId="6" xfId="0" applyFont="1" applyFill="1" applyBorder="1" applyAlignment="1">
      <alignment horizontal="left" vertical="center" wrapText="1"/>
    </xf>
    <xf numFmtId="0" fontId="5" fillId="2" borderId="18" xfId="0" applyFont="1" applyFill="1" applyBorder="1" applyAlignment="1">
      <alignment horizontal="left" vertical="center" wrapText="1"/>
    </xf>
    <xf numFmtId="0" fontId="5" fillId="2" borderId="7" xfId="0" applyFont="1" applyFill="1" applyBorder="1" applyAlignment="1">
      <alignment horizontal="left" vertical="center" wrapText="1"/>
    </xf>
    <xf numFmtId="0" fontId="5" fillId="2" borderId="8" xfId="0" applyFont="1" applyFill="1" applyBorder="1" applyAlignment="1">
      <alignment horizontal="left" vertical="center" wrapText="1"/>
    </xf>
    <xf numFmtId="0" fontId="5" fillId="2" borderId="19" xfId="0" applyFont="1" applyFill="1" applyBorder="1" applyAlignment="1">
      <alignment horizontal="left" vertical="center" wrapText="1"/>
    </xf>
    <xf numFmtId="0" fontId="2" fillId="2" borderId="5" xfId="0" applyFont="1" applyFill="1" applyBorder="1" applyAlignment="1">
      <alignment horizontal="left" vertical="center" wrapText="1"/>
    </xf>
    <xf numFmtId="0" fontId="2" fillId="2" borderId="6" xfId="0" applyFont="1" applyFill="1" applyBorder="1" applyAlignment="1">
      <alignment horizontal="left" vertical="center" wrapText="1"/>
    </xf>
    <xf numFmtId="0" fontId="2" fillId="2" borderId="18" xfId="0" applyFont="1" applyFill="1" applyBorder="1" applyAlignment="1">
      <alignment horizontal="left" vertical="center" wrapText="1"/>
    </xf>
    <xf numFmtId="0" fontId="2" fillId="2" borderId="7" xfId="0" applyFont="1" applyFill="1" applyBorder="1" applyAlignment="1">
      <alignment horizontal="left" vertical="center" wrapText="1"/>
    </xf>
    <xf numFmtId="0" fontId="2" fillId="2" borderId="8" xfId="0" applyFont="1" applyFill="1" applyBorder="1" applyAlignment="1">
      <alignment horizontal="left" vertical="center" wrapText="1"/>
    </xf>
    <xf numFmtId="0" fontId="2" fillId="2" borderId="19" xfId="0" applyFont="1" applyFill="1" applyBorder="1" applyAlignment="1">
      <alignment horizontal="left" vertical="center" wrapText="1"/>
    </xf>
  </cellXfs>
  <cellStyles count="326">
    <cellStyle name="20% - Accent1" xfId="1"/>
    <cellStyle name="20% - Accent1 2" xfId="2"/>
    <cellStyle name="20% - Accent2" xfId="3"/>
    <cellStyle name="20% - Accent2 2" xfId="4"/>
    <cellStyle name="20% - Accent2 2 2" xfId="5"/>
    <cellStyle name="20% - Accent2 2 3" xfId="6"/>
    <cellStyle name="20% - Accent2 2 3 2" xfId="7"/>
    <cellStyle name="20% - Accent2 3" xfId="8"/>
    <cellStyle name="20% - Accent2 3 2" xfId="9"/>
    <cellStyle name="20% - Accent2 3 3" xfId="10"/>
    <cellStyle name="20% - Accent2 4" xfId="11"/>
    <cellStyle name="20% - Accent3" xfId="12"/>
    <cellStyle name="20% - Accent3 2" xfId="13"/>
    <cellStyle name="20% - Accent4" xfId="14"/>
    <cellStyle name="20% - Accent4 2" xfId="15"/>
    <cellStyle name="20% - Accent4 2 2" xfId="16"/>
    <cellStyle name="20% - Accent4 2 3" xfId="17"/>
    <cellStyle name="20% - Accent4 2 3 2" xfId="18"/>
    <cellStyle name="20% - Accent4 3" xfId="19"/>
    <cellStyle name="20% - Accent4 3 2" xfId="20"/>
    <cellStyle name="20% - Accent4 3 3" xfId="21"/>
    <cellStyle name="20% - Accent4 4" xfId="22"/>
    <cellStyle name="20% - Accent5" xfId="23"/>
    <cellStyle name="20% - Accent5 2" xfId="24"/>
    <cellStyle name="20% - Accent6" xfId="25"/>
    <cellStyle name="20% - Accent6 2" xfId="26"/>
    <cellStyle name="40% - Accent1" xfId="27"/>
    <cellStyle name="40% - Accent1 2" xfId="28"/>
    <cellStyle name="40% - Accent2" xfId="29"/>
    <cellStyle name="40% - Accent2 2" xfId="30"/>
    <cellStyle name="40% - Accent3" xfId="31"/>
    <cellStyle name="40% - Accent3 2" xfId="32"/>
    <cellStyle name="40% - Accent4" xfId="33"/>
    <cellStyle name="40% - Accent4 2" xfId="34"/>
    <cellStyle name="40% - Accent5" xfId="35"/>
    <cellStyle name="40% - Accent5 2" xfId="36"/>
    <cellStyle name="40% - Accent6" xfId="37"/>
    <cellStyle name="40% - Accent6 2" xfId="38"/>
    <cellStyle name="40% - Accent6 2 2" xfId="39"/>
    <cellStyle name="40% - Accent6 2 3" xfId="40"/>
    <cellStyle name="40% - Accent6 3" xfId="41"/>
    <cellStyle name="40% - Accent6 3 2" xfId="42"/>
    <cellStyle name="40% - Accent6 3 3" xfId="43"/>
    <cellStyle name="40% - Accent6 4" xfId="44"/>
    <cellStyle name="60% - Accent1" xfId="45"/>
    <cellStyle name="60% - Accent1 2" xfId="46"/>
    <cellStyle name="60% - Accent2" xfId="47"/>
    <cellStyle name="60% - Accent2 2" xfId="48"/>
    <cellStyle name="60% - Accent3" xfId="49"/>
    <cellStyle name="60% - Accent3 2" xfId="50"/>
    <cellStyle name="60% - Accent4" xfId="51"/>
    <cellStyle name="60% - Accent4 2" xfId="52"/>
    <cellStyle name="60% - Accent5" xfId="53"/>
    <cellStyle name="60% - Accent5 2" xfId="54"/>
    <cellStyle name="60% - Accent6" xfId="55"/>
    <cellStyle name="60% - Accent6 2" xfId="56"/>
    <cellStyle name="Accent1" xfId="57"/>
    <cellStyle name="Accent1 2" xfId="58"/>
    <cellStyle name="Accent2" xfId="59"/>
    <cellStyle name="Accent2 2" xfId="60"/>
    <cellStyle name="Accent3" xfId="61"/>
    <cellStyle name="Accent3 2" xfId="62"/>
    <cellStyle name="Accent4" xfId="63"/>
    <cellStyle name="Accent4 2" xfId="64"/>
    <cellStyle name="Accent5" xfId="65"/>
    <cellStyle name="Accent5 2" xfId="66"/>
    <cellStyle name="Accent6" xfId="67"/>
    <cellStyle name="Accent6 2" xfId="68"/>
    <cellStyle name="Bad" xfId="69"/>
    <cellStyle name="Bad 2" xfId="70"/>
    <cellStyle name="Calculation" xfId="71"/>
    <cellStyle name="Calculation 2" xfId="72"/>
    <cellStyle name="Check Cell" xfId="73"/>
    <cellStyle name="Check Cell 2" xfId="74"/>
    <cellStyle name="Explanatory Text" xfId="75"/>
    <cellStyle name="Good" xfId="76"/>
    <cellStyle name="Good 2" xfId="77"/>
    <cellStyle name="Heading 1" xfId="78"/>
    <cellStyle name="Heading 2" xfId="79"/>
    <cellStyle name="Heading 3" xfId="80"/>
    <cellStyle name="Heading 4" xfId="81"/>
    <cellStyle name="Input" xfId="82"/>
    <cellStyle name="Input 2" xfId="83"/>
    <cellStyle name="Linked Cell" xfId="84"/>
    <cellStyle name="Neutral" xfId="85"/>
    <cellStyle name="Neutral 2" xfId="86"/>
    <cellStyle name="Normal 2" xfId="87"/>
    <cellStyle name="Normal 2 2 2 2" xfId="88"/>
    <cellStyle name="Normal 27" xfId="89"/>
    <cellStyle name="Normal 27 4" xfId="90"/>
    <cellStyle name="Normal 28 2" xfId="91"/>
    <cellStyle name="Normal 30" xfId="92"/>
    <cellStyle name="Normal 31" xfId="93"/>
    <cellStyle name="Normal_request in life week 52" xfId="94"/>
    <cellStyle name="Note" xfId="95"/>
    <cellStyle name="Note 2" xfId="96"/>
    <cellStyle name="Note 2 2" xfId="97"/>
    <cellStyle name="Note 2 2 2" xfId="98"/>
    <cellStyle name="Note 2 2 2 2" xfId="99"/>
    <cellStyle name="Note 2 2 2 3" xfId="100"/>
    <cellStyle name="Note 2 2 3" xfId="101"/>
    <cellStyle name="Note 2 2 3 2" xfId="102"/>
    <cellStyle name="Note 2 2 4" xfId="103"/>
    <cellStyle name="Note 2 3" xfId="104"/>
    <cellStyle name="Note 2 3 2" xfId="105"/>
    <cellStyle name="Note 2 3 3" xfId="106"/>
    <cellStyle name="Note 2 4" xfId="107"/>
    <cellStyle name="Note 2 4 2" xfId="108"/>
    <cellStyle name="Note 2 4 2 2" xfId="109"/>
    <cellStyle name="Note 2 4 3" xfId="110"/>
    <cellStyle name="Note 2 5" xfId="111"/>
    <cellStyle name="Note 2 5 2" xfId="112"/>
    <cellStyle name="Note 2 6" xfId="113"/>
    <cellStyle name="Note 2 6 2" xfId="114"/>
    <cellStyle name="Note 2 7" xfId="115"/>
    <cellStyle name="Note 2 8" xfId="116"/>
    <cellStyle name="Note 2 9" xfId="117"/>
    <cellStyle name="Note 3" xfId="118"/>
    <cellStyle name="Note 3 2" xfId="119"/>
    <cellStyle name="Note 3 3" xfId="120"/>
    <cellStyle name="Note 4" xfId="121"/>
    <cellStyle name="Note 4 2" xfId="122"/>
    <cellStyle name="Note 4 3" xfId="123"/>
    <cellStyle name="Note 5" xfId="124"/>
    <cellStyle name="Note 6" xfId="125"/>
    <cellStyle name="Note 7" xfId="126"/>
    <cellStyle name="Output" xfId="127"/>
    <cellStyle name="Output 2" xfId="128"/>
    <cellStyle name="Style 1" xfId="129"/>
    <cellStyle name="Style 1 2 2" xfId="130"/>
    <cellStyle name="Style 1 3" xfId="131"/>
    <cellStyle name="Title" xfId="132"/>
    <cellStyle name="Total" xfId="133"/>
    <cellStyle name="Total 2" xfId="134"/>
    <cellStyle name="Warning Text" xfId="135"/>
    <cellStyle name="百分比 2" xfId="136"/>
    <cellStyle name="常规" xfId="0" builtinId="0"/>
    <cellStyle name="常规 10" xfId="137"/>
    <cellStyle name="常规 10 2" xfId="138"/>
    <cellStyle name="常规 10 2 2" xfId="139"/>
    <cellStyle name="常规 10 3" xfId="140"/>
    <cellStyle name="常规 10 3 2" xfId="141"/>
    <cellStyle name="常规 10 4" xfId="142"/>
    <cellStyle name="常规 10 5" xfId="143"/>
    <cellStyle name="常规 11" xfId="144"/>
    <cellStyle name="常规 11 2" xfId="145"/>
    <cellStyle name="常规 11 2 2" xfId="146"/>
    <cellStyle name="常规 11 2 3" xfId="147"/>
    <cellStyle name="常规 11 3" xfId="148"/>
    <cellStyle name="常规 11 4" xfId="149"/>
    <cellStyle name="常规 11 5" xfId="150"/>
    <cellStyle name="常规 11 6" xfId="151"/>
    <cellStyle name="常规 11 7" xfId="152"/>
    <cellStyle name="常规 12" xfId="153"/>
    <cellStyle name="常规 12 2" xfId="154"/>
    <cellStyle name="常规 12 3" xfId="155"/>
    <cellStyle name="常规 13" xfId="156"/>
    <cellStyle name="常规 13 2" xfId="157"/>
    <cellStyle name="常规 13 3" xfId="158"/>
    <cellStyle name="常规 13 4" xfId="159"/>
    <cellStyle name="常规 14" xfId="160"/>
    <cellStyle name="常规 15" xfId="161"/>
    <cellStyle name="常规 16" xfId="162"/>
    <cellStyle name="常规 17" xfId="163"/>
    <cellStyle name="常规 18" xfId="164"/>
    <cellStyle name="常规 2" xfId="165"/>
    <cellStyle name="常规 2 2" xfId="166"/>
    <cellStyle name="常规 2 2 2" xfId="167"/>
    <cellStyle name="常规 2 2 2 2" xfId="168"/>
    <cellStyle name="常规 2 2 3" xfId="169"/>
    <cellStyle name="常规 2 2 3 2" xfId="170"/>
    <cellStyle name="常规 2 2 4" xfId="171"/>
    <cellStyle name="常规 2 2 5" xfId="172"/>
    <cellStyle name="常规 2 3" xfId="173"/>
    <cellStyle name="常规 2 3 2" xfId="174"/>
    <cellStyle name="常规 2 3 2 2" xfId="175"/>
    <cellStyle name="常规 2 3 3" xfId="176"/>
    <cellStyle name="常规 2 3 4" xfId="177"/>
    <cellStyle name="常规 2 4" xfId="178"/>
    <cellStyle name="常规 3" xfId="179"/>
    <cellStyle name="常规 3 10" xfId="180"/>
    <cellStyle name="常规 3 10 2" xfId="181"/>
    <cellStyle name="常规 3 10 3" xfId="182"/>
    <cellStyle name="常规 3 11" xfId="183"/>
    <cellStyle name="常规 3 12" xfId="184"/>
    <cellStyle name="常规 3 13" xfId="185"/>
    <cellStyle name="常规 3 2" xfId="186"/>
    <cellStyle name="常规 3 2 2" xfId="187"/>
    <cellStyle name="常规 3 2 2 2" xfId="188"/>
    <cellStyle name="常规 3 2 2 2 2" xfId="189"/>
    <cellStyle name="常规 3 2 2 2 3" xfId="190"/>
    <cellStyle name="常规 3 2 2 3" xfId="191"/>
    <cellStyle name="常规 3 2 3" xfId="192"/>
    <cellStyle name="常规 3 2 3 2" xfId="193"/>
    <cellStyle name="常规 3 2 4" xfId="194"/>
    <cellStyle name="常规 3 2 5" xfId="195"/>
    <cellStyle name="常规 3 3" xfId="196"/>
    <cellStyle name="常规 3 3 2" xfId="197"/>
    <cellStyle name="常规 3 3 2 2" xfId="198"/>
    <cellStyle name="常规 3 3 2 2 2" xfId="199"/>
    <cellStyle name="常规 3 3 2 3" xfId="200"/>
    <cellStyle name="常规 3 3 3" xfId="201"/>
    <cellStyle name="常规 3 3 3 2" xfId="202"/>
    <cellStyle name="常规 3 3 3 3" xfId="203"/>
    <cellStyle name="常规 3 3 3 4" xfId="204"/>
    <cellStyle name="常规 3 3 3 5" xfId="205"/>
    <cellStyle name="常规 3 3 4" xfId="206"/>
    <cellStyle name="常规 3 3 4 2" xfId="207"/>
    <cellStyle name="常规 3 3 4 3" xfId="208"/>
    <cellStyle name="常规 3 3 4 4" xfId="209"/>
    <cellStyle name="常规 3 3 5" xfId="210"/>
    <cellStyle name="常规 3 4" xfId="211"/>
    <cellStyle name="常规 3 4 2" xfId="212"/>
    <cellStyle name="常规 3 4 2 2" xfId="213"/>
    <cellStyle name="常规 3 4 2 3" xfId="214"/>
    <cellStyle name="常规 3 4 2 4" xfId="215"/>
    <cellStyle name="常规 3 4 2 5" xfId="216"/>
    <cellStyle name="常规 3 4 3" xfId="217"/>
    <cellStyle name="常规 3 4 3 2" xfId="218"/>
    <cellStyle name="常规 3 4 3 3" xfId="219"/>
    <cellStyle name="常规 3 4 3 4" xfId="220"/>
    <cellStyle name="常规 3 4 4" xfId="221"/>
    <cellStyle name="常规 3 4 4 2" xfId="222"/>
    <cellStyle name="常规 3 5" xfId="223"/>
    <cellStyle name="常规 3 5 2" xfId="224"/>
    <cellStyle name="常规 3 5 2 2" xfId="225"/>
    <cellStyle name="常规 3 5 2 3" xfId="226"/>
    <cellStyle name="常规 3 5 2 4" xfId="227"/>
    <cellStyle name="常规 3 5 3" xfId="228"/>
    <cellStyle name="常规 3 5 3 2" xfId="229"/>
    <cellStyle name="常规 3 5 3 3" xfId="230"/>
    <cellStyle name="常规 3 5 3 4" xfId="231"/>
    <cellStyle name="常规 3 5 4" xfId="232"/>
    <cellStyle name="常规 3 5 5" xfId="233"/>
    <cellStyle name="常规 3 5 6" xfId="234"/>
    <cellStyle name="常规 3 5 7" xfId="235"/>
    <cellStyle name="常规 3 6" xfId="236"/>
    <cellStyle name="常规 3 6 2" xfId="237"/>
    <cellStyle name="常规 3 6 3" xfId="238"/>
    <cellStyle name="常规 3 6 4" xfId="239"/>
    <cellStyle name="常规 3 6 5" xfId="240"/>
    <cellStyle name="常规 3 6 6" xfId="241"/>
    <cellStyle name="常规 3 6 7" xfId="242"/>
    <cellStyle name="常规 3 7" xfId="243"/>
    <cellStyle name="常规 3 7 2" xfId="244"/>
    <cellStyle name="常规 3 7 3" xfId="245"/>
    <cellStyle name="常规 3 7 4" xfId="246"/>
    <cellStyle name="常规 3 8" xfId="247"/>
    <cellStyle name="常规 3 8 2" xfId="248"/>
    <cellStyle name="常规 3 8 3" xfId="249"/>
    <cellStyle name="常规 3 8 4" xfId="250"/>
    <cellStyle name="常规 3 9" xfId="251"/>
    <cellStyle name="常规 3 9 2" xfId="252"/>
    <cellStyle name="常规 3 9 3" xfId="253"/>
    <cellStyle name="常规 3 9 4" xfId="254"/>
    <cellStyle name="常规 4" xfId="255"/>
    <cellStyle name="常规 4 2" xfId="256"/>
    <cellStyle name="常规 4 3" xfId="257"/>
    <cellStyle name="常规 4 4" xfId="258"/>
    <cellStyle name="常规 4 5" xfId="259"/>
    <cellStyle name="常规 4 6" xfId="260"/>
    <cellStyle name="常规 5" xfId="261"/>
    <cellStyle name="常规 5 2" xfId="262"/>
    <cellStyle name="常规 5 2 2" xfId="263"/>
    <cellStyle name="常规 5 3" xfId="264"/>
    <cellStyle name="常规 5 3 2" xfId="265"/>
    <cellStyle name="常规 5 4" xfId="266"/>
    <cellStyle name="常规 5 5" xfId="267"/>
    <cellStyle name="常规 6" xfId="268"/>
    <cellStyle name="常规 6 2" xfId="269"/>
    <cellStyle name="常规 7" xfId="270"/>
    <cellStyle name="常规 7 2" xfId="271"/>
    <cellStyle name="常规 7 2 2" xfId="272"/>
    <cellStyle name="常规 7 2 3" xfId="273"/>
    <cellStyle name="常规 7 2 4" xfId="274"/>
    <cellStyle name="常规 7 3" xfId="275"/>
    <cellStyle name="常规 7 3 2" xfId="276"/>
    <cellStyle name="常规 7 4" xfId="277"/>
    <cellStyle name="常规 7 4 2" xfId="278"/>
    <cellStyle name="常规 7 5" xfId="279"/>
    <cellStyle name="常规 8" xfId="280"/>
    <cellStyle name="常规 8 2" xfId="281"/>
    <cellStyle name="常规 8 2 2" xfId="282"/>
    <cellStyle name="常规 8 2 2 2" xfId="283"/>
    <cellStyle name="常规 8 3" xfId="284"/>
    <cellStyle name="常规 8 3 2" xfId="285"/>
    <cellStyle name="常规 8 4" xfId="286"/>
    <cellStyle name="常规 9" xfId="287"/>
    <cellStyle name="常规 9 10" xfId="288"/>
    <cellStyle name="常规 9 10 2" xfId="289"/>
    <cellStyle name="常规 9 11" xfId="290"/>
    <cellStyle name="常规 9 12" xfId="291"/>
    <cellStyle name="常规 9 13" xfId="292"/>
    <cellStyle name="常规 9 14" xfId="293"/>
    <cellStyle name="常规 9 2" xfId="294"/>
    <cellStyle name="常规 9 2 2" xfId="295"/>
    <cellStyle name="常规 9 3" xfId="296"/>
    <cellStyle name="常规 9 4" xfId="297"/>
    <cellStyle name="常规 9 5" xfId="298"/>
    <cellStyle name="常规 9 5 2" xfId="299"/>
    <cellStyle name="常规 9 5 3" xfId="300"/>
    <cellStyle name="常规 9 6" xfId="301"/>
    <cellStyle name="常规 9 6 2" xfId="302"/>
    <cellStyle name="常规 9 6 3" xfId="303"/>
    <cellStyle name="常规 9 7" xfId="304"/>
    <cellStyle name="常规 9 7 2" xfId="305"/>
    <cellStyle name="常规 9 7 3" xfId="306"/>
    <cellStyle name="常规 9 8" xfId="307"/>
    <cellStyle name="常规 9 9" xfId="308"/>
    <cellStyle name="常规 9 9 2" xfId="309"/>
    <cellStyle name="常规 9 9 3" xfId="310"/>
    <cellStyle name="常规_080520 KG5 rat PK" xfId="311"/>
    <cellStyle name="常规_080727 JNJ-17156516 Rat PK reinjection" xfId="312"/>
    <cellStyle name="常规_080925 JNJ-41462304 rat PK retest 3" xfId="313"/>
    <cellStyle name="常规_PF-05297909-01-0008 3" xfId="314"/>
    <cellStyle name="常规_Report_AF34686 2_LDBK-20111214-RPK02_20111222" xfId="315"/>
    <cellStyle name="常规_result of 01Q675_20100407 (2)" xfId="316"/>
    <cellStyle name="常规_Sheet1_PF-05297909-01-0008" xfId="317"/>
    <cellStyle name="千位分隔 2" xfId="318"/>
    <cellStyle name="千位分隔 2 2" xfId="319"/>
    <cellStyle name="千位分隔 2 3" xfId="320"/>
    <cellStyle name="千位分隔 2 4" xfId="321"/>
    <cellStyle name="千位分隔 2 5" xfId="322"/>
    <cellStyle name="千位分隔 3" xfId="323"/>
    <cellStyle name="千位分隔 3 2" xfId="324"/>
    <cellStyle name="千位分隔 4" xfId="325"/>
  </cellStyles>
  <dxfs count="1">
    <dxf>
      <fill>
        <patternFill patternType="solid">
          <bgColor indexed="45"/>
        </patternFill>
      </fill>
    </dxf>
  </dxfs>
  <tableStyles count="0" defaultTableStyle="TableStyleMedium9" defaultPivotStyle="PivotStyleLight16"/>
  <colors>
    <mruColors>
      <color rgb="FFFF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35476453877738"/>
          <c:y val="3.2821375973069597E-2"/>
          <c:w val="0.55197976791918502"/>
          <c:h val="0.789240835438064"/>
        </c:manualLayout>
      </c:layout>
      <c:scatterChart>
        <c:scatterStyle val="lineMarker"/>
        <c:varyColors val="0"/>
        <c:ser>
          <c:idx val="0"/>
          <c:order val="0"/>
          <c:tx>
            <c:strRef>
              <c:f>结果汇总!$D$7</c:f>
              <c:strCache>
                <c:ptCount val="1"/>
                <c:pt idx="0">
                  <c:v>1</c:v>
                </c:pt>
              </c:strCache>
            </c:strRef>
          </c:tx>
          <c:spPr>
            <a:ln w="19050" cap="rnd" cmpd="sng" algn="ctr">
              <a:solidFill>
                <a:schemeClr val="accent6"/>
              </a:solidFill>
              <a:prstDash val="solid"/>
              <a:round/>
            </a:ln>
            <a:effectLst/>
          </c:spPr>
          <c:marker>
            <c:symbol val="circle"/>
            <c:size val="5"/>
            <c:spPr>
              <a:solidFill>
                <a:schemeClr val="accent6"/>
              </a:solidFill>
              <a:ln w="9525" cap="flat" cmpd="sng" algn="ctr">
                <a:solidFill>
                  <a:schemeClr val="accent6"/>
                </a:solidFill>
                <a:prstDash val="solid"/>
                <a:round/>
              </a:ln>
              <a:effectLst/>
            </c:spPr>
          </c:marker>
          <c:xVal>
            <c:numRef>
              <c:f>结果汇总!$C$8:$C$16</c:f>
              <c:numCache>
                <c:formatCode>0.000_ </c:formatCode>
                <c:ptCount val="9"/>
                <c:pt idx="0" formatCode="0.0000_ ">
                  <c:v>8.3299999999999999E-2</c:v>
                </c:pt>
                <c:pt idx="1">
                  <c:v>0.25</c:v>
                </c:pt>
                <c:pt idx="2" formatCode="0.00_ ">
                  <c:v>0.5</c:v>
                </c:pt>
                <c:pt idx="3" formatCode="0.0_ ">
                  <c:v>1</c:v>
                </c:pt>
                <c:pt idx="4" formatCode="0_ ">
                  <c:v>2</c:v>
                </c:pt>
                <c:pt idx="5" formatCode="0_ ">
                  <c:v>4</c:v>
                </c:pt>
                <c:pt idx="6" formatCode="0_ ">
                  <c:v>6</c:v>
                </c:pt>
                <c:pt idx="7" formatCode="0_ ">
                  <c:v>8</c:v>
                </c:pt>
                <c:pt idx="8" formatCode="0_ ">
                  <c:v>24</c:v>
                </c:pt>
              </c:numCache>
            </c:numRef>
          </c:xVal>
          <c:yVal>
            <c:numRef>
              <c:f>结果汇总!$D$8:$D$16</c:f>
              <c:numCache>
                <c:formatCode>General</c:formatCode>
                <c:ptCount val="9"/>
                <c:pt idx="0">
                  <c:v>118</c:v>
                </c:pt>
                <c:pt idx="1">
                  <c:v>601</c:v>
                </c:pt>
                <c:pt idx="2">
                  <c:v>1090</c:v>
                </c:pt>
                <c:pt idx="3">
                  <c:v>1140</c:v>
                </c:pt>
                <c:pt idx="4">
                  <c:v>1270</c:v>
                </c:pt>
                <c:pt idx="5">
                  <c:v>1010</c:v>
                </c:pt>
                <c:pt idx="6">
                  <c:v>726</c:v>
                </c:pt>
                <c:pt idx="7">
                  <c:v>455</c:v>
                </c:pt>
                <c:pt idx="8">
                  <c:v>3.67</c:v>
                </c:pt>
              </c:numCache>
            </c:numRef>
          </c:yVal>
          <c:smooth val="0"/>
          <c:extLst>
            <c:ext xmlns:c16="http://schemas.microsoft.com/office/drawing/2014/chart" uri="{C3380CC4-5D6E-409C-BE32-E72D297353CC}">
              <c16:uniqueId val="{00000000-93BF-4CC1-A11D-88D3BFF87D1E}"/>
            </c:ext>
          </c:extLst>
        </c:ser>
        <c:ser>
          <c:idx val="1"/>
          <c:order val="1"/>
          <c:tx>
            <c:strRef>
              <c:f>结果汇总!$E$7</c:f>
              <c:strCache>
                <c:ptCount val="1"/>
                <c:pt idx="0">
                  <c:v>2</c:v>
                </c:pt>
              </c:strCache>
            </c:strRef>
          </c:tx>
          <c:spPr>
            <a:ln w="19050" cap="rnd" cmpd="sng" algn="ctr">
              <a:solidFill>
                <a:schemeClr val="accent5"/>
              </a:solidFill>
              <a:prstDash val="solid"/>
              <a:round/>
            </a:ln>
            <a:effectLst/>
          </c:spPr>
          <c:marker>
            <c:symbol val="circle"/>
            <c:size val="5"/>
            <c:spPr>
              <a:solidFill>
                <a:schemeClr val="accent5"/>
              </a:solidFill>
              <a:ln w="9525" cap="flat" cmpd="sng" algn="ctr">
                <a:solidFill>
                  <a:schemeClr val="accent5"/>
                </a:solidFill>
                <a:prstDash val="solid"/>
                <a:round/>
              </a:ln>
              <a:effectLst/>
            </c:spPr>
          </c:marker>
          <c:xVal>
            <c:numRef>
              <c:f>结果汇总!$C$8:$C$16</c:f>
              <c:numCache>
                <c:formatCode>0.000_ </c:formatCode>
                <c:ptCount val="9"/>
                <c:pt idx="0" formatCode="0.0000_ ">
                  <c:v>8.3299999999999999E-2</c:v>
                </c:pt>
                <c:pt idx="1">
                  <c:v>0.25</c:v>
                </c:pt>
                <c:pt idx="2" formatCode="0.00_ ">
                  <c:v>0.5</c:v>
                </c:pt>
                <c:pt idx="3" formatCode="0.0_ ">
                  <c:v>1</c:v>
                </c:pt>
                <c:pt idx="4" formatCode="0_ ">
                  <c:v>2</c:v>
                </c:pt>
                <c:pt idx="5" formatCode="0_ ">
                  <c:v>4</c:v>
                </c:pt>
                <c:pt idx="6" formatCode="0_ ">
                  <c:v>6</c:v>
                </c:pt>
                <c:pt idx="7" formatCode="0_ ">
                  <c:v>8</c:v>
                </c:pt>
                <c:pt idx="8" formatCode="0_ ">
                  <c:v>24</c:v>
                </c:pt>
              </c:numCache>
            </c:numRef>
          </c:xVal>
          <c:yVal>
            <c:numRef>
              <c:f>结果汇总!$E$8:$E$16</c:f>
              <c:numCache>
                <c:formatCode>General</c:formatCode>
                <c:ptCount val="9"/>
                <c:pt idx="0">
                  <c:v>465</c:v>
                </c:pt>
                <c:pt idx="1">
                  <c:v>1240</c:v>
                </c:pt>
                <c:pt idx="2">
                  <c:v>1470</c:v>
                </c:pt>
                <c:pt idx="3">
                  <c:v>1150</c:v>
                </c:pt>
                <c:pt idx="4">
                  <c:v>1370</c:v>
                </c:pt>
                <c:pt idx="5">
                  <c:v>1470</c:v>
                </c:pt>
                <c:pt idx="6">
                  <c:v>885</c:v>
                </c:pt>
                <c:pt idx="7">
                  <c:v>614</c:v>
                </c:pt>
                <c:pt idx="8">
                  <c:v>0</c:v>
                </c:pt>
              </c:numCache>
            </c:numRef>
          </c:yVal>
          <c:smooth val="0"/>
          <c:extLst>
            <c:ext xmlns:c16="http://schemas.microsoft.com/office/drawing/2014/chart" uri="{C3380CC4-5D6E-409C-BE32-E72D297353CC}">
              <c16:uniqueId val="{00000001-93BF-4CC1-A11D-88D3BFF87D1E}"/>
            </c:ext>
          </c:extLst>
        </c:ser>
        <c:ser>
          <c:idx val="2"/>
          <c:order val="2"/>
          <c:tx>
            <c:strRef>
              <c:f>结果汇总!$F$7</c:f>
              <c:strCache>
                <c:ptCount val="1"/>
                <c:pt idx="0">
                  <c:v>3</c:v>
                </c:pt>
              </c:strCache>
            </c:strRef>
          </c:tx>
          <c:spPr>
            <a:ln w="19050" cap="rnd" cmpd="sng" algn="ctr">
              <a:solidFill>
                <a:schemeClr val="accent4"/>
              </a:solidFill>
              <a:prstDash val="solid"/>
              <a:round/>
            </a:ln>
            <a:effectLst/>
          </c:spPr>
          <c:marker>
            <c:symbol val="circle"/>
            <c:size val="5"/>
            <c:spPr>
              <a:solidFill>
                <a:schemeClr val="accent4"/>
              </a:solidFill>
              <a:ln w="9525" cap="flat" cmpd="sng" algn="ctr">
                <a:solidFill>
                  <a:schemeClr val="accent4"/>
                </a:solidFill>
                <a:prstDash val="solid"/>
                <a:round/>
              </a:ln>
              <a:effectLst/>
            </c:spPr>
          </c:marker>
          <c:xVal>
            <c:numRef>
              <c:f>结果汇总!$C$8:$C$16</c:f>
              <c:numCache>
                <c:formatCode>0.000_ </c:formatCode>
                <c:ptCount val="9"/>
                <c:pt idx="0" formatCode="0.0000_ ">
                  <c:v>8.3299999999999999E-2</c:v>
                </c:pt>
                <c:pt idx="1">
                  <c:v>0.25</c:v>
                </c:pt>
                <c:pt idx="2" formatCode="0.00_ ">
                  <c:v>0.5</c:v>
                </c:pt>
                <c:pt idx="3" formatCode="0.0_ ">
                  <c:v>1</c:v>
                </c:pt>
                <c:pt idx="4" formatCode="0_ ">
                  <c:v>2</c:v>
                </c:pt>
                <c:pt idx="5" formatCode="0_ ">
                  <c:v>4</c:v>
                </c:pt>
                <c:pt idx="6" formatCode="0_ ">
                  <c:v>6</c:v>
                </c:pt>
                <c:pt idx="7" formatCode="0_ ">
                  <c:v>8</c:v>
                </c:pt>
                <c:pt idx="8" formatCode="0_ ">
                  <c:v>24</c:v>
                </c:pt>
              </c:numCache>
            </c:numRef>
          </c:xVal>
          <c:yVal>
            <c:numRef>
              <c:f>结果汇总!$F$8:$F$16</c:f>
              <c:numCache>
                <c:formatCode>General</c:formatCode>
                <c:ptCount val="9"/>
                <c:pt idx="0">
                  <c:v>185</c:v>
                </c:pt>
                <c:pt idx="1">
                  <c:v>790</c:v>
                </c:pt>
                <c:pt idx="2">
                  <c:v>1440</c:v>
                </c:pt>
                <c:pt idx="3">
                  <c:v>1390</c:v>
                </c:pt>
                <c:pt idx="4">
                  <c:v>1180</c:v>
                </c:pt>
                <c:pt idx="5">
                  <c:v>1050</c:v>
                </c:pt>
                <c:pt idx="6">
                  <c:v>670</c:v>
                </c:pt>
                <c:pt idx="7">
                  <c:v>383</c:v>
                </c:pt>
                <c:pt idx="8">
                  <c:v>1.75</c:v>
                </c:pt>
              </c:numCache>
            </c:numRef>
          </c:yVal>
          <c:smooth val="0"/>
          <c:extLst>
            <c:ext xmlns:c16="http://schemas.microsoft.com/office/drawing/2014/chart" uri="{C3380CC4-5D6E-409C-BE32-E72D297353CC}">
              <c16:uniqueId val="{00000002-93BF-4CC1-A11D-88D3BFF87D1E}"/>
            </c:ext>
          </c:extLst>
        </c:ser>
        <c:dLbls>
          <c:showLegendKey val="0"/>
          <c:showVal val="0"/>
          <c:showCatName val="0"/>
          <c:showSerName val="0"/>
          <c:showPercent val="0"/>
          <c:showBubbleSize val="0"/>
        </c:dLbls>
        <c:axId val="185405824"/>
        <c:axId val="185408128"/>
      </c:scatterChart>
      <c:valAx>
        <c:axId val="185405824"/>
        <c:scaling>
          <c:orientation val="minMax"/>
          <c:max val="24"/>
        </c:scaling>
        <c:delete val="0"/>
        <c:axPos val="b"/>
        <c:title>
          <c:tx>
            <c:rich>
              <a:bodyPr rot="0" spcFirstLastPara="1" vertOverflow="ellipsis" vert="horz" wrap="square" anchor="ctr" anchorCtr="1"/>
              <a:lstStyle/>
              <a:p>
                <a:pPr>
                  <a:defRPr lang="zh-CN" sz="1000" b="0" i="0" u="none" strike="noStrike" kern="1200" baseline="0">
                    <a:solidFill>
                      <a:schemeClr val="tx1">
                        <a:lumMod val="65000"/>
                        <a:lumOff val="35000"/>
                      </a:schemeClr>
                    </a:solidFill>
                    <a:latin typeface="+mn-lt"/>
                    <a:ea typeface="+mn-ea"/>
                    <a:cs typeface="+mn-cs"/>
                  </a:defRPr>
                </a:pPr>
                <a:r>
                  <a:rPr lang="en-US" altLang="zh-CN"/>
                  <a:t>Time (h)</a:t>
                </a:r>
                <a:endParaRPr lang="zh-CN" altLang="en-US"/>
              </a:p>
            </c:rich>
          </c:tx>
          <c:layout/>
          <c:overlay val="0"/>
          <c:spPr>
            <a:noFill/>
            <a:ln>
              <a:noFill/>
            </a:ln>
            <a:effectLst/>
          </c:spPr>
        </c:title>
        <c:numFmt formatCode="General" sourceLinked="0"/>
        <c:majorTickMark val="none"/>
        <c:minorTickMark val="none"/>
        <c:tickLblPos val="nextTo"/>
        <c:spPr>
          <a:noFill/>
          <a:ln w="9525" cap="flat" cmpd="sng" algn="ctr">
            <a:solidFill>
              <a:schemeClr val="tx1">
                <a:lumMod val="25000"/>
                <a:lumOff val="75000"/>
              </a:schemeClr>
            </a:solidFill>
            <a:prstDash val="solid"/>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CN"/>
          </a:p>
        </c:txPr>
        <c:crossAx val="185408128"/>
        <c:crosses val="autoZero"/>
        <c:crossBetween val="midCat"/>
        <c:majorUnit val="2"/>
      </c:valAx>
      <c:valAx>
        <c:axId val="185408128"/>
        <c:scaling>
          <c:logBase val="10"/>
          <c:orientation val="minMax"/>
          <c:max val="10000"/>
          <c:min val="1"/>
        </c:scaling>
        <c:delete val="0"/>
        <c:axPos val="l"/>
        <c:title>
          <c:tx>
            <c:rich>
              <a:bodyPr rot="-5400000" spcFirstLastPara="1" vertOverflow="ellipsis" vert="horz" wrap="square" anchor="ctr" anchorCtr="1"/>
              <a:lstStyle/>
              <a:p>
                <a:pPr>
                  <a:defRPr lang="zh-CN" sz="1000" b="0" i="0" u="none" strike="noStrike" kern="1200" baseline="0">
                    <a:solidFill>
                      <a:schemeClr val="tx1">
                        <a:lumMod val="65000"/>
                        <a:lumOff val="35000"/>
                      </a:schemeClr>
                    </a:solidFill>
                    <a:latin typeface="+mn-lt"/>
                    <a:ea typeface="+mn-ea"/>
                    <a:cs typeface="+mn-cs"/>
                  </a:defRPr>
                </a:pPr>
                <a:r>
                  <a:rPr lang="zh-CN" altLang="en-US"/>
                  <a:t>Conc</a:t>
                </a:r>
                <a:r>
                  <a:rPr lang="en-US" altLang="zh-CN"/>
                  <a:t>.</a:t>
                </a:r>
                <a:r>
                  <a:rPr lang="zh-CN" altLang="en-US"/>
                  <a:t>（</a:t>
                </a:r>
                <a:r>
                  <a:rPr lang="en-US" altLang="zh-CN"/>
                  <a:t>ng/mL</a:t>
                </a:r>
                <a:r>
                  <a:rPr lang="zh-CN" altLang="en-US"/>
                  <a:t>）</a:t>
                </a:r>
              </a:p>
            </c:rich>
          </c:tx>
          <c:layout/>
          <c:overlay val="0"/>
          <c:spPr>
            <a:noFill/>
            <a:ln>
              <a:noFill/>
            </a:ln>
            <a:effectLst/>
          </c:spPr>
        </c:title>
        <c:numFmt formatCode="General" sourceLinked="0"/>
        <c:majorTickMark val="none"/>
        <c:minorTickMark val="none"/>
        <c:tickLblPos val="nextTo"/>
        <c:spPr>
          <a:noFill/>
          <a:ln w="9525" cap="flat" cmpd="sng" algn="ctr">
            <a:solidFill>
              <a:schemeClr val="tx1">
                <a:lumMod val="25000"/>
                <a:lumOff val="75000"/>
              </a:schemeClr>
            </a:solidFill>
            <a:prstDash val="solid"/>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CN"/>
          </a:p>
        </c:txPr>
        <c:crossAx val="185405824"/>
        <c:crosses val="autoZero"/>
        <c:crossBetween val="midCat"/>
        <c:majorUnit val="10"/>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CN"/>
        </a:p>
      </c:txPr>
    </c:legend>
    <c:plotVisOnly val="1"/>
    <c:dispBlanksAs val="gap"/>
    <c:showDLblsOverMax val="0"/>
    <c:extLst>
      <c:ext uri="{0b15fc19-7d7d-44ad-8c2d-2c3a37ce22c3}">
        <chartProps xmlns="https://web.wps.cn/et/2018/main" chartId="{ce0706d0-4af1-4e07-9b5c-f75716124c07}"/>
      </c:ext>
    </c:extLst>
  </c:chart>
  <c:spPr>
    <a:solidFill>
      <a:schemeClr val="bg1"/>
    </a:solidFill>
    <a:ln w="9525" cap="flat" cmpd="sng" algn="ctr">
      <a:solidFill>
        <a:schemeClr val="tx1">
          <a:lumMod val="15000"/>
          <a:lumOff val="85000"/>
        </a:schemeClr>
      </a:solidFill>
      <a:prstDash val="solid"/>
      <a:round/>
    </a:ln>
    <a:effectLst/>
  </c:spPr>
  <c:txPr>
    <a:bodyPr/>
    <a:lstStyle/>
    <a:p>
      <a:pPr>
        <a:defRPr lang="zh-CN"/>
      </a:pPr>
      <a:endParaRPr lang="zh-CN"/>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结果汇总!$C$5</c:f>
              <c:strCache>
                <c:ptCount val="1"/>
                <c:pt idx="0">
                  <c:v>HW356009</c:v>
                </c:pt>
              </c:strCache>
            </c:strRef>
          </c:tx>
          <c:spPr>
            <a:ln w="19050" cap="rnd" cmpd="sng" algn="ctr">
              <a:solidFill>
                <a:schemeClr val="accent2">
                  <a:lumMod val="75000"/>
                </a:schemeClr>
              </a:solidFill>
              <a:prstDash val="solid"/>
              <a:round/>
            </a:ln>
            <a:effectLst/>
          </c:spPr>
          <c:marker>
            <c:symbol val="circle"/>
            <c:size val="5"/>
            <c:spPr>
              <a:solidFill>
                <a:schemeClr val="accent1"/>
              </a:solidFill>
              <a:ln w="9525" cap="flat" cmpd="sng" algn="ctr">
                <a:solidFill>
                  <a:schemeClr val="accent1"/>
                </a:solidFill>
                <a:prstDash val="solid"/>
                <a:round/>
              </a:ln>
              <a:effectLst/>
            </c:spPr>
          </c:marker>
          <c:xVal>
            <c:numRef>
              <c:f>结果汇总!$C$8:$C$16</c:f>
              <c:numCache>
                <c:formatCode>0.000_ </c:formatCode>
                <c:ptCount val="9"/>
                <c:pt idx="0" formatCode="0.0000_ ">
                  <c:v>8.3299999999999999E-2</c:v>
                </c:pt>
                <c:pt idx="1">
                  <c:v>0.25</c:v>
                </c:pt>
                <c:pt idx="2" formatCode="0.00_ ">
                  <c:v>0.5</c:v>
                </c:pt>
                <c:pt idx="3" formatCode="0.0_ ">
                  <c:v>1</c:v>
                </c:pt>
                <c:pt idx="4" formatCode="0_ ">
                  <c:v>2</c:v>
                </c:pt>
                <c:pt idx="5" formatCode="0_ ">
                  <c:v>4</c:v>
                </c:pt>
                <c:pt idx="6" formatCode="0_ ">
                  <c:v>6</c:v>
                </c:pt>
                <c:pt idx="7" formatCode="0_ ">
                  <c:v>8</c:v>
                </c:pt>
                <c:pt idx="8" formatCode="0_ ">
                  <c:v>24</c:v>
                </c:pt>
              </c:numCache>
            </c:numRef>
          </c:xVal>
          <c:yVal>
            <c:numRef>
              <c:f>结果汇总!$G$8:$G$16</c:f>
              <c:numCache>
                <c:formatCode>0_ </c:formatCode>
                <c:ptCount val="9"/>
                <c:pt idx="0">
                  <c:v>256</c:v>
                </c:pt>
                <c:pt idx="1">
                  <c:v>877</c:v>
                </c:pt>
                <c:pt idx="2">
                  <c:v>1333.3333333333301</c:v>
                </c:pt>
                <c:pt idx="3">
                  <c:v>1226.6666666666699</c:v>
                </c:pt>
                <c:pt idx="4">
                  <c:v>1273.3333333333301</c:v>
                </c:pt>
                <c:pt idx="5">
                  <c:v>1176.6666666666699</c:v>
                </c:pt>
                <c:pt idx="6">
                  <c:v>760.33333333333303</c:v>
                </c:pt>
                <c:pt idx="7">
                  <c:v>484</c:v>
                </c:pt>
                <c:pt idx="8" formatCode="0.00_ ">
                  <c:v>2.71</c:v>
                </c:pt>
              </c:numCache>
            </c:numRef>
          </c:yVal>
          <c:smooth val="0"/>
          <c:extLst>
            <c:ext xmlns:c16="http://schemas.microsoft.com/office/drawing/2014/chart" uri="{C3380CC4-5D6E-409C-BE32-E72D297353CC}">
              <c16:uniqueId val="{00000000-14D3-4D0B-8F7C-A28C84A89F35}"/>
            </c:ext>
          </c:extLst>
        </c:ser>
        <c:dLbls>
          <c:showLegendKey val="0"/>
          <c:showVal val="0"/>
          <c:showCatName val="0"/>
          <c:showSerName val="0"/>
          <c:showPercent val="0"/>
          <c:showBubbleSize val="0"/>
        </c:dLbls>
        <c:axId val="185453184"/>
        <c:axId val="185139968"/>
      </c:scatterChart>
      <c:valAx>
        <c:axId val="185453184"/>
        <c:scaling>
          <c:orientation val="minMax"/>
          <c:max val="24"/>
        </c:scaling>
        <c:delete val="0"/>
        <c:axPos val="b"/>
        <c:title>
          <c:tx>
            <c:rich>
              <a:bodyPr rot="0" spcFirstLastPara="1" vertOverflow="ellipsis" vert="horz" wrap="square" anchor="ctr" anchorCtr="1"/>
              <a:lstStyle/>
              <a:p>
                <a:pPr>
                  <a:defRPr lang="zh-CN" sz="1000" b="0" i="0" u="none" strike="noStrike" kern="1200" baseline="0">
                    <a:solidFill>
                      <a:schemeClr val="tx1">
                        <a:lumMod val="65000"/>
                        <a:lumOff val="35000"/>
                      </a:schemeClr>
                    </a:solidFill>
                    <a:latin typeface="+mn-lt"/>
                    <a:ea typeface="+mn-ea"/>
                    <a:cs typeface="+mn-cs"/>
                  </a:defRPr>
                </a:pPr>
                <a:r>
                  <a:rPr lang="en-US" altLang="zh-CN"/>
                  <a:t>Time</a:t>
                </a:r>
                <a:r>
                  <a:rPr lang="en-US" altLang="zh-CN" baseline="0"/>
                  <a:t> (h)</a:t>
                </a:r>
                <a:endParaRPr lang="zh-CN" altLang="en-US"/>
              </a:p>
            </c:rich>
          </c:tx>
          <c:layout/>
          <c:overlay val="0"/>
          <c:spPr>
            <a:noFill/>
            <a:ln>
              <a:noFill/>
            </a:ln>
            <a:effectLst/>
          </c:spPr>
        </c:title>
        <c:numFmt formatCode="General" sourceLinked="0"/>
        <c:majorTickMark val="none"/>
        <c:minorTickMark val="none"/>
        <c:tickLblPos val="nextTo"/>
        <c:spPr>
          <a:noFill/>
          <a:ln w="9525" cap="flat" cmpd="sng" algn="ctr">
            <a:solidFill>
              <a:schemeClr val="tx1">
                <a:lumMod val="25000"/>
                <a:lumOff val="75000"/>
              </a:schemeClr>
            </a:solidFill>
            <a:prstDash val="solid"/>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CN"/>
          </a:p>
        </c:txPr>
        <c:crossAx val="185139968"/>
        <c:crosses val="autoZero"/>
        <c:crossBetween val="midCat"/>
        <c:majorUnit val="2"/>
      </c:valAx>
      <c:valAx>
        <c:axId val="185139968"/>
        <c:scaling>
          <c:logBase val="10"/>
          <c:orientation val="minMax"/>
        </c:scaling>
        <c:delete val="0"/>
        <c:axPos val="l"/>
        <c:title>
          <c:tx>
            <c:rich>
              <a:bodyPr rot="-5400000" spcFirstLastPara="1" vertOverflow="ellipsis" vert="horz" wrap="square" anchor="ctr" anchorCtr="1"/>
              <a:lstStyle/>
              <a:p>
                <a:pPr>
                  <a:defRPr lang="zh-CN" sz="1000" b="0" i="0" u="none" strike="noStrike" kern="1200" baseline="0">
                    <a:solidFill>
                      <a:schemeClr val="tx1">
                        <a:lumMod val="65000"/>
                        <a:lumOff val="35000"/>
                      </a:schemeClr>
                    </a:solidFill>
                    <a:latin typeface="+mn-lt"/>
                    <a:ea typeface="+mn-ea"/>
                    <a:cs typeface="+mn-cs"/>
                  </a:defRPr>
                </a:pPr>
                <a:r>
                  <a:rPr lang="zh-CN" altLang="en-US"/>
                  <a:t>Conc</a:t>
                </a:r>
                <a:r>
                  <a:rPr lang="en-US" altLang="zh-CN"/>
                  <a:t>.</a:t>
                </a:r>
                <a:r>
                  <a:rPr lang="zh-CN" altLang="en-US"/>
                  <a:t>（</a:t>
                </a:r>
                <a:r>
                  <a:rPr lang="en-US" altLang="zh-CN"/>
                  <a:t>ng/mL</a:t>
                </a:r>
                <a:r>
                  <a:rPr lang="zh-CN" altLang="en-US"/>
                  <a:t>）</a:t>
                </a:r>
              </a:p>
            </c:rich>
          </c:tx>
          <c:layout/>
          <c:overlay val="0"/>
          <c:spPr>
            <a:noFill/>
            <a:ln>
              <a:noFill/>
            </a:ln>
            <a:effectLst/>
          </c:spPr>
        </c:title>
        <c:numFmt formatCode="General" sourceLinked="0"/>
        <c:majorTickMark val="none"/>
        <c:minorTickMark val="none"/>
        <c:tickLblPos val="nextTo"/>
        <c:spPr>
          <a:noFill/>
          <a:ln w="9525" cap="flat" cmpd="sng" algn="ctr">
            <a:solidFill>
              <a:schemeClr val="tx1">
                <a:lumMod val="25000"/>
                <a:lumOff val="75000"/>
              </a:schemeClr>
            </a:solidFill>
            <a:prstDash val="solid"/>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CN"/>
          </a:p>
        </c:txPr>
        <c:crossAx val="185453184"/>
        <c:crosses val="autoZero"/>
        <c:crossBetween val="midCat"/>
      </c:valAx>
      <c:spPr>
        <a:noFill/>
        <a:ln>
          <a:noFill/>
        </a:ln>
        <a:effectLst/>
      </c:spPr>
    </c:plotArea>
    <c:plotVisOnly val="1"/>
    <c:dispBlanksAs val="gap"/>
    <c:showDLblsOverMax val="0"/>
    <c:extLst>
      <c:ext uri="{0b15fc19-7d7d-44ad-8c2d-2c3a37ce22c3}">
        <chartProps xmlns="https://web.wps.cn/et/2018/main" chartId="{4a169e0a-e425-47e6-a1a6-2cbe28944376}"/>
      </c:ext>
    </c:extLst>
  </c:chart>
  <c:spPr>
    <a:solidFill>
      <a:schemeClr val="bg1"/>
    </a:solidFill>
    <a:ln w="9525" cap="flat" cmpd="sng" algn="ctr">
      <a:solidFill>
        <a:schemeClr val="tx1">
          <a:lumMod val="15000"/>
          <a:lumOff val="85000"/>
        </a:schemeClr>
      </a:solidFill>
      <a:prstDash val="solid"/>
      <a:round/>
    </a:ln>
    <a:effectLst/>
  </c:spPr>
  <c:txPr>
    <a:bodyPr/>
    <a:lstStyle/>
    <a:p>
      <a:pPr>
        <a:defRPr lang="zh-CN"/>
      </a:pPr>
      <a:endParaRPr lang="zh-CN"/>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21770</xdr:colOff>
      <xdr:row>0</xdr:row>
      <xdr:rowOff>0</xdr:rowOff>
    </xdr:from>
    <xdr:to>
      <xdr:col>0</xdr:col>
      <xdr:colOff>21770</xdr:colOff>
      <xdr:row>3</xdr:row>
      <xdr:rowOff>120559</xdr:rowOff>
    </xdr:to>
    <xdr:pic>
      <xdr:nvPicPr>
        <xdr:cNvPr id="3" name="图片 2"/>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1590" y="0"/>
          <a:ext cx="0" cy="714375"/>
        </a:xfrm>
        <a:prstGeom prst="rect">
          <a:avLst/>
        </a:prstGeom>
      </xdr:spPr>
    </xdr:pic>
    <xdr:clientData/>
  </xdr:twoCellAnchor>
  <xdr:twoCellAnchor editAs="oneCell">
    <xdr:from>
      <xdr:col>0</xdr:col>
      <xdr:colOff>0</xdr:colOff>
      <xdr:row>0</xdr:row>
      <xdr:rowOff>0</xdr:rowOff>
    </xdr:from>
    <xdr:to>
      <xdr:col>1</xdr:col>
      <xdr:colOff>112162</xdr:colOff>
      <xdr:row>3</xdr:row>
      <xdr:rowOff>47080</xdr:rowOff>
    </xdr:to>
    <xdr:pic>
      <xdr:nvPicPr>
        <xdr:cNvPr id="4" name="图片 3"/>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703070" cy="6413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38100</xdr:colOff>
      <xdr:row>18</xdr:row>
      <xdr:rowOff>173990</xdr:rowOff>
    </xdr:from>
    <xdr:to>
      <xdr:col>4</xdr:col>
      <xdr:colOff>504825</xdr:colOff>
      <xdr:row>33</xdr:row>
      <xdr:rowOff>59690</xdr:rowOff>
    </xdr:to>
    <xdr:graphicFrame macro="">
      <xdr:nvGraphicFramePr>
        <xdr:cNvPr id="8" name="图表 7"/>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635793</xdr:colOff>
      <xdr:row>18</xdr:row>
      <xdr:rowOff>200025</xdr:rowOff>
    </xdr:from>
    <xdr:to>
      <xdr:col>9</xdr:col>
      <xdr:colOff>419100</xdr:colOff>
      <xdr:row>33</xdr:row>
      <xdr:rowOff>85725</xdr:rowOff>
    </xdr:to>
    <xdr:graphicFrame macro="">
      <xdr:nvGraphicFramePr>
        <xdr:cNvPr id="9" name="图表 8"/>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80</xdr:row>
      <xdr:rowOff>0</xdr:rowOff>
    </xdr:from>
    <xdr:to>
      <xdr:col>4</xdr:col>
      <xdr:colOff>939165</xdr:colOff>
      <xdr:row>115</xdr:row>
      <xdr:rowOff>133350</xdr:rowOff>
    </xdr:to>
    <xdr:pic>
      <xdr:nvPicPr>
        <xdr:cNvPr id="2" name="图片 1"/>
        <xdr:cNvPicPr>
          <a:picLocks noChangeAspect="1"/>
        </xdr:cNvPicPr>
      </xdr:nvPicPr>
      <xdr:blipFill>
        <a:blip xmlns:r="http://schemas.openxmlformats.org/officeDocument/2006/relationships" r:embed="rId1"/>
        <a:stretch>
          <a:fillRect/>
        </a:stretch>
      </xdr:blipFill>
      <xdr:spPr>
        <a:xfrm>
          <a:off x="0" y="17213580"/>
          <a:ext cx="9829800" cy="6800850"/>
        </a:xfrm>
        <a:prstGeom prst="rect">
          <a:avLst/>
        </a:prstGeom>
        <a:noFill/>
        <a:ln w="9525">
          <a:noFill/>
        </a:ln>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WVJ93"/>
  <sheetViews>
    <sheetView showGridLines="0" zoomScale="90" zoomScaleNormal="90" workbookViewId="0">
      <selection activeCell="B18" sqref="B18:IW22"/>
    </sheetView>
  </sheetViews>
  <sheetFormatPr defaultColWidth="0" defaultRowHeight="15.75" x14ac:dyDescent="0.15"/>
  <cols>
    <col min="1" max="1" width="20.875" style="334" customWidth="1"/>
    <col min="2" max="2" width="32" style="334" customWidth="1"/>
    <col min="3" max="8" width="0" style="333" hidden="1"/>
    <col min="9" max="255" width="9" style="333" hidden="1"/>
    <col min="256" max="256" width="20" style="333" hidden="1" customWidth="1"/>
    <col min="257" max="257" width="66.375" style="333" customWidth="1"/>
    <col min="258" max="258" width="65" style="333" customWidth="1"/>
    <col min="259" max="512" width="9" style="333" hidden="1"/>
    <col min="513" max="513" width="33.375" style="333" customWidth="1"/>
    <col min="514" max="514" width="65" style="333" customWidth="1"/>
    <col min="515" max="768" width="9" style="333" hidden="1"/>
    <col min="769" max="769" width="33.375" style="333" customWidth="1"/>
    <col min="770" max="770" width="65" style="333" customWidth="1"/>
    <col min="771" max="1024" width="9" style="333" hidden="1"/>
    <col min="1025" max="1025" width="33.375" style="333" customWidth="1"/>
    <col min="1026" max="1026" width="65" style="333" customWidth="1"/>
    <col min="1027" max="1280" width="9" style="333" hidden="1"/>
    <col min="1281" max="1281" width="33.375" style="333" customWidth="1"/>
    <col min="1282" max="1282" width="65" style="333" customWidth="1"/>
    <col min="1283" max="1536" width="9" style="333" hidden="1"/>
    <col min="1537" max="1537" width="33.375" style="333" customWidth="1"/>
    <col min="1538" max="1538" width="65" style="333" customWidth="1"/>
    <col min="1539" max="1792" width="9" style="333" hidden="1"/>
    <col min="1793" max="1793" width="33.375" style="333" customWidth="1"/>
    <col min="1794" max="1794" width="65" style="333" customWidth="1"/>
    <col min="1795" max="2048" width="9" style="333" hidden="1"/>
    <col min="2049" max="2049" width="33.375" style="333" customWidth="1"/>
    <col min="2050" max="2050" width="65" style="333" customWidth="1"/>
    <col min="2051" max="2304" width="9" style="333" hidden="1"/>
    <col min="2305" max="2305" width="33.375" style="333" customWidth="1"/>
    <col min="2306" max="2306" width="65" style="333" customWidth="1"/>
    <col min="2307" max="2560" width="9" style="333" hidden="1"/>
    <col min="2561" max="2561" width="33.375" style="333" customWidth="1"/>
    <col min="2562" max="2562" width="65" style="333" customWidth="1"/>
    <col min="2563" max="2816" width="9" style="333" hidden="1"/>
    <col min="2817" max="2817" width="33.375" style="333" customWidth="1"/>
    <col min="2818" max="2818" width="65" style="333" customWidth="1"/>
    <col min="2819" max="3072" width="9" style="333" hidden="1"/>
    <col min="3073" max="3073" width="33.375" style="333" customWidth="1"/>
    <col min="3074" max="3074" width="65" style="333" customWidth="1"/>
    <col min="3075" max="3328" width="9" style="333" hidden="1"/>
    <col min="3329" max="3329" width="33.375" style="333" customWidth="1"/>
    <col min="3330" max="3330" width="65" style="333" customWidth="1"/>
    <col min="3331" max="3584" width="9" style="333" hidden="1"/>
    <col min="3585" max="3585" width="33.375" style="333" customWidth="1"/>
    <col min="3586" max="3586" width="65" style="333" customWidth="1"/>
    <col min="3587" max="3840" width="9" style="333" hidden="1"/>
    <col min="3841" max="3841" width="33.375" style="333" customWidth="1"/>
    <col min="3842" max="3842" width="65" style="333" customWidth="1"/>
    <col min="3843" max="4096" width="9" style="333" hidden="1"/>
    <col min="4097" max="4097" width="33.375" style="333" customWidth="1"/>
    <col min="4098" max="4098" width="65" style="333" customWidth="1"/>
    <col min="4099" max="4352" width="9" style="333" hidden="1"/>
    <col min="4353" max="4353" width="33.375" style="333" customWidth="1"/>
    <col min="4354" max="4354" width="65" style="333" customWidth="1"/>
    <col min="4355" max="4608" width="9" style="333" hidden="1"/>
    <col min="4609" max="4609" width="33.375" style="333" customWidth="1"/>
    <col min="4610" max="4610" width="65" style="333" customWidth="1"/>
    <col min="4611" max="4864" width="9" style="333" hidden="1"/>
    <col min="4865" max="4865" width="33.375" style="333" customWidth="1"/>
    <col min="4866" max="4866" width="65" style="333" customWidth="1"/>
    <col min="4867" max="5120" width="9" style="333" hidden="1"/>
    <col min="5121" max="5121" width="33.375" style="333" customWidth="1"/>
    <col min="5122" max="5122" width="65" style="333" customWidth="1"/>
    <col min="5123" max="5376" width="9" style="333" hidden="1"/>
    <col min="5377" max="5377" width="33.375" style="333" customWidth="1"/>
    <col min="5378" max="5378" width="65" style="333" customWidth="1"/>
    <col min="5379" max="5632" width="9" style="333" hidden="1"/>
    <col min="5633" max="5633" width="33.375" style="333" customWidth="1"/>
    <col min="5634" max="5634" width="65" style="333" customWidth="1"/>
    <col min="5635" max="5888" width="9" style="333" hidden="1"/>
    <col min="5889" max="5889" width="33.375" style="333" customWidth="1"/>
    <col min="5890" max="5890" width="65" style="333" customWidth="1"/>
    <col min="5891" max="6144" width="9" style="333" hidden="1"/>
    <col min="6145" max="6145" width="33.375" style="333" customWidth="1"/>
    <col min="6146" max="6146" width="65" style="333" customWidth="1"/>
    <col min="6147" max="6400" width="9" style="333" hidden="1"/>
    <col min="6401" max="6401" width="33.375" style="333" customWidth="1"/>
    <col min="6402" max="6402" width="65" style="333" customWidth="1"/>
    <col min="6403" max="6656" width="9" style="333" hidden="1"/>
    <col min="6657" max="6657" width="33.375" style="333" customWidth="1"/>
    <col min="6658" max="6658" width="65" style="333" customWidth="1"/>
    <col min="6659" max="6912" width="9" style="333" hidden="1"/>
    <col min="6913" max="6913" width="33.375" style="333" customWidth="1"/>
    <col min="6914" max="6914" width="65" style="333" customWidth="1"/>
    <col min="6915" max="7168" width="9" style="333" hidden="1"/>
    <col min="7169" max="7169" width="33.375" style="333" customWidth="1"/>
    <col min="7170" max="7170" width="65" style="333" customWidth="1"/>
    <col min="7171" max="7424" width="9" style="333" hidden="1"/>
    <col min="7425" max="7425" width="33.375" style="333" customWidth="1"/>
    <col min="7426" max="7426" width="65" style="333" customWidth="1"/>
    <col min="7427" max="7680" width="9" style="333" hidden="1"/>
    <col min="7681" max="7681" width="33.375" style="333" customWidth="1"/>
    <col min="7682" max="7682" width="65" style="333" customWidth="1"/>
    <col min="7683" max="7936" width="9" style="333" hidden="1"/>
    <col min="7937" max="7937" width="33.375" style="333" customWidth="1"/>
    <col min="7938" max="7938" width="65" style="333" customWidth="1"/>
    <col min="7939" max="8192" width="9" style="333" hidden="1"/>
    <col min="8193" max="8193" width="33.375" style="333" customWidth="1"/>
    <col min="8194" max="8194" width="65" style="333" customWidth="1"/>
    <col min="8195" max="8448" width="9" style="333" hidden="1"/>
    <col min="8449" max="8449" width="33.375" style="333" customWidth="1"/>
    <col min="8450" max="8450" width="65" style="333" customWidth="1"/>
    <col min="8451" max="8704" width="9" style="333" hidden="1"/>
    <col min="8705" max="8705" width="33.375" style="333" customWidth="1"/>
    <col min="8706" max="8706" width="65" style="333" customWidth="1"/>
    <col min="8707" max="8960" width="9" style="333" hidden="1"/>
    <col min="8961" max="8961" width="33.375" style="333" customWidth="1"/>
    <col min="8962" max="8962" width="65" style="333" customWidth="1"/>
    <col min="8963" max="9216" width="9" style="333" hidden="1"/>
    <col min="9217" max="9217" width="33.375" style="333" customWidth="1"/>
    <col min="9218" max="9218" width="65" style="333" customWidth="1"/>
    <col min="9219" max="9472" width="9" style="333" hidden="1"/>
    <col min="9473" max="9473" width="33.375" style="333" customWidth="1"/>
    <col min="9474" max="9474" width="65" style="333" customWidth="1"/>
    <col min="9475" max="9728" width="9" style="333" hidden="1"/>
    <col min="9729" max="9729" width="33.375" style="333" customWidth="1"/>
    <col min="9730" max="9730" width="65" style="333" customWidth="1"/>
    <col min="9731" max="9984" width="9" style="333" hidden="1"/>
    <col min="9985" max="9985" width="33.375" style="333" customWidth="1"/>
    <col min="9986" max="9986" width="65" style="333" customWidth="1"/>
    <col min="9987" max="10240" width="9" style="333" hidden="1"/>
    <col min="10241" max="10241" width="33.375" style="333" customWidth="1"/>
    <col min="10242" max="10242" width="65" style="333" customWidth="1"/>
    <col min="10243" max="10496" width="9" style="333" hidden="1"/>
    <col min="10497" max="10497" width="33.375" style="333" customWidth="1"/>
    <col min="10498" max="10498" width="65" style="333" customWidth="1"/>
    <col min="10499" max="10752" width="9" style="333" hidden="1"/>
    <col min="10753" max="10753" width="33.375" style="333" customWidth="1"/>
    <col min="10754" max="10754" width="65" style="333" customWidth="1"/>
    <col min="10755" max="11008" width="9" style="333" hidden="1"/>
    <col min="11009" max="11009" width="33.375" style="333" customWidth="1"/>
    <col min="11010" max="11010" width="65" style="333" customWidth="1"/>
    <col min="11011" max="11264" width="9" style="333" hidden="1"/>
    <col min="11265" max="11265" width="33.375" style="333" customWidth="1"/>
    <col min="11266" max="11266" width="65" style="333" customWidth="1"/>
    <col min="11267" max="11520" width="9" style="333" hidden="1"/>
    <col min="11521" max="11521" width="33.375" style="333" customWidth="1"/>
    <col min="11522" max="11522" width="65" style="333" customWidth="1"/>
    <col min="11523" max="11776" width="9" style="333" hidden="1"/>
    <col min="11777" max="11777" width="33.375" style="333" customWidth="1"/>
    <col min="11778" max="11778" width="65" style="333" customWidth="1"/>
    <col min="11779" max="12032" width="9" style="333" hidden="1"/>
    <col min="12033" max="12033" width="33.375" style="333" customWidth="1"/>
    <col min="12034" max="12034" width="65" style="333" customWidth="1"/>
    <col min="12035" max="12288" width="9" style="333" hidden="1"/>
    <col min="12289" max="12289" width="33.375" style="333" customWidth="1"/>
    <col min="12290" max="12290" width="65" style="333" customWidth="1"/>
    <col min="12291" max="12544" width="9" style="333" hidden="1"/>
    <col min="12545" max="12545" width="33.375" style="333" customWidth="1"/>
    <col min="12546" max="12546" width="65" style="333" customWidth="1"/>
    <col min="12547" max="12800" width="9" style="333" hidden="1"/>
    <col min="12801" max="12801" width="33.375" style="333" customWidth="1"/>
    <col min="12802" max="12802" width="65" style="333" customWidth="1"/>
    <col min="12803" max="13056" width="9" style="333" hidden="1"/>
    <col min="13057" max="13057" width="33.375" style="333" customWidth="1"/>
    <col min="13058" max="13058" width="65" style="333" customWidth="1"/>
    <col min="13059" max="13312" width="9" style="333" hidden="1"/>
    <col min="13313" max="13313" width="33.375" style="333" customWidth="1"/>
    <col min="13314" max="13314" width="65" style="333" customWidth="1"/>
    <col min="13315" max="13568" width="9" style="333" hidden="1"/>
    <col min="13569" max="13569" width="33.375" style="333" customWidth="1"/>
    <col min="13570" max="13570" width="65" style="333" customWidth="1"/>
    <col min="13571" max="13824" width="9" style="333" hidden="1"/>
    <col min="13825" max="13825" width="33.375" style="333" customWidth="1"/>
    <col min="13826" max="13826" width="65" style="333" customWidth="1"/>
    <col min="13827" max="14080" width="9" style="333" hidden="1"/>
    <col min="14081" max="14081" width="33.375" style="333" customWidth="1"/>
    <col min="14082" max="14082" width="65" style="333" customWidth="1"/>
    <col min="14083" max="14336" width="9" style="333" hidden="1"/>
    <col min="14337" max="14337" width="33.375" style="333" customWidth="1"/>
    <col min="14338" max="14338" width="65" style="333" customWidth="1"/>
    <col min="14339" max="14592" width="9" style="333" hidden="1"/>
    <col min="14593" max="14593" width="33.375" style="333" customWidth="1"/>
    <col min="14594" max="14594" width="65" style="333" customWidth="1"/>
    <col min="14595" max="14848" width="9" style="333" hidden="1"/>
    <col min="14849" max="14849" width="33.375" style="333" customWidth="1"/>
    <col min="14850" max="14850" width="65" style="333" customWidth="1"/>
    <col min="14851" max="15104" width="9" style="333" hidden="1"/>
    <col min="15105" max="15105" width="33.375" style="333" customWidth="1"/>
    <col min="15106" max="15106" width="65" style="333" customWidth="1"/>
    <col min="15107" max="15360" width="9" style="333" hidden="1"/>
    <col min="15361" max="15361" width="33.375" style="333" customWidth="1"/>
    <col min="15362" max="15362" width="65" style="333" customWidth="1"/>
    <col min="15363" max="15616" width="9" style="333" hidden="1"/>
    <col min="15617" max="15617" width="33.375" style="333" customWidth="1"/>
    <col min="15618" max="15618" width="65" style="333" customWidth="1"/>
    <col min="15619" max="15872" width="9" style="333" hidden="1"/>
    <col min="15873" max="15873" width="33.375" style="333" customWidth="1"/>
    <col min="15874" max="15874" width="65" style="333" customWidth="1"/>
    <col min="15875" max="16128" width="9" style="333" hidden="1"/>
    <col min="16129" max="16129" width="33.375" style="333" customWidth="1"/>
    <col min="16130" max="16130" width="65" style="333" customWidth="1"/>
    <col min="16131" max="16384" width="9" style="333" hidden="1"/>
  </cols>
  <sheetData>
    <row r="1" spans="1:257" ht="15.6" customHeight="1" x14ac:dyDescent="0.15">
      <c r="B1" s="360" t="s">
        <v>0</v>
      </c>
      <c r="C1" s="360"/>
      <c r="D1" s="360"/>
      <c r="E1" s="360"/>
      <c r="F1" s="360"/>
      <c r="G1" s="360"/>
      <c r="H1" s="360"/>
      <c r="I1" s="360"/>
      <c r="J1" s="360"/>
      <c r="K1" s="360"/>
      <c r="L1" s="360"/>
      <c r="M1" s="360"/>
      <c r="N1" s="360"/>
      <c r="O1" s="360"/>
      <c r="P1" s="360"/>
      <c r="Q1" s="360"/>
      <c r="R1" s="360"/>
      <c r="S1" s="360"/>
      <c r="T1" s="360"/>
      <c r="U1" s="360"/>
      <c r="V1" s="360"/>
      <c r="W1" s="360"/>
      <c r="X1" s="360"/>
      <c r="Y1" s="360"/>
      <c r="Z1" s="360"/>
      <c r="AA1" s="360"/>
      <c r="AB1" s="360"/>
      <c r="AC1" s="360"/>
      <c r="AD1" s="360"/>
      <c r="AE1" s="360"/>
      <c r="AF1" s="360"/>
      <c r="AG1" s="360"/>
      <c r="AH1" s="360"/>
      <c r="AI1" s="360"/>
      <c r="AJ1" s="360"/>
      <c r="AK1" s="360"/>
      <c r="AL1" s="360"/>
      <c r="AM1" s="360"/>
      <c r="AN1" s="360"/>
      <c r="AO1" s="360"/>
      <c r="AP1" s="360"/>
      <c r="AQ1" s="360"/>
      <c r="AR1" s="360"/>
      <c r="AS1" s="360"/>
      <c r="AT1" s="360"/>
      <c r="AU1" s="360"/>
      <c r="AV1" s="360"/>
      <c r="AW1" s="360"/>
      <c r="AX1" s="360"/>
      <c r="AY1" s="360"/>
      <c r="AZ1" s="360"/>
      <c r="BA1" s="360"/>
      <c r="BB1" s="360"/>
      <c r="BC1" s="360"/>
      <c r="BD1" s="360"/>
      <c r="BE1" s="360"/>
      <c r="BF1" s="360"/>
      <c r="BG1" s="360"/>
      <c r="BH1" s="360"/>
      <c r="BI1" s="360"/>
      <c r="BJ1" s="360"/>
      <c r="BK1" s="360"/>
      <c r="BL1" s="360"/>
      <c r="BM1" s="360"/>
      <c r="BN1" s="360"/>
      <c r="BO1" s="360"/>
      <c r="BP1" s="360"/>
      <c r="BQ1" s="360"/>
      <c r="BR1" s="360"/>
      <c r="BS1" s="360"/>
      <c r="BT1" s="360"/>
      <c r="BU1" s="360"/>
      <c r="BV1" s="360"/>
      <c r="BW1" s="360"/>
      <c r="BX1" s="360"/>
      <c r="BY1" s="360"/>
      <c r="BZ1" s="360"/>
      <c r="CA1" s="360"/>
      <c r="CB1" s="360"/>
      <c r="CC1" s="360"/>
      <c r="CD1" s="360"/>
      <c r="CE1" s="360"/>
      <c r="CF1" s="360"/>
      <c r="CG1" s="360"/>
      <c r="CH1" s="360"/>
      <c r="CI1" s="360"/>
      <c r="CJ1" s="360"/>
      <c r="CK1" s="360"/>
      <c r="CL1" s="360"/>
      <c r="CM1" s="360"/>
      <c r="CN1" s="360"/>
      <c r="CO1" s="360"/>
      <c r="CP1" s="360"/>
      <c r="CQ1" s="360"/>
      <c r="CR1" s="360"/>
      <c r="CS1" s="360"/>
      <c r="CT1" s="360"/>
      <c r="CU1" s="360"/>
      <c r="CV1" s="360"/>
      <c r="CW1" s="360"/>
      <c r="CX1" s="360"/>
      <c r="CY1" s="360"/>
      <c r="CZ1" s="360"/>
      <c r="DA1" s="360"/>
      <c r="DB1" s="360"/>
      <c r="DC1" s="360"/>
      <c r="DD1" s="360"/>
      <c r="DE1" s="360"/>
      <c r="DF1" s="360"/>
      <c r="DG1" s="360"/>
      <c r="DH1" s="360"/>
      <c r="DI1" s="360"/>
      <c r="DJ1" s="360"/>
      <c r="DK1" s="360"/>
      <c r="DL1" s="360"/>
      <c r="DM1" s="360"/>
      <c r="DN1" s="360"/>
      <c r="DO1" s="360"/>
      <c r="DP1" s="360"/>
      <c r="DQ1" s="360"/>
      <c r="DR1" s="360"/>
      <c r="DS1" s="360"/>
      <c r="DT1" s="360"/>
      <c r="DU1" s="360"/>
      <c r="DV1" s="360"/>
      <c r="DW1" s="360"/>
      <c r="DX1" s="360"/>
      <c r="DY1" s="360"/>
      <c r="DZ1" s="360"/>
      <c r="EA1" s="360"/>
      <c r="EB1" s="360"/>
      <c r="EC1" s="360"/>
      <c r="ED1" s="360"/>
      <c r="EE1" s="360"/>
      <c r="EF1" s="360"/>
      <c r="EG1" s="360"/>
      <c r="EH1" s="360"/>
      <c r="EI1" s="360"/>
      <c r="EJ1" s="360"/>
      <c r="EK1" s="360"/>
      <c r="EL1" s="360"/>
      <c r="EM1" s="360"/>
      <c r="EN1" s="360"/>
      <c r="EO1" s="360"/>
      <c r="EP1" s="360"/>
      <c r="EQ1" s="360"/>
      <c r="ER1" s="360"/>
      <c r="ES1" s="360"/>
      <c r="ET1" s="360"/>
      <c r="EU1" s="360"/>
      <c r="EV1" s="360"/>
      <c r="EW1" s="360"/>
      <c r="EX1" s="360"/>
      <c r="EY1" s="360"/>
      <c r="EZ1" s="360"/>
      <c r="FA1" s="360"/>
      <c r="FB1" s="360"/>
      <c r="FC1" s="360"/>
      <c r="FD1" s="360"/>
      <c r="FE1" s="360"/>
      <c r="FF1" s="360"/>
      <c r="FG1" s="360"/>
      <c r="FH1" s="360"/>
      <c r="FI1" s="360"/>
      <c r="FJ1" s="360"/>
      <c r="FK1" s="360"/>
      <c r="FL1" s="360"/>
      <c r="FM1" s="360"/>
      <c r="FN1" s="360"/>
      <c r="FO1" s="360"/>
      <c r="FP1" s="360"/>
      <c r="FQ1" s="360"/>
      <c r="FR1" s="360"/>
      <c r="FS1" s="360"/>
      <c r="FT1" s="360"/>
      <c r="FU1" s="360"/>
      <c r="FV1" s="360"/>
      <c r="FW1" s="360"/>
      <c r="FX1" s="360"/>
      <c r="FY1" s="360"/>
      <c r="FZ1" s="360"/>
      <c r="GA1" s="360"/>
      <c r="GB1" s="360"/>
      <c r="GC1" s="360"/>
      <c r="GD1" s="360"/>
      <c r="GE1" s="360"/>
      <c r="GF1" s="360"/>
      <c r="GG1" s="360"/>
      <c r="GH1" s="360"/>
      <c r="GI1" s="360"/>
      <c r="GJ1" s="360"/>
      <c r="GK1" s="360"/>
      <c r="GL1" s="360"/>
      <c r="GM1" s="360"/>
      <c r="GN1" s="360"/>
      <c r="GO1" s="360"/>
      <c r="GP1" s="360"/>
      <c r="GQ1" s="360"/>
      <c r="GR1" s="360"/>
      <c r="GS1" s="360"/>
      <c r="GT1" s="360"/>
      <c r="GU1" s="360"/>
      <c r="GV1" s="360"/>
      <c r="GW1" s="360"/>
      <c r="GX1" s="360"/>
      <c r="GY1" s="360"/>
      <c r="GZ1" s="360"/>
      <c r="HA1" s="360"/>
      <c r="HB1" s="360"/>
      <c r="HC1" s="360"/>
      <c r="HD1" s="360"/>
      <c r="HE1" s="360"/>
      <c r="HF1" s="360"/>
      <c r="HG1" s="360"/>
      <c r="HH1" s="360"/>
      <c r="HI1" s="360"/>
      <c r="HJ1" s="360"/>
      <c r="HK1" s="360"/>
      <c r="HL1" s="360"/>
      <c r="HM1" s="360"/>
      <c r="HN1" s="360"/>
      <c r="HO1" s="360"/>
      <c r="HP1" s="360"/>
      <c r="HQ1" s="360"/>
      <c r="HR1" s="360"/>
      <c r="HS1" s="360"/>
      <c r="HT1" s="360"/>
      <c r="HU1" s="360"/>
      <c r="HV1" s="360"/>
      <c r="HW1" s="360"/>
      <c r="HX1" s="360"/>
      <c r="HY1" s="360"/>
      <c r="HZ1" s="360"/>
      <c r="IA1" s="360"/>
      <c r="IB1" s="360"/>
      <c r="IC1" s="360"/>
      <c r="ID1" s="360"/>
      <c r="IE1" s="360"/>
      <c r="IF1" s="360"/>
      <c r="IG1" s="360"/>
      <c r="IH1" s="360"/>
      <c r="II1" s="360"/>
      <c r="IJ1" s="360"/>
      <c r="IK1" s="360"/>
      <c r="IL1" s="360"/>
      <c r="IM1" s="360"/>
      <c r="IN1" s="360"/>
      <c r="IO1" s="360"/>
      <c r="IP1" s="360"/>
      <c r="IQ1" s="360"/>
      <c r="IR1" s="360"/>
      <c r="IS1" s="360"/>
      <c r="IT1" s="360"/>
      <c r="IU1" s="360"/>
      <c r="IV1" s="360"/>
      <c r="IW1" s="360"/>
    </row>
    <row r="2" spans="1:257" ht="15.6" customHeight="1" x14ac:dyDescent="0.15">
      <c r="B2" s="360"/>
      <c r="C2" s="360"/>
      <c r="D2" s="360"/>
      <c r="E2" s="360"/>
      <c r="F2" s="360"/>
      <c r="G2" s="360"/>
      <c r="H2" s="360"/>
      <c r="I2" s="360"/>
      <c r="J2" s="360"/>
      <c r="K2" s="360"/>
      <c r="L2" s="360"/>
      <c r="M2" s="360"/>
      <c r="N2" s="360"/>
      <c r="O2" s="360"/>
      <c r="P2" s="360"/>
      <c r="Q2" s="360"/>
      <c r="R2" s="360"/>
      <c r="S2" s="360"/>
      <c r="T2" s="360"/>
      <c r="U2" s="360"/>
      <c r="V2" s="360"/>
      <c r="W2" s="360"/>
      <c r="X2" s="360"/>
      <c r="Y2" s="360"/>
      <c r="Z2" s="360"/>
      <c r="AA2" s="360"/>
      <c r="AB2" s="360"/>
      <c r="AC2" s="360"/>
      <c r="AD2" s="360"/>
      <c r="AE2" s="360"/>
      <c r="AF2" s="360"/>
      <c r="AG2" s="360"/>
      <c r="AH2" s="360"/>
      <c r="AI2" s="360"/>
      <c r="AJ2" s="360"/>
      <c r="AK2" s="360"/>
      <c r="AL2" s="360"/>
      <c r="AM2" s="360"/>
      <c r="AN2" s="360"/>
      <c r="AO2" s="360"/>
      <c r="AP2" s="360"/>
      <c r="AQ2" s="360"/>
      <c r="AR2" s="360"/>
      <c r="AS2" s="360"/>
      <c r="AT2" s="360"/>
      <c r="AU2" s="360"/>
      <c r="AV2" s="360"/>
      <c r="AW2" s="360"/>
      <c r="AX2" s="360"/>
      <c r="AY2" s="360"/>
      <c r="AZ2" s="360"/>
      <c r="BA2" s="360"/>
      <c r="BB2" s="360"/>
      <c r="BC2" s="360"/>
      <c r="BD2" s="360"/>
      <c r="BE2" s="360"/>
      <c r="BF2" s="360"/>
      <c r="BG2" s="360"/>
      <c r="BH2" s="360"/>
      <c r="BI2" s="360"/>
      <c r="BJ2" s="360"/>
      <c r="BK2" s="360"/>
      <c r="BL2" s="360"/>
      <c r="BM2" s="360"/>
      <c r="BN2" s="360"/>
      <c r="BO2" s="360"/>
      <c r="BP2" s="360"/>
      <c r="BQ2" s="360"/>
      <c r="BR2" s="360"/>
      <c r="BS2" s="360"/>
      <c r="BT2" s="360"/>
      <c r="BU2" s="360"/>
      <c r="BV2" s="360"/>
      <c r="BW2" s="360"/>
      <c r="BX2" s="360"/>
      <c r="BY2" s="360"/>
      <c r="BZ2" s="360"/>
      <c r="CA2" s="360"/>
      <c r="CB2" s="360"/>
      <c r="CC2" s="360"/>
      <c r="CD2" s="360"/>
      <c r="CE2" s="360"/>
      <c r="CF2" s="360"/>
      <c r="CG2" s="360"/>
      <c r="CH2" s="360"/>
      <c r="CI2" s="360"/>
      <c r="CJ2" s="360"/>
      <c r="CK2" s="360"/>
      <c r="CL2" s="360"/>
      <c r="CM2" s="360"/>
      <c r="CN2" s="360"/>
      <c r="CO2" s="360"/>
      <c r="CP2" s="360"/>
      <c r="CQ2" s="360"/>
      <c r="CR2" s="360"/>
      <c r="CS2" s="360"/>
      <c r="CT2" s="360"/>
      <c r="CU2" s="360"/>
      <c r="CV2" s="360"/>
      <c r="CW2" s="360"/>
      <c r="CX2" s="360"/>
      <c r="CY2" s="360"/>
      <c r="CZ2" s="360"/>
      <c r="DA2" s="360"/>
      <c r="DB2" s="360"/>
      <c r="DC2" s="360"/>
      <c r="DD2" s="360"/>
      <c r="DE2" s="360"/>
      <c r="DF2" s="360"/>
      <c r="DG2" s="360"/>
      <c r="DH2" s="360"/>
      <c r="DI2" s="360"/>
      <c r="DJ2" s="360"/>
      <c r="DK2" s="360"/>
      <c r="DL2" s="360"/>
      <c r="DM2" s="360"/>
      <c r="DN2" s="360"/>
      <c r="DO2" s="360"/>
      <c r="DP2" s="360"/>
      <c r="DQ2" s="360"/>
      <c r="DR2" s="360"/>
      <c r="DS2" s="360"/>
      <c r="DT2" s="360"/>
      <c r="DU2" s="360"/>
      <c r="DV2" s="360"/>
      <c r="DW2" s="360"/>
      <c r="DX2" s="360"/>
      <c r="DY2" s="360"/>
      <c r="DZ2" s="360"/>
      <c r="EA2" s="360"/>
      <c r="EB2" s="360"/>
      <c r="EC2" s="360"/>
      <c r="ED2" s="360"/>
      <c r="EE2" s="360"/>
      <c r="EF2" s="360"/>
      <c r="EG2" s="360"/>
      <c r="EH2" s="360"/>
      <c r="EI2" s="360"/>
      <c r="EJ2" s="360"/>
      <c r="EK2" s="360"/>
      <c r="EL2" s="360"/>
      <c r="EM2" s="360"/>
      <c r="EN2" s="360"/>
      <c r="EO2" s="360"/>
      <c r="EP2" s="360"/>
      <c r="EQ2" s="360"/>
      <c r="ER2" s="360"/>
      <c r="ES2" s="360"/>
      <c r="ET2" s="360"/>
      <c r="EU2" s="360"/>
      <c r="EV2" s="360"/>
      <c r="EW2" s="360"/>
      <c r="EX2" s="360"/>
      <c r="EY2" s="360"/>
      <c r="EZ2" s="360"/>
      <c r="FA2" s="360"/>
      <c r="FB2" s="360"/>
      <c r="FC2" s="360"/>
      <c r="FD2" s="360"/>
      <c r="FE2" s="360"/>
      <c r="FF2" s="360"/>
      <c r="FG2" s="360"/>
      <c r="FH2" s="360"/>
      <c r="FI2" s="360"/>
      <c r="FJ2" s="360"/>
      <c r="FK2" s="360"/>
      <c r="FL2" s="360"/>
      <c r="FM2" s="360"/>
      <c r="FN2" s="360"/>
      <c r="FO2" s="360"/>
      <c r="FP2" s="360"/>
      <c r="FQ2" s="360"/>
      <c r="FR2" s="360"/>
      <c r="FS2" s="360"/>
      <c r="FT2" s="360"/>
      <c r="FU2" s="360"/>
      <c r="FV2" s="360"/>
      <c r="FW2" s="360"/>
      <c r="FX2" s="360"/>
      <c r="FY2" s="360"/>
      <c r="FZ2" s="360"/>
      <c r="GA2" s="360"/>
      <c r="GB2" s="360"/>
      <c r="GC2" s="360"/>
      <c r="GD2" s="360"/>
      <c r="GE2" s="360"/>
      <c r="GF2" s="360"/>
      <c r="GG2" s="360"/>
      <c r="GH2" s="360"/>
      <c r="GI2" s="360"/>
      <c r="GJ2" s="360"/>
      <c r="GK2" s="360"/>
      <c r="GL2" s="360"/>
      <c r="GM2" s="360"/>
      <c r="GN2" s="360"/>
      <c r="GO2" s="360"/>
      <c r="GP2" s="360"/>
      <c r="GQ2" s="360"/>
      <c r="GR2" s="360"/>
      <c r="GS2" s="360"/>
      <c r="GT2" s="360"/>
      <c r="GU2" s="360"/>
      <c r="GV2" s="360"/>
      <c r="GW2" s="360"/>
      <c r="GX2" s="360"/>
      <c r="GY2" s="360"/>
      <c r="GZ2" s="360"/>
      <c r="HA2" s="360"/>
      <c r="HB2" s="360"/>
      <c r="HC2" s="360"/>
      <c r="HD2" s="360"/>
      <c r="HE2" s="360"/>
      <c r="HF2" s="360"/>
      <c r="HG2" s="360"/>
      <c r="HH2" s="360"/>
      <c r="HI2" s="360"/>
      <c r="HJ2" s="360"/>
      <c r="HK2" s="360"/>
      <c r="HL2" s="360"/>
      <c r="HM2" s="360"/>
      <c r="HN2" s="360"/>
      <c r="HO2" s="360"/>
      <c r="HP2" s="360"/>
      <c r="HQ2" s="360"/>
      <c r="HR2" s="360"/>
      <c r="HS2" s="360"/>
      <c r="HT2" s="360"/>
      <c r="HU2" s="360"/>
      <c r="HV2" s="360"/>
      <c r="HW2" s="360"/>
      <c r="HX2" s="360"/>
      <c r="HY2" s="360"/>
      <c r="HZ2" s="360"/>
      <c r="IA2" s="360"/>
      <c r="IB2" s="360"/>
      <c r="IC2" s="360"/>
      <c r="ID2" s="360"/>
      <c r="IE2" s="360"/>
      <c r="IF2" s="360"/>
      <c r="IG2" s="360"/>
      <c r="IH2" s="360"/>
      <c r="II2" s="360"/>
      <c r="IJ2" s="360"/>
      <c r="IK2" s="360"/>
      <c r="IL2" s="360"/>
      <c r="IM2" s="360"/>
      <c r="IN2" s="360"/>
      <c r="IO2" s="360"/>
      <c r="IP2" s="360"/>
      <c r="IQ2" s="360"/>
      <c r="IR2" s="360"/>
      <c r="IS2" s="360"/>
      <c r="IT2" s="360"/>
      <c r="IU2" s="360"/>
      <c r="IV2" s="360"/>
      <c r="IW2" s="360"/>
    </row>
    <row r="3" spans="1:257" ht="15.6" customHeight="1" x14ac:dyDescent="0.15">
      <c r="B3" s="360"/>
      <c r="C3" s="360"/>
      <c r="D3" s="360"/>
      <c r="E3" s="360"/>
      <c r="F3" s="360"/>
      <c r="G3" s="360"/>
      <c r="H3" s="360"/>
      <c r="I3" s="360"/>
      <c r="J3" s="360"/>
      <c r="K3" s="360"/>
      <c r="L3" s="360"/>
      <c r="M3" s="360"/>
      <c r="N3" s="360"/>
      <c r="O3" s="360"/>
      <c r="P3" s="360"/>
      <c r="Q3" s="360"/>
      <c r="R3" s="360"/>
      <c r="S3" s="360"/>
      <c r="T3" s="360"/>
      <c r="U3" s="360"/>
      <c r="V3" s="360"/>
      <c r="W3" s="360"/>
      <c r="X3" s="360"/>
      <c r="Y3" s="360"/>
      <c r="Z3" s="360"/>
      <c r="AA3" s="360"/>
      <c r="AB3" s="360"/>
      <c r="AC3" s="360"/>
      <c r="AD3" s="360"/>
      <c r="AE3" s="360"/>
      <c r="AF3" s="360"/>
      <c r="AG3" s="360"/>
      <c r="AH3" s="360"/>
      <c r="AI3" s="360"/>
      <c r="AJ3" s="360"/>
      <c r="AK3" s="360"/>
      <c r="AL3" s="360"/>
      <c r="AM3" s="360"/>
      <c r="AN3" s="360"/>
      <c r="AO3" s="360"/>
      <c r="AP3" s="360"/>
      <c r="AQ3" s="360"/>
      <c r="AR3" s="360"/>
      <c r="AS3" s="360"/>
      <c r="AT3" s="360"/>
      <c r="AU3" s="360"/>
      <c r="AV3" s="360"/>
      <c r="AW3" s="360"/>
      <c r="AX3" s="360"/>
      <c r="AY3" s="360"/>
      <c r="AZ3" s="360"/>
      <c r="BA3" s="360"/>
      <c r="BB3" s="360"/>
      <c r="BC3" s="360"/>
      <c r="BD3" s="360"/>
      <c r="BE3" s="360"/>
      <c r="BF3" s="360"/>
      <c r="BG3" s="360"/>
      <c r="BH3" s="360"/>
      <c r="BI3" s="360"/>
      <c r="BJ3" s="360"/>
      <c r="BK3" s="360"/>
      <c r="BL3" s="360"/>
      <c r="BM3" s="360"/>
      <c r="BN3" s="360"/>
      <c r="BO3" s="360"/>
      <c r="BP3" s="360"/>
      <c r="BQ3" s="360"/>
      <c r="BR3" s="360"/>
      <c r="BS3" s="360"/>
      <c r="BT3" s="360"/>
      <c r="BU3" s="360"/>
      <c r="BV3" s="360"/>
      <c r="BW3" s="360"/>
      <c r="BX3" s="360"/>
      <c r="BY3" s="360"/>
      <c r="BZ3" s="360"/>
      <c r="CA3" s="360"/>
      <c r="CB3" s="360"/>
      <c r="CC3" s="360"/>
      <c r="CD3" s="360"/>
      <c r="CE3" s="360"/>
      <c r="CF3" s="360"/>
      <c r="CG3" s="360"/>
      <c r="CH3" s="360"/>
      <c r="CI3" s="360"/>
      <c r="CJ3" s="360"/>
      <c r="CK3" s="360"/>
      <c r="CL3" s="360"/>
      <c r="CM3" s="360"/>
      <c r="CN3" s="360"/>
      <c r="CO3" s="360"/>
      <c r="CP3" s="360"/>
      <c r="CQ3" s="360"/>
      <c r="CR3" s="360"/>
      <c r="CS3" s="360"/>
      <c r="CT3" s="360"/>
      <c r="CU3" s="360"/>
      <c r="CV3" s="360"/>
      <c r="CW3" s="360"/>
      <c r="CX3" s="360"/>
      <c r="CY3" s="360"/>
      <c r="CZ3" s="360"/>
      <c r="DA3" s="360"/>
      <c r="DB3" s="360"/>
      <c r="DC3" s="360"/>
      <c r="DD3" s="360"/>
      <c r="DE3" s="360"/>
      <c r="DF3" s="360"/>
      <c r="DG3" s="360"/>
      <c r="DH3" s="360"/>
      <c r="DI3" s="360"/>
      <c r="DJ3" s="360"/>
      <c r="DK3" s="360"/>
      <c r="DL3" s="360"/>
      <c r="DM3" s="360"/>
      <c r="DN3" s="360"/>
      <c r="DO3" s="360"/>
      <c r="DP3" s="360"/>
      <c r="DQ3" s="360"/>
      <c r="DR3" s="360"/>
      <c r="DS3" s="360"/>
      <c r="DT3" s="360"/>
      <c r="DU3" s="360"/>
      <c r="DV3" s="360"/>
      <c r="DW3" s="360"/>
      <c r="DX3" s="360"/>
      <c r="DY3" s="360"/>
      <c r="DZ3" s="360"/>
      <c r="EA3" s="360"/>
      <c r="EB3" s="360"/>
      <c r="EC3" s="360"/>
      <c r="ED3" s="360"/>
      <c r="EE3" s="360"/>
      <c r="EF3" s="360"/>
      <c r="EG3" s="360"/>
      <c r="EH3" s="360"/>
      <c r="EI3" s="360"/>
      <c r="EJ3" s="360"/>
      <c r="EK3" s="360"/>
      <c r="EL3" s="360"/>
      <c r="EM3" s="360"/>
      <c r="EN3" s="360"/>
      <c r="EO3" s="360"/>
      <c r="EP3" s="360"/>
      <c r="EQ3" s="360"/>
      <c r="ER3" s="360"/>
      <c r="ES3" s="360"/>
      <c r="ET3" s="360"/>
      <c r="EU3" s="360"/>
      <c r="EV3" s="360"/>
      <c r="EW3" s="360"/>
      <c r="EX3" s="360"/>
      <c r="EY3" s="360"/>
      <c r="EZ3" s="360"/>
      <c r="FA3" s="360"/>
      <c r="FB3" s="360"/>
      <c r="FC3" s="360"/>
      <c r="FD3" s="360"/>
      <c r="FE3" s="360"/>
      <c r="FF3" s="360"/>
      <c r="FG3" s="360"/>
      <c r="FH3" s="360"/>
      <c r="FI3" s="360"/>
      <c r="FJ3" s="360"/>
      <c r="FK3" s="360"/>
      <c r="FL3" s="360"/>
      <c r="FM3" s="360"/>
      <c r="FN3" s="360"/>
      <c r="FO3" s="360"/>
      <c r="FP3" s="360"/>
      <c r="FQ3" s="360"/>
      <c r="FR3" s="360"/>
      <c r="FS3" s="360"/>
      <c r="FT3" s="360"/>
      <c r="FU3" s="360"/>
      <c r="FV3" s="360"/>
      <c r="FW3" s="360"/>
      <c r="FX3" s="360"/>
      <c r="FY3" s="360"/>
      <c r="FZ3" s="360"/>
      <c r="GA3" s="360"/>
      <c r="GB3" s="360"/>
      <c r="GC3" s="360"/>
      <c r="GD3" s="360"/>
      <c r="GE3" s="360"/>
      <c r="GF3" s="360"/>
      <c r="GG3" s="360"/>
      <c r="GH3" s="360"/>
      <c r="GI3" s="360"/>
      <c r="GJ3" s="360"/>
      <c r="GK3" s="360"/>
      <c r="GL3" s="360"/>
      <c r="GM3" s="360"/>
      <c r="GN3" s="360"/>
      <c r="GO3" s="360"/>
      <c r="GP3" s="360"/>
      <c r="GQ3" s="360"/>
      <c r="GR3" s="360"/>
      <c r="GS3" s="360"/>
      <c r="GT3" s="360"/>
      <c r="GU3" s="360"/>
      <c r="GV3" s="360"/>
      <c r="GW3" s="360"/>
      <c r="GX3" s="360"/>
      <c r="GY3" s="360"/>
      <c r="GZ3" s="360"/>
      <c r="HA3" s="360"/>
      <c r="HB3" s="360"/>
      <c r="HC3" s="360"/>
      <c r="HD3" s="360"/>
      <c r="HE3" s="360"/>
      <c r="HF3" s="360"/>
      <c r="HG3" s="360"/>
      <c r="HH3" s="360"/>
      <c r="HI3" s="360"/>
      <c r="HJ3" s="360"/>
      <c r="HK3" s="360"/>
      <c r="HL3" s="360"/>
      <c r="HM3" s="360"/>
      <c r="HN3" s="360"/>
      <c r="HO3" s="360"/>
      <c r="HP3" s="360"/>
      <c r="HQ3" s="360"/>
      <c r="HR3" s="360"/>
      <c r="HS3" s="360"/>
      <c r="HT3" s="360"/>
      <c r="HU3" s="360"/>
      <c r="HV3" s="360"/>
      <c r="HW3" s="360"/>
      <c r="HX3" s="360"/>
      <c r="HY3" s="360"/>
      <c r="HZ3" s="360"/>
      <c r="IA3" s="360"/>
      <c r="IB3" s="360"/>
      <c r="IC3" s="360"/>
      <c r="ID3" s="360"/>
      <c r="IE3" s="360"/>
      <c r="IF3" s="360"/>
      <c r="IG3" s="360"/>
      <c r="IH3" s="360"/>
      <c r="II3" s="360"/>
      <c r="IJ3" s="360"/>
      <c r="IK3" s="360"/>
      <c r="IL3" s="360"/>
      <c r="IM3" s="360"/>
      <c r="IN3" s="360"/>
      <c r="IO3" s="360"/>
      <c r="IP3" s="360"/>
      <c r="IQ3" s="360"/>
      <c r="IR3" s="360"/>
      <c r="IS3" s="360"/>
      <c r="IT3" s="360"/>
      <c r="IU3" s="360"/>
      <c r="IV3" s="360"/>
      <c r="IW3" s="360"/>
    </row>
    <row r="4" spans="1:257" x14ac:dyDescent="0.15">
      <c r="A4" s="354"/>
      <c r="B4" s="354"/>
    </row>
    <row r="5" spans="1:257" x14ac:dyDescent="0.15">
      <c r="A5" s="335" t="s">
        <v>1</v>
      </c>
      <c r="B5" s="336" t="s">
        <v>2</v>
      </c>
      <c r="C5" s="336"/>
      <c r="D5" s="336"/>
      <c r="E5" s="336"/>
      <c r="F5" s="336"/>
      <c r="G5" s="336"/>
      <c r="H5" s="336"/>
      <c r="I5" s="336"/>
      <c r="J5" s="336"/>
      <c r="K5" s="336"/>
      <c r="L5" s="336"/>
      <c r="M5" s="336"/>
      <c r="N5" s="336"/>
      <c r="O5" s="336"/>
      <c r="P5" s="336"/>
      <c r="Q5" s="336"/>
      <c r="R5" s="336"/>
      <c r="S5" s="336"/>
      <c r="T5" s="336"/>
      <c r="U5" s="336"/>
      <c r="V5" s="336"/>
      <c r="W5" s="336"/>
      <c r="X5" s="336"/>
      <c r="Y5" s="336"/>
      <c r="Z5" s="336"/>
      <c r="AA5" s="336"/>
      <c r="AB5" s="336"/>
      <c r="AC5" s="336"/>
      <c r="AD5" s="336"/>
      <c r="AE5" s="336"/>
      <c r="AF5" s="336"/>
      <c r="AG5" s="336"/>
      <c r="AH5" s="336"/>
      <c r="AI5" s="336"/>
      <c r="AJ5" s="336"/>
      <c r="AK5" s="336"/>
      <c r="AL5" s="336"/>
      <c r="AM5" s="336"/>
      <c r="AN5" s="336"/>
      <c r="AO5" s="336"/>
      <c r="AP5" s="336"/>
      <c r="AQ5" s="336"/>
      <c r="AR5" s="336"/>
      <c r="AS5" s="336"/>
      <c r="AT5" s="336"/>
      <c r="AU5" s="336"/>
      <c r="AV5" s="336"/>
      <c r="AW5" s="336"/>
      <c r="AX5" s="336"/>
      <c r="AY5" s="336"/>
      <c r="AZ5" s="336"/>
      <c r="BA5" s="336"/>
      <c r="BB5" s="336"/>
      <c r="BC5" s="336"/>
      <c r="BD5" s="336"/>
      <c r="BE5" s="336"/>
      <c r="BF5" s="336"/>
      <c r="BG5" s="336"/>
      <c r="BH5" s="336"/>
      <c r="BI5" s="336"/>
      <c r="BJ5" s="336"/>
      <c r="BK5" s="336"/>
      <c r="BL5" s="336"/>
      <c r="BM5" s="336"/>
      <c r="BN5" s="336"/>
      <c r="BO5" s="336"/>
      <c r="BP5" s="336"/>
      <c r="BQ5" s="336"/>
      <c r="BR5" s="336"/>
      <c r="BS5" s="336"/>
      <c r="BT5" s="336"/>
      <c r="BU5" s="336"/>
      <c r="BV5" s="336"/>
      <c r="BW5" s="336"/>
      <c r="BX5" s="336"/>
      <c r="BY5" s="336"/>
      <c r="BZ5" s="336"/>
      <c r="CA5" s="336"/>
      <c r="CB5" s="336"/>
      <c r="CC5" s="336"/>
      <c r="CD5" s="336"/>
      <c r="CE5" s="336"/>
      <c r="CF5" s="336"/>
      <c r="CG5" s="336"/>
      <c r="CH5" s="336"/>
      <c r="CI5" s="336"/>
      <c r="CJ5" s="336"/>
      <c r="CK5" s="336"/>
      <c r="CL5" s="336"/>
      <c r="CM5" s="336"/>
      <c r="CN5" s="336"/>
      <c r="CO5" s="336"/>
      <c r="CP5" s="336"/>
      <c r="CQ5" s="336"/>
      <c r="CR5" s="336"/>
      <c r="CS5" s="336"/>
      <c r="CT5" s="336"/>
      <c r="CU5" s="336"/>
      <c r="CV5" s="336"/>
      <c r="CW5" s="336"/>
      <c r="CX5" s="336"/>
      <c r="CY5" s="336"/>
      <c r="CZ5" s="336"/>
      <c r="DA5" s="336"/>
      <c r="DB5" s="336"/>
      <c r="DC5" s="336"/>
      <c r="DD5" s="336"/>
      <c r="DE5" s="336"/>
      <c r="DF5" s="336"/>
      <c r="DG5" s="336"/>
      <c r="DH5" s="336"/>
      <c r="DI5" s="336"/>
      <c r="DJ5" s="336"/>
      <c r="DK5" s="336"/>
      <c r="DL5" s="336"/>
      <c r="DM5" s="336"/>
      <c r="DN5" s="336"/>
      <c r="DO5" s="336"/>
      <c r="DP5" s="336"/>
      <c r="DQ5" s="336"/>
      <c r="DR5" s="336"/>
      <c r="DS5" s="336"/>
      <c r="DT5" s="336"/>
      <c r="DU5" s="336"/>
      <c r="DV5" s="336"/>
      <c r="DW5" s="336"/>
      <c r="DX5" s="336"/>
      <c r="DY5" s="336"/>
      <c r="DZ5" s="336"/>
      <c r="EA5" s="336"/>
      <c r="EB5" s="336"/>
      <c r="EC5" s="336"/>
      <c r="ED5" s="336"/>
      <c r="EE5" s="336"/>
      <c r="EF5" s="336"/>
      <c r="EG5" s="336"/>
      <c r="EH5" s="336"/>
      <c r="EI5" s="336"/>
      <c r="EJ5" s="336"/>
      <c r="EK5" s="336"/>
      <c r="EL5" s="336"/>
      <c r="EM5" s="336"/>
      <c r="EN5" s="336"/>
      <c r="EO5" s="336"/>
      <c r="EP5" s="336"/>
      <c r="EQ5" s="336"/>
      <c r="ER5" s="336"/>
      <c r="ES5" s="336"/>
      <c r="ET5" s="336"/>
      <c r="EU5" s="336"/>
      <c r="EV5" s="336"/>
      <c r="EW5" s="336"/>
      <c r="EX5" s="336"/>
      <c r="EY5" s="336"/>
      <c r="EZ5" s="336"/>
      <c r="FA5" s="336"/>
      <c r="FB5" s="336"/>
      <c r="FC5" s="336"/>
      <c r="FD5" s="336"/>
      <c r="FE5" s="336"/>
      <c r="FF5" s="336"/>
      <c r="FG5" s="336"/>
      <c r="FH5" s="336"/>
      <c r="FI5" s="336"/>
      <c r="FJ5" s="336"/>
      <c r="FK5" s="336"/>
      <c r="FL5" s="336"/>
      <c r="FM5" s="336"/>
      <c r="FN5" s="336"/>
      <c r="FO5" s="336"/>
      <c r="FP5" s="336"/>
      <c r="FQ5" s="336"/>
      <c r="FR5" s="336"/>
      <c r="FS5" s="336"/>
      <c r="FT5" s="336"/>
      <c r="FU5" s="336"/>
      <c r="FV5" s="336"/>
      <c r="FW5" s="336"/>
      <c r="FX5" s="336"/>
      <c r="FY5" s="336"/>
      <c r="FZ5" s="336"/>
      <c r="GA5" s="336"/>
      <c r="GB5" s="336"/>
      <c r="GC5" s="336"/>
      <c r="GD5" s="336"/>
      <c r="GE5" s="336"/>
      <c r="GF5" s="336"/>
      <c r="GG5" s="336"/>
      <c r="GH5" s="336"/>
      <c r="GI5" s="336"/>
      <c r="GJ5" s="336"/>
      <c r="GK5" s="336"/>
      <c r="GL5" s="336"/>
      <c r="GM5" s="336"/>
      <c r="GN5" s="336"/>
      <c r="GO5" s="336"/>
      <c r="GP5" s="336"/>
      <c r="GQ5" s="336"/>
      <c r="GR5" s="336"/>
      <c r="GS5" s="336"/>
      <c r="GT5" s="336"/>
      <c r="GU5" s="336"/>
      <c r="GV5" s="336"/>
      <c r="GW5" s="336"/>
      <c r="GX5" s="336"/>
      <c r="GY5" s="336"/>
      <c r="GZ5" s="336"/>
      <c r="HA5" s="336"/>
      <c r="HB5" s="336"/>
      <c r="HC5" s="336"/>
      <c r="HD5" s="336"/>
      <c r="HE5" s="336"/>
      <c r="HF5" s="336"/>
      <c r="HG5" s="336"/>
      <c r="HH5" s="336"/>
      <c r="HI5" s="336"/>
      <c r="HJ5" s="336"/>
      <c r="HK5" s="336"/>
      <c r="HL5" s="336"/>
      <c r="HM5" s="336"/>
      <c r="HN5" s="336"/>
      <c r="HO5" s="336"/>
      <c r="HP5" s="336"/>
      <c r="HQ5" s="336"/>
      <c r="HR5" s="336"/>
      <c r="HS5" s="336"/>
      <c r="HT5" s="336"/>
      <c r="HU5" s="336"/>
      <c r="HV5" s="336"/>
      <c r="HW5" s="336"/>
      <c r="HX5" s="336"/>
      <c r="HY5" s="336"/>
      <c r="HZ5" s="336"/>
      <c r="IA5" s="336"/>
      <c r="IB5" s="336"/>
      <c r="IC5" s="336"/>
      <c r="ID5" s="336"/>
      <c r="IE5" s="336"/>
      <c r="IF5" s="336"/>
      <c r="IG5" s="336"/>
      <c r="IH5" s="336"/>
      <c r="II5" s="336"/>
      <c r="IJ5" s="336"/>
      <c r="IK5" s="336"/>
      <c r="IL5" s="336"/>
      <c r="IM5" s="336"/>
      <c r="IN5" s="336"/>
      <c r="IO5" s="336"/>
      <c r="IP5" s="336"/>
      <c r="IQ5" s="336"/>
      <c r="IR5" s="336"/>
      <c r="IS5" s="336"/>
      <c r="IT5" s="336"/>
      <c r="IU5" s="336"/>
      <c r="IV5" s="336"/>
      <c r="IW5" s="336"/>
    </row>
    <row r="6" spans="1:257" x14ac:dyDescent="0.15">
      <c r="A6" s="335"/>
      <c r="B6" s="337"/>
      <c r="C6" s="337"/>
      <c r="D6" s="337"/>
      <c r="E6" s="337"/>
      <c r="F6" s="337"/>
      <c r="G6" s="337"/>
      <c r="H6" s="337"/>
      <c r="I6" s="337"/>
      <c r="J6" s="337"/>
      <c r="K6" s="337"/>
      <c r="L6" s="337"/>
      <c r="M6" s="337"/>
      <c r="N6" s="337"/>
      <c r="O6" s="337"/>
      <c r="P6" s="337"/>
      <c r="Q6" s="337"/>
      <c r="R6" s="337"/>
      <c r="S6" s="337"/>
      <c r="T6" s="337"/>
      <c r="U6" s="337"/>
      <c r="V6" s="337"/>
      <c r="W6" s="337"/>
      <c r="X6" s="337"/>
      <c r="Y6" s="337"/>
      <c r="Z6" s="337"/>
      <c r="AA6" s="337"/>
      <c r="AB6" s="337"/>
      <c r="AC6" s="337"/>
      <c r="AD6" s="337"/>
      <c r="AE6" s="337"/>
      <c r="AF6" s="337"/>
      <c r="AG6" s="337"/>
      <c r="AH6" s="337"/>
      <c r="AI6" s="337"/>
      <c r="AJ6" s="337"/>
      <c r="AK6" s="337"/>
      <c r="AL6" s="337"/>
      <c r="AM6" s="337"/>
      <c r="AN6" s="337"/>
      <c r="AO6" s="337"/>
      <c r="AP6" s="337"/>
      <c r="AQ6" s="337"/>
      <c r="AR6" s="337"/>
      <c r="AS6" s="337"/>
      <c r="AT6" s="337"/>
      <c r="AU6" s="337"/>
      <c r="AV6" s="337"/>
      <c r="AW6" s="337"/>
      <c r="AX6" s="337"/>
      <c r="AY6" s="337"/>
      <c r="AZ6" s="337"/>
      <c r="BA6" s="337"/>
      <c r="BB6" s="337"/>
      <c r="BC6" s="337"/>
      <c r="BD6" s="337"/>
      <c r="BE6" s="337"/>
      <c r="BF6" s="337"/>
      <c r="BG6" s="337"/>
      <c r="BH6" s="337"/>
      <c r="BI6" s="337"/>
      <c r="BJ6" s="337"/>
      <c r="BK6" s="337"/>
      <c r="BL6" s="337"/>
      <c r="BM6" s="337"/>
      <c r="BN6" s="337"/>
      <c r="BO6" s="337"/>
      <c r="BP6" s="337"/>
      <c r="BQ6" s="337"/>
      <c r="BR6" s="337"/>
      <c r="BS6" s="337"/>
      <c r="BT6" s="337"/>
      <c r="BU6" s="337"/>
      <c r="BV6" s="337"/>
      <c r="BW6" s="337"/>
      <c r="BX6" s="337"/>
      <c r="BY6" s="337"/>
      <c r="BZ6" s="337"/>
      <c r="CA6" s="337"/>
      <c r="CB6" s="337"/>
      <c r="CC6" s="337"/>
      <c r="CD6" s="337"/>
      <c r="CE6" s="337"/>
      <c r="CF6" s="337"/>
      <c r="CG6" s="337"/>
      <c r="CH6" s="337"/>
      <c r="CI6" s="337"/>
      <c r="CJ6" s="337"/>
      <c r="CK6" s="337"/>
      <c r="CL6" s="337"/>
      <c r="CM6" s="337"/>
      <c r="CN6" s="337"/>
      <c r="CO6" s="337"/>
      <c r="CP6" s="337"/>
      <c r="CQ6" s="337"/>
      <c r="CR6" s="337"/>
      <c r="CS6" s="337"/>
      <c r="CT6" s="337"/>
      <c r="CU6" s="337"/>
      <c r="CV6" s="337"/>
      <c r="CW6" s="337"/>
      <c r="CX6" s="337"/>
      <c r="CY6" s="337"/>
      <c r="CZ6" s="337"/>
      <c r="DA6" s="337"/>
      <c r="DB6" s="337"/>
      <c r="DC6" s="337"/>
      <c r="DD6" s="337"/>
      <c r="DE6" s="337"/>
      <c r="DF6" s="337"/>
      <c r="DG6" s="337"/>
      <c r="DH6" s="337"/>
      <c r="DI6" s="337"/>
      <c r="DJ6" s="337"/>
      <c r="DK6" s="337"/>
      <c r="DL6" s="337"/>
      <c r="DM6" s="337"/>
      <c r="DN6" s="337"/>
      <c r="DO6" s="337"/>
      <c r="DP6" s="337"/>
      <c r="DQ6" s="337"/>
      <c r="DR6" s="337"/>
      <c r="DS6" s="337"/>
      <c r="DT6" s="337"/>
      <c r="DU6" s="337"/>
      <c r="DV6" s="337"/>
      <c r="DW6" s="337"/>
      <c r="DX6" s="337"/>
      <c r="DY6" s="337"/>
      <c r="DZ6" s="337"/>
      <c r="EA6" s="337"/>
      <c r="EB6" s="337"/>
      <c r="EC6" s="337"/>
      <c r="ED6" s="337"/>
      <c r="EE6" s="337"/>
      <c r="EF6" s="337"/>
      <c r="EG6" s="337"/>
      <c r="EH6" s="337"/>
      <c r="EI6" s="337"/>
      <c r="EJ6" s="337"/>
      <c r="EK6" s="337"/>
      <c r="EL6" s="337"/>
      <c r="EM6" s="337"/>
      <c r="EN6" s="337"/>
      <c r="EO6" s="337"/>
      <c r="EP6" s="337"/>
      <c r="EQ6" s="337"/>
      <c r="ER6" s="337"/>
      <c r="ES6" s="337"/>
      <c r="ET6" s="337"/>
      <c r="EU6" s="337"/>
      <c r="EV6" s="337"/>
      <c r="EW6" s="337"/>
      <c r="EX6" s="337"/>
      <c r="EY6" s="337"/>
      <c r="EZ6" s="337"/>
      <c r="FA6" s="337"/>
      <c r="FB6" s="337"/>
      <c r="FC6" s="337"/>
      <c r="FD6" s="337"/>
      <c r="FE6" s="337"/>
      <c r="FF6" s="337"/>
      <c r="FG6" s="337"/>
      <c r="FH6" s="337"/>
      <c r="FI6" s="337"/>
      <c r="FJ6" s="337"/>
      <c r="FK6" s="337"/>
      <c r="FL6" s="337"/>
      <c r="FM6" s="337"/>
      <c r="FN6" s="337"/>
      <c r="FO6" s="337"/>
      <c r="FP6" s="337"/>
      <c r="FQ6" s="337"/>
      <c r="FR6" s="337"/>
      <c r="FS6" s="337"/>
      <c r="FT6" s="337"/>
      <c r="FU6" s="337"/>
      <c r="FV6" s="337"/>
      <c r="FW6" s="337"/>
      <c r="FX6" s="337"/>
      <c r="FY6" s="337"/>
      <c r="FZ6" s="337"/>
      <c r="GA6" s="337"/>
      <c r="GB6" s="337"/>
      <c r="GC6" s="337"/>
      <c r="GD6" s="337"/>
      <c r="GE6" s="337"/>
      <c r="GF6" s="337"/>
      <c r="GG6" s="337"/>
      <c r="GH6" s="337"/>
      <c r="GI6" s="337"/>
      <c r="GJ6" s="337"/>
      <c r="GK6" s="337"/>
      <c r="GL6" s="337"/>
      <c r="GM6" s="337"/>
      <c r="GN6" s="337"/>
      <c r="GO6" s="337"/>
      <c r="GP6" s="337"/>
      <c r="GQ6" s="337"/>
      <c r="GR6" s="337"/>
      <c r="GS6" s="337"/>
      <c r="GT6" s="337"/>
      <c r="GU6" s="337"/>
      <c r="GV6" s="337"/>
      <c r="GW6" s="337"/>
      <c r="GX6" s="337"/>
      <c r="GY6" s="337"/>
      <c r="GZ6" s="337"/>
      <c r="HA6" s="337"/>
      <c r="HB6" s="337"/>
      <c r="HC6" s="337"/>
      <c r="HD6" s="337"/>
      <c r="HE6" s="337"/>
      <c r="HF6" s="337"/>
      <c r="HG6" s="337"/>
      <c r="HH6" s="337"/>
      <c r="HI6" s="337"/>
      <c r="HJ6" s="337"/>
      <c r="HK6" s="337"/>
      <c r="HL6" s="337"/>
      <c r="HM6" s="337"/>
      <c r="HN6" s="337"/>
      <c r="HO6" s="337"/>
      <c r="HP6" s="337"/>
      <c r="HQ6" s="337"/>
      <c r="HR6" s="337"/>
      <c r="HS6" s="337"/>
      <c r="HT6" s="337"/>
      <c r="HU6" s="337"/>
      <c r="HV6" s="337"/>
      <c r="HW6" s="337"/>
      <c r="HX6" s="337"/>
      <c r="HY6" s="337"/>
      <c r="HZ6" s="337"/>
      <c r="IA6" s="337"/>
      <c r="IB6" s="337"/>
      <c r="IC6" s="337"/>
      <c r="ID6" s="337"/>
      <c r="IE6" s="337"/>
      <c r="IF6" s="337"/>
      <c r="IG6" s="337"/>
      <c r="IH6" s="337"/>
      <c r="II6" s="337"/>
      <c r="IJ6" s="337"/>
      <c r="IK6" s="337"/>
      <c r="IL6" s="337"/>
      <c r="IM6" s="337"/>
      <c r="IN6" s="337"/>
      <c r="IO6" s="337"/>
      <c r="IP6" s="337"/>
      <c r="IQ6" s="337"/>
      <c r="IR6" s="337"/>
      <c r="IS6" s="337"/>
      <c r="IT6" s="337"/>
      <c r="IU6" s="337"/>
      <c r="IV6" s="337"/>
      <c r="IW6" s="337"/>
    </row>
    <row r="7" spans="1:257" x14ac:dyDescent="0.15">
      <c r="A7" s="335" t="s">
        <v>3</v>
      </c>
      <c r="B7" s="338" t="s">
        <v>4</v>
      </c>
      <c r="C7" s="337"/>
      <c r="D7" s="337"/>
      <c r="E7" s="337"/>
      <c r="F7" s="337"/>
      <c r="G7" s="337"/>
      <c r="H7" s="337"/>
      <c r="I7" s="337"/>
      <c r="J7" s="337"/>
      <c r="K7" s="337"/>
      <c r="L7" s="337"/>
      <c r="M7" s="337"/>
      <c r="N7" s="337"/>
      <c r="O7" s="337"/>
      <c r="P7" s="337"/>
      <c r="Q7" s="337"/>
      <c r="R7" s="337"/>
      <c r="S7" s="337"/>
      <c r="T7" s="337"/>
      <c r="U7" s="337"/>
      <c r="V7" s="337"/>
      <c r="W7" s="337"/>
      <c r="X7" s="337"/>
      <c r="Y7" s="337"/>
      <c r="Z7" s="337"/>
      <c r="AA7" s="337"/>
      <c r="AB7" s="337"/>
      <c r="AC7" s="337"/>
      <c r="AD7" s="337"/>
      <c r="AE7" s="337"/>
      <c r="AF7" s="337"/>
      <c r="AG7" s="337"/>
      <c r="AH7" s="337"/>
      <c r="AI7" s="337"/>
      <c r="AJ7" s="337"/>
      <c r="AK7" s="337"/>
      <c r="AL7" s="337"/>
      <c r="AM7" s="337"/>
      <c r="AN7" s="337"/>
      <c r="AO7" s="337"/>
      <c r="AP7" s="337"/>
      <c r="AQ7" s="337"/>
      <c r="AR7" s="337"/>
      <c r="AS7" s="337"/>
      <c r="AT7" s="337"/>
      <c r="AU7" s="337"/>
      <c r="AV7" s="337"/>
      <c r="AW7" s="337"/>
      <c r="AX7" s="337"/>
      <c r="AY7" s="337"/>
      <c r="AZ7" s="337"/>
      <c r="BA7" s="337"/>
      <c r="BB7" s="337"/>
      <c r="BC7" s="337"/>
      <c r="BD7" s="337"/>
      <c r="BE7" s="337"/>
      <c r="BF7" s="337"/>
      <c r="BG7" s="337"/>
      <c r="BH7" s="337"/>
      <c r="BI7" s="337"/>
      <c r="BJ7" s="337"/>
      <c r="BK7" s="337"/>
      <c r="BL7" s="337"/>
      <c r="BM7" s="337"/>
      <c r="BN7" s="337"/>
      <c r="BO7" s="337"/>
      <c r="BP7" s="337"/>
      <c r="BQ7" s="337"/>
      <c r="BR7" s="337"/>
      <c r="BS7" s="337"/>
      <c r="BT7" s="337"/>
      <c r="BU7" s="337"/>
      <c r="BV7" s="337"/>
      <c r="BW7" s="337"/>
      <c r="BX7" s="337"/>
      <c r="BY7" s="337"/>
      <c r="BZ7" s="337"/>
      <c r="CA7" s="337"/>
      <c r="CB7" s="337"/>
      <c r="CC7" s="337"/>
      <c r="CD7" s="337"/>
      <c r="CE7" s="337"/>
      <c r="CF7" s="337"/>
      <c r="CG7" s="337"/>
      <c r="CH7" s="337"/>
      <c r="CI7" s="337"/>
      <c r="CJ7" s="337"/>
      <c r="CK7" s="337"/>
      <c r="CL7" s="337"/>
      <c r="CM7" s="337"/>
      <c r="CN7" s="337"/>
      <c r="CO7" s="337"/>
      <c r="CP7" s="337"/>
      <c r="CQ7" s="337"/>
      <c r="CR7" s="337"/>
      <c r="CS7" s="337"/>
      <c r="CT7" s="337"/>
      <c r="CU7" s="337"/>
      <c r="CV7" s="337"/>
      <c r="CW7" s="337"/>
      <c r="CX7" s="337"/>
      <c r="CY7" s="337"/>
      <c r="CZ7" s="337"/>
      <c r="DA7" s="337"/>
      <c r="DB7" s="337"/>
      <c r="DC7" s="337"/>
      <c r="DD7" s="337"/>
      <c r="DE7" s="337"/>
      <c r="DF7" s="337"/>
      <c r="DG7" s="337"/>
      <c r="DH7" s="337"/>
      <c r="DI7" s="337"/>
      <c r="DJ7" s="337"/>
      <c r="DK7" s="337"/>
      <c r="DL7" s="337"/>
      <c r="DM7" s="337"/>
      <c r="DN7" s="337"/>
      <c r="DO7" s="337"/>
      <c r="DP7" s="337"/>
      <c r="DQ7" s="337"/>
      <c r="DR7" s="337"/>
      <c r="DS7" s="337"/>
      <c r="DT7" s="337"/>
      <c r="DU7" s="337"/>
      <c r="DV7" s="337"/>
      <c r="DW7" s="337"/>
      <c r="DX7" s="337"/>
      <c r="DY7" s="337"/>
      <c r="DZ7" s="337"/>
      <c r="EA7" s="337"/>
      <c r="EB7" s="337"/>
      <c r="EC7" s="337"/>
      <c r="ED7" s="337"/>
      <c r="EE7" s="337"/>
      <c r="EF7" s="337"/>
      <c r="EG7" s="337"/>
      <c r="EH7" s="337"/>
      <c r="EI7" s="337"/>
      <c r="EJ7" s="337"/>
      <c r="EK7" s="337"/>
      <c r="EL7" s="337"/>
      <c r="EM7" s="337"/>
      <c r="EN7" s="337"/>
      <c r="EO7" s="337"/>
      <c r="EP7" s="337"/>
      <c r="EQ7" s="337"/>
      <c r="ER7" s="337"/>
      <c r="ES7" s="337"/>
      <c r="ET7" s="337"/>
      <c r="EU7" s="337"/>
      <c r="EV7" s="337"/>
      <c r="EW7" s="337"/>
      <c r="EX7" s="337"/>
      <c r="EY7" s="337"/>
      <c r="EZ7" s="337"/>
      <c r="FA7" s="337"/>
      <c r="FB7" s="337"/>
      <c r="FC7" s="337"/>
      <c r="FD7" s="337"/>
      <c r="FE7" s="337"/>
      <c r="FF7" s="337"/>
      <c r="FG7" s="337"/>
      <c r="FH7" s="337"/>
      <c r="FI7" s="337"/>
      <c r="FJ7" s="337"/>
      <c r="FK7" s="337"/>
      <c r="FL7" s="337"/>
      <c r="FM7" s="337"/>
      <c r="FN7" s="337"/>
      <c r="FO7" s="337"/>
      <c r="FP7" s="337"/>
      <c r="FQ7" s="337"/>
      <c r="FR7" s="337"/>
      <c r="FS7" s="337"/>
      <c r="FT7" s="337"/>
      <c r="FU7" s="337"/>
      <c r="FV7" s="337"/>
      <c r="FW7" s="337"/>
      <c r="FX7" s="337"/>
      <c r="FY7" s="337"/>
      <c r="FZ7" s="337"/>
      <c r="GA7" s="337"/>
      <c r="GB7" s="337"/>
      <c r="GC7" s="337"/>
      <c r="GD7" s="337"/>
      <c r="GE7" s="337"/>
      <c r="GF7" s="337"/>
      <c r="GG7" s="337"/>
      <c r="GH7" s="337"/>
      <c r="GI7" s="337"/>
      <c r="GJ7" s="337"/>
      <c r="GK7" s="337"/>
      <c r="GL7" s="337"/>
      <c r="GM7" s="337"/>
      <c r="GN7" s="337"/>
      <c r="GO7" s="337"/>
      <c r="GP7" s="337"/>
      <c r="GQ7" s="337"/>
      <c r="GR7" s="337"/>
      <c r="GS7" s="337"/>
      <c r="GT7" s="337"/>
      <c r="GU7" s="337"/>
      <c r="GV7" s="337"/>
      <c r="GW7" s="337"/>
      <c r="GX7" s="337"/>
      <c r="GY7" s="337"/>
      <c r="GZ7" s="337"/>
      <c r="HA7" s="337"/>
      <c r="HB7" s="337"/>
      <c r="HC7" s="337"/>
      <c r="HD7" s="337"/>
      <c r="HE7" s="337"/>
      <c r="HF7" s="337"/>
      <c r="HG7" s="337"/>
      <c r="HH7" s="337"/>
      <c r="HI7" s="337"/>
      <c r="HJ7" s="337"/>
      <c r="HK7" s="337"/>
      <c r="HL7" s="337"/>
      <c r="HM7" s="337"/>
      <c r="HN7" s="337"/>
      <c r="HO7" s="337"/>
      <c r="HP7" s="337"/>
      <c r="HQ7" s="337"/>
      <c r="HR7" s="337"/>
      <c r="HS7" s="337"/>
      <c r="HT7" s="337"/>
      <c r="HU7" s="337"/>
      <c r="HV7" s="337"/>
      <c r="HW7" s="337"/>
      <c r="HX7" s="337"/>
      <c r="HY7" s="337"/>
      <c r="HZ7" s="337"/>
      <c r="IA7" s="337"/>
      <c r="IB7" s="337"/>
      <c r="IC7" s="337"/>
      <c r="ID7" s="337"/>
      <c r="IE7" s="337"/>
      <c r="IF7" s="337"/>
      <c r="IG7" s="337"/>
      <c r="IH7" s="337"/>
      <c r="II7" s="337"/>
      <c r="IJ7" s="337"/>
      <c r="IK7" s="337"/>
      <c r="IL7" s="337"/>
      <c r="IM7" s="337"/>
      <c r="IN7" s="337"/>
      <c r="IO7" s="337"/>
      <c r="IP7" s="337"/>
      <c r="IQ7" s="337"/>
      <c r="IR7" s="337"/>
      <c r="IS7" s="337"/>
      <c r="IT7" s="337"/>
      <c r="IU7" s="337"/>
      <c r="IV7" s="337"/>
      <c r="IW7" s="337"/>
    </row>
    <row r="8" spans="1:257" x14ac:dyDescent="0.15">
      <c r="A8" s="335"/>
      <c r="B8" s="337"/>
      <c r="C8" s="337"/>
      <c r="D8" s="337"/>
      <c r="E8" s="337"/>
      <c r="F8" s="337"/>
      <c r="G8" s="337"/>
      <c r="H8" s="337"/>
      <c r="I8" s="337"/>
      <c r="J8" s="337"/>
      <c r="K8" s="337"/>
      <c r="L8" s="337"/>
      <c r="M8" s="337"/>
      <c r="N8" s="337"/>
      <c r="O8" s="337"/>
      <c r="P8" s="337"/>
      <c r="Q8" s="337"/>
      <c r="R8" s="337"/>
      <c r="S8" s="337"/>
      <c r="T8" s="337"/>
      <c r="U8" s="337"/>
      <c r="V8" s="337"/>
      <c r="W8" s="337"/>
      <c r="X8" s="337"/>
      <c r="Y8" s="337"/>
      <c r="Z8" s="337"/>
      <c r="AA8" s="337"/>
      <c r="AB8" s="337"/>
      <c r="AC8" s="337"/>
      <c r="AD8" s="337"/>
      <c r="AE8" s="337"/>
      <c r="AF8" s="337"/>
      <c r="AG8" s="337"/>
      <c r="AH8" s="337"/>
      <c r="AI8" s="337"/>
      <c r="AJ8" s="337"/>
      <c r="AK8" s="337"/>
      <c r="AL8" s="337"/>
      <c r="AM8" s="337"/>
      <c r="AN8" s="337"/>
      <c r="AO8" s="337"/>
      <c r="AP8" s="337"/>
      <c r="AQ8" s="337"/>
      <c r="AR8" s="337"/>
      <c r="AS8" s="337"/>
      <c r="AT8" s="337"/>
      <c r="AU8" s="337"/>
      <c r="AV8" s="337"/>
      <c r="AW8" s="337"/>
      <c r="AX8" s="337"/>
      <c r="AY8" s="337"/>
      <c r="AZ8" s="337"/>
      <c r="BA8" s="337"/>
      <c r="BB8" s="337"/>
      <c r="BC8" s="337"/>
      <c r="BD8" s="337"/>
      <c r="BE8" s="337"/>
      <c r="BF8" s="337"/>
      <c r="BG8" s="337"/>
      <c r="BH8" s="337"/>
      <c r="BI8" s="337"/>
      <c r="BJ8" s="337"/>
      <c r="BK8" s="337"/>
      <c r="BL8" s="337"/>
      <c r="BM8" s="337"/>
      <c r="BN8" s="337"/>
      <c r="BO8" s="337"/>
      <c r="BP8" s="337"/>
      <c r="BQ8" s="337"/>
      <c r="BR8" s="337"/>
      <c r="BS8" s="337"/>
      <c r="BT8" s="337"/>
      <c r="BU8" s="337"/>
      <c r="BV8" s="337"/>
      <c r="BW8" s="337"/>
      <c r="BX8" s="337"/>
      <c r="BY8" s="337"/>
      <c r="BZ8" s="337"/>
      <c r="CA8" s="337"/>
      <c r="CB8" s="337"/>
      <c r="CC8" s="337"/>
      <c r="CD8" s="337"/>
      <c r="CE8" s="337"/>
      <c r="CF8" s="337"/>
      <c r="CG8" s="337"/>
      <c r="CH8" s="337"/>
      <c r="CI8" s="337"/>
      <c r="CJ8" s="337"/>
      <c r="CK8" s="337"/>
      <c r="CL8" s="337"/>
      <c r="CM8" s="337"/>
      <c r="CN8" s="337"/>
      <c r="CO8" s="337"/>
      <c r="CP8" s="337"/>
      <c r="CQ8" s="337"/>
      <c r="CR8" s="337"/>
      <c r="CS8" s="337"/>
      <c r="CT8" s="337"/>
      <c r="CU8" s="337"/>
      <c r="CV8" s="337"/>
      <c r="CW8" s="337"/>
      <c r="CX8" s="337"/>
      <c r="CY8" s="337"/>
      <c r="CZ8" s="337"/>
      <c r="DA8" s="337"/>
      <c r="DB8" s="337"/>
      <c r="DC8" s="337"/>
      <c r="DD8" s="337"/>
      <c r="DE8" s="337"/>
      <c r="DF8" s="337"/>
      <c r="DG8" s="337"/>
      <c r="DH8" s="337"/>
      <c r="DI8" s="337"/>
      <c r="DJ8" s="337"/>
      <c r="DK8" s="337"/>
      <c r="DL8" s="337"/>
      <c r="DM8" s="337"/>
      <c r="DN8" s="337"/>
      <c r="DO8" s="337"/>
      <c r="DP8" s="337"/>
      <c r="DQ8" s="337"/>
      <c r="DR8" s="337"/>
      <c r="DS8" s="337"/>
      <c r="DT8" s="337"/>
      <c r="DU8" s="337"/>
      <c r="DV8" s="337"/>
      <c r="DW8" s="337"/>
      <c r="DX8" s="337"/>
      <c r="DY8" s="337"/>
      <c r="DZ8" s="337"/>
      <c r="EA8" s="337"/>
      <c r="EB8" s="337"/>
      <c r="EC8" s="337"/>
      <c r="ED8" s="337"/>
      <c r="EE8" s="337"/>
      <c r="EF8" s="337"/>
      <c r="EG8" s="337"/>
      <c r="EH8" s="337"/>
      <c r="EI8" s="337"/>
      <c r="EJ8" s="337"/>
      <c r="EK8" s="337"/>
      <c r="EL8" s="337"/>
      <c r="EM8" s="337"/>
      <c r="EN8" s="337"/>
      <c r="EO8" s="337"/>
      <c r="EP8" s="337"/>
      <c r="EQ8" s="337"/>
      <c r="ER8" s="337"/>
      <c r="ES8" s="337"/>
      <c r="ET8" s="337"/>
      <c r="EU8" s="337"/>
      <c r="EV8" s="337"/>
      <c r="EW8" s="337"/>
      <c r="EX8" s="337"/>
      <c r="EY8" s="337"/>
      <c r="EZ8" s="337"/>
      <c r="FA8" s="337"/>
      <c r="FB8" s="337"/>
      <c r="FC8" s="337"/>
      <c r="FD8" s="337"/>
      <c r="FE8" s="337"/>
      <c r="FF8" s="337"/>
      <c r="FG8" s="337"/>
      <c r="FH8" s="337"/>
      <c r="FI8" s="337"/>
      <c r="FJ8" s="337"/>
      <c r="FK8" s="337"/>
      <c r="FL8" s="337"/>
      <c r="FM8" s="337"/>
      <c r="FN8" s="337"/>
      <c r="FO8" s="337"/>
      <c r="FP8" s="337"/>
      <c r="FQ8" s="337"/>
      <c r="FR8" s="337"/>
      <c r="FS8" s="337"/>
      <c r="FT8" s="337"/>
      <c r="FU8" s="337"/>
      <c r="FV8" s="337"/>
      <c r="FW8" s="337"/>
      <c r="FX8" s="337"/>
      <c r="FY8" s="337"/>
      <c r="FZ8" s="337"/>
      <c r="GA8" s="337"/>
      <c r="GB8" s="337"/>
      <c r="GC8" s="337"/>
      <c r="GD8" s="337"/>
      <c r="GE8" s="337"/>
      <c r="GF8" s="337"/>
      <c r="GG8" s="337"/>
      <c r="GH8" s="337"/>
      <c r="GI8" s="337"/>
      <c r="GJ8" s="337"/>
      <c r="GK8" s="337"/>
      <c r="GL8" s="337"/>
      <c r="GM8" s="337"/>
      <c r="GN8" s="337"/>
      <c r="GO8" s="337"/>
      <c r="GP8" s="337"/>
      <c r="GQ8" s="337"/>
      <c r="GR8" s="337"/>
      <c r="GS8" s="337"/>
      <c r="GT8" s="337"/>
      <c r="GU8" s="337"/>
      <c r="GV8" s="337"/>
      <c r="GW8" s="337"/>
      <c r="GX8" s="337"/>
      <c r="GY8" s="337"/>
      <c r="GZ8" s="337"/>
      <c r="HA8" s="337"/>
      <c r="HB8" s="337"/>
      <c r="HC8" s="337"/>
      <c r="HD8" s="337"/>
      <c r="HE8" s="337"/>
      <c r="HF8" s="337"/>
      <c r="HG8" s="337"/>
      <c r="HH8" s="337"/>
      <c r="HI8" s="337"/>
      <c r="HJ8" s="337"/>
      <c r="HK8" s="337"/>
      <c r="HL8" s="337"/>
      <c r="HM8" s="337"/>
      <c r="HN8" s="337"/>
      <c r="HO8" s="337"/>
      <c r="HP8" s="337"/>
      <c r="HQ8" s="337"/>
      <c r="HR8" s="337"/>
      <c r="HS8" s="337"/>
      <c r="HT8" s="337"/>
      <c r="HU8" s="337"/>
      <c r="HV8" s="337"/>
      <c r="HW8" s="337"/>
      <c r="HX8" s="337"/>
      <c r="HY8" s="337"/>
      <c r="HZ8" s="337"/>
      <c r="IA8" s="337"/>
      <c r="IB8" s="337"/>
      <c r="IC8" s="337"/>
      <c r="ID8" s="337"/>
      <c r="IE8" s="337"/>
      <c r="IF8" s="337"/>
      <c r="IG8" s="337"/>
      <c r="IH8" s="337"/>
      <c r="II8" s="337"/>
      <c r="IJ8" s="337"/>
      <c r="IK8" s="337"/>
      <c r="IL8" s="337"/>
      <c r="IM8" s="337"/>
      <c r="IN8" s="337"/>
      <c r="IO8" s="337"/>
      <c r="IP8" s="337"/>
      <c r="IQ8" s="337"/>
      <c r="IR8" s="337"/>
      <c r="IS8" s="337"/>
      <c r="IT8" s="337"/>
      <c r="IU8" s="337"/>
      <c r="IV8" s="337"/>
      <c r="IW8" s="337"/>
    </row>
    <row r="9" spans="1:257" ht="15.6" customHeight="1" x14ac:dyDescent="0.15">
      <c r="A9" s="335" t="s">
        <v>5</v>
      </c>
      <c r="B9" s="355" t="s">
        <v>6</v>
      </c>
      <c r="C9" s="356"/>
      <c r="D9" s="356"/>
      <c r="E9" s="356"/>
      <c r="F9" s="356"/>
      <c r="G9" s="356"/>
      <c r="H9" s="356"/>
      <c r="I9" s="356"/>
      <c r="J9" s="356"/>
      <c r="K9" s="356"/>
      <c r="L9" s="356"/>
      <c r="M9" s="356"/>
      <c r="N9" s="356"/>
      <c r="O9" s="356"/>
      <c r="P9" s="356"/>
      <c r="Q9" s="356"/>
      <c r="R9" s="356"/>
      <c r="S9" s="356"/>
      <c r="T9" s="356"/>
      <c r="U9" s="356"/>
      <c r="V9" s="356"/>
      <c r="W9" s="356"/>
      <c r="X9" s="356"/>
      <c r="Y9" s="356"/>
      <c r="Z9" s="356"/>
      <c r="AA9" s="356"/>
      <c r="AB9" s="356"/>
      <c r="AC9" s="356"/>
      <c r="AD9" s="356"/>
      <c r="AE9" s="356"/>
      <c r="AF9" s="356"/>
      <c r="AG9" s="356"/>
      <c r="AH9" s="356"/>
      <c r="AI9" s="356"/>
      <c r="AJ9" s="356"/>
      <c r="AK9" s="356"/>
      <c r="AL9" s="356"/>
      <c r="AM9" s="356"/>
      <c r="AN9" s="356"/>
      <c r="AO9" s="356"/>
      <c r="AP9" s="356"/>
      <c r="AQ9" s="356"/>
      <c r="AR9" s="356"/>
      <c r="AS9" s="356"/>
      <c r="AT9" s="356"/>
      <c r="AU9" s="356"/>
      <c r="AV9" s="356"/>
      <c r="AW9" s="356"/>
      <c r="AX9" s="356"/>
      <c r="AY9" s="356"/>
      <c r="AZ9" s="356"/>
      <c r="BA9" s="356"/>
      <c r="BB9" s="356"/>
      <c r="BC9" s="356"/>
      <c r="BD9" s="356"/>
      <c r="BE9" s="356"/>
      <c r="BF9" s="356"/>
      <c r="BG9" s="356"/>
      <c r="BH9" s="356"/>
      <c r="BI9" s="356"/>
      <c r="BJ9" s="356"/>
      <c r="BK9" s="356"/>
      <c r="BL9" s="356"/>
      <c r="BM9" s="356"/>
      <c r="BN9" s="356"/>
      <c r="BO9" s="356"/>
      <c r="BP9" s="356"/>
      <c r="BQ9" s="356"/>
      <c r="BR9" s="356"/>
      <c r="BS9" s="356"/>
      <c r="BT9" s="356"/>
      <c r="BU9" s="356"/>
      <c r="BV9" s="356"/>
      <c r="BW9" s="356"/>
      <c r="BX9" s="356"/>
      <c r="BY9" s="356"/>
      <c r="BZ9" s="356"/>
      <c r="CA9" s="356"/>
      <c r="CB9" s="356"/>
      <c r="CC9" s="356"/>
      <c r="CD9" s="356"/>
      <c r="CE9" s="356"/>
      <c r="CF9" s="356"/>
      <c r="CG9" s="356"/>
      <c r="CH9" s="356"/>
      <c r="CI9" s="356"/>
      <c r="CJ9" s="356"/>
      <c r="CK9" s="356"/>
      <c r="CL9" s="356"/>
      <c r="CM9" s="356"/>
      <c r="CN9" s="356"/>
      <c r="CO9" s="356"/>
      <c r="CP9" s="356"/>
      <c r="CQ9" s="356"/>
      <c r="CR9" s="356"/>
      <c r="CS9" s="356"/>
      <c r="CT9" s="356"/>
      <c r="CU9" s="356"/>
      <c r="CV9" s="356"/>
      <c r="CW9" s="356"/>
      <c r="CX9" s="356"/>
      <c r="CY9" s="356"/>
      <c r="CZ9" s="356"/>
      <c r="DA9" s="356"/>
      <c r="DB9" s="356"/>
      <c r="DC9" s="356"/>
      <c r="DD9" s="356"/>
      <c r="DE9" s="356"/>
      <c r="DF9" s="356"/>
      <c r="DG9" s="356"/>
      <c r="DH9" s="356"/>
      <c r="DI9" s="356"/>
      <c r="DJ9" s="356"/>
      <c r="DK9" s="356"/>
      <c r="DL9" s="356"/>
      <c r="DM9" s="356"/>
      <c r="DN9" s="356"/>
      <c r="DO9" s="356"/>
      <c r="DP9" s="356"/>
      <c r="DQ9" s="356"/>
      <c r="DR9" s="356"/>
      <c r="DS9" s="356"/>
      <c r="DT9" s="356"/>
      <c r="DU9" s="356"/>
      <c r="DV9" s="356"/>
      <c r="DW9" s="356"/>
      <c r="DX9" s="356"/>
      <c r="DY9" s="356"/>
      <c r="DZ9" s="356"/>
      <c r="EA9" s="356"/>
      <c r="EB9" s="356"/>
      <c r="EC9" s="356"/>
      <c r="ED9" s="356"/>
      <c r="EE9" s="356"/>
      <c r="EF9" s="356"/>
      <c r="EG9" s="356"/>
      <c r="EH9" s="356"/>
      <c r="EI9" s="356"/>
      <c r="EJ9" s="356"/>
      <c r="EK9" s="356"/>
      <c r="EL9" s="356"/>
      <c r="EM9" s="356"/>
      <c r="EN9" s="356"/>
      <c r="EO9" s="356"/>
      <c r="EP9" s="356"/>
      <c r="EQ9" s="356"/>
      <c r="ER9" s="356"/>
      <c r="ES9" s="356"/>
      <c r="ET9" s="356"/>
      <c r="EU9" s="356"/>
      <c r="EV9" s="356"/>
      <c r="EW9" s="356"/>
      <c r="EX9" s="356"/>
      <c r="EY9" s="356"/>
      <c r="EZ9" s="356"/>
      <c r="FA9" s="356"/>
      <c r="FB9" s="356"/>
      <c r="FC9" s="356"/>
      <c r="FD9" s="356"/>
      <c r="FE9" s="356"/>
      <c r="FF9" s="356"/>
      <c r="FG9" s="356"/>
      <c r="FH9" s="356"/>
      <c r="FI9" s="356"/>
      <c r="FJ9" s="356"/>
      <c r="FK9" s="356"/>
      <c r="FL9" s="356"/>
      <c r="FM9" s="356"/>
      <c r="FN9" s="356"/>
      <c r="FO9" s="356"/>
      <c r="FP9" s="356"/>
      <c r="FQ9" s="356"/>
      <c r="FR9" s="356"/>
      <c r="FS9" s="356"/>
      <c r="FT9" s="356"/>
      <c r="FU9" s="356"/>
      <c r="FV9" s="356"/>
      <c r="FW9" s="356"/>
      <c r="FX9" s="356"/>
      <c r="FY9" s="356"/>
      <c r="FZ9" s="356"/>
      <c r="GA9" s="356"/>
      <c r="GB9" s="356"/>
      <c r="GC9" s="356"/>
      <c r="GD9" s="356"/>
      <c r="GE9" s="356"/>
      <c r="GF9" s="356"/>
      <c r="GG9" s="356"/>
      <c r="GH9" s="356"/>
      <c r="GI9" s="356"/>
      <c r="GJ9" s="356"/>
      <c r="GK9" s="356"/>
      <c r="GL9" s="356"/>
      <c r="GM9" s="356"/>
      <c r="GN9" s="356"/>
      <c r="GO9" s="356"/>
      <c r="GP9" s="356"/>
      <c r="GQ9" s="356"/>
      <c r="GR9" s="356"/>
      <c r="GS9" s="356"/>
      <c r="GT9" s="356"/>
      <c r="GU9" s="356"/>
      <c r="GV9" s="356"/>
      <c r="GW9" s="356"/>
      <c r="GX9" s="356"/>
      <c r="GY9" s="356"/>
      <c r="GZ9" s="356"/>
      <c r="HA9" s="356"/>
      <c r="HB9" s="356"/>
      <c r="HC9" s="356"/>
      <c r="HD9" s="356"/>
      <c r="HE9" s="356"/>
      <c r="HF9" s="356"/>
      <c r="HG9" s="356"/>
      <c r="HH9" s="356"/>
      <c r="HI9" s="356"/>
      <c r="HJ9" s="356"/>
      <c r="HK9" s="356"/>
      <c r="HL9" s="356"/>
      <c r="HM9" s="356"/>
      <c r="HN9" s="356"/>
      <c r="HO9" s="356"/>
      <c r="HP9" s="356"/>
      <c r="HQ9" s="356"/>
      <c r="HR9" s="356"/>
      <c r="HS9" s="356"/>
      <c r="HT9" s="356"/>
      <c r="HU9" s="356"/>
      <c r="HV9" s="356"/>
      <c r="HW9" s="356"/>
      <c r="HX9" s="356"/>
      <c r="HY9" s="356"/>
      <c r="HZ9" s="356"/>
      <c r="IA9" s="356"/>
      <c r="IB9" s="356"/>
      <c r="IC9" s="356"/>
      <c r="ID9" s="356"/>
      <c r="IE9" s="356"/>
      <c r="IF9" s="356"/>
      <c r="IG9" s="356"/>
      <c r="IH9" s="356"/>
      <c r="II9" s="356"/>
      <c r="IJ9" s="356"/>
      <c r="IK9" s="356"/>
      <c r="IL9" s="356"/>
      <c r="IM9" s="356"/>
      <c r="IN9" s="356"/>
      <c r="IO9" s="356"/>
      <c r="IP9" s="356"/>
      <c r="IQ9" s="356"/>
      <c r="IR9" s="356"/>
      <c r="IS9" s="356"/>
      <c r="IT9" s="356"/>
      <c r="IU9" s="356"/>
      <c r="IV9" s="356"/>
      <c r="IW9" s="356"/>
    </row>
    <row r="10" spans="1:257" x14ac:dyDescent="0.15">
      <c r="A10" s="335"/>
      <c r="B10" s="339"/>
      <c r="C10" s="339"/>
      <c r="D10" s="339"/>
      <c r="E10" s="339"/>
      <c r="F10" s="339"/>
      <c r="G10" s="339"/>
      <c r="H10" s="339"/>
      <c r="I10" s="339"/>
      <c r="J10" s="339"/>
      <c r="K10" s="339"/>
      <c r="L10" s="339"/>
      <c r="M10" s="339"/>
      <c r="N10" s="339"/>
      <c r="O10" s="339"/>
      <c r="P10" s="339"/>
      <c r="Q10" s="339"/>
      <c r="R10" s="339"/>
      <c r="S10" s="339"/>
      <c r="T10" s="339"/>
      <c r="U10" s="339"/>
      <c r="V10" s="339"/>
      <c r="W10" s="339"/>
      <c r="X10" s="339"/>
      <c r="Y10" s="339"/>
      <c r="Z10" s="339"/>
      <c r="AA10" s="339"/>
      <c r="AB10" s="339"/>
      <c r="AC10" s="339"/>
      <c r="AD10" s="339"/>
      <c r="AE10" s="339"/>
      <c r="AF10" s="339"/>
      <c r="AG10" s="339"/>
      <c r="AH10" s="339"/>
      <c r="AI10" s="339"/>
      <c r="AJ10" s="339"/>
      <c r="AK10" s="339"/>
      <c r="AL10" s="339"/>
      <c r="AM10" s="339"/>
      <c r="AN10" s="339"/>
      <c r="AO10" s="339"/>
      <c r="AP10" s="339"/>
      <c r="AQ10" s="339"/>
      <c r="AR10" s="339"/>
      <c r="AS10" s="339"/>
      <c r="AT10" s="339"/>
      <c r="AU10" s="339"/>
      <c r="AV10" s="339"/>
      <c r="AW10" s="339"/>
      <c r="AX10" s="339"/>
      <c r="AY10" s="339"/>
      <c r="AZ10" s="339"/>
      <c r="BA10" s="339"/>
      <c r="BB10" s="339"/>
      <c r="BC10" s="339"/>
      <c r="BD10" s="339"/>
      <c r="BE10" s="339"/>
      <c r="BF10" s="339"/>
      <c r="BG10" s="339"/>
      <c r="BH10" s="339"/>
      <c r="BI10" s="339"/>
      <c r="BJ10" s="339"/>
      <c r="BK10" s="339"/>
      <c r="BL10" s="339"/>
      <c r="BM10" s="339"/>
      <c r="BN10" s="339"/>
      <c r="BO10" s="339"/>
      <c r="BP10" s="339"/>
      <c r="BQ10" s="339"/>
      <c r="BR10" s="339"/>
      <c r="BS10" s="339"/>
      <c r="BT10" s="339"/>
      <c r="BU10" s="339"/>
      <c r="BV10" s="339"/>
      <c r="BW10" s="339"/>
      <c r="BX10" s="339"/>
      <c r="BY10" s="339"/>
      <c r="BZ10" s="339"/>
      <c r="CA10" s="339"/>
      <c r="CB10" s="339"/>
      <c r="CC10" s="339"/>
      <c r="CD10" s="339"/>
      <c r="CE10" s="339"/>
      <c r="CF10" s="339"/>
      <c r="CG10" s="339"/>
      <c r="CH10" s="339"/>
      <c r="CI10" s="339"/>
      <c r="CJ10" s="339"/>
      <c r="CK10" s="339"/>
      <c r="CL10" s="339"/>
      <c r="CM10" s="339"/>
      <c r="CN10" s="339"/>
      <c r="CO10" s="339"/>
      <c r="CP10" s="339"/>
      <c r="CQ10" s="339"/>
      <c r="CR10" s="339"/>
      <c r="CS10" s="339"/>
      <c r="CT10" s="339"/>
      <c r="CU10" s="339"/>
      <c r="CV10" s="339"/>
      <c r="CW10" s="339"/>
      <c r="CX10" s="339"/>
      <c r="CY10" s="339"/>
      <c r="CZ10" s="339"/>
      <c r="DA10" s="339"/>
      <c r="DB10" s="339"/>
      <c r="DC10" s="339"/>
      <c r="DD10" s="339"/>
      <c r="DE10" s="339"/>
      <c r="DF10" s="339"/>
      <c r="DG10" s="339"/>
      <c r="DH10" s="339"/>
      <c r="DI10" s="339"/>
      <c r="DJ10" s="339"/>
      <c r="DK10" s="339"/>
      <c r="DL10" s="339"/>
      <c r="DM10" s="339"/>
      <c r="DN10" s="339"/>
      <c r="DO10" s="339"/>
      <c r="DP10" s="339"/>
      <c r="DQ10" s="339"/>
      <c r="DR10" s="339"/>
      <c r="DS10" s="339"/>
      <c r="DT10" s="339"/>
      <c r="DU10" s="339"/>
      <c r="DV10" s="339"/>
      <c r="DW10" s="339"/>
      <c r="DX10" s="339"/>
      <c r="DY10" s="339"/>
      <c r="DZ10" s="339"/>
      <c r="EA10" s="339"/>
      <c r="EB10" s="339"/>
      <c r="EC10" s="339"/>
      <c r="ED10" s="339"/>
      <c r="EE10" s="339"/>
      <c r="EF10" s="339"/>
      <c r="EG10" s="339"/>
      <c r="EH10" s="339"/>
      <c r="EI10" s="339"/>
      <c r="EJ10" s="339"/>
      <c r="EK10" s="339"/>
      <c r="EL10" s="339"/>
      <c r="EM10" s="339"/>
      <c r="EN10" s="339"/>
      <c r="EO10" s="339"/>
      <c r="EP10" s="339"/>
      <c r="EQ10" s="339"/>
      <c r="ER10" s="339"/>
      <c r="ES10" s="339"/>
      <c r="ET10" s="339"/>
      <c r="EU10" s="339"/>
      <c r="EV10" s="339"/>
      <c r="EW10" s="339"/>
      <c r="EX10" s="339"/>
      <c r="EY10" s="339"/>
      <c r="EZ10" s="339"/>
      <c r="FA10" s="339"/>
      <c r="FB10" s="339"/>
      <c r="FC10" s="339"/>
      <c r="FD10" s="339"/>
      <c r="FE10" s="339"/>
      <c r="FF10" s="339"/>
      <c r="FG10" s="339"/>
      <c r="FH10" s="339"/>
      <c r="FI10" s="339"/>
      <c r="FJ10" s="339"/>
      <c r="FK10" s="339"/>
      <c r="FL10" s="339"/>
      <c r="FM10" s="339"/>
      <c r="FN10" s="339"/>
      <c r="FO10" s="339"/>
      <c r="FP10" s="339"/>
      <c r="FQ10" s="339"/>
      <c r="FR10" s="339"/>
      <c r="FS10" s="339"/>
      <c r="FT10" s="339"/>
      <c r="FU10" s="339"/>
      <c r="FV10" s="339"/>
      <c r="FW10" s="339"/>
      <c r="FX10" s="339"/>
      <c r="FY10" s="339"/>
      <c r="FZ10" s="339"/>
      <c r="GA10" s="339"/>
      <c r="GB10" s="339"/>
      <c r="GC10" s="339"/>
      <c r="GD10" s="339"/>
      <c r="GE10" s="339"/>
      <c r="GF10" s="339"/>
      <c r="GG10" s="339"/>
      <c r="GH10" s="339"/>
      <c r="GI10" s="339"/>
      <c r="GJ10" s="339"/>
      <c r="GK10" s="339"/>
      <c r="GL10" s="339"/>
      <c r="GM10" s="339"/>
      <c r="GN10" s="339"/>
      <c r="GO10" s="339"/>
      <c r="GP10" s="339"/>
      <c r="GQ10" s="339"/>
      <c r="GR10" s="339"/>
      <c r="GS10" s="339"/>
      <c r="GT10" s="339"/>
      <c r="GU10" s="339"/>
      <c r="GV10" s="339"/>
      <c r="GW10" s="339"/>
      <c r="GX10" s="339"/>
      <c r="GY10" s="339"/>
      <c r="GZ10" s="339"/>
      <c r="HA10" s="339"/>
      <c r="HB10" s="339"/>
      <c r="HC10" s="339"/>
      <c r="HD10" s="339"/>
      <c r="HE10" s="339"/>
      <c r="HF10" s="339"/>
      <c r="HG10" s="339"/>
      <c r="HH10" s="339"/>
      <c r="HI10" s="339"/>
      <c r="HJ10" s="339"/>
      <c r="HK10" s="339"/>
      <c r="HL10" s="339"/>
      <c r="HM10" s="339"/>
      <c r="HN10" s="339"/>
      <c r="HO10" s="339"/>
      <c r="HP10" s="339"/>
      <c r="HQ10" s="339"/>
      <c r="HR10" s="339"/>
      <c r="HS10" s="339"/>
      <c r="HT10" s="339"/>
      <c r="HU10" s="339"/>
      <c r="HV10" s="339"/>
      <c r="HW10" s="339"/>
      <c r="HX10" s="339"/>
      <c r="HY10" s="339"/>
      <c r="HZ10" s="339"/>
      <c r="IA10" s="339"/>
      <c r="IB10" s="339"/>
      <c r="IC10" s="339"/>
      <c r="ID10" s="339"/>
      <c r="IE10" s="339"/>
      <c r="IF10" s="339"/>
      <c r="IG10" s="339"/>
      <c r="IH10" s="339"/>
      <c r="II10" s="339"/>
      <c r="IJ10" s="339"/>
      <c r="IK10" s="339"/>
      <c r="IL10" s="339"/>
      <c r="IM10" s="339"/>
      <c r="IN10" s="339"/>
      <c r="IO10" s="339"/>
      <c r="IP10" s="339"/>
      <c r="IQ10" s="339"/>
      <c r="IR10" s="339"/>
      <c r="IS10" s="339"/>
      <c r="IT10" s="339"/>
      <c r="IU10" s="339"/>
      <c r="IV10" s="339"/>
      <c r="IW10" s="339"/>
    </row>
    <row r="11" spans="1:257" ht="63" x14ac:dyDescent="0.15">
      <c r="A11" s="335" t="s">
        <v>7</v>
      </c>
      <c r="B11" s="340" t="s">
        <v>8</v>
      </c>
      <c r="IW11" s="351" t="s">
        <v>9</v>
      </c>
    </row>
    <row r="12" spans="1:257" x14ac:dyDescent="0.15">
      <c r="A12" s="335"/>
      <c r="B12" s="337"/>
      <c r="C12" s="341"/>
      <c r="D12" s="341"/>
      <c r="E12" s="341"/>
      <c r="F12" s="341"/>
      <c r="G12" s="341"/>
      <c r="H12" s="341"/>
      <c r="I12" s="341"/>
      <c r="J12" s="341"/>
      <c r="K12" s="341"/>
      <c r="L12" s="341"/>
      <c r="M12" s="341"/>
      <c r="N12" s="341"/>
      <c r="O12" s="341"/>
      <c r="P12" s="341"/>
      <c r="Q12" s="341"/>
      <c r="R12" s="341"/>
      <c r="S12" s="341"/>
      <c r="T12" s="341"/>
      <c r="U12" s="341"/>
      <c r="V12" s="341"/>
      <c r="W12" s="341"/>
      <c r="X12" s="341"/>
      <c r="Y12" s="341"/>
      <c r="Z12" s="341"/>
      <c r="AA12" s="341"/>
      <c r="AB12" s="341"/>
      <c r="AC12" s="341"/>
      <c r="AD12" s="341"/>
      <c r="AE12" s="341"/>
      <c r="AF12" s="341"/>
      <c r="AG12" s="341"/>
      <c r="AH12" s="341"/>
      <c r="AI12" s="341"/>
      <c r="AJ12" s="341"/>
      <c r="AK12" s="341"/>
      <c r="AL12" s="341"/>
      <c r="AM12" s="341"/>
      <c r="AN12" s="341"/>
      <c r="AO12" s="341"/>
      <c r="AP12" s="341"/>
      <c r="AQ12" s="341"/>
      <c r="AR12" s="341"/>
      <c r="AS12" s="341"/>
      <c r="AT12" s="341"/>
      <c r="AU12" s="341"/>
      <c r="AV12" s="341"/>
      <c r="AW12" s="341"/>
      <c r="AX12" s="341"/>
      <c r="AY12" s="341"/>
      <c r="AZ12" s="341"/>
      <c r="BA12" s="341"/>
      <c r="BB12" s="341"/>
      <c r="BC12" s="341"/>
      <c r="BD12" s="341"/>
      <c r="BE12" s="341"/>
      <c r="BF12" s="341"/>
      <c r="BG12" s="341"/>
      <c r="BH12" s="341"/>
      <c r="BI12" s="341"/>
      <c r="BJ12" s="341"/>
      <c r="BK12" s="341"/>
      <c r="BL12" s="341"/>
      <c r="BM12" s="341"/>
      <c r="BN12" s="341"/>
      <c r="BO12" s="341"/>
      <c r="BP12" s="341"/>
      <c r="BQ12" s="341"/>
      <c r="BR12" s="341"/>
      <c r="BS12" s="341"/>
      <c r="BT12" s="341"/>
      <c r="BU12" s="341"/>
      <c r="BV12" s="341"/>
      <c r="BW12" s="341"/>
      <c r="BX12" s="341"/>
      <c r="BY12" s="341"/>
      <c r="BZ12" s="341"/>
      <c r="CA12" s="341"/>
      <c r="CB12" s="341"/>
      <c r="CC12" s="341"/>
      <c r="CD12" s="341"/>
      <c r="CE12" s="341"/>
      <c r="CF12" s="341"/>
      <c r="CG12" s="341"/>
      <c r="CH12" s="341"/>
      <c r="CI12" s="341"/>
      <c r="CJ12" s="341"/>
      <c r="CK12" s="341"/>
      <c r="CL12" s="341"/>
      <c r="CM12" s="341"/>
      <c r="CN12" s="341"/>
      <c r="CO12" s="341"/>
      <c r="CP12" s="341"/>
      <c r="CQ12" s="341"/>
      <c r="CR12" s="341"/>
      <c r="CS12" s="341"/>
      <c r="CT12" s="341"/>
      <c r="CU12" s="341"/>
      <c r="CV12" s="341"/>
      <c r="CW12" s="341"/>
      <c r="CX12" s="341"/>
      <c r="CY12" s="341"/>
      <c r="CZ12" s="341"/>
      <c r="DA12" s="341"/>
      <c r="DB12" s="341"/>
      <c r="DC12" s="341"/>
      <c r="DD12" s="341"/>
      <c r="DE12" s="341"/>
      <c r="DF12" s="341"/>
      <c r="DG12" s="341"/>
      <c r="DH12" s="341"/>
      <c r="DI12" s="341"/>
      <c r="DJ12" s="341"/>
      <c r="DK12" s="341"/>
      <c r="DL12" s="341"/>
      <c r="DM12" s="341"/>
      <c r="DN12" s="341"/>
      <c r="DO12" s="341"/>
      <c r="DP12" s="341"/>
      <c r="DQ12" s="341"/>
      <c r="DR12" s="341"/>
      <c r="DS12" s="341"/>
      <c r="DT12" s="341"/>
      <c r="DU12" s="341"/>
      <c r="DV12" s="341"/>
      <c r="DW12" s="341"/>
      <c r="DX12" s="341"/>
      <c r="DY12" s="341"/>
      <c r="DZ12" s="341"/>
      <c r="EA12" s="341"/>
      <c r="EB12" s="341"/>
      <c r="EC12" s="341"/>
      <c r="ED12" s="341"/>
      <c r="EE12" s="341"/>
      <c r="EF12" s="341"/>
      <c r="EG12" s="341"/>
      <c r="EH12" s="341"/>
      <c r="EI12" s="341"/>
      <c r="EJ12" s="341"/>
      <c r="EK12" s="341"/>
      <c r="EL12" s="341"/>
      <c r="EM12" s="341"/>
      <c r="EN12" s="341"/>
      <c r="EO12" s="341"/>
      <c r="EP12" s="341"/>
      <c r="EQ12" s="341"/>
      <c r="ER12" s="341"/>
      <c r="ES12" s="341"/>
      <c r="ET12" s="341"/>
      <c r="EU12" s="341"/>
      <c r="EV12" s="341"/>
      <c r="EW12" s="341"/>
      <c r="EX12" s="341"/>
      <c r="EY12" s="341"/>
      <c r="EZ12" s="341"/>
      <c r="FA12" s="341"/>
      <c r="FB12" s="341"/>
      <c r="FC12" s="341"/>
      <c r="FD12" s="341"/>
      <c r="FE12" s="341"/>
      <c r="FF12" s="341"/>
      <c r="FG12" s="341"/>
      <c r="FH12" s="341"/>
      <c r="FI12" s="341"/>
      <c r="FJ12" s="341"/>
      <c r="FK12" s="341"/>
      <c r="FL12" s="341"/>
      <c r="FM12" s="341"/>
      <c r="FN12" s="341"/>
      <c r="FO12" s="341"/>
      <c r="FP12" s="341"/>
      <c r="FQ12" s="341"/>
      <c r="FR12" s="341"/>
      <c r="FS12" s="341"/>
      <c r="FT12" s="341"/>
      <c r="FU12" s="341"/>
      <c r="FV12" s="341"/>
      <c r="FW12" s="341"/>
      <c r="FX12" s="341"/>
      <c r="FY12" s="341"/>
      <c r="FZ12" s="341"/>
      <c r="GA12" s="341"/>
      <c r="GB12" s="341"/>
      <c r="GC12" s="341"/>
      <c r="GD12" s="341"/>
      <c r="GE12" s="341"/>
      <c r="GF12" s="341"/>
      <c r="GG12" s="341"/>
      <c r="GH12" s="341"/>
      <c r="GI12" s="341"/>
      <c r="GJ12" s="341"/>
      <c r="GK12" s="341"/>
      <c r="GL12" s="341"/>
      <c r="GM12" s="341"/>
      <c r="GN12" s="341"/>
      <c r="GO12" s="341"/>
      <c r="GP12" s="341"/>
      <c r="GQ12" s="341"/>
      <c r="GR12" s="341"/>
      <c r="GS12" s="341"/>
      <c r="GT12" s="341"/>
      <c r="GU12" s="341"/>
      <c r="GV12" s="341"/>
      <c r="GW12" s="341"/>
      <c r="GX12" s="341"/>
      <c r="GY12" s="341"/>
      <c r="GZ12" s="341"/>
      <c r="HA12" s="341"/>
      <c r="HB12" s="341"/>
      <c r="HC12" s="341"/>
      <c r="HD12" s="341"/>
      <c r="HE12" s="341"/>
      <c r="HF12" s="341"/>
      <c r="HG12" s="341"/>
      <c r="HH12" s="341"/>
      <c r="HI12" s="341"/>
      <c r="HJ12" s="341"/>
      <c r="HK12" s="341"/>
      <c r="HL12" s="341"/>
      <c r="HM12" s="341"/>
      <c r="HN12" s="341"/>
      <c r="HO12" s="341"/>
      <c r="HP12" s="341"/>
      <c r="HQ12" s="341"/>
      <c r="HR12" s="341"/>
      <c r="HS12" s="341"/>
      <c r="HT12" s="341"/>
      <c r="HU12" s="341"/>
      <c r="HV12" s="341"/>
      <c r="HW12" s="341"/>
      <c r="HX12" s="341"/>
      <c r="HY12" s="341"/>
      <c r="HZ12" s="341"/>
      <c r="IA12" s="341"/>
      <c r="IB12" s="341"/>
      <c r="IC12" s="341"/>
      <c r="ID12" s="341"/>
      <c r="IE12" s="341"/>
      <c r="IF12" s="341"/>
      <c r="IG12" s="341"/>
      <c r="IH12" s="341"/>
      <c r="II12" s="341"/>
      <c r="IJ12" s="341"/>
      <c r="IK12" s="341"/>
      <c r="IL12" s="341"/>
      <c r="IM12" s="341"/>
      <c r="IN12" s="341"/>
      <c r="IO12" s="341"/>
      <c r="IP12" s="341"/>
      <c r="IQ12" s="341"/>
      <c r="IR12" s="341"/>
      <c r="IS12" s="341"/>
      <c r="IT12" s="341"/>
      <c r="IU12" s="341"/>
      <c r="IV12" s="341"/>
      <c r="IW12" s="352"/>
    </row>
    <row r="13" spans="1:257" ht="116.25" customHeight="1" x14ac:dyDescent="0.15">
      <c r="A13" s="335" t="s">
        <v>10</v>
      </c>
      <c r="B13" s="357" t="s">
        <v>11</v>
      </c>
      <c r="C13" s="357"/>
      <c r="D13" s="357"/>
      <c r="E13" s="357"/>
      <c r="F13" s="357"/>
      <c r="G13" s="357"/>
      <c r="H13" s="357"/>
      <c r="I13" s="357"/>
      <c r="J13" s="357"/>
      <c r="K13" s="357"/>
      <c r="L13" s="357"/>
      <c r="M13" s="357"/>
      <c r="N13" s="357"/>
      <c r="O13" s="357"/>
      <c r="P13" s="357"/>
      <c r="Q13" s="357"/>
      <c r="R13" s="357"/>
      <c r="S13" s="357"/>
      <c r="T13" s="357"/>
      <c r="U13" s="357"/>
      <c r="V13" s="357"/>
      <c r="W13" s="357"/>
      <c r="X13" s="357"/>
      <c r="Y13" s="357"/>
      <c r="Z13" s="357"/>
      <c r="AA13" s="357"/>
      <c r="AB13" s="357"/>
      <c r="AC13" s="357"/>
      <c r="AD13" s="357"/>
      <c r="AE13" s="357"/>
      <c r="AF13" s="357"/>
      <c r="AG13" s="357"/>
      <c r="AH13" s="357"/>
      <c r="AI13" s="357"/>
      <c r="AJ13" s="357"/>
      <c r="AK13" s="357"/>
      <c r="AL13" s="357"/>
      <c r="AM13" s="357"/>
      <c r="AN13" s="357"/>
      <c r="AO13" s="357"/>
      <c r="AP13" s="357"/>
      <c r="AQ13" s="357"/>
      <c r="AR13" s="357"/>
      <c r="AS13" s="357"/>
      <c r="AT13" s="357"/>
      <c r="AU13" s="357"/>
      <c r="AV13" s="357"/>
      <c r="AW13" s="357"/>
      <c r="AX13" s="357"/>
      <c r="AY13" s="357"/>
      <c r="AZ13" s="357"/>
      <c r="BA13" s="357"/>
      <c r="BB13" s="357"/>
      <c r="BC13" s="357"/>
      <c r="BD13" s="357"/>
      <c r="BE13" s="357"/>
      <c r="BF13" s="357"/>
      <c r="BG13" s="357"/>
      <c r="BH13" s="357"/>
      <c r="BI13" s="357"/>
      <c r="BJ13" s="357"/>
      <c r="BK13" s="357"/>
      <c r="BL13" s="357"/>
      <c r="BM13" s="357"/>
      <c r="BN13" s="357"/>
      <c r="BO13" s="357"/>
      <c r="BP13" s="357"/>
      <c r="BQ13" s="357"/>
      <c r="BR13" s="357"/>
      <c r="BS13" s="357"/>
      <c r="BT13" s="357"/>
      <c r="BU13" s="357"/>
      <c r="BV13" s="357"/>
      <c r="BW13" s="357"/>
      <c r="BX13" s="357"/>
      <c r="BY13" s="357"/>
      <c r="BZ13" s="357"/>
      <c r="CA13" s="357"/>
      <c r="CB13" s="357"/>
      <c r="CC13" s="357"/>
      <c r="CD13" s="357"/>
      <c r="CE13" s="357"/>
      <c r="CF13" s="357"/>
      <c r="CG13" s="357"/>
      <c r="CH13" s="357"/>
      <c r="CI13" s="357"/>
      <c r="CJ13" s="357"/>
      <c r="CK13" s="357"/>
      <c r="CL13" s="357"/>
      <c r="CM13" s="357"/>
      <c r="CN13" s="357"/>
      <c r="CO13" s="357"/>
      <c r="CP13" s="357"/>
      <c r="CQ13" s="357"/>
      <c r="CR13" s="357"/>
      <c r="CS13" s="357"/>
      <c r="CT13" s="357"/>
      <c r="CU13" s="357"/>
      <c r="CV13" s="357"/>
      <c r="CW13" s="357"/>
      <c r="CX13" s="357"/>
      <c r="CY13" s="357"/>
      <c r="CZ13" s="357"/>
      <c r="DA13" s="357"/>
      <c r="DB13" s="357"/>
      <c r="DC13" s="357"/>
      <c r="DD13" s="357"/>
      <c r="DE13" s="357"/>
      <c r="DF13" s="357"/>
      <c r="DG13" s="357"/>
      <c r="DH13" s="357"/>
      <c r="DI13" s="357"/>
      <c r="DJ13" s="357"/>
      <c r="DK13" s="357"/>
      <c r="DL13" s="357"/>
      <c r="DM13" s="357"/>
      <c r="DN13" s="357"/>
      <c r="DO13" s="357"/>
      <c r="DP13" s="357"/>
      <c r="DQ13" s="357"/>
      <c r="DR13" s="357"/>
      <c r="DS13" s="357"/>
      <c r="DT13" s="357"/>
      <c r="DU13" s="357"/>
      <c r="DV13" s="357"/>
      <c r="DW13" s="357"/>
      <c r="DX13" s="357"/>
      <c r="DY13" s="357"/>
      <c r="DZ13" s="357"/>
      <c r="EA13" s="357"/>
      <c r="EB13" s="357"/>
      <c r="EC13" s="357"/>
      <c r="ED13" s="357"/>
      <c r="EE13" s="357"/>
      <c r="EF13" s="357"/>
      <c r="EG13" s="357"/>
      <c r="EH13" s="357"/>
      <c r="EI13" s="357"/>
      <c r="EJ13" s="357"/>
      <c r="EK13" s="357"/>
      <c r="EL13" s="357"/>
      <c r="EM13" s="357"/>
      <c r="EN13" s="357"/>
      <c r="EO13" s="357"/>
      <c r="EP13" s="357"/>
      <c r="EQ13" s="357"/>
      <c r="ER13" s="357"/>
      <c r="ES13" s="357"/>
      <c r="ET13" s="357"/>
      <c r="EU13" s="357"/>
      <c r="EV13" s="357"/>
      <c r="EW13" s="357"/>
      <c r="EX13" s="357"/>
      <c r="EY13" s="357"/>
      <c r="EZ13" s="357"/>
      <c r="FA13" s="357"/>
      <c r="FB13" s="357"/>
      <c r="FC13" s="357"/>
      <c r="FD13" s="357"/>
      <c r="FE13" s="357"/>
      <c r="FF13" s="357"/>
      <c r="FG13" s="357"/>
      <c r="FH13" s="357"/>
      <c r="FI13" s="357"/>
      <c r="FJ13" s="357"/>
      <c r="FK13" s="357"/>
      <c r="FL13" s="357"/>
      <c r="FM13" s="357"/>
      <c r="FN13" s="357"/>
      <c r="FO13" s="357"/>
      <c r="FP13" s="357"/>
      <c r="FQ13" s="357"/>
      <c r="FR13" s="357"/>
      <c r="FS13" s="357"/>
      <c r="FT13" s="357"/>
      <c r="FU13" s="357"/>
      <c r="FV13" s="357"/>
      <c r="FW13" s="357"/>
      <c r="FX13" s="357"/>
      <c r="FY13" s="357"/>
      <c r="FZ13" s="357"/>
      <c r="GA13" s="357"/>
      <c r="GB13" s="357"/>
      <c r="GC13" s="357"/>
      <c r="GD13" s="357"/>
      <c r="GE13" s="357"/>
      <c r="GF13" s="357"/>
      <c r="GG13" s="357"/>
      <c r="GH13" s="357"/>
      <c r="GI13" s="357"/>
      <c r="GJ13" s="357"/>
      <c r="GK13" s="357"/>
      <c r="GL13" s="357"/>
      <c r="GM13" s="357"/>
      <c r="GN13" s="357"/>
      <c r="GO13" s="357"/>
      <c r="GP13" s="357"/>
      <c r="GQ13" s="357"/>
      <c r="GR13" s="357"/>
      <c r="GS13" s="357"/>
      <c r="GT13" s="357"/>
      <c r="GU13" s="357"/>
      <c r="GV13" s="357"/>
      <c r="GW13" s="357"/>
      <c r="GX13" s="357"/>
      <c r="GY13" s="357"/>
      <c r="GZ13" s="357"/>
      <c r="HA13" s="357"/>
      <c r="HB13" s="357"/>
      <c r="HC13" s="357"/>
      <c r="HD13" s="357"/>
      <c r="HE13" s="357"/>
      <c r="HF13" s="357"/>
      <c r="HG13" s="357"/>
      <c r="HH13" s="357"/>
      <c r="HI13" s="357"/>
      <c r="HJ13" s="357"/>
      <c r="HK13" s="357"/>
      <c r="HL13" s="357"/>
      <c r="HM13" s="357"/>
      <c r="HN13" s="357"/>
      <c r="HO13" s="357"/>
      <c r="HP13" s="357"/>
      <c r="HQ13" s="357"/>
      <c r="HR13" s="357"/>
      <c r="HS13" s="357"/>
      <c r="HT13" s="357"/>
      <c r="HU13" s="357"/>
      <c r="HV13" s="357"/>
      <c r="HW13" s="357"/>
      <c r="HX13" s="357"/>
      <c r="HY13" s="357"/>
      <c r="HZ13" s="357"/>
      <c r="IA13" s="357"/>
      <c r="IB13" s="357"/>
      <c r="IC13" s="357"/>
      <c r="ID13" s="357"/>
      <c r="IE13" s="357"/>
      <c r="IF13" s="357"/>
      <c r="IG13" s="357"/>
      <c r="IH13" s="357"/>
      <c r="II13" s="357"/>
      <c r="IJ13" s="357"/>
      <c r="IK13" s="357"/>
      <c r="IL13" s="357"/>
      <c r="IM13" s="357"/>
      <c r="IN13" s="357"/>
      <c r="IO13" s="357"/>
      <c r="IP13" s="357"/>
      <c r="IQ13" s="357"/>
      <c r="IR13" s="357"/>
      <c r="IS13" s="357"/>
      <c r="IT13" s="357"/>
      <c r="IU13" s="357"/>
      <c r="IV13" s="357"/>
      <c r="IW13" s="357"/>
    </row>
    <row r="14" spans="1:257" ht="88.5" customHeight="1" x14ac:dyDescent="0.15">
      <c r="A14" s="342" t="s">
        <v>12</v>
      </c>
      <c r="B14" s="358" t="s">
        <v>13</v>
      </c>
      <c r="C14" s="358"/>
      <c r="D14" s="358"/>
      <c r="E14" s="358"/>
      <c r="F14" s="358"/>
      <c r="G14" s="358"/>
      <c r="H14" s="358"/>
      <c r="I14" s="358"/>
      <c r="J14" s="358"/>
      <c r="K14" s="358"/>
      <c r="L14" s="358"/>
      <c r="M14" s="358"/>
      <c r="N14" s="358"/>
      <c r="O14" s="358"/>
      <c r="P14" s="358"/>
      <c r="Q14" s="358"/>
      <c r="R14" s="358"/>
      <c r="S14" s="358"/>
      <c r="T14" s="358"/>
      <c r="U14" s="358"/>
      <c r="V14" s="358"/>
      <c r="W14" s="358"/>
      <c r="X14" s="358"/>
      <c r="Y14" s="358"/>
      <c r="Z14" s="358"/>
      <c r="AA14" s="358"/>
      <c r="AB14" s="358"/>
      <c r="AC14" s="358"/>
      <c r="AD14" s="358"/>
      <c r="AE14" s="358"/>
      <c r="AF14" s="358"/>
      <c r="AG14" s="358"/>
      <c r="AH14" s="358"/>
      <c r="AI14" s="358"/>
      <c r="AJ14" s="358"/>
      <c r="AK14" s="358"/>
      <c r="AL14" s="358"/>
      <c r="AM14" s="358"/>
      <c r="AN14" s="358"/>
      <c r="AO14" s="358"/>
      <c r="AP14" s="358"/>
      <c r="AQ14" s="358"/>
      <c r="AR14" s="358"/>
      <c r="AS14" s="358"/>
      <c r="AT14" s="358"/>
      <c r="AU14" s="358"/>
      <c r="AV14" s="358"/>
      <c r="AW14" s="358"/>
      <c r="AX14" s="358"/>
      <c r="AY14" s="358"/>
      <c r="AZ14" s="358"/>
      <c r="BA14" s="358"/>
      <c r="BB14" s="358"/>
      <c r="BC14" s="358"/>
      <c r="BD14" s="358"/>
      <c r="BE14" s="358"/>
      <c r="BF14" s="358"/>
      <c r="BG14" s="358"/>
      <c r="BH14" s="358"/>
      <c r="BI14" s="358"/>
      <c r="BJ14" s="358"/>
      <c r="BK14" s="358"/>
      <c r="BL14" s="358"/>
      <c r="BM14" s="358"/>
      <c r="BN14" s="358"/>
      <c r="BO14" s="358"/>
      <c r="BP14" s="358"/>
      <c r="BQ14" s="358"/>
      <c r="BR14" s="358"/>
      <c r="BS14" s="358"/>
      <c r="BT14" s="358"/>
      <c r="BU14" s="358"/>
      <c r="BV14" s="358"/>
      <c r="BW14" s="358"/>
      <c r="BX14" s="358"/>
      <c r="BY14" s="358"/>
      <c r="BZ14" s="358"/>
      <c r="CA14" s="358"/>
      <c r="CB14" s="358"/>
      <c r="CC14" s="358"/>
      <c r="CD14" s="358"/>
      <c r="CE14" s="358"/>
      <c r="CF14" s="358"/>
      <c r="CG14" s="358"/>
      <c r="CH14" s="358"/>
      <c r="CI14" s="358"/>
      <c r="CJ14" s="358"/>
      <c r="CK14" s="358"/>
      <c r="CL14" s="358"/>
      <c r="CM14" s="358"/>
      <c r="CN14" s="358"/>
      <c r="CO14" s="358"/>
      <c r="CP14" s="358"/>
      <c r="CQ14" s="358"/>
      <c r="CR14" s="358"/>
      <c r="CS14" s="358"/>
      <c r="CT14" s="358"/>
      <c r="CU14" s="358"/>
      <c r="CV14" s="358"/>
      <c r="CW14" s="358"/>
      <c r="CX14" s="358"/>
      <c r="CY14" s="358"/>
      <c r="CZ14" s="358"/>
      <c r="DA14" s="358"/>
      <c r="DB14" s="358"/>
      <c r="DC14" s="358"/>
      <c r="DD14" s="358"/>
      <c r="DE14" s="358"/>
      <c r="DF14" s="358"/>
      <c r="DG14" s="358"/>
      <c r="DH14" s="358"/>
      <c r="DI14" s="358"/>
      <c r="DJ14" s="358"/>
      <c r="DK14" s="358"/>
      <c r="DL14" s="358"/>
      <c r="DM14" s="358"/>
      <c r="DN14" s="358"/>
      <c r="DO14" s="358"/>
      <c r="DP14" s="358"/>
      <c r="DQ14" s="358"/>
      <c r="DR14" s="358"/>
      <c r="DS14" s="358"/>
      <c r="DT14" s="358"/>
      <c r="DU14" s="358"/>
      <c r="DV14" s="358"/>
      <c r="DW14" s="358"/>
      <c r="DX14" s="358"/>
      <c r="DY14" s="358"/>
      <c r="DZ14" s="358"/>
      <c r="EA14" s="358"/>
      <c r="EB14" s="358"/>
      <c r="EC14" s="358"/>
      <c r="ED14" s="358"/>
      <c r="EE14" s="358"/>
      <c r="EF14" s="358"/>
      <c r="EG14" s="358"/>
      <c r="EH14" s="358"/>
      <c r="EI14" s="358"/>
      <c r="EJ14" s="358"/>
      <c r="EK14" s="358"/>
      <c r="EL14" s="358"/>
      <c r="EM14" s="358"/>
      <c r="EN14" s="358"/>
      <c r="EO14" s="358"/>
      <c r="EP14" s="358"/>
      <c r="EQ14" s="358"/>
      <c r="ER14" s="358"/>
      <c r="ES14" s="358"/>
      <c r="ET14" s="358"/>
      <c r="EU14" s="358"/>
      <c r="EV14" s="358"/>
      <c r="EW14" s="358"/>
      <c r="EX14" s="358"/>
      <c r="EY14" s="358"/>
      <c r="EZ14" s="358"/>
      <c r="FA14" s="358"/>
      <c r="FB14" s="358"/>
      <c r="FC14" s="358"/>
      <c r="FD14" s="358"/>
      <c r="FE14" s="358"/>
      <c r="FF14" s="358"/>
      <c r="FG14" s="358"/>
      <c r="FH14" s="358"/>
      <c r="FI14" s="358"/>
      <c r="FJ14" s="358"/>
      <c r="FK14" s="358"/>
      <c r="FL14" s="358"/>
      <c r="FM14" s="358"/>
      <c r="FN14" s="358"/>
      <c r="FO14" s="358"/>
      <c r="FP14" s="358"/>
      <c r="FQ14" s="358"/>
      <c r="FR14" s="358"/>
      <c r="FS14" s="358"/>
      <c r="FT14" s="358"/>
      <c r="FU14" s="358"/>
      <c r="FV14" s="358"/>
      <c r="FW14" s="358"/>
      <c r="FX14" s="358"/>
      <c r="FY14" s="358"/>
      <c r="FZ14" s="358"/>
      <c r="GA14" s="358"/>
      <c r="GB14" s="358"/>
      <c r="GC14" s="358"/>
      <c r="GD14" s="358"/>
      <c r="GE14" s="358"/>
      <c r="GF14" s="358"/>
      <c r="GG14" s="358"/>
      <c r="GH14" s="358"/>
      <c r="GI14" s="358"/>
      <c r="GJ14" s="358"/>
      <c r="GK14" s="358"/>
      <c r="GL14" s="358"/>
      <c r="GM14" s="358"/>
      <c r="GN14" s="358"/>
      <c r="GO14" s="358"/>
      <c r="GP14" s="358"/>
      <c r="GQ14" s="358"/>
      <c r="GR14" s="358"/>
      <c r="GS14" s="358"/>
      <c r="GT14" s="358"/>
      <c r="GU14" s="358"/>
      <c r="GV14" s="358"/>
      <c r="GW14" s="358"/>
      <c r="GX14" s="358"/>
      <c r="GY14" s="358"/>
      <c r="GZ14" s="358"/>
      <c r="HA14" s="358"/>
      <c r="HB14" s="358"/>
      <c r="HC14" s="358"/>
      <c r="HD14" s="358"/>
      <c r="HE14" s="358"/>
      <c r="HF14" s="358"/>
      <c r="HG14" s="358"/>
      <c r="HH14" s="358"/>
      <c r="HI14" s="358"/>
      <c r="HJ14" s="358"/>
      <c r="HK14" s="358"/>
      <c r="HL14" s="358"/>
      <c r="HM14" s="358"/>
      <c r="HN14" s="358"/>
      <c r="HO14" s="358"/>
      <c r="HP14" s="358"/>
      <c r="HQ14" s="358"/>
      <c r="HR14" s="358"/>
      <c r="HS14" s="358"/>
      <c r="HT14" s="358"/>
      <c r="HU14" s="358"/>
      <c r="HV14" s="358"/>
      <c r="HW14" s="358"/>
      <c r="HX14" s="358"/>
      <c r="HY14" s="358"/>
      <c r="HZ14" s="358"/>
      <c r="IA14" s="358"/>
      <c r="IB14" s="358"/>
      <c r="IC14" s="358"/>
      <c r="ID14" s="358"/>
      <c r="IE14" s="358"/>
      <c r="IF14" s="358"/>
      <c r="IG14" s="358"/>
      <c r="IH14" s="358"/>
      <c r="II14" s="358"/>
      <c r="IJ14" s="358"/>
      <c r="IK14" s="358"/>
      <c r="IL14" s="358"/>
      <c r="IM14" s="358"/>
      <c r="IN14" s="358"/>
      <c r="IO14" s="358"/>
      <c r="IP14" s="358"/>
      <c r="IQ14" s="358"/>
      <c r="IR14" s="358"/>
      <c r="IS14" s="358"/>
      <c r="IT14" s="358"/>
      <c r="IU14" s="358"/>
      <c r="IV14" s="358"/>
      <c r="IW14" s="358"/>
    </row>
    <row r="15" spans="1:257" ht="54" customHeight="1" x14ac:dyDescent="0.25">
      <c r="A15" s="335" t="s">
        <v>14</v>
      </c>
      <c r="B15" s="343" t="s">
        <v>15</v>
      </c>
      <c r="C15" s="344"/>
      <c r="D15" s="344"/>
    </row>
    <row r="16" spans="1:257" ht="20.100000000000001" customHeight="1" x14ac:dyDescent="0.15">
      <c r="A16" s="335" t="s">
        <v>16</v>
      </c>
      <c r="B16" s="345" t="s">
        <v>17</v>
      </c>
    </row>
    <row r="17" spans="1:257" ht="30.95" customHeight="1" x14ac:dyDescent="0.15">
      <c r="A17" s="335" t="s">
        <v>18</v>
      </c>
      <c r="B17" s="345" t="s">
        <v>19</v>
      </c>
    </row>
    <row r="18" spans="1:257" x14ac:dyDescent="0.15">
      <c r="A18" s="335"/>
      <c r="B18" s="359"/>
      <c r="C18" s="359"/>
      <c r="D18" s="359"/>
      <c r="E18" s="359"/>
      <c r="F18" s="359"/>
      <c r="G18" s="359"/>
      <c r="H18" s="359"/>
      <c r="I18" s="359"/>
      <c r="J18" s="359"/>
      <c r="K18" s="359"/>
      <c r="L18" s="359"/>
      <c r="M18" s="359"/>
      <c r="N18" s="359"/>
      <c r="O18" s="359"/>
      <c r="P18" s="359"/>
      <c r="Q18" s="359"/>
      <c r="R18" s="359"/>
      <c r="S18" s="359"/>
      <c r="T18" s="359"/>
      <c r="U18" s="359"/>
      <c r="V18" s="359"/>
      <c r="W18" s="359"/>
      <c r="X18" s="359"/>
      <c r="Y18" s="359"/>
      <c r="Z18" s="359"/>
      <c r="AA18" s="359"/>
      <c r="AB18" s="359"/>
      <c r="AC18" s="359"/>
      <c r="AD18" s="359"/>
      <c r="AE18" s="359"/>
      <c r="AF18" s="359"/>
      <c r="AG18" s="359"/>
      <c r="AH18" s="359"/>
      <c r="AI18" s="359"/>
      <c r="AJ18" s="359"/>
      <c r="AK18" s="359"/>
      <c r="AL18" s="359"/>
      <c r="AM18" s="359"/>
      <c r="AN18" s="359"/>
      <c r="AO18" s="359"/>
      <c r="AP18" s="359"/>
      <c r="AQ18" s="359"/>
      <c r="AR18" s="359"/>
      <c r="AS18" s="359"/>
      <c r="AT18" s="359"/>
      <c r="AU18" s="359"/>
      <c r="AV18" s="359"/>
      <c r="AW18" s="359"/>
      <c r="AX18" s="359"/>
      <c r="AY18" s="359"/>
      <c r="AZ18" s="359"/>
      <c r="BA18" s="359"/>
      <c r="BB18" s="359"/>
      <c r="BC18" s="359"/>
      <c r="BD18" s="359"/>
      <c r="BE18" s="359"/>
      <c r="BF18" s="359"/>
      <c r="BG18" s="359"/>
      <c r="BH18" s="359"/>
      <c r="BI18" s="359"/>
      <c r="BJ18" s="359"/>
      <c r="BK18" s="359"/>
      <c r="BL18" s="359"/>
      <c r="BM18" s="359"/>
      <c r="BN18" s="359"/>
      <c r="BO18" s="359"/>
      <c r="BP18" s="359"/>
      <c r="BQ18" s="359"/>
      <c r="BR18" s="359"/>
      <c r="BS18" s="359"/>
      <c r="BT18" s="359"/>
      <c r="BU18" s="359"/>
      <c r="BV18" s="359"/>
      <c r="BW18" s="359"/>
      <c r="BX18" s="359"/>
      <c r="BY18" s="359"/>
      <c r="BZ18" s="359"/>
      <c r="CA18" s="359"/>
      <c r="CB18" s="359"/>
      <c r="CC18" s="359"/>
      <c r="CD18" s="359"/>
      <c r="CE18" s="359"/>
      <c r="CF18" s="359"/>
      <c r="CG18" s="359"/>
      <c r="CH18" s="359"/>
      <c r="CI18" s="359"/>
      <c r="CJ18" s="359"/>
      <c r="CK18" s="359"/>
      <c r="CL18" s="359"/>
      <c r="CM18" s="359"/>
      <c r="CN18" s="359"/>
      <c r="CO18" s="359"/>
      <c r="CP18" s="359"/>
      <c r="CQ18" s="359"/>
      <c r="CR18" s="359"/>
      <c r="CS18" s="359"/>
      <c r="CT18" s="359"/>
      <c r="CU18" s="359"/>
      <c r="CV18" s="359"/>
      <c r="CW18" s="359"/>
      <c r="CX18" s="359"/>
      <c r="CY18" s="359"/>
      <c r="CZ18" s="359"/>
      <c r="DA18" s="359"/>
      <c r="DB18" s="359"/>
      <c r="DC18" s="359"/>
      <c r="DD18" s="359"/>
      <c r="DE18" s="359"/>
      <c r="DF18" s="359"/>
      <c r="DG18" s="359"/>
      <c r="DH18" s="359"/>
      <c r="DI18" s="359"/>
      <c r="DJ18" s="359"/>
      <c r="DK18" s="359"/>
      <c r="DL18" s="359"/>
      <c r="DM18" s="359"/>
      <c r="DN18" s="359"/>
      <c r="DO18" s="359"/>
      <c r="DP18" s="359"/>
      <c r="DQ18" s="359"/>
      <c r="DR18" s="359"/>
      <c r="DS18" s="359"/>
      <c r="DT18" s="359"/>
      <c r="DU18" s="359"/>
      <c r="DV18" s="359"/>
      <c r="DW18" s="359"/>
      <c r="DX18" s="359"/>
      <c r="DY18" s="359"/>
      <c r="DZ18" s="359"/>
      <c r="EA18" s="359"/>
      <c r="EB18" s="359"/>
      <c r="EC18" s="359"/>
      <c r="ED18" s="359"/>
      <c r="EE18" s="359"/>
      <c r="EF18" s="359"/>
      <c r="EG18" s="359"/>
      <c r="EH18" s="359"/>
      <c r="EI18" s="359"/>
      <c r="EJ18" s="359"/>
      <c r="EK18" s="359"/>
      <c r="EL18" s="359"/>
      <c r="EM18" s="359"/>
      <c r="EN18" s="359"/>
      <c r="EO18" s="359"/>
      <c r="EP18" s="359"/>
      <c r="EQ18" s="359"/>
      <c r="ER18" s="359"/>
      <c r="ES18" s="359"/>
      <c r="ET18" s="359"/>
      <c r="EU18" s="359"/>
      <c r="EV18" s="359"/>
      <c r="EW18" s="359"/>
      <c r="EX18" s="359"/>
      <c r="EY18" s="359"/>
      <c r="EZ18" s="359"/>
      <c r="FA18" s="359"/>
      <c r="FB18" s="359"/>
      <c r="FC18" s="359"/>
      <c r="FD18" s="359"/>
      <c r="FE18" s="359"/>
      <c r="FF18" s="359"/>
      <c r="FG18" s="359"/>
      <c r="FH18" s="359"/>
      <c r="FI18" s="359"/>
      <c r="FJ18" s="359"/>
      <c r="FK18" s="359"/>
      <c r="FL18" s="359"/>
      <c r="FM18" s="359"/>
      <c r="FN18" s="359"/>
      <c r="FO18" s="359"/>
      <c r="FP18" s="359"/>
      <c r="FQ18" s="359"/>
      <c r="FR18" s="359"/>
      <c r="FS18" s="359"/>
      <c r="FT18" s="359"/>
      <c r="FU18" s="359"/>
      <c r="FV18" s="359"/>
      <c r="FW18" s="359"/>
      <c r="FX18" s="359"/>
      <c r="FY18" s="359"/>
      <c r="FZ18" s="359"/>
      <c r="GA18" s="359"/>
      <c r="GB18" s="359"/>
      <c r="GC18" s="359"/>
      <c r="GD18" s="359"/>
      <c r="GE18" s="359"/>
      <c r="GF18" s="359"/>
      <c r="GG18" s="359"/>
      <c r="GH18" s="359"/>
      <c r="GI18" s="359"/>
      <c r="GJ18" s="359"/>
      <c r="GK18" s="359"/>
      <c r="GL18" s="359"/>
      <c r="GM18" s="359"/>
      <c r="GN18" s="359"/>
      <c r="GO18" s="359"/>
      <c r="GP18" s="359"/>
      <c r="GQ18" s="359"/>
      <c r="GR18" s="359"/>
      <c r="GS18" s="359"/>
      <c r="GT18" s="359"/>
      <c r="GU18" s="359"/>
      <c r="GV18" s="359"/>
      <c r="GW18" s="359"/>
      <c r="GX18" s="359"/>
      <c r="GY18" s="359"/>
      <c r="GZ18" s="359"/>
      <c r="HA18" s="359"/>
      <c r="HB18" s="359"/>
      <c r="HC18" s="359"/>
      <c r="HD18" s="359"/>
      <c r="HE18" s="359"/>
      <c r="HF18" s="359"/>
      <c r="HG18" s="359"/>
      <c r="HH18" s="359"/>
      <c r="HI18" s="359"/>
      <c r="HJ18" s="359"/>
      <c r="HK18" s="359"/>
      <c r="HL18" s="359"/>
      <c r="HM18" s="359"/>
      <c r="HN18" s="359"/>
      <c r="HO18" s="359"/>
      <c r="HP18" s="359"/>
      <c r="HQ18" s="359"/>
      <c r="HR18" s="359"/>
      <c r="HS18" s="359"/>
      <c r="HT18" s="359"/>
      <c r="HU18" s="359"/>
      <c r="HV18" s="359"/>
      <c r="HW18" s="359"/>
      <c r="HX18" s="359"/>
      <c r="HY18" s="359"/>
      <c r="HZ18" s="359"/>
      <c r="IA18" s="359"/>
      <c r="IB18" s="359"/>
      <c r="IC18" s="359"/>
      <c r="ID18" s="359"/>
      <c r="IE18" s="359"/>
      <c r="IF18" s="359"/>
      <c r="IG18" s="359"/>
      <c r="IH18" s="359"/>
      <c r="II18" s="359"/>
      <c r="IJ18" s="359"/>
      <c r="IK18" s="359"/>
      <c r="IL18" s="359"/>
      <c r="IM18" s="359"/>
      <c r="IN18" s="359"/>
      <c r="IO18" s="359"/>
      <c r="IP18" s="359"/>
      <c r="IQ18" s="359"/>
      <c r="IR18" s="359"/>
      <c r="IS18" s="359"/>
      <c r="IT18" s="359"/>
      <c r="IU18" s="359"/>
      <c r="IV18" s="359"/>
      <c r="IW18" s="359"/>
    </row>
    <row r="19" spans="1:257" x14ac:dyDescent="0.15">
      <c r="A19" s="346"/>
      <c r="B19" s="359"/>
      <c r="C19" s="359"/>
      <c r="D19" s="359"/>
      <c r="E19" s="359"/>
      <c r="F19" s="359"/>
      <c r="G19" s="359"/>
      <c r="H19" s="359"/>
      <c r="I19" s="359"/>
      <c r="J19" s="359"/>
      <c r="K19" s="359"/>
      <c r="L19" s="359"/>
      <c r="M19" s="359"/>
      <c r="N19" s="359"/>
      <c r="O19" s="359"/>
      <c r="P19" s="359"/>
      <c r="Q19" s="359"/>
      <c r="R19" s="359"/>
      <c r="S19" s="359"/>
      <c r="T19" s="359"/>
      <c r="U19" s="359"/>
      <c r="V19" s="359"/>
      <c r="W19" s="359"/>
      <c r="X19" s="359"/>
      <c r="Y19" s="359"/>
      <c r="Z19" s="359"/>
      <c r="AA19" s="359"/>
      <c r="AB19" s="359"/>
      <c r="AC19" s="359"/>
      <c r="AD19" s="359"/>
      <c r="AE19" s="359"/>
      <c r="AF19" s="359"/>
      <c r="AG19" s="359"/>
      <c r="AH19" s="359"/>
      <c r="AI19" s="359"/>
      <c r="AJ19" s="359"/>
      <c r="AK19" s="359"/>
      <c r="AL19" s="359"/>
      <c r="AM19" s="359"/>
      <c r="AN19" s="359"/>
      <c r="AO19" s="359"/>
      <c r="AP19" s="359"/>
      <c r="AQ19" s="359"/>
      <c r="AR19" s="359"/>
      <c r="AS19" s="359"/>
      <c r="AT19" s="359"/>
      <c r="AU19" s="359"/>
      <c r="AV19" s="359"/>
      <c r="AW19" s="359"/>
      <c r="AX19" s="359"/>
      <c r="AY19" s="359"/>
      <c r="AZ19" s="359"/>
      <c r="BA19" s="359"/>
      <c r="BB19" s="359"/>
      <c r="BC19" s="359"/>
      <c r="BD19" s="359"/>
      <c r="BE19" s="359"/>
      <c r="BF19" s="359"/>
      <c r="BG19" s="359"/>
      <c r="BH19" s="359"/>
      <c r="BI19" s="359"/>
      <c r="BJ19" s="359"/>
      <c r="BK19" s="359"/>
      <c r="BL19" s="359"/>
      <c r="BM19" s="359"/>
      <c r="BN19" s="359"/>
      <c r="BO19" s="359"/>
      <c r="BP19" s="359"/>
      <c r="BQ19" s="359"/>
      <c r="BR19" s="359"/>
      <c r="BS19" s="359"/>
      <c r="BT19" s="359"/>
      <c r="BU19" s="359"/>
      <c r="BV19" s="359"/>
      <c r="BW19" s="359"/>
      <c r="BX19" s="359"/>
      <c r="BY19" s="359"/>
      <c r="BZ19" s="359"/>
      <c r="CA19" s="359"/>
      <c r="CB19" s="359"/>
      <c r="CC19" s="359"/>
      <c r="CD19" s="359"/>
      <c r="CE19" s="359"/>
      <c r="CF19" s="359"/>
      <c r="CG19" s="359"/>
      <c r="CH19" s="359"/>
      <c r="CI19" s="359"/>
      <c r="CJ19" s="359"/>
      <c r="CK19" s="359"/>
      <c r="CL19" s="359"/>
      <c r="CM19" s="359"/>
      <c r="CN19" s="359"/>
      <c r="CO19" s="359"/>
      <c r="CP19" s="359"/>
      <c r="CQ19" s="359"/>
      <c r="CR19" s="359"/>
      <c r="CS19" s="359"/>
      <c r="CT19" s="359"/>
      <c r="CU19" s="359"/>
      <c r="CV19" s="359"/>
      <c r="CW19" s="359"/>
      <c r="CX19" s="359"/>
      <c r="CY19" s="359"/>
      <c r="CZ19" s="359"/>
      <c r="DA19" s="359"/>
      <c r="DB19" s="359"/>
      <c r="DC19" s="359"/>
      <c r="DD19" s="359"/>
      <c r="DE19" s="359"/>
      <c r="DF19" s="359"/>
      <c r="DG19" s="359"/>
      <c r="DH19" s="359"/>
      <c r="DI19" s="359"/>
      <c r="DJ19" s="359"/>
      <c r="DK19" s="359"/>
      <c r="DL19" s="359"/>
      <c r="DM19" s="359"/>
      <c r="DN19" s="359"/>
      <c r="DO19" s="359"/>
      <c r="DP19" s="359"/>
      <c r="DQ19" s="359"/>
      <c r="DR19" s="359"/>
      <c r="DS19" s="359"/>
      <c r="DT19" s="359"/>
      <c r="DU19" s="359"/>
      <c r="DV19" s="359"/>
      <c r="DW19" s="359"/>
      <c r="DX19" s="359"/>
      <c r="DY19" s="359"/>
      <c r="DZ19" s="359"/>
      <c r="EA19" s="359"/>
      <c r="EB19" s="359"/>
      <c r="EC19" s="359"/>
      <c r="ED19" s="359"/>
      <c r="EE19" s="359"/>
      <c r="EF19" s="359"/>
      <c r="EG19" s="359"/>
      <c r="EH19" s="359"/>
      <c r="EI19" s="359"/>
      <c r="EJ19" s="359"/>
      <c r="EK19" s="359"/>
      <c r="EL19" s="359"/>
      <c r="EM19" s="359"/>
      <c r="EN19" s="359"/>
      <c r="EO19" s="359"/>
      <c r="EP19" s="359"/>
      <c r="EQ19" s="359"/>
      <c r="ER19" s="359"/>
      <c r="ES19" s="359"/>
      <c r="ET19" s="359"/>
      <c r="EU19" s="359"/>
      <c r="EV19" s="359"/>
      <c r="EW19" s="359"/>
      <c r="EX19" s="359"/>
      <c r="EY19" s="359"/>
      <c r="EZ19" s="359"/>
      <c r="FA19" s="359"/>
      <c r="FB19" s="359"/>
      <c r="FC19" s="359"/>
      <c r="FD19" s="359"/>
      <c r="FE19" s="359"/>
      <c r="FF19" s="359"/>
      <c r="FG19" s="359"/>
      <c r="FH19" s="359"/>
      <c r="FI19" s="359"/>
      <c r="FJ19" s="359"/>
      <c r="FK19" s="359"/>
      <c r="FL19" s="359"/>
      <c r="FM19" s="359"/>
      <c r="FN19" s="359"/>
      <c r="FO19" s="359"/>
      <c r="FP19" s="359"/>
      <c r="FQ19" s="359"/>
      <c r="FR19" s="359"/>
      <c r="FS19" s="359"/>
      <c r="FT19" s="359"/>
      <c r="FU19" s="359"/>
      <c r="FV19" s="359"/>
      <c r="FW19" s="359"/>
      <c r="FX19" s="359"/>
      <c r="FY19" s="359"/>
      <c r="FZ19" s="359"/>
      <c r="GA19" s="359"/>
      <c r="GB19" s="359"/>
      <c r="GC19" s="359"/>
      <c r="GD19" s="359"/>
      <c r="GE19" s="359"/>
      <c r="GF19" s="359"/>
      <c r="GG19" s="359"/>
      <c r="GH19" s="359"/>
      <c r="GI19" s="359"/>
      <c r="GJ19" s="359"/>
      <c r="GK19" s="359"/>
      <c r="GL19" s="359"/>
      <c r="GM19" s="359"/>
      <c r="GN19" s="359"/>
      <c r="GO19" s="359"/>
      <c r="GP19" s="359"/>
      <c r="GQ19" s="359"/>
      <c r="GR19" s="359"/>
      <c r="GS19" s="359"/>
      <c r="GT19" s="359"/>
      <c r="GU19" s="359"/>
      <c r="GV19" s="359"/>
      <c r="GW19" s="359"/>
      <c r="GX19" s="359"/>
      <c r="GY19" s="359"/>
      <c r="GZ19" s="359"/>
      <c r="HA19" s="359"/>
      <c r="HB19" s="359"/>
      <c r="HC19" s="359"/>
      <c r="HD19" s="359"/>
      <c r="HE19" s="359"/>
      <c r="HF19" s="359"/>
      <c r="HG19" s="359"/>
      <c r="HH19" s="359"/>
      <c r="HI19" s="359"/>
      <c r="HJ19" s="359"/>
      <c r="HK19" s="359"/>
      <c r="HL19" s="359"/>
      <c r="HM19" s="359"/>
      <c r="HN19" s="359"/>
      <c r="HO19" s="359"/>
      <c r="HP19" s="359"/>
      <c r="HQ19" s="359"/>
      <c r="HR19" s="359"/>
      <c r="HS19" s="359"/>
      <c r="HT19" s="359"/>
      <c r="HU19" s="359"/>
      <c r="HV19" s="359"/>
      <c r="HW19" s="359"/>
      <c r="HX19" s="359"/>
      <c r="HY19" s="359"/>
      <c r="HZ19" s="359"/>
      <c r="IA19" s="359"/>
      <c r="IB19" s="359"/>
      <c r="IC19" s="359"/>
      <c r="ID19" s="359"/>
      <c r="IE19" s="359"/>
      <c r="IF19" s="359"/>
      <c r="IG19" s="359"/>
      <c r="IH19" s="359"/>
      <c r="II19" s="359"/>
      <c r="IJ19" s="359"/>
      <c r="IK19" s="359"/>
      <c r="IL19" s="359"/>
      <c r="IM19" s="359"/>
      <c r="IN19" s="359"/>
      <c r="IO19" s="359"/>
      <c r="IP19" s="359"/>
      <c r="IQ19" s="359"/>
      <c r="IR19" s="359"/>
      <c r="IS19" s="359"/>
      <c r="IT19" s="359"/>
      <c r="IU19" s="359"/>
      <c r="IV19" s="359"/>
      <c r="IW19" s="359"/>
    </row>
    <row r="20" spans="1:257" x14ac:dyDescent="0.25">
      <c r="A20" s="347"/>
      <c r="B20" s="359"/>
      <c r="C20" s="359"/>
      <c r="D20" s="359"/>
      <c r="E20" s="359"/>
      <c r="F20" s="359"/>
      <c r="G20" s="359"/>
      <c r="H20" s="359"/>
      <c r="I20" s="359"/>
      <c r="J20" s="359"/>
      <c r="K20" s="359"/>
      <c r="L20" s="359"/>
      <c r="M20" s="359"/>
      <c r="N20" s="359"/>
      <c r="O20" s="359"/>
      <c r="P20" s="359"/>
      <c r="Q20" s="359"/>
      <c r="R20" s="359"/>
      <c r="S20" s="359"/>
      <c r="T20" s="359"/>
      <c r="U20" s="359"/>
      <c r="V20" s="359"/>
      <c r="W20" s="359"/>
      <c r="X20" s="359"/>
      <c r="Y20" s="359"/>
      <c r="Z20" s="359"/>
      <c r="AA20" s="359"/>
      <c r="AB20" s="359"/>
      <c r="AC20" s="359"/>
      <c r="AD20" s="359"/>
      <c r="AE20" s="359"/>
      <c r="AF20" s="359"/>
      <c r="AG20" s="359"/>
      <c r="AH20" s="359"/>
      <c r="AI20" s="359"/>
      <c r="AJ20" s="359"/>
      <c r="AK20" s="359"/>
      <c r="AL20" s="359"/>
      <c r="AM20" s="359"/>
      <c r="AN20" s="359"/>
      <c r="AO20" s="359"/>
      <c r="AP20" s="359"/>
      <c r="AQ20" s="359"/>
      <c r="AR20" s="359"/>
      <c r="AS20" s="359"/>
      <c r="AT20" s="359"/>
      <c r="AU20" s="359"/>
      <c r="AV20" s="359"/>
      <c r="AW20" s="359"/>
      <c r="AX20" s="359"/>
      <c r="AY20" s="359"/>
      <c r="AZ20" s="359"/>
      <c r="BA20" s="359"/>
      <c r="BB20" s="359"/>
      <c r="BC20" s="359"/>
      <c r="BD20" s="359"/>
      <c r="BE20" s="359"/>
      <c r="BF20" s="359"/>
      <c r="BG20" s="359"/>
      <c r="BH20" s="359"/>
      <c r="BI20" s="359"/>
      <c r="BJ20" s="359"/>
      <c r="BK20" s="359"/>
      <c r="BL20" s="359"/>
      <c r="BM20" s="359"/>
      <c r="BN20" s="359"/>
      <c r="BO20" s="359"/>
      <c r="BP20" s="359"/>
      <c r="BQ20" s="359"/>
      <c r="BR20" s="359"/>
      <c r="BS20" s="359"/>
      <c r="BT20" s="359"/>
      <c r="BU20" s="359"/>
      <c r="BV20" s="359"/>
      <c r="BW20" s="359"/>
      <c r="BX20" s="359"/>
      <c r="BY20" s="359"/>
      <c r="BZ20" s="359"/>
      <c r="CA20" s="359"/>
      <c r="CB20" s="359"/>
      <c r="CC20" s="359"/>
      <c r="CD20" s="359"/>
      <c r="CE20" s="359"/>
      <c r="CF20" s="359"/>
      <c r="CG20" s="359"/>
      <c r="CH20" s="359"/>
      <c r="CI20" s="359"/>
      <c r="CJ20" s="359"/>
      <c r="CK20" s="359"/>
      <c r="CL20" s="359"/>
      <c r="CM20" s="359"/>
      <c r="CN20" s="359"/>
      <c r="CO20" s="359"/>
      <c r="CP20" s="359"/>
      <c r="CQ20" s="359"/>
      <c r="CR20" s="359"/>
      <c r="CS20" s="359"/>
      <c r="CT20" s="359"/>
      <c r="CU20" s="359"/>
      <c r="CV20" s="359"/>
      <c r="CW20" s="359"/>
      <c r="CX20" s="359"/>
      <c r="CY20" s="359"/>
      <c r="CZ20" s="359"/>
      <c r="DA20" s="359"/>
      <c r="DB20" s="359"/>
      <c r="DC20" s="359"/>
      <c r="DD20" s="359"/>
      <c r="DE20" s="359"/>
      <c r="DF20" s="359"/>
      <c r="DG20" s="359"/>
      <c r="DH20" s="359"/>
      <c r="DI20" s="359"/>
      <c r="DJ20" s="359"/>
      <c r="DK20" s="359"/>
      <c r="DL20" s="359"/>
      <c r="DM20" s="359"/>
      <c r="DN20" s="359"/>
      <c r="DO20" s="359"/>
      <c r="DP20" s="359"/>
      <c r="DQ20" s="359"/>
      <c r="DR20" s="359"/>
      <c r="DS20" s="359"/>
      <c r="DT20" s="359"/>
      <c r="DU20" s="359"/>
      <c r="DV20" s="359"/>
      <c r="DW20" s="359"/>
      <c r="DX20" s="359"/>
      <c r="DY20" s="359"/>
      <c r="DZ20" s="359"/>
      <c r="EA20" s="359"/>
      <c r="EB20" s="359"/>
      <c r="EC20" s="359"/>
      <c r="ED20" s="359"/>
      <c r="EE20" s="359"/>
      <c r="EF20" s="359"/>
      <c r="EG20" s="359"/>
      <c r="EH20" s="359"/>
      <c r="EI20" s="359"/>
      <c r="EJ20" s="359"/>
      <c r="EK20" s="359"/>
      <c r="EL20" s="359"/>
      <c r="EM20" s="359"/>
      <c r="EN20" s="359"/>
      <c r="EO20" s="359"/>
      <c r="EP20" s="359"/>
      <c r="EQ20" s="359"/>
      <c r="ER20" s="359"/>
      <c r="ES20" s="359"/>
      <c r="ET20" s="359"/>
      <c r="EU20" s="359"/>
      <c r="EV20" s="359"/>
      <c r="EW20" s="359"/>
      <c r="EX20" s="359"/>
      <c r="EY20" s="359"/>
      <c r="EZ20" s="359"/>
      <c r="FA20" s="359"/>
      <c r="FB20" s="359"/>
      <c r="FC20" s="359"/>
      <c r="FD20" s="359"/>
      <c r="FE20" s="359"/>
      <c r="FF20" s="359"/>
      <c r="FG20" s="359"/>
      <c r="FH20" s="359"/>
      <c r="FI20" s="359"/>
      <c r="FJ20" s="359"/>
      <c r="FK20" s="359"/>
      <c r="FL20" s="359"/>
      <c r="FM20" s="359"/>
      <c r="FN20" s="359"/>
      <c r="FO20" s="359"/>
      <c r="FP20" s="359"/>
      <c r="FQ20" s="359"/>
      <c r="FR20" s="359"/>
      <c r="FS20" s="359"/>
      <c r="FT20" s="359"/>
      <c r="FU20" s="359"/>
      <c r="FV20" s="359"/>
      <c r="FW20" s="359"/>
      <c r="FX20" s="359"/>
      <c r="FY20" s="359"/>
      <c r="FZ20" s="359"/>
      <c r="GA20" s="359"/>
      <c r="GB20" s="359"/>
      <c r="GC20" s="359"/>
      <c r="GD20" s="359"/>
      <c r="GE20" s="359"/>
      <c r="GF20" s="359"/>
      <c r="GG20" s="359"/>
      <c r="GH20" s="359"/>
      <c r="GI20" s="359"/>
      <c r="GJ20" s="359"/>
      <c r="GK20" s="359"/>
      <c r="GL20" s="359"/>
      <c r="GM20" s="359"/>
      <c r="GN20" s="359"/>
      <c r="GO20" s="359"/>
      <c r="GP20" s="359"/>
      <c r="GQ20" s="359"/>
      <c r="GR20" s="359"/>
      <c r="GS20" s="359"/>
      <c r="GT20" s="359"/>
      <c r="GU20" s="359"/>
      <c r="GV20" s="359"/>
      <c r="GW20" s="359"/>
      <c r="GX20" s="359"/>
      <c r="GY20" s="359"/>
      <c r="GZ20" s="359"/>
      <c r="HA20" s="359"/>
      <c r="HB20" s="359"/>
      <c r="HC20" s="359"/>
      <c r="HD20" s="359"/>
      <c r="HE20" s="359"/>
      <c r="HF20" s="359"/>
      <c r="HG20" s="359"/>
      <c r="HH20" s="359"/>
      <c r="HI20" s="359"/>
      <c r="HJ20" s="359"/>
      <c r="HK20" s="359"/>
      <c r="HL20" s="359"/>
      <c r="HM20" s="359"/>
      <c r="HN20" s="359"/>
      <c r="HO20" s="359"/>
      <c r="HP20" s="359"/>
      <c r="HQ20" s="359"/>
      <c r="HR20" s="359"/>
      <c r="HS20" s="359"/>
      <c r="HT20" s="359"/>
      <c r="HU20" s="359"/>
      <c r="HV20" s="359"/>
      <c r="HW20" s="359"/>
      <c r="HX20" s="359"/>
      <c r="HY20" s="359"/>
      <c r="HZ20" s="359"/>
      <c r="IA20" s="359"/>
      <c r="IB20" s="359"/>
      <c r="IC20" s="359"/>
      <c r="ID20" s="359"/>
      <c r="IE20" s="359"/>
      <c r="IF20" s="359"/>
      <c r="IG20" s="359"/>
      <c r="IH20" s="359"/>
      <c r="II20" s="359"/>
      <c r="IJ20" s="359"/>
      <c r="IK20" s="359"/>
      <c r="IL20" s="359"/>
      <c r="IM20" s="359"/>
      <c r="IN20" s="359"/>
      <c r="IO20" s="359"/>
      <c r="IP20" s="359"/>
      <c r="IQ20" s="359"/>
      <c r="IR20" s="359"/>
      <c r="IS20" s="359"/>
      <c r="IT20" s="359"/>
      <c r="IU20" s="359"/>
      <c r="IV20" s="359"/>
      <c r="IW20" s="359"/>
    </row>
    <row r="21" spans="1:257" x14ac:dyDescent="0.25">
      <c r="A21" s="348"/>
      <c r="B21" s="359"/>
      <c r="C21" s="359"/>
      <c r="D21" s="359"/>
      <c r="E21" s="359"/>
      <c r="F21" s="359"/>
      <c r="G21" s="359"/>
      <c r="H21" s="359"/>
      <c r="I21" s="359"/>
      <c r="J21" s="359"/>
      <c r="K21" s="359"/>
      <c r="L21" s="359"/>
      <c r="M21" s="359"/>
      <c r="N21" s="359"/>
      <c r="O21" s="359"/>
      <c r="P21" s="359"/>
      <c r="Q21" s="359"/>
      <c r="R21" s="359"/>
      <c r="S21" s="359"/>
      <c r="T21" s="359"/>
      <c r="U21" s="359"/>
      <c r="V21" s="359"/>
      <c r="W21" s="359"/>
      <c r="X21" s="359"/>
      <c r="Y21" s="359"/>
      <c r="Z21" s="359"/>
      <c r="AA21" s="359"/>
      <c r="AB21" s="359"/>
      <c r="AC21" s="359"/>
      <c r="AD21" s="359"/>
      <c r="AE21" s="359"/>
      <c r="AF21" s="359"/>
      <c r="AG21" s="359"/>
      <c r="AH21" s="359"/>
      <c r="AI21" s="359"/>
      <c r="AJ21" s="359"/>
      <c r="AK21" s="359"/>
      <c r="AL21" s="359"/>
      <c r="AM21" s="359"/>
      <c r="AN21" s="359"/>
      <c r="AO21" s="359"/>
      <c r="AP21" s="359"/>
      <c r="AQ21" s="359"/>
      <c r="AR21" s="359"/>
      <c r="AS21" s="359"/>
      <c r="AT21" s="359"/>
      <c r="AU21" s="359"/>
      <c r="AV21" s="359"/>
      <c r="AW21" s="359"/>
      <c r="AX21" s="359"/>
      <c r="AY21" s="359"/>
      <c r="AZ21" s="359"/>
      <c r="BA21" s="359"/>
      <c r="BB21" s="359"/>
      <c r="BC21" s="359"/>
      <c r="BD21" s="359"/>
      <c r="BE21" s="359"/>
      <c r="BF21" s="359"/>
      <c r="BG21" s="359"/>
      <c r="BH21" s="359"/>
      <c r="BI21" s="359"/>
      <c r="BJ21" s="359"/>
      <c r="BK21" s="359"/>
      <c r="BL21" s="359"/>
      <c r="BM21" s="359"/>
      <c r="BN21" s="359"/>
      <c r="BO21" s="359"/>
      <c r="BP21" s="359"/>
      <c r="BQ21" s="359"/>
      <c r="BR21" s="359"/>
      <c r="BS21" s="359"/>
      <c r="BT21" s="359"/>
      <c r="BU21" s="359"/>
      <c r="BV21" s="359"/>
      <c r="BW21" s="359"/>
      <c r="BX21" s="359"/>
      <c r="BY21" s="359"/>
      <c r="BZ21" s="359"/>
      <c r="CA21" s="359"/>
      <c r="CB21" s="359"/>
      <c r="CC21" s="359"/>
      <c r="CD21" s="359"/>
      <c r="CE21" s="359"/>
      <c r="CF21" s="359"/>
      <c r="CG21" s="359"/>
      <c r="CH21" s="359"/>
      <c r="CI21" s="359"/>
      <c r="CJ21" s="359"/>
      <c r="CK21" s="359"/>
      <c r="CL21" s="359"/>
      <c r="CM21" s="359"/>
      <c r="CN21" s="359"/>
      <c r="CO21" s="359"/>
      <c r="CP21" s="359"/>
      <c r="CQ21" s="359"/>
      <c r="CR21" s="359"/>
      <c r="CS21" s="359"/>
      <c r="CT21" s="359"/>
      <c r="CU21" s="359"/>
      <c r="CV21" s="359"/>
      <c r="CW21" s="359"/>
      <c r="CX21" s="359"/>
      <c r="CY21" s="359"/>
      <c r="CZ21" s="359"/>
      <c r="DA21" s="359"/>
      <c r="DB21" s="359"/>
      <c r="DC21" s="359"/>
      <c r="DD21" s="359"/>
      <c r="DE21" s="359"/>
      <c r="DF21" s="359"/>
      <c r="DG21" s="359"/>
      <c r="DH21" s="359"/>
      <c r="DI21" s="359"/>
      <c r="DJ21" s="359"/>
      <c r="DK21" s="359"/>
      <c r="DL21" s="359"/>
      <c r="DM21" s="359"/>
      <c r="DN21" s="359"/>
      <c r="DO21" s="359"/>
      <c r="DP21" s="359"/>
      <c r="DQ21" s="359"/>
      <c r="DR21" s="359"/>
      <c r="DS21" s="359"/>
      <c r="DT21" s="359"/>
      <c r="DU21" s="359"/>
      <c r="DV21" s="359"/>
      <c r="DW21" s="359"/>
      <c r="DX21" s="359"/>
      <c r="DY21" s="359"/>
      <c r="DZ21" s="359"/>
      <c r="EA21" s="359"/>
      <c r="EB21" s="359"/>
      <c r="EC21" s="359"/>
      <c r="ED21" s="359"/>
      <c r="EE21" s="359"/>
      <c r="EF21" s="359"/>
      <c r="EG21" s="359"/>
      <c r="EH21" s="359"/>
      <c r="EI21" s="359"/>
      <c r="EJ21" s="359"/>
      <c r="EK21" s="359"/>
      <c r="EL21" s="359"/>
      <c r="EM21" s="359"/>
      <c r="EN21" s="359"/>
      <c r="EO21" s="359"/>
      <c r="EP21" s="359"/>
      <c r="EQ21" s="359"/>
      <c r="ER21" s="359"/>
      <c r="ES21" s="359"/>
      <c r="ET21" s="359"/>
      <c r="EU21" s="359"/>
      <c r="EV21" s="359"/>
      <c r="EW21" s="359"/>
      <c r="EX21" s="359"/>
      <c r="EY21" s="359"/>
      <c r="EZ21" s="359"/>
      <c r="FA21" s="359"/>
      <c r="FB21" s="359"/>
      <c r="FC21" s="359"/>
      <c r="FD21" s="359"/>
      <c r="FE21" s="359"/>
      <c r="FF21" s="359"/>
      <c r="FG21" s="359"/>
      <c r="FH21" s="359"/>
      <c r="FI21" s="359"/>
      <c r="FJ21" s="359"/>
      <c r="FK21" s="359"/>
      <c r="FL21" s="359"/>
      <c r="FM21" s="359"/>
      <c r="FN21" s="359"/>
      <c r="FO21" s="359"/>
      <c r="FP21" s="359"/>
      <c r="FQ21" s="359"/>
      <c r="FR21" s="359"/>
      <c r="FS21" s="359"/>
      <c r="FT21" s="359"/>
      <c r="FU21" s="359"/>
      <c r="FV21" s="359"/>
      <c r="FW21" s="359"/>
      <c r="FX21" s="359"/>
      <c r="FY21" s="359"/>
      <c r="FZ21" s="359"/>
      <c r="GA21" s="359"/>
      <c r="GB21" s="359"/>
      <c r="GC21" s="359"/>
      <c r="GD21" s="359"/>
      <c r="GE21" s="359"/>
      <c r="GF21" s="359"/>
      <c r="GG21" s="359"/>
      <c r="GH21" s="359"/>
      <c r="GI21" s="359"/>
      <c r="GJ21" s="359"/>
      <c r="GK21" s="359"/>
      <c r="GL21" s="359"/>
      <c r="GM21" s="359"/>
      <c r="GN21" s="359"/>
      <c r="GO21" s="359"/>
      <c r="GP21" s="359"/>
      <c r="GQ21" s="359"/>
      <c r="GR21" s="359"/>
      <c r="GS21" s="359"/>
      <c r="GT21" s="359"/>
      <c r="GU21" s="359"/>
      <c r="GV21" s="359"/>
      <c r="GW21" s="359"/>
      <c r="GX21" s="359"/>
      <c r="GY21" s="359"/>
      <c r="GZ21" s="359"/>
      <c r="HA21" s="359"/>
      <c r="HB21" s="359"/>
      <c r="HC21" s="359"/>
      <c r="HD21" s="359"/>
      <c r="HE21" s="359"/>
      <c r="HF21" s="359"/>
      <c r="HG21" s="359"/>
      <c r="HH21" s="359"/>
      <c r="HI21" s="359"/>
      <c r="HJ21" s="359"/>
      <c r="HK21" s="359"/>
      <c r="HL21" s="359"/>
      <c r="HM21" s="359"/>
      <c r="HN21" s="359"/>
      <c r="HO21" s="359"/>
      <c r="HP21" s="359"/>
      <c r="HQ21" s="359"/>
      <c r="HR21" s="359"/>
      <c r="HS21" s="359"/>
      <c r="HT21" s="359"/>
      <c r="HU21" s="359"/>
      <c r="HV21" s="359"/>
      <c r="HW21" s="359"/>
      <c r="HX21" s="359"/>
      <c r="HY21" s="359"/>
      <c r="HZ21" s="359"/>
      <c r="IA21" s="359"/>
      <c r="IB21" s="359"/>
      <c r="IC21" s="359"/>
      <c r="ID21" s="359"/>
      <c r="IE21" s="359"/>
      <c r="IF21" s="359"/>
      <c r="IG21" s="359"/>
      <c r="IH21" s="359"/>
      <c r="II21" s="359"/>
      <c r="IJ21" s="359"/>
      <c r="IK21" s="359"/>
      <c r="IL21" s="359"/>
      <c r="IM21" s="359"/>
      <c r="IN21" s="359"/>
      <c r="IO21" s="359"/>
      <c r="IP21" s="359"/>
      <c r="IQ21" s="359"/>
      <c r="IR21" s="359"/>
      <c r="IS21" s="359"/>
      <c r="IT21" s="359"/>
      <c r="IU21" s="359"/>
      <c r="IV21" s="359"/>
      <c r="IW21" s="359"/>
    </row>
    <row r="22" spans="1:257" x14ac:dyDescent="0.15">
      <c r="A22" s="349"/>
      <c r="B22" s="359"/>
      <c r="C22" s="359"/>
      <c r="D22" s="359"/>
      <c r="E22" s="359"/>
      <c r="F22" s="359"/>
      <c r="G22" s="359"/>
      <c r="H22" s="359"/>
      <c r="I22" s="359"/>
      <c r="J22" s="359"/>
      <c r="K22" s="359"/>
      <c r="L22" s="359"/>
      <c r="M22" s="359"/>
      <c r="N22" s="359"/>
      <c r="O22" s="359"/>
      <c r="P22" s="359"/>
      <c r="Q22" s="359"/>
      <c r="R22" s="359"/>
      <c r="S22" s="359"/>
      <c r="T22" s="359"/>
      <c r="U22" s="359"/>
      <c r="V22" s="359"/>
      <c r="W22" s="359"/>
      <c r="X22" s="359"/>
      <c r="Y22" s="359"/>
      <c r="Z22" s="359"/>
      <c r="AA22" s="359"/>
      <c r="AB22" s="359"/>
      <c r="AC22" s="359"/>
      <c r="AD22" s="359"/>
      <c r="AE22" s="359"/>
      <c r="AF22" s="359"/>
      <c r="AG22" s="359"/>
      <c r="AH22" s="359"/>
      <c r="AI22" s="359"/>
      <c r="AJ22" s="359"/>
      <c r="AK22" s="359"/>
      <c r="AL22" s="359"/>
      <c r="AM22" s="359"/>
      <c r="AN22" s="359"/>
      <c r="AO22" s="359"/>
      <c r="AP22" s="359"/>
      <c r="AQ22" s="359"/>
      <c r="AR22" s="359"/>
      <c r="AS22" s="359"/>
      <c r="AT22" s="359"/>
      <c r="AU22" s="359"/>
      <c r="AV22" s="359"/>
      <c r="AW22" s="359"/>
      <c r="AX22" s="359"/>
      <c r="AY22" s="359"/>
      <c r="AZ22" s="359"/>
      <c r="BA22" s="359"/>
      <c r="BB22" s="359"/>
      <c r="BC22" s="359"/>
      <c r="BD22" s="359"/>
      <c r="BE22" s="359"/>
      <c r="BF22" s="359"/>
      <c r="BG22" s="359"/>
      <c r="BH22" s="359"/>
      <c r="BI22" s="359"/>
      <c r="BJ22" s="359"/>
      <c r="BK22" s="359"/>
      <c r="BL22" s="359"/>
      <c r="BM22" s="359"/>
      <c r="BN22" s="359"/>
      <c r="BO22" s="359"/>
      <c r="BP22" s="359"/>
      <c r="BQ22" s="359"/>
      <c r="BR22" s="359"/>
      <c r="BS22" s="359"/>
      <c r="BT22" s="359"/>
      <c r="BU22" s="359"/>
      <c r="BV22" s="359"/>
      <c r="BW22" s="359"/>
      <c r="BX22" s="359"/>
      <c r="BY22" s="359"/>
      <c r="BZ22" s="359"/>
      <c r="CA22" s="359"/>
      <c r="CB22" s="359"/>
      <c r="CC22" s="359"/>
      <c r="CD22" s="359"/>
      <c r="CE22" s="359"/>
      <c r="CF22" s="359"/>
      <c r="CG22" s="359"/>
      <c r="CH22" s="359"/>
      <c r="CI22" s="359"/>
      <c r="CJ22" s="359"/>
      <c r="CK22" s="359"/>
      <c r="CL22" s="359"/>
      <c r="CM22" s="359"/>
      <c r="CN22" s="359"/>
      <c r="CO22" s="359"/>
      <c r="CP22" s="359"/>
      <c r="CQ22" s="359"/>
      <c r="CR22" s="359"/>
      <c r="CS22" s="359"/>
      <c r="CT22" s="359"/>
      <c r="CU22" s="359"/>
      <c r="CV22" s="359"/>
      <c r="CW22" s="359"/>
      <c r="CX22" s="359"/>
      <c r="CY22" s="359"/>
      <c r="CZ22" s="359"/>
      <c r="DA22" s="359"/>
      <c r="DB22" s="359"/>
      <c r="DC22" s="359"/>
      <c r="DD22" s="359"/>
      <c r="DE22" s="359"/>
      <c r="DF22" s="359"/>
      <c r="DG22" s="359"/>
      <c r="DH22" s="359"/>
      <c r="DI22" s="359"/>
      <c r="DJ22" s="359"/>
      <c r="DK22" s="359"/>
      <c r="DL22" s="359"/>
      <c r="DM22" s="359"/>
      <c r="DN22" s="359"/>
      <c r="DO22" s="359"/>
      <c r="DP22" s="359"/>
      <c r="DQ22" s="359"/>
      <c r="DR22" s="359"/>
      <c r="DS22" s="359"/>
      <c r="DT22" s="359"/>
      <c r="DU22" s="359"/>
      <c r="DV22" s="359"/>
      <c r="DW22" s="359"/>
      <c r="DX22" s="359"/>
      <c r="DY22" s="359"/>
      <c r="DZ22" s="359"/>
      <c r="EA22" s="359"/>
      <c r="EB22" s="359"/>
      <c r="EC22" s="359"/>
      <c r="ED22" s="359"/>
      <c r="EE22" s="359"/>
      <c r="EF22" s="359"/>
      <c r="EG22" s="359"/>
      <c r="EH22" s="359"/>
      <c r="EI22" s="359"/>
      <c r="EJ22" s="359"/>
      <c r="EK22" s="359"/>
      <c r="EL22" s="359"/>
      <c r="EM22" s="359"/>
      <c r="EN22" s="359"/>
      <c r="EO22" s="359"/>
      <c r="EP22" s="359"/>
      <c r="EQ22" s="359"/>
      <c r="ER22" s="359"/>
      <c r="ES22" s="359"/>
      <c r="ET22" s="359"/>
      <c r="EU22" s="359"/>
      <c r="EV22" s="359"/>
      <c r="EW22" s="359"/>
      <c r="EX22" s="359"/>
      <c r="EY22" s="359"/>
      <c r="EZ22" s="359"/>
      <c r="FA22" s="359"/>
      <c r="FB22" s="359"/>
      <c r="FC22" s="359"/>
      <c r="FD22" s="359"/>
      <c r="FE22" s="359"/>
      <c r="FF22" s="359"/>
      <c r="FG22" s="359"/>
      <c r="FH22" s="359"/>
      <c r="FI22" s="359"/>
      <c r="FJ22" s="359"/>
      <c r="FK22" s="359"/>
      <c r="FL22" s="359"/>
      <c r="FM22" s="359"/>
      <c r="FN22" s="359"/>
      <c r="FO22" s="359"/>
      <c r="FP22" s="359"/>
      <c r="FQ22" s="359"/>
      <c r="FR22" s="359"/>
      <c r="FS22" s="359"/>
      <c r="FT22" s="359"/>
      <c r="FU22" s="359"/>
      <c r="FV22" s="359"/>
      <c r="FW22" s="359"/>
      <c r="FX22" s="359"/>
      <c r="FY22" s="359"/>
      <c r="FZ22" s="359"/>
      <c r="GA22" s="359"/>
      <c r="GB22" s="359"/>
      <c r="GC22" s="359"/>
      <c r="GD22" s="359"/>
      <c r="GE22" s="359"/>
      <c r="GF22" s="359"/>
      <c r="GG22" s="359"/>
      <c r="GH22" s="359"/>
      <c r="GI22" s="359"/>
      <c r="GJ22" s="359"/>
      <c r="GK22" s="359"/>
      <c r="GL22" s="359"/>
      <c r="GM22" s="359"/>
      <c r="GN22" s="359"/>
      <c r="GO22" s="359"/>
      <c r="GP22" s="359"/>
      <c r="GQ22" s="359"/>
      <c r="GR22" s="359"/>
      <c r="GS22" s="359"/>
      <c r="GT22" s="359"/>
      <c r="GU22" s="359"/>
      <c r="GV22" s="359"/>
      <c r="GW22" s="359"/>
      <c r="GX22" s="359"/>
      <c r="GY22" s="359"/>
      <c r="GZ22" s="359"/>
      <c r="HA22" s="359"/>
      <c r="HB22" s="359"/>
      <c r="HC22" s="359"/>
      <c r="HD22" s="359"/>
      <c r="HE22" s="359"/>
      <c r="HF22" s="359"/>
      <c r="HG22" s="359"/>
      <c r="HH22" s="359"/>
      <c r="HI22" s="359"/>
      <c r="HJ22" s="359"/>
      <c r="HK22" s="359"/>
      <c r="HL22" s="359"/>
      <c r="HM22" s="359"/>
      <c r="HN22" s="359"/>
      <c r="HO22" s="359"/>
      <c r="HP22" s="359"/>
      <c r="HQ22" s="359"/>
      <c r="HR22" s="359"/>
      <c r="HS22" s="359"/>
      <c r="HT22" s="359"/>
      <c r="HU22" s="359"/>
      <c r="HV22" s="359"/>
      <c r="HW22" s="359"/>
      <c r="HX22" s="359"/>
      <c r="HY22" s="359"/>
      <c r="HZ22" s="359"/>
      <c r="IA22" s="359"/>
      <c r="IB22" s="359"/>
      <c r="IC22" s="359"/>
      <c r="ID22" s="359"/>
      <c r="IE22" s="359"/>
      <c r="IF22" s="359"/>
      <c r="IG22" s="359"/>
      <c r="IH22" s="359"/>
      <c r="II22" s="359"/>
      <c r="IJ22" s="359"/>
      <c r="IK22" s="359"/>
      <c r="IL22" s="359"/>
      <c r="IM22" s="359"/>
      <c r="IN22" s="359"/>
      <c r="IO22" s="359"/>
      <c r="IP22" s="359"/>
      <c r="IQ22" s="359"/>
      <c r="IR22" s="359"/>
      <c r="IS22" s="359"/>
      <c r="IT22" s="359"/>
      <c r="IU22" s="359"/>
      <c r="IV22" s="359"/>
      <c r="IW22" s="359"/>
    </row>
    <row r="23" spans="1:257" x14ac:dyDescent="0.15">
      <c r="A23" s="349"/>
      <c r="B23" s="349"/>
    </row>
    <row r="35" spans="12:12" x14ac:dyDescent="0.15">
      <c r="L35" s="350"/>
    </row>
    <row r="77" spans="6:6" x14ac:dyDescent="0.15">
      <c r="F77" s="353"/>
    </row>
    <row r="93" spans="6:6" x14ac:dyDescent="0.15">
      <c r="F93" s="353"/>
    </row>
  </sheetData>
  <mergeCells count="6">
    <mergeCell ref="B1:IW3"/>
    <mergeCell ref="A4:B4"/>
    <mergeCell ref="B9:IW9"/>
    <mergeCell ref="B13:IW13"/>
    <mergeCell ref="B14:IW14"/>
    <mergeCell ref="B18:IW22"/>
  </mergeCells>
  <phoneticPr fontId="60" type="noConversion"/>
  <pageMargins left="0.7" right="0.7" top="0.75" bottom="0.75" header="0.3" footer="0.3"/>
  <pageSetup paperSize="9" orientation="portrait"/>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pageSetUpPr fitToPage="1"/>
  </sheetPr>
  <dimension ref="B1:T58"/>
  <sheetViews>
    <sheetView showGridLines="0" tabSelected="1" zoomScale="90" zoomScaleNormal="90" workbookViewId="0">
      <selection activeCell="M53" sqref="M53"/>
    </sheetView>
  </sheetViews>
  <sheetFormatPr defaultColWidth="9" defaultRowHeight="15" x14ac:dyDescent="0.25"/>
  <cols>
    <col min="1" max="1" width="3.625" style="202" customWidth="1"/>
    <col min="2" max="2" width="10.625" style="202" customWidth="1"/>
    <col min="3" max="3" width="20.125" style="202" customWidth="1"/>
    <col min="4" max="9" width="10.625" style="202" customWidth="1"/>
    <col min="10" max="10" width="10.625" style="203" customWidth="1"/>
    <col min="11" max="11" width="9" style="202"/>
    <col min="12" max="12" width="14.5" style="139" customWidth="1"/>
    <col min="13" max="13" width="13" style="139" customWidth="1"/>
    <col min="14" max="14" width="17.75" style="139" customWidth="1"/>
    <col min="15" max="15" width="10" style="139" customWidth="1"/>
    <col min="16" max="16" width="10.375" style="139" customWidth="1"/>
    <col min="17" max="17" width="12.75" style="139" customWidth="1"/>
    <col min="18" max="18" width="14.25" style="139" customWidth="1"/>
    <col min="19" max="19" width="14.5" style="139" customWidth="1"/>
    <col min="20" max="20" width="13.5" style="139" customWidth="1"/>
    <col min="21" max="16384" width="9" style="202"/>
  </cols>
  <sheetData>
    <row r="1" spans="2:20" ht="29.25" customHeight="1" x14ac:dyDescent="0.15">
      <c r="B1" s="361" t="s">
        <v>20</v>
      </c>
      <c r="C1" s="361"/>
      <c r="D1" s="361"/>
      <c r="E1" s="361"/>
      <c r="F1" s="361"/>
      <c r="G1" s="361"/>
      <c r="H1" s="361"/>
      <c r="I1" s="361"/>
      <c r="J1" s="361"/>
      <c r="L1" s="362" t="s">
        <v>4</v>
      </c>
      <c r="M1" s="362"/>
      <c r="N1" s="362"/>
      <c r="O1" s="362"/>
      <c r="P1" s="363" t="s">
        <v>21</v>
      </c>
      <c r="Q1" s="363"/>
      <c r="R1" s="363"/>
      <c r="S1" s="363"/>
      <c r="T1" s="363"/>
    </row>
    <row r="2" spans="2:20" x14ac:dyDescent="0.25">
      <c r="B2" s="204"/>
      <c r="C2" s="205"/>
      <c r="D2" s="205"/>
      <c r="E2" s="205"/>
      <c r="F2" s="205"/>
      <c r="G2" s="205"/>
      <c r="H2" s="205"/>
      <c r="I2" s="205"/>
      <c r="J2" s="266"/>
      <c r="L2" s="267" t="s">
        <v>22</v>
      </c>
      <c r="M2" s="268"/>
      <c r="N2" s="269"/>
      <c r="O2" s="270"/>
      <c r="P2" s="268"/>
      <c r="Q2" s="270"/>
      <c r="R2" s="270"/>
      <c r="S2" s="270"/>
      <c r="T2" s="310"/>
    </row>
    <row r="3" spans="2:20" ht="15.75" x14ac:dyDescent="0.25">
      <c r="B3" s="206"/>
      <c r="C3" s="364" t="s">
        <v>23</v>
      </c>
      <c r="D3" s="364"/>
      <c r="E3" s="364"/>
      <c r="F3" s="364"/>
      <c r="G3" s="364"/>
      <c r="H3" s="364"/>
      <c r="I3" s="207"/>
      <c r="J3" s="271"/>
      <c r="L3" s="272"/>
      <c r="M3" s="273" t="s">
        <v>24</v>
      </c>
      <c r="N3" s="274" t="s">
        <v>4</v>
      </c>
      <c r="O3" s="275"/>
      <c r="P3" s="276"/>
      <c r="Q3" s="275"/>
      <c r="R3" s="276"/>
      <c r="S3" s="275"/>
      <c r="T3" s="311"/>
    </row>
    <row r="4" spans="2:20" x14ac:dyDescent="0.15">
      <c r="B4" s="206"/>
      <c r="C4" s="207"/>
      <c r="D4" s="207"/>
      <c r="E4" s="207"/>
      <c r="F4" s="207"/>
      <c r="G4" s="207"/>
      <c r="H4" s="207"/>
      <c r="I4" s="207"/>
      <c r="J4" s="271"/>
      <c r="L4" s="277"/>
      <c r="M4" s="273" t="s">
        <v>25</v>
      </c>
      <c r="N4" s="274" t="s">
        <v>26</v>
      </c>
      <c r="O4" s="275"/>
      <c r="P4" s="274"/>
      <c r="Q4" s="275"/>
      <c r="R4" s="274"/>
      <c r="S4" s="285"/>
      <c r="T4" s="311"/>
    </row>
    <row r="5" spans="2:20" x14ac:dyDescent="0.15">
      <c r="B5" s="206"/>
      <c r="C5" s="365" t="str">
        <f>封面!B7</f>
        <v>HW356009</v>
      </c>
      <c r="D5" s="366"/>
      <c r="E5" s="366"/>
      <c r="F5" s="366"/>
      <c r="G5" s="366"/>
      <c r="H5" s="367"/>
      <c r="I5" s="207"/>
      <c r="J5" s="271"/>
      <c r="L5" s="277"/>
      <c r="M5" s="273" t="s">
        <v>27</v>
      </c>
      <c r="N5" s="278">
        <v>603.14</v>
      </c>
      <c r="O5" s="275"/>
      <c r="P5" s="278"/>
      <c r="Q5" s="275"/>
      <c r="R5" s="278"/>
      <c r="S5" s="285"/>
      <c r="T5" s="311"/>
    </row>
    <row r="6" spans="2:20" x14ac:dyDescent="0.15">
      <c r="B6" s="206"/>
      <c r="C6" s="368" t="s">
        <v>28</v>
      </c>
      <c r="D6" s="369"/>
      <c r="E6" s="369"/>
      <c r="F6" s="369"/>
      <c r="G6" s="370"/>
      <c r="H6" s="371"/>
      <c r="I6" s="207"/>
      <c r="J6" s="271"/>
      <c r="L6" s="279"/>
      <c r="M6" s="280" t="s">
        <v>29</v>
      </c>
      <c r="N6" s="281">
        <v>0.97099999999999997</v>
      </c>
      <c r="O6" s="282"/>
      <c r="P6" s="280"/>
      <c r="Q6" s="312"/>
      <c r="R6" s="280"/>
      <c r="S6" s="312"/>
      <c r="T6" s="313"/>
    </row>
    <row r="7" spans="2:20" x14ac:dyDescent="0.2">
      <c r="B7" s="206"/>
      <c r="C7" s="208" t="s">
        <v>30</v>
      </c>
      <c r="D7" s="209">
        <v>1</v>
      </c>
      <c r="E7" s="210">
        <v>2</v>
      </c>
      <c r="F7" s="211">
        <v>3</v>
      </c>
      <c r="G7" s="212" t="s">
        <v>31</v>
      </c>
      <c r="H7" s="212" t="s">
        <v>32</v>
      </c>
      <c r="I7" s="207"/>
      <c r="J7" s="271"/>
      <c r="L7" s="283" t="s">
        <v>33</v>
      </c>
      <c r="M7" s="273"/>
      <c r="N7" s="284"/>
      <c r="O7" s="285"/>
      <c r="P7" s="273"/>
      <c r="Q7" s="276"/>
      <c r="R7" s="276"/>
      <c r="S7" s="276"/>
      <c r="T7" s="314"/>
    </row>
    <row r="8" spans="2:20" x14ac:dyDescent="0.15">
      <c r="B8" s="206"/>
      <c r="C8" s="213">
        <v>8.3299999999999999E-2</v>
      </c>
      <c r="D8" s="214">
        <v>118</v>
      </c>
      <c r="E8" s="215">
        <v>465</v>
      </c>
      <c r="F8" s="216">
        <v>185</v>
      </c>
      <c r="G8" s="217">
        <f>AVERAGE(D8:F8)</f>
        <v>256</v>
      </c>
      <c r="H8" s="218">
        <f t="shared" ref="H8:H16" si="0">STDEV(D8:F8)</f>
        <v>184.07335494307699</v>
      </c>
      <c r="I8" s="207"/>
      <c r="J8" s="271"/>
      <c r="L8" s="286"/>
      <c r="M8" s="268" t="s">
        <v>34</v>
      </c>
      <c r="N8" s="270" t="s">
        <v>35</v>
      </c>
      <c r="O8" s="270"/>
      <c r="P8" s="287" t="s">
        <v>36</v>
      </c>
      <c r="Q8" s="315" t="s">
        <v>37</v>
      </c>
      <c r="R8" s="270"/>
      <c r="S8" s="270"/>
      <c r="T8" s="310"/>
    </row>
    <row r="9" spans="2:20" x14ac:dyDescent="0.15">
      <c r="B9" s="206"/>
      <c r="C9" s="219">
        <v>0.25</v>
      </c>
      <c r="D9" s="220">
        <v>601</v>
      </c>
      <c r="E9" s="221">
        <v>1240</v>
      </c>
      <c r="F9" s="222">
        <v>790</v>
      </c>
      <c r="G9" s="223">
        <f>AVERAGE(D9:F9)</f>
        <v>877</v>
      </c>
      <c r="H9" s="224">
        <f>STDEV(D9:F9)</f>
        <v>328.26361357908701</v>
      </c>
      <c r="I9" s="207"/>
      <c r="J9" s="271"/>
      <c r="L9" s="288"/>
      <c r="M9" s="273" t="s">
        <v>38</v>
      </c>
      <c r="N9" s="276">
        <v>10</v>
      </c>
      <c r="O9" s="285"/>
      <c r="P9" s="285"/>
      <c r="Q9" s="285"/>
      <c r="R9" s="285"/>
      <c r="S9" s="285"/>
      <c r="T9" s="311"/>
    </row>
    <row r="10" spans="2:20" x14ac:dyDescent="0.15">
      <c r="B10" s="206"/>
      <c r="C10" s="225">
        <v>0.5</v>
      </c>
      <c r="D10" s="220">
        <v>1090</v>
      </c>
      <c r="E10" s="221">
        <v>1470</v>
      </c>
      <c r="F10" s="222">
        <v>1440</v>
      </c>
      <c r="G10" s="223">
        <f t="shared" ref="G9:G15" si="1">AVERAGE(D10:F10)</f>
        <v>1333.3333333333301</v>
      </c>
      <c r="H10" s="224">
        <f t="shared" si="0"/>
        <v>211.26602503321101</v>
      </c>
      <c r="I10" s="207"/>
      <c r="J10" s="271"/>
      <c r="L10" s="288"/>
      <c r="M10" s="273" t="s">
        <v>39</v>
      </c>
      <c r="N10" s="276">
        <v>1</v>
      </c>
      <c r="O10" s="285"/>
      <c r="P10" s="285"/>
      <c r="Q10" s="285"/>
      <c r="R10" s="285"/>
      <c r="S10" s="285"/>
      <c r="T10" s="311"/>
    </row>
    <row r="11" spans="2:20" x14ac:dyDescent="0.15">
      <c r="B11" s="206"/>
      <c r="C11" s="226">
        <v>1</v>
      </c>
      <c r="D11" s="220">
        <v>1140</v>
      </c>
      <c r="E11" s="221">
        <v>1150</v>
      </c>
      <c r="F11" s="222">
        <v>1390</v>
      </c>
      <c r="G11" s="223">
        <f t="shared" si="1"/>
        <v>1226.6666666666699</v>
      </c>
      <c r="H11" s="224">
        <f t="shared" si="0"/>
        <v>141.539158303748</v>
      </c>
      <c r="I11" s="207"/>
      <c r="J11" s="271"/>
      <c r="L11" s="288"/>
      <c r="M11" s="273" t="s">
        <v>40</v>
      </c>
      <c r="N11" s="289">
        <v>10</v>
      </c>
      <c r="O11" s="285"/>
      <c r="P11" s="285"/>
      <c r="Q11" s="285"/>
      <c r="R11" s="285"/>
      <c r="S11" s="285"/>
      <c r="T11" s="311"/>
    </row>
    <row r="12" spans="2:20" x14ac:dyDescent="0.15">
      <c r="B12" s="206"/>
      <c r="C12" s="227">
        <v>2</v>
      </c>
      <c r="D12" s="220">
        <v>1270</v>
      </c>
      <c r="E12" s="221">
        <v>1370</v>
      </c>
      <c r="F12" s="222">
        <v>1180</v>
      </c>
      <c r="G12" s="223">
        <f>AVERAGE(D12:F12)</f>
        <v>1273.3333333333301</v>
      </c>
      <c r="H12" s="228">
        <f>STDEV(D12:F12)</f>
        <v>95.043849529221703</v>
      </c>
      <c r="I12" s="207"/>
      <c r="J12" s="271"/>
      <c r="L12" s="290"/>
      <c r="M12" s="291"/>
      <c r="N12" s="291"/>
      <c r="O12" s="291"/>
      <c r="P12" s="291"/>
      <c r="Q12" s="291"/>
      <c r="R12" s="291"/>
      <c r="S12" s="291"/>
      <c r="T12" s="316"/>
    </row>
    <row r="13" spans="2:20" x14ac:dyDescent="0.15">
      <c r="B13" s="206"/>
      <c r="C13" s="227">
        <v>4</v>
      </c>
      <c r="D13" s="220">
        <v>1010</v>
      </c>
      <c r="E13" s="221">
        <v>1470</v>
      </c>
      <c r="F13" s="222">
        <v>1050</v>
      </c>
      <c r="G13" s="223">
        <f t="shared" si="1"/>
        <v>1176.6666666666699</v>
      </c>
      <c r="H13" s="224">
        <f t="shared" si="0"/>
        <v>254.820198048219</v>
      </c>
      <c r="I13" s="207"/>
      <c r="J13" s="271"/>
      <c r="L13" s="292"/>
      <c r="M13" s="1"/>
      <c r="N13" s="1"/>
      <c r="O13" s="1"/>
      <c r="P13" s="1"/>
      <c r="Q13" s="1"/>
      <c r="R13" s="1"/>
      <c r="S13" s="1"/>
      <c r="T13" s="317"/>
    </row>
    <row r="14" spans="2:20" x14ac:dyDescent="0.25">
      <c r="B14" s="206"/>
      <c r="C14" s="227">
        <v>6</v>
      </c>
      <c r="D14" s="220">
        <v>726</v>
      </c>
      <c r="E14" s="221">
        <v>885</v>
      </c>
      <c r="F14" s="222">
        <v>670</v>
      </c>
      <c r="G14" s="223">
        <f t="shared" si="1"/>
        <v>760.33333333333303</v>
      </c>
      <c r="H14" s="224">
        <f t="shared" si="0"/>
        <v>111.53624224140501</v>
      </c>
      <c r="I14" s="207"/>
      <c r="J14" s="271"/>
      <c r="L14" s="293" t="s">
        <v>41</v>
      </c>
      <c r="M14" s="294"/>
      <c r="N14" s="294"/>
      <c r="O14" s="294"/>
      <c r="P14" s="294"/>
      <c r="Q14" s="294"/>
      <c r="R14" s="294"/>
      <c r="S14" s="294"/>
      <c r="T14" s="294"/>
    </row>
    <row r="15" spans="2:20" ht="15" customHeight="1" x14ac:dyDescent="0.15">
      <c r="B15" s="206"/>
      <c r="C15" s="229">
        <v>8</v>
      </c>
      <c r="D15" s="220">
        <v>455</v>
      </c>
      <c r="E15" s="221">
        <v>614</v>
      </c>
      <c r="F15" s="222">
        <v>383</v>
      </c>
      <c r="G15" s="223">
        <f t="shared" si="1"/>
        <v>484</v>
      </c>
      <c r="H15" s="224">
        <f t="shared" si="0"/>
        <v>118.198984767214</v>
      </c>
      <c r="I15" s="207"/>
      <c r="J15" s="271"/>
      <c r="L15" s="391" t="s">
        <v>42</v>
      </c>
      <c r="M15" s="396" t="s">
        <v>43</v>
      </c>
      <c r="N15" s="396" t="s">
        <v>44</v>
      </c>
      <c r="O15" s="404" t="s">
        <v>45</v>
      </c>
      <c r="P15" s="404" t="s">
        <v>46</v>
      </c>
      <c r="Q15" s="411" t="s">
        <v>47</v>
      </c>
      <c r="R15" s="416" t="s">
        <v>48</v>
      </c>
      <c r="S15" s="416" t="s">
        <v>49</v>
      </c>
      <c r="T15" s="419" t="s">
        <v>50</v>
      </c>
    </row>
    <row r="16" spans="2:20" x14ac:dyDescent="0.15">
      <c r="B16" s="206"/>
      <c r="C16" s="230">
        <v>24</v>
      </c>
      <c r="D16" s="231">
        <v>3.67</v>
      </c>
      <c r="E16" s="232" t="s">
        <v>51</v>
      </c>
      <c r="F16" s="233">
        <v>1.75</v>
      </c>
      <c r="G16" s="234">
        <f>AVERAGE(D16:F16)</f>
        <v>2.71</v>
      </c>
      <c r="H16" s="235">
        <f t="shared" si="0"/>
        <v>1.35764501987817</v>
      </c>
      <c r="I16" s="207"/>
      <c r="J16" s="271"/>
      <c r="L16" s="392"/>
      <c r="M16" s="397"/>
      <c r="N16" s="397"/>
      <c r="O16" s="403"/>
      <c r="P16" s="403"/>
      <c r="Q16" s="412"/>
      <c r="R16" s="417"/>
      <c r="S16" s="417"/>
      <c r="T16" s="420"/>
    </row>
    <row r="17" spans="2:20" ht="15" customHeight="1" x14ac:dyDescent="0.25">
      <c r="B17" s="206"/>
      <c r="C17" s="236"/>
      <c r="D17" s="237"/>
      <c r="E17" s="237"/>
      <c r="F17" s="237"/>
      <c r="G17" s="238"/>
      <c r="H17" s="238"/>
      <c r="I17" s="207"/>
      <c r="J17" s="271"/>
      <c r="L17" s="393" t="s">
        <v>35</v>
      </c>
      <c r="M17" s="398" t="s">
        <v>4</v>
      </c>
      <c r="N17" s="401" t="s">
        <v>37</v>
      </c>
      <c r="O17" s="405">
        <v>1</v>
      </c>
      <c r="P17" s="408">
        <v>1.48</v>
      </c>
      <c r="Q17" s="413">
        <v>1.4370000000000001</v>
      </c>
      <c r="R17" s="418">
        <v>7.1999999999999995E-2</v>
      </c>
      <c r="S17" s="418">
        <v>0.14399999999999999</v>
      </c>
      <c r="T17" s="421">
        <v>1.2210000000000001</v>
      </c>
    </row>
    <row r="18" spans="2:20" ht="15" customHeight="1" x14ac:dyDescent="0.25">
      <c r="B18" s="206"/>
      <c r="C18" s="236"/>
      <c r="D18" s="239"/>
      <c r="E18" s="237"/>
      <c r="F18" s="237"/>
      <c r="G18" s="238"/>
      <c r="H18" s="238"/>
      <c r="I18" s="207"/>
      <c r="J18" s="271"/>
      <c r="L18" s="394"/>
      <c r="M18" s="399"/>
      <c r="N18" s="402"/>
      <c r="O18" s="406"/>
      <c r="P18" s="409"/>
      <c r="Q18" s="414"/>
      <c r="R18" s="418"/>
      <c r="S18" s="418"/>
      <c r="T18" s="421"/>
    </row>
    <row r="19" spans="2:20" x14ac:dyDescent="0.15">
      <c r="B19" s="206"/>
      <c r="C19" s="207"/>
      <c r="D19" s="207"/>
      <c r="E19" s="207"/>
      <c r="F19" s="207"/>
      <c r="G19" s="207"/>
      <c r="H19" s="207"/>
      <c r="I19" s="207"/>
      <c r="J19" s="271"/>
      <c r="L19" s="395"/>
      <c r="M19" s="400"/>
      <c r="N19" s="403"/>
      <c r="O19" s="407"/>
      <c r="P19" s="410"/>
      <c r="Q19" s="415"/>
      <c r="R19" s="418"/>
      <c r="S19" s="418"/>
      <c r="T19" s="421"/>
    </row>
    <row r="20" spans="2:20" ht="15" customHeight="1" x14ac:dyDescent="0.15">
      <c r="B20" s="206"/>
      <c r="C20" s="207"/>
      <c r="D20" s="207"/>
      <c r="E20" s="207"/>
      <c r="F20" s="207"/>
      <c r="G20" s="207"/>
      <c r="H20" s="207"/>
      <c r="I20" s="207"/>
      <c r="J20" s="271"/>
      <c r="L20" s="295"/>
      <c r="M20" s="296"/>
      <c r="N20" s="297"/>
      <c r="O20" s="298"/>
      <c r="P20" s="299"/>
      <c r="Q20" s="318"/>
      <c r="R20" s="319"/>
      <c r="S20" s="319"/>
      <c r="T20" s="320"/>
    </row>
    <row r="21" spans="2:20" x14ac:dyDescent="0.15">
      <c r="B21" s="206"/>
      <c r="C21" s="207"/>
      <c r="D21" s="207"/>
      <c r="E21" s="207"/>
      <c r="F21" s="207"/>
      <c r="G21" s="207"/>
      <c r="H21" s="207"/>
      <c r="I21" s="207"/>
      <c r="J21" s="271"/>
      <c r="L21" s="272" t="s">
        <v>52</v>
      </c>
      <c r="M21" s="285"/>
      <c r="N21" s="300"/>
      <c r="O21" s="300"/>
      <c r="P21" s="300"/>
      <c r="Q21" s="285"/>
      <c r="R21" s="321"/>
      <c r="S21" s="321"/>
      <c r="T21" s="322"/>
    </row>
    <row r="22" spans="2:20" ht="33.75" customHeight="1" x14ac:dyDescent="0.15">
      <c r="B22" s="206"/>
      <c r="C22" s="207"/>
      <c r="D22" s="207"/>
      <c r="E22" s="207"/>
      <c r="F22" s="207"/>
      <c r="G22" s="207"/>
      <c r="H22" s="207"/>
      <c r="I22" s="207"/>
      <c r="J22" s="271"/>
      <c r="L22" s="288" t="s">
        <v>53</v>
      </c>
      <c r="M22" s="276"/>
      <c r="N22" s="285"/>
      <c r="O22" s="285"/>
      <c r="P22" s="301"/>
      <c r="Q22" s="285"/>
      <c r="R22" s="301"/>
      <c r="S22" s="301"/>
      <c r="T22" s="323"/>
    </row>
    <row r="23" spans="2:20" x14ac:dyDescent="0.15">
      <c r="B23" s="206"/>
      <c r="C23" s="207"/>
      <c r="D23" s="207"/>
      <c r="E23" s="207"/>
      <c r="F23" s="207"/>
      <c r="G23" s="207"/>
      <c r="H23" s="207"/>
      <c r="I23" s="207"/>
      <c r="J23" s="271"/>
      <c r="L23" s="288" t="s">
        <v>54</v>
      </c>
      <c r="M23" s="276"/>
      <c r="N23" s="285"/>
      <c r="O23" s="285"/>
      <c r="P23" s="301"/>
      <c r="Q23" s="285"/>
      <c r="R23" s="301"/>
      <c r="S23" s="301"/>
      <c r="T23" s="323"/>
    </row>
    <row r="24" spans="2:20" x14ac:dyDescent="0.15">
      <c r="B24" s="206"/>
      <c r="C24" s="207"/>
      <c r="D24" s="207"/>
      <c r="E24" s="207"/>
      <c r="F24" s="207"/>
      <c r="G24" s="207"/>
      <c r="H24" s="207"/>
      <c r="I24" s="207"/>
      <c r="J24" s="271"/>
      <c r="L24" s="288" t="s">
        <v>55</v>
      </c>
      <c r="M24" s="276"/>
      <c r="N24" s="285"/>
      <c r="O24" s="285"/>
      <c r="P24" s="301"/>
      <c r="Q24" s="285"/>
      <c r="R24" s="285"/>
      <c r="S24" s="301"/>
      <c r="T24" s="323"/>
    </row>
    <row r="25" spans="2:20" x14ac:dyDescent="0.15">
      <c r="B25" s="206"/>
      <c r="C25" s="207"/>
      <c r="D25" s="207"/>
      <c r="E25" s="207"/>
      <c r="F25" s="207"/>
      <c r="G25" s="207"/>
      <c r="H25" s="207"/>
      <c r="I25" s="207"/>
      <c r="J25" s="271"/>
      <c r="L25" s="288" t="s">
        <v>56</v>
      </c>
      <c r="M25" s="276"/>
      <c r="N25" s="285"/>
      <c r="O25" s="285"/>
      <c r="P25" s="301"/>
      <c r="Q25" s="285"/>
      <c r="R25" s="285"/>
      <c r="S25" s="301"/>
      <c r="T25" s="323"/>
    </row>
    <row r="26" spans="2:20" x14ac:dyDescent="0.15">
      <c r="B26" s="206"/>
      <c r="C26" s="207"/>
      <c r="D26" s="207"/>
      <c r="E26" s="207"/>
      <c r="F26" s="207"/>
      <c r="G26" s="207"/>
      <c r="H26" s="207"/>
      <c r="I26" s="207"/>
      <c r="J26" s="271"/>
      <c r="L26" s="290"/>
      <c r="M26" s="291"/>
      <c r="N26" s="302"/>
      <c r="O26" s="302"/>
      <c r="P26" s="302"/>
      <c r="Q26" s="291"/>
      <c r="R26" s="291"/>
      <c r="S26" s="302"/>
      <c r="T26" s="313"/>
    </row>
    <row r="27" spans="2:20" x14ac:dyDescent="0.15">
      <c r="B27" s="206"/>
      <c r="C27" s="207"/>
      <c r="D27" s="207"/>
      <c r="E27" s="207"/>
      <c r="F27" s="207"/>
      <c r="G27" s="207"/>
      <c r="H27" s="207"/>
      <c r="I27" s="207"/>
      <c r="J27" s="271"/>
      <c r="L27" s="288"/>
      <c r="M27" s="301"/>
      <c r="N27" s="301"/>
      <c r="O27" s="301"/>
      <c r="P27" s="301"/>
      <c r="Q27" s="285"/>
      <c r="R27" s="301"/>
      <c r="S27" s="301"/>
      <c r="T27" s="323"/>
    </row>
    <row r="28" spans="2:20" x14ac:dyDescent="0.25">
      <c r="B28" s="206"/>
      <c r="C28" s="207"/>
      <c r="D28" s="207"/>
      <c r="E28" s="207"/>
      <c r="F28" s="207"/>
      <c r="G28" s="207"/>
      <c r="H28" s="207"/>
      <c r="I28" s="207"/>
      <c r="J28" s="271"/>
      <c r="L28" s="204" t="s">
        <v>57</v>
      </c>
      <c r="M28" s="205"/>
      <c r="N28" s="205"/>
      <c r="O28" s="205"/>
      <c r="P28" s="205"/>
      <c r="Q28" s="324"/>
      <c r="R28" s="324"/>
      <c r="S28" s="324"/>
      <c r="T28" s="325"/>
    </row>
    <row r="29" spans="2:20" x14ac:dyDescent="0.25">
      <c r="B29" s="206"/>
      <c r="C29" s="207"/>
      <c r="D29" s="207"/>
      <c r="E29" s="207"/>
      <c r="F29" s="207"/>
      <c r="G29" s="207"/>
      <c r="H29" s="207"/>
      <c r="I29" s="207"/>
      <c r="J29" s="271"/>
      <c r="L29" s="206"/>
      <c r="M29" s="207"/>
      <c r="N29" s="207"/>
      <c r="O29" s="207"/>
      <c r="P29" s="207"/>
      <c r="Q29" s="326"/>
      <c r="R29" s="326"/>
      <c r="S29" s="326"/>
      <c r="T29" s="327"/>
    </row>
    <row r="30" spans="2:20" x14ac:dyDescent="0.25">
      <c r="B30" s="206"/>
      <c r="C30" s="207"/>
      <c r="D30" s="207"/>
      <c r="E30" s="207"/>
      <c r="F30" s="207"/>
      <c r="G30" s="207"/>
      <c r="H30" s="207"/>
      <c r="I30" s="207"/>
      <c r="J30" s="303"/>
      <c r="L30" s="372" t="s">
        <v>58</v>
      </c>
      <c r="M30" s="373"/>
      <c r="N30" s="373"/>
      <c r="O30" s="373"/>
      <c r="P30" s="373"/>
      <c r="Q30" s="373"/>
      <c r="R30" s="373"/>
      <c r="S30" s="373"/>
      <c r="T30" s="374"/>
    </row>
    <row r="31" spans="2:20" x14ac:dyDescent="0.25">
      <c r="B31" s="206"/>
      <c r="C31" s="207"/>
      <c r="D31" s="207"/>
      <c r="E31" s="207"/>
      <c r="F31" s="207"/>
      <c r="G31" s="207"/>
      <c r="H31" s="207"/>
      <c r="I31" s="207"/>
      <c r="J31" s="303"/>
      <c r="L31" s="240"/>
      <c r="M31" s="241"/>
      <c r="N31" s="241"/>
      <c r="O31" s="241"/>
      <c r="P31" s="241"/>
      <c r="Q31" s="329"/>
      <c r="R31" s="329"/>
      <c r="S31" s="329"/>
      <c r="T31" s="330"/>
    </row>
    <row r="32" spans="2:20" x14ac:dyDescent="0.25">
      <c r="B32" s="206"/>
      <c r="C32" s="207"/>
      <c r="D32" s="207"/>
      <c r="E32" s="207"/>
      <c r="F32" s="207"/>
      <c r="G32" s="207"/>
      <c r="H32" s="207"/>
      <c r="I32" s="207"/>
      <c r="J32" s="303"/>
      <c r="L32" s="206"/>
      <c r="M32" s="202"/>
      <c r="N32" s="202"/>
      <c r="O32" s="202"/>
      <c r="P32" s="202"/>
      <c r="Q32" s="331"/>
      <c r="R32" s="331"/>
      <c r="S32" s="331"/>
      <c r="T32" s="327"/>
    </row>
    <row r="33" spans="2:20" x14ac:dyDescent="0.25">
      <c r="B33" s="206"/>
      <c r="C33" s="207"/>
      <c r="D33" s="207"/>
      <c r="E33" s="207"/>
      <c r="F33" s="207"/>
      <c r="G33" s="207"/>
      <c r="H33" s="207"/>
      <c r="I33" s="207"/>
      <c r="J33" s="303"/>
      <c r="L33" s="204" t="s">
        <v>59</v>
      </c>
      <c r="M33" s="205"/>
      <c r="N33" s="205"/>
      <c r="O33" s="205"/>
      <c r="P33" s="205"/>
      <c r="Q33" s="324"/>
      <c r="R33" s="324"/>
      <c r="S33" s="324"/>
      <c r="T33" s="325"/>
    </row>
    <row r="34" spans="2:20" x14ac:dyDescent="0.25">
      <c r="B34" s="206"/>
      <c r="C34" s="207"/>
      <c r="D34" s="207"/>
      <c r="E34" s="207"/>
      <c r="F34" s="207"/>
      <c r="G34" s="207"/>
      <c r="H34" s="207"/>
      <c r="I34" s="207"/>
      <c r="J34" s="303"/>
      <c r="L34" s="206"/>
      <c r="M34" s="304" t="s">
        <v>60</v>
      </c>
      <c r="N34" s="305">
        <v>1</v>
      </c>
      <c r="O34" s="305">
        <v>2</v>
      </c>
      <c r="P34" s="305">
        <v>3</v>
      </c>
      <c r="Q34" s="332"/>
      <c r="R34" s="332"/>
      <c r="S34" s="332"/>
      <c r="T34" s="328"/>
    </row>
    <row r="35" spans="2:20" x14ac:dyDescent="0.25">
      <c r="B35" s="240"/>
      <c r="C35" s="241"/>
      <c r="D35" s="241"/>
      <c r="E35" s="241"/>
      <c r="F35" s="241"/>
      <c r="G35" s="241"/>
      <c r="H35" s="241"/>
      <c r="I35" s="241"/>
      <c r="J35" s="306"/>
      <c r="L35" s="206"/>
      <c r="M35" s="304" t="s">
        <v>61</v>
      </c>
      <c r="N35" s="305">
        <v>19.3</v>
      </c>
      <c r="O35" s="307">
        <v>20.6</v>
      </c>
      <c r="P35" s="307">
        <v>19.399999999999999</v>
      </c>
      <c r="Q35" s="332"/>
      <c r="R35" s="332"/>
      <c r="S35" s="332"/>
      <c r="T35" s="328"/>
    </row>
    <row r="36" spans="2:20" ht="15" customHeight="1" x14ac:dyDescent="0.25">
      <c r="B36" s="242"/>
      <c r="C36" s="422" t="s">
        <v>62</v>
      </c>
      <c r="D36" s="422"/>
      <c r="E36" s="422"/>
      <c r="F36" s="422"/>
      <c r="G36" s="422"/>
      <c r="H36" s="422"/>
      <c r="I36" s="422"/>
      <c r="J36" s="266"/>
      <c r="L36" s="206"/>
      <c r="M36" s="207"/>
      <c r="N36" s="207"/>
      <c r="O36" s="207"/>
      <c r="P36" s="207"/>
      <c r="Q36" s="326"/>
      <c r="R36" s="326"/>
      <c r="S36" s="326"/>
      <c r="T36" s="327"/>
    </row>
    <row r="37" spans="2:20" ht="15" customHeight="1" x14ac:dyDescent="0.25">
      <c r="B37" s="206"/>
      <c r="C37" s="423"/>
      <c r="D37" s="423"/>
      <c r="E37" s="423"/>
      <c r="F37" s="423"/>
      <c r="G37" s="423"/>
      <c r="H37" s="423"/>
      <c r="I37" s="423"/>
      <c r="J37" s="303"/>
      <c r="L37" s="162"/>
      <c r="M37" s="162"/>
      <c r="N37" s="162"/>
      <c r="O37" s="162"/>
      <c r="P37" s="162"/>
      <c r="Q37" s="162"/>
      <c r="R37" s="162"/>
      <c r="S37" s="162"/>
      <c r="T37" s="162"/>
    </row>
    <row r="38" spans="2:20" x14ac:dyDescent="0.25">
      <c r="B38" s="243"/>
      <c r="C38" s="244" t="s">
        <v>63</v>
      </c>
      <c r="D38" s="375" t="s">
        <v>64</v>
      </c>
      <c r="E38" s="376"/>
      <c r="F38" s="377"/>
      <c r="G38" s="388" t="s">
        <v>65</v>
      </c>
      <c r="H38" s="388" t="s">
        <v>66</v>
      </c>
      <c r="I38" s="388" t="s">
        <v>67</v>
      </c>
      <c r="J38" s="303"/>
    </row>
    <row r="39" spans="2:20" x14ac:dyDescent="0.25">
      <c r="B39" s="245"/>
      <c r="C39" s="246" t="s">
        <v>68</v>
      </c>
      <c r="D39" s="247">
        <v>1</v>
      </c>
      <c r="E39" s="247">
        <v>2</v>
      </c>
      <c r="F39" s="247">
        <v>3</v>
      </c>
      <c r="G39" s="389"/>
      <c r="H39" s="389"/>
      <c r="I39" s="389"/>
      <c r="J39" s="303"/>
    </row>
    <row r="40" spans="2:20" x14ac:dyDescent="0.25">
      <c r="B40" s="248"/>
      <c r="C40" s="249" t="s">
        <v>69</v>
      </c>
      <c r="D40" s="378" t="str">
        <f>封面!B7</f>
        <v>HW356009</v>
      </c>
      <c r="E40" s="379"/>
      <c r="F40" s="380"/>
      <c r="G40" s="389"/>
      <c r="H40" s="389"/>
      <c r="I40" s="389"/>
      <c r="J40" s="303"/>
    </row>
    <row r="41" spans="2:20" x14ac:dyDescent="0.25">
      <c r="B41" s="248"/>
      <c r="C41" s="249" t="s">
        <v>42</v>
      </c>
      <c r="D41" s="381" t="s">
        <v>35</v>
      </c>
      <c r="E41" s="382"/>
      <c r="F41" s="383"/>
      <c r="G41" s="389"/>
      <c r="H41" s="389"/>
      <c r="I41" s="389"/>
      <c r="J41" s="303"/>
    </row>
    <row r="42" spans="2:20" x14ac:dyDescent="0.25">
      <c r="B42" s="248"/>
      <c r="C42" s="249" t="s">
        <v>70</v>
      </c>
      <c r="D42" s="250">
        <v>10</v>
      </c>
      <c r="E42" s="384" t="s">
        <v>71</v>
      </c>
      <c r="F42" s="385"/>
      <c r="G42" s="390"/>
      <c r="H42" s="390"/>
      <c r="I42" s="390"/>
      <c r="J42" s="303"/>
    </row>
    <row r="43" spans="2:20" x14ac:dyDescent="0.25">
      <c r="B43" s="251"/>
      <c r="C43" s="249" t="s">
        <v>72</v>
      </c>
      <c r="D43" s="252">
        <f>'PK 参数'!F3</f>
        <v>0.99906397000000002</v>
      </c>
      <c r="E43" s="252">
        <f>'PK 参数'!F4</f>
        <v>0.98255647999999995</v>
      </c>
      <c r="F43" s="252">
        <f>'PK 参数'!F5</f>
        <v>0.99946900999999999</v>
      </c>
      <c r="G43" s="247">
        <v>3</v>
      </c>
      <c r="H43" s="253">
        <f>AVERAGE(D43:F43)</f>
        <v>0.99369648666666699</v>
      </c>
      <c r="I43" s="308">
        <f t="shared" ref="I43:I54" si="2">STDEV(D43:F43)</f>
        <v>9.64965417776378E-3</v>
      </c>
      <c r="J43" s="303"/>
    </row>
    <row r="44" spans="2:20" ht="21" customHeight="1" x14ac:dyDescent="0.25">
      <c r="B44" s="251"/>
      <c r="C44" s="249" t="s">
        <v>73</v>
      </c>
      <c r="D44" s="254">
        <f>'PK 参数'!H3</f>
        <v>3</v>
      </c>
      <c r="E44" s="254">
        <f>'PK 参数'!H4</f>
        <v>3</v>
      </c>
      <c r="F44" s="254">
        <f>'PK 参数'!H5</f>
        <v>3</v>
      </c>
      <c r="G44" s="255">
        <v>3</v>
      </c>
      <c r="H44" s="256">
        <f t="shared" ref="H44:H53" si="3">AVERAGE(D44:F44)</f>
        <v>3</v>
      </c>
      <c r="I44" s="256">
        <f t="shared" si="2"/>
        <v>0</v>
      </c>
      <c r="J44" s="303"/>
    </row>
    <row r="45" spans="2:20" x14ac:dyDescent="0.25">
      <c r="B45" s="251"/>
      <c r="C45" s="249" t="s">
        <v>74</v>
      </c>
      <c r="D45" s="257">
        <f>'PK 参数'!S3</f>
        <v>24</v>
      </c>
      <c r="E45" s="258">
        <f>'PK 参数'!S4</f>
        <v>8</v>
      </c>
      <c r="F45" s="257">
        <f>'PK 参数'!S5</f>
        <v>24</v>
      </c>
      <c r="G45" s="259">
        <v>3</v>
      </c>
      <c r="H45" s="260">
        <f t="shared" si="3"/>
        <v>18.6666666666667</v>
      </c>
      <c r="I45" s="256">
        <f t="shared" si="2"/>
        <v>9.2376043070340099</v>
      </c>
      <c r="J45" s="303"/>
    </row>
    <row r="46" spans="2:20" ht="16.5" x14ac:dyDescent="0.25">
      <c r="B46" s="245"/>
      <c r="C46" s="246" t="s">
        <v>75</v>
      </c>
      <c r="D46" s="258">
        <f>'PK 参数'!M3</f>
        <v>2.3367841</v>
      </c>
      <c r="E46" s="258">
        <f>'PK 参数'!M4</f>
        <v>3.1758492999999999</v>
      </c>
      <c r="F46" s="258">
        <f>'PK 参数'!M5</f>
        <v>2.0823893</v>
      </c>
      <c r="G46" s="247">
        <v>3</v>
      </c>
      <c r="H46" s="256">
        <f t="shared" si="3"/>
        <v>2.5316742333333302</v>
      </c>
      <c r="I46" s="253">
        <f>STDEV(D46:F46)</f>
        <v>0.57218905612831605</v>
      </c>
      <c r="J46" s="303"/>
    </row>
    <row r="47" spans="2:20" ht="16.5" x14ac:dyDescent="0.25">
      <c r="B47" s="245"/>
      <c r="C47" s="246" t="s">
        <v>76</v>
      </c>
      <c r="D47" s="258">
        <f>'PK 参数'!P3</f>
        <v>2</v>
      </c>
      <c r="E47" s="252">
        <f>'PK 参数'!P4</f>
        <v>0.5</v>
      </c>
      <c r="F47" s="252">
        <f>'PK 参数'!P5</f>
        <v>0.5</v>
      </c>
      <c r="G47" s="247">
        <v>3</v>
      </c>
      <c r="H47" s="256">
        <f t="shared" si="3"/>
        <v>1</v>
      </c>
      <c r="I47" s="253">
        <f t="shared" si="2"/>
        <v>0.86602540378443904</v>
      </c>
      <c r="J47" s="303"/>
    </row>
    <row r="48" spans="2:20" ht="16.5" x14ac:dyDescent="0.25">
      <c r="B48" s="245"/>
      <c r="C48" s="246" t="s">
        <v>77</v>
      </c>
      <c r="D48" s="259">
        <f>'PK 参数'!Q3</f>
        <v>1270</v>
      </c>
      <c r="E48" s="259">
        <f>'PK 参数'!Q4</f>
        <v>1470</v>
      </c>
      <c r="F48" s="259">
        <f>'PK 参数'!Q5</f>
        <v>1440</v>
      </c>
      <c r="G48" s="247">
        <v>3</v>
      </c>
      <c r="H48" s="261">
        <f>AVERAGE(D48:F48)</f>
        <v>1393.3333333333333</v>
      </c>
      <c r="I48" s="261">
        <f t="shared" si="2"/>
        <v>107.85793124909</v>
      </c>
      <c r="J48" s="303"/>
    </row>
    <row r="49" spans="2:11" ht="16.5" x14ac:dyDescent="0.25">
      <c r="B49" s="245"/>
      <c r="C49" s="246" t="s">
        <v>78</v>
      </c>
      <c r="D49" s="259">
        <f>'PK 参数'!V3</f>
        <v>10905.078</v>
      </c>
      <c r="E49" s="259">
        <f>'PK 参数'!V4</f>
        <v>9109.2289999999994</v>
      </c>
      <c r="F49" s="259">
        <f>'PK 参数'!V5</f>
        <v>10441.222</v>
      </c>
      <c r="G49" s="247">
        <v>3</v>
      </c>
      <c r="H49" s="261">
        <f t="shared" si="3"/>
        <v>10151.843000000001</v>
      </c>
      <c r="I49" s="261">
        <f t="shared" si="2"/>
        <v>932.24115009529601</v>
      </c>
      <c r="J49" s="303"/>
    </row>
    <row r="50" spans="2:11" ht="16.5" x14ac:dyDescent="0.25">
      <c r="B50" s="245"/>
      <c r="C50" s="246" t="s">
        <v>79</v>
      </c>
      <c r="D50" s="259">
        <f>'PK 参数'!Y3</f>
        <v>10917.450999999999</v>
      </c>
      <c r="E50" s="259">
        <f>'PK 参数'!Y4</f>
        <v>11922.442999999999</v>
      </c>
      <c r="F50" s="259">
        <f>'PK 参数'!Y5</f>
        <v>10446.478999999999</v>
      </c>
      <c r="G50" s="247">
        <v>3</v>
      </c>
      <c r="H50" s="261">
        <f>AVERAGE(D50:F50)</f>
        <v>11095.457666666667</v>
      </c>
      <c r="I50" s="261">
        <f>STDEV(D50:F50)</f>
        <v>753.91127618396399</v>
      </c>
      <c r="J50" s="303"/>
    </row>
    <row r="51" spans="2:11" ht="16.5" x14ac:dyDescent="0.25">
      <c r="B51" s="245"/>
      <c r="C51" s="246" t="s">
        <v>80</v>
      </c>
      <c r="D51" s="258">
        <f>'PK 参数'!AN3</f>
        <v>5.0580607000000004</v>
      </c>
      <c r="E51" s="258">
        <f>'PK 参数'!AN4</f>
        <v>3.5798369999999999</v>
      </c>
      <c r="F51" s="258">
        <f>'PK 参数'!AN5</f>
        <v>4.7166489</v>
      </c>
      <c r="G51" s="247">
        <v>3</v>
      </c>
      <c r="H51" s="256">
        <f t="shared" si="3"/>
        <v>4.4515155333333301</v>
      </c>
      <c r="I51" s="253">
        <f t="shared" si="2"/>
        <v>0.77395613790474205</v>
      </c>
      <c r="J51" s="303"/>
    </row>
    <row r="52" spans="2:11" ht="16.5" x14ac:dyDescent="0.25">
      <c r="B52" s="245"/>
      <c r="C52" s="246" t="s">
        <v>81</v>
      </c>
      <c r="D52" s="258">
        <f>'PK 参数'!AO3</f>
        <v>5.0833478999999997</v>
      </c>
      <c r="E52" s="258">
        <f>'PK 参数'!AO4</f>
        <v>5.7039318000000003</v>
      </c>
      <c r="F52" s="258">
        <f>'PK 参数'!AO5</f>
        <v>4.7278656000000003</v>
      </c>
      <c r="G52" s="247">
        <v>3</v>
      </c>
      <c r="H52" s="256">
        <f>AVERAGE(D52:F52)</f>
        <v>5.1717151000000001</v>
      </c>
      <c r="I52" s="253">
        <f t="shared" si="2"/>
        <v>0.493996840296059</v>
      </c>
      <c r="J52" s="303"/>
    </row>
    <row r="53" spans="2:11" ht="16.5" x14ac:dyDescent="0.25">
      <c r="B53" s="251"/>
      <c r="C53" s="249" t="s">
        <v>82</v>
      </c>
      <c r="D53" s="258">
        <f>'PK 参数'!AA3</f>
        <v>0.11332819</v>
      </c>
      <c r="E53" s="258">
        <f>'PK 参数'!AA4</f>
        <v>23.595953999999999</v>
      </c>
      <c r="F53" s="258">
        <f>'PK 参数'!AA5</f>
        <v>5.0327408999999997E-2</v>
      </c>
      <c r="G53" s="247">
        <v>3</v>
      </c>
      <c r="H53" s="256">
        <f t="shared" si="3"/>
        <v>7.9198698663333298</v>
      </c>
      <c r="I53" s="260">
        <f t="shared" si="2"/>
        <v>13.5759236370476</v>
      </c>
      <c r="J53" s="303"/>
    </row>
    <row r="54" spans="2:11" ht="20.25" customHeight="1" x14ac:dyDescent="0.25">
      <c r="B54" s="262"/>
      <c r="C54" s="249" t="s">
        <v>83</v>
      </c>
      <c r="D54" s="258">
        <f>'PK 参数'!AK3</f>
        <v>0.61021519999999996</v>
      </c>
      <c r="E54" s="258">
        <f>'PK 参数'!AK4</f>
        <v>52.048158999999998</v>
      </c>
      <c r="F54" s="258">
        <f>'PK 参数'!AK5</f>
        <v>0.28745615000000002</v>
      </c>
      <c r="G54" s="259">
        <v>3</v>
      </c>
      <c r="H54" s="260">
        <f>AVERAGE(D54:F54)</f>
        <v>17.648610116666699</v>
      </c>
      <c r="I54" s="260">
        <f t="shared" si="2"/>
        <v>29.791320311186599</v>
      </c>
      <c r="J54" s="303"/>
    </row>
    <row r="55" spans="2:11" x14ac:dyDescent="0.25">
      <c r="B55" s="206"/>
      <c r="C55" s="263"/>
      <c r="D55" s="264"/>
      <c r="E55" s="264"/>
      <c r="F55" s="264"/>
      <c r="G55" s="265"/>
      <c r="H55" s="265"/>
      <c r="I55" s="265"/>
      <c r="J55" s="303"/>
    </row>
    <row r="56" spans="2:11" x14ac:dyDescent="0.25">
      <c r="B56" s="240"/>
      <c r="C56" s="241"/>
      <c r="D56" s="241"/>
      <c r="E56" s="241"/>
      <c r="F56" s="241"/>
      <c r="G56" s="241"/>
      <c r="H56" s="241"/>
      <c r="I56" s="241"/>
      <c r="J56" s="306"/>
    </row>
    <row r="57" spans="2:11" x14ac:dyDescent="0.25">
      <c r="B57" s="207"/>
      <c r="C57" s="207"/>
      <c r="D57" s="207"/>
      <c r="E57" s="207"/>
      <c r="F57" s="207"/>
      <c r="G57" s="207"/>
      <c r="H57" s="207"/>
      <c r="I57" s="207"/>
      <c r="J57" s="309"/>
    </row>
    <row r="58" spans="2:11" ht="78.95" customHeight="1" x14ac:dyDescent="0.15">
      <c r="B58" s="386" t="s">
        <v>84</v>
      </c>
      <c r="C58" s="387"/>
      <c r="D58" s="387"/>
      <c r="E58" s="387"/>
      <c r="F58" s="387"/>
      <c r="G58" s="387"/>
      <c r="H58" s="387"/>
      <c r="I58" s="387"/>
      <c r="J58" s="387"/>
      <c r="K58" s="387"/>
    </row>
  </sheetData>
  <mergeCells count="34">
    <mergeCell ref="T15:T16"/>
    <mergeCell ref="T17:T19"/>
    <mergeCell ref="C36:I37"/>
    <mergeCell ref="Q17:Q19"/>
    <mergeCell ref="R15:R16"/>
    <mergeCell ref="R17:R19"/>
    <mergeCell ref="S15:S16"/>
    <mergeCell ref="S17:S19"/>
    <mergeCell ref="E42:F42"/>
    <mergeCell ref="B58:K58"/>
    <mergeCell ref="G38:G42"/>
    <mergeCell ref="H38:H42"/>
    <mergeCell ref="I38:I42"/>
    <mergeCell ref="C6:H6"/>
    <mergeCell ref="L30:T30"/>
    <mergeCell ref="D38:F38"/>
    <mergeCell ref="D40:F40"/>
    <mergeCell ref="D41:F41"/>
    <mergeCell ref="L15:L16"/>
    <mergeCell ref="L17:L19"/>
    <mergeCell ref="M15:M16"/>
    <mergeCell ref="M17:M19"/>
    <mergeCell ref="N15:N16"/>
    <mergeCell ref="N17:N19"/>
    <mergeCell ref="O15:O16"/>
    <mergeCell ref="O17:O19"/>
    <mergeCell ref="P15:P16"/>
    <mergeCell ref="P17:P19"/>
    <mergeCell ref="Q15:Q16"/>
    <mergeCell ref="B1:J1"/>
    <mergeCell ref="L1:O1"/>
    <mergeCell ref="P1:T1"/>
    <mergeCell ref="C3:H3"/>
    <mergeCell ref="C5:H5"/>
  </mergeCells>
  <phoneticPr fontId="59" type="noConversion"/>
  <conditionalFormatting sqref="C8:C14">
    <cfRule type="cellIs" dxfId="0" priority="1" stopIfTrue="1" operator="equal">
      <formula>""</formula>
    </cfRule>
  </conditionalFormatting>
  <pageMargins left="0.7" right="0.7" top="0.75" bottom="0.75" header="0.3" footer="0.3"/>
  <pageSetup paperSize="9" scale="55"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AT7"/>
  <sheetViews>
    <sheetView showGridLines="0" workbookViewId="0">
      <pane xSplit="2" topLeftCell="C1" activePane="topRight" state="frozen"/>
      <selection pane="topRight" activeCell="U32" sqref="U32"/>
    </sheetView>
  </sheetViews>
  <sheetFormatPr defaultColWidth="9" defaultRowHeight="15" x14ac:dyDescent="0.15"/>
  <cols>
    <col min="1" max="1" width="16.875" style="189" customWidth="1"/>
    <col min="2" max="2" width="15.625" style="189" customWidth="1"/>
    <col min="3" max="3" width="11.625" style="189" customWidth="1"/>
    <col min="4" max="6" width="9.375" style="189" customWidth="1"/>
    <col min="7" max="7" width="10.125" style="189" customWidth="1"/>
    <col min="8" max="8" width="11.375" style="189" customWidth="1"/>
    <col min="9" max="9" width="9.375" style="189" customWidth="1"/>
    <col min="10" max="10" width="20.875" style="189" customWidth="1"/>
    <col min="11" max="11" width="11.375" style="189" customWidth="1"/>
    <col min="12" max="13" width="9.375" style="189" customWidth="1"/>
    <col min="14" max="14" width="11.125" style="189" customWidth="1"/>
    <col min="15" max="17" width="9.375" style="189" customWidth="1"/>
    <col min="18" max="18" width="11.875" style="189" customWidth="1"/>
    <col min="19" max="19" width="19" style="189" customWidth="1"/>
    <col min="20" max="23" width="9.375" style="189" customWidth="1"/>
    <col min="24" max="24" width="14.375" style="189" customWidth="1"/>
    <col min="25" max="28" width="9.375" style="189" customWidth="1"/>
    <col min="29" max="29" width="9.625" style="189" customWidth="1"/>
    <col min="30" max="30" width="20" style="189" customWidth="1"/>
    <col min="31" max="31" width="14.375" style="189" customWidth="1"/>
    <col min="32" max="32" width="10.625" style="189" customWidth="1"/>
    <col min="33" max="42" width="9.375" style="189" customWidth="1"/>
    <col min="43" max="45" width="10.625" style="189" customWidth="1"/>
    <col min="46" max="46" width="9.125" style="189" customWidth="1"/>
    <col min="47" max="16384" width="9" style="189"/>
  </cols>
  <sheetData>
    <row r="1" spans="1:46" ht="24" customHeight="1" x14ac:dyDescent="0.15">
      <c r="A1" s="190" t="str">
        <f>封面!B7</f>
        <v>HW356009</v>
      </c>
      <c r="B1" s="191" t="s">
        <v>85</v>
      </c>
    </row>
    <row r="2" spans="1:46" s="188" customFormat="1" ht="32.1" customHeight="1" x14ac:dyDescent="0.15">
      <c r="A2" s="424" t="s">
        <v>35</v>
      </c>
      <c r="B2" s="192" t="s">
        <v>86</v>
      </c>
      <c r="C2" s="192" t="s">
        <v>87</v>
      </c>
      <c r="D2" s="192" t="s">
        <v>88</v>
      </c>
      <c r="E2" s="192" t="s">
        <v>89</v>
      </c>
      <c r="F2" s="192" t="s">
        <v>72</v>
      </c>
      <c r="G2" s="192" t="s">
        <v>90</v>
      </c>
      <c r="H2" s="192" t="s">
        <v>73</v>
      </c>
      <c r="I2" s="192" t="s">
        <v>91</v>
      </c>
      <c r="J2" s="192" t="s">
        <v>92</v>
      </c>
      <c r="K2" s="192" t="s">
        <v>93</v>
      </c>
      <c r="L2" s="192" t="s">
        <v>94</v>
      </c>
      <c r="M2" s="192" t="s">
        <v>95</v>
      </c>
      <c r="N2" s="192" t="s">
        <v>96</v>
      </c>
      <c r="O2" s="192" t="s">
        <v>97</v>
      </c>
      <c r="P2" s="192" t="s">
        <v>98</v>
      </c>
      <c r="Q2" s="192" t="s">
        <v>99</v>
      </c>
      <c r="R2" s="192" t="s">
        <v>100</v>
      </c>
      <c r="S2" s="192" t="s">
        <v>101</v>
      </c>
      <c r="T2" s="192" t="s">
        <v>102</v>
      </c>
      <c r="U2" s="192" t="s">
        <v>103</v>
      </c>
      <c r="V2" s="192" t="s">
        <v>104</v>
      </c>
      <c r="W2" s="192" t="s">
        <v>105</v>
      </c>
      <c r="X2" s="192" t="s">
        <v>106</v>
      </c>
      <c r="Y2" s="192" t="s">
        <v>107</v>
      </c>
      <c r="Z2" s="192" t="s">
        <v>108</v>
      </c>
      <c r="AA2" s="192" t="s">
        <v>109</v>
      </c>
      <c r="AB2" s="192" t="s">
        <v>110</v>
      </c>
      <c r="AC2" s="192" t="s">
        <v>111</v>
      </c>
      <c r="AD2" s="192" t="s">
        <v>112</v>
      </c>
      <c r="AE2" s="192" t="s">
        <v>113</v>
      </c>
      <c r="AF2" s="192" t="s">
        <v>114</v>
      </c>
      <c r="AG2" s="192" t="s">
        <v>115</v>
      </c>
      <c r="AH2" s="192" t="s">
        <v>116</v>
      </c>
      <c r="AI2" s="192" t="s">
        <v>117</v>
      </c>
      <c r="AJ2" s="192" t="s">
        <v>118</v>
      </c>
      <c r="AK2" s="192" t="s">
        <v>119</v>
      </c>
      <c r="AL2" s="192" t="s">
        <v>120</v>
      </c>
      <c r="AM2" s="192" t="s">
        <v>121</v>
      </c>
      <c r="AN2" s="192" t="s">
        <v>122</v>
      </c>
      <c r="AO2" s="192" t="s">
        <v>123</v>
      </c>
      <c r="AP2" s="192" t="s">
        <v>124</v>
      </c>
      <c r="AQ2" s="196"/>
      <c r="AR2" s="196"/>
      <c r="AS2" s="197"/>
      <c r="AT2" s="198"/>
    </row>
    <row r="3" spans="1:46" x14ac:dyDescent="0.15">
      <c r="A3" s="425"/>
      <c r="B3" s="189">
        <v>1</v>
      </c>
      <c r="C3" s="189">
        <v>9</v>
      </c>
      <c r="D3" s="189">
        <v>10</v>
      </c>
      <c r="E3" s="189">
        <v>0.99953197999999999</v>
      </c>
      <c r="F3" s="193">
        <v>0.99906397000000002</v>
      </c>
      <c r="G3" s="189">
        <v>-0.99976595999999995</v>
      </c>
      <c r="H3" s="193">
        <v>3</v>
      </c>
      <c r="I3" s="189">
        <v>0.29662440000000001</v>
      </c>
      <c r="J3" s="189">
        <v>8.4265886999999999</v>
      </c>
      <c r="K3" s="189">
        <v>6</v>
      </c>
      <c r="L3" s="189">
        <v>24</v>
      </c>
      <c r="M3" s="193">
        <v>2.3367841</v>
      </c>
      <c r="N3" s="189">
        <v>7.7028938</v>
      </c>
      <c r="O3" s="189">
        <v>0</v>
      </c>
      <c r="P3" s="193">
        <v>2</v>
      </c>
      <c r="Q3" s="193">
        <v>1270</v>
      </c>
      <c r="R3" s="193">
        <v>127</v>
      </c>
      <c r="S3" s="193">
        <v>24</v>
      </c>
      <c r="T3" s="189">
        <v>3.67</v>
      </c>
      <c r="U3" s="189">
        <v>3.6973014000000002</v>
      </c>
      <c r="V3" s="193">
        <v>10905.078</v>
      </c>
      <c r="W3" s="189">
        <v>1090.5078000000001</v>
      </c>
      <c r="X3" s="189">
        <v>10905.078</v>
      </c>
      <c r="Y3" s="193">
        <v>10917.450999999999</v>
      </c>
      <c r="Z3" s="189">
        <v>1091.7451000000001</v>
      </c>
      <c r="AA3" s="193">
        <v>0.11332819</v>
      </c>
      <c r="AB3" s="189">
        <v>3.0879615999999999</v>
      </c>
      <c r="AC3" s="193">
        <v>0.91596473</v>
      </c>
      <c r="AD3" s="193">
        <v>10917.543</v>
      </c>
      <c r="AE3" s="193">
        <v>1091.7543000000001</v>
      </c>
      <c r="AF3" s="189">
        <v>0.11417028</v>
      </c>
      <c r="AG3" s="189">
        <v>3.0879354999999999</v>
      </c>
      <c r="AH3" s="189">
        <v>0.91595700999999996</v>
      </c>
      <c r="AI3" s="189">
        <v>55158.548000000003</v>
      </c>
      <c r="AJ3" s="189">
        <v>55497.201000000001</v>
      </c>
      <c r="AK3" s="189">
        <v>0.61021519999999996</v>
      </c>
      <c r="AL3" s="189">
        <v>55499.72</v>
      </c>
      <c r="AM3" s="189">
        <v>0.61472673</v>
      </c>
      <c r="AN3" s="193">
        <v>5.0580607000000004</v>
      </c>
      <c r="AO3" s="193">
        <v>5.0833478999999997</v>
      </c>
      <c r="AP3" s="189">
        <v>5.0835357999999999</v>
      </c>
      <c r="AQ3" s="193"/>
      <c r="AR3" s="193"/>
      <c r="AS3" s="199"/>
      <c r="AT3" s="200"/>
    </row>
    <row r="4" spans="1:46" x14ac:dyDescent="0.15">
      <c r="A4" s="425"/>
      <c r="B4" s="189">
        <v>2</v>
      </c>
      <c r="C4" s="189">
        <v>8</v>
      </c>
      <c r="D4" s="189">
        <v>10</v>
      </c>
      <c r="E4" s="189">
        <v>0.99127823999999998</v>
      </c>
      <c r="F4" s="193">
        <v>0.98255647999999995</v>
      </c>
      <c r="G4" s="189">
        <v>-0.99562956999999996</v>
      </c>
      <c r="H4" s="193">
        <v>3</v>
      </c>
      <c r="I4" s="189">
        <v>0.21825569</v>
      </c>
      <c r="J4" s="189">
        <v>8.1424009000000002</v>
      </c>
      <c r="K4" s="189">
        <v>4</v>
      </c>
      <c r="L4" s="189">
        <v>8</v>
      </c>
      <c r="M4" s="193">
        <v>3.1758492999999999</v>
      </c>
      <c r="N4" s="189">
        <v>1.2595056</v>
      </c>
      <c r="O4" s="189">
        <v>0</v>
      </c>
      <c r="P4" s="193">
        <v>0.5</v>
      </c>
      <c r="Q4" s="193">
        <v>1470</v>
      </c>
      <c r="R4" s="193">
        <v>147</v>
      </c>
      <c r="S4" s="193">
        <v>8</v>
      </c>
      <c r="T4" s="189">
        <v>614</v>
      </c>
      <c r="U4" s="189">
        <v>599.65553</v>
      </c>
      <c r="V4" s="193">
        <v>9109.2289999999994</v>
      </c>
      <c r="W4" s="189">
        <v>910.92290000000003</v>
      </c>
      <c r="X4" s="189">
        <v>9109.2289999999994</v>
      </c>
      <c r="Y4" s="193">
        <v>11922.442999999999</v>
      </c>
      <c r="Z4" s="189">
        <v>1192.2443000000001</v>
      </c>
      <c r="AA4" s="193">
        <v>23.595953999999999</v>
      </c>
      <c r="AB4" s="189">
        <v>3.8429891999999999</v>
      </c>
      <c r="AC4" s="193">
        <v>0.83875425999999997</v>
      </c>
      <c r="AD4" s="193">
        <v>11856.72</v>
      </c>
      <c r="AE4" s="193">
        <v>1185.672</v>
      </c>
      <c r="AF4" s="189">
        <v>23.172436999999999</v>
      </c>
      <c r="AG4" s="189">
        <v>3.8642913999999999</v>
      </c>
      <c r="AH4" s="189">
        <v>0.84340356999999999</v>
      </c>
      <c r="AI4" s="189">
        <v>32609.555</v>
      </c>
      <c r="AJ4" s="189">
        <v>68004.803</v>
      </c>
      <c r="AK4" s="189">
        <v>52.048158999999998</v>
      </c>
      <c r="AL4" s="189">
        <v>67177.888000000006</v>
      </c>
      <c r="AM4" s="189">
        <v>51.457903000000002</v>
      </c>
      <c r="AN4" s="193">
        <v>3.5798369999999999</v>
      </c>
      <c r="AO4" s="193">
        <v>5.7039318000000003</v>
      </c>
      <c r="AP4" s="189">
        <v>5.6658071000000003</v>
      </c>
      <c r="AQ4" s="193"/>
      <c r="AR4" s="193"/>
      <c r="AS4" s="199"/>
      <c r="AT4" s="200"/>
    </row>
    <row r="5" spans="1:46" x14ac:dyDescent="0.15">
      <c r="A5" s="426"/>
      <c r="B5" s="194">
        <v>3</v>
      </c>
      <c r="C5" s="194">
        <v>9</v>
      </c>
      <c r="D5" s="194">
        <v>10</v>
      </c>
      <c r="E5" s="194">
        <v>0.99973449999999997</v>
      </c>
      <c r="F5" s="195">
        <v>0.99946900999999999</v>
      </c>
      <c r="G5" s="194">
        <v>-0.99986724000000005</v>
      </c>
      <c r="H5" s="195">
        <v>3</v>
      </c>
      <c r="I5" s="194">
        <v>0.33286148999999998</v>
      </c>
      <c r="J5" s="194">
        <v>8.5545550000000006</v>
      </c>
      <c r="K5" s="194">
        <v>6</v>
      </c>
      <c r="L5" s="194">
        <v>24</v>
      </c>
      <c r="M5" s="195">
        <v>2.0823893</v>
      </c>
      <c r="N5" s="194">
        <v>8.6439170000000001</v>
      </c>
      <c r="O5" s="194">
        <v>0</v>
      </c>
      <c r="P5" s="195">
        <v>0.5</v>
      </c>
      <c r="Q5" s="195">
        <v>1440</v>
      </c>
      <c r="R5" s="195">
        <v>144</v>
      </c>
      <c r="S5" s="195">
        <v>24</v>
      </c>
      <c r="T5" s="194">
        <v>1.75</v>
      </c>
      <c r="U5" s="194">
        <v>1.7609956</v>
      </c>
      <c r="V5" s="195">
        <v>10441.222</v>
      </c>
      <c r="W5" s="194">
        <v>1044.1222</v>
      </c>
      <c r="X5" s="194">
        <v>10441.222</v>
      </c>
      <c r="Y5" s="195">
        <v>10446.478999999999</v>
      </c>
      <c r="Z5" s="194">
        <v>1044.6478999999999</v>
      </c>
      <c r="AA5" s="195">
        <v>5.0327408999999997E-2</v>
      </c>
      <c r="AB5" s="194">
        <v>2.8758518999999998</v>
      </c>
      <c r="AC5" s="194">
        <v>0.95726034000000004</v>
      </c>
      <c r="AD5" s="194">
        <v>10446.512000000001</v>
      </c>
      <c r="AE5" s="194">
        <v>1044.6512</v>
      </c>
      <c r="AF5" s="194">
        <v>5.0643465999999998E-2</v>
      </c>
      <c r="AG5" s="194">
        <v>2.8758428</v>
      </c>
      <c r="AH5" s="194">
        <v>0.95725731000000003</v>
      </c>
      <c r="AI5" s="194">
        <v>49247.574999999997</v>
      </c>
      <c r="AJ5" s="194">
        <v>49389.548999999999</v>
      </c>
      <c r="AK5" s="194">
        <v>0.28745615000000002</v>
      </c>
      <c r="AL5" s="194">
        <v>49390.440999999999</v>
      </c>
      <c r="AM5" s="194">
        <v>0.28925707000000001</v>
      </c>
      <c r="AN5" s="195">
        <v>4.7166489</v>
      </c>
      <c r="AO5" s="195">
        <v>4.7278656000000003</v>
      </c>
      <c r="AP5" s="194">
        <v>4.7279361</v>
      </c>
      <c r="AQ5" s="194"/>
      <c r="AR5" s="194"/>
      <c r="AS5" s="201"/>
    </row>
    <row r="6" spans="1:46" x14ac:dyDescent="0.15">
      <c r="A6" s="188"/>
    </row>
    <row r="7" spans="1:46" ht="15" customHeight="1" x14ac:dyDescent="0.15">
      <c r="A7" s="188"/>
    </row>
  </sheetData>
  <mergeCells count="1">
    <mergeCell ref="A2:A5"/>
  </mergeCells>
  <phoneticPr fontId="6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Q120"/>
  <sheetViews>
    <sheetView showGridLines="0" zoomScale="70" zoomScaleNormal="70" workbookViewId="0">
      <selection activeCell="K82" sqref="K82"/>
    </sheetView>
  </sheetViews>
  <sheetFormatPr defaultColWidth="9" defaultRowHeight="15" x14ac:dyDescent="0.25"/>
  <cols>
    <col min="1" max="1" width="43.125" style="156" customWidth="1"/>
    <col min="2" max="2" width="17.875" style="156" customWidth="1"/>
    <col min="3" max="3" width="39" style="156" customWidth="1"/>
    <col min="4" max="4" width="16.625" style="157" customWidth="1"/>
    <col min="5" max="5" width="17" style="157" customWidth="1"/>
    <col min="6" max="6" width="11.625" style="158" customWidth="1"/>
    <col min="7" max="7" width="10.875" style="156" customWidth="1"/>
    <col min="8" max="8" width="16.75" style="156" customWidth="1"/>
    <col min="9" max="9" width="9.375" style="159" customWidth="1"/>
    <col min="10" max="10" width="10.625" style="160" customWidth="1"/>
    <col min="11" max="11" width="14.625" style="156" customWidth="1"/>
    <col min="12" max="12" width="11" style="156" customWidth="1"/>
    <col min="13" max="13" width="9" style="156"/>
    <col min="14" max="15" width="9.375" style="159" customWidth="1"/>
    <col min="16" max="16" width="9.25" style="156"/>
    <col min="17" max="18" width="11.125" style="156"/>
    <col min="19" max="16384" width="9" style="156"/>
  </cols>
  <sheetData>
    <row r="1" spans="1:17" s="64" customFormat="1" ht="14.25" customHeight="1" x14ac:dyDescent="0.15">
      <c r="A1" s="161" t="s">
        <v>125</v>
      </c>
      <c r="B1" s="162"/>
      <c r="C1" s="162"/>
      <c r="D1" s="162"/>
      <c r="E1" s="162"/>
      <c r="F1" s="162"/>
      <c r="G1" s="162"/>
      <c r="H1" s="162"/>
      <c r="I1" s="162"/>
      <c r="J1" s="162"/>
      <c r="K1" s="162"/>
      <c r="L1" s="162"/>
      <c r="M1" s="162"/>
      <c r="N1" s="162"/>
      <c r="O1" s="162"/>
      <c r="P1" s="162"/>
      <c r="Q1" s="166"/>
    </row>
    <row r="2" spans="1:17" s="64" customFormat="1" ht="14.25" customHeight="1" x14ac:dyDescent="0.15">
      <c r="A2" s="163" t="s">
        <v>126</v>
      </c>
      <c r="B2" s="139"/>
      <c r="C2" s="139"/>
      <c r="D2" s="139"/>
      <c r="E2" s="139"/>
      <c r="F2" s="139"/>
      <c r="G2" s="139"/>
      <c r="H2" s="139"/>
      <c r="I2" s="139"/>
      <c r="J2" s="139"/>
      <c r="K2" s="139"/>
      <c r="L2" s="139"/>
      <c r="M2" s="139"/>
      <c r="N2" s="139"/>
      <c r="O2" s="139"/>
      <c r="P2" s="165"/>
      <c r="Q2" s="167"/>
    </row>
    <row r="3" spans="1:17" s="64" customFormat="1" ht="14.25" customHeight="1" x14ac:dyDescent="0.15">
      <c r="A3" s="163" t="s">
        <v>127</v>
      </c>
      <c r="B3" s="139"/>
      <c r="C3" s="139"/>
      <c r="D3" s="139"/>
      <c r="E3" s="139"/>
      <c r="F3" s="139"/>
      <c r="G3" s="139"/>
      <c r="H3" s="139"/>
      <c r="I3" s="139"/>
      <c r="J3" s="139"/>
      <c r="K3" s="139"/>
      <c r="L3" s="139"/>
      <c r="M3" s="139"/>
      <c r="N3" s="139"/>
      <c r="O3" s="139"/>
      <c r="P3" s="165"/>
      <c r="Q3" s="167"/>
    </row>
    <row r="4" spans="1:17" s="64" customFormat="1" ht="14.25" customHeight="1" x14ac:dyDescent="0.15">
      <c r="A4" s="163"/>
      <c r="B4" s="139"/>
      <c r="C4" s="139"/>
      <c r="D4" s="139"/>
      <c r="E4" s="139"/>
      <c r="F4" s="139"/>
      <c r="G4" s="139"/>
      <c r="H4" s="139"/>
      <c r="I4" s="139"/>
      <c r="J4" s="139"/>
      <c r="K4" s="139"/>
      <c r="L4" s="139"/>
      <c r="M4" s="139"/>
      <c r="N4" s="139"/>
      <c r="O4" s="139"/>
      <c r="P4" s="165"/>
      <c r="Q4" s="167"/>
    </row>
    <row r="5" spans="1:17" s="64" customFormat="1" ht="14.25" customHeight="1" x14ac:dyDescent="0.15">
      <c r="A5" s="163" t="s">
        <v>128</v>
      </c>
      <c r="B5" s="139"/>
      <c r="C5" s="139"/>
      <c r="D5" s="139"/>
      <c r="E5" s="139"/>
      <c r="F5" s="139"/>
      <c r="G5" s="139"/>
      <c r="H5" s="139"/>
      <c r="I5" s="139"/>
      <c r="J5" s="139"/>
      <c r="K5" s="139"/>
      <c r="L5" s="139"/>
      <c r="M5" s="139"/>
      <c r="N5" s="139"/>
      <c r="O5" s="139"/>
      <c r="P5" s="165"/>
      <c r="Q5" s="167"/>
    </row>
    <row r="6" spans="1:17" s="64" customFormat="1" ht="14.25" customHeight="1" x14ac:dyDescent="0.15">
      <c r="A6" s="163" t="s">
        <v>129</v>
      </c>
      <c r="B6" s="139"/>
      <c r="C6" s="139"/>
      <c r="D6" s="139"/>
      <c r="E6" s="139"/>
      <c r="F6" s="139"/>
      <c r="G6" s="139"/>
      <c r="H6" s="139"/>
      <c r="I6" s="139"/>
      <c r="J6" s="139"/>
      <c r="K6" s="139"/>
      <c r="L6" s="139"/>
      <c r="M6" s="139"/>
      <c r="N6" s="139"/>
      <c r="O6" s="139"/>
      <c r="P6" s="165"/>
      <c r="Q6" s="167"/>
    </row>
    <row r="7" spans="1:17" s="64" customFormat="1" ht="14.25" customHeight="1" x14ac:dyDescent="0.15">
      <c r="A7" s="163" t="s">
        <v>130</v>
      </c>
      <c r="B7" s="139"/>
      <c r="C7" s="139"/>
      <c r="D7" s="139"/>
      <c r="E7" s="139"/>
      <c r="F7" s="139"/>
      <c r="G7" s="139"/>
      <c r="H7" s="139"/>
      <c r="I7" s="139"/>
      <c r="J7" s="139"/>
      <c r="K7" s="139"/>
      <c r="L7" s="139"/>
      <c r="M7" s="139"/>
      <c r="N7" s="139"/>
      <c r="O7" s="139"/>
      <c r="P7" s="165"/>
      <c r="Q7" s="167"/>
    </row>
    <row r="8" spans="1:17" s="64" customFormat="1" ht="14.25" customHeight="1" x14ac:dyDescent="0.15">
      <c r="A8" s="163"/>
      <c r="B8" s="139"/>
      <c r="C8" s="139"/>
      <c r="D8" s="139"/>
      <c r="E8" s="139"/>
      <c r="F8" s="139"/>
      <c r="G8" s="139"/>
      <c r="H8" s="139"/>
      <c r="I8" s="139"/>
      <c r="J8" s="139"/>
      <c r="K8" s="139"/>
      <c r="L8" s="139"/>
      <c r="M8" s="139"/>
      <c r="N8" s="139"/>
      <c r="O8" s="139"/>
      <c r="P8" s="165"/>
      <c r="Q8" s="167"/>
    </row>
    <row r="9" spans="1:17" s="64" customFormat="1" ht="14.25" customHeight="1" x14ac:dyDescent="0.15">
      <c r="A9" s="163" t="s">
        <v>131</v>
      </c>
      <c r="B9" s="139" t="s">
        <v>132</v>
      </c>
      <c r="C9" s="139" t="s">
        <v>133</v>
      </c>
      <c r="D9" s="139" t="s">
        <v>134</v>
      </c>
      <c r="E9" s="139" t="s">
        <v>135</v>
      </c>
      <c r="F9" s="139" t="s">
        <v>136</v>
      </c>
      <c r="G9" s="139"/>
      <c r="H9" s="139"/>
      <c r="I9" s="139"/>
      <c r="J9" s="139"/>
      <c r="K9" s="139"/>
      <c r="L9" s="139"/>
      <c r="M9" s="139"/>
      <c r="N9" s="139"/>
      <c r="O9" s="139"/>
      <c r="P9" s="165"/>
      <c r="Q9" s="167"/>
    </row>
    <row r="10" spans="1:17" s="64" customFormat="1" ht="14.25" customHeight="1" x14ac:dyDescent="0.15">
      <c r="A10" s="163" t="s">
        <v>137</v>
      </c>
      <c r="B10" s="164">
        <v>-1.24E-5</v>
      </c>
      <c r="C10" s="139"/>
      <c r="D10" s="139"/>
      <c r="E10" s="139"/>
      <c r="F10" s="139"/>
      <c r="G10" s="139"/>
      <c r="H10" s="139"/>
      <c r="I10" s="139"/>
      <c r="J10" s="139"/>
      <c r="K10" s="139"/>
      <c r="L10" s="139"/>
      <c r="M10" s="139"/>
      <c r="N10" s="139"/>
      <c r="O10" s="139"/>
      <c r="P10" s="165"/>
      <c r="Q10" s="167"/>
    </row>
    <row r="11" spans="1:17" s="64" customFormat="1" ht="14.25" customHeight="1" x14ac:dyDescent="0.15">
      <c r="A11" s="163" t="s">
        <v>138</v>
      </c>
      <c r="B11" s="139">
        <v>1.4499999999999999E-3</v>
      </c>
      <c r="C11" s="139"/>
      <c r="D11" s="139"/>
      <c r="E11" s="139"/>
      <c r="F11" s="139"/>
      <c r="G11" s="139"/>
      <c r="H11" s="139"/>
      <c r="I11" s="139"/>
      <c r="J11" s="139"/>
      <c r="K11" s="139"/>
      <c r="L11" s="139"/>
      <c r="M11" s="139"/>
      <c r="N11" s="139"/>
      <c r="O11" s="139"/>
      <c r="P11" s="165"/>
      <c r="Q11" s="167"/>
    </row>
    <row r="12" spans="1:17" s="64" customFormat="1" ht="14.25" customHeight="1" x14ac:dyDescent="0.15">
      <c r="A12" s="163" t="s">
        <v>139</v>
      </c>
      <c r="B12" s="139">
        <v>0.99860000000000004</v>
      </c>
      <c r="C12" s="139"/>
      <c r="D12" s="139"/>
      <c r="E12" s="139"/>
      <c r="F12" s="139"/>
      <c r="G12" s="139"/>
      <c r="H12" s="139"/>
      <c r="I12" s="139"/>
      <c r="J12" s="139"/>
      <c r="K12" s="139"/>
      <c r="L12" s="139"/>
      <c r="M12" s="139"/>
      <c r="N12" s="139"/>
      <c r="O12" s="139"/>
      <c r="P12" s="165"/>
      <c r="Q12" s="167"/>
    </row>
    <row r="13" spans="1:17" s="64" customFormat="1" ht="14.25" customHeight="1" x14ac:dyDescent="0.15">
      <c r="A13" s="163" t="s">
        <v>140</v>
      </c>
      <c r="B13" s="139"/>
      <c r="C13" s="139"/>
      <c r="D13" s="139"/>
      <c r="E13" s="139"/>
      <c r="F13" s="139"/>
      <c r="G13" s="139"/>
      <c r="H13" s="139"/>
      <c r="I13" s="139"/>
      <c r="J13" s="139"/>
      <c r="K13" s="139"/>
      <c r="L13" s="139"/>
      <c r="M13" s="139"/>
      <c r="N13" s="139"/>
      <c r="O13" s="139"/>
      <c r="P13" s="165"/>
      <c r="Q13" s="167"/>
    </row>
    <row r="14" spans="1:17" s="64" customFormat="1" ht="9.6" customHeight="1" x14ac:dyDescent="0.15">
      <c r="A14" s="163"/>
      <c r="B14" s="139"/>
      <c r="C14" s="139"/>
      <c r="D14" s="139"/>
      <c r="E14" s="139"/>
      <c r="F14" s="139"/>
      <c r="G14" s="139"/>
      <c r="H14" s="139"/>
      <c r="I14" s="139"/>
      <c r="J14" s="139"/>
      <c r="K14" s="139"/>
      <c r="L14" s="139"/>
      <c r="M14" s="139"/>
      <c r="N14" s="139"/>
      <c r="O14" s="139"/>
      <c r="P14" s="165"/>
      <c r="Q14" s="167"/>
    </row>
    <row r="15" spans="1:17" s="154" customFormat="1" ht="51.95" customHeight="1" x14ac:dyDescent="0.15">
      <c r="A15" s="163" t="s">
        <v>141</v>
      </c>
      <c r="B15" s="139" t="s">
        <v>142</v>
      </c>
      <c r="C15" s="139" t="s">
        <v>143</v>
      </c>
      <c r="D15" s="139" t="s">
        <v>144</v>
      </c>
      <c r="E15" s="139" t="s">
        <v>145</v>
      </c>
      <c r="F15" s="139" t="s">
        <v>146</v>
      </c>
      <c r="G15" s="139" t="s">
        <v>147</v>
      </c>
      <c r="H15" s="139" t="s">
        <v>148</v>
      </c>
      <c r="I15" s="139" t="s">
        <v>149</v>
      </c>
      <c r="J15" s="139" t="s">
        <v>150</v>
      </c>
      <c r="K15" s="139" t="s">
        <v>151</v>
      </c>
      <c r="L15" s="139" t="s">
        <v>152</v>
      </c>
      <c r="M15" s="139" t="s">
        <v>153</v>
      </c>
      <c r="N15" s="139" t="s">
        <v>154</v>
      </c>
      <c r="O15" s="139" t="s">
        <v>155</v>
      </c>
      <c r="P15" s="165"/>
      <c r="Q15" s="168"/>
    </row>
    <row r="16" spans="1:17" s="63" customFormat="1" ht="23.1" customHeight="1" x14ac:dyDescent="0.15">
      <c r="A16" s="163" t="s">
        <v>156</v>
      </c>
      <c r="B16" s="139" t="s">
        <v>157</v>
      </c>
      <c r="C16" s="139" t="s">
        <v>158</v>
      </c>
      <c r="D16" s="139" t="s">
        <v>4</v>
      </c>
      <c r="E16" s="139" t="s">
        <v>159</v>
      </c>
      <c r="F16" s="139" t="e">
        <v>#DIV/0!</v>
      </c>
      <c r="G16" s="139">
        <v>0</v>
      </c>
      <c r="H16" s="139">
        <v>0</v>
      </c>
      <c r="I16" s="139" t="e">
        <v>#DIV/0!</v>
      </c>
      <c r="J16" s="139">
        <v>0</v>
      </c>
      <c r="K16" s="139">
        <v>0</v>
      </c>
      <c r="L16" s="139"/>
      <c r="M16" s="139">
        <v>0</v>
      </c>
      <c r="N16" s="139" t="s">
        <v>159</v>
      </c>
      <c r="O16" s="139">
        <v>1</v>
      </c>
      <c r="P16" s="165"/>
      <c r="Q16" s="169"/>
    </row>
    <row r="17" spans="1:17" s="64" customFormat="1" ht="14.25" customHeight="1" x14ac:dyDescent="0.15">
      <c r="A17" s="163" t="s">
        <v>156</v>
      </c>
      <c r="B17" s="139" t="s">
        <v>157</v>
      </c>
      <c r="C17" s="139" t="s">
        <v>158</v>
      </c>
      <c r="D17" s="139" t="s">
        <v>4</v>
      </c>
      <c r="E17" s="139" t="s">
        <v>159</v>
      </c>
      <c r="F17" s="139" t="e">
        <v>#DIV/0!</v>
      </c>
      <c r="G17" s="139">
        <v>0</v>
      </c>
      <c r="H17" s="139">
        <v>0</v>
      </c>
      <c r="I17" s="139" t="e">
        <v>#DIV/0!</v>
      </c>
      <c r="J17" s="139">
        <v>0</v>
      </c>
      <c r="K17" s="139">
        <v>0</v>
      </c>
      <c r="L17" s="139"/>
      <c r="M17" s="139">
        <v>0</v>
      </c>
      <c r="N17" s="139" t="s">
        <v>159</v>
      </c>
      <c r="O17" s="139">
        <v>1</v>
      </c>
      <c r="P17" s="165"/>
      <c r="Q17" s="167"/>
    </row>
    <row r="18" spans="1:17" s="155" customFormat="1" ht="21" customHeight="1" x14ac:dyDescent="0.15">
      <c r="A18" s="163" t="s">
        <v>156</v>
      </c>
      <c r="B18" s="139" t="s">
        <v>157</v>
      </c>
      <c r="C18" s="139" t="s">
        <v>158</v>
      </c>
      <c r="D18" s="139" t="s">
        <v>4</v>
      </c>
      <c r="E18" s="139" t="s">
        <v>159</v>
      </c>
      <c r="F18" s="139" t="e">
        <v>#DIV/0!</v>
      </c>
      <c r="G18" s="139">
        <v>0</v>
      </c>
      <c r="H18" s="139">
        <v>0</v>
      </c>
      <c r="I18" s="139" t="e">
        <v>#DIV/0!</v>
      </c>
      <c r="J18" s="139">
        <v>0</v>
      </c>
      <c r="K18" s="139">
        <v>0</v>
      </c>
      <c r="L18" s="139"/>
      <c r="M18" s="139">
        <v>0</v>
      </c>
      <c r="N18" s="139" t="s">
        <v>159</v>
      </c>
      <c r="O18" s="139">
        <v>1</v>
      </c>
      <c r="P18" s="165"/>
      <c r="Q18" s="170"/>
    </row>
    <row r="19" spans="1:17" s="155" customFormat="1" ht="21" customHeight="1" x14ac:dyDescent="0.15">
      <c r="A19" s="163" t="s">
        <v>160</v>
      </c>
      <c r="B19" s="139" t="s">
        <v>157</v>
      </c>
      <c r="C19" s="139" t="s">
        <v>158</v>
      </c>
      <c r="D19" s="139" t="s">
        <v>4</v>
      </c>
      <c r="E19" s="139" t="s">
        <v>159</v>
      </c>
      <c r="F19" s="139" t="s">
        <v>161</v>
      </c>
      <c r="G19" s="139">
        <v>0</v>
      </c>
      <c r="H19" s="139">
        <v>0</v>
      </c>
      <c r="I19" s="139">
        <v>0</v>
      </c>
      <c r="J19" s="139">
        <v>879000</v>
      </c>
      <c r="K19" s="139">
        <v>1.02</v>
      </c>
      <c r="L19" s="139"/>
      <c r="M19" s="139">
        <v>0</v>
      </c>
      <c r="N19" s="139" t="s">
        <v>159</v>
      </c>
      <c r="O19" s="139">
        <v>1</v>
      </c>
      <c r="P19" s="165"/>
      <c r="Q19" s="170"/>
    </row>
    <row r="20" spans="1:17" s="155" customFormat="1" ht="21" customHeight="1" x14ac:dyDescent="0.15">
      <c r="A20" s="163" t="s">
        <v>162</v>
      </c>
      <c r="B20" s="139" t="s">
        <v>163</v>
      </c>
      <c r="C20" s="139" t="s">
        <v>158</v>
      </c>
      <c r="D20" s="139" t="s">
        <v>4</v>
      </c>
      <c r="E20" s="139">
        <v>1</v>
      </c>
      <c r="F20" s="139">
        <v>0.96399999999999997</v>
      </c>
      <c r="G20" s="139">
        <v>1190</v>
      </c>
      <c r="H20" s="139">
        <v>1.34</v>
      </c>
      <c r="I20" s="139">
        <v>1.39E-3</v>
      </c>
      <c r="J20" s="139">
        <v>861000</v>
      </c>
      <c r="K20" s="139">
        <v>1.02</v>
      </c>
      <c r="L20" s="139">
        <v>1</v>
      </c>
      <c r="M20" s="139">
        <v>0</v>
      </c>
      <c r="N20" s="139">
        <v>96.38</v>
      </c>
      <c r="O20" s="139">
        <v>1</v>
      </c>
      <c r="P20" s="165"/>
      <c r="Q20" s="170"/>
    </row>
    <row r="21" spans="1:17" s="155" customFormat="1" ht="21" customHeight="1" x14ac:dyDescent="0.15">
      <c r="A21" s="163" t="s">
        <v>164</v>
      </c>
      <c r="B21" s="139" t="s">
        <v>163</v>
      </c>
      <c r="C21" s="139" t="s">
        <v>158</v>
      </c>
      <c r="D21" s="139" t="s">
        <v>4</v>
      </c>
      <c r="E21" s="139">
        <v>2</v>
      </c>
      <c r="F21" s="139">
        <v>2.12</v>
      </c>
      <c r="G21" s="139">
        <v>2520</v>
      </c>
      <c r="H21" s="139">
        <v>1.35</v>
      </c>
      <c r="I21" s="139">
        <v>3.0599999999999998E-3</v>
      </c>
      <c r="J21" s="139">
        <v>823000</v>
      </c>
      <c r="K21" s="139">
        <v>1.02</v>
      </c>
      <c r="L21" s="139">
        <v>1</v>
      </c>
      <c r="M21" s="139">
        <v>0</v>
      </c>
      <c r="N21" s="139">
        <v>105.78</v>
      </c>
      <c r="O21" s="139">
        <v>1</v>
      </c>
      <c r="P21" s="165"/>
      <c r="Q21" s="170"/>
    </row>
    <row r="22" spans="1:17" s="155" customFormat="1" ht="21" customHeight="1" x14ac:dyDescent="0.15">
      <c r="A22" s="163" t="s">
        <v>165</v>
      </c>
      <c r="B22" s="139" t="s">
        <v>163</v>
      </c>
      <c r="C22" s="139" t="s">
        <v>158</v>
      </c>
      <c r="D22" s="139" t="s">
        <v>4</v>
      </c>
      <c r="E22" s="139">
        <v>5</v>
      </c>
      <c r="F22" s="139">
        <v>5.19</v>
      </c>
      <c r="G22" s="139">
        <v>6300</v>
      </c>
      <c r="H22" s="139">
        <v>1.35</v>
      </c>
      <c r="I22" s="139">
        <v>7.5199999999999998E-3</v>
      </c>
      <c r="J22" s="139">
        <v>838000</v>
      </c>
      <c r="K22" s="139">
        <v>1.02</v>
      </c>
      <c r="L22" s="139">
        <v>1</v>
      </c>
      <c r="M22" s="139">
        <v>0</v>
      </c>
      <c r="N22" s="139">
        <v>103.82</v>
      </c>
      <c r="O22" s="139">
        <v>1</v>
      </c>
      <c r="P22" s="165"/>
      <c r="Q22" s="170"/>
    </row>
    <row r="23" spans="1:17" s="155" customFormat="1" ht="21" customHeight="1" x14ac:dyDescent="0.15">
      <c r="A23" s="163" t="s">
        <v>166</v>
      </c>
      <c r="B23" s="139" t="s">
        <v>163</v>
      </c>
      <c r="C23" s="139" t="s">
        <v>158</v>
      </c>
      <c r="D23" s="139" t="s">
        <v>4</v>
      </c>
      <c r="E23" s="139">
        <v>20</v>
      </c>
      <c r="F23" s="139">
        <v>19.7</v>
      </c>
      <c r="G23" s="139">
        <v>24100</v>
      </c>
      <c r="H23" s="139">
        <v>1.35</v>
      </c>
      <c r="I23" s="139">
        <v>2.8500000000000001E-2</v>
      </c>
      <c r="J23" s="139">
        <v>844000</v>
      </c>
      <c r="K23" s="139">
        <v>1.02</v>
      </c>
      <c r="L23" s="139">
        <v>1</v>
      </c>
      <c r="M23" s="139">
        <v>0</v>
      </c>
      <c r="N23" s="139">
        <v>98.27</v>
      </c>
      <c r="O23" s="139">
        <v>1</v>
      </c>
      <c r="P23" s="165"/>
      <c r="Q23" s="170"/>
    </row>
    <row r="24" spans="1:17" s="155" customFormat="1" ht="21" customHeight="1" x14ac:dyDescent="0.15">
      <c r="A24" s="163" t="s">
        <v>167</v>
      </c>
      <c r="B24" s="139" t="s">
        <v>163</v>
      </c>
      <c r="C24" s="139" t="s">
        <v>158</v>
      </c>
      <c r="D24" s="139" t="s">
        <v>4</v>
      </c>
      <c r="E24" s="139">
        <v>100</v>
      </c>
      <c r="F24" s="139">
        <v>107</v>
      </c>
      <c r="G24" s="139">
        <v>127000</v>
      </c>
      <c r="H24" s="139">
        <v>1.34</v>
      </c>
      <c r="I24" s="139">
        <v>0.155</v>
      </c>
      <c r="J24" s="139">
        <v>821000</v>
      </c>
      <c r="K24" s="139">
        <v>1.01</v>
      </c>
      <c r="L24" s="139">
        <v>1</v>
      </c>
      <c r="M24" s="139">
        <v>0</v>
      </c>
      <c r="N24" s="139">
        <v>106.52</v>
      </c>
      <c r="O24" s="139">
        <v>1</v>
      </c>
      <c r="P24" s="165"/>
      <c r="Q24" s="170"/>
    </row>
    <row r="25" spans="1:17" s="155" customFormat="1" ht="21" customHeight="1" x14ac:dyDescent="0.15">
      <c r="A25" s="163" t="s">
        <v>168</v>
      </c>
      <c r="B25" s="139" t="s">
        <v>163</v>
      </c>
      <c r="C25" s="139" t="s">
        <v>158</v>
      </c>
      <c r="D25" s="139" t="s">
        <v>4</v>
      </c>
      <c r="E25" s="139">
        <v>500</v>
      </c>
      <c r="F25" s="139">
        <v>472</v>
      </c>
      <c r="G25" s="139">
        <v>591000</v>
      </c>
      <c r="H25" s="139">
        <v>1.35</v>
      </c>
      <c r="I25" s="139">
        <v>0.68500000000000005</v>
      </c>
      <c r="J25" s="139">
        <v>862000</v>
      </c>
      <c r="K25" s="139">
        <v>1.01</v>
      </c>
      <c r="L25" s="139">
        <v>1</v>
      </c>
      <c r="M25" s="139">
        <v>0</v>
      </c>
      <c r="N25" s="139">
        <v>94.43</v>
      </c>
      <c r="O25" s="139">
        <v>1</v>
      </c>
      <c r="P25" s="165"/>
      <c r="Q25" s="170"/>
    </row>
    <row r="26" spans="1:17" s="155" customFormat="1" ht="21" customHeight="1" x14ac:dyDescent="0.15">
      <c r="A26" s="163" t="s">
        <v>169</v>
      </c>
      <c r="B26" s="139" t="s">
        <v>163</v>
      </c>
      <c r="C26" s="139" t="s">
        <v>158</v>
      </c>
      <c r="D26" s="139" t="s">
        <v>4</v>
      </c>
      <c r="E26" s="139">
        <v>1000</v>
      </c>
      <c r="F26" s="139">
        <v>965</v>
      </c>
      <c r="G26" s="139">
        <v>1190000</v>
      </c>
      <c r="H26" s="139">
        <v>1.35</v>
      </c>
      <c r="I26" s="139">
        <v>1.4</v>
      </c>
      <c r="J26" s="139">
        <v>852000</v>
      </c>
      <c r="K26" s="139">
        <v>1.02</v>
      </c>
      <c r="L26" s="139">
        <v>1</v>
      </c>
      <c r="M26" s="139">
        <v>0</v>
      </c>
      <c r="N26" s="139">
        <v>96.5</v>
      </c>
      <c r="O26" s="139">
        <v>1</v>
      </c>
      <c r="P26" s="165"/>
      <c r="Q26" s="170"/>
    </row>
    <row r="27" spans="1:17" s="155" customFormat="1" ht="21" customHeight="1" x14ac:dyDescent="0.15">
      <c r="A27" s="163" t="s">
        <v>170</v>
      </c>
      <c r="B27" s="139" t="s">
        <v>163</v>
      </c>
      <c r="C27" s="139" t="s">
        <v>158</v>
      </c>
      <c r="D27" s="139" t="s">
        <v>4</v>
      </c>
      <c r="E27" s="139">
        <v>2000</v>
      </c>
      <c r="F27" s="139">
        <v>1970</v>
      </c>
      <c r="G27" s="139">
        <v>2540000</v>
      </c>
      <c r="H27" s="139">
        <v>1.35</v>
      </c>
      <c r="I27" s="139">
        <v>2.85</v>
      </c>
      <c r="J27" s="139">
        <v>889000</v>
      </c>
      <c r="K27" s="139">
        <v>1.02</v>
      </c>
      <c r="L27" s="139">
        <v>1</v>
      </c>
      <c r="M27" s="139">
        <v>0</v>
      </c>
      <c r="N27" s="139">
        <v>98.3</v>
      </c>
      <c r="O27" s="139">
        <v>1</v>
      </c>
      <c r="P27" s="165"/>
      <c r="Q27" s="170"/>
    </row>
    <row r="28" spans="1:17" s="155" customFormat="1" ht="21" customHeight="1" x14ac:dyDescent="0.15">
      <c r="A28" s="163" t="s">
        <v>156</v>
      </c>
      <c r="B28" s="139" t="s">
        <v>157</v>
      </c>
      <c r="C28" s="139" t="s">
        <v>158</v>
      </c>
      <c r="D28" s="139" t="s">
        <v>4</v>
      </c>
      <c r="E28" s="139" t="s">
        <v>159</v>
      </c>
      <c r="F28" s="139" t="e">
        <v>#DIV/0!</v>
      </c>
      <c r="G28" s="139">
        <v>0</v>
      </c>
      <c r="H28" s="139">
        <v>0</v>
      </c>
      <c r="I28" s="139" t="e">
        <v>#DIV/0!</v>
      </c>
      <c r="J28" s="139">
        <v>0</v>
      </c>
      <c r="K28" s="139">
        <v>0</v>
      </c>
      <c r="L28" s="139"/>
      <c r="M28" s="139">
        <v>0</v>
      </c>
      <c r="N28" s="139" t="s">
        <v>159</v>
      </c>
      <c r="O28" s="139">
        <v>1</v>
      </c>
      <c r="P28" s="165"/>
      <c r="Q28" s="170"/>
    </row>
    <row r="29" spans="1:17" s="155" customFormat="1" ht="15" customHeight="1" x14ac:dyDescent="0.15">
      <c r="A29" s="163" t="s">
        <v>156</v>
      </c>
      <c r="B29" s="139" t="s">
        <v>157</v>
      </c>
      <c r="C29" s="139" t="s">
        <v>158</v>
      </c>
      <c r="D29" s="139" t="s">
        <v>4</v>
      </c>
      <c r="E29" s="139" t="s">
        <v>159</v>
      </c>
      <c r="F29" s="139" t="e">
        <v>#DIV/0!</v>
      </c>
      <c r="G29" s="139">
        <v>0</v>
      </c>
      <c r="H29" s="139">
        <v>0</v>
      </c>
      <c r="I29" s="139" t="e">
        <v>#DIV/0!</v>
      </c>
      <c r="J29" s="139">
        <v>0</v>
      </c>
      <c r="K29" s="139">
        <v>0</v>
      </c>
      <c r="L29" s="139"/>
      <c r="M29" s="139">
        <v>0</v>
      </c>
      <c r="N29" s="139" t="s">
        <v>159</v>
      </c>
      <c r="O29" s="139">
        <v>1</v>
      </c>
      <c r="P29" s="165"/>
      <c r="Q29" s="170"/>
    </row>
    <row r="30" spans="1:17" s="155" customFormat="1" ht="15.95" customHeight="1" x14ac:dyDescent="0.15">
      <c r="A30" s="163" t="s">
        <v>156</v>
      </c>
      <c r="B30" s="139" t="s">
        <v>157</v>
      </c>
      <c r="C30" s="139" t="s">
        <v>158</v>
      </c>
      <c r="D30" s="139" t="s">
        <v>4</v>
      </c>
      <c r="E30" s="139" t="s">
        <v>159</v>
      </c>
      <c r="F30" s="139" t="e">
        <v>#DIV/0!</v>
      </c>
      <c r="G30" s="139">
        <v>0</v>
      </c>
      <c r="H30" s="139">
        <v>0</v>
      </c>
      <c r="I30" s="139" t="e">
        <v>#DIV/0!</v>
      </c>
      <c r="J30" s="139">
        <v>0</v>
      </c>
      <c r="K30" s="139">
        <v>0</v>
      </c>
      <c r="L30" s="139"/>
      <c r="M30" s="139">
        <v>0</v>
      </c>
      <c r="N30" s="139" t="s">
        <v>159</v>
      </c>
      <c r="O30" s="139">
        <v>1</v>
      </c>
      <c r="P30" s="165"/>
      <c r="Q30" s="170"/>
    </row>
    <row r="31" spans="1:17" s="155" customFormat="1" ht="15" customHeight="1" x14ac:dyDescent="0.15">
      <c r="A31" s="163" t="s">
        <v>171</v>
      </c>
      <c r="B31" s="139" t="s">
        <v>172</v>
      </c>
      <c r="C31" s="139" t="s">
        <v>158</v>
      </c>
      <c r="D31" s="139" t="s">
        <v>4</v>
      </c>
      <c r="E31" s="139">
        <v>3</v>
      </c>
      <c r="F31" s="139">
        <v>2.94</v>
      </c>
      <c r="G31" s="139">
        <v>3710</v>
      </c>
      <c r="H31" s="139">
        <v>1.35</v>
      </c>
      <c r="I31" s="139">
        <v>4.2599999999999999E-3</v>
      </c>
      <c r="J31" s="139">
        <v>872000</v>
      </c>
      <c r="K31" s="139">
        <v>1.01</v>
      </c>
      <c r="L31" s="139">
        <v>1</v>
      </c>
      <c r="M31" s="139">
        <v>0</v>
      </c>
      <c r="N31" s="139">
        <v>98.1</v>
      </c>
      <c r="O31" s="139">
        <v>1</v>
      </c>
      <c r="P31" s="165"/>
      <c r="Q31" s="170"/>
    </row>
    <row r="32" spans="1:17" s="64" customFormat="1" ht="14.25" customHeight="1" x14ac:dyDescent="0.15">
      <c r="A32" s="163" t="s">
        <v>173</v>
      </c>
      <c r="B32" s="139" t="s">
        <v>172</v>
      </c>
      <c r="C32" s="139" t="s">
        <v>158</v>
      </c>
      <c r="D32" s="139" t="s">
        <v>4</v>
      </c>
      <c r="E32" s="139">
        <v>50</v>
      </c>
      <c r="F32" s="139">
        <v>54.9</v>
      </c>
      <c r="G32" s="139">
        <v>62200</v>
      </c>
      <c r="H32" s="139">
        <v>1.35</v>
      </c>
      <c r="I32" s="139">
        <v>7.9699999999999993E-2</v>
      </c>
      <c r="J32" s="139">
        <v>781000</v>
      </c>
      <c r="K32" s="139">
        <v>1.02</v>
      </c>
      <c r="L32" s="139">
        <v>1</v>
      </c>
      <c r="M32" s="139">
        <v>0</v>
      </c>
      <c r="N32" s="139">
        <v>109.83</v>
      </c>
      <c r="O32" s="139">
        <v>1</v>
      </c>
      <c r="P32" s="165"/>
      <c r="Q32" s="167"/>
    </row>
    <row r="33" spans="1:17" s="64" customFormat="1" ht="14.25" customHeight="1" x14ac:dyDescent="0.15">
      <c r="A33" s="163" t="s">
        <v>174</v>
      </c>
      <c r="B33" s="139" t="s">
        <v>172</v>
      </c>
      <c r="C33" s="139" t="s">
        <v>158</v>
      </c>
      <c r="D33" s="139" t="s">
        <v>4</v>
      </c>
      <c r="E33" s="139">
        <v>1600</v>
      </c>
      <c r="F33" s="139">
        <v>1620</v>
      </c>
      <c r="G33" s="139">
        <v>1970000</v>
      </c>
      <c r="H33" s="139">
        <v>1.34</v>
      </c>
      <c r="I33" s="139">
        <v>2.35</v>
      </c>
      <c r="J33" s="139">
        <v>839000</v>
      </c>
      <c r="K33" s="139">
        <v>1.01</v>
      </c>
      <c r="L33" s="139">
        <v>1</v>
      </c>
      <c r="M33" s="139">
        <v>0</v>
      </c>
      <c r="N33" s="139">
        <v>101.36</v>
      </c>
      <c r="O33" s="139">
        <v>1</v>
      </c>
      <c r="P33" s="165"/>
      <c r="Q33" s="167"/>
    </row>
    <row r="34" spans="1:17" s="64" customFormat="1" ht="14.25" customHeight="1" x14ac:dyDescent="0.15">
      <c r="A34" s="163" t="s">
        <v>175</v>
      </c>
      <c r="B34" s="139" t="s">
        <v>172</v>
      </c>
      <c r="C34" s="139" t="s">
        <v>158</v>
      </c>
      <c r="D34" s="139" t="s">
        <v>4</v>
      </c>
      <c r="E34" s="139">
        <v>10000</v>
      </c>
      <c r="F34" s="139">
        <v>9750</v>
      </c>
      <c r="G34" s="139">
        <v>1160000</v>
      </c>
      <c r="H34" s="139">
        <v>1.35</v>
      </c>
      <c r="I34" s="139">
        <v>1.42</v>
      </c>
      <c r="J34" s="139">
        <v>820000</v>
      </c>
      <c r="K34" s="139">
        <v>1.02</v>
      </c>
      <c r="L34" s="139">
        <v>1</v>
      </c>
      <c r="M34" s="139">
        <v>0</v>
      </c>
      <c r="N34" s="139">
        <v>97.53</v>
      </c>
      <c r="O34" s="139">
        <v>10</v>
      </c>
      <c r="P34" s="165"/>
      <c r="Q34" s="167"/>
    </row>
    <row r="35" spans="1:17" s="64" customFormat="1" ht="14.25" customHeight="1" x14ac:dyDescent="0.15">
      <c r="A35" s="163" t="s">
        <v>176</v>
      </c>
      <c r="B35" s="139" t="s">
        <v>172</v>
      </c>
      <c r="C35" s="139" t="s">
        <v>158</v>
      </c>
      <c r="D35" s="139" t="s">
        <v>4</v>
      </c>
      <c r="E35" s="139">
        <v>10000</v>
      </c>
      <c r="F35" s="139">
        <v>10700</v>
      </c>
      <c r="G35" s="139">
        <v>1250000</v>
      </c>
      <c r="H35" s="139">
        <v>1.35</v>
      </c>
      <c r="I35" s="139">
        <v>1.55</v>
      </c>
      <c r="J35" s="139">
        <v>810000</v>
      </c>
      <c r="K35" s="139">
        <v>1.02</v>
      </c>
      <c r="L35" s="139">
        <v>1</v>
      </c>
      <c r="M35" s="139">
        <v>0</v>
      </c>
      <c r="N35" s="139">
        <v>106.52</v>
      </c>
      <c r="O35" s="139">
        <v>10</v>
      </c>
      <c r="P35" s="165"/>
      <c r="Q35" s="167"/>
    </row>
    <row r="36" spans="1:17" s="64" customFormat="1" ht="14.25" customHeight="1" x14ac:dyDescent="0.15">
      <c r="A36" s="163" t="s">
        <v>177</v>
      </c>
      <c r="B36" s="139" t="s">
        <v>172</v>
      </c>
      <c r="C36" s="139" t="s">
        <v>158</v>
      </c>
      <c r="D36" s="139" t="s">
        <v>4</v>
      </c>
      <c r="E36" s="139">
        <v>10000</v>
      </c>
      <c r="F36" s="139">
        <v>10000</v>
      </c>
      <c r="G36" s="139">
        <v>1240000</v>
      </c>
      <c r="H36" s="139">
        <v>1.34</v>
      </c>
      <c r="I36" s="139">
        <v>1.46</v>
      </c>
      <c r="J36" s="139">
        <v>850000</v>
      </c>
      <c r="K36" s="139">
        <v>1.02</v>
      </c>
      <c r="L36" s="139">
        <v>1</v>
      </c>
      <c r="M36" s="139">
        <v>0</v>
      </c>
      <c r="N36" s="139">
        <v>100.45</v>
      </c>
      <c r="O36" s="139">
        <v>10</v>
      </c>
      <c r="P36" s="165"/>
      <c r="Q36" s="167"/>
    </row>
    <row r="37" spans="1:17" s="64" customFormat="1" ht="14.25" customHeight="1" x14ac:dyDescent="0.15">
      <c r="A37" s="163" t="s">
        <v>178</v>
      </c>
      <c r="B37" s="139" t="s">
        <v>172</v>
      </c>
      <c r="C37" s="139" t="s">
        <v>158</v>
      </c>
      <c r="D37" s="139" t="s">
        <v>4</v>
      </c>
      <c r="E37" s="139">
        <v>250</v>
      </c>
      <c r="F37" s="139">
        <v>239</v>
      </c>
      <c r="G37" s="139">
        <v>282000</v>
      </c>
      <c r="H37" s="139">
        <v>1.34</v>
      </c>
      <c r="I37" s="139">
        <v>0.34699999999999998</v>
      </c>
      <c r="J37" s="139">
        <v>815000</v>
      </c>
      <c r="K37" s="139">
        <v>1.01</v>
      </c>
      <c r="L37" s="139">
        <v>1</v>
      </c>
      <c r="M37" s="139">
        <v>0</v>
      </c>
      <c r="N37" s="139">
        <v>95.56</v>
      </c>
      <c r="O37" s="139">
        <v>1</v>
      </c>
      <c r="P37" s="165"/>
      <c r="Q37" s="167"/>
    </row>
    <row r="38" spans="1:17" s="64" customFormat="1" ht="14.25" customHeight="1" x14ac:dyDescent="0.15">
      <c r="A38" s="163" t="s">
        <v>179</v>
      </c>
      <c r="B38" s="139" t="s">
        <v>172</v>
      </c>
      <c r="C38" s="139" t="s">
        <v>158</v>
      </c>
      <c r="D38" s="139" t="s">
        <v>4</v>
      </c>
      <c r="E38" s="139">
        <v>250</v>
      </c>
      <c r="F38" s="139">
        <v>253</v>
      </c>
      <c r="G38" s="139">
        <v>293000</v>
      </c>
      <c r="H38" s="139">
        <v>1.34</v>
      </c>
      <c r="I38" s="139">
        <v>0.36699999999999999</v>
      </c>
      <c r="J38" s="139">
        <v>799000</v>
      </c>
      <c r="K38" s="139">
        <v>1.01</v>
      </c>
      <c r="L38" s="139">
        <v>1</v>
      </c>
      <c r="M38" s="139">
        <v>0</v>
      </c>
      <c r="N38" s="139">
        <v>101.2</v>
      </c>
      <c r="O38" s="139">
        <v>1</v>
      </c>
      <c r="P38" s="165"/>
      <c r="Q38" s="167"/>
    </row>
    <row r="39" spans="1:17" s="64" customFormat="1" ht="14.25" customHeight="1" x14ac:dyDescent="0.15">
      <c r="A39" s="163" t="s">
        <v>180</v>
      </c>
      <c r="B39" s="139" t="s">
        <v>172</v>
      </c>
      <c r="C39" s="139" t="s">
        <v>158</v>
      </c>
      <c r="D39" s="139" t="s">
        <v>4</v>
      </c>
      <c r="E39" s="139">
        <v>250</v>
      </c>
      <c r="F39" s="139">
        <v>223</v>
      </c>
      <c r="G39" s="139">
        <v>271000</v>
      </c>
      <c r="H39" s="139">
        <v>1.35</v>
      </c>
      <c r="I39" s="139">
        <v>0.32300000000000001</v>
      </c>
      <c r="J39" s="139">
        <v>839000</v>
      </c>
      <c r="K39" s="139">
        <v>1.02</v>
      </c>
      <c r="L39" s="139">
        <v>1</v>
      </c>
      <c r="M39" s="139">
        <v>0</v>
      </c>
      <c r="N39" s="139">
        <v>89.12</v>
      </c>
      <c r="O39" s="139">
        <v>1</v>
      </c>
      <c r="P39" s="165"/>
      <c r="Q39" s="167"/>
    </row>
    <row r="40" spans="1:17" s="64" customFormat="1" ht="14.25" customHeight="1" x14ac:dyDescent="0.15">
      <c r="A40" s="163" t="s">
        <v>156</v>
      </c>
      <c r="B40" s="139" t="s">
        <v>157</v>
      </c>
      <c r="C40" s="139" t="s">
        <v>158</v>
      </c>
      <c r="D40" s="139" t="s">
        <v>4</v>
      </c>
      <c r="E40" s="139" t="s">
        <v>159</v>
      </c>
      <c r="F40" s="139" t="e">
        <v>#DIV/0!</v>
      </c>
      <c r="G40" s="139">
        <v>0</v>
      </c>
      <c r="H40" s="139">
        <v>0</v>
      </c>
      <c r="I40" s="139" t="e">
        <v>#DIV/0!</v>
      </c>
      <c r="J40" s="139">
        <v>0</v>
      </c>
      <c r="K40" s="139">
        <v>0</v>
      </c>
      <c r="L40" s="139"/>
      <c r="M40" s="139">
        <v>0</v>
      </c>
      <c r="N40" s="139" t="s">
        <v>159</v>
      </c>
      <c r="O40" s="139">
        <v>1</v>
      </c>
      <c r="P40" s="165"/>
      <c r="Q40" s="167"/>
    </row>
    <row r="41" spans="1:17" s="64" customFormat="1" ht="14.25" customHeight="1" x14ac:dyDescent="0.15">
      <c r="A41" s="163" t="s">
        <v>156</v>
      </c>
      <c r="B41" s="139" t="s">
        <v>157</v>
      </c>
      <c r="C41" s="139" t="s">
        <v>158</v>
      </c>
      <c r="D41" s="139" t="s">
        <v>4</v>
      </c>
      <c r="E41" s="139" t="s">
        <v>159</v>
      </c>
      <c r="F41" s="139" t="e">
        <v>#DIV/0!</v>
      </c>
      <c r="G41" s="139">
        <v>0</v>
      </c>
      <c r="H41" s="139">
        <v>0</v>
      </c>
      <c r="I41" s="139" t="e">
        <v>#DIV/0!</v>
      </c>
      <c r="J41" s="139">
        <v>0</v>
      </c>
      <c r="K41" s="139">
        <v>0</v>
      </c>
      <c r="L41" s="139"/>
      <c r="M41" s="139">
        <v>0</v>
      </c>
      <c r="N41" s="139" t="s">
        <v>159</v>
      </c>
      <c r="O41" s="139">
        <v>1</v>
      </c>
      <c r="P41" s="165"/>
      <c r="Q41" s="167"/>
    </row>
    <row r="42" spans="1:17" s="64" customFormat="1" ht="14.25" customHeight="1" x14ac:dyDescent="0.15">
      <c r="A42" s="163" t="s">
        <v>181</v>
      </c>
      <c r="B42" s="139" t="s">
        <v>157</v>
      </c>
      <c r="C42" s="139" t="s">
        <v>158</v>
      </c>
      <c r="D42" s="139" t="s">
        <v>4</v>
      </c>
      <c r="E42" s="139" t="s">
        <v>159</v>
      </c>
      <c r="F42" s="139">
        <v>3.67</v>
      </c>
      <c r="G42" s="139">
        <v>5180</v>
      </c>
      <c r="H42" s="139">
        <v>1.35</v>
      </c>
      <c r="I42" s="139">
        <v>5.3099999999999996E-3</v>
      </c>
      <c r="J42" s="139">
        <v>975000</v>
      </c>
      <c r="K42" s="139">
        <v>1.02</v>
      </c>
      <c r="L42" s="139"/>
      <c r="M42" s="139">
        <v>0</v>
      </c>
      <c r="N42" s="139" t="s">
        <v>159</v>
      </c>
      <c r="O42" s="139">
        <v>1</v>
      </c>
      <c r="P42" s="165"/>
      <c r="Q42" s="167"/>
    </row>
    <row r="43" spans="1:17" s="64" customFormat="1" ht="14.25" customHeight="1" x14ac:dyDescent="0.15">
      <c r="A43" s="163" t="s">
        <v>182</v>
      </c>
      <c r="B43" s="139" t="s">
        <v>157</v>
      </c>
      <c r="C43" s="139" t="s">
        <v>158</v>
      </c>
      <c r="D43" s="139" t="s">
        <v>4</v>
      </c>
      <c r="E43" s="139" t="s">
        <v>159</v>
      </c>
      <c r="F43" s="139">
        <v>0.83099999999999996</v>
      </c>
      <c r="G43" s="139">
        <v>1100</v>
      </c>
      <c r="H43" s="139">
        <v>1.35</v>
      </c>
      <c r="I43" s="139">
        <v>1.1900000000000001E-3</v>
      </c>
      <c r="J43" s="139">
        <v>923000</v>
      </c>
      <c r="K43" s="139">
        <v>1.01</v>
      </c>
      <c r="L43" s="139"/>
      <c r="M43" s="139">
        <v>0</v>
      </c>
      <c r="N43" s="139" t="s">
        <v>159</v>
      </c>
      <c r="O43" s="139">
        <v>1</v>
      </c>
      <c r="P43" s="165"/>
      <c r="Q43" s="167"/>
    </row>
    <row r="44" spans="1:17" s="64" customFormat="1" ht="18" customHeight="1" x14ac:dyDescent="0.15">
      <c r="A44" s="163" t="s">
        <v>183</v>
      </c>
      <c r="B44" s="139" t="s">
        <v>157</v>
      </c>
      <c r="C44" s="139" t="s">
        <v>158</v>
      </c>
      <c r="D44" s="139" t="s">
        <v>4</v>
      </c>
      <c r="E44" s="139" t="s">
        <v>159</v>
      </c>
      <c r="F44" s="139">
        <v>1.75</v>
      </c>
      <c r="G44" s="139">
        <v>2420</v>
      </c>
      <c r="H44" s="139">
        <v>1.35</v>
      </c>
      <c r="I44" s="139">
        <v>2.5200000000000001E-3</v>
      </c>
      <c r="J44" s="139">
        <v>957000</v>
      </c>
      <c r="K44" s="139">
        <v>1.02</v>
      </c>
      <c r="L44" s="139"/>
      <c r="M44" s="139">
        <v>0</v>
      </c>
      <c r="N44" s="139" t="s">
        <v>159</v>
      </c>
      <c r="O44" s="139">
        <v>1</v>
      </c>
      <c r="P44" s="165"/>
      <c r="Q44" s="167"/>
    </row>
    <row r="45" spans="1:17" s="64" customFormat="1" ht="18" customHeight="1" x14ac:dyDescent="0.15">
      <c r="A45" s="163" t="s">
        <v>184</v>
      </c>
      <c r="B45" s="139" t="s">
        <v>157</v>
      </c>
      <c r="C45" s="139" t="s">
        <v>158</v>
      </c>
      <c r="D45" s="139" t="s">
        <v>4</v>
      </c>
      <c r="E45" s="139" t="s">
        <v>159</v>
      </c>
      <c r="F45" s="139">
        <v>455</v>
      </c>
      <c r="G45" s="139">
        <v>65700</v>
      </c>
      <c r="H45" s="139">
        <v>1.35</v>
      </c>
      <c r="I45" s="139">
        <v>6.6000000000000003E-2</v>
      </c>
      <c r="J45" s="139">
        <v>995000</v>
      </c>
      <c r="K45" s="139">
        <v>1.02</v>
      </c>
      <c r="L45" s="139"/>
      <c r="M45" s="139">
        <v>0</v>
      </c>
      <c r="N45" s="139" t="s">
        <v>159</v>
      </c>
      <c r="O45" s="139">
        <v>10</v>
      </c>
      <c r="P45" s="165"/>
      <c r="Q45" s="167"/>
    </row>
    <row r="46" spans="1:17" s="64" customFormat="1" ht="18" customHeight="1" x14ac:dyDescent="0.15">
      <c r="A46" s="163" t="s">
        <v>185</v>
      </c>
      <c r="B46" s="139" t="s">
        <v>157</v>
      </c>
      <c r="C46" s="139" t="s">
        <v>158</v>
      </c>
      <c r="D46" s="139" t="s">
        <v>4</v>
      </c>
      <c r="E46" s="139" t="s">
        <v>159</v>
      </c>
      <c r="F46" s="139">
        <v>614</v>
      </c>
      <c r="G46" s="139">
        <v>82000</v>
      </c>
      <c r="H46" s="139">
        <v>1.35</v>
      </c>
      <c r="I46" s="139">
        <v>8.8999999999999996E-2</v>
      </c>
      <c r="J46" s="139">
        <v>921000</v>
      </c>
      <c r="K46" s="139">
        <v>1.02</v>
      </c>
      <c r="L46" s="139"/>
      <c r="M46" s="139">
        <v>0</v>
      </c>
      <c r="N46" s="139" t="s">
        <v>159</v>
      </c>
      <c r="O46" s="139">
        <v>10</v>
      </c>
      <c r="P46" s="165"/>
      <c r="Q46" s="167"/>
    </row>
    <row r="47" spans="1:17" s="64" customFormat="1" ht="18" customHeight="1" x14ac:dyDescent="0.15">
      <c r="A47" s="163" t="s">
        <v>186</v>
      </c>
      <c r="B47" s="139" t="s">
        <v>157</v>
      </c>
      <c r="C47" s="139" t="s">
        <v>158</v>
      </c>
      <c r="D47" s="139" t="s">
        <v>4</v>
      </c>
      <c r="E47" s="139" t="s">
        <v>159</v>
      </c>
      <c r="F47" s="139">
        <v>383</v>
      </c>
      <c r="G47" s="139">
        <v>51300</v>
      </c>
      <c r="H47" s="139">
        <v>1.35</v>
      </c>
      <c r="I47" s="139">
        <v>5.5500000000000001E-2</v>
      </c>
      <c r="J47" s="139">
        <v>923000</v>
      </c>
      <c r="K47" s="139">
        <v>1.02</v>
      </c>
      <c r="L47" s="139"/>
      <c r="M47" s="139">
        <v>0</v>
      </c>
      <c r="N47" s="139" t="s">
        <v>159</v>
      </c>
      <c r="O47" s="139">
        <v>10</v>
      </c>
      <c r="P47" s="165"/>
      <c r="Q47" s="167"/>
    </row>
    <row r="48" spans="1:17" s="64" customFormat="1" ht="18" customHeight="1" x14ac:dyDescent="0.15">
      <c r="A48" s="163" t="s">
        <v>187</v>
      </c>
      <c r="B48" s="139" t="s">
        <v>157</v>
      </c>
      <c r="C48" s="139" t="s">
        <v>158</v>
      </c>
      <c r="D48" s="139" t="s">
        <v>4</v>
      </c>
      <c r="E48" s="139" t="s">
        <v>159</v>
      </c>
      <c r="F48" s="139">
        <v>726</v>
      </c>
      <c r="G48" s="139">
        <v>100000</v>
      </c>
      <c r="H48" s="139">
        <v>1.35</v>
      </c>
      <c r="I48" s="139">
        <v>0.105</v>
      </c>
      <c r="J48" s="139">
        <v>953000</v>
      </c>
      <c r="K48" s="139">
        <v>1.02</v>
      </c>
      <c r="L48" s="139"/>
      <c r="M48" s="139">
        <v>0</v>
      </c>
      <c r="N48" s="139" t="s">
        <v>159</v>
      </c>
      <c r="O48" s="139">
        <v>10</v>
      </c>
      <c r="P48" s="165"/>
      <c r="Q48" s="167"/>
    </row>
    <row r="49" spans="1:17" s="64" customFormat="1" ht="18" customHeight="1" x14ac:dyDescent="0.15">
      <c r="A49" s="163" t="s">
        <v>188</v>
      </c>
      <c r="B49" s="139" t="s">
        <v>157</v>
      </c>
      <c r="C49" s="139" t="s">
        <v>158</v>
      </c>
      <c r="D49" s="139" t="s">
        <v>4</v>
      </c>
      <c r="E49" s="139" t="s">
        <v>159</v>
      </c>
      <c r="F49" s="139">
        <v>885</v>
      </c>
      <c r="G49" s="139">
        <v>112000</v>
      </c>
      <c r="H49" s="139">
        <v>1.35</v>
      </c>
      <c r="I49" s="139">
        <v>0.128</v>
      </c>
      <c r="J49" s="139">
        <v>874000</v>
      </c>
      <c r="K49" s="139">
        <v>1.02</v>
      </c>
      <c r="L49" s="139"/>
      <c r="M49" s="139">
        <v>0</v>
      </c>
      <c r="N49" s="139" t="s">
        <v>159</v>
      </c>
      <c r="O49" s="139">
        <v>10</v>
      </c>
      <c r="P49" s="165"/>
      <c r="Q49" s="167"/>
    </row>
    <row r="50" spans="1:17" s="64" customFormat="1" ht="18" customHeight="1" x14ac:dyDescent="0.15">
      <c r="A50" s="163" t="s">
        <v>189</v>
      </c>
      <c r="B50" s="139" t="s">
        <v>157</v>
      </c>
      <c r="C50" s="139" t="s">
        <v>158</v>
      </c>
      <c r="D50" s="139" t="s">
        <v>4</v>
      </c>
      <c r="E50" s="139" t="s">
        <v>159</v>
      </c>
      <c r="F50" s="139">
        <v>670</v>
      </c>
      <c r="G50" s="139">
        <v>90300</v>
      </c>
      <c r="H50" s="139">
        <v>1.35</v>
      </c>
      <c r="I50" s="139">
        <v>9.7100000000000006E-2</v>
      </c>
      <c r="J50" s="139">
        <v>930000</v>
      </c>
      <c r="K50" s="139">
        <v>1.02</v>
      </c>
      <c r="L50" s="139"/>
      <c r="M50" s="139">
        <v>0</v>
      </c>
      <c r="N50" s="139" t="s">
        <v>159</v>
      </c>
      <c r="O50" s="139">
        <v>10</v>
      </c>
      <c r="P50" s="165"/>
      <c r="Q50" s="167"/>
    </row>
    <row r="51" spans="1:17" s="64" customFormat="1" ht="18" customHeight="1" x14ac:dyDescent="0.15">
      <c r="A51" s="163" t="s">
        <v>190</v>
      </c>
      <c r="B51" s="139" t="s">
        <v>157</v>
      </c>
      <c r="C51" s="139" t="s">
        <v>158</v>
      </c>
      <c r="D51" s="139" t="s">
        <v>4</v>
      </c>
      <c r="E51" s="139" t="s">
        <v>159</v>
      </c>
      <c r="F51" s="139">
        <v>1010</v>
      </c>
      <c r="G51" s="139">
        <v>124000</v>
      </c>
      <c r="H51" s="139">
        <v>1.35</v>
      </c>
      <c r="I51" s="139">
        <v>0.14699999999999999</v>
      </c>
      <c r="J51" s="139">
        <v>844000</v>
      </c>
      <c r="K51" s="139">
        <v>1.02</v>
      </c>
      <c r="L51" s="139"/>
      <c r="M51" s="139">
        <v>0</v>
      </c>
      <c r="N51" s="139" t="s">
        <v>159</v>
      </c>
      <c r="O51" s="139">
        <v>10</v>
      </c>
      <c r="P51" s="165"/>
      <c r="Q51" s="167"/>
    </row>
    <row r="52" spans="1:17" s="64" customFormat="1" ht="18" customHeight="1" x14ac:dyDescent="0.15">
      <c r="A52" s="163" t="s">
        <v>191</v>
      </c>
      <c r="B52" s="139" t="s">
        <v>157</v>
      </c>
      <c r="C52" s="139" t="s">
        <v>158</v>
      </c>
      <c r="D52" s="139" t="s">
        <v>4</v>
      </c>
      <c r="E52" s="139" t="s">
        <v>159</v>
      </c>
      <c r="F52" s="139">
        <v>1470</v>
      </c>
      <c r="G52" s="139">
        <v>173000</v>
      </c>
      <c r="H52" s="139">
        <v>1.35</v>
      </c>
      <c r="I52" s="139">
        <v>0.21299999999999999</v>
      </c>
      <c r="J52" s="139">
        <v>812000</v>
      </c>
      <c r="K52" s="139">
        <v>1.02</v>
      </c>
      <c r="L52" s="139"/>
      <c r="M52" s="139">
        <v>0</v>
      </c>
      <c r="N52" s="139" t="s">
        <v>159</v>
      </c>
      <c r="O52" s="139">
        <v>10</v>
      </c>
      <c r="P52" s="165"/>
      <c r="Q52" s="167"/>
    </row>
    <row r="53" spans="1:17" s="64" customFormat="1" ht="18" customHeight="1" x14ac:dyDescent="0.15">
      <c r="A53" s="163" t="s">
        <v>192</v>
      </c>
      <c r="B53" s="139" t="s">
        <v>157</v>
      </c>
      <c r="C53" s="139" t="s">
        <v>158</v>
      </c>
      <c r="D53" s="139" t="s">
        <v>4</v>
      </c>
      <c r="E53" s="139" t="s">
        <v>159</v>
      </c>
      <c r="F53" s="139">
        <v>1050</v>
      </c>
      <c r="G53" s="139">
        <v>140000</v>
      </c>
      <c r="H53" s="139">
        <v>1.35</v>
      </c>
      <c r="I53" s="139">
        <v>0.152</v>
      </c>
      <c r="J53" s="139">
        <v>921000</v>
      </c>
      <c r="K53" s="139">
        <v>1.02</v>
      </c>
      <c r="L53" s="139"/>
      <c r="M53" s="139">
        <v>0</v>
      </c>
      <c r="N53" s="139" t="s">
        <v>159</v>
      </c>
      <c r="O53" s="139">
        <v>10</v>
      </c>
      <c r="P53" s="165"/>
      <c r="Q53" s="167"/>
    </row>
    <row r="54" spans="1:17" s="64" customFormat="1" ht="18" customHeight="1" x14ac:dyDescent="0.15">
      <c r="A54" s="163" t="s">
        <v>193</v>
      </c>
      <c r="B54" s="139" t="s">
        <v>157</v>
      </c>
      <c r="C54" s="139" t="s">
        <v>158</v>
      </c>
      <c r="D54" s="139" t="s">
        <v>4</v>
      </c>
      <c r="E54" s="139" t="s">
        <v>159</v>
      </c>
      <c r="F54" s="139">
        <v>1270</v>
      </c>
      <c r="G54" s="139">
        <v>164000</v>
      </c>
      <c r="H54" s="139">
        <v>1.34</v>
      </c>
      <c r="I54" s="139">
        <v>0.184</v>
      </c>
      <c r="J54" s="139">
        <v>887000</v>
      </c>
      <c r="K54" s="139">
        <v>1.01</v>
      </c>
      <c r="L54" s="139"/>
      <c r="M54" s="139">
        <v>0</v>
      </c>
      <c r="N54" s="139" t="s">
        <v>159</v>
      </c>
      <c r="O54" s="139">
        <v>10</v>
      </c>
      <c r="P54" s="165"/>
      <c r="Q54" s="167"/>
    </row>
    <row r="55" spans="1:17" s="64" customFormat="1" ht="18" customHeight="1" x14ac:dyDescent="0.15">
      <c r="A55" s="163" t="s">
        <v>194</v>
      </c>
      <c r="B55" s="139" t="s">
        <v>157</v>
      </c>
      <c r="C55" s="139" t="s">
        <v>158</v>
      </c>
      <c r="D55" s="139" t="s">
        <v>4</v>
      </c>
      <c r="E55" s="139" t="s">
        <v>159</v>
      </c>
      <c r="F55" s="139">
        <v>1370</v>
      </c>
      <c r="G55" s="139">
        <v>181000</v>
      </c>
      <c r="H55" s="139">
        <v>1.34</v>
      </c>
      <c r="I55" s="139">
        <v>0.19900000000000001</v>
      </c>
      <c r="J55" s="139">
        <v>909000</v>
      </c>
      <c r="K55" s="139">
        <v>1.01</v>
      </c>
      <c r="L55" s="139"/>
      <c r="M55" s="139">
        <v>0</v>
      </c>
      <c r="N55" s="139" t="s">
        <v>159</v>
      </c>
      <c r="O55" s="139">
        <v>10</v>
      </c>
      <c r="P55" s="165"/>
      <c r="Q55" s="167"/>
    </row>
    <row r="56" spans="1:17" s="64" customFormat="1" ht="18" customHeight="1" x14ac:dyDescent="0.15">
      <c r="A56" s="163" t="s">
        <v>195</v>
      </c>
      <c r="B56" s="139" t="s">
        <v>157</v>
      </c>
      <c r="C56" s="139" t="s">
        <v>158</v>
      </c>
      <c r="D56" s="139" t="s">
        <v>4</v>
      </c>
      <c r="E56" s="139" t="s">
        <v>159</v>
      </c>
      <c r="F56" s="139">
        <v>1180</v>
      </c>
      <c r="G56" s="139">
        <v>167000</v>
      </c>
      <c r="H56" s="139">
        <v>1.35</v>
      </c>
      <c r="I56" s="139">
        <v>0.17199999999999999</v>
      </c>
      <c r="J56" s="139">
        <v>975000</v>
      </c>
      <c r="K56" s="139">
        <v>1.02</v>
      </c>
      <c r="L56" s="139"/>
      <c r="M56" s="139">
        <v>0</v>
      </c>
      <c r="N56" s="139" t="s">
        <v>159</v>
      </c>
      <c r="O56" s="139">
        <v>10</v>
      </c>
      <c r="P56" s="165"/>
      <c r="Q56" s="167"/>
    </row>
    <row r="57" spans="1:17" s="64" customFormat="1" ht="18" customHeight="1" x14ac:dyDescent="0.15">
      <c r="A57" s="163" t="s">
        <v>196</v>
      </c>
      <c r="B57" s="139" t="s">
        <v>157</v>
      </c>
      <c r="C57" s="139" t="s">
        <v>158</v>
      </c>
      <c r="D57" s="139" t="s">
        <v>4</v>
      </c>
      <c r="E57" s="139" t="s">
        <v>159</v>
      </c>
      <c r="F57" s="139">
        <v>1140</v>
      </c>
      <c r="G57" s="139">
        <v>159000</v>
      </c>
      <c r="H57" s="139">
        <v>1.35</v>
      </c>
      <c r="I57" s="139">
        <v>0.16600000000000001</v>
      </c>
      <c r="J57" s="139">
        <v>955000</v>
      </c>
      <c r="K57" s="139">
        <v>1.02</v>
      </c>
      <c r="L57" s="139"/>
      <c r="M57" s="139">
        <v>0</v>
      </c>
      <c r="N57" s="139" t="s">
        <v>159</v>
      </c>
      <c r="O57" s="139">
        <v>10</v>
      </c>
      <c r="P57" s="165"/>
      <c r="Q57" s="167"/>
    </row>
    <row r="58" spans="1:17" s="64" customFormat="1" ht="18" customHeight="1" x14ac:dyDescent="0.15">
      <c r="A58" s="163" t="s">
        <v>197</v>
      </c>
      <c r="B58" s="139" t="s">
        <v>157</v>
      </c>
      <c r="C58" s="139" t="s">
        <v>158</v>
      </c>
      <c r="D58" s="139" t="s">
        <v>4</v>
      </c>
      <c r="E58" s="139" t="s">
        <v>159</v>
      </c>
      <c r="F58" s="139">
        <v>1150</v>
      </c>
      <c r="G58" s="139">
        <v>161000</v>
      </c>
      <c r="H58" s="139">
        <v>1.35</v>
      </c>
      <c r="I58" s="139">
        <v>0.16700000000000001</v>
      </c>
      <c r="J58" s="139">
        <v>963000</v>
      </c>
      <c r="K58" s="139">
        <v>1.02</v>
      </c>
      <c r="L58" s="139"/>
      <c r="M58" s="139">
        <v>0</v>
      </c>
      <c r="N58" s="139" t="s">
        <v>159</v>
      </c>
      <c r="O58" s="139">
        <v>10</v>
      </c>
      <c r="P58" s="165"/>
      <c r="Q58" s="167"/>
    </row>
    <row r="59" spans="1:17" s="64" customFormat="1" ht="18" customHeight="1" x14ac:dyDescent="0.15">
      <c r="A59" s="163" t="s">
        <v>198</v>
      </c>
      <c r="B59" s="139" t="s">
        <v>157</v>
      </c>
      <c r="C59" s="139" t="s">
        <v>158</v>
      </c>
      <c r="D59" s="139" t="s">
        <v>4</v>
      </c>
      <c r="E59" s="139" t="s">
        <v>159</v>
      </c>
      <c r="F59" s="139">
        <v>1390</v>
      </c>
      <c r="G59" s="139">
        <v>200000</v>
      </c>
      <c r="H59" s="139">
        <v>1.35</v>
      </c>
      <c r="I59" s="139">
        <v>0.20200000000000001</v>
      </c>
      <c r="J59" s="139">
        <v>991000</v>
      </c>
      <c r="K59" s="139">
        <v>1.02</v>
      </c>
      <c r="L59" s="139"/>
      <c r="M59" s="139">
        <v>0</v>
      </c>
      <c r="N59" s="139" t="s">
        <v>159</v>
      </c>
      <c r="O59" s="139">
        <v>10</v>
      </c>
      <c r="P59" s="165"/>
      <c r="Q59" s="167"/>
    </row>
    <row r="60" spans="1:17" s="64" customFormat="1" ht="18" customHeight="1" x14ac:dyDescent="0.15">
      <c r="A60" s="163" t="s">
        <v>199</v>
      </c>
      <c r="B60" s="139" t="s">
        <v>157</v>
      </c>
      <c r="C60" s="139" t="s">
        <v>158</v>
      </c>
      <c r="D60" s="139" t="s">
        <v>4</v>
      </c>
      <c r="E60" s="139" t="s">
        <v>159</v>
      </c>
      <c r="F60" s="139">
        <v>1090</v>
      </c>
      <c r="G60" s="139">
        <v>148000</v>
      </c>
      <c r="H60" s="139">
        <v>1.34</v>
      </c>
      <c r="I60" s="139">
        <v>0.158</v>
      </c>
      <c r="J60" s="139">
        <v>935000</v>
      </c>
      <c r="K60" s="139">
        <v>1.01</v>
      </c>
      <c r="L60" s="139"/>
      <c r="M60" s="139">
        <v>0</v>
      </c>
      <c r="N60" s="139" t="s">
        <v>159</v>
      </c>
      <c r="O60" s="139">
        <v>10</v>
      </c>
      <c r="P60" s="165"/>
      <c r="Q60" s="167"/>
    </row>
    <row r="61" spans="1:17" s="64" customFormat="1" ht="18" customHeight="1" x14ac:dyDescent="0.15">
      <c r="A61" s="163" t="s">
        <v>200</v>
      </c>
      <c r="B61" s="139" t="s">
        <v>157</v>
      </c>
      <c r="C61" s="139" t="s">
        <v>158</v>
      </c>
      <c r="D61" s="139" t="s">
        <v>4</v>
      </c>
      <c r="E61" s="139" t="s">
        <v>159</v>
      </c>
      <c r="F61" s="139">
        <v>1470</v>
      </c>
      <c r="G61" s="139">
        <v>194000</v>
      </c>
      <c r="H61" s="139">
        <v>1.35</v>
      </c>
      <c r="I61" s="139">
        <v>0.21299999999999999</v>
      </c>
      <c r="J61" s="139">
        <v>911000</v>
      </c>
      <c r="K61" s="139">
        <v>1.02</v>
      </c>
      <c r="L61" s="139"/>
      <c r="M61" s="139">
        <v>0</v>
      </c>
      <c r="N61" s="139" t="s">
        <v>159</v>
      </c>
      <c r="O61" s="139">
        <v>10</v>
      </c>
      <c r="P61" s="165"/>
      <c r="Q61" s="167"/>
    </row>
    <row r="62" spans="1:17" s="64" customFormat="1" ht="18" customHeight="1" x14ac:dyDescent="0.15">
      <c r="A62" s="163" t="s">
        <v>201</v>
      </c>
      <c r="B62" s="139" t="s">
        <v>157</v>
      </c>
      <c r="C62" s="139" t="s">
        <v>158</v>
      </c>
      <c r="D62" s="139" t="s">
        <v>4</v>
      </c>
      <c r="E62" s="139" t="s">
        <v>159</v>
      </c>
      <c r="F62" s="139">
        <v>1440</v>
      </c>
      <c r="G62" s="139">
        <v>208000</v>
      </c>
      <c r="H62" s="139">
        <v>1.35</v>
      </c>
      <c r="I62" s="139">
        <v>0.20899999999999999</v>
      </c>
      <c r="J62" s="139">
        <v>996000</v>
      </c>
      <c r="K62" s="139">
        <v>1.02</v>
      </c>
      <c r="L62" s="139"/>
      <c r="M62" s="139">
        <v>0</v>
      </c>
      <c r="N62" s="139" t="s">
        <v>159</v>
      </c>
      <c r="O62" s="139">
        <v>10</v>
      </c>
      <c r="P62" s="165"/>
      <c r="Q62" s="167"/>
    </row>
    <row r="63" spans="1:17" s="64" customFormat="1" ht="18" customHeight="1" x14ac:dyDescent="0.15">
      <c r="A63" s="163" t="s">
        <v>202</v>
      </c>
      <c r="B63" s="139" t="s">
        <v>157</v>
      </c>
      <c r="C63" s="139" t="s">
        <v>158</v>
      </c>
      <c r="D63" s="139" t="s">
        <v>4</v>
      </c>
      <c r="E63" s="139" t="s">
        <v>159</v>
      </c>
      <c r="F63" s="139">
        <v>601</v>
      </c>
      <c r="G63" s="139">
        <v>76900</v>
      </c>
      <c r="H63" s="139">
        <v>1.35</v>
      </c>
      <c r="I63" s="139">
        <v>8.72E-2</v>
      </c>
      <c r="J63" s="139">
        <v>881000</v>
      </c>
      <c r="K63" s="139">
        <v>1.02</v>
      </c>
      <c r="L63" s="139"/>
      <c r="M63" s="139">
        <v>0</v>
      </c>
      <c r="N63" s="139" t="s">
        <v>159</v>
      </c>
      <c r="O63" s="139">
        <v>10</v>
      </c>
      <c r="P63" s="165"/>
      <c r="Q63" s="167"/>
    </row>
    <row r="64" spans="1:17" s="64" customFormat="1" ht="18" customHeight="1" x14ac:dyDescent="0.15">
      <c r="A64" s="163" t="s">
        <v>203</v>
      </c>
      <c r="B64" s="139" t="s">
        <v>157</v>
      </c>
      <c r="C64" s="139" t="s">
        <v>158</v>
      </c>
      <c r="D64" s="139" t="s">
        <v>4</v>
      </c>
      <c r="E64" s="139" t="s">
        <v>159</v>
      </c>
      <c r="F64" s="139">
        <v>1240</v>
      </c>
      <c r="G64" s="139">
        <v>157000</v>
      </c>
      <c r="H64" s="139">
        <v>1.35</v>
      </c>
      <c r="I64" s="139">
        <v>0.17899999999999999</v>
      </c>
      <c r="J64" s="139">
        <v>876000</v>
      </c>
      <c r="K64" s="139">
        <v>1.02</v>
      </c>
      <c r="L64" s="139"/>
      <c r="M64" s="139">
        <v>0</v>
      </c>
      <c r="N64" s="139" t="s">
        <v>159</v>
      </c>
      <c r="O64" s="139">
        <v>10</v>
      </c>
      <c r="P64" s="165"/>
      <c r="Q64" s="167"/>
    </row>
    <row r="65" spans="1:17" s="64" customFormat="1" ht="18" customHeight="1" x14ac:dyDescent="0.15">
      <c r="A65" s="163" t="s">
        <v>204</v>
      </c>
      <c r="B65" s="139" t="s">
        <v>157</v>
      </c>
      <c r="C65" s="139" t="s">
        <v>158</v>
      </c>
      <c r="D65" s="139" t="s">
        <v>4</v>
      </c>
      <c r="E65" s="139" t="s">
        <v>159</v>
      </c>
      <c r="F65" s="139">
        <v>790</v>
      </c>
      <c r="G65" s="139">
        <v>109000</v>
      </c>
      <c r="H65" s="139">
        <v>1.34</v>
      </c>
      <c r="I65" s="139">
        <v>0.115</v>
      </c>
      <c r="J65" s="139">
        <v>954000</v>
      </c>
      <c r="K65" s="139">
        <v>1.01</v>
      </c>
      <c r="L65" s="139"/>
      <c r="M65" s="139">
        <v>0</v>
      </c>
      <c r="N65" s="139" t="s">
        <v>159</v>
      </c>
      <c r="O65" s="139">
        <v>10</v>
      </c>
      <c r="P65" s="165"/>
      <c r="Q65" s="167"/>
    </row>
    <row r="66" spans="1:17" s="64" customFormat="1" ht="18" customHeight="1" x14ac:dyDescent="0.15">
      <c r="A66" s="163" t="s">
        <v>205</v>
      </c>
      <c r="B66" s="139" t="s">
        <v>157</v>
      </c>
      <c r="C66" s="139" t="s">
        <v>158</v>
      </c>
      <c r="D66" s="139" t="s">
        <v>4</v>
      </c>
      <c r="E66" s="139" t="s">
        <v>159</v>
      </c>
      <c r="F66" s="139">
        <v>118</v>
      </c>
      <c r="G66" s="139">
        <v>14700</v>
      </c>
      <c r="H66" s="139">
        <v>1.34</v>
      </c>
      <c r="I66" s="139">
        <v>1.7000000000000001E-2</v>
      </c>
      <c r="J66" s="139">
        <v>864000</v>
      </c>
      <c r="K66" s="139">
        <v>1.01</v>
      </c>
      <c r="L66" s="139"/>
      <c r="M66" s="139">
        <v>0</v>
      </c>
      <c r="N66" s="139" t="s">
        <v>159</v>
      </c>
      <c r="O66" s="139">
        <v>10</v>
      </c>
      <c r="P66" s="165"/>
      <c r="Q66" s="167"/>
    </row>
    <row r="67" spans="1:17" s="64" customFormat="1" ht="18" customHeight="1" x14ac:dyDescent="0.15">
      <c r="A67" s="163" t="s">
        <v>206</v>
      </c>
      <c r="B67" s="139" t="s">
        <v>157</v>
      </c>
      <c r="C67" s="139" t="s">
        <v>158</v>
      </c>
      <c r="D67" s="139" t="s">
        <v>4</v>
      </c>
      <c r="E67" s="139" t="s">
        <v>159</v>
      </c>
      <c r="F67" s="139">
        <v>465</v>
      </c>
      <c r="G67" s="139">
        <v>57000</v>
      </c>
      <c r="H67" s="139">
        <v>1.35</v>
      </c>
      <c r="I67" s="139">
        <v>6.7500000000000004E-2</v>
      </c>
      <c r="J67" s="139">
        <v>844000</v>
      </c>
      <c r="K67" s="139">
        <v>1.02</v>
      </c>
      <c r="L67" s="139"/>
      <c r="M67" s="139">
        <v>0</v>
      </c>
      <c r="N67" s="139" t="s">
        <v>159</v>
      </c>
      <c r="O67" s="139">
        <v>10</v>
      </c>
      <c r="P67" s="165"/>
      <c r="Q67" s="167"/>
    </row>
    <row r="68" spans="1:17" s="64" customFormat="1" ht="14.25" customHeight="1" x14ac:dyDescent="0.15">
      <c r="A68" s="163" t="s">
        <v>207</v>
      </c>
      <c r="B68" s="139" t="s">
        <v>157</v>
      </c>
      <c r="C68" s="139" t="s">
        <v>158</v>
      </c>
      <c r="D68" s="139" t="s">
        <v>4</v>
      </c>
      <c r="E68" s="139" t="s">
        <v>159</v>
      </c>
      <c r="F68" s="139">
        <v>185</v>
      </c>
      <c r="G68" s="139">
        <v>24700</v>
      </c>
      <c r="H68" s="139">
        <v>1.35</v>
      </c>
      <c r="I68" s="139">
        <v>2.69E-2</v>
      </c>
      <c r="J68" s="139">
        <v>917000</v>
      </c>
      <c r="K68" s="139">
        <v>1.02</v>
      </c>
      <c r="L68" s="139"/>
      <c r="M68" s="139">
        <v>0</v>
      </c>
      <c r="N68" s="139" t="s">
        <v>159</v>
      </c>
      <c r="O68" s="139">
        <v>10</v>
      </c>
      <c r="P68" s="165"/>
      <c r="Q68" s="167"/>
    </row>
    <row r="69" spans="1:17" s="64" customFormat="1" ht="14.25" customHeight="1" x14ac:dyDescent="0.15">
      <c r="A69" s="163" t="s">
        <v>156</v>
      </c>
      <c r="B69" s="139" t="s">
        <v>157</v>
      </c>
      <c r="C69" s="139" t="s">
        <v>158</v>
      </c>
      <c r="D69" s="139" t="s">
        <v>4</v>
      </c>
      <c r="E69" s="139" t="s">
        <v>159</v>
      </c>
      <c r="F69" s="139" t="e">
        <v>#DIV/0!</v>
      </c>
      <c r="G69" s="139">
        <v>0</v>
      </c>
      <c r="H69" s="139">
        <v>0</v>
      </c>
      <c r="I69" s="139" t="e">
        <v>#DIV/0!</v>
      </c>
      <c r="J69" s="139">
        <v>0</v>
      </c>
      <c r="K69" s="139">
        <v>0</v>
      </c>
      <c r="L69" s="139"/>
      <c r="M69" s="139">
        <v>0</v>
      </c>
      <c r="N69" s="139" t="s">
        <v>159</v>
      </c>
      <c r="O69" s="139">
        <v>1</v>
      </c>
      <c r="P69" s="165"/>
      <c r="Q69" s="167"/>
    </row>
    <row r="70" spans="1:17" s="64" customFormat="1" ht="14.25" customHeight="1" x14ac:dyDescent="0.15">
      <c r="A70" s="163" t="s">
        <v>156</v>
      </c>
      <c r="B70" s="139" t="s">
        <v>157</v>
      </c>
      <c r="C70" s="139" t="s">
        <v>158</v>
      </c>
      <c r="D70" s="139" t="s">
        <v>4</v>
      </c>
      <c r="E70" s="139" t="s">
        <v>159</v>
      </c>
      <c r="F70" s="139" t="e">
        <v>#DIV/0!</v>
      </c>
      <c r="G70" s="139">
        <v>0</v>
      </c>
      <c r="H70" s="139">
        <v>0</v>
      </c>
      <c r="I70" s="139" t="e">
        <v>#DIV/0!</v>
      </c>
      <c r="J70" s="139">
        <v>0</v>
      </c>
      <c r="K70" s="139">
        <v>0</v>
      </c>
      <c r="L70" s="139"/>
      <c r="M70" s="139">
        <v>0</v>
      </c>
      <c r="N70" s="139" t="s">
        <v>159</v>
      </c>
      <c r="O70" s="139">
        <v>1</v>
      </c>
      <c r="P70" s="165"/>
      <c r="Q70" s="167"/>
    </row>
    <row r="71" spans="1:17" s="64" customFormat="1" ht="14.25" customHeight="1" x14ac:dyDescent="0.15">
      <c r="A71" s="163" t="s">
        <v>156</v>
      </c>
      <c r="B71" s="139" t="s">
        <v>157</v>
      </c>
      <c r="C71" s="139" t="s">
        <v>158</v>
      </c>
      <c r="D71" s="139" t="s">
        <v>4</v>
      </c>
      <c r="E71" s="139" t="s">
        <v>159</v>
      </c>
      <c r="F71" s="139" t="e">
        <v>#DIV/0!</v>
      </c>
      <c r="G71" s="139">
        <v>0</v>
      </c>
      <c r="H71" s="139">
        <v>0</v>
      </c>
      <c r="I71" s="139" t="e">
        <v>#DIV/0!</v>
      </c>
      <c r="J71" s="139">
        <v>0</v>
      </c>
      <c r="K71" s="139">
        <v>0</v>
      </c>
      <c r="L71" s="139"/>
      <c r="M71" s="139">
        <v>0</v>
      </c>
      <c r="N71" s="139" t="s">
        <v>159</v>
      </c>
      <c r="O71" s="139">
        <v>1</v>
      </c>
      <c r="P71" s="165"/>
      <c r="Q71" s="167"/>
    </row>
    <row r="72" spans="1:17" s="64" customFormat="1" ht="14.25" customHeight="1" x14ac:dyDescent="0.15">
      <c r="A72" s="163" t="s">
        <v>208</v>
      </c>
      <c r="B72" s="139" t="s">
        <v>172</v>
      </c>
      <c r="C72" s="139" t="s">
        <v>158</v>
      </c>
      <c r="D72" s="139" t="s">
        <v>4</v>
      </c>
      <c r="E72" s="139">
        <v>3</v>
      </c>
      <c r="F72" s="139">
        <v>2.75</v>
      </c>
      <c r="G72" s="139">
        <v>3370</v>
      </c>
      <c r="H72" s="139">
        <v>1.34</v>
      </c>
      <c r="I72" s="139">
        <v>3.98E-3</v>
      </c>
      <c r="J72" s="139">
        <v>847000</v>
      </c>
      <c r="K72" s="139">
        <v>1.01</v>
      </c>
      <c r="L72" s="139">
        <v>1</v>
      </c>
      <c r="M72" s="139">
        <v>0</v>
      </c>
      <c r="N72" s="139">
        <v>91.62</v>
      </c>
      <c r="O72" s="139">
        <v>1</v>
      </c>
      <c r="P72" s="165"/>
      <c r="Q72" s="167"/>
    </row>
    <row r="73" spans="1:17" s="64" customFormat="1" ht="14.25" customHeight="1" x14ac:dyDescent="0.15">
      <c r="A73" s="163" t="s">
        <v>209</v>
      </c>
      <c r="B73" s="139" t="s">
        <v>172</v>
      </c>
      <c r="C73" s="139" t="s">
        <v>158</v>
      </c>
      <c r="D73" s="139" t="s">
        <v>4</v>
      </c>
      <c r="E73" s="139">
        <v>50</v>
      </c>
      <c r="F73" s="139">
        <v>44.1</v>
      </c>
      <c r="G73" s="139">
        <v>54700</v>
      </c>
      <c r="H73" s="139">
        <v>1.35</v>
      </c>
      <c r="I73" s="139">
        <v>6.4000000000000001E-2</v>
      </c>
      <c r="J73" s="139">
        <v>855000</v>
      </c>
      <c r="K73" s="139">
        <v>1.02</v>
      </c>
      <c r="L73" s="139">
        <v>1</v>
      </c>
      <c r="M73" s="139">
        <v>0</v>
      </c>
      <c r="N73" s="139">
        <v>88.22</v>
      </c>
      <c r="O73" s="139">
        <v>1</v>
      </c>
      <c r="P73" s="165"/>
      <c r="Q73" s="167"/>
    </row>
    <row r="74" spans="1:17" s="64" customFormat="1" ht="14.25" customHeight="1" x14ac:dyDescent="0.15">
      <c r="A74" s="163" t="s">
        <v>210</v>
      </c>
      <c r="B74" s="139" t="s">
        <v>172</v>
      </c>
      <c r="C74" s="139" t="s">
        <v>158</v>
      </c>
      <c r="D74" s="139" t="s">
        <v>4</v>
      </c>
      <c r="E74" s="139">
        <v>1600</v>
      </c>
      <c r="F74" s="139">
        <v>1210</v>
      </c>
      <c r="G74" s="139">
        <v>1620000</v>
      </c>
      <c r="H74" s="139">
        <v>1.35</v>
      </c>
      <c r="I74" s="139">
        <v>1.76</v>
      </c>
      <c r="J74" s="139">
        <v>919000</v>
      </c>
      <c r="K74" s="139">
        <v>1.02</v>
      </c>
      <c r="L74" s="139">
        <v>1</v>
      </c>
      <c r="M74" s="139">
        <v>0</v>
      </c>
      <c r="N74" s="139">
        <v>75.75</v>
      </c>
      <c r="O74" s="139">
        <v>1</v>
      </c>
      <c r="P74" s="165"/>
      <c r="Q74" s="167"/>
    </row>
    <row r="75" spans="1:17" x14ac:dyDescent="0.25">
      <c r="A75" s="171"/>
      <c r="Q75" s="186"/>
    </row>
    <row r="76" spans="1:17" x14ac:dyDescent="0.25">
      <c r="A76" s="172" t="s">
        <v>211</v>
      </c>
      <c r="B76" s="173"/>
      <c r="C76" s="174"/>
      <c r="D76" s="174"/>
      <c r="E76" s="175"/>
      <c r="Q76" s="186"/>
    </row>
    <row r="77" spans="1:17" x14ac:dyDescent="0.25">
      <c r="A77" s="176" t="s">
        <v>212</v>
      </c>
      <c r="B77" s="427">
        <f>AVERAGE(J19:J27,J31:J39,J42:J68,J72:J74)</f>
        <v>887520.83333333302</v>
      </c>
      <c r="C77" s="427"/>
      <c r="D77" s="427"/>
      <c r="E77" s="177"/>
      <c r="Q77" s="186"/>
    </row>
    <row r="78" spans="1:17" x14ac:dyDescent="0.25">
      <c r="A78" s="176" t="s">
        <v>213</v>
      </c>
      <c r="B78" s="427">
        <f>STDEV(J19:J27,J31:J39,J42:J68,J72:J74)</f>
        <v>57409.314087277096</v>
      </c>
      <c r="C78" s="427"/>
      <c r="D78" s="427"/>
      <c r="E78" s="177"/>
      <c r="Q78" s="186"/>
    </row>
    <row r="79" spans="1:17" x14ac:dyDescent="0.25">
      <c r="A79" s="178" t="s">
        <v>214</v>
      </c>
      <c r="B79" s="428">
        <f>B78/B77*100</f>
        <v>6.4685032656259196</v>
      </c>
      <c r="C79" s="428"/>
      <c r="D79" s="179" t="s">
        <v>215</v>
      </c>
      <c r="E79" s="180" t="s">
        <v>216</v>
      </c>
      <c r="F79" s="181"/>
      <c r="G79" s="182"/>
      <c r="H79" s="182"/>
      <c r="I79" s="184"/>
      <c r="J79" s="185"/>
      <c r="K79" s="182"/>
      <c r="L79" s="182"/>
      <c r="M79" s="182"/>
      <c r="N79" s="184"/>
      <c r="O79" s="184"/>
      <c r="P79" s="182"/>
      <c r="Q79" s="187"/>
    </row>
    <row r="80" spans="1:17" x14ac:dyDescent="0.25">
      <c r="Q80" s="186"/>
    </row>
    <row r="81" spans="17:17" x14ac:dyDescent="0.25">
      <c r="Q81" s="186"/>
    </row>
    <row r="82" spans="17:17" x14ac:dyDescent="0.25">
      <c r="Q82" s="186"/>
    </row>
    <row r="83" spans="17:17" x14ac:dyDescent="0.25">
      <c r="Q83" s="186"/>
    </row>
    <row r="84" spans="17:17" x14ac:dyDescent="0.25">
      <c r="Q84" s="186"/>
    </row>
    <row r="85" spans="17:17" x14ac:dyDescent="0.25">
      <c r="Q85" s="186"/>
    </row>
    <row r="86" spans="17:17" x14ac:dyDescent="0.25">
      <c r="Q86" s="186"/>
    </row>
    <row r="87" spans="17:17" x14ac:dyDescent="0.25">
      <c r="Q87" s="186"/>
    </row>
    <row r="88" spans="17:17" x14ac:dyDescent="0.25">
      <c r="Q88" s="186"/>
    </row>
    <row r="89" spans="17:17" x14ac:dyDescent="0.25">
      <c r="Q89" s="186"/>
    </row>
    <row r="90" spans="17:17" x14ac:dyDescent="0.25">
      <c r="Q90" s="186"/>
    </row>
    <row r="91" spans="17:17" x14ac:dyDescent="0.25">
      <c r="Q91" s="186"/>
    </row>
    <row r="92" spans="17:17" x14ac:dyDescent="0.25">
      <c r="Q92" s="186"/>
    </row>
    <row r="93" spans="17:17" x14ac:dyDescent="0.25">
      <c r="Q93" s="186"/>
    </row>
    <row r="94" spans="17:17" x14ac:dyDescent="0.25">
      <c r="Q94" s="186"/>
    </row>
    <row r="95" spans="17:17" x14ac:dyDescent="0.25">
      <c r="Q95" s="186"/>
    </row>
    <row r="96" spans="17:17" x14ac:dyDescent="0.25">
      <c r="Q96" s="186"/>
    </row>
    <row r="97" spans="17:17" x14ac:dyDescent="0.25">
      <c r="Q97" s="186"/>
    </row>
    <row r="98" spans="17:17" x14ac:dyDescent="0.25">
      <c r="Q98" s="186"/>
    </row>
    <row r="99" spans="17:17" x14ac:dyDescent="0.25">
      <c r="Q99" s="186"/>
    </row>
    <row r="100" spans="17:17" x14ac:dyDescent="0.25">
      <c r="Q100" s="186"/>
    </row>
    <row r="101" spans="17:17" x14ac:dyDescent="0.25">
      <c r="Q101" s="186"/>
    </row>
    <row r="102" spans="17:17" x14ac:dyDescent="0.25">
      <c r="Q102" s="186"/>
    </row>
    <row r="103" spans="17:17" x14ac:dyDescent="0.25">
      <c r="Q103" s="186"/>
    </row>
    <row r="104" spans="17:17" x14ac:dyDescent="0.25">
      <c r="Q104" s="186"/>
    </row>
    <row r="105" spans="17:17" x14ac:dyDescent="0.25">
      <c r="Q105" s="186"/>
    </row>
    <row r="106" spans="17:17" x14ac:dyDescent="0.25">
      <c r="Q106" s="186"/>
    </row>
    <row r="107" spans="17:17" x14ac:dyDescent="0.25">
      <c r="Q107" s="186"/>
    </row>
    <row r="108" spans="17:17" x14ac:dyDescent="0.25">
      <c r="Q108" s="186"/>
    </row>
    <row r="109" spans="17:17" x14ac:dyDescent="0.25">
      <c r="Q109" s="186"/>
    </row>
    <row r="110" spans="17:17" x14ac:dyDescent="0.25">
      <c r="Q110" s="186"/>
    </row>
    <row r="111" spans="17:17" x14ac:dyDescent="0.25">
      <c r="Q111" s="186"/>
    </row>
    <row r="112" spans="17:17" x14ac:dyDescent="0.25">
      <c r="Q112" s="186"/>
    </row>
    <row r="113" spans="1:17" x14ac:dyDescent="0.25">
      <c r="Q113" s="186"/>
    </row>
    <row r="114" spans="1:17" x14ac:dyDescent="0.25">
      <c r="Q114" s="186"/>
    </row>
    <row r="115" spans="1:17" x14ac:dyDescent="0.25">
      <c r="Q115" s="186"/>
    </row>
    <row r="116" spans="1:17" x14ac:dyDescent="0.25">
      <c r="Q116" s="186"/>
    </row>
    <row r="117" spans="1:17" x14ac:dyDescent="0.25">
      <c r="Q117" s="186"/>
    </row>
    <row r="118" spans="1:17" x14ac:dyDescent="0.25">
      <c r="Q118" s="186"/>
    </row>
    <row r="119" spans="1:17" x14ac:dyDescent="0.25">
      <c r="Q119" s="186"/>
    </row>
    <row r="120" spans="1:17" x14ac:dyDescent="0.25">
      <c r="A120" s="182"/>
      <c r="B120" s="182"/>
      <c r="C120" s="182"/>
      <c r="D120" s="183"/>
      <c r="E120" s="183"/>
      <c r="F120" s="181"/>
      <c r="G120" s="182"/>
      <c r="H120" s="182"/>
      <c r="I120" s="184"/>
      <c r="J120" s="185"/>
      <c r="K120" s="182"/>
      <c r="L120" s="182"/>
      <c r="M120" s="182"/>
      <c r="N120" s="184"/>
      <c r="O120" s="184"/>
      <c r="P120" s="182"/>
      <c r="Q120" s="187"/>
    </row>
  </sheetData>
  <mergeCells count="3">
    <mergeCell ref="B77:D77"/>
    <mergeCell ref="B78:D78"/>
    <mergeCell ref="B79:C79"/>
  </mergeCells>
  <phoneticPr fontId="60" type="noConversion"/>
  <pageMargins left="0.7" right="0.7" top="0.75" bottom="0.75" header="0.3" footer="0.3"/>
  <pageSetup paperSize="9" orientation="portrait"/>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T93"/>
  <sheetViews>
    <sheetView showGridLines="0" workbookViewId="0">
      <selection activeCell="H35" sqref="H35"/>
    </sheetView>
  </sheetViews>
  <sheetFormatPr defaultColWidth="9" defaultRowHeight="15" x14ac:dyDescent="0.15"/>
  <cols>
    <col min="1" max="1" width="1.875" style="120" customWidth="1"/>
    <col min="2" max="2" width="4.375" style="120" customWidth="1"/>
    <col min="3" max="3" width="17.25" style="120" customWidth="1"/>
    <col min="4" max="9" width="11.375" style="120" customWidth="1"/>
    <col min="10" max="10" width="6.375" style="120" customWidth="1"/>
    <col min="11" max="16384" width="9" style="120"/>
  </cols>
  <sheetData>
    <row r="1" spans="1:20" x14ac:dyDescent="0.25">
      <c r="A1" s="121"/>
      <c r="B1" s="122"/>
      <c r="C1" s="122"/>
      <c r="D1" s="122"/>
      <c r="E1" s="122"/>
      <c r="F1" s="122"/>
      <c r="G1" s="122"/>
      <c r="H1" s="122"/>
    </row>
    <row r="2" spans="1:20" x14ac:dyDescent="0.25">
      <c r="A2" s="121"/>
      <c r="B2" s="123"/>
      <c r="C2" s="122"/>
      <c r="D2" s="122"/>
      <c r="E2" s="122"/>
      <c r="F2" s="122"/>
      <c r="G2" s="122"/>
      <c r="H2" s="122"/>
    </row>
    <row r="3" spans="1:20" x14ac:dyDescent="0.25">
      <c r="A3" s="121"/>
      <c r="B3" s="124"/>
      <c r="C3" s="125"/>
      <c r="D3" s="126"/>
      <c r="E3" s="126"/>
      <c r="F3" s="126"/>
      <c r="G3" s="126"/>
      <c r="H3" s="126"/>
      <c r="I3" s="141"/>
      <c r="J3" s="142"/>
    </row>
    <row r="4" spans="1:20" x14ac:dyDescent="0.25">
      <c r="A4" s="121"/>
      <c r="B4" s="127"/>
      <c r="C4" s="128"/>
      <c r="D4" s="129"/>
      <c r="E4" s="129"/>
      <c r="F4" s="129"/>
      <c r="G4" s="129"/>
      <c r="H4" s="129"/>
      <c r="I4" s="143"/>
      <c r="J4" s="144"/>
    </row>
    <row r="5" spans="1:20" x14ac:dyDescent="0.25">
      <c r="A5" s="121"/>
      <c r="B5" s="130"/>
      <c r="C5" s="431" t="s">
        <v>217</v>
      </c>
      <c r="D5" s="131" t="s">
        <v>218</v>
      </c>
      <c r="E5" s="131" t="s">
        <v>219</v>
      </c>
      <c r="F5" s="131" t="s">
        <v>220</v>
      </c>
      <c r="G5" s="131" t="s">
        <v>221</v>
      </c>
      <c r="H5" s="132"/>
      <c r="I5" s="132"/>
      <c r="J5" s="145"/>
      <c r="K5" s="132"/>
      <c r="L5" s="132"/>
    </row>
    <row r="6" spans="1:20" x14ac:dyDescent="0.25">
      <c r="A6" s="121"/>
      <c r="B6" s="130"/>
      <c r="C6" s="431"/>
      <c r="D6" s="96" t="s">
        <v>162</v>
      </c>
      <c r="E6" s="96">
        <v>1</v>
      </c>
      <c r="F6" s="96">
        <v>0.96399999999999997</v>
      </c>
      <c r="G6" s="96">
        <v>96.38</v>
      </c>
      <c r="H6" s="132"/>
      <c r="I6" s="132"/>
      <c r="J6" s="145"/>
      <c r="K6" s="132"/>
      <c r="L6" s="132"/>
    </row>
    <row r="7" spans="1:20" ht="15.75" customHeight="1" x14ac:dyDescent="0.25">
      <c r="A7" s="121"/>
      <c r="B7" s="130"/>
      <c r="C7" s="431"/>
      <c r="D7" s="96" t="s">
        <v>164</v>
      </c>
      <c r="E7" s="96">
        <v>2</v>
      </c>
      <c r="F7" s="96">
        <v>2.12</v>
      </c>
      <c r="G7" s="96">
        <v>105.78</v>
      </c>
      <c r="H7" s="132"/>
      <c r="I7" s="132"/>
      <c r="J7" s="145"/>
      <c r="K7" s="132"/>
      <c r="L7" s="146"/>
      <c r="O7" s="147"/>
      <c r="P7" s="147"/>
      <c r="Q7" s="147"/>
    </row>
    <row r="8" spans="1:20" x14ac:dyDescent="0.25">
      <c r="A8" s="121"/>
      <c r="B8" s="130"/>
      <c r="C8" s="431"/>
      <c r="D8" s="96" t="s">
        <v>165</v>
      </c>
      <c r="E8" s="96">
        <v>5</v>
      </c>
      <c r="F8" s="96">
        <v>5.19</v>
      </c>
      <c r="G8" s="96">
        <v>103.82</v>
      </c>
      <c r="H8" s="132"/>
      <c r="I8" s="132"/>
      <c r="J8" s="145"/>
      <c r="K8" s="132"/>
      <c r="L8" s="132"/>
      <c r="O8" s="147"/>
      <c r="P8" s="147"/>
      <c r="Q8" s="147"/>
    </row>
    <row r="9" spans="1:20" x14ac:dyDescent="0.25">
      <c r="A9" s="121"/>
      <c r="B9" s="130"/>
      <c r="C9" s="431"/>
      <c r="D9" s="96" t="s">
        <v>166</v>
      </c>
      <c r="E9" s="96">
        <v>20</v>
      </c>
      <c r="F9" s="96">
        <v>19.7</v>
      </c>
      <c r="G9" s="96">
        <v>98.27</v>
      </c>
      <c r="H9" s="132"/>
      <c r="I9" s="132"/>
      <c r="J9" s="145"/>
      <c r="K9" s="132"/>
      <c r="L9" s="132"/>
      <c r="O9" s="147"/>
      <c r="P9" s="147"/>
      <c r="Q9" s="147"/>
    </row>
    <row r="10" spans="1:20" ht="15.75" customHeight="1" x14ac:dyDescent="0.25">
      <c r="A10" s="121"/>
      <c r="B10" s="130"/>
      <c r="C10" s="431"/>
      <c r="D10" s="96" t="s">
        <v>167</v>
      </c>
      <c r="E10" s="96">
        <v>100</v>
      </c>
      <c r="F10" s="96">
        <v>107</v>
      </c>
      <c r="G10" s="96">
        <v>106.52</v>
      </c>
      <c r="H10" s="132"/>
      <c r="I10" s="132"/>
      <c r="J10" s="145"/>
      <c r="K10" s="132"/>
      <c r="L10" s="132"/>
      <c r="O10" s="147"/>
      <c r="P10" s="147"/>
      <c r="Q10" s="147"/>
    </row>
    <row r="11" spans="1:20" x14ac:dyDescent="0.25">
      <c r="A11" s="121"/>
      <c r="B11" s="130"/>
      <c r="C11" s="431"/>
      <c r="D11" s="96" t="s">
        <v>168</v>
      </c>
      <c r="E11" s="96">
        <v>500</v>
      </c>
      <c r="F11" s="96">
        <v>472</v>
      </c>
      <c r="G11" s="96">
        <v>94.43</v>
      </c>
      <c r="H11" s="132"/>
      <c r="I11" s="132"/>
      <c r="J11" s="145"/>
      <c r="K11" s="148"/>
      <c r="L11" s="132"/>
      <c r="O11" s="147"/>
      <c r="P11" s="147"/>
      <c r="Q11" s="147"/>
    </row>
    <row r="12" spans="1:20" ht="15" customHeight="1" x14ac:dyDescent="0.25">
      <c r="A12" s="121"/>
      <c r="B12" s="130"/>
      <c r="C12" s="431"/>
      <c r="D12" s="96" t="s">
        <v>169</v>
      </c>
      <c r="E12" s="96">
        <v>1000</v>
      </c>
      <c r="F12" s="96">
        <v>965</v>
      </c>
      <c r="G12" s="96">
        <v>96.5</v>
      </c>
      <c r="H12" s="132"/>
      <c r="I12" s="132"/>
      <c r="J12" s="145"/>
      <c r="K12" s="132"/>
      <c r="L12" s="132"/>
      <c r="O12" s="147"/>
      <c r="P12" s="147"/>
      <c r="Q12" s="147"/>
      <c r="S12" s="147"/>
      <c r="T12" s="147"/>
    </row>
    <row r="13" spans="1:20" ht="15" customHeight="1" x14ac:dyDescent="0.25">
      <c r="A13" s="121"/>
      <c r="B13" s="130"/>
      <c r="C13" s="431"/>
      <c r="D13" s="96" t="s">
        <v>170</v>
      </c>
      <c r="E13" s="96">
        <v>2000</v>
      </c>
      <c r="F13" s="96">
        <v>1970</v>
      </c>
      <c r="G13" s="96">
        <v>98.3</v>
      </c>
      <c r="H13" s="132"/>
      <c r="I13" s="132"/>
      <c r="J13" s="145"/>
      <c r="K13" s="132"/>
      <c r="L13" s="149"/>
      <c r="O13" s="147"/>
      <c r="P13" s="147"/>
      <c r="Q13" s="147"/>
      <c r="S13" s="147"/>
      <c r="T13" s="147"/>
    </row>
    <row r="14" spans="1:20" ht="15" customHeight="1" x14ac:dyDescent="0.25">
      <c r="A14" s="121"/>
      <c r="B14" s="130"/>
      <c r="C14" s="133"/>
      <c r="D14" s="129"/>
      <c r="E14" s="129"/>
      <c r="F14" s="129"/>
      <c r="G14" s="129"/>
      <c r="H14" s="129"/>
      <c r="I14" s="143"/>
      <c r="J14" s="145"/>
      <c r="K14" s="132"/>
      <c r="L14" s="132"/>
      <c r="O14" s="147"/>
      <c r="P14" s="147"/>
      <c r="Q14" s="147"/>
      <c r="S14" s="147"/>
      <c r="T14" s="147"/>
    </row>
    <row r="15" spans="1:20" x14ac:dyDescent="0.25">
      <c r="A15" s="121"/>
      <c r="B15" s="130"/>
      <c r="C15" s="432" t="s">
        <v>222</v>
      </c>
      <c r="D15" s="429" t="s">
        <v>218</v>
      </c>
      <c r="E15" s="429" t="s">
        <v>219</v>
      </c>
      <c r="F15" s="429" t="s">
        <v>220</v>
      </c>
      <c r="G15" s="429"/>
      <c r="H15" s="429" t="s">
        <v>223</v>
      </c>
      <c r="I15" s="429"/>
      <c r="J15" s="145"/>
      <c r="K15" s="149"/>
      <c r="L15" s="132"/>
      <c r="S15" s="147"/>
      <c r="T15" s="147"/>
    </row>
    <row r="16" spans="1:20" x14ac:dyDescent="0.25">
      <c r="A16" s="121"/>
      <c r="B16" s="130"/>
      <c r="C16" s="432"/>
      <c r="D16" s="429"/>
      <c r="E16" s="429"/>
      <c r="F16" s="134">
        <v>1</v>
      </c>
      <c r="G16" s="134">
        <v>2</v>
      </c>
      <c r="H16" s="134">
        <v>1</v>
      </c>
      <c r="I16" s="134">
        <v>2</v>
      </c>
      <c r="J16" s="145"/>
      <c r="K16" s="150"/>
      <c r="L16" s="132"/>
      <c r="S16" s="147"/>
      <c r="T16" s="147"/>
    </row>
    <row r="17" spans="1:20" x14ac:dyDescent="0.25">
      <c r="A17" s="121"/>
      <c r="B17" s="130"/>
      <c r="C17" s="432"/>
      <c r="D17" s="96" t="s">
        <v>224</v>
      </c>
      <c r="E17" s="96">
        <v>3</v>
      </c>
      <c r="F17" s="96">
        <v>2.94</v>
      </c>
      <c r="G17" s="96">
        <v>2.75</v>
      </c>
      <c r="H17" s="96">
        <v>98.1</v>
      </c>
      <c r="I17" s="96">
        <v>91.62</v>
      </c>
      <c r="J17" s="145"/>
      <c r="K17" s="150"/>
      <c r="L17" s="132"/>
      <c r="S17" s="147"/>
      <c r="T17" s="147"/>
    </row>
    <row r="18" spans="1:20" x14ac:dyDescent="0.25">
      <c r="A18" s="121"/>
      <c r="B18" s="130"/>
      <c r="C18" s="432"/>
      <c r="D18" s="96" t="s">
        <v>225</v>
      </c>
      <c r="E18" s="96">
        <v>50</v>
      </c>
      <c r="F18" s="96">
        <v>54.9</v>
      </c>
      <c r="G18" s="96">
        <v>44.1</v>
      </c>
      <c r="H18" s="96">
        <v>109.83</v>
      </c>
      <c r="I18" s="96">
        <v>88.22</v>
      </c>
      <c r="J18" s="145"/>
      <c r="K18" s="150"/>
      <c r="S18" s="147"/>
      <c r="T18" s="147"/>
    </row>
    <row r="19" spans="1:20" x14ac:dyDescent="0.25">
      <c r="A19" s="121"/>
      <c r="B19" s="130"/>
      <c r="C19" s="432"/>
      <c r="D19" s="96" t="s">
        <v>226</v>
      </c>
      <c r="E19" s="96">
        <v>1600</v>
      </c>
      <c r="F19" s="96">
        <v>1620</v>
      </c>
      <c r="G19" s="96">
        <v>1210</v>
      </c>
      <c r="H19" s="96">
        <v>101.36</v>
      </c>
      <c r="I19" s="96">
        <v>75.75</v>
      </c>
      <c r="J19" s="145"/>
      <c r="K19" s="150"/>
      <c r="S19" s="147"/>
      <c r="T19" s="147"/>
    </row>
    <row r="20" spans="1:20" x14ac:dyDescent="0.25">
      <c r="A20" s="121"/>
      <c r="B20" s="130"/>
      <c r="C20" s="432"/>
      <c r="D20" s="96" t="s">
        <v>175</v>
      </c>
      <c r="E20" s="96">
        <v>10000</v>
      </c>
      <c r="F20" s="96">
        <v>9750</v>
      </c>
      <c r="G20" s="433" t="s">
        <v>227</v>
      </c>
      <c r="H20" s="96">
        <v>97.53</v>
      </c>
      <c r="I20" s="433" t="s">
        <v>227</v>
      </c>
      <c r="J20" s="145"/>
      <c r="K20" s="150"/>
      <c r="S20" s="147"/>
      <c r="T20" s="147"/>
    </row>
    <row r="21" spans="1:20" x14ac:dyDescent="0.25">
      <c r="A21" s="121"/>
      <c r="B21" s="130"/>
      <c r="C21" s="432"/>
      <c r="D21" s="96" t="s">
        <v>176</v>
      </c>
      <c r="E21" s="96">
        <v>10000</v>
      </c>
      <c r="F21" s="96">
        <v>10700</v>
      </c>
      <c r="G21" s="434"/>
      <c r="H21" s="96">
        <v>106.52</v>
      </c>
      <c r="I21" s="434"/>
      <c r="J21" s="145"/>
      <c r="K21" s="150"/>
      <c r="L21" s="132"/>
      <c r="S21" s="147"/>
      <c r="T21" s="147"/>
    </row>
    <row r="22" spans="1:20" x14ac:dyDescent="0.25">
      <c r="A22" s="121"/>
      <c r="B22" s="130"/>
      <c r="C22" s="432"/>
      <c r="D22" s="96" t="s">
        <v>177</v>
      </c>
      <c r="E22" s="96">
        <v>10000</v>
      </c>
      <c r="F22" s="96">
        <v>10000</v>
      </c>
      <c r="G22" s="435"/>
      <c r="H22" s="96">
        <v>100.45</v>
      </c>
      <c r="I22" s="435"/>
      <c r="J22" s="145"/>
      <c r="K22" s="150"/>
      <c r="L22" s="132"/>
      <c r="S22" s="147"/>
      <c r="T22" s="147"/>
    </row>
    <row r="23" spans="1:20" x14ac:dyDescent="0.2">
      <c r="B23" s="130"/>
      <c r="C23" s="129"/>
      <c r="D23" s="135"/>
      <c r="E23" s="135"/>
      <c r="F23" s="135"/>
      <c r="G23" s="135"/>
      <c r="H23" s="135"/>
      <c r="I23" s="143"/>
      <c r="J23" s="145"/>
      <c r="K23" s="132"/>
      <c r="L23" s="132"/>
    </row>
    <row r="24" spans="1:20" ht="57.75" customHeight="1" x14ac:dyDescent="0.15">
      <c r="B24" s="136"/>
      <c r="C24" s="430" t="s">
        <v>228</v>
      </c>
      <c r="D24" s="430"/>
      <c r="E24" s="430"/>
      <c r="F24" s="430"/>
      <c r="G24" s="430"/>
      <c r="H24" s="430"/>
      <c r="I24" s="430"/>
      <c r="J24" s="144"/>
    </row>
    <row r="25" spans="1:20" x14ac:dyDescent="0.15">
      <c r="B25" s="137"/>
      <c r="C25" s="138"/>
      <c r="D25" s="138"/>
      <c r="E25" s="138"/>
      <c r="F25" s="138"/>
      <c r="G25" s="138"/>
      <c r="H25" s="138"/>
      <c r="I25" s="138"/>
      <c r="J25" s="151"/>
    </row>
    <row r="27" spans="1:20" x14ac:dyDescent="0.15">
      <c r="F27" s="139"/>
    </row>
    <row r="28" spans="1:20" x14ac:dyDescent="0.15">
      <c r="F28" s="139"/>
    </row>
    <row r="29" spans="1:20" x14ac:dyDescent="0.15">
      <c r="E29" s="140"/>
    </row>
    <row r="30" spans="1:20" x14ac:dyDescent="0.15">
      <c r="D30" s="140"/>
    </row>
    <row r="31" spans="1:20" x14ac:dyDescent="0.15">
      <c r="D31" s="140"/>
    </row>
    <row r="32" spans="1:20" x14ac:dyDescent="0.15">
      <c r="D32" s="140"/>
    </row>
    <row r="35" spans="6:12" x14ac:dyDescent="0.15">
      <c r="G35" s="139"/>
      <c r="H35" s="139"/>
      <c r="I35" s="139"/>
      <c r="L35" s="152"/>
    </row>
    <row r="36" spans="6:12" x14ac:dyDescent="0.15">
      <c r="G36" s="139"/>
      <c r="H36" s="139"/>
      <c r="I36" s="139"/>
    </row>
    <row r="37" spans="6:12" x14ac:dyDescent="0.15">
      <c r="F37" s="139"/>
      <c r="G37" s="139"/>
      <c r="H37" s="139"/>
      <c r="I37" s="139"/>
    </row>
    <row r="38" spans="6:12" x14ac:dyDescent="0.15">
      <c r="F38" s="139"/>
      <c r="G38" s="139"/>
    </row>
    <row r="39" spans="6:12" x14ac:dyDescent="0.15">
      <c r="F39" s="139"/>
      <c r="G39" s="139"/>
    </row>
    <row r="77" spans="6:6" x14ac:dyDescent="0.15">
      <c r="F77" s="153"/>
    </row>
    <row r="93" spans="6:6" x14ac:dyDescent="0.15">
      <c r="F93" s="153"/>
    </row>
  </sheetData>
  <mergeCells count="9">
    <mergeCell ref="F15:G15"/>
    <mergeCell ref="H15:I15"/>
    <mergeCell ref="C24:I24"/>
    <mergeCell ref="C5:C13"/>
    <mergeCell ref="C15:C22"/>
    <mergeCell ref="D15:D16"/>
    <mergeCell ref="E15:E16"/>
    <mergeCell ref="G20:G22"/>
    <mergeCell ref="I20:I22"/>
  </mergeCells>
  <phoneticPr fontId="6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dimension ref="B1:P26"/>
  <sheetViews>
    <sheetView showGridLines="0" workbookViewId="0">
      <selection activeCell="K23" sqref="K23"/>
    </sheetView>
  </sheetViews>
  <sheetFormatPr defaultColWidth="9" defaultRowHeight="15" x14ac:dyDescent="0.25"/>
  <cols>
    <col min="1" max="1" width="2.625" style="86" customWidth="1"/>
    <col min="2" max="2" width="12.375" style="86" customWidth="1"/>
    <col min="3" max="3" width="19.25" style="86" customWidth="1"/>
    <col min="4" max="4" width="13.125" style="86" customWidth="1"/>
    <col min="5" max="5" width="14.375" style="86" customWidth="1"/>
    <col min="6" max="6" width="12.375" style="86" customWidth="1"/>
    <col min="7" max="7" width="13.875" style="86" customWidth="1"/>
    <col min="8" max="8" width="13.875" style="87" customWidth="1"/>
    <col min="9" max="9" width="18.125" style="86" customWidth="1"/>
    <col min="10" max="10" width="12.375" style="86" customWidth="1"/>
    <col min="11" max="12" width="14.375" style="86" customWidth="1"/>
    <col min="13" max="13" width="7.375" style="86" customWidth="1"/>
    <col min="14" max="14" width="15.375" style="86" customWidth="1"/>
    <col min="15" max="15" width="22.375" style="86" customWidth="1"/>
    <col min="16" max="16384" width="9" style="86"/>
  </cols>
  <sheetData>
    <row r="1" spans="2:16" x14ac:dyDescent="0.25">
      <c r="B1" s="88"/>
      <c r="C1" s="89"/>
      <c r="D1" s="88"/>
      <c r="E1" s="88"/>
      <c r="F1" s="88"/>
      <c r="G1" s="88"/>
      <c r="H1" s="88"/>
      <c r="I1" s="88"/>
      <c r="J1" s="88"/>
      <c r="K1" s="88"/>
      <c r="L1" s="88"/>
      <c r="M1" s="88"/>
    </row>
    <row r="2" spans="2:16" x14ac:dyDescent="0.25">
      <c r="B2" s="90" t="s">
        <v>229</v>
      </c>
      <c r="C2" s="89"/>
      <c r="D2" s="89"/>
      <c r="E2" s="89"/>
      <c r="F2" s="89"/>
      <c r="G2" s="89"/>
      <c r="H2" s="89"/>
      <c r="I2" s="89"/>
      <c r="J2" s="89"/>
      <c r="K2" s="89"/>
      <c r="L2" s="89"/>
      <c r="M2" s="89"/>
      <c r="N2" s="108"/>
      <c r="O2" s="109"/>
    </row>
    <row r="3" spans="2:16" x14ac:dyDescent="0.25">
      <c r="B3" s="91"/>
      <c r="C3" s="88" t="s">
        <v>230</v>
      </c>
      <c r="D3" s="88"/>
      <c r="E3" s="88"/>
      <c r="F3" s="88"/>
      <c r="G3" s="88"/>
      <c r="H3" s="88"/>
      <c r="I3" s="88"/>
      <c r="J3" s="88"/>
      <c r="K3" s="88"/>
      <c r="L3" s="88"/>
      <c r="M3" s="88"/>
      <c r="N3" s="88"/>
      <c r="O3" s="110"/>
    </row>
    <row r="4" spans="2:16" x14ac:dyDescent="0.25">
      <c r="B4" s="91"/>
      <c r="C4" s="88" t="s">
        <v>231</v>
      </c>
      <c r="D4" s="88"/>
      <c r="E4" s="88"/>
      <c r="F4" s="88"/>
      <c r="G4" s="88"/>
      <c r="H4" s="88"/>
      <c r="I4" s="88"/>
      <c r="J4" s="88"/>
      <c r="K4" s="88"/>
      <c r="L4" s="88"/>
      <c r="M4" s="88"/>
      <c r="N4" s="88"/>
      <c r="O4" s="110"/>
    </row>
    <row r="5" spans="2:16" s="84" customFormat="1" x14ac:dyDescent="0.25">
      <c r="B5" s="92"/>
      <c r="C5" s="88" t="s">
        <v>232</v>
      </c>
      <c r="D5" s="88"/>
      <c r="E5" s="88"/>
      <c r="F5" s="88"/>
      <c r="G5" s="88"/>
      <c r="H5" s="88"/>
      <c r="I5" s="88"/>
      <c r="J5" s="88"/>
      <c r="K5" s="88"/>
      <c r="L5" s="88"/>
      <c r="M5" s="88"/>
      <c r="N5" s="111"/>
      <c r="O5" s="112"/>
    </row>
    <row r="6" spans="2:16" s="84" customFormat="1" x14ac:dyDescent="0.25">
      <c r="B6" s="92"/>
      <c r="C6" s="436" t="s">
        <v>233</v>
      </c>
      <c r="D6" s="436"/>
      <c r="E6" s="436"/>
      <c r="F6" s="436"/>
      <c r="G6" s="436"/>
      <c r="H6" s="436"/>
      <c r="I6" s="436"/>
      <c r="J6" s="88"/>
      <c r="K6" s="88"/>
      <c r="L6" s="88"/>
      <c r="M6" s="88"/>
      <c r="N6" s="111"/>
      <c r="O6" s="112"/>
    </row>
    <row r="7" spans="2:16" ht="30" x14ac:dyDescent="0.25">
      <c r="B7" s="93"/>
      <c r="C7" s="94" t="s">
        <v>43</v>
      </c>
      <c r="D7" s="94" t="s">
        <v>234</v>
      </c>
      <c r="E7" s="94" t="s">
        <v>235</v>
      </c>
      <c r="F7" s="94" t="s">
        <v>236</v>
      </c>
      <c r="G7" s="94" t="s">
        <v>237</v>
      </c>
      <c r="H7" s="94" t="s">
        <v>238</v>
      </c>
      <c r="I7" s="94" t="s">
        <v>239</v>
      </c>
      <c r="J7" s="94" t="s">
        <v>240</v>
      </c>
      <c r="K7" s="113" t="s">
        <v>241</v>
      </c>
      <c r="L7" s="113" t="s">
        <v>242</v>
      </c>
      <c r="M7" s="88"/>
      <c r="N7" s="114"/>
      <c r="O7" s="110"/>
    </row>
    <row r="8" spans="2:16" x14ac:dyDescent="0.25">
      <c r="B8" s="93"/>
      <c r="C8" s="437" t="s">
        <v>4</v>
      </c>
      <c r="D8" s="439" t="s">
        <v>35</v>
      </c>
      <c r="E8" s="440">
        <v>1</v>
      </c>
      <c r="F8" s="95">
        <v>4000</v>
      </c>
      <c r="G8" s="96">
        <v>239</v>
      </c>
      <c r="H8" s="97">
        <f t="shared" ref="H8:H10" si="0">G8*F8/1000000</f>
        <v>0.95599999999999996</v>
      </c>
      <c r="I8" s="441">
        <f>AVERAGE(H8:H10)</f>
        <v>0.95333333333333303</v>
      </c>
      <c r="J8" s="442">
        <f>(I8-E8)/E8*100</f>
        <v>-4.6666666666666696</v>
      </c>
      <c r="K8" s="443">
        <f>STDEV(H8:H10)/I8*100</f>
        <v>6.2983665729777396</v>
      </c>
      <c r="L8" s="444" t="s">
        <v>243</v>
      </c>
      <c r="M8" s="88"/>
      <c r="N8" s="114"/>
      <c r="O8" s="110"/>
      <c r="P8" s="115"/>
    </row>
    <row r="9" spans="2:16" x14ac:dyDescent="0.25">
      <c r="B9" s="93"/>
      <c r="C9" s="437"/>
      <c r="D9" s="439"/>
      <c r="E9" s="440"/>
      <c r="F9" s="95">
        <f>F8</f>
        <v>4000</v>
      </c>
      <c r="G9" s="96">
        <v>253</v>
      </c>
      <c r="H9" s="98">
        <f t="shared" si="0"/>
        <v>1.012</v>
      </c>
      <c r="I9" s="441"/>
      <c r="J9" s="442"/>
      <c r="K9" s="443"/>
      <c r="L9" s="444"/>
      <c r="M9" s="88"/>
      <c r="N9" s="114"/>
      <c r="O9" s="110"/>
      <c r="P9" s="115"/>
    </row>
    <row r="10" spans="2:16" x14ac:dyDescent="0.25">
      <c r="B10" s="93"/>
      <c r="C10" s="438"/>
      <c r="D10" s="439"/>
      <c r="E10" s="440"/>
      <c r="F10" s="95">
        <f>F8</f>
        <v>4000</v>
      </c>
      <c r="G10" s="96">
        <v>223</v>
      </c>
      <c r="H10" s="97">
        <f t="shared" si="0"/>
        <v>0.89200000000000002</v>
      </c>
      <c r="I10" s="441"/>
      <c r="J10" s="442"/>
      <c r="K10" s="443"/>
      <c r="L10" s="444"/>
      <c r="M10" s="88"/>
      <c r="N10" s="114"/>
      <c r="O10" s="110"/>
      <c r="P10" s="115"/>
    </row>
    <row r="11" spans="2:16" x14ac:dyDescent="0.25">
      <c r="B11" s="93"/>
      <c r="C11" s="99"/>
      <c r="D11" s="100"/>
      <c r="E11" s="101"/>
      <c r="F11" s="100"/>
      <c r="G11" s="102"/>
      <c r="H11" s="103"/>
      <c r="I11" s="103"/>
      <c r="J11" s="116"/>
      <c r="K11" s="117"/>
      <c r="L11" s="117"/>
      <c r="M11" s="88"/>
      <c r="N11" s="114"/>
      <c r="O11" s="110"/>
    </row>
    <row r="12" spans="2:16" x14ac:dyDescent="0.25">
      <c r="B12" s="93"/>
      <c r="C12" s="99" t="s">
        <v>244</v>
      </c>
      <c r="D12" s="100"/>
      <c r="E12" s="101"/>
      <c r="F12" s="100"/>
      <c r="G12" s="102"/>
      <c r="H12" s="103"/>
      <c r="I12" s="103"/>
      <c r="J12" s="116"/>
      <c r="K12" s="117"/>
      <c r="L12" s="117"/>
      <c r="M12" s="88"/>
      <c r="N12" s="114"/>
      <c r="O12" s="110"/>
    </row>
    <row r="13" spans="2:16" s="85" customFormat="1" x14ac:dyDescent="0.25">
      <c r="B13" s="104"/>
      <c r="C13" s="105" t="s">
        <v>245</v>
      </c>
      <c r="D13" s="106"/>
      <c r="E13" s="106"/>
      <c r="F13" s="106"/>
      <c r="G13" s="106"/>
      <c r="H13" s="106"/>
      <c r="I13" s="106"/>
      <c r="J13" s="106"/>
      <c r="K13" s="106"/>
      <c r="L13" s="106"/>
      <c r="M13" s="106"/>
      <c r="N13" s="118"/>
      <c r="O13" s="119"/>
    </row>
    <row r="26" spans="6:6" x14ac:dyDescent="0.25">
      <c r="F26" s="107"/>
    </row>
  </sheetData>
  <mergeCells count="8">
    <mergeCell ref="J8:J10"/>
    <mergeCell ref="K8:K10"/>
    <mergeCell ref="L8:L10"/>
    <mergeCell ref="C6:I6"/>
    <mergeCell ref="C8:C10"/>
    <mergeCell ref="D8:D10"/>
    <mergeCell ref="E8:E10"/>
    <mergeCell ref="I8:I10"/>
  </mergeCells>
  <phoneticPr fontId="60"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dimension ref="B2:K86"/>
  <sheetViews>
    <sheetView showGridLines="0" zoomScale="90" zoomScaleNormal="90" workbookViewId="0">
      <selection activeCell="K32" sqref="K32"/>
    </sheetView>
  </sheetViews>
  <sheetFormatPr defaultColWidth="9" defaultRowHeight="15" x14ac:dyDescent="0.15"/>
  <cols>
    <col min="1" max="1" width="2.75" style="46" customWidth="1"/>
    <col min="2" max="2" width="9" style="46"/>
    <col min="3" max="3" width="17.625" style="46" customWidth="1"/>
    <col min="4" max="4" width="22.375" style="46" customWidth="1"/>
    <col min="5" max="5" width="21" style="46" customWidth="1"/>
    <col min="6" max="8" width="9" style="46"/>
    <col min="9" max="9" width="14.875" style="46" customWidth="1"/>
    <col min="10" max="10" width="9" style="46"/>
    <col min="11" max="11" width="21.875" style="46" customWidth="1"/>
    <col min="12" max="223" width="9" style="46"/>
    <col min="224" max="224" width="11.375" style="46" customWidth="1"/>
    <col min="225" max="225" width="17.875" style="46" customWidth="1"/>
    <col min="226" max="226" width="19" style="46" customWidth="1"/>
    <col min="227" max="227" width="22.875" style="46" customWidth="1"/>
    <col min="228" max="228" width="12.625" style="46" customWidth="1"/>
    <col min="229" max="479" width="9" style="46"/>
    <col min="480" max="480" width="11.375" style="46" customWidth="1"/>
    <col min="481" max="481" width="17.875" style="46" customWidth="1"/>
    <col min="482" max="482" width="19" style="46" customWidth="1"/>
    <col min="483" max="483" width="22.875" style="46" customWidth="1"/>
    <col min="484" max="484" width="12.625" style="46" customWidth="1"/>
    <col min="485" max="735" width="9" style="46"/>
    <col min="736" max="736" width="11.375" style="46" customWidth="1"/>
    <col min="737" max="737" width="17.875" style="46" customWidth="1"/>
    <col min="738" max="738" width="19" style="46" customWidth="1"/>
    <col min="739" max="739" width="22.875" style="46" customWidth="1"/>
    <col min="740" max="740" width="12.625" style="46" customWidth="1"/>
    <col min="741" max="991" width="9" style="46"/>
    <col min="992" max="992" width="11.375" style="46" customWidth="1"/>
    <col min="993" max="993" width="17.875" style="46" customWidth="1"/>
    <col min="994" max="994" width="19" style="46" customWidth="1"/>
    <col min="995" max="995" width="22.875" style="46" customWidth="1"/>
    <col min="996" max="996" width="12.625" style="46" customWidth="1"/>
    <col min="997" max="1247" width="9" style="46"/>
    <col min="1248" max="1248" width="11.375" style="46" customWidth="1"/>
    <col min="1249" max="1249" width="17.875" style="46" customWidth="1"/>
    <col min="1250" max="1250" width="19" style="46" customWidth="1"/>
    <col min="1251" max="1251" width="22.875" style="46" customWidth="1"/>
    <col min="1252" max="1252" width="12.625" style="46" customWidth="1"/>
    <col min="1253" max="1503" width="9" style="46"/>
    <col min="1504" max="1504" width="11.375" style="46" customWidth="1"/>
    <col min="1505" max="1505" width="17.875" style="46" customWidth="1"/>
    <col min="1506" max="1506" width="19" style="46" customWidth="1"/>
    <col min="1507" max="1507" width="22.875" style="46" customWidth="1"/>
    <col min="1508" max="1508" width="12.625" style="46" customWidth="1"/>
    <col min="1509" max="1759" width="9" style="46"/>
    <col min="1760" max="1760" width="11.375" style="46" customWidth="1"/>
    <col min="1761" max="1761" width="17.875" style="46" customWidth="1"/>
    <col min="1762" max="1762" width="19" style="46" customWidth="1"/>
    <col min="1763" max="1763" width="22.875" style="46" customWidth="1"/>
    <col min="1764" max="1764" width="12.625" style="46" customWidth="1"/>
    <col min="1765" max="2015" width="9" style="46"/>
    <col min="2016" max="2016" width="11.375" style="46" customWidth="1"/>
    <col min="2017" max="2017" width="17.875" style="46" customWidth="1"/>
    <col min="2018" max="2018" width="19" style="46" customWidth="1"/>
    <col min="2019" max="2019" width="22.875" style="46" customWidth="1"/>
    <col min="2020" max="2020" width="12.625" style="46" customWidth="1"/>
    <col min="2021" max="2271" width="9" style="46"/>
    <col min="2272" max="2272" width="11.375" style="46" customWidth="1"/>
    <col min="2273" max="2273" width="17.875" style="46" customWidth="1"/>
    <col min="2274" max="2274" width="19" style="46" customWidth="1"/>
    <col min="2275" max="2275" width="22.875" style="46" customWidth="1"/>
    <col min="2276" max="2276" width="12.625" style="46" customWidth="1"/>
    <col min="2277" max="2527" width="9" style="46"/>
    <col min="2528" max="2528" width="11.375" style="46" customWidth="1"/>
    <col min="2529" max="2529" width="17.875" style="46" customWidth="1"/>
    <col min="2530" max="2530" width="19" style="46" customWidth="1"/>
    <col min="2531" max="2531" width="22.875" style="46" customWidth="1"/>
    <col min="2532" max="2532" width="12.625" style="46" customWidth="1"/>
    <col min="2533" max="2783" width="9" style="46"/>
    <col min="2784" max="2784" width="11.375" style="46" customWidth="1"/>
    <col min="2785" max="2785" width="17.875" style="46" customWidth="1"/>
    <col min="2786" max="2786" width="19" style="46" customWidth="1"/>
    <col min="2787" max="2787" width="22.875" style="46" customWidth="1"/>
    <col min="2788" max="2788" width="12.625" style="46" customWidth="1"/>
    <col min="2789" max="3039" width="9" style="46"/>
    <col min="3040" max="3040" width="11.375" style="46" customWidth="1"/>
    <col min="3041" max="3041" width="17.875" style="46" customWidth="1"/>
    <col min="3042" max="3042" width="19" style="46" customWidth="1"/>
    <col min="3043" max="3043" width="22.875" style="46" customWidth="1"/>
    <col min="3044" max="3044" width="12.625" style="46" customWidth="1"/>
    <col min="3045" max="3295" width="9" style="46"/>
    <col min="3296" max="3296" width="11.375" style="46" customWidth="1"/>
    <col min="3297" max="3297" width="17.875" style="46" customWidth="1"/>
    <col min="3298" max="3298" width="19" style="46" customWidth="1"/>
    <col min="3299" max="3299" width="22.875" style="46" customWidth="1"/>
    <col min="3300" max="3300" width="12.625" style="46" customWidth="1"/>
    <col min="3301" max="3551" width="9" style="46"/>
    <col min="3552" max="3552" width="11.375" style="46" customWidth="1"/>
    <col min="3553" max="3553" width="17.875" style="46" customWidth="1"/>
    <col min="3554" max="3554" width="19" style="46" customWidth="1"/>
    <col min="3555" max="3555" width="22.875" style="46" customWidth="1"/>
    <col min="3556" max="3556" width="12.625" style="46" customWidth="1"/>
    <col min="3557" max="3807" width="9" style="46"/>
    <col min="3808" max="3808" width="11.375" style="46" customWidth="1"/>
    <col min="3809" max="3809" width="17.875" style="46" customWidth="1"/>
    <col min="3810" max="3810" width="19" style="46" customWidth="1"/>
    <col min="3811" max="3811" width="22.875" style="46" customWidth="1"/>
    <col min="3812" max="3812" width="12.625" style="46" customWidth="1"/>
    <col min="3813" max="4063" width="9" style="46"/>
    <col min="4064" max="4064" width="11.375" style="46" customWidth="1"/>
    <col min="4065" max="4065" width="17.875" style="46" customWidth="1"/>
    <col min="4066" max="4066" width="19" style="46" customWidth="1"/>
    <col min="4067" max="4067" width="22.875" style="46" customWidth="1"/>
    <col min="4068" max="4068" width="12.625" style="46" customWidth="1"/>
    <col min="4069" max="4319" width="9" style="46"/>
    <col min="4320" max="4320" width="11.375" style="46" customWidth="1"/>
    <col min="4321" max="4321" width="17.875" style="46" customWidth="1"/>
    <col min="4322" max="4322" width="19" style="46" customWidth="1"/>
    <col min="4323" max="4323" width="22.875" style="46" customWidth="1"/>
    <col min="4324" max="4324" width="12.625" style="46" customWidth="1"/>
    <col min="4325" max="4575" width="9" style="46"/>
    <col min="4576" max="4576" width="11.375" style="46" customWidth="1"/>
    <col min="4577" max="4577" width="17.875" style="46" customWidth="1"/>
    <col min="4578" max="4578" width="19" style="46" customWidth="1"/>
    <col min="4579" max="4579" width="22.875" style="46" customWidth="1"/>
    <col min="4580" max="4580" width="12.625" style="46" customWidth="1"/>
    <col min="4581" max="4831" width="9" style="46"/>
    <col min="4832" max="4832" width="11.375" style="46" customWidth="1"/>
    <col min="4833" max="4833" width="17.875" style="46" customWidth="1"/>
    <col min="4834" max="4834" width="19" style="46" customWidth="1"/>
    <col min="4835" max="4835" width="22.875" style="46" customWidth="1"/>
    <col min="4836" max="4836" width="12.625" style="46" customWidth="1"/>
    <col min="4837" max="5087" width="9" style="46"/>
    <col min="5088" max="5088" width="11.375" style="46" customWidth="1"/>
    <col min="5089" max="5089" width="17.875" style="46" customWidth="1"/>
    <col min="5090" max="5090" width="19" style="46" customWidth="1"/>
    <col min="5091" max="5091" width="22.875" style="46" customWidth="1"/>
    <col min="5092" max="5092" width="12.625" style="46" customWidth="1"/>
    <col min="5093" max="5343" width="9" style="46"/>
    <col min="5344" max="5344" width="11.375" style="46" customWidth="1"/>
    <col min="5345" max="5345" width="17.875" style="46" customWidth="1"/>
    <col min="5346" max="5346" width="19" style="46" customWidth="1"/>
    <col min="5347" max="5347" width="22.875" style="46" customWidth="1"/>
    <col min="5348" max="5348" width="12.625" style="46" customWidth="1"/>
    <col min="5349" max="5599" width="9" style="46"/>
    <col min="5600" max="5600" width="11.375" style="46" customWidth="1"/>
    <col min="5601" max="5601" width="17.875" style="46" customWidth="1"/>
    <col min="5602" max="5602" width="19" style="46" customWidth="1"/>
    <col min="5603" max="5603" width="22.875" style="46" customWidth="1"/>
    <col min="5604" max="5604" width="12.625" style="46" customWidth="1"/>
    <col min="5605" max="5855" width="9" style="46"/>
    <col min="5856" max="5856" width="11.375" style="46" customWidth="1"/>
    <col min="5857" max="5857" width="17.875" style="46" customWidth="1"/>
    <col min="5858" max="5858" width="19" style="46" customWidth="1"/>
    <col min="5859" max="5859" width="22.875" style="46" customWidth="1"/>
    <col min="5860" max="5860" width="12.625" style="46" customWidth="1"/>
    <col min="5861" max="6111" width="9" style="46"/>
    <col min="6112" max="6112" width="11.375" style="46" customWidth="1"/>
    <col min="6113" max="6113" width="17.875" style="46" customWidth="1"/>
    <col min="6114" max="6114" width="19" style="46" customWidth="1"/>
    <col min="6115" max="6115" width="22.875" style="46" customWidth="1"/>
    <col min="6116" max="6116" width="12.625" style="46" customWidth="1"/>
    <col min="6117" max="6367" width="9" style="46"/>
    <col min="6368" max="6368" width="11.375" style="46" customWidth="1"/>
    <col min="6369" max="6369" width="17.875" style="46" customWidth="1"/>
    <col min="6370" max="6370" width="19" style="46" customWidth="1"/>
    <col min="6371" max="6371" width="22.875" style="46" customWidth="1"/>
    <col min="6372" max="6372" width="12.625" style="46" customWidth="1"/>
    <col min="6373" max="6623" width="9" style="46"/>
    <col min="6624" max="6624" width="11.375" style="46" customWidth="1"/>
    <col min="6625" max="6625" width="17.875" style="46" customWidth="1"/>
    <col min="6626" max="6626" width="19" style="46" customWidth="1"/>
    <col min="6627" max="6627" width="22.875" style="46" customWidth="1"/>
    <col min="6628" max="6628" width="12.625" style="46" customWidth="1"/>
    <col min="6629" max="6879" width="9" style="46"/>
    <col min="6880" max="6880" width="11.375" style="46" customWidth="1"/>
    <col min="6881" max="6881" width="17.875" style="46" customWidth="1"/>
    <col min="6882" max="6882" width="19" style="46" customWidth="1"/>
    <col min="6883" max="6883" width="22.875" style="46" customWidth="1"/>
    <col min="6884" max="6884" width="12.625" style="46" customWidth="1"/>
    <col min="6885" max="7135" width="9" style="46"/>
    <col min="7136" max="7136" width="11.375" style="46" customWidth="1"/>
    <col min="7137" max="7137" width="17.875" style="46" customWidth="1"/>
    <col min="7138" max="7138" width="19" style="46" customWidth="1"/>
    <col min="7139" max="7139" width="22.875" style="46" customWidth="1"/>
    <col min="7140" max="7140" width="12.625" style="46" customWidth="1"/>
    <col min="7141" max="7391" width="9" style="46"/>
    <col min="7392" max="7392" width="11.375" style="46" customWidth="1"/>
    <col min="7393" max="7393" width="17.875" style="46" customWidth="1"/>
    <col min="7394" max="7394" width="19" style="46" customWidth="1"/>
    <col min="7395" max="7395" width="22.875" style="46" customWidth="1"/>
    <col min="7396" max="7396" width="12.625" style="46" customWidth="1"/>
    <col min="7397" max="7647" width="9" style="46"/>
    <col min="7648" max="7648" width="11.375" style="46" customWidth="1"/>
    <col min="7649" max="7649" width="17.875" style="46" customWidth="1"/>
    <col min="7650" max="7650" width="19" style="46" customWidth="1"/>
    <col min="7651" max="7651" width="22.875" style="46" customWidth="1"/>
    <col min="7652" max="7652" width="12.625" style="46" customWidth="1"/>
    <col min="7653" max="7903" width="9" style="46"/>
    <col min="7904" max="7904" width="11.375" style="46" customWidth="1"/>
    <col min="7905" max="7905" width="17.875" style="46" customWidth="1"/>
    <col min="7906" max="7906" width="19" style="46" customWidth="1"/>
    <col min="7907" max="7907" width="22.875" style="46" customWidth="1"/>
    <col min="7908" max="7908" width="12.625" style="46" customWidth="1"/>
    <col min="7909" max="8159" width="9" style="46"/>
    <col min="8160" max="8160" width="11.375" style="46" customWidth="1"/>
    <col min="8161" max="8161" width="17.875" style="46" customWidth="1"/>
    <col min="8162" max="8162" width="19" style="46" customWidth="1"/>
    <col min="8163" max="8163" width="22.875" style="46" customWidth="1"/>
    <col min="8164" max="8164" width="12.625" style="46" customWidth="1"/>
    <col min="8165" max="8415" width="9" style="46"/>
    <col min="8416" max="8416" width="11.375" style="46" customWidth="1"/>
    <col min="8417" max="8417" width="17.875" style="46" customWidth="1"/>
    <col min="8418" max="8418" width="19" style="46" customWidth="1"/>
    <col min="8419" max="8419" width="22.875" style="46" customWidth="1"/>
    <col min="8420" max="8420" width="12.625" style="46" customWidth="1"/>
    <col min="8421" max="8671" width="9" style="46"/>
    <col min="8672" max="8672" width="11.375" style="46" customWidth="1"/>
    <col min="8673" max="8673" width="17.875" style="46" customWidth="1"/>
    <col min="8674" max="8674" width="19" style="46" customWidth="1"/>
    <col min="8675" max="8675" width="22.875" style="46" customWidth="1"/>
    <col min="8676" max="8676" width="12.625" style="46" customWidth="1"/>
    <col min="8677" max="8927" width="9" style="46"/>
    <col min="8928" max="8928" width="11.375" style="46" customWidth="1"/>
    <col min="8929" max="8929" width="17.875" style="46" customWidth="1"/>
    <col min="8930" max="8930" width="19" style="46" customWidth="1"/>
    <col min="8931" max="8931" width="22.875" style="46" customWidth="1"/>
    <col min="8932" max="8932" width="12.625" style="46" customWidth="1"/>
    <col min="8933" max="9183" width="9" style="46"/>
    <col min="9184" max="9184" width="11.375" style="46" customWidth="1"/>
    <col min="9185" max="9185" width="17.875" style="46" customWidth="1"/>
    <col min="9186" max="9186" width="19" style="46" customWidth="1"/>
    <col min="9187" max="9187" width="22.875" style="46" customWidth="1"/>
    <col min="9188" max="9188" width="12.625" style="46" customWidth="1"/>
    <col min="9189" max="9439" width="9" style="46"/>
    <col min="9440" max="9440" width="11.375" style="46" customWidth="1"/>
    <col min="9441" max="9441" width="17.875" style="46" customWidth="1"/>
    <col min="9442" max="9442" width="19" style="46" customWidth="1"/>
    <col min="9443" max="9443" width="22.875" style="46" customWidth="1"/>
    <col min="9444" max="9444" width="12.625" style="46" customWidth="1"/>
    <col min="9445" max="9695" width="9" style="46"/>
    <col min="9696" max="9696" width="11.375" style="46" customWidth="1"/>
    <col min="9697" max="9697" width="17.875" style="46" customWidth="1"/>
    <col min="9698" max="9698" width="19" style="46" customWidth="1"/>
    <col min="9699" max="9699" width="22.875" style="46" customWidth="1"/>
    <col min="9700" max="9700" width="12.625" style="46" customWidth="1"/>
    <col min="9701" max="9951" width="9" style="46"/>
    <col min="9952" max="9952" width="11.375" style="46" customWidth="1"/>
    <col min="9953" max="9953" width="17.875" style="46" customWidth="1"/>
    <col min="9954" max="9954" width="19" style="46" customWidth="1"/>
    <col min="9955" max="9955" width="22.875" style="46" customWidth="1"/>
    <col min="9956" max="9956" width="12.625" style="46" customWidth="1"/>
    <col min="9957" max="10207" width="9" style="46"/>
    <col min="10208" max="10208" width="11.375" style="46" customWidth="1"/>
    <col min="10209" max="10209" width="17.875" style="46" customWidth="1"/>
    <col min="10210" max="10210" width="19" style="46" customWidth="1"/>
    <col min="10211" max="10211" width="22.875" style="46" customWidth="1"/>
    <col min="10212" max="10212" width="12.625" style="46" customWidth="1"/>
    <col min="10213" max="10463" width="9" style="46"/>
    <col min="10464" max="10464" width="11.375" style="46" customWidth="1"/>
    <col min="10465" max="10465" width="17.875" style="46" customWidth="1"/>
    <col min="10466" max="10466" width="19" style="46" customWidth="1"/>
    <col min="10467" max="10467" width="22.875" style="46" customWidth="1"/>
    <col min="10468" max="10468" width="12.625" style="46" customWidth="1"/>
    <col min="10469" max="10719" width="9" style="46"/>
    <col min="10720" max="10720" width="11.375" style="46" customWidth="1"/>
    <col min="10721" max="10721" width="17.875" style="46" customWidth="1"/>
    <col min="10722" max="10722" width="19" style="46" customWidth="1"/>
    <col min="10723" max="10723" width="22.875" style="46" customWidth="1"/>
    <col min="10724" max="10724" width="12.625" style="46" customWidth="1"/>
    <col min="10725" max="10975" width="9" style="46"/>
    <col min="10976" max="10976" width="11.375" style="46" customWidth="1"/>
    <col min="10977" max="10977" width="17.875" style="46" customWidth="1"/>
    <col min="10978" max="10978" width="19" style="46" customWidth="1"/>
    <col min="10979" max="10979" width="22.875" style="46" customWidth="1"/>
    <col min="10980" max="10980" width="12.625" style="46" customWidth="1"/>
    <col min="10981" max="11231" width="9" style="46"/>
    <col min="11232" max="11232" width="11.375" style="46" customWidth="1"/>
    <col min="11233" max="11233" width="17.875" style="46" customWidth="1"/>
    <col min="11234" max="11234" width="19" style="46" customWidth="1"/>
    <col min="11235" max="11235" width="22.875" style="46" customWidth="1"/>
    <col min="11236" max="11236" width="12.625" style="46" customWidth="1"/>
    <col min="11237" max="11487" width="9" style="46"/>
    <col min="11488" max="11488" width="11.375" style="46" customWidth="1"/>
    <col min="11489" max="11489" width="17.875" style="46" customWidth="1"/>
    <col min="11490" max="11490" width="19" style="46" customWidth="1"/>
    <col min="11491" max="11491" width="22.875" style="46" customWidth="1"/>
    <col min="11492" max="11492" width="12.625" style="46" customWidth="1"/>
    <col min="11493" max="11743" width="9" style="46"/>
    <col min="11744" max="11744" width="11.375" style="46" customWidth="1"/>
    <col min="11745" max="11745" width="17.875" style="46" customWidth="1"/>
    <col min="11746" max="11746" width="19" style="46" customWidth="1"/>
    <col min="11747" max="11747" width="22.875" style="46" customWidth="1"/>
    <col min="11748" max="11748" width="12.625" style="46" customWidth="1"/>
    <col min="11749" max="11999" width="9" style="46"/>
    <col min="12000" max="12000" width="11.375" style="46" customWidth="1"/>
    <col min="12001" max="12001" width="17.875" style="46" customWidth="1"/>
    <col min="12002" max="12002" width="19" style="46" customWidth="1"/>
    <col min="12003" max="12003" width="22.875" style="46" customWidth="1"/>
    <col min="12004" max="12004" width="12.625" style="46" customWidth="1"/>
    <col min="12005" max="12255" width="9" style="46"/>
    <col min="12256" max="12256" width="11.375" style="46" customWidth="1"/>
    <col min="12257" max="12257" width="17.875" style="46" customWidth="1"/>
    <col min="12258" max="12258" width="19" style="46" customWidth="1"/>
    <col min="12259" max="12259" width="22.875" style="46" customWidth="1"/>
    <col min="12260" max="12260" width="12.625" style="46" customWidth="1"/>
    <col min="12261" max="12511" width="9" style="46"/>
    <col min="12512" max="12512" width="11.375" style="46" customWidth="1"/>
    <col min="12513" max="12513" width="17.875" style="46" customWidth="1"/>
    <col min="12514" max="12514" width="19" style="46" customWidth="1"/>
    <col min="12515" max="12515" width="22.875" style="46" customWidth="1"/>
    <col min="12516" max="12516" width="12.625" style="46" customWidth="1"/>
    <col min="12517" max="12767" width="9" style="46"/>
    <col min="12768" max="12768" width="11.375" style="46" customWidth="1"/>
    <col min="12769" max="12769" width="17.875" style="46" customWidth="1"/>
    <col min="12770" max="12770" width="19" style="46" customWidth="1"/>
    <col min="12771" max="12771" width="22.875" style="46" customWidth="1"/>
    <col min="12772" max="12772" width="12.625" style="46" customWidth="1"/>
    <col min="12773" max="13023" width="9" style="46"/>
    <col min="13024" max="13024" width="11.375" style="46" customWidth="1"/>
    <col min="13025" max="13025" width="17.875" style="46" customWidth="1"/>
    <col min="13026" max="13026" width="19" style="46" customWidth="1"/>
    <col min="13027" max="13027" width="22.875" style="46" customWidth="1"/>
    <col min="13028" max="13028" width="12.625" style="46" customWidth="1"/>
    <col min="13029" max="13279" width="9" style="46"/>
    <col min="13280" max="13280" width="11.375" style="46" customWidth="1"/>
    <col min="13281" max="13281" width="17.875" style="46" customWidth="1"/>
    <col min="13282" max="13282" width="19" style="46" customWidth="1"/>
    <col min="13283" max="13283" width="22.875" style="46" customWidth="1"/>
    <col min="13284" max="13284" width="12.625" style="46" customWidth="1"/>
    <col min="13285" max="13535" width="9" style="46"/>
    <col min="13536" max="13536" width="11.375" style="46" customWidth="1"/>
    <col min="13537" max="13537" width="17.875" style="46" customWidth="1"/>
    <col min="13538" max="13538" width="19" style="46" customWidth="1"/>
    <col min="13539" max="13539" width="22.875" style="46" customWidth="1"/>
    <col min="13540" max="13540" width="12.625" style="46" customWidth="1"/>
    <col min="13541" max="13791" width="9" style="46"/>
    <col min="13792" max="13792" width="11.375" style="46" customWidth="1"/>
    <col min="13793" max="13793" width="17.875" style="46" customWidth="1"/>
    <col min="13794" max="13794" width="19" style="46" customWidth="1"/>
    <col min="13795" max="13795" width="22.875" style="46" customWidth="1"/>
    <col min="13796" max="13796" width="12.625" style="46" customWidth="1"/>
    <col min="13797" max="14047" width="9" style="46"/>
    <col min="14048" max="14048" width="11.375" style="46" customWidth="1"/>
    <col min="14049" max="14049" width="17.875" style="46" customWidth="1"/>
    <col min="14050" max="14050" width="19" style="46" customWidth="1"/>
    <col min="14051" max="14051" width="22.875" style="46" customWidth="1"/>
    <col min="14052" max="14052" width="12.625" style="46" customWidth="1"/>
    <col min="14053" max="14303" width="9" style="46"/>
    <col min="14304" max="14304" width="11.375" style="46" customWidth="1"/>
    <col min="14305" max="14305" width="17.875" style="46" customWidth="1"/>
    <col min="14306" max="14306" width="19" style="46" customWidth="1"/>
    <col min="14307" max="14307" width="22.875" style="46" customWidth="1"/>
    <col min="14308" max="14308" width="12.625" style="46" customWidth="1"/>
    <col min="14309" max="14559" width="9" style="46"/>
    <col min="14560" max="14560" width="11.375" style="46" customWidth="1"/>
    <col min="14561" max="14561" width="17.875" style="46" customWidth="1"/>
    <col min="14562" max="14562" width="19" style="46" customWidth="1"/>
    <col min="14563" max="14563" width="22.875" style="46" customWidth="1"/>
    <col min="14564" max="14564" width="12.625" style="46" customWidth="1"/>
    <col min="14565" max="14815" width="9" style="46"/>
    <col min="14816" max="14816" width="11.375" style="46" customWidth="1"/>
    <col min="14817" max="14817" width="17.875" style="46" customWidth="1"/>
    <col min="14818" max="14818" width="19" style="46" customWidth="1"/>
    <col min="14819" max="14819" width="22.875" style="46" customWidth="1"/>
    <col min="14820" max="14820" width="12.625" style="46" customWidth="1"/>
    <col min="14821" max="15071" width="9" style="46"/>
    <col min="15072" max="15072" width="11.375" style="46" customWidth="1"/>
    <col min="15073" max="15073" width="17.875" style="46" customWidth="1"/>
    <col min="15074" max="15074" width="19" style="46" customWidth="1"/>
    <col min="15075" max="15075" width="22.875" style="46" customWidth="1"/>
    <col min="15076" max="15076" width="12.625" style="46" customWidth="1"/>
    <col min="15077" max="15327" width="9" style="46"/>
    <col min="15328" max="15328" width="11.375" style="46" customWidth="1"/>
    <col min="15329" max="15329" width="17.875" style="46" customWidth="1"/>
    <col min="15330" max="15330" width="19" style="46" customWidth="1"/>
    <col min="15331" max="15331" width="22.875" style="46" customWidth="1"/>
    <col min="15332" max="15332" width="12.625" style="46" customWidth="1"/>
    <col min="15333" max="15583" width="9" style="46"/>
    <col min="15584" max="15584" width="11.375" style="46" customWidth="1"/>
    <col min="15585" max="15585" width="17.875" style="46" customWidth="1"/>
    <col min="15586" max="15586" width="19" style="46" customWidth="1"/>
    <col min="15587" max="15587" width="22.875" style="46" customWidth="1"/>
    <col min="15588" max="15588" width="12.625" style="46" customWidth="1"/>
    <col min="15589" max="15839" width="9" style="46"/>
    <col min="15840" max="15840" width="11.375" style="46" customWidth="1"/>
    <col min="15841" max="15841" width="17.875" style="46" customWidth="1"/>
    <col min="15842" max="15842" width="19" style="46" customWidth="1"/>
    <col min="15843" max="15843" width="22.875" style="46" customWidth="1"/>
    <col min="15844" max="15844" width="12.625" style="46" customWidth="1"/>
    <col min="15845" max="16095" width="9" style="46"/>
    <col min="16096" max="16096" width="11.375" style="46" customWidth="1"/>
    <col min="16097" max="16097" width="17.875" style="46" customWidth="1"/>
    <col min="16098" max="16098" width="19" style="46" customWidth="1"/>
    <col min="16099" max="16099" width="22.875" style="46" customWidth="1"/>
    <col min="16100" max="16100" width="12.625" style="46" customWidth="1"/>
    <col min="16101" max="16384" width="9" style="46"/>
  </cols>
  <sheetData>
    <row r="2" spans="2:10" x14ac:dyDescent="0.15">
      <c r="B2" s="47" t="s">
        <v>246</v>
      </c>
      <c r="C2" s="48"/>
      <c r="D2" s="48"/>
      <c r="E2" s="48"/>
      <c r="F2" s="49"/>
      <c r="G2" s="49"/>
      <c r="H2" s="49"/>
      <c r="I2" s="49"/>
      <c r="J2" s="79"/>
    </row>
    <row r="3" spans="2:10" x14ac:dyDescent="0.15">
      <c r="B3" s="50"/>
      <c r="C3" s="51" t="s">
        <v>247</v>
      </c>
      <c r="D3" s="52" t="s">
        <v>248</v>
      </c>
      <c r="E3" s="53"/>
      <c r="F3" s="54"/>
      <c r="G3" s="54"/>
      <c r="H3" s="54"/>
      <c r="I3" s="54"/>
      <c r="J3" s="80"/>
    </row>
    <row r="4" spans="2:10" x14ac:dyDescent="0.15">
      <c r="B4" s="50"/>
      <c r="C4" s="51"/>
      <c r="D4" s="53"/>
      <c r="E4" s="53"/>
      <c r="F4" s="54"/>
      <c r="G4" s="54"/>
      <c r="H4" s="54"/>
      <c r="I4" s="54"/>
      <c r="J4" s="80"/>
    </row>
    <row r="5" spans="2:10" ht="26.1" customHeight="1" x14ac:dyDescent="0.15">
      <c r="B5" s="50"/>
      <c r="C5" s="55" t="s">
        <v>249</v>
      </c>
      <c r="D5" s="56" t="s">
        <v>250</v>
      </c>
      <c r="E5" s="53"/>
      <c r="F5" s="54"/>
      <c r="G5" s="54"/>
      <c r="H5" s="54"/>
      <c r="I5" s="54"/>
      <c r="J5" s="80"/>
    </row>
    <row r="6" spans="2:10" x14ac:dyDescent="0.15">
      <c r="B6" s="50"/>
      <c r="C6" s="51" t="s">
        <v>251</v>
      </c>
      <c r="D6" s="57" t="s">
        <v>252</v>
      </c>
      <c r="E6" s="53"/>
      <c r="F6" s="54"/>
      <c r="G6" s="54"/>
      <c r="H6" s="54"/>
      <c r="I6" s="54"/>
      <c r="J6" s="80"/>
    </row>
    <row r="7" spans="2:10" x14ac:dyDescent="0.15">
      <c r="B7" s="50"/>
      <c r="C7" s="51"/>
      <c r="D7" s="53"/>
      <c r="E7" s="53"/>
      <c r="F7" s="54"/>
      <c r="G7" s="54"/>
      <c r="H7" s="54"/>
      <c r="I7" s="54"/>
      <c r="J7" s="80"/>
    </row>
    <row r="8" spans="2:10" ht="19.5" customHeight="1" x14ac:dyDescent="0.15">
      <c r="B8" s="50"/>
      <c r="C8" s="51" t="s">
        <v>253</v>
      </c>
      <c r="D8" s="58" t="str">
        <f>封面!B7</f>
        <v>HW356009</v>
      </c>
      <c r="E8" s="53"/>
      <c r="F8" s="54"/>
      <c r="G8" s="54"/>
      <c r="H8" s="54"/>
      <c r="I8" s="54"/>
      <c r="J8" s="80"/>
    </row>
    <row r="9" spans="2:10" x14ac:dyDescent="0.15">
      <c r="B9" s="50"/>
      <c r="C9" s="51"/>
      <c r="D9" s="53"/>
      <c r="E9" s="53"/>
      <c r="F9" s="54"/>
      <c r="G9" s="54"/>
      <c r="H9" s="54"/>
      <c r="I9" s="54"/>
      <c r="J9" s="80"/>
    </row>
    <row r="10" spans="2:10" x14ac:dyDescent="0.15">
      <c r="B10" s="59"/>
      <c r="C10" s="51" t="s">
        <v>254</v>
      </c>
      <c r="D10" s="57" t="s">
        <v>255</v>
      </c>
      <c r="E10" s="57"/>
      <c r="F10" s="54"/>
      <c r="G10" s="54"/>
      <c r="H10" s="54"/>
      <c r="I10" s="54"/>
      <c r="J10" s="80"/>
    </row>
    <row r="11" spans="2:10" x14ac:dyDescent="0.15">
      <c r="B11" s="59"/>
      <c r="C11" s="60"/>
      <c r="D11" s="53"/>
      <c r="E11" s="53"/>
      <c r="F11" s="54"/>
      <c r="G11" s="54"/>
      <c r="H11" s="54"/>
      <c r="I11" s="54"/>
      <c r="J11" s="80"/>
    </row>
    <row r="12" spans="2:10" x14ac:dyDescent="0.15">
      <c r="B12" s="59"/>
      <c r="C12" s="51" t="s">
        <v>256</v>
      </c>
      <c r="D12" s="57" t="s">
        <v>257</v>
      </c>
      <c r="E12" s="53"/>
      <c r="F12" s="54"/>
      <c r="G12" s="54"/>
      <c r="H12" s="54"/>
      <c r="I12" s="54"/>
      <c r="J12" s="80"/>
    </row>
    <row r="13" spans="2:10" x14ac:dyDescent="0.15">
      <c r="B13" s="59"/>
      <c r="C13" s="51"/>
      <c r="D13" s="57" t="s">
        <v>258</v>
      </c>
      <c r="E13" s="53"/>
      <c r="F13" s="54"/>
      <c r="G13" s="54"/>
      <c r="H13" s="54"/>
      <c r="I13" s="54"/>
      <c r="J13" s="80"/>
    </row>
    <row r="14" spans="2:10" ht="21" customHeight="1" x14ac:dyDescent="0.15">
      <c r="B14" s="59"/>
      <c r="C14" s="51"/>
      <c r="D14" s="58" t="str">
        <f>封面!B7</f>
        <v>HW356009</v>
      </c>
      <c r="E14" s="57" t="s">
        <v>259</v>
      </c>
      <c r="F14" s="54"/>
      <c r="G14" s="54"/>
      <c r="H14" s="54"/>
      <c r="I14" s="54"/>
      <c r="J14" s="80"/>
    </row>
    <row r="15" spans="2:10" x14ac:dyDescent="0.15">
      <c r="B15" s="59" t="s">
        <v>260</v>
      </c>
      <c r="C15" s="60"/>
      <c r="D15" s="57" t="s">
        <v>255</v>
      </c>
      <c r="E15" s="57" t="s">
        <v>261</v>
      </c>
      <c r="F15" s="54"/>
      <c r="G15" s="54"/>
      <c r="H15" s="54"/>
      <c r="I15" s="54"/>
      <c r="J15" s="80"/>
    </row>
    <row r="16" spans="2:10" x14ac:dyDescent="0.15">
      <c r="B16" s="50"/>
      <c r="C16" s="51" t="s">
        <v>262</v>
      </c>
      <c r="D16" s="57"/>
      <c r="E16" s="53"/>
      <c r="F16" s="54"/>
      <c r="G16" s="54"/>
      <c r="H16" s="54"/>
      <c r="I16" s="54"/>
      <c r="J16" s="80"/>
    </row>
    <row r="17" spans="2:11" x14ac:dyDescent="0.15">
      <c r="B17" s="50"/>
      <c r="C17" s="51"/>
      <c r="D17" s="61" t="s">
        <v>263</v>
      </c>
      <c r="E17" s="62" t="s">
        <v>264</v>
      </c>
      <c r="F17" s="63"/>
      <c r="G17" s="64"/>
      <c r="H17" s="63"/>
      <c r="I17" s="54"/>
      <c r="J17" s="80"/>
    </row>
    <row r="18" spans="2:11" x14ac:dyDescent="0.15">
      <c r="B18" s="50"/>
      <c r="C18" s="51"/>
      <c r="D18" s="61" t="s">
        <v>265</v>
      </c>
      <c r="E18" s="65" t="s">
        <v>266</v>
      </c>
      <c r="F18" s="63"/>
      <c r="G18" s="64"/>
      <c r="H18" s="63"/>
      <c r="I18" s="54"/>
      <c r="J18" s="80"/>
    </row>
    <row r="19" spans="2:11" x14ac:dyDescent="0.15">
      <c r="B19" s="50"/>
      <c r="C19" s="51"/>
      <c r="D19" s="61" t="s">
        <v>267</v>
      </c>
      <c r="E19" s="64" t="s">
        <v>268</v>
      </c>
      <c r="F19" s="64"/>
      <c r="G19" s="61"/>
      <c r="H19" s="63"/>
      <c r="I19" s="54"/>
      <c r="J19" s="80"/>
    </row>
    <row r="20" spans="2:11" x14ac:dyDescent="0.15">
      <c r="B20" s="50"/>
      <c r="C20" s="51"/>
      <c r="D20" s="61"/>
      <c r="E20" s="66" t="s">
        <v>269</v>
      </c>
      <c r="F20" s="63"/>
      <c r="G20" s="64"/>
      <c r="H20" s="63"/>
      <c r="I20" s="54"/>
      <c r="J20" s="80"/>
    </row>
    <row r="21" spans="2:11" x14ac:dyDescent="0.15">
      <c r="B21" s="50"/>
      <c r="C21" s="51"/>
      <c r="D21" s="67" t="s">
        <v>270</v>
      </c>
      <c r="E21" s="67"/>
      <c r="F21" s="64"/>
      <c r="G21" s="64"/>
      <c r="H21" s="64"/>
      <c r="I21" s="54"/>
      <c r="J21" s="80"/>
    </row>
    <row r="22" spans="2:11" ht="30" x14ac:dyDescent="0.15">
      <c r="B22" s="50"/>
      <c r="C22" s="51"/>
      <c r="D22" s="61"/>
      <c r="E22" s="68" t="s">
        <v>271</v>
      </c>
      <c r="F22" s="68" t="s">
        <v>272</v>
      </c>
      <c r="G22" s="68" t="s">
        <v>273</v>
      </c>
      <c r="H22" s="68" t="s">
        <v>274</v>
      </c>
      <c r="I22" s="54"/>
      <c r="J22" s="80"/>
    </row>
    <row r="23" spans="2:11" x14ac:dyDescent="0.15">
      <c r="B23" s="50"/>
      <c r="C23" s="51"/>
      <c r="D23" s="61"/>
      <c r="E23" s="69">
        <v>1.6</v>
      </c>
      <c r="F23" s="70">
        <v>0.8</v>
      </c>
      <c r="G23" s="70">
        <f>100-H23</f>
        <v>5</v>
      </c>
      <c r="H23" s="70">
        <v>95</v>
      </c>
      <c r="I23" s="54"/>
      <c r="J23" s="80"/>
    </row>
    <row r="24" spans="2:11" x14ac:dyDescent="0.15">
      <c r="B24" s="50"/>
      <c r="C24" s="53"/>
      <c r="D24" s="61"/>
      <c r="E24" s="71">
        <v>1.9</v>
      </c>
      <c r="F24" s="70">
        <f>F23</f>
        <v>0.8</v>
      </c>
      <c r="G24" s="72">
        <f>100-H24</f>
        <v>5</v>
      </c>
      <c r="H24" s="72">
        <v>95</v>
      </c>
      <c r="I24" s="54"/>
      <c r="J24" s="80"/>
    </row>
    <row r="25" spans="2:11" x14ac:dyDescent="0.15">
      <c r="B25" s="50"/>
      <c r="C25" s="53"/>
      <c r="D25" s="61"/>
      <c r="E25" s="71">
        <v>1.91</v>
      </c>
      <c r="F25" s="70">
        <f>F24</f>
        <v>0.8</v>
      </c>
      <c r="G25" s="70">
        <f>100-H25</f>
        <v>80</v>
      </c>
      <c r="H25" s="72">
        <v>20</v>
      </c>
      <c r="I25" s="54"/>
      <c r="J25" s="80"/>
    </row>
    <row r="26" spans="2:11" x14ac:dyDescent="0.15">
      <c r="B26" s="50"/>
      <c r="C26" s="53"/>
      <c r="D26" s="61"/>
      <c r="E26" s="69">
        <v>2.2000000000000002</v>
      </c>
      <c r="F26" s="70">
        <f>F24</f>
        <v>0.8</v>
      </c>
      <c r="G26" s="70">
        <f>100-H26</f>
        <v>80</v>
      </c>
      <c r="H26" s="72">
        <v>20</v>
      </c>
      <c r="I26" s="54"/>
      <c r="J26" s="80"/>
    </row>
    <row r="27" spans="2:11" x14ac:dyDescent="0.15">
      <c r="B27" s="50"/>
      <c r="C27" s="53"/>
      <c r="D27" s="61" t="s">
        <v>275</v>
      </c>
      <c r="E27" s="61">
        <v>40</v>
      </c>
      <c r="F27" s="73"/>
      <c r="G27" s="73"/>
      <c r="H27" s="73"/>
      <c r="I27" s="54"/>
      <c r="J27" s="80"/>
    </row>
    <row r="28" spans="2:11" x14ac:dyDescent="0.15">
      <c r="B28" s="50"/>
      <c r="C28" s="53"/>
      <c r="D28" s="61" t="s">
        <v>276</v>
      </c>
      <c r="E28" s="61" t="s">
        <v>277</v>
      </c>
      <c r="F28" s="73"/>
      <c r="G28" s="73"/>
      <c r="H28" s="73"/>
      <c r="I28" s="54"/>
      <c r="J28" s="80"/>
    </row>
    <row r="29" spans="2:11" x14ac:dyDescent="0.15">
      <c r="B29" s="50"/>
      <c r="C29" s="53"/>
      <c r="D29" s="57" t="s">
        <v>278</v>
      </c>
      <c r="E29" s="53"/>
      <c r="F29" s="54"/>
      <c r="G29" s="54"/>
      <c r="H29" s="54"/>
      <c r="I29" s="54"/>
      <c r="J29" s="80"/>
    </row>
    <row r="30" spans="2:11" x14ac:dyDescent="0.15">
      <c r="B30" s="50"/>
      <c r="C30" s="53"/>
      <c r="D30" s="58" t="str">
        <f>封面!B7</f>
        <v>HW356009</v>
      </c>
      <c r="E30" s="57" t="s">
        <v>279</v>
      </c>
      <c r="F30" s="54"/>
      <c r="G30" s="54"/>
      <c r="H30" s="54"/>
      <c r="I30" s="54"/>
      <c r="J30" s="80"/>
    </row>
    <row r="31" spans="2:11" x14ac:dyDescent="0.15">
      <c r="B31" s="50"/>
      <c r="C31" s="53"/>
      <c r="D31" s="57" t="s">
        <v>280</v>
      </c>
      <c r="E31" s="57" t="s">
        <v>281</v>
      </c>
      <c r="F31" s="54"/>
      <c r="G31" s="54"/>
      <c r="H31" s="54"/>
      <c r="I31" s="54"/>
      <c r="J31" s="80"/>
    </row>
    <row r="32" spans="2:11" ht="117" customHeight="1" x14ac:dyDescent="0.15">
      <c r="B32" s="50"/>
      <c r="C32" s="51" t="s">
        <v>282</v>
      </c>
      <c r="D32" s="445" t="s">
        <v>283</v>
      </c>
      <c r="E32" s="445"/>
      <c r="F32" s="445"/>
      <c r="G32" s="445"/>
      <c r="H32" s="445"/>
      <c r="I32" s="445"/>
      <c r="J32" s="80"/>
      <c r="K32" s="81"/>
    </row>
    <row r="33" spans="2:10" x14ac:dyDescent="0.15">
      <c r="B33" s="74"/>
      <c r="C33" s="75" t="s">
        <v>284</v>
      </c>
      <c r="D33" s="76" t="s">
        <v>285</v>
      </c>
      <c r="E33" s="77"/>
      <c r="F33" s="78"/>
      <c r="G33" s="78"/>
      <c r="H33" s="78"/>
      <c r="I33" s="78"/>
      <c r="J33" s="82"/>
    </row>
    <row r="70" spans="5:5" x14ac:dyDescent="0.15">
      <c r="E70" s="83"/>
    </row>
    <row r="86" spans="5:5" x14ac:dyDescent="0.15">
      <c r="E86" s="83"/>
    </row>
  </sheetData>
  <mergeCells count="1">
    <mergeCell ref="D32:I32"/>
  </mergeCells>
  <phoneticPr fontId="60" type="noConversion"/>
  <pageMargins left="0.7" right="0.7" top="0.75" bottom="0.75" header="0.3" footer="0.3"/>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tabColor theme="0"/>
  </sheetPr>
  <dimension ref="B2:L51"/>
  <sheetViews>
    <sheetView showGridLines="0" workbookViewId="0">
      <selection activeCell="M32" sqref="M32"/>
    </sheetView>
  </sheetViews>
  <sheetFormatPr defaultColWidth="9" defaultRowHeight="15" x14ac:dyDescent="0.25"/>
  <cols>
    <col min="1" max="1" width="9" style="1"/>
    <col min="2" max="2" width="1.625" style="2" customWidth="1"/>
    <col min="3" max="3" width="14.625" style="3" customWidth="1"/>
    <col min="4" max="4" width="15.125" style="3" customWidth="1"/>
    <col min="5" max="6" width="10.375" style="3" customWidth="1"/>
    <col min="7" max="7" width="10.875" style="3" customWidth="1"/>
    <col min="8" max="8" width="11.875" style="3" customWidth="1"/>
    <col min="9" max="9" width="12.375" style="3" customWidth="1"/>
    <col min="10" max="10" width="10" style="3" customWidth="1"/>
    <col min="11" max="11" width="11.625" style="3" customWidth="1"/>
    <col min="12" max="12" width="1.75" style="3" customWidth="1"/>
    <col min="13" max="16384" width="9" style="1"/>
  </cols>
  <sheetData>
    <row r="2" spans="2:12" x14ac:dyDescent="0.25">
      <c r="B2" s="4"/>
      <c r="C2" s="5"/>
      <c r="D2" s="5"/>
      <c r="E2" s="5"/>
      <c r="F2" s="5"/>
      <c r="G2" s="5"/>
      <c r="H2" s="5"/>
      <c r="I2" s="5"/>
      <c r="J2" s="5"/>
      <c r="K2" s="5"/>
      <c r="L2" s="36"/>
    </row>
    <row r="3" spans="2:12" x14ac:dyDescent="0.25">
      <c r="B3" s="6"/>
      <c r="C3" s="7" t="s">
        <v>286</v>
      </c>
      <c r="D3" s="8"/>
      <c r="E3" s="8"/>
      <c r="F3" s="8"/>
      <c r="G3" s="8"/>
      <c r="H3" s="8"/>
      <c r="I3" s="8"/>
      <c r="J3" s="8"/>
      <c r="K3" s="8"/>
      <c r="L3" s="37"/>
    </row>
    <row r="4" spans="2:12" x14ac:dyDescent="0.25">
      <c r="B4" s="6"/>
      <c r="C4" s="8"/>
      <c r="D4" s="8"/>
      <c r="E4" s="8"/>
      <c r="F4" s="8"/>
      <c r="G4" s="8"/>
      <c r="H4" s="8"/>
      <c r="I4" s="8"/>
      <c r="J4" s="8"/>
      <c r="K4" s="8"/>
      <c r="L4" s="37"/>
    </row>
    <row r="5" spans="2:12" ht="27" x14ac:dyDescent="0.25">
      <c r="B5" s="6"/>
      <c r="C5" s="9" t="s">
        <v>287</v>
      </c>
      <c r="D5" s="9" t="s">
        <v>288</v>
      </c>
      <c r="E5" s="9" t="s">
        <v>289</v>
      </c>
      <c r="F5" s="9" t="s">
        <v>290</v>
      </c>
      <c r="G5" s="9" t="s">
        <v>291</v>
      </c>
      <c r="H5" s="9" t="s">
        <v>292</v>
      </c>
      <c r="I5" s="15"/>
      <c r="J5" s="8"/>
      <c r="K5" s="38"/>
      <c r="L5" s="39"/>
    </row>
    <row r="6" spans="2:12" x14ac:dyDescent="0.25">
      <c r="B6" s="6"/>
      <c r="C6" s="10" t="s">
        <v>4</v>
      </c>
      <c r="D6" s="11" t="s">
        <v>293</v>
      </c>
      <c r="E6" s="12">
        <v>0.97099999999999997</v>
      </c>
      <c r="F6" s="13" t="s">
        <v>294</v>
      </c>
      <c r="G6" s="14" t="s">
        <v>295</v>
      </c>
      <c r="H6" s="14">
        <v>603.14</v>
      </c>
      <c r="I6" s="15"/>
      <c r="J6" s="8"/>
      <c r="K6" s="38"/>
      <c r="L6" s="39"/>
    </row>
    <row r="7" spans="2:12" x14ac:dyDescent="0.25">
      <c r="B7" s="6"/>
      <c r="C7" s="446" t="s">
        <v>296</v>
      </c>
      <c r="D7" s="446"/>
      <c r="E7" s="446"/>
      <c r="F7" s="446"/>
      <c r="G7" s="446"/>
      <c r="H7" s="446"/>
      <c r="I7" s="446"/>
      <c r="J7" s="446"/>
      <c r="K7" s="446"/>
      <c r="L7" s="40"/>
    </row>
    <row r="8" spans="2:12" x14ac:dyDescent="0.25">
      <c r="B8" s="6"/>
      <c r="C8" s="8"/>
      <c r="D8" s="8"/>
      <c r="E8" s="8"/>
      <c r="F8" s="8"/>
      <c r="G8" s="8"/>
      <c r="H8" s="8"/>
      <c r="I8" s="8"/>
      <c r="J8" s="8"/>
      <c r="K8" s="8"/>
      <c r="L8" s="37"/>
    </row>
    <row r="9" spans="2:12" x14ac:dyDescent="0.25">
      <c r="B9" s="6"/>
      <c r="C9" s="7" t="s">
        <v>297</v>
      </c>
      <c r="D9" s="15"/>
      <c r="E9" s="15"/>
      <c r="F9" s="15"/>
      <c r="G9" s="8"/>
      <c r="H9" s="8"/>
      <c r="I9" s="8"/>
      <c r="J9" s="8"/>
      <c r="K9" s="8"/>
      <c r="L9" s="37"/>
    </row>
    <row r="10" spans="2:12" x14ac:dyDescent="0.25">
      <c r="B10" s="6"/>
      <c r="C10" s="8"/>
      <c r="D10" s="16"/>
      <c r="E10" s="17"/>
      <c r="F10" s="17"/>
      <c r="G10" s="8"/>
      <c r="H10" s="8"/>
      <c r="I10" s="8"/>
      <c r="J10" s="8"/>
      <c r="K10" s="8"/>
      <c r="L10" s="37"/>
    </row>
    <row r="11" spans="2:12" x14ac:dyDescent="0.25">
      <c r="B11" s="6"/>
      <c r="C11" s="447" t="s">
        <v>298</v>
      </c>
      <c r="D11" s="448"/>
      <c r="E11" s="448"/>
      <c r="F11" s="448"/>
      <c r="G11" s="448"/>
      <c r="H11" s="448"/>
      <c r="I11" s="448"/>
      <c r="J11" s="448"/>
      <c r="K11" s="449"/>
      <c r="L11" s="37"/>
    </row>
    <row r="12" spans="2:12" x14ac:dyDescent="0.25">
      <c r="B12" s="6"/>
      <c r="C12" s="450" t="s">
        <v>299</v>
      </c>
      <c r="D12" s="451"/>
      <c r="E12" s="451"/>
      <c r="F12" s="451"/>
      <c r="G12" s="451"/>
      <c r="H12" s="451"/>
      <c r="I12" s="451"/>
      <c r="J12" s="451"/>
      <c r="K12" s="452"/>
      <c r="L12" s="37"/>
    </row>
    <row r="13" spans="2:12" x14ac:dyDescent="0.25">
      <c r="B13" s="6"/>
      <c r="C13" s="8"/>
      <c r="D13" s="16"/>
      <c r="E13" s="16"/>
      <c r="F13" s="16"/>
      <c r="G13" s="8"/>
      <c r="H13" s="8"/>
      <c r="I13" s="8"/>
      <c r="J13" s="8"/>
      <c r="K13" s="8"/>
      <c r="L13" s="37"/>
    </row>
    <row r="14" spans="2:12" x14ac:dyDescent="0.25">
      <c r="B14" s="6"/>
      <c r="C14" s="7" t="s">
        <v>300</v>
      </c>
      <c r="D14" s="8"/>
      <c r="E14" s="8"/>
      <c r="F14" s="8"/>
      <c r="G14" s="8"/>
      <c r="H14" s="8"/>
      <c r="I14" s="8"/>
      <c r="J14" s="8"/>
      <c r="K14" s="8"/>
      <c r="L14" s="37"/>
    </row>
    <row r="15" spans="2:12" x14ac:dyDescent="0.25">
      <c r="B15" s="6"/>
      <c r="C15" s="8"/>
      <c r="D15" s="8"/>
      <c r="E15" s="8"/>
      <c r="F15" s="8"/>
      <c r="G15" s="8"/>
      <c r="H15" s="8"/>
      <c r="I15" s="8"/>
      <c r="J15" s="8"/>
      <c r="K15" s="8"/>
      <c r="L15" s="37"/>
    </row>
    <row r="16" spans="2:12" x14ac:dyDescent="0.25">
      <c r="B16" s="6"/>
      <c r="C16" s="18" t="s">
        <v>301</v>
      </c>
      <c r="D16" s="19"/>
      <c r="E16" s="19"/>
      <c r="F16" s="19"/>
      <c r="G16" s="19"/>
      <c r="H16" s="19"/>
      <c r="I16" s="19"/>
      <c r="J16" s="19"/>
      <c r="K16" s="41"/>
      <c r="L16" s="37"/>
    </row>
    <row r="17" spans="2:12" x14ac:dyDescent="0.25">
      <c r="B17" s="6"/>
      <c r="C17" s="20" t="s">
        <v>302</v>
      </c>
      <c r="D17" s="8"/>
      <c r="E17" s="8"/>
      <c r="F17" s="8"/>
      <c r="G17" s="8"/>
      <c r="H17" s="8"/>
      <c r="I17" s="8"/>
      <c r="J17" s="8"/>
      <c r="K17" s="42"/>
      <c r="L17" s="37"/>
    </row>
    <row r="18" spans="2:12" x14ac:dyDescent="0.25">
      <c r="B18" s="6"/>
      <c r="C18" s="21" t="s">
        <v>303</v>
      </c>
      <c r="D18" s="8"/>
      <c r="E18" s="8"/>
      <c r="F18" s="8"/>
      <c r="G18" s="8"/>
      <c r="H18" s="8"/>
      <c r="I18" s="8"/>
      <c r="J18" s="8"/>
      <c r="K18" s="42"/>
      <c r="L18" s="37"/>
    </row>
    <row r="19" spans="2:12" x14ac:dyDescent="0.25">
      <c r="B19" s="6"/>
      <c r="C19" s="22" t="s">
        <v>304</v>
      </c>
      <c r="D19" s="23"/>
      <c r="E19" s="23"/>
      <c r="F19" s="23"/>
      <c r="G19" s="23"/>
      <c r="H19" s="23"/>
      <c r="I19" s="23"/>
      <c r="J19" s="23"/>
      <c r="K19" s="43"/>
      <c r="L19" s="37"/>
    </row>
    <row r="20" spans="2:12" x14ac:dyDescent="0.25">
      <c r="B20" s="6"/>
      <c r="C20" s="8"/>
      <c r="D20" s="8"/>
      <c r="E20" s="8"/>
      <c r="F20" s="8"/>
      <c r="G20" s="8"/>
      <c r="H20" s="8"/>
      <c r="I20" s="8"/>
      <c r="J20" s="8"/>
      <c r="K20" s="8"/>
      <c r="L20" s="37"/>
    </row>
    <row r="21" spans="2:12" x14ac:dyDescent="0.25">
      <c r="B21" s="6"/>
      <c r="C21" s="7" t="s">
        <v>305</v>
      </c>
      <c r="D21" s="8"/>
      <c r="E21" s="8"/>
      <c r="F21" s="8"/>
      <c r="G21" s="8"/>
      <c r="H21" s="8"/>
      <c r="I21" s="8"/>
      <c r="J21" s="8"/>
      <c r="K21" s="8"/>
      <c r="L21" s="37"/>
    </row>
    <row r="22" spans="2:12" x14ac:dyDescent="0.25">
      <c r="B22" s="6"/>
      <c r="C22" s="8"/>
      <c r="D22" s="8"/>
      <c r="E22" s="8"/>
      <c r="F22" s="8"/>
      <c r="G22" s="8"/>
      <c r="H22" s="8"/>
      <c r="I22" s="8"/>
      <c r="J22" s="8"/>
      <c r="K22" s="8"/>
      <c r="L22" s="37"/>
    </row>
    <row r="23" spans="2:12" x14ac:dyDescent="0.25">
      <c r="B23" s="6"/>
      <c r="C23" s="465" t="s">
        <v>306</v>
      </c>
      <c r="D23" s="465" t="s">
        <v>307</v>
      </c>
      <c r="E23" s="24" t="s">
        <v>308</v>
      </c>
      <c r="F23" s="25" t="s">
        <v>309</v>
      </c>
      <c r="G23" s="25" t="s">
        <v>310</v>
      </c>
      <c r="H23" s="25" t="s">
        <v>311</v>
      </c>
      <c r="I23" s="465" t="s">
        <v>312</v>
      </c>
      <c r="J23" s="465" t="s">
        <v>313</v>
      </c>
      <c r="K23" s="8"/>
      <c r="L23" s="37"/>
    </row>
    <row r="24" spans="2:12" x14ac:dyDescent="0.25">
      <c r="B24" s="6"/>
      <c r="C24" s="466"/>
      <c r="D24" s="466"/>
      <c r="E24" s="26" t="s">
        <v>314</v>
      </c>
      <c r="F24" s="25" t="s">
        <v>315</v>
      </c>
      <c r="G24" s="25" t="s">
        <v>316</v>
      </c>
      <c r="H24" s="25" t="s">
        <v>317</v>
      </c>
      <c r="I24" s="466"/>
      <c r="J24" s="466"/>
      <c r="K24" s="8"/>
      <c r="L24" s="37"/>
    </row>
    <row r="25" spans="2:12" x14ac:dyDescent="0.25">
      <c r="B25" s="6"/>
      <c r="C25" s="27">
        <v>1</v>
      </c>
      <c r="D25" s="28" t="s">
        <v>4</v>
      </c>
      <c r="E25" s="29">
        <v>3</v>
      </c>
      <c r="F25" s="29">
        <v>10</v>
      </c>
      <c r="G25" s="29">
        <v>1</v>
      </c>
      <c r="H25" s="29">
        <v>10</v>
      </c>
      <c r="I25" s="27" t="s">
        <v>318</v>
      </c>
      <c r="J25" s="27" t="s">
        <v>319</v>
      </c>
      <c r="K25" s="8"/>
      <c r="L25" s="37"/>
    </row>
    <row r="26" spans="2:12" x14ac:dyDescent="0.25">
      <c r="B26" s="6"/>
      <c r="C26" s="453"/>
      <c r="D26" s="454"/>
      <c r="E26" s="454"/>
      <c r="F26" s="454"/>
      <c r="G26" s="454"/>
      <c r="H26" s="454"/>
      <c r="I26" s="454"/>
      <c r="J26" s="454"/>
      <c r="K26" s="8"/>
      <c r="L26" s="37"/>
    </row>
    <row r="27" spans="2:12" x14ac:dyDescent="0.25">
      <c r="B27" s="6"/>
      <c r="C27" s="455" t="s">
        <v>320</v>
      </c>
      <c r="D27" s="456"/>
      <c r="E27" s="456"/>
      <c r="F27" s="456"/>
      <c r="G27" s="456"/>
      <c r="H27" s="456"/>
      <c r="I27" s="456"/>
      <c r="J27" s="456"/>
      <c r="K27" s="8"/>
      <c r="L27" s="37"/>
    </row>
    <row r="28" spans="2:12" x14ac:dyDescent="0.25">
      <c r="B28" s="6"/>
      <c r="C28" s="8"/>
      <c r="D28" s="8"/>
      <c r="E28" s="8"/>
      <c r="F28" s="8"/>
      <c r="G28" s="8"/>
      <c r="H28" s="8"/>
      <c r="I28" s="8"/>
      <c r="J28" s="8"/>
      <c r="K28" s="8"/>
      <c r="L28" s="37"/>
    </row>
    <row r="29" spans="2:12" x14ac:dyDescent="0.25">
      <c r="B29" s="6"/>
      <c r="C29" s="7" t="s">
        <v>321</v>
      </c>
      <c r="D29" s="8"/>
      <c r="E29" s="8"/>
      <c r="F29" s="8"/>
      <c r="G29" s="8"/>
      <c r="H29" s="8"/>
      <c r="I29" s="8"/>
      <c r="J29" s="8"/>
      <c r="K29" s="8"/>
      <c r="L29" s="37"/>
    </row>
    <row r="30" spans="2:12" x14ac:dyDescent="0.25">
      <c r="B30" s="6"/>
      <c r="C30" s="8"/>
      <c r="D30" s="8"/>
      <c r="E30" s="8"/>
      <c r="F30" s="8"/>
      <c r="G30" s="8"/>
      <c r="H30" s="8"/>
      <c r="I30" s="8"/>
      <c r="J30" s="8"/>
      <c r="K30" s="8"/>
      <c r="L30" s="37"/>
    </row>
    <row r="31" spans="2:12" x14ac:dyDescent="0.25">
      <c r="B31" s="6"/>
      <c r="C31" s="31" t="s">
        <v>322</v>
      </c>
      <c r="D31" s="32"/>
      <c r="E31" s="32"/>
      <c r="F31" s="32"/>
      <c r="G31" s="32"/>
      <c r="H31" s="32"/>
      <c r="I31" s="32"/>
      <c r="J31" s="32"/>
      <c r="K31" s="44"/>
      <c r="L31" s="37"/>
    </row>
    <row r="32" spans="2:12" ht="11.1" customHeight="1" x14ac:dyDescent="0.25">
      <c r="B32" s="6"/>
      <c r="C32" s="8"/>
      <c r="D32" s="8"/>
      <c r="E32" s="8"/>
      <c r="F32" s="8"/>
      <c r="G32" s="8"/>
      <c r="H32" s="8"/>
      <c r="I32" s="8"/>
      <c r="J32" s="8"/>
      <c r="K32" s="8"/>
      <c r="L32" s="37"/>
    </row>
    <row r="33" spans="2:12" x14ac:dyDescent="0.25">
      <c r="B33" s="6"/>
      <c r="C33" s="7" t="s">
        <v>323</v>
      </c>
      <c r="D33" s="8"/>
      <c r="E33" s="8"/>
      <c r="F33" s="8"/>
      <c r="G33" s="8"/>
      <c r="H33" s="8"/>
      <c r="I33" s="8"/>
      <c r="J33" s="8"/>
      <c r="K33" s="8"/>
      <c r="L33" s="37"/>
    </row>
    <row r="34" spans="2:12" x14ac:dyDescent="0.25">
      <c r="B34" s="6"/>
      <c r="C34" s="8"/>
      <c r="D34" s="8"/>
      <c r="E34" s="8"/>
      <c r="F34" s="8"/>
      <c r="G34" s="8"/>
      <c r="H34" s="8"/>
      <c r="I34" s="8"/>
      <c r="J34" s="8"/>
      <c r="K34" s="8"/>
      <c r="L34" s="37"/>
    </row>
    <row r="35" spans="2:12" x14ac:dyDescent="0.25">
      <c r="B35" s="6"/>
      <c r="C35" s="457" t="s">
        <v>324</v>
      </c>
      <c r="D35" s="448"/>
      <c r="E35" s="448"/>
      <c r="F35" s="448"/>
      <c r="G35" s="448"/>
      <c r="H35" s="448"/>
      <c r="I35" s="448"/>
      <c r="J35" s="448"/>
      <c r="K35" s="449"/>
      <c r="L35" s="37"/>
    </row>
    <row r="36" spans="2:12" x14ac:dyDescent="0.25">
      <c r="B36" s="6"/>
      <c r="C36" s="458" t="s">
        <v>325</v>
      </c>
      <c r="D36" s="459"/>
      <c r="E36" s="459"/>
      <c r="F36" s="459"/>
      <c r="G36" s="459"/>
      <c r="H36" s="459"/>
      <c r="I36" s="459"/>
      <c r="J36" s="459"/>
      <c r="K36" s="460"/>
      <c r="L36" s="37"/>
    </row>
    <row r="37" spans="2:12" ht="12" customHeight="1" x14ac:dyDescent="0.25">
      <c r="B37" s="6"/>
      <c r="L37" s="37"/>
    </row>
    <row r="38" spans="2:12" ht="20.100000000000001" customHeight="1" x14ac:dyDescent="0.25">
      <c r="B38" s="6"/>
      <c r="C38" s="7" t="s">
        <v>326</v>
      </c>
      <c r="D38" s="33"/>
      <c r="E38" s="33"/>
      <c r="F38" s="33"/>
      <c r="G38" s="33"/>
      <c r="H38" s="33"/>
      <c r="I38" s="33"/>
      <c r="J38" s="33"/>
      <c r="K38" s="33"/>
      <c r="L38" s="37"/>
    </row>
    <row r="39" spans="2:12" x14ac:dyDescent="0.25">
      <c r="B39" s="6"/>
      <c r="D39" s="8"/>
      <c r="E39" s="8"/>
      <c r="F39" s="8"/>
      <c r="G39" s="8"/>
      <c r="H39" s="8"/>
      <c r="I39" s="8"/>
      <c r="J39" s="8"/>
      <c r="K39" s="8"/>
      <c r="L39" s="37"/>
    </row>
    <row r="40" spans="2:12" x14ac:dyDescent="0.25">
      <c r="B40" s="6"/>
      <c r="C40" s="467" t="s">
        <v>327</v>
      </c>
      <c r="D40" s="468"/>
      <c r="E40" s="468"/>
      <c r="F40" s="468"/>
      <c r="G40" s="468"/>
      <c r="H40" s="468"/>
      <c r="I40" s="468"/>
      <c r="J40" s="468"/>
      <c r="K40" s="469"/>
      <c r="L40" s="37"/>
    </row>
    <row r="41" spans="2:12" x14ac:dyDescent="0.25">
      <c r="B41" s="6"/>
      <c r="C41" s="470"/>
      <c r="D41" s="471"/>
      <c r="E41" s="471"/>
      <c r="F41" s="471"/>
      <c r="G41" s="471"/>
      <c r="H41" s="471"/>
      <c r="I41" s="471"/>
      <c r="J41" s="471"/>
      <c r="K41" s="472"/>
      <c r="L41" s="37"/>
    </row>
    <row r="42" spans="2:12" ht="18.95" customHeight="1" x14ac:dyDescent="0.25">
      <c r="B42" s="6"/>
      <c r="L42" s="37"/>
    </row>
    <row r="43" spans="2:12" x14ac:dyDescent="0.25">
      <c r="B43" s="6"/>
      <c r="C43" s="7" t="s">
        <v>328</v>
      </c>
      <c r="L43" s="37"/>
    </row>
    <row r="44" spans="2:12" x14ac:dyDescent="0.25">
      <c r="B44" s="6"/>
      <c r="C44" s="30"/>
      <c r="D44" s="30"/>
      <c r="E44" s="30"/>
      <c r="F44" s="30"/>
      <c r="G44" s="30"/>
      <c r="H44" s="30"/>
      <c r="I44" s="30"/>
      <c r="J44" s="30"/>
      <c r="K44" s="30"/>
      <c r="L44" s="37"/>
    </row>
    <row r="45" spans="2:12" x14ac:dyDescent="0.25">
      <c r="B45" s="6"/>
      <c r="C45" s="473" t="s">
        <v>329</v>
      </c>
      <c r="D45" s="474"/>
      <c r="E45" s="474"/>
      <c r="F45" s="474"/>
      <c r="G45" s="474"/>
      <c r="H45" s="474"/>
      <c r="I45" s="474"/>
      <c r="J45" s="474"/>
      <c r="K45" s="475"/>
      <c r="L45" s="37"/>
    </row>
    <row r="46" spans="2:12" x14ac:dyDescent="0.25">
      <c r="B46" s="6"/>
      <c r="C46" s="476"/>
      <c r="D46" s="477"/>
      <c r="E46" s="477"/>
      <c r="F46" s="477"/>
      <c r="G46" s="477"/>
      <c r="H46" s="477"/>
      <c r="I46" s="477"/>
      <c r="J46" s="477"/>
      <c r="K46" s="478"/>
      <c r="L46" s="37"/>
    </row>
    <row r="47" spans="2:12" x14ac:dyDescent="0.25">
      <c r="B47" s="6"/>
      <c r="L47" s="37"/>
    </row>
    <row r="48" spans="2:12" x14ac:dyDescent="0.25">
      <c r="B48" s="6"/>
      <c r="C48" s="461" t="s">
        <v>330</v>
      </c>
      <c r="D48" s="461"/>
      <c r="E48" s="461"/>
      <c r="F48" s="461"/>
      <c r="G48" s="461"/>
      <c r="H48" s="461"/>
      <c r="I48" s="461"/>
      <c r="J48" s="461"/>
      <c r="K48" s="461"/>
      <c r="L48" s="37"/>
    </row>
    <row r="49" spans="2:12" x14ac:dyDescent="0.25">
      <c r="B49" s="6"/>
      <c r="L49" s="37"/>
    </row>
    <row r="50" spans="2:12" x14ac:dyDescent="0.25">
      <c r="B50" s="6"/>
      <c r="C50" s="462" t="s">
        <v>331</v>
      </c>
      <c r="D50" s="463"/>
      <c r="E50" s="463"/>
      <c r="F50" s="463"/>
      <c r="G50" s="463"/>
      <c r="H50" s="463"/>
      <c r="I50" s="463"/>
      <c r="J50" s="463"/>
      <c r="K50" s="464"/>
      <c r="L50" s="37"/>
    </row>
    <row r="51" spans="2:12" x14ac:dyDescent="0.25">
      <c r="B51" s="34"/>
      <c r="C51" s="35"/>
      <c r="D51" s="35"/>
      <c r="E51" s="35"/>
      <c r="F51" s="35"/>
      <c r="G51" s="35"/>
      <c r="H51" s="35"/>
      <c r="I51" s="35"/>
      <c r="J51" s="35"/>
      <c r="K51" s="35"/>
      <c r="L51" s="45"/>
    </row>
  </sheetData>
  <mergeCells count="15">
    <mergeCell ref="C35:K35"/>
    <mergeCell ref="C36:K36"/>
    <mergeCell ref="C48:K48"/>
    <mergeCell ref="C50:K50"/>
    <mergeCell ref="C23:C24"/>
    <mergeCell ref="D23:D24"/>
    <mergeCell ref="I23:I24"/>
    <mergeCell ref="J23:J24"/>
    <mergeCell ref="C40:K41"/>
    <mergeCell ref="C45:K46"/>
    <mergeCell ref="C7:K7"/>
    <mergeCell ref="C11:K11"/>
    <mergeCell ref="C12:K12"/>
    <mergeCell ref="C26:J26"/>
    <mergeCell ref="C27:J27"/>
  </mergeCells>
  <phoneticPr fontId="60" type="noConversion"/>
  <pageMargins left="0.75" right="0.75" top="1" bottom="1" header="0.5" footer="0.5"/>
  <pageSetup paperSize="9" scale="84" orientation="landscape"/>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8</vt:i4>
      </vt:variant>
    </vt:vector>
  </HeadingPairs>
  <TitlesOfParts>
    <vt:vector size="8" baseType="lpstr">
      <vt:lpstr>封面</vt:lpstr>
      <vt:lpstr>结果汇总</vt:lpstr>
      <vt:lpstr>PK 参数</vt:lpstr>
      <vt:lpstr>原始数据</vt:lpstr>
      <vt:lpstr>标曲&amp;质控</vt:lpstr>
      <vt:lpstr>给药制剂浓度检测</vt:lpstr>
      <vt:lpstr>LC-MS分析方法 </vt:lpstr>
      <vt:lpstr>试验设计</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황정선</dc:creator>
  <cp:lastModifiedBy>User</cp:lastModifiedBy>
  <cp:lastPrinted>2017-05-16T08:15:00Z</cp:lastPrinted>
  <dcterms:created xsi:type="dcterms:W3CDTF">2006-09-16T00:00:00Z</dcterms:created>
  <dcterms:modified xsi:type="dcterms:W3CDTF">2025-01-23T09:02:55Z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2052-12.1.0.19770</vt:lpwstr>
  </property>
  <property fmtid="{D5CDD505-2E9C-101B-9397-08002B2CF9AE}" pid="3" name="ICV">
    <vt:lpwstr>8B607DD3AFD84F6ABADD4816D939F448_13</vt:lpwstr>
  </property>
</Properties>
</file>