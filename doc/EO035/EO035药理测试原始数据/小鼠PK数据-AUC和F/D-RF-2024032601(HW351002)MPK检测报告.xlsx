
<file path=[Content_Types].xml><?xml version="1.0" encoding="utf-8"?>
<Types xmlns="http://schemas.openxmlformats.org/package/2006/content-types">
  <Default Extension="xml" ContentType="application/xml"/>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原始数据!#REF!</definedName>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<sst xmlns="http://schemas.openxmlformats.org/spreadsheetml/2006/main" count="645" uniqueCount="335">
  <si>
    <r>
      <rPr>
        <sz val="16"/>
        <rFont val="宋体"/>
        <charset val="134"/>
      </rPr>
      <t>合肥中科普瑞昇生物医药科技有限公司</t>
    </r>
  </si>
  <si>
    <r>
      <rPr>
        <b/>
        <sz val="12"/>
        <rFont val="宋体"/>
        <charset val="134"/>
      </rPr>
      <t>项目编号：</t>
    </r>
  </si>
  <si>
    <t>D-RF-2024032601</t>
  </si>
  <si>
    <r>
      <rPr>
        <b/>
        <sz val="12"/>
        <rFont val="宋体"/>
        <charset val="134"/>
      </rPr>
      <t>化合物名称</t>
    </r>
  </si>
  <si>
    <t>HW351002</t>
  </si>
  <si>
    <r>
      <rPr>
        <b/>
        <sz val="12"/>
        <rFont val="宋体"/>
        <charset val="134"/>
      </rPr>
      <t>项目名称：</t>
    </r>
  </si>
  <si>
    <r>
      <rPr>
        <b/>
        <sz val="12"/>
        <rFont val="宋体"/>
        <charset val="134"/>
      </rPr>
      <t>化合物</t>
    </r>
    <r>
      <rPr>
        <b/>
        <sz val="12"/>
        <rFont val="Times New Roman"/>
        <charset val="134"/>
      </rPr>
      <t>HW351002</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</si>
  <si>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</si>
  <si>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</si>
  <si>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r>
      <rPr>
        <sz val="12"/>
        <color theme="1"/>
        <rFont val="Times New Roman"/>
        <charset val="134"/>
      </rPr>
      <t>2024-03-27
2024-03-28
2024-03-29
2024-03-</t>
    </r>
    <r>
      <rPr>
        <sz val="12"/>
        <color theme="1"/>
        <rFont val="Times New Roman"/>
        <charset val="134"/>
      </rPr>
      <t>30</t>
    </r>
  </si>
  <si>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</si>
  <si>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地址：合肥市高新区习友路</t>
    </r>
    <r>
      <rPr>
        <sz val="12"/>
        <rFont val="Times New Roman"/>
        <charset val="134"/>
      </rPr>
      <t>2666</t>
    </r>
    <r>
      <rPr>
        <sz val="12"/>
        <rFont val="宋体"/>
        <charset val="134"/>
      </rPr>
      <t>号创新工程院</t>
    </r>
    <r>
      <rPr>
        <sz val="12"/>
        <rFont val="Times New Roman"/>
        <charset val="134"/>
      </rPr>
      <t>8</t>
    </r>
    <r>
      <rPr>
        <sz val="12"/>
        <rFont val="宋体"/>
        <charset val="134"/>
      </rPr>
      <t>楼</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</si>
  <si>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</si>
  <si>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rgb="FF000000"/>
        <rFont val="宋体"/>
        <charset val="134"/>
      </rPr>
      <t>负责人：刘勇</t>
    </r>
    <r>
      <rPr>
        <sz val="12"/>
        <color rgb="FF000000"/>
        <rFont val="Times New Roman"/>
        <charset val="134"/>
      </rPr>
      <t xml:space="preserve">
</t>
    </r>
    <r>
      <rPr>
        <sz val="12"/>
        <color rgb="FF000000"/>
        <rFont val="宋体"/>
        <charset val="134"/>
      </rPr>
      <t>委托单位名称：湖北生物医药产业技术研究院有限公司</t>
    </r>
    <r>
      <rPr>
        <sz val="12"/>
        <color rgb="FF000000"/>
        <rFont val="Times New Roman"/>
        <charset val="134"/>
      </rPr>
      <t xml:space="preserve">
</t>
    </r>
    <r>
      <rPr>
        <sz val="12"/>
        <color rgb="FF000000"/>
        <rFont val="宋体"/>
        <charset val="134"/>
      </rPr>
      <t>邮箱：</t>
    </r>
    <r>
      <rPr>
        <sz val="12"/>
        <color rgb="FF000000"/>
        <rFont val="Times New Roman"/>
        <charset val="134"/>
      </rPr>
      <t xml:space="preserve">liuyong@renfu.com
</t>
    </r>
    <r>
      <rPr>
        <sz val="12"/>
        <color rgb="FF000000"/>
        <rFont val="宋体"/>
        <charset val="134"/>
      </rPr>
      <t>联系方式：</t>
    </r>
    <r>
      <rPr>
        <sz val="12"/>
        <color rgb="FF000000"/>
        <rFont val="Times New Roman"/>
        <charset val="134"/>
      </rPr>
      <t>18062052364</t>
    </r>
  </si>
  <si>
    <r>
      <rPr>
        <b/>
        <sz val="12"/>
        <rFont val="宋体"/>
        <charset val="134"/>
      </rPr>
      <t>质控人员</t>
    </r>
  </si>
  <si>
    <r>
      <rPr>
        <sz val="12"/>
        <rFont val="宋体"/>
        <charset val="134"/>
      </rPr>
      <t>刘海宾</t>
    </r>
  </si>
  <si>
    <r>
      <rPr>
        <b/>
        <sz val="12"/>
        <rFont val="宋体"/>
        <charset val="134"/>
      </rPr>
      <t>分析负责人</t>
    </r>
  </si>
  <si>
    <r>
      <rPr>
        <sz val="12"/>
        <rFont val="宋体"/>
        <charset val="134"/>
      </rPr>
      <t>秦琴</t>
    </r>
  </si>
  <si>
    <r>
      <rPr>
        <b/>
        <sz val="12"/>
        <rFont val="宋体"/>
        <charset val="134"/>
      </rPr>
      <t>动物负责人</t>
    </r>
  </si>
  <si>
    <r>
      <rPr>
        <sz val="12"/>
        <rFont val="宋体"/>
        <charset val="134"/>
      </rPr>
      <t>沙梦茹</t>
    </r>
  </si>
  <si>
    <r>
      <rPr>
        <b/>
        <sz val="14"/>
        <rFont val="Times New Roman"/>
        <charset val="134"/>
      </rPr>
      <t xml:space="preserve"> PK</t>
    </r>
    <r>
      <rPr>
        <b/>
        <sz val="14"/>
        <rFont val="宋体"/>
        <charset val="134"/>
      </rPr>
      <t>数据</t>
    </r>
  </si>
  <si>
    <r>
      <rPr>
        <b/>
        <sz val="12"/>
        <rFont val="Times New Roman"/>
        <charset val="134"/>
      </rPr>
      <t xml:space="preserve"> </t>
    </r>
    <r>
      <rPr>
        <b/>
        <sz val="12"/>
        <rFont val="宋体"/>
        <charset val="134"/>
      </rPr>
      <t>化合物信息和制剂配制</t>
    </r>
  </si>
  <si>
    <r>
      <rPr>
        <b/>
        <sz val="12"/>
        <rFont val="宋体"/>
        <charset val="134"/>
      </rPr>
      <t>表</t>
    </r>
    <r>
      <rPr>
        <b/>
        <sz val="12"/>
        <rFont val="Times New Roman"/>
        <charset val="134"/>
      </rPr>
      <t>1</t>
    </r>
    <r>
      <rPr>
        <b/>
        <sz val="12"/>
        <rFont val="宋体"/>
        <charset val="134"/>
      </rPr>
      <t>：单次灌胃给予</t>
    </r>
    <r>
      <rPr>
        <b/>
        <sz val="12"/>
        <rFont val="Times New Roman"/>
        <charset val="134"/>
      </rPr>
      <t>HW351002</t>
    </r>
    <r>
      <rPr>
        <b/>
        <sz val="12"/>
        <rFont val="宋体"/>
        <charset val="134"/>
      </rPr>
      <t>后小鼠血浆中药物浓度</t>
    </r>
  </si>
  <si>
    <r>
      <rPr>
        <b/>
        <sz val="11"/>
        <rFont val="宋体"/>
        <charset val="134"/>
      </rPr>
      <t>化合物信息</t>
    </r>
  </si>
  <si>
    <r>
      <rPr>
        <sz val="11"/>
        <rFont val="宋体"/>
        <charset val="134"/>
      </rPr>
      <t>化合物名称</t>
    </r>
  </si>
  <si>
    <r>
      <rPr>
        <sz val="11"/>
        <rFont val="宋体"/>
        <charset val="134"/>
      </rPr>
      <t>批号</t>
    </r>
  </si>
  <si>
    <t>HWH817-XQ-35-1002</t>
  </si>
  <si>
    <t>PO-10 mg/kg</t>
  </si>
  <si>
    <r>
      <rPr>
        <sz val="11"/>
        <rFont val="宋体"/>
        <charset val="134"/>
      </rPr>
      <t>分子量</t>
    </r>
  </si>
  <si>
    <t>Time (h)</t>
  </si>
  <si>
    <t>Mean</t>
  </si>
  <si>
    <t>SD</t>
  </si>
  <si>
    <r>
      <rPr>
        <sz val="11"/>
        <rFont val="宋体"/>
        <charset val="134"/>
      </rPr>
      <t>纯度</t>
    </r>
  </si>
  <si>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</si>
  <si>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</si>
  <si>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r>
      <rPr>
        <sz val="11"/>
        <rFont val="宋体"/>
        <charset val="134"/>
      </rPr>
      <t>灌胃</t>
    </r>
  </si>
  <si>
    <r>
      <rPr>
        <b/>
        <sz val="11"/>
        <rFont val="宋体"/>
        <charset val="134"/>
      </rPr>
      <t>推荐溶媒</t>
    </r>
    <r>
      <rPr>
        <b/>
        <sz val="11"/>
        <rFont val="Times New Roman"/>
        <charset val="134"/>
      </rPr>
      <t>:</t>
    </r>
  </si>
  <si>
    <t>5%DMSO+10%Solutol+85%Saline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</si>
  <si>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</si>
  <si>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</si>
  <si>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</si>
  <si>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BQL</t>
  </si>
  <si>
    <t xml:space="preserve"> </t>
  </si>
  <si>
    <t>NA</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</si>
  <si>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</si>
  <si>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</si>
  <si>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</si>
  <si>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</si>
  <si>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</si>
  <si>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</si>
  <si>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</si>
  <si>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</si>
  <si>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color theme="1"/>
        <rFont val="Times New Roman"/>
        <charset val="134"/>
      </rPr>
      <t>Solutol</t>
    </r>
    <r>
      <rPr>
        <sz val="11"/>
        <color indexed="8"/>
        <rFont val="宋体"/>
        <charset val="134"/>
      </rPr>
      <t>的体积</t>
    </r>
    <r>
      <rPr>
        <sz val="11"/>
        <color theme="1"/>
        <rFont val="Times New Roman"/>
        <charset val="134"/>
      </rPr>
      <t>(mL)</t>
    </r>
  </si>
  <si>
    <r>
      <rPr>
        <sz val="11"/>
        <color theme="1"/>
        <rFont val="Times New Roman"/>
        <charset val="134"/>
      </rPr>
      <t xml:space="preserve">Saline
</t>
    </r>
    <r>
      <rPr>
        <sz val="11"/>
        <color indexed="8"/>
        <rFont val="宋体"/>
        <charset val="134"/>
      </rPr>
      <t>的体积</t>
    </r>
    <r>
      <rPr>
        <sz val="11"/>
        <color theme="1"/>
        <rFont val="Times New Roman"/>
        <charset val="134"/>
      </rPr>
      <t>(mL)</t>
    </r>
  </si>
  <si>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</si>
  <si>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1.40 mg,</t>
    </r>
    <r>
      <rPr>
        <sz val="11"/>
        <rFont val="宋体"/>
        <charset val="134"/>
      </rPr>
      <t>放入</t>
    </r>
    <r>
      <rPr>
        <sz val="11"/>
        <rFont val="Times New Roman"/>
        <charset val="134"/>
      </rPr>
      <t xml:space="preserve">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</si>
  <si>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0.068 mL DMSO,</t>
    </r>
    <r>
      <rPr>
        <sz val="11"/>
        <rFont val="宋体"/>
        <charset val="134"/>
      </rPr>
      <t>涡旋超声至化合物呈黄色溶解澄清状态</t>
    </r>
  </si>
  <si>
    <r>
      <rPr>
        <sz val="11"/>
        <rFont val="Times New Roman"/>
        <charset val="134"/>
      </rPr>
      <t xml:space="preserve">(3) </t>
    </r>
    <r>
      <rPr>
        <sz val="11"/>
        <rFont val="宋体"/>
        <charset val="134"/>
      </rPr>
      <t>加入</t>
    </r>
    <r>
      <rPr>
        <sz val="11"/>
        <rFont val="Times New Roman"/>
        <charset val="134"/>
      </rPr>
      <t>0.137 mL Solutol,</t>
    </r>
    <r>
      <rPr>
        <sz val="11"/>
        <rFont val="宋体"/>
        <charset val="134"/>
      </rPr>
      <t>涡旋超声至化合物呈淡黄色溶解澄清状态</t>
    </r>
  </si>
  <si>
    <r>
      <rPr>
        <sz val="11"/>
        <rFont val="Times New Roman"/>
        <charset val="134"/>
      </rPr>
      <t xml:space="preserve">(4) </t>
    </r>
    <r>
      <rPr>
        <sz val="11"/>
        <rFont val="宋体"/>
        <charset val="134"/>
      </rPr>
      <t>再加入</t>
    </r>
    <r>
      <rPr>
        <sz val="11"/>
        <rFont val="Times New Roman"/>
        <charset val="134"/>
      </rPr>
      <t>1.163 mL Saline,</t>
    </r>
    <r>
      <rPr>
        <sz val="11"/>
        <rFont val="宋体"/>
        <charset val="134"/>
      </rPr>
      <t>涡旋超声至化合物呈无色溶解澄清状态，即可得到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</si>
  <si>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</si>
  <si>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</si>
  <si>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2"/>
        <rFont val="宋体"/>
        <charset val="134"/>
      </rPr>
      <t>表</t>
    </r>
    <r>
      <rPr>
        <b/>
        <sz val="12"/>
        <rFont val="Times New Roman"/>
        <charset val="134"/>
      </rPr>
      <t>2</t>
    </r>
    <r>
      <rPr>
        <b/>
        <sz val="12"/>
        <rFont val="宋体"/>
        <charset val="134"/>
      </rPr>
      <t>：单次灌胃给予</t>
    </r>
    <r>
      <rPr>
        <b/>
        <sz val="12"/>
        <rFont val="Times New Roman"/>
        <charset val="134"/>
      </rPr>
      <t>HW351002</t>
    </r>
    <r>
      <rPr>
        <b/>
        <sz val="12"/>
        <rFont val="宋体"/>
        <charset val="134"/>
      </rPr>
      <t>后小鼠血浆</t>
    </r>
    <r>
      <rPr>
        <b/>
        <sz val="12"/>
        <rFont val="Times New Roman"/>
        <charset val="134"/>
      </rPr>
      <t>PK</t>
    </r>
    <r>
      <rPr>
        <b/>
        <sz val="12"/>
        <rFont val="宋体"/>
        <charset val="134"/>
      </rPr>
      <t>数据</t>
    </r>
  </si>
  <si>
    <r>
      <rPr>
        <b/>
        <sz val="11"/>
        <rFont val="宋体"/>
        <charset val="134"/>
      </rPr>
      <t>动物体重：</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</si>
  <si>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</si>
  <si>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</si>
  <si>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</si>
  <si>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</si>
  <si>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</si>
  <si>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动物编号</t>
    </r>
  </si>
  <si>
    <r>
      <rPr>
        <sz val="11"/>
        <rFont val="宋体"/>
        <charset val="134"/>
      </rPr>
      <t>分组</t>
    </r>
  </si>
  <si>
    <r>
      <rPr>
        <sz val="11"/>
        <rFont val="宋体"/>
        <charset val="134"/>
      </rPr>
      <t>体重（</t>
    </r>
    <r>
      <rPr>
        <sz val="11"/>
        <rFont val="Times New Roman"/>
        <charset val="134"/>
      </rPr>
      <t>g)</t>
    </r>
  </si>
  <si>
    <r>
      <rPr>
        <sz val="11"/>
        <rFont val="宋体"/>
        <charset val="134"/>
      </rPr>
      <t>分析物</t>
    </r>
  </si>
  <si>
    <t>PO</t>
  </si>
  <si>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</si>
  <si>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</si>
  <si>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</si>
  <si>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</si>
  <si>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</si>
  <si>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</si>
  <si>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</si>
  <si>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</si>
  <si>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</si>
  <si>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</si>
  <si>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</si>
  <si>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</si>
  <si>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</si>
  <si>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</si>
  <si>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</si>
  <si>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</si>
  <si>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</si>
  <si>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</si>
  <si>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</si>
  <si>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</si>
  <si>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</si>
  <si>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</si>
  <si>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</si>
  <si>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</si>
  <si>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</si>
  <si>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</si>
  <si>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</si>
  <si>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</si>
  <si>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</si>
  <si>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</si>
  <si>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</si>
  <si>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</si>
  <si>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</si>
  <si>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</si>
  <si>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</si>
  <si>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</si>
  <si>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</si>
  <si>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</si>
  <si>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</si>
  <si>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</si>
  <si>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</si>
  <si>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</si>
  <si>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</si>
  <si>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</si>
  <si>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</si>
  <si>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</si>
  <si>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</si>
  <si>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</si>
  <si>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</si>
  <si>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</si>
  <si>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</si>
  <si>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</si>
  <si>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</si>
  <si>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</si>
  <si>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</si>
  <si>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</si>
  <si>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</si>
  <si>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269.20/170.00 Da</t>
  </si>
  <si>
    <t>Peak Name: HW351002</t>
  </si>
  <si>
    <t>Internal Standard: Tolbutamide</t>
  </si>
  <si>
    <t>Q1/Q3 Masses: 777.20/582.00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</si>
  <si>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</si>
  <si>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</si>
  <si>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</si>
  <si>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</si>
  <si>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</si>
  <si>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</si>
  <si>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</si>
  <si>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</si>
  <si>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</si>
  <si>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</si>
  <si>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</si>
  <si>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</si>
  <si>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</si>
  <si>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</si>
  <si>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</si>
  <si>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</si>
  <si>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</si>
  <si>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</si>
  <si>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</si>
  <si>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</si>
  <si>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</si>
  <si>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</si>
  <si>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</si>
  <si>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</si>
  <si>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</si>
  <si>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</si>
  <si>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</si>
  <si>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HW351002-20240328-Mouse-Plasma\SA.wiff</t>
  </si>
  <si>
    <t>N/A</t>
  </si>
  <si>
    <t>Blank</t>
  </si>
  <si>
    <t>No Peak</t>
  </si>
  <si>
    <t>B-STD1</t>
  </si>
  <si>
    <t>Standard</t>
  </si>
  <si>
    <t>B-STD2</t>
  </si>
  <si>
    <t>B-STD3</t>
  </si>
  <si>
    <t>B-STD4</t>
  </si>
  <si>
    <t>B-STD5</t>
  </si>
  <si>
    <t>B-STD6</t>
  </si>
  <si>
    <t>B-STD7</t>
  </si>
  <si>
    <t>B-STD8</t>
  </si>
  <si>
    <t>B-LQC-1</t>
  </si>
  <si>
    <t>Quality Control</t>
  </si>
  <si>
    <t>B-MQC-1</t>
  </si>
  <si>
    <t>B-HQC-1</t>
  </si>
  <si>
    <t>PO Dose-1</t>
  </si>
  <si>
    <t>PO Dose-2</t>
  </si>
  <si>
    <t>PO Dose-3</t>
  </si>
  <si>
    <t>HW351002-Plasma-10MPK-PO-24hr-Mouse1</t>
  </si>
  <si>
    <t>HW351002-Plasma-10MPK-PO-24hr-Mouse2</t>
  </si>
  <si>
    <t>HW351002-Plasma-10MPK-PO-24hr-Mouse3</t>
  </si>
  <si>
    <t>HW351002-Plasma-10MPK-PO-8hr-Mouse1</t>
  </si>
  <si>
    <t>HW351002-Plasma-10MPK-PO-8hr-Mouse2</t>
  </si>
  <si>
    <t>HW351002-Plasma-10MPK-PO-8hr-Mouse3</t>
  </si>
  <si>
    <t>HW351002-Plasma-10MPK-PO-6hr-Mouse1</t>
  </si>
  <si>
    <t>HW351002-Plasma-10MPK-PO-6hr-Mouse2</t>
  </si>
  <si>
    <t>HW351002-Plasma-10MPK-PO-6hr-Mouse3</t>
  </si>
  <si>
    <t>HW351002-Plasma-10MPK-PO-4hr-Mouse1</t>
  </si>
  <si>
    <t>HW351002-Plasma-10MPK-PO-4hr-Mouse2</t>
  </si>
  <si>
    <t>HW351002-Plasma-10MPK-PO-4hr-Mouse3</t>
  </si>
  <si>
    <t xml:space="preserve">HW351002-Plasma-10MPK-PO-2hr-Mouse1    </t>
  </si>
  <si>
    <t xml:space="preserve">HW351002-Plasma-10MPK-PO-2hr-Mouse2 </t>
  </si>
  <si>
    <t xml:space="preserve">HW351002-Plasma-10MPK-PO-2hr-Mouse3     </t>
  </si>
  <si>
    <t xml:space="preserve">HW351002-Plasma-10MPK-PO-1hr-Mouse1      </t>
  </si>
  <si>
    <t xml:space="preserve">HW351002-Plasma-10MPK-PO-1hr-Mouse2     </t>
  </si>
  <si>
    <t xml:space="preserve">HW351002-Plasma-10MPK-PO-1hr-Mouse3   </t>
  </si>
  <si>
    <t xml:space="preserve">HW351002-Plasma-10MPK-PO-30min-Mouse1        </t>
  </si>
  <si>
    <t xml:space="preserve">HW351002-Plasma-10MPK-PO-30min-Mouse2        </t>
  </si>
  <si>
    <t xml:space="preserve">HW351002-Plasma-10MPK-PO-30min-Mouse3        </t>
  </si>
  <si>
    <t xml:space="preserve">HW351002-Plasma-10MPK-PO-15min-Mouse1        </t>
  </si>
  <si>
    <t xml:space="preserve">HW351002-Plasma-10MPK-PO-15min-Mouse2       </t>
  </si>
  <si>
    <t xml:space="preserve">HW351002-Plasma-10MPK-PO-15min-Mouse3        </t>
  </si>
  <si>
    <t xml:space="preserve">HW351002-Plasma-10MPK-PO-5min-Mouse1     </t>
  </si>
  <si>
    <t xml:space="preserve">HW351002-Plasma-10MPK-PO-5min-Mouse2        </t>
  </si>
  <si>
    <t xml:space="preserve">HW351002-Plasma-10MPK-PO-5min-Mouse3        </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</si>
  <si>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</si>
  <si>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</si>
  <si>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</si>
  <si>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</si>
  <si>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</si>
  <si>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</si>
  <si>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</si>
  <si>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</si>
  <si>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</si>
  <si>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</si>
  <si>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</si>
  <si>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</si>
  <si>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</si>
  <si>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charset val="134"/>
      </rPr>
      <t>%</t>
    </r>
  </si>
  <si>
    <t>STD1</t>
  </si>
  <si>
    <t>STD2</t>
  </si>
  <si>
    <t>STD3</t>
  </si>
  <si>
    <t>STD4</t>
  </si>
  <si>
    <t>STD5</t>
  </si>
  <si>
    <t>STD6</t>
  </si>
  <si>
    <t>STD7</t>
  </si>
  <si>
    <t>STD8</t>
  </si>
  <si>
    <t>质控样本</t>
  </si>
  <si>
    <t>LQC</t>
  </si>
  <si>
    <t>MQC</t>
  </si>
  <si>
    <t>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</si>
  <si>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</si>
  <si>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</si>
  <si>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20000</t>
    </r>
    <r>
      <rPr>
        <sz val="11"/>
        <rFont val="宋体"/>
        <charset val="134"/>
      </rPr>
      <t>倍后进行浓度检测</t>
    </r>
    <r>
      <rPr>
        <sz val="11"/>
        <rFont val="Times New Roman"/>
        <charset val="134"/>
      </rPr>
      <t>):</t>
    </r>
  </si>
  <si>
    <r>
      <rPr>
        <sz val="11"/>
        <rFont val="Times New Roman"/>
        <charset val="134"/>
      </rPr>
      <t>1)</t>
    </r>
    <r>
      <rPr>
        <sz val="11"/>
        <rFont val="宋体"/>
        <charset val="134"/>
      </rPr>
      <t>移取口服制剂</t>
    </r>
    <r>
      <rPr>
        <sz val="11"/>
        <rFont val="Times New Roman"/>
        <charset val="134"/>
      </rPr>
      <t>100μL</t>
    </r>
    <r>
      <rPr>
        <sz val="11"/>
        <rFont val="宋体"/>
        <charset val="134"/>
      </rPr>
      <t>，加入二甲基亚砜</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</si>
  <si>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10 μL</t>
    </r>
    <r>
      <rPr>
        <sz val="11"/>
        <rFont val="宋体"/>
        <charset val="134"/>
      </rPr>
      <t>，准确加入甲醇</t>
    </r>
    <r>
      <rPr>
        <sz val="11"/>
        <rFont val="Times New Roman"/>
        <charset val="134"/>
      </rPr>
      <t>990 μL</t>
    </r>
    <r>
      <rPr>
        <sz val="11"/>
        <rFont val="宋体"/>
        <charset val="134"/>
      </rPr>
      <t>，混合均匀（该过程稀释</t>
    </r>
    <r>
      <rPr>
        <sz val="11"/>
        <rFont val="Times New Roman"/>
        <charset val="134"/>
      </rPr>
      <t>100</t>
    </r>
    <r>
      <rPr>
        <sz val="11"/>
        <rFont val="宋体"/>
        <charset val="134"/>
      </rPr>
      <t>倍）；</t>
    </r>
  </si>
  <si>
    <r>
      <rPr>
        <sz val="11"/>
        <rFont val="Times New Roman"/>
        <charset val="134"/>
      </rPr>
      <t>3)</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2.5 μL </t>
    </r>
    <r>
      <rPr>
        <sz val="11"/>
        <rFont val="宋体"/>
        <charset val="134"/>
      </rPr>
      <t>加入到</t>
    </r>
    <r>
      <rPr>
        <sz val="11"/>
        <rFont val="Times New Roman"/>
        <charset val="134"/>
      </rPr>
      <t>47.5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</si>
  <si>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</si>
  <si>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</si>
  <si>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</si>
  <si>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</si>
  <si>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</si>
  <si>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</si>
  <si>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</si>
  <si>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</si>
  <si>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</si>
  <si>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</si>
  <si>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</si>
  <si>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</si>
  <si>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</si>
  <si>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</si>
  <si>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 API 4000)</t>
  </si>
  <si>
    <r>
      <rPr>
        <b/>
        <sz val="11"/>
        <color theme="1"/>
        <rFont val="宋体"/>
        <charset val="134"/>
      </rPr>
      <t>设备编号</t>
    </r>
  </si>
  <si>
    <t>LC-MS/MS-001</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</si>
  <si>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</si>
  <si>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</si>
  <si>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</si>
  <si>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</si>
  <si>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</si>
  <si>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</si>
  <si>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源负离子模式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</si>
  <si>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</si>
  <si>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</si>
  <si>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</si>
  <si>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4µm Fusion-RP 80A LC Column 50*2 mm</t>
  </si>
  <si>
    <r>
      <rPr>
        <sz val="11"/>
        <color theme="1"/>
        <rFont val="宋体"/>
        <charset val="134"/>
      </rPr>
      <t>色谱型号</t>
    </r>
  </si>
  <si>
    <t>Shimadzu LC30AD</t>
  </si>
  <si>
    <r>
      <rPr>
        <sz val="11"/>
        <color theme="1"/>
        <rFont val="宋体"/>
        <charset val="134"/>
      </rPr>
      <t>流动相</t>
    </r>
  </si>
  <si>
    <r>
      <rPr>
        <sz val="11"/>
        <color theme="1"/>
        <rFont val="Times New Roman"/>
        <charset val="134"/>
      </rPr>
      <t xml:space="preserve">A: </t>
    </r>
    <r>
      <rPr>
        <sz val="11"/>
        <color theme="1"/>
        <rFont val="宋体"/>
        <charset val="134"/>
      </rPr>
      <t>水（含</t>
    </r>
    <r>
      <rPr>
        <sz val="11"/>
        <color theme="1"/>
        <rFont val="Times New Roman"/>
        <charset val="134"/>
      </rPr>
      <t>0.1%FA</t>
    </r>
    <r>
      <rPr>
        <sz val="11"/>
        <color theme="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</si>
  <si>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</si>
  <si>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</si>
  <si>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</si>
  <si>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</si>
  <si>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</si>
  <si>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</si>
  <si>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</si>
  <si>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t>45°C</t>
  </si>
  <si>
    <r>
      <rPr>
        <sz val="11"/>
        <color theme="1"/>
        <rFont val="宋体"/>
        <charset val="134"/>
      </rPr>
      <t>进样体积</t>
    </r>
    <r>
      <rPr>
        <sz val="11"/>
        <color theme="1"/>
        <rFont val="Times New Roman"/>
        <charset val="134"/>
      </rPr>
      <t>(μL):</t>
    </r>
  </si>
  <si>
    <t xml:space="preserve">5 μL </t>
  </si>
  <si>
    <r>
      <rPr>
        <sz val="11"/>
        <color theme="1"/>
        <rFont val="宋体"/>
        <charset val="134"/>
      </rPr>
      <t>保留时间</t>
    </r>
    <r>
      <rPr>
        <sz val="11"/>
        <color theme="1"/>
        <rFont val="Times New Roman"/>
        <charset val="134"/>
      </rPr>
      <t>:</t>
    </r>
  </si>
  <si>
    <t>1.15 min</t>
  </si>
  <si>
    <t>IS:</t>
  </si>
  <si>
    <t>0.88  min</t>
  </si>
  <si>
    <r>
      <rPr>
        <b/>
        <sz val="11"/>
        <color theme="1"/>
        <rFont val="宋体"/>
        <charset val="134"/>
      </rPr>
      <t>样品前处理</t>
    </r>
    <r>
      <rPr>
        <b/>
        <sz val="11"/>
        <color theme="1"/>
        <rFont val="Times New Roman"/>
        <charset val="134"/>
      </rPr>
      <t xml:space="preserve"> </t>
    </r>
  </si>
  <si>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</si>
  <si>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r>
      <rPr>
        <b/>
        <sz val="11"/>
        <color theme="1"/>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</si>
  <si>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</si>
  <si>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</si>
  <si>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</si>
  <si>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</si>
  <si>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</si>
  <si>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</si>
  <si>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</si>
  <si>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</si>
  <si>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4℃</t>
  </si>
  <si>
    <t>游离形式</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</si>
  <si>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</si>
  <si>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</si>
  <si>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</si>
  <si>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indexed="8"/>
        <rFont val="宋体"/>
        <charset val="134"/>
      </rPr>
      <t>溶媒：</t>
    </r>
    <r>
      <rPr>
        <sz val="11"/>
        <rFont val="Times New Roman"/>
        <charset val="134"/>
      </rPr>
      <t>5%DMSO+10%Solutol+85%Saline</t>
    </r>
  </si>
  <si>
    <r>
      <rPr>
        <b/>
        <sz val="11"/>
        <color indexed="8"/>
        <rFont val="宋体"/>
        <charset val="134"/>
      </rPr>
      <t>实验动物</t>
    </r>
  </si>
  <si>
    <r>
      <rPr>
        <sz val="11"/>
        <rFont val="宋体"/>
        <charset val="134"/>
      </rPr>
      <t>种属：</t>
    </r>
    <r>
      <rPr>
        <sz val="11"/>
        <rFont val="Times New Roman"/>
        <charset val="134"/>
      </rPr>
      <t>ICR</t>
    </r>
    <r>
      <rPr>
        <sz val="11"/>
        <rFont val="宋体"/>
        <charset val="134"/>
      </rPr>
      <t>小鼠，</t>
    </r>
    <r>
      <rPr>
        <sz val="11"/>
        <rFont val="Times New Roman"/>
        <charset val="134"/>
      </rPr>
      <t>SPF</t>
    </r>
    <r>
      <rPr>
        <sz val="11"/>
        <rFont val="宋体"/>
        <charset val="134"/>
      </rPr>
      <t>级；</t>
    </r>
  </si>
  <si>
    <r>
      <rPr>
        <sz val="11"/>
        <color indexed="8"/>
        <rFont val="宋体"/>
        <charset val="134"/>
      </rPr>
      <t>来源：北京维通利华实验动物技术有限公司</t>
    </r>
  </si>
  <si>
    <r>
      <rPr>
        <sz val="11"/>
        <color indexed="8"/>
        <rFont val="宋体"/>
        <charset val="134"/>
      </rPr>
      <t>数量：</t>
    </r>
    <r>
      <rPr>
        <sz val="11"/>
        <rFont val="宋体"/>
        <charset val="134"/>
      </rPr>
      <t>雄性</t>
    </r>
    <r>
      <rPr>
        <sz val="11"/>
        <rFont val="Times New Roman"/>
        <charset val="134"/>
      </rPr>
      <t>4</t>
    </r>
    <r>
      <rPr>
        <sz val="11"/>
        <rFont val="宋体"/>
        <charset val="134"/>
      </rPr>
      <t>只。实验需要：雄性</t>
    </r>
    <r>
      <rPr>
        <sz val="11"/>
        <rFont val="Times New Roman"/>
        <charset val="134"/>
      </rPr>
      <t>3</t>
    </r>
    <r>
      <rPr>
        <sz val="11"/>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</si>
  <si>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</si>
  <si>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</si>
  <si>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</si>
  <si>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</si>
  <si>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</si>
  <si>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</si>
  <si>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</si>
  <si>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</si>
  <si>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</si>
  <si>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</si>
  <si>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indexed="8"/>
        <rFont val="宋体"/>
        <charset val="134"/>
      </rPr>
      <t>雄性</t>
    </r>
  </si>
  <si>
    <t>(mg/kg)</t>
  </si>
  <si>
    <t>(mg/mL)</t>
  </si>
  <si>
    <t>(mL/kg)</t>
  </si>
  <si>
    <r>
      <rPr>
        <sz val="11"/>
        <rFont val="Times New Roman"/>
        <charset val="134"/>
      </rPr>
      <t>PO*</t>
    </r>
    <r>
      <rPr>
        <sz val="11"/>
        <rFont val="宋体"/>
        <charset val="134"/>
      </rPr>
      <t>，单次</t>
    </r>
  </si>
  <si>
    <r>
      <rPr>
        <sz val="11"/>
        <color indexed="8"/>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</si>
  <si>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</si>
  <si>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</si>
  <si>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indexed="8"/>
        <rFont val="宋体"/>
        <charset val="134"/>
      </rPr>
      <t>给药前称重，根据体重，计算给药量。通过</t>
    </r>
    <r>
      <rPr>
        <sz val="11"/>
        <rFont val="宋体"/>
        <charset val="134"/>
      </rPr>
      <t>灌胃口服给药。</t>
    </r>
  </si>
  <si>
    <r>
      <rPr>
        <b/>
        <sz val="11"/>
        <color indexed="8"/>
        <rFont val="宋体"/>
        <charset val="134"/>
      </rPr>
      <t>采血时间点：</t>
    </r>
  </si>
  <si>
    <r>
      <rPr>
        <sz val="11"/>
        <rFont val="宋体"/>
        <charset val="134"/>
      </rPr>
      <t>给药后</t>
    </r>
    <r>
      <rPr>
        <sz val="11"/>
        <rFont val="Times New Roman"/>
        <charset val="134"/>
      </rPr>
      <t xml:space="preserve"> 0.083 h</t>
    </r>
    <r>
      <rPr>
        <sz val="11"/>
        <rFont val="宋体"/>
        <charset val="134"/>
      </rPr>
      <t>、</t>
    </r>
    <r>
      <rPr>
        <sz val="11"/>
        <rFont val="Times New Roman"/>
        <charset val="134"/>
      </rPr>
      <t>0.25 h</t>
    </r>
    <r>
      <rPr>
        <sz val="11"/>
        <rFont val="宋体"/>
        <charset val="134"/>
      </rPr>
      <t>、</t>
    </r>
    <r>
      <rPr>
        <sz val="11"/>
        <rFont val="Times New Roman"/>
        <charset val="134"/>
      </rPr>
      <t>0.5 h</t>
    </r>
    <r>
      <rPr>
        <sz val="11"/>
        <rFont val="宋体"/>
        <charset val="134"/>
      </rPr>
      <t>、</t>
    </r>
    <r>
      <rPr>
        <sz val="11"/>
        <rFont val="Times New Roman"/>
        <charset val="134"/>
      </rPr>
      <t>1 h</t>
    </r>
    <r>
      <rPr>
        <sz val="11"/>
        <rFont val="宋体"/>
        <charset val="134"/>
      </rPr>
      <t>、</t>
    </r>
    <r>
      <rPr>
        <sz val="11"/>
        <rFont val="Times New Roman"/>
        <charset val="134"/>
      </rPr>
      <t>2 h</t>
    </r>
    <r>
      <rPr>
        <sz val="11"/>
        <rFont val="宋体"/>
        <charset val="134"/>
      </rPr>
      <t>、</t>
    </r>
    <r>
      <rPr>
        <sz val="11"/>
        <rFont val="Times New Roman"/>
        <charset val="134"/>
      </rPr>
      <t>4 h</t>
    </r>
    <r>
      <rPr>
        <sz val="11"/>
        <rFont val="宋体"/>
        <charset val="134"/>
      </rPr>
      <t>、</t>
    </r>
    <r>
      <rPr>
        <sz val="11"/>
        <rFont val="Times New Roman"/>
        <charset val="134"/>
      </rPr>
      <t>6 h</t>
    </r>
    <r>
      <rPr>
        <sz val="11"/>
        <rFont val="宋体"/>
        <charset val="134"/>
      </rPr>
      <t>、</t>
    </r>
    <r>
      <rPr>
        <sz val="11"/>
        <rFont val="Times New Roman"/>
        <charset val="134"/>
      </rPr>
      <t>8 h</t>
    </r>
    <r>
      <rPr>
        <sz val="11"/>
        <rFont val="宋体"/>
        <charset val="134"/>
      </rPr>
      <t>、</t>
    </r>
    <r>
      <rPr>
        <sz val="11"/>
        <rFont val="Times New Roman"/>
        <charset val="134"/>
      </rPr>
      <t>24 h</t>
    </r>
    <r>
      <rPr>
        <sz val="11"/>
        <rFont val="宋体"/>
        <charset val="134"/>
      </rPr>
      <t>。</t>
    </r>
  </si>
  <si>
    <r>
      <rPr>
        <sz val="11"/>
        <rFont val="宋体"/>
        <charset val="134"/>
      </rPr>
      <t>经脸颊采血，每个样品采集约</t>
    </r>
    <r>
      <rPr>
        <sz val="11"/>
        <rFont val="Times New Roman"/>
        <charset val="134"/>
      </rPr>
      <t>0.05 mL</t>
    </r>
    <r>
      <rPr>
        <sz val="11"/>
        <rFont val="宋体"/>
        <charset val="134"/>
      </rPr>
      <t>，</t>
    </r>
    <r>
      <rPr>
        <sz val="11"/>
        <rFont val="Times New Roman"/>
        <charset val="134"/>
      </rPr>
      <t>EDTA-2K</t>
    </r>
    <r>
      <rPr>
        <sz val="11"/>
        <rFont val="宋体"/>
        <charset val="134"/>
      </rPr>
      <t>抗凝，采集后放置湿冰上。</t>
    </r>
  </si>
  <si>
    <r>
      <rPr>
        <b/>
        <sz val="11"/>
        <color indexed="8"/>
        <rFont val="宋体"/>
        <charset val="134"/>
      </rPr>
      <t>血浆样品处理</t>
    </r>
  </si>
  <si>
    <r>
      <rPr>
        <sz val="11"/>
        <color indexed="8"/>
        <rFont val="宋体"/>
        <charset val="134"/>
      </rPr>
      <t>血液样本采集后置于冰上，并于</t>
    </r>
    <r>
      <rPr>
        <sz val="11"/>
        <color indexed="8"/>
        <rFont val="Times New Roman"/>
        <charset val="134"/>
      </rPr>
      <t>1</t>
    </r>
    <r>
      <rPr>
        <sz val="11"/>
        <color indexed="8"/>
        <rFont val="宋体"/>
        <charset val="134"/>
      </rPr>
      <t>小时之内离心分离血浆</t>
    </r>
    <r>
      <rPr>
        <sz val="11"/>
        <color indexed="8"/>
        <rFont val="Times New Roman"/>
        <charset val="134"/>
      </rPr>
      <t>(</t>
    </r>
    <r>
      <rPr>
        <sz val="11"/>
        <color indexed="8"/>
        <rFont val="宋体"/>
        <charset val="134"/>
      </rPr>
      <t>离心条件：</t>
    </r>
    <r>
      <rPr>
        <sz val="11"/>
        <color indexed="8"/>
        <rFont val="Times New Roman"/>
        <charset val="134"/>
      </rPr>
      <t>6000 g</t>
    </r>
    <r>
      <rPr>
        <sz val="11"/>
        <color indexed="8"/>
        <rFont val="宋体"/>
        <charset val="134"/>
      </rPr>
      <t>，</t>
    </r>
    <r>
      <rPr>
        <sz val="11"/>
        <color indexed="8"/>
        <rFont val="Times New Roman"/>
        <charset val="134"/>
      </rPr>
      <t>3</t>
    </r>
    <r>
      <rPr>
        <sz val="11"/>
        <color indexed="8"/>
        <rFont val="宋体"/>
        <charset val="134"/>
      </rPr>
      <t>分钟，</t>
    </r>
    <r>
      <rPr>
        <sz val="11"/>
        <color indexed="8"/>
        <rFont val="Times New Roman"/>
        <charset val="134"/>
      </rPr>
      <t>2-8 ºC)</t>
    </r>
    <r>
      <rPr>
        <sz val="11"/>
        <color indexed="8"/>
        <rFont val="宋体"/>
        <charset val="134"/>
      </rPr>
      <t>。血浆样本在分析前存放时则放于</t>
    </r>
    <r>
      <rPr>
        <sz val="11"/>
        <color indexed="8"/>
        <rFont val="Times New Roman"/>
        <charset val="134"/>
      </rPr>
      <t>-80 ºC</t>
    </r>
    <r>
      <rPr>
        <sz val="11"/>
        <color indexed="8"/>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</si>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</sst>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 numFmtId="178" formatCode="0.0"/>
    <numFmt numFmtId="179" formatCode="0_);[Red]\(0\)"/>
    <numFmt numFmtId="180" formatCode="0.0_);[Red]\(0.0\)"/>
    <numFmt numFmtId="181" formatCode="0.000_ "/>
    <numFmt numFmtId="182" formatCode="0.00_);[Red]\(0.00\)"/>
    <numFmt numFmtId="183" formatCode="0.0000_ "/>
    <numFmt numFmtId="184" formatCode="0_ "/>
    <numFmt numFmtId="185" formatCode="0.000"/>
    <numFmt numFmtId="186" formatCode="0.00000"/>
  </numFmts>
  <fonts count="90">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name val="Times New Roman"/>
      <charset val="134"/>
    </font>
    <font>
      <sz val="12"/>
      <color theme="1"/>
      <name val="Times New Roman"/>
      <charset val="134"/>
    </font>
    <font>
      <sz val="11"/>
      <name val="宋体"/>
      <charset val="134"/>
    </font>
    <font>
      <sz val="11"/>
      <color rgb="FF000000"/>
      <name val="Times New Roman"/>
      <charset val="134"/>
    </font>
    <font>
      <sz val="11"/>
      <color rgb="FF000000"/>
      <name val="宋体"/>
      <charset val="134"/>
    </font>
    <font>
      <b/>
      <sz val="11"/>
      <color theme="1"/>
      <name val="Times New Roman"/>
      <charset val="134"/>
    </font>
    <font>
      <sz val="10.5"/>
      <color theme="1"/>
      <name val="Times New Roman"/>
      <charset val="134"/>
    </font>
    <font>
      <b/>
      <sz val="11"/>
      <name val="Times New Roman"/>
      <charset val="134"/>
    </font>
    <font>
      <b/>
      <u/>
      <sz val="11"/>
      <name val="Times New Roman"/>
      <charset val="134"/>
    </font>
    <font>
      <b/>
      <sz val="11"/>
      <name val="宋体"/>
      <charset val="134"/>
    </font>
    <font>
      <b/>
      <sz val="11"/>
      <color rgb="FF000000"/>
      <name val="Times New Roman"/>
      <charset val="134"/>
    </font>
    <font>
      <b/>
      <sz val="14"/>
      <name val="Times New Roman"/>
      <charset val="134"/>
    </font>
    <font>
      <b/>
      <sz val="12"/>
      <name val="Times New Roman"/>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color rgb="FF000000"/>
      <name val="Times New Roman"/>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1"/>
      <color theme="1"/>
      <name val="宋体"/>
      <charset val="134"/>
      <scheme val="minor"/>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2"/>
      <name val="宋体"/>
      <charset val="134"/>
    </font>
    <font>
      <sz val="11"/>
      <color indexed="8"/>
      <name val="宋体"/>
      <charset val="134"/>
    </font>
    <font>
      <b/>
      <sz val="12"/>
      <color indexed="63"/>
      <name val="Calibri"/>
      <charset val="134"/>
    </font>
    <font>
      <sz val="10"/>
      <color indexed="8"/>
      <name val="Arial"/>
      <charset val="134"/>
    </font>
    <font>
      <b/>
      <sz val="12"/>
      <color indexed="8"/>
      <name val="Calibri"/>
      <charset val="134"/>
    </font>
    <font>
      <b/>
      <sz val="15"/>
      <color theme="3"/>
      <name val="宋体"/>
      <charset val="134"/>
      <scheme val="minor"/>
    </font>
    <font>
      <b/>
      <sz val="13"/>
      <color theme="3"/>
      <name val="宋体"/>
      <charset val="134"/>
      <scheme val="minor"/>
    </font>
    <font>
      <b/>
      <sz val="11"/>
      <color theme="3"/>
      <name val="宋体"/>
      <charset val="134"/>
      <scheme val="minor"/>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b/>
      <sz val="11"/>
      <color indexed="8"/>
      <name val="宋体"/>
      <charset val="134"/>
    </font>
    <font>
      <b/>
      <sz val="11"/>
      <color theme="1"/>
      <name val="宋体"/>
      <charset val="134"/>
    </font>
    <font>
      <sz val="11"/>
      <color theme="1"/>
      <name val="宋体"/>
      <charset val="134"/>
    </font>
    <font>
      <b/>
      <u/>
      <sz val="11"/>
      <name val="宋体"/>
      <charset val="134"/>
    </font>
    <font>
      <b/>
      <sz val="14"/>
      <name val="宋体"/>
      <charset val="134"/>
    </font>
    <font>
      <b/>
      <sz val="12"/>
      <name val="宋体"/>
      <charset val="134"/>
    </font>
    <font>
      <vertAlign val="subscript"/>
      <sz val="11"/>
      <name val="Times New Roman"/>
      <charset val="134"/>
    </font>
    <font>
      <vertAlign val="subscript"/>
      <sz val="11"/>
      <name val="宋体"/>
      <charset val="134"/>
    </font>
    <font>
      <sz val="16"/>
      <name val="宋体"/>
      <charset val="134"/>
    </font>
    <font>
      <b/>
      <sz val="12"/>
      <color theme="1"/>
      <name val="宋体"/>
      <charset val="134"/>
    </font>
    <font>
      <sz val="12"/>
      <color rgb="FF000000"/>
      <name val="宋体"/>
      <charset val="134"/>
    </font>
  </fonts>
  <fills count="8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615466780602"/>
        <bgColor indexed="64"/>
      </patternFill>
    </fill>
    <fill>
      <patternFill patternType="solid">
        <fgColor indexed="47"/>
        <bgColor indexed="64"/>
      </patternFill>
    </fill>
    <fill>
      <patternFill patternType="solid">
        <fgColor theme="5" tint="0.799584948271126"/>
        <bgColor indexed="64"/>
      </patternFill>
    </fill>
    <fill>
      <patternFill patternType="solid">
        <fgColor indexed="26"/>
        <bgColor indexed="64"/>
      </patternFill>
    </fill>
    <fill>
      <patternFill patternType="solid">
        <fgColor theme="7" tint="0.799615466780602"/>
        <bgColor indexed="64"/>
      </patternFill>
    </fill>
    <fill>
      <patternFill patternType="solid">
        <fgColor theme="7" tint="0.799584948271126"/>
        <bgColor indexed="64"/>
      </patternFill>
    </fill>
    <fill>
      <patternFill patternType="solid">
        <fgColor indexed="27"/>
        <bgColor indexed="64"/>
      </patternFill>
    </fill>
    <fill>
      <patternFill patternType="solid">
        <fgColor theme="4" tint="0.79985961485641"/>
        <bgColor indexed="64"/>
      </patternFill>
    </fill>
    <fill>
      <patternFill patternType="solid">
        <fgColor theme="5" tint="0.79985961485641"/>
        <bgColor indexed="64"/>
      </patternFill>
    </fill>
    <fill>
      <patternFill patternType="solid">
        <fgColor theme="6" tint="0.79985961485641"/>
        <bgColor indexed="64"/>
      </patternFill>
    </fill>
    <fill>
      <patternFill patternType="solid">
        <fgColor theme="7" tint="0.79985961485641"/>
        <bgColor indexed="64"/>
      </patternFill>
    </fill>
    <fill>
      <patternFill patternType="solid">
        <fgColor theme="8" tint="0.79985961485641"/>
        <bgColor indexed="64"/>
      </patternFill>
    </fill>
    <fill>
      <patternFill patternType="solid">
        <fgColor theme="9" tint="0.79985961485641"/>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853511154515"/>
        <bgColor indexed="64"/>
      </patternFill>
    </fill>
    <fill>
      <patternFill patternType="solid">
        <fgColor theme="5" tint="0.399853511154515"/>
        <bgColor indexed="64"/>
      </patternFill>
    </fill>
    <fill>
      <patternFill patternType="solid">
        <fgColor theme="6" tint="0.399853511154515"/>
        <bgColor indexed="64"/>
      </patternFill>
    </fill>
    <fill>
      <patternFill patternType="solid">
        <fgColor theme="7" tint="0.399853511154515"/>
        <bgColor indexed="64"/>
      </patternFill>
    </fill>
    <fill>
      <patternFill patternType="solid">
        <fgColor theme="8" tint="0.399853511154515"/>
        <bgColor indexed="64"/>
      </patternFill>
    </fill>
    <fill>
      <patternFill patternType="solid">
        <fgColor theme="9" tint="0.399853511154515"/>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5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auto="1"/>
      </right>
      <top style="medium">
        <color auto="1"/>
      </top>
      <bottom style="medium">
        <color auto="1"/>
      </bottom>
      <diagonal/>
    </border>
    <border>
      <left style="thin">
        <color auto="1"/>
      </left>
      <right/>
      <top style="medium">
        <color auto="1"/>
      </top>
      <bottom/>
      <diagonal/>
    </border>
    <border>
      <left/>
      <right style="medium">
        <color auto="1"/>
      </right>
      <top/>
      <bottom style="thin">
        <color auto="1"/>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53511154515"/>
      </bottom>
      <diagonal/>
    </border>
  </borders>
  <cellStyleXfs count="41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 borderId="35"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6" applyNumberFormat="0" applyFill="0" applyAlignment="0" applyProtection="0">
      <alignment vertical="center"/>
    </xf>
    <xf numFmtId="0" fontId="32" fillId="0" borderId="36" applyNumberFormat="0" applyFill="0" applyAlignment="0" applyProtection="0">
      <alignment vertical="center"/>
    </xf>
    <xf numFmtId="0" fontId="33" fillId="0" borderId="37" applyNumberFormat="0" applyFill="0" applyAlignment="0" applyProtection="0">
      <alignment vertical="center"/>
    </xf>
    <xf numFmtId="0" fontId="33" fillId="0" borderId="0" applyNumberFormat="0" applyFill="0" applyBorder="0" applyAlignment="0" applyProtection="0">
      <alignment vertical="center"/>
    </xf>
    <xf numFmtId="0" fontId="34" fillId="4" borderId="38" applyNumberFormat="0" applyAlignment="0" applyProtection="0">
      <alignment vertical="center"/>
    </xf>
    <xf numFmtId="0" fontId="35" fillId="5" borderId="39" applyNumberFormat="0" applyAlignment="0" applyProtection="0">
      <alignment vertical="center"/>
    </xf>
    <xf numFmtId="0" fontId="36" fillId="5" borderId="38" applyNumberFormat="0" applyAlignment="0" applyProtection="0">
      <alignment vertical="center"/>
    </xf>
    <xf numFmtId="0" fontId="37" fillId="6" borderId="40" applyNumberFormat="0" applyAlignment="0" applyProtection="0">
      <alignment vertical="center"/>
    </xf>
    <xf numFmtId="0" fontId="38" fillId="0" borderId="41" applyNumberFormat="0" applyFill="0" applyAlignment="0" applyProtection="0">
      <alignment vertical="center"/>
    </xf>
    <xf numFmtId="0" fontId="39" fillId="0" borderId="42"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5" fillId="34" borderId="0" applyNumberFormat="0" applyBorder="0" applyAlignment="0" applyProtection="0"/>
    <xf numFmtId="0" fontId="46" fillId="35" borderId="0" applyNumberFormat="0" applyBorder="0" applyAlignment="0" applyProtection="0">
      <alignment vertical="center"/>
    </xf>
    <xf numFmtId="0" fontId="45" fillId="36" borderId="0" applyNumberFormat="0" applyBorder="0" applyAlignment="0" applyProtection="0"/>
    <xf numFmtId="0" fontId="46" fillId="35" borderId="0" applyNumberFormat="0" applyBorder="0" applyAlignment="0" applyProtection="0">
      <alignment vertical="center"/>
    </xf>
    <xf numFmtId="0" fontId="46" fillId="37" borderId="0" applyNumberFormat="0" applyBorder="0" applyAlignment="0" applyProtection="0">
      <alignment vertical="center"/>
    </xf>
    <xf numFmtId="0" fontId="45" fillId="36" borderId="0" applyNumberFormat="0" applyBorder="0" applyAlignment="0" applyProtection="0"/>
    <xf numFmtId="0" fontId="46" fillId="35" borderId="0" applyNumberFormat="0" applyBorder="0" applyAlignment="0" applyProtection="0">
      <alignment vertical="center"/>
    </xf>
    <xf numFmtId="0" fontId="46" fillId="37" borderId="0" applyNumberFormat="0" applyBorder="0" applyAlignment="0" applyProtection="0">
      <alignment vertical="center"/>
    </xf>
    <xf numFmtId="0" fontId="46" fillId="35" borderId="0" applyNumberFormat="0" applyBorder="0" applyAlignment="0" applyProtection="0">
      <alignment vertical="center"/>
    </xf>
    <xf numFmtId="0" fontId="45" fillId="38" borderId="0" applyNumberFormat="0" applyBorder="0" applyAlignment="0" applyProtection="0"/>
    <xf numFmtId="0" fontId="46" fillId="39" borderId="0" applyNumberFormat="0" applyBorder="0" applyAlignment="0" applyProtection="0">
      <alignment vertical="center"/>
    </xf>
    <xf numFmtId="0" fontId="45" fillId="34" borderId="0" applyNumberFormat="0" applyBorder="0" applyAlignment="0" applyProtection="0"/>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5" fillId="34" borderId="0" applyNumberFormat="0" applyBorder="0" applyAlignment="0" applyProtection="0"/>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6" fillId="39" borderId="0" applyNumberFormat="0" applyBorder="0" applyAlignment="0" applyProtection="0">
      <alignment vertical="center"/>
    </xf>
    <xf numFmtId="0" fontId="45" fillId="41" borderId="0" applyNumberFormat="0" applyBorder="0" applyAlignment="0" applyProtection="0"/>
    <xf numFmtId="0" fontId="45" fillId="36" borderId="0" applyNumberFormat="0" applyBorder="0" applyAlignment="0" applyProtection="0"/>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48" borderId="0" applyNumberFormat="0" applyBorder="0" applyAlignment="0" applyProtection="0"/>
    <xf numFmtId="0" fontId="45" fillId="51" borderId="0" applyNumberFormat="0" applyBorder="0" applyAlignment="0" applyProtection="0"/>
    <xf numFmtId="0" fontId="46" fillId="52" borderId="0" applyNumberFormat="0" applyBorder="0" applyAlignment="0" applyProtection="0">
      <alignment vertical="center"/>
    </xf>
    <xf numFmtId="0" fontId="45" fillId="36" borderId="0" applyNumberFormat="0" applyBorder="0" applyAlignment="0" applyProtection="0"/>
    <xf numFmtId="0" fontId="46" fillId="52" borderId="0" applyNumberFormat="0" applyBorder="0" applyAlignment="0" applyProtection="0">
      <alignment vertical="center"/>
    </xf>
    <xf numFmtId="0" fontId="45" fillId="36" borderId="0" applyNumberFormat="0" applyBorder="0" applyAlignment="0" applyProtection="0"/>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6" fillId="53" borderId="0" applyNumberFormat="0" applyBorder="0" applyAlignment="0" applyProtection="0">
      <alignment vertical="center"/>
    </xf>
    <xf numFmtId="0" fontId="46" fillId="53" borderId="0" applyNumberFormat="0" applyBorder="0" applyAlignment="0" applyProtection="0">
      <alignment vertical="center"/>
    </xf>
    <xf numFmtId="0" fontId="46" fillId="54" borderId="0" applyNumberFormat="0" applyBorder="0" applyAlignment="0" applyProtection="0">
      <alignment vertical="center"/>
    </xf>
    <xf numFmtId="0" fontId="46" fillId="54" borderId="0" applyNumberFormat="0" applyBorder="0" applyAlignment="0" applyProtection="0">
      <alignment vertical="center"/>
    </xf>
    <xf numFmtId="0" fontId="46" fillId="55" borderId="0" applyNumberFormat="0" applyBorder="0" applyAlignment="0" applyProtection="0">
      <alignment vertical="center"/>
    </xf>
    <xf numFmtId="0" fontId="46" fillId="55" borderId="0" applyNumberFormat="0" applyBorder="0" applyAlignment="0" applyProtection="0">
      <alignment vertical="center"/>
    </xf>
    <xf numFmtId="0" fontId="46" fillId="56" borderId="0" applyNumberFormat="0" applyBorder="0" applyAlignment="0" applyProtection="0">
      <alignment vertical="center"/>
    </xf>
    <xf numFmtId="0" fontId="46" fillId="56" borderId="0" applyNumberFormat="0" applyBorder="0" applyAlignment="0" applyProtection="0">
      <alignment vertical="center"/>
    </xf>
    <xf numFmtId="0" fontId="46" fillId="57" borderId="0" applyNumberFormat="0" applyBorder="0" applyAlignment="0" applyProtection="0">
      <alignment vertical="center"/>
    </xf>
    <xf numFmtId="0" fontId="46" fillId="57" borderId="0" applyNumberFormat="0" applyBorder="0" applyAlignment="0" applyProtection="0">
      <alignment vertical="center"/>
    </xf>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7" fillId="58"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47" fillId="36" borderId="0" applyNumberFormat="0" applyBorder="0" applyAlignment="0" applyProtection="0"/>
    <xf numFmtId="0" fontId="48" fillId="59" borderId="0" applyNumberFormat="0" applyBorder="0" applyAlignment="0" applyProtection="0">
      <alignment vertical="center"/>
    </xf>
    <xf numFmtId="0" fontId="48" fillId="59" borderId="0" applyNumberFormat="0" applyBorder="0" applyAlignment="0" applyProtection="0">
      <alignment vertical="center"/>
    </xf>
    <xf numFmtId="0" fontId="48" fillId="60" borderId="0" applyNumberFormat="0" applyBorder="0" applyAlignment="0" applyProtection="0">
      <alignment vertical="center"/>
    </xf>
    <xf numFmtId="0" fontId="48" fillId="60" borderId="0" applyNumberFormat="0" applyBorder="0" applyAlignment="0" applyProtection="0">
      <alignment vertical="center"/>
    </xf>
    <xf numFmtId="0" fontId="48" fillId="61" borderId="0" applyNumberFormat="0" applyBorder="0" applyAlignment="0" applyProtection="0">
      <alignment vertical="center"/>
    </xf>
    <xf numFmtId="0" fontId="48" fillId="61" borderId="0" applyNumberFormat="0" applyBorder="0" applyAlignment="0" applyProtection="0">
      <alignment vertical="center"/>
    </xf>
    <xf numFmtId="0" fontId="48" fillId="62" borderId="0" applyNumberFormat="0" applyBorder="0" applyAlignment="0" applyProtection="0">
      <alignment vertical="center"/>
    </xf>
    <xf numFmtId="0" fontId="48" fillId="62" borderId="0" applyNumberFormat="0" applyBorder="0" applyAlignment="0" applyProtection="0">
      <alignment vertical="center"/>
    </xf>
    <xf numFmtId="0" fontId="48" fillId="63" borderId="0" applyNumberFormat="0" applyBorder="0" applyAlignment="0" applyProtection="0">
      <alignment vertical="center"/>
    </xf>
    <xf numFmtId="0" fontId="48" fillId="63" borderId="0" applyNumberFormat="0" applyBorder="0" applyAlignment="0" applyProtection="0">
      <alignment vertical="center"/>
    </xf>
    <xf numFmtId="0" fontId="48" fillId="64" borderId="0" applyNumberFormat="0" applyBorder="0" applyAlignment="0" applyProtection="0">
      <alignment vertical="center"/>
    </xf>
    <xf numFmtId="0" fontId="48" fillId="64" borderId="0" applyNumberFormat="0" applyBorder="0" applyAlignment="0" applyProtection="0">
      <alignment vertical="center"/>
    </xf>
    <xf numFmtId="0" fontId="47" fillId="58"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6" borderId="0" applyNumberFormat="0" applyBorder="0" applyAlignment="0" applyProtection="0"/>
    <xf numFmtId="0" fontId="47" fillId="58" borderId="0" applyNumberFormat="0" applyBorder="0" applyAlignment="0" applyProtection="0"/>
    <xf numFmtId="0" fontId="47" fillId="67" borderId="0" applyNumberFormat="0" applyBorder="0" applyAlignment="0" applyProtection="0"/>
    <xf numFmtId="0" fontId="49" fillId="68" borderId="0" applyNumberFormat="0" applyBorder="0" applyAlignment="0" applyProtection="0"/>
    <xf numFmtId="0" fontId="50" fillId="34" borderId="43" applyNumberFormat="0" applyAlignment="0" applyProtection="0"/>
    <xf numFmtId="0" fontId="51" fillId="69" borderId="44" applyNumberFormat="0" applyAlignment="0" applyProtection="0"/>
    <xf numFmtId="0" fontId="52" fillId="70" borderId="0" applyNumberFormat="0" applyBorder="0" applyAlignment="0" applyProtection="0"/>
    <xf numFmtId="0" fontId="53" fillId="36" borderId="43" applyNumberFormat="0" applyAlignment="0" applyProtection="0"/>
    <xf numFmtId="0" fontId="54" fillId="50" borderId="0" applyNumberFormat="0" applyBorder="0" applyAlignment="0" applyProtection="0"/>
    <xf numFmtId="0" fontId="55" fillId="0" borderId="0"/>
    <xf numFmtId="0" fontId="56" fillId="0" borderId="0">
      <alignment vertical="top"/>
    </xf>
    <xf numFmtId="0" fontId="46" fillId="0" borderId="0">
      <alignment vertical="center"/>
    </xf>
    <xf numFmtId="0" fontId="46" fillId="0" borderId="0">
      <alignment vertical="center"/>
    </xf>
    <xf numFmtId="0" fontId="57" fillId="0" borderId="0">
      <alignment vertical="center"/>
    </xf>
    <xf numFmtId="0" fontId="57" fillId="0" borderId="0">
      <alignment vertical="center"/>
    </xf>
    <xf numFmtId="0" fontId="46" fillId="0" borderId="0">
      <alignment vertical="center"/>
    </xf>
    <xf numFmtId="0" fontId="56" fillId="0" borderId="0"/>
    <xf numFmtId="0" fontId="46" fillId="71" borderId="35" applyNumberFormat="0" applyFont="0" applyAlignment="0" applyProtection="0"/>
    <xf numFmtId="0" fontId="46"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46"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46" fillId="71" borderId="35" applyNumberFormat="0" applyFont="0" applyAlignment="0" applyProtection="0"/>
    <xf numFmtId="0" fontId="46"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46" fillId="71" borderId="35" applyNumberFormat="0" applyFont="0" applyAlignment="0" applyProtection="0"/>
    <xf numFmtId="0" fontId="46"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7" fillId="38" borderId="45" applyNumberFormat="0" applyFont="0" applyAlignment="0" applyProtection="0"/>
    <xf numFmtId="0" fontId="57" fillId="38" borderId="45" applyNumberFormat="0" applyFont="0" applyAlignment="0" applyProtection="0"/>
    <xf numFmtId="0" fontId="57" fillId="38" borderId="45" applyNumberFormat="0" applyFont="0" applyAlignment="0" applyProtection="0"/>
    <xf numFmtId="0" fontId="57" fillId="38" borderId="45" applyNumberFormat="0" applyFont="0" applyAlignment="0" applyProtection="0"/>
    <xf numFmtId="0" fontId="57" fillId="38" borderId="45" applyNumberFormat="0" applyFont="0" applyAlignment="0" applyProtection="0"/>
    <xf numFmtId="0" fontId="57" fillId="38" borderId="45" applyNumberFormat="0" applyFont="0" applyAlignment="0" applyProtection="0"/>
    <xf numFmtId="0" fontId="57" fillId="38" borderId="45" applyNumberFormat="0" applyFont="0" applyAlignment="0" applyProtection="0"/>
    <xf numFmtId="0" fontId="57" fillId="38" borderId="45" applyNumberFormat="0" applyFont="0" applyAlignment="0" applyProtection="0"/>
    <xf numFmtId="0" fontId="57" fillId="38" borderId="45" applyNumberFormat="0" applyFont="0" applyAlignment="0" applyProtection="0"/>
    <xf numFmtId="0" fontId="59" fillId="34" borderId="46" applyNumberFormat="0" applyAlignment="0" applyProtection="0"/>
    <xf numFmtId="0" fontId="60" fillId="0" borderId="0">
      <alignment vertical="top"/>
    </xf>
    <xf numFmtId="0" fontId="60" fillId="0" borderId="0">
      <alignment vertical="top"/>
    </xf>
    <xf numFmtId="0" fontId="60" fillId="0" borderId="0">
      <alignment vertical="top"/>
    </xf>
    <xf numFmtId="0" fontId="61" fillId="0" borderId="47" applyNumberFormat="0" applyFill="0" applyAlignment="0" applyProtection="0"/>
    <xf numFmtId="9" fontId="57" fillId="0" borderId="0" applyFont="0" applyFill="0" applyBorder="0" applyAlignment="0" applyProtection="0">
      <alignment vertical="center"/>
    </xf>
    <xf numFmtId="0" fontId="62" fillId="0" borderId="48" applyNumberFormat="0" applyFill="0" applyAlignment="0" applyProtection="0">
      <alignment vertical="center"/>
    </xf>
    <xf numFmtId="0" fontId="62" fillId="0" borderId="48" applyNumberFormat="0" applyFill="0" applyAlignment="0" applyProtection="0">
      <alignment vertical="center"/>
    </xf>
    <xf numFmtId="0" fontId="63" fillId="0" borderId="49" applyNumberFormat="0" applyFill="0" applyAlignment="0" applyProtection="0">
      <alignment vertical="center"/>
    </xf>
    <xf numFmtId="0" fontId="63" fillId="0" borderId="49" applyNumberFormat="0" applyFill="0" applyAlignment="0" applyProtection="0">
      <alignment vertical="center"/>
    </xf>
    <xf numFmtId="0" fontId="64" fillId="0" borderId="50" applyNumberFormat="0" applyFill="0" applyAlignment="0" applyProtection="0">
      <alignment vertical="center"/>
    </xf>
    <xf numFmtId="0" fontId="64" fillId="0" borderId="50" applyNumberFormat="0" applyFill="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72" borderId="0" applyNumberFormat="0" applyBorder="0" applyAlignment="0" applyProtection="0">
      <alignment vertical="center"/>
    </xf>
    <xf numFmtId="0" fontId="66" fillId="72" borderId="0" applyNumberFormat="0" applyBorder="0" applyAlignment="0" applyProtection="0">
      <alignment vertical="center"/>
    </xf>
    <xf numFmtId="0" fontId="67" fillId="0" borderId="0"/>
    <xf numFmtId="0" fontId="46" fillId="0" borderId="0">
      <alignment vertical="center"/>
    </xf>
    <xf numFmtId="0" fontId="67" fillId="0" borderId="0"/>
    <xf numFmtId="0" fontId="46" fillId="0" borderId="0"/>
    <xf numFmtId="0" fontId="46" fillId="0" borderId="0"/>
    <xf numFmtId="0" fontId="67" fillId="0" borderId="0"/>
    <xf numFmtId="0" fontId="46" fillId="0" borderId="0"/>
    <xf numFmtId="0" fontId="46" fillId="0" borderId="0">
      <alignment vertical="center"/>
    </xf>
    <xf numFmtId="0" fontId="67"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57" fillId="0" borderId="0">
      <alignment vertical="center"/>
    </xf>
    <xf numFmtId="0" fontId="46" fillId="0" borderId="0"/>
    <xf numFmtId="0" fontId="46" fillId="0" borderId="0"/>
    <xf numFmtId="0" fontId="67" fillId="0" borderId="0"/>
    <xf numFmtId="0" fontId="67" fillId="0" borderId="0"/>
    <xf numFmtId="0" fontId="67" fillId="0" borderId="0"/>
    <xf numFmtId="0" fontId="67" fillId="0" borderId="0"/>
    <xf numFmtId="0" fontId="46" fillId="0" borderId="0">
      <alignment vertical="center"/>
    </xf>
    <xf numFmtId="0" fontId="46" fillId="0" borderId="0">
      <alignment vertical="center"/>
    </xf>
    <xf numFmtId="0" fontId="67" fillId="0" borderId="0"/>
    <xf numFmtId="0" fontId="57" fillId="0" borderId="0">
      <alignment vertical="top"/>
    </xf>
    <xf numFmtId="0" fontId="67" fillId="0" borderId="0"/>
    <xf numFmtId="0" fontId="46" fillId="0" borderId="0">
      <alignment vertical="center"/>
    </xf>
    <xf numFmtId="0" fontId="67" fillId="0" borderId="0"/>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xf numFmtId="0" fontId="57" fillId="0" borderId="0"/>
    <xf numFmtId="0" fontId="57" fillId="0" borderId="0"/>
    <xf numFmtId="0" fontId="57" fillId="0" borderId="0"/>
    <xf numFmtId="0" fontId="57" fillId="0" borderId="0">
      <alignment vertical="top"/>
    </xf>
    <xf numFmtId="0" fontId="57" fillId="0" borderId="0">
      <alignment vertical="top"/>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57" fillId="0" borderId="0">
      <alignment vertical="top"/>
    </xf>
    <xf numFmtId="0" fontId="46" fillId="0" borderId="0">
      <alignment vertical="center"/>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46" fillId="0" borderId="0">
      <alignment vertical="center"/>
    </xf>
    <xf numFmtId="0" fontId="67"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7" fillId="0" borderId="0"/>
    <xf numFmtId="0" fontId="67" fillId="0" borderId="0"/>
    <xf numFmtId="0" fontId="67" fillId="0" borderId="0"/>
    <xf numFmtId="0" fontId="67" fillId="0" borderId="0"/>
    <xf numFmtId="0" fontId="67" fillId="0" borderId="0"/>
    <xf numFmtId="0" fontId="46" fillId="0" borderId="0"/>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57" fillId="0" borderId="0">
      <alignment vertical="top"/>
    </xf>
    <xf numFmtId="0" fontId="68" fillId="0" borderId="0">
      <alignment vertical="top"/>
    </xf>
    <xf numFmtId="0" fontId="57" fillId="0" borderId="0">
      <alignment vertical="top"/>
    </xf>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7" fillId="0" borderId="0"/>
    <xf numFmtId="0" fontId="46" fillId="0" borderId="0"/>
    <xf numFmtId="0" fontId="67" fillId="0" borderId="0"/>
    <xf numFmtId="0" fontId="67" fillId="0" borderId="0"/>
    <xf numFmtId="0" fontId="46" fillId="0" borderId="0">
      <alignment vertical="center"/>
    </xf>
    <xf numFmtId="0" fontId="46" fillId="0" borderId="0">
      <alignment vertical="center"/>
    </xf>
    <xf numFmtId="0" fontId="46" fillId="0" borderId="0">
      <alignment vertical="center"/>
    </xf>
    <xf numFmtId="0" fontId="67" fillId="0" borderId="0"/>
    <xf numFmtId="0" fontId="46" fillId="0" borderId="0">
      <alignment vertical="center"/>
    </xf>
    <xf numFmtId="0" fontId="67" fillId="0" borderId="0"/>
    <xf numFmtId="0" fontId="46" fillId="0" borderId="0"/>
    <xf numFmtId="0" fontId="46" fillId="0" borderId="0"/>
    <xf numFmtId="0" fontId="46" fillId="0" borderId="0"/>
    <xf numFmtId="0" fontId="4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xf numFmtId="0" fontId="46" fillId="0" borderId="0">
      <alignment vertical="center"/>
    </xf>
    <xf numFmtId="0" fontId="46" fillId="0" borderId="0">
      <alignment vertical="center"/>
    </xf>
    <xf numFmtId="0" fontId="46"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60" fillId="0" borderId="0">
      <alignment vertical="top"/>
    </xf>
    <xf numFmtId="0" fontId="56" fillId="0" borderId="0">
      <alignment vertical="top"/>
    </xf>
    <xf numFmtId="0" fontId="60" fillId="0" borderId="0">
      <alignment vertical="top"/>
    </xf>
    <xf numFmtId="0" fontId="69" fillId="73" borderId="0" applyNumberFormat="0" applyBorder="0" applyAlignment="0" applyProtection="0">
      <alignment vertical="center"/>
    </xf>
    <xf numFmtId="0" fontId="69" fillId="73" borderId="0" applyNumberFormat="0" applyBorder="0" applyAlignment="0" applyProtection="0">
      <alignment vertical="center"/>
    </xf>
    <xf numFmtId="0" fontId="70" fillId="0" borderId="42" applyNumberFormat="0" applyFill="0" applyAlignment="0" applyProtection="0">
      <alignment vertical="center"/>
    </xf>
    <xf numFmtId="0" fontId="70" fillId="0" borderId="42" applyNumberFormat="0" applyFill="0" applyAlignment="0" applyProtection="0">
      <alignment vertical="center"/>
    </xf>
    <xf numFmtId="0" fontId="71" fillId="74" borderId="38" applyNumberFormat="0" applyAlignment="0" applyProtection="0">
      <alignment vertical="center"/>
    </xf>
    <xf numFmtId="0" fontId="71" fillId="74" borderId="38" applyNumberFormat="0" applyAlignment="0" applyProtection="0">
      <alignment vertical="center"/>
    </xf>
    <xf numFmtId="0" fontId="72" fillId="75" borderId="40" applyNumberFormat="0" applyAlignment="0" applyProtection="0">
      <alignment vertical="center"/>
    </xf>
    <xf numFmtId="0" fontId="72" fillId="75" borderId="40" applyNumberFormat="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41" applyNumberFormat="0" applyFill="0" applyAlignment="0" applyProtection="0">
      <alignment vertical="center"/>
    </xf>
    <xf numFmtId="0" fontId="75" fillId="0" borderId="41" applyNumberFormat="0" applyFill="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0" fontId="48" fillId="76" borderId="0" applyNumberFormat="0" applyBorder="0" applyAlignment="0" applyProtection="0">
      <alignment vertical="center"/>
    </xf>
    <xf numFmtId="0" fontId="48" fillId="76" borderId="0" applyNumberFormat="0" applyBorder="0" applyAlignment="0" applyProtection="0">
      <alignment vertical="center"/>
    </xf>
    <xf numFmtId="0" fontId="48" fillId="77" borderId="0" applyNumberFormat="0" applyBorder="0" applyAlignment="0" applyProtection="0">
      <alignment vertical="center"/>
    </xf>
    <xf numFmtId="0" fontId="48" fillId="77" borderId="0" applyNumberFormat="0" applyBorder="0" applyAlignment="0" applyProtection="0">
      <alignment vertical="center"/>
    </xf>
    <xf numFmtId="0" fontId="48" fillId="78" borderId="0" applyNumberFormat="0" applyBorder="0" applyAlignment="0" applyProtection="0">
      <alignment vertical="center"/>
    </xf>
    <xf numFmtId="0" fontId="48" fillId="78" borderId="0" applyNumberFormat="0" applyBorder="0" applyAlignment="0" applyProtection="0">
      <alignment vertical="center"/>
    </xf>
    <xf numFmtId="0" fontId="48" fillId="79" borderId="0" applyNumberFormat="0" applyBorder="0" applyAlignment="0" applyProtection="0">
      <alignment vertical="center"/>
    </xf>
    <xf numFmtId="0" fontId="48" fillId="79" borderId="0" applyNumberFormat="0" applyBorder="0" applyAlignment="0" applyProtection="0">
      <alignment vertical="center"/>
    </xf>
    <xf numFmtId="0" fontId="48" fillId="80" borderId="0" applyNumberFormat="0" applyBorder="0" applyAlignment="0" applyProtection="0">
      <alignment vertical="center"/>
    </xf>
    <xf numFmtId="0" fontId="48" fillId="80" borderId="0" applyNumberFormat="0" applyBorder="0" applyAlignment="0" applyProtection="0">
      <alignment vertical="center"/>
    </xf>
    <xf numFmtId="0" fontId="48" fillId="81" borderId="0" applyNumberFormat="0" applyBorder="0" applyAlignment="0" applyProtection="0">
      <alignment vertical="center"/>
    </xf>
    <xf numFmtId="0" fontId="48" fillId="81" borderId="0" applyNumberFormat="0" applyBorder="0" applyAlignment="0" applyProtection="0">
      <alignment vertical="center"/>
    </xf>
    <xf numFmtId="0" fontId="76" fillId="82" borderId="0" applyNumberFormat="0" applyBorder="0" applyAlignment="0" applyProtection="0">
      <alignment vertical="center"/>
    </xf>
    <xf numFmtId="0" fontId="76" fillId="82" borderId="0" applyNumberFormat="0" applyBorder="0" applyAlignment="0" applyProtection="0">
      <alignment vertical="center"/>
    </xf>
    <xf numFmtId="0" fontId="77" fillId="74" borderId="39" applyNumberFormat="0" applyAlignment="0" applyProtection="0">
      <alignment vertical="center"/>
    </xf>
    <xf numFmtId="0" fontId="77" fillId="74" borderId="39" applyNumberFormat="0" applyAlignment="0" applyProtection="0">
      <alignment vertical="center"/>
    </xf>
    <xf numFmtId="0" fontId="78" fillId="83" borderId="38" applyNumberFormat="0" applyAlignment="0" applyProtection="0">
      <alignment vertical="center"/>
    </xf>
    <xf numFmtId="0" fontId="78" fillId="83" borderId="38" applyNumberFormat="0" applyAlignment="0" applyProtection="0">
      <alignment vertical="center"/>
    </xf>
    <xf numFmtId="0" fontId="46" fillId="71" borderId="35" applyNumberFormat="0" applyFont="0" applyAlignment="0" applyProtection="0">
      <alignment vertical="center"/>
    </xf>
    <xf numFmtId="0" fontId="46" fillId="71" borderId="35" applyNumberFormat="0" applyFont="0" applyAlignment="0" applyProtection="0">
      <alignment vertical="center"/>
    </xf>
  </cellStyleXfs>
  <cellXfs count="456">
    <xf numFmtId="0" fontId="0" fillId="0" borderId="0" xfId="0"/>
    <xf numFmtId="0" fontId="0" fillId="0" borderId="0" xfId="0" applyAlignment="1">
      <alignment vertical="center" wrapText="1"/>
    </xf>
    <xf numFmtId="0" fontId="0" fillId="0" borderId="0" xfId="0" applyAlignment="1">
      <alignment vertical="center"/>
    </xf>
    <xf numFmtId="0" fontId="1" fillId="0" borderId="0" xfId="0" applyFont="1" applyFill="1" applyBorder="1" applyAlignment="1"/>
    <xf numFmtId="0" fontId="2" fillId="0" borderId="0" xfId="0" applyFont="1" applyFill="1" applyBorder="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5" fillId="0" borderId="4" xfId="0" applyFont="1" applyFill="1" applyBorder="1" applyAlignment="1">
      <alignment horizontal="center" vertical="center" wrapText="1"/>
    </xf>
    <xf numFmtId="10" fontId="4" fillId="0" borderId="4" xfId="0" applyNumberFormat="1" applyFont="1" applyFill="1" applyBorder="1" applyAlignment="1">
      <alignment horizontal="center" vertical="center" wrapText="1"/>
    </xf>
    <xf numFmtId="0" fontId="6" fillId="0" borderId="4" xfId="0" applyFont="1" applyFill="1" applyBorder="1" applyAlignment="1">
      <alignment horizontal="center" vertical="center" wrapText="1"/>
    </xf>
    <xf numFmtId="176" fontId="4" fillId="0" borderId="4"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4" fillId="2" borderId="5" xfId="0" applyFont="1" applyFill="1" applyBorder="1" applyAlignment="1"/>
    <xf numFmtId="0" fontId="2" fillId="2" borderId="6" xfId="0" applyFont="1" applyFill="1" applyBorder="1" applyAlignment="1"/>
    <xf numFmtId="0" fontId="2" fillId="2" borderId="9" xfId="0" applyFont="1" applyFill="1" applyBorder="1" applyAlignment="1"/>
    <xf numFmtId="0" fontId="7" fillId="0"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Fill="1" applyBorder="1" applyAlignment="1">
      <alignment horizontal="center" vertical="center" wrapText="1"/>
    </xf>
    <xf numFmtId="177" fontId="4" fillId="0" borderId="4" xfId="0" applyNumberFormat="1" applyFont="1" applyFill="1" applyBorder="1" applyAlignment="1">
      <alignment horizontal="center" vertical="center" wrapText="1"/>
    </xf>
    <xf numFmtId="0" fontId="8"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7" fillId="2" borderId="12" xfId="0" applyFont="1" applyFill="1" applyBorder="1" applyAlignment="1"/>
    <xf numFmtId="0" fontId="2" fillId="2" borderId="13" xfId="0" applyFont="1" applyFill="1" applyBorder="1" applyAlignment="1"/>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6" fillId="2" borderId="7" xfId="0" applyFont="1" applyFill="1" applyBorder="1" applyAlignment="1">
      <alignment horizontal="left" vertical="center"/>
    </xf>
    <xf numFmtId="0" fontId="4"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2" fillId="2" borderId="4"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0"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4" fillId="2" borderId="18" xfId="0" applyFont="1" applyFill="1" applyBorder="1" applyAlignment="1">
      <alignment horizontal="left" vertical="top" wrapText="1"/>
    </xf>
    <xf numFmtId="0" fontId="4" fillId="2" borderId="19"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9" fillId="2" borderId="1" xfId="196" applyFont="1" applyFill="1" applyBorder="1" applyAlignment="1">
      <alignment horizontal="left" vertical="center"/>
    </xf>
    <xf numFmtId="0" fontId="1" fillId="2" borderId="2" xfId="196" applyFont="1" applyFill="1" applyBorder="1" applyAlignment="1">
      <alignment horizontal="left" vertical="center"/>
    </xf>
    <xf numFmtId="0" fontId="1" fillId="2" borderId="2" xfId="0" applyFont="1" applyFill="1" applyBorder="1" applyAlignment="1">
      <alignment horizontal="left" vertical="center"/>
    </xf>
    <xf numFmtId="0" fontId="1" fillId="2" borderId="3" xfId="196" applyFont="1" applyFill="1" applyBorder="1" applyAlignment="1">
      <alignment horizontal="left" vertical="center"/>
    </xf>
    <xf numFmtId="0" fontId="9" fillId="2" borderId="0" xfId="196" applyFont="1" applyFill="1" applyBorder="1" applyAlignment="1">
      <alignment horizontal="left" vertical="center" wrapText="1"/>
    </xf>
    <xf numFmtId="0" fontId="1" fillId="2" borderId="0" xfId="196" applyFont="1" applyFill="1" applyAlignment="1">
      <alignment horizontal="left" vertical="center"/>
    </xf>
    <xf numFmtId="0" fontId="1" fillId="2" borderId="0" xfId="196" applyFont="1" applyFill="1" applyBorder="1" applyAlignment="1">
      <alignment horizontal="left" vertical="center"/>
    </xf>
    <xf numFmtId="0" fontId="1" fillId="2" borderId="0" xfId="0" applyFont="1" applyFill="1" applyBorder="1" applyAlignment="1">
      <alignment horizontal="left" vertical="center"/>
    </xf>
    <xf numFmtId="0" fontId="1" fillId="2" borderId="0" xfId="196" applyFont="1" applyFill="1" applyBorder="1" applyAlignment="1">
      <alignment horizontal="left" vertical="center" wrapText="1"/>
    </xf>
    <xf numFmtId="0" fontId="9" fillId="2" borderId="0" xfId="196" applyFont="1" applyFill="1" applyBorder="1" applyAlignment="1">
      <alignment horizontal="left" vertical="center"/>
    </xf>
    <xf numFmtId="0" fontId="10"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8"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176"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77"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wrapText="1"/>
    </xf>
    <xf numFmtId="178"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8" fontId="1" fillId="2" borderId="4" xfId="0" applyNumberFormat="1" applyFont="1" applyFill="1" applyBorder="1" applyAlignment="1">
      <alignment horizontal="center" vertical="center"/>
    </xf>
    <xf numFmtId="0" fontId="1" fillId="2" borderId="14" xfId="196" applyFont="1" applyFill="1" applyBorder="1" applyAlignment="1">
      <alignment horizontal="left" vertical="center"/>
    </xf>
    <xf numFmtId="0" fontId="9" fillId="2" borderId="15" xfId="196" applyFont="1" applyFill="1" applyBorder="1" applyAlignment="1">
      <alignment horizontal="left" vertical="center" wrapText="1"/>
    </xf>
    <xf numFmtId="0" fontId="1" fillId="2" borderId="15" xfId="196" applyFont="1" applyFill="1" applyBorder="1" applyAlignment="1">
      <alignment horizontal="left" vertical="center"/>
    </xf>
    <xf numFmtId="0" fontId="1" fillId="2" borderId="15" xfId="196"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8" fontId="1" fillId="2" borderId="0" xfId="0" applyNumberFormat="1" applyFont="1" applyFill="1" applyAlignment="1">
      <alignment horizontal="left" vertical="center"/>
    </xf>
    <xf numFmtId="0" fontId="4" fillId="0" borderId="0" xfId="0" applyFont="1" applyFill="1" applyAlignment="1">
      <alignment vertical="top"/>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1" fillId="0" borderId="1" xfId="0" applyFont="1" applyFill="1" applyBorder="1" applyAlignment="1">
      <alignment vertical="top"/>
    </xf>
    <xf numFmtId="0" fontId="11" fillId="0" borderId="3" xfId="0" applyFont="1" applyFill="1" applyBorder="1" applyAlignment="1">
      <alignment vertical="top"/>
    </xf>
    <xf numFmtId="0" fontId="6" fillId="0" borderId="0" xfId="0" applyFont="1" applyFill="1" applyBorder="1" applyAlignment="1">
      <alignment vertical="top"/>
    </xf>
    <xf numFmtId="0" fontId="4" fillId="0" borderId="3" xfId="0" applyFont="1" applyFill="1" applyBorder="1" applyAlignment="1">
      <alignment horizontal="right"/>
    </xf>
    <xf numFmtId="0" fontId="4" fillId="0" borderId="0" xfId="0" applyFont="1" applyFill="1" applyBorder="1" applyAlignment="1">
      <alignment horizontal="left" vertical="top" wrapText="1"/>
    </xf>
    <xf numFmtId="0" fontId="4" fillId="0" borderId="8" xfId="0" applyFont="1" applyFill="1" applyBorder="1" applyAlignment="1">
      <alignment horizontal="left" vertical="top" wrapText="1"/>
    </xf>
    <xf numFmtId="0" fontId="4" fillId="0" borderId="3" xfId="0" applyFont="1" applyFill="1" applyBorder="1" applyAlignment="1">
      <alignment vertical="top"/>
    </xf>
    <xf numFmtId="0" fontId="4" fillId="0" borderId="4" xfId="368" applyFont="1" applyFill="1" applyBorder="1" applyAlignment="1">
      <alignment horizontal="center" vertical="center" wrapText="1"/>
    </xf>
    <xf numFmtId="0" fontId="4" fillId="0" borderId="23" xfId="368" applyFont="1" applyFill="1" applyBorder="1" applyAlignment="1">
      <alignment horizontal="center" vertical="center"/>
    </xf>
    <xf numFmtId="0" fontId="4" fillId="0" borderId="4" xfId="368" applyFont="1" applyFill="1" applyBorder="1" applyAlignment="1">
      <alignment horizontal="center" vertical="center"/>
    </xf>
    <xf numFmtId="177" fontId="4" fillId="0" borderId="4" xfId="368" applyNumberFormat="1" applyFont="1" applyFill="1" applyBorder="1" applyAlignment="1">
      <alignment horizontal="center" vertical="center"/>
    </xf>
    <xf numFmtId="179" fontId="4" fillId="0" borderId="4" xfId="368" applyNumberFormat="1" applyFont="1" applyFill="1" applyBorder="1" applyAlignment="1">
      <alignment horizontal="center" vertical="center"/>
    </xf>
    <xf numFmtId="180" fontId="4" fillId="0" borderId="4" xfId="368" applyNumberFormat="1" applyFont="1" applyFill="1" applyBorder="1" applyAlignment="1">
      <alignment horizontal="center" vertical="center"/>
    </xf>
    <xf numFmtId="176" fontId="4" fillId="0" borderId="4" xfId="368" applyNumberFormat="1" applyFont="1" applyFill="1" applyBorder="1" applyAlignment="1">
      <alignment horizontal="center" vertical="center"/>
    </xf>
    <xf numFmtId="0" fontId="4" fillId="0" borderId="11" xfId="368" applyFont="1" applyFill="1" applyBorder="1" applyAlignment="1">
      <alignment horizontal="center" vertical="center"/>
    </xf>
    <xf numFmtId="0" fontId="12" fillId="0" borderId="0" xfId="0" applyFont="1" applyFill="1" applyBorder="1" applyAlignment="1">
      <alignment vertical="top"/>
    </xf>
    <xf numFmtId="0" fontId="4" fillId="0" borderId="0" xfId="368" applyFont="1" applyFill="1" applyBorder="1" applyAlignment="1">
      <alignment horizontal="center" vertical="center"/>
    </xf>
    <xf numFmtId="176" fontId="4" fillId="0" borderId="0" xfId="368" applyNumberFormat="1" applyFont="1" applyFill="1" applyBorder="1" applyAlignment="1">
      <alignment horizontal="center" vertical="center"/>
    </xf>
    <xf numFmtId="0" fontId="4" fillId="0" borderId="0" xfId="0" applyFont="1" applyFill="1" applyBorder="1" applyAlignment="1">
      <alignment horizontal="center"/>
    </xf>
    <xf numFmtId="181" fontId="4" fillId="0" borderId="0" xfId="368" applyNumberFormat="1" applyFont="1" applyFill="1" applyBorder="1" applyAlignment="1">
      <alignment horizontal="center" vertical="center"/>
    </xf>
    <xf numFmtId="0" fontId="4" fillId="0" borderId="14" xfId="0" applyFont="1" applyFill="1" applyBorder="1" applyAlignment="1">
      <alignment vertical="top" wrapText="1"/>
    </xf>
    <xf numFmtId="0" fontId="4" fillId="0" borderId="15" xfId="176" applyFont="1" applyFill="1" applyBorder="1" applyAlignment="1"/>
    <xf numFmtId="0" fontId="4" fillId="0" borderId="15" xfId="176" applyFont="1" applyFill="1" applyBorder="1" applyAlignment="1">
      <alignment wrapText="1"/>
    </xf>
    <xf numFmtId="0" fontId="4" fillId="0" borderId="2" xfId="0" applyFont="1" applyFill="1" applyBorder="1" applyAlignment="1"/>
    <xf numFmtId="0" fontId="4" fillId="0" borderId="16" xfId="0" applyFont="1" applyFill="1" applyBorder="1" applyAlignment="1"/>
    <xf numFmtId="0" fontId="4" fillId="0" borderId="17" xfId="0" applyFont="1" applyFill="1" applyBorder="1" applyAlignment="1"/>
    <xf numFmtId="0" fontId="4" fillId="0" borderId="17" xfId="0" applyFont="1" applyFill="1" applyBorder="1" applyAlignment="1">
      <alignment vertical="top"/>
    </xf>
    <xf numFmtId="0" fontId="4" fillId="0" borderId="0" xfId="0" applyFont="1" applyFill="1" applyBorder="1" applyAlignment="1"/>
    <xf numFmtId="2" fontId="4" fillId="0" borderId="4" xfId="0" applyNumberFormat="1" applyFont="1" applyFill="1" applyBorder="1" applyAlignment="1">
      <alignment horizontal="center" vertical="center" wrapText="1"/>
    </xf>
    <xf numFmtId="180" fontId="4" fillId="0" borderId="0" xfId="137" applyNumberFormat="1" applyFont="1" applyFill="1" applyBorder="1">
      <alignment vertical="center"/>
    </xf>
    <xf numFmtId="177" fontId="4" fillId="0" borderId="0" xfId="368"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15" xfId="0" applyFont="1" applyFill="1" applyBorder="1" applyAlignment="1">
      <alignment wrapText="1"/>
    </xf>
    <xf numFmtId="0" fontId="4" fillId="0" borderId="22" xfId="0" applyFont="1" applyFill="1" applyBorder="1" applyAlignment="1">
      <alignment wrapText="1"/>
    </xf>
    <xf numFmtId="0" fontId="4" fillId="0" borderId="0" xfId="369" applyFont="1" applyFill="1" applyAlignment="1">
      <alignment horizontal="center" vertical="center"/>
    </xf>
    <xf numFmtId="0" fontId="12" fillId="0" borderId="0" xfId="0" applyFont="1" applyFill="1" applyBorder="1" applyAlignment="1"/>
    <xf numFmtId="0" fontId="12" fillId="0" borderId="1" xfId="0" applyFont="1" applyFill="1" applyBorder="1" applyAlignment="1"/>
    <xf numFmtId="14" fontId="4" fillId="0" borderId="2" xfId="0" applyNumberFormat="1" applyFont="1" applyFill="1" applyBorder="1" applyAlignment="1"/>
    <xf numFmtId="179" fontId="12" fillId="0" borderId="3" xfId="0" applyNumberFormat="1" applyFont="1" applyFill="1" applyBorder="1" applyAlignment="1"/>
    <xf numFmtId="0" fontId="11" fillId="0" borderId="0" xfId="369" applyFont="1" applyFill="1" applyBorder="1" applyAlignment="1">
      <alignment vertical="center"/>
    </xf>
    <xf numFmtId="0" fontId="4" fillId="0" borderId="0" xfId="369" applyFont="1" applyFill="1" applyBorder="1" applyAlignment="1">
      <alignment horizontal="center" vertical="center"/>
    </xf>
    <xf numFmtId="0" fontId="12" fillId="0" borderId="3" xfId="0" applyFont="1" applyFill="1" applyBorder="1" applyAlignment="1"/>
    <xf numFmtId="0" fontId="13" fillId="0" borderId="10" xfId="369" applyFont="1" applyFill="1" applyBorder="1" applyAlignment="1">
      <alignment horizontal="center" vertical="center" wrapText="1"/>
    </xf>
    <xf numFmtId="0" fontId="13" fillId="0" borderId="4" xfId="0" applyFont="1" applyFill="1" applyBorder="1" applyAlignment="1">
      <alignment horizontal="center" vertical="center" wrapText="1"/>
    </xf>
    <xf numFmtId="0" fontId="4" fillId="0" borderId="0" xfId="141" applyFont="1" applyFill="1" applyBorder="1" applyAlignment="1">
      <alignment vertical="center"/>
    </xf>
    <xf numFmtId="0" fontId="11" fillId="0" borderId="23" xfId="369" applyFont="1" applyFill="1" applyBorder="1" applyAlignment="1">
      <alignment horizontal="center" vertical="center" wrapText="1"/>
    </xf>
    <xf numFmtId="0" fontId="4" fillId="0" borderId="4" xfId="0" applyFont="1" applyFill="1" applyBorder="1" applyAlignment="1">
      <alignment horizontal="center" vertical="center"/>
    </xf>
    <xf numFmtId="176" fontId="4" fillId="0" borderId="4" xfId="0" applyNumberFormat="1" applyFont="1" applyFill="1" applyBorder="1" applyAlignment="1">
      <alignment horizontal="center" vertical="center"/>
    </xf>
    <xf numFmtId="0" fontId="11" fillId="0" borderId="11" xfId="369" applyFont="1" applyFill="1" applyBorder="1" applyAlignment="1">
      <alignment horizontal="center" vertical="center" wrapText="1"/>
    </xf>
    <xf numFmtId="0" fontId="4" fillId="0" borderId="0" xfId="369" applyFont="1" applyFill="1" applyBorder="1" applyAlignment="1">
      <alignment horizontal="left" vertical="center"/>
    </xf>
    <xf numFmtId="0" fontId="13" fillId="0" borderId="4" xfId="369" applyFont="1" applyFill="1" applyBorder="1" applyAlignment="1">
      <alignment horizontal="center" vertical="center"/>
    </xf>
    <xf numFmtId="0" fontId="11" fillId="0" borderId="4" xfId="0" applyFont="1" applyFill="1" applyBorder="1" applyAlignment="1">
      <alignment horizontal="center" vertical="center" wrapText="1"/>
    </xf>
    <xf numFmtId="177" fontId="4" fillId="0" borderId="4"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4" fillId="0" borderId="3" xfId="369" applyFont="1" applyFill="1" applyBorder="1" applyAlignment="1">
      <alignment horizontal="center" vertical="center"/>
    </xf>
    <xf numFmtId="0" fontId="6" fillId="0" borderId="0" xfId="369" applyFont="1" applyFill="1" applyBorder="1" applyAlignment="1">
      <alignment horizontal="left" vertical="center" wrapText="1"/>
    </xf>
    <xf numFmtId="0" fontId="4" fillId="0" borderId="0" xfId="369" applyFont="1" applyFill="1" applyBorder="1" applyAlignment="1">
      <alignment horizontal="left" vertical="center" wrapText="1"/>
    </xf>
    <xf numFmtId="0" fontId="4" fillId="0" borderId="14" xfId="369" applyFont="1" applyFill="1" applyBorder="1" applyAlignment="1">
      <alignment horizontal="center" vertical="center"/>
    </xf>
    <xf numFmtId="0" fontId="4" fillId="0" borderId="15" xfId="369" applyFont="1" applyFill="1" applyBorder="1" applyAlignment="1">
      <alignment horizontal="center" vertical="center"/>
    </xf>
    <xf numFmtId="0" fontId="4" fillId="0" borderId="0" xfId="0" applyFont="1" applyFill="1" applyAlignment="1">
      <alignment horizontal="left" vertical="center"/>
    </xf>
    <xf numFmtId="0" fontId="4" fillId="0" borderId="0" xfId="0" applyFont="1" applyFill="1" applyAlignment="1">
      <alignment vertical="center"/>
    </xf>
    <xf numFmtId="0" fontId="4" fillId="0" borderId="2" xfId="369" applyFont="1" applyFill="1" applyBorder="1" applyAlignment="1">
      <alignment horizontal="center" vertical="center"/>
    </xf>
    <xf numFmtId="0" fontId="4" fillId="0" borderId="16" xfId="369" applyFont="1" applyFill="1" applyBorder="1" applyAlignment="1">
      <alignment horizontal="center" vertical="center"/>
    </xf>
    <xf numFmtId="0" fontId="4" fillId="0" borderId="17" xfId="369" applyFont="1" applyFill="1" applyBorder="1" applyAlignment="1">
      <alignment horizontal="center" vertical="center"/>
    </xf>
    <xf numFmtId="11" fontId="4" fillId="0" borderId="17" xfId="141" applyNumberFormat="1" applyFont="1" applyFill="1" applyBorder="1" applyAlignment="1">
      <alignment vertical="center"/>
    </xf>
    <xf numFmtId="0" fontId="4" fillId="0" borderId="0" xfId="235" applyFont="1" applyFill="1" applyBorder="1" applyAlignment="1">
      <alignment horizontal="center" vertical="center"/>
    </xf>
    <xf numFmtId="0" fontId="4" fillId="0" borderId="0" xfId="0" applyFont="1" applyFill="1" applyBorder="1" applyAlignment="1">
      <alignment horizontal="left" vertical="center"/>
    </xf>
    <xf numFmtId="1" fontId="4" fillId="0" borderId="0" xfId="141" applyNumberFormat="1" applyFont="1" applyFill="1" applyBorder="1" applyAlignment="1">
      <alignment vertical="center"/>
    </xf>
    <xf numFmtId="176" fontId="4" fillId="0" borderId="0" xfId="0" applyNumberFormat="1" applyFont="1" applyFill="1" applyBorder="1" applyAlignment="1">
      <alignment horizontal="left" vertical="center"/>
    </xf>
    <xf numFmtId="2" fontId="4" fillId="0" borderId="0" xfId="141" applyNumberFormat="1" applyFont="1" applyFill="1" applyBorder="1" applyAlignment="1">
      <alignment vertical="center"/>
    </xf>
    <xf numFmtId="178" fontId="4" fillId="0" borderId="0" xfId="141" applyNumberFormat="1" applyFont="1" applyFill="1" applyBorder="1" applyAlignment="1">
      <alignment vertical="center"/>
    </xf>
    <xf numFmtId="0" fontId="4" fillId="0" borderId="22" xfId="369" applyFont="1" applyFill="1" applyBorder="1" applyAlignment="1">
      <alignment horizontal="center" vertical="center"/>
    </xf>
    <xf numFmtId="2" fontId="4" fillId="0" borderId="0" xfId="369" applyNumberFormat="1" applyFont="1" applyFill="1" applyAlignment="1">
      <alignment horizontal="center" vertical="center"/>
    </xf>
    <xf numFmtId="178" fontId="4" fillId="0" borderId="0" xfId="369" applyNumberFormat="1" applyFont="1" applyFill="1" applyAlignment="1">
      <alignment horizontal="center" vertical="center"/>
    </xf>
    <xf numFmtId="0" fontId="11" fillId="0" borderId="0"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4" fillId="0" borderId="0" xfId="0" applyFont="1" applyFill="1" applyBorder="1" applyAlignment="1">
      <alignment horizontal="left"/>
    </xf>
    <xf numFmtId="0" fontId="4" fillId="0" borderId="3" xfId="0" applyFont="1" applyFill="1" applyBorder="1" applyAlignment="1">
      <alignment horizontal="left"/>
    </xf>
    <xf numFmtId="49" fontId="4" fillId="0" borderId="0" xfId="0" applyNumberFormat="1" applyFont="1" applyFill="1" applyBorder="1" applyAlignment="1">
      <alignment horizontal="left"/>
    </xf>
    <xf numFmtId="179" fontId="4" fillId="0" borderId="0" xfId="0" applyNumberFormat="1" applyFont="1" applyFill="1" applyBorder="1" applyAlignment="1">
      <alignment horizontal="left"/>
    </xf>
    <xf numFmtId="1" fontId="4" fillId="0" borderId="0" xfId="0" applyNumberFormat="1" applyFont="1" applyFill="1" applyBorder="1" applyAlignment="1">
      <alignment horizontal="left"/>
    </xf>
    <xf numFmtId="182" fontId="4" fillId="0" borderId="0" xfId="0" applyNumberFormat="1" applyFont="1" applyFill="1" applyBorder="1" applyAlignment="1">
      <alignment horizontal="left"/>
    </xf>
    <xf numFmtId="0" fontId="4" fillId="0" borderId="1" xfId="0" applyFont="1" applyFill="1" applyBorder="1" applyAlignment="1">
      <alignment horizontal="left"/>
    </xf>
    <xf numFmtId="0" fontId="4" fillId="0" borderId="2" xfId="0" applyFont="1" applyFill="1" applyBorder="1" applyAlignment="1">
      <alignment horizontal="left"/>
    </xf>
    <xf numFmtId="49" fontId="4" fillId="0" borderId="2" xfId="0" applyNumberFormat="1" applyFont="1" applyFill="1" applyBorder="1" applyAlignment="1">
      <alignment horizontal="left"/>
    </xf>
    <xf numFmtId="179" fontId="4" fillId="0" borderId="2" xfId="0" applyNumberFormat="1" applyFont="1" applyFill="1" applyBorder="1" applyAlignment="1">
      <alignment horizontal="left"/>
    </xf>
    <xf numFmtId="1" fontId="4" fillId="0" borderId="2" xfId="0" applyNumberFormat="1" applyFont="1" applyFill="1" applyBorder="1" applyAlignment="1">
      <alignment horizontal="left"/>
    </xf>
    <xf numFmtId="0" fontId="7" fillId="0" borderId="3" xfId="0" applyFont="1" applyBorder="1" applyAlignment="1">
      <alignment vertical="center"/>
    </xf>
    <xf numFmtId="0" fontId="7" fillId="0" borderId="0" xfId="0" applyFont="1" applyAlignment="1">
      <alignment vertical="center"/>
    </xf>
    <xf numFmtId="0" fontId="14" fillId="0" borderId="3" xfId="0" applyFont="1" applyBorder="1" applyAlignment="1">
      <alignment vertical="center" wrapText="1"/>
    </xf>
    <xf numFmtId="0" fontId="14" fillId="0" borderId="0" xfId="0" applyFont="1" applyAlignment="1">
      <alignment vertical="center" wrapText="1"/>
    </xf>
    <xf numFmtId="182" fontId="4" fillId="0" borderId="2" xfId="0" applyNumberFormat="1" applyFont="1" applyFill="1" applyBorder="1" applyAlignment="1">
      <alignment horizontal="left"/>
    </xf>
    <xf numFmtId="0" fontId="4" fillId="0" borderId="16" xfId="0" applyFont="1" applyFill="1" applyBorder="1" applyAlignment="1">
      <alignment horizontal="left"/>
    </xf>
    <xf numFmtId="0" fontId="7" fillId="0" borderId="17" xfId="0" applyFont="1" applyBorder="1" applyAlignment="1">
      <alignment vertical="center"/>
    </xf>
    <xf numFmtId="0" fontId="14" fillId="0" borderId="17" xfId="0" applyFont="1" applyBorder="1" applyAlignment="1">
      <alignment vertical="center" wrapText="1"/>
    </xf>
    <xf numFmtId="0" fontId="7" fillId="0" borderId="0" xfId="0" applyFont="1" applyFill="1" applyAlignment="1">
      <alignment horizontal="center" vertical="center"/>
    </xf>
    <xf numFmtId="0" fontId="1" fillId="0" borderId="0" xfId="0" applyFont="1" applyFill="1" applyBorder="1" applyAlignment="1">
      <alignment horizontal="center" vertical="center"/>
    </xf>
    <xf numFmtId="0" fontId="1" fillId="0" borderId="0" xfId="235" applyFont="1" applyFill="1" applyBorder="1" applyAlignment="1">
      <alignment horizontal="center" vertical="center"/>
    </xf>
    <xf numFmtId="0" fontId="7" fillId="0" borderId="0" xfId="0" applyFont="1" applyFill="1" applyBorder="1" applyAlignment="1">
      <alignment horizontal="center" vertical="center"/>
    </xf>
    <xf numFmtId="0" fontId="11" fillId="0" borderId="3" xfId="175" applyFont="1" applyFill="1" applyBorder="1" applyAlignment="1">
      <alignment horizontal="left" vertical="top"/>
    </xf>
    <xf numFmtId="0" fontId="4" fillId="0" borderId="0" xfId="370" applyFont="1" applyFill="1" applyBorder="1" applyAlignment="1">
      <alignment horizontal="left" vertical="center"/>
    </xf>
    <xf numFmtId="179" fontId="4" fillId="0" borderId="0" xfId="370" applyNumberFormat="1" applyFont="1" applyFill="1" applyBorder="1" applyAlignment="1">
      <alignment horizontal="left" vertical="center"/>
    </xf>
    <xf numFmtId="49" fontId="4" fillId="0" borderId="0" xfId="370" applyNumberFormat="1" applyFont="1" applyFill="1" applyBorder="1" applyAlignment="1">
      <alignment horizontal="left" vertical="center"/>
    </xf>
    <xf numFmtId="11" fontId="4" fillId="0" borderId="0" xfId="370" applyNumberFormat="1" applyFont="1" applyFill="1" applyBorder="1" applyAlignment="1">
      <alignment horizontal="left" vertical="center"/>
    </xf>
    <xf numFmtId="0" fontId="4" fillId="0" borderId="3" xfId="370" applyFont="1" applyFill="1" applyBorder="1" applyAlignment="1">
      <alignment horizontal="left" vertical="center"/>
    </xf>
    <xf numFmtId="0" fontId="11" fillId="0" borderId="14" xfId="370" applyFont="1" applyFill="1" applyBorder="1" applyAlignment="1">
      <alignment horizontal="left" vertical="center"/>
    </xf>
    <xf numFmtId="176" fontId="11" fillId="0" borderId="15" xfId="370" applyNumberFormat="1" applyFont="1" applyFill="1" applyBorder="1" applyAlignment="1">
      <alignment horizontal="left" vertical="center"/>
    </xf>
    <xf numFmtId="49" fontId="11" fillId="0" borderId="15" xfId="370" applyNumberFormat="1" applyFont="1" applyFill="1" applyBorder="1" applyAlignment="1">
      <alignment horizontal="left" vertical="center"/>
    </xf>
    <xf numFmtId="11" fontId="11" fillId="0" borderId="15" xfId="370" applyNumberFormat="1" applyFont="1" applyFill="1" applyBorder="1" applyAlignment="1">
      <alignment horizontal="left" vertical="center"/>
    </xf>
    <xf numFmtId="1" fontId="4" fillId="0" borderId="15" xfId="0" applyNumberFormat="1" applyFont="1" applyFill="1" applyBorder="1" applyAlignment="1">
      <alignment horizontal="left"/>
    </xf>
    <xf numFmtId="0" fontId="4" fillId="0" borderId="15" xfId="0" applyFont="1" applyFill="1" applyBorder="1" applyAlignment="1">
      <alignment horizontal="left"/>
    </xf>
    <xf numFmtId="0" fontId="4" fillId="0" borderId="14" xfId="0" applyFont="1" applyFill="1" applyBorder="1" applyAlignment="1">
      <alignment horizontal="left"/>
    </xf>
    <xf numFmtId="49" fontId="4" fillId="0" borderId="15" xfId="0" applyNumberFormat="1" applyFont="1" applyFill="1" applyBorder="1" applyAlignment="1">
      <alignment horizontal="left"/>
    </xf>
    <xf numFmtId="179" fontId="4" fillId="0" borderId="15" xfId="0" applyNumberFormat="1" applyFont="1" applyFill="1" applyBorder="1" applyAlignment="1">
      <alignment horizontal="left"/>
    </xf>
    <xf numFmtId="0" fontId="4" fillId="0" borderId="17" xfId="0" applyFont="1" applyFill="1" applyBorder="1" applyAlignment="1">
      <alignment horizontal="left"/>
    </xf>
    <xf numFmtId="182" fontId="4" fillId="0" borderId="15" xfId="0" applyNumberFormat="1" applyFont="1" applyFill="1" applyBorder="1" applyAlignment="1">
      <alignment horizontal="left"/>
    </xf>
    <xf numFmtId="0" fontId="4" fillId="0" borderId="22" xfId="0" applyFont="1" applyFill="1" applyBorder="1" applyAlignment="1">
      <alignment horizontal="left"/>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4" fillId="0" borderId="0" xfId="219" applyFont="1" applyFill="1" applyBorder="1" applyAlignment="1">
      <alignment horizontal="center" vertical="center"/>
    </xf>
    <xf numFmtId="0" fontId="11" fillId="0" borderId="14" xfId="0"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15" xfId="219" applyFont="1" applyFill="1" applyBorder="1" applyAlignment="1">
      <alignment horizontal="center" vertical="center"/>
    </xf>
    <xf numFmtId="0" fontId="11" fillId="0" borderId="2" xfId="219" applyFont="1" applyFill="1" applyBorder="1" applyAlignment="1">
      <alignment horizontal="center" vertical="center" wrapText="1"/>
    </xf>
    <xf numFmtId="0" fontId="11" fillId="0" borderId="16" xfId="219" applyFont="1" applyFill="1" applyBorder="1" applyAlignment="1">
      <alignment horizontal="center" vertical="center" wrapText="1"/>
    </xf>
    <xf numFmtId="0" fontId="11" fillId="0" borderId="0" xfId="0" applyFont="1" applyFill="1" applyAlignment="1">
      <alignment horizontal="center" vertical="center" wrapText="1"/>
    </xf>
    <xf numFmtId="0" fontId="4" fillId="0" borderId="17" xfId="219" applyFont="1" applyFill="1" applyBorder="1" applyAlignment="1">
      <alignment horizontal="center" vertical="center"/>
    </xf>
    <xf numFmtId="0" fontId="4" fillId="0" borderId="0" xfId="0" applyFont="1" applyFill="1" applyAlignment="1">
      <alignment horizontal="center" vertical="center"/>
    </xf>
    <xf numFmtId="0" fontId="4" fillId="0" borderId="22" xfId="0" applyFont="1" applyFill="1" applyBorder="1" applyAlignment="1">
      <alignment horizontal="center" vertical="center"/>
    </xf>
    <xf numFmtId="0" fontId="4" fillId="0" borderId="0" xfId="327" applyFont="1" applyFill="1" applyAlignment="1">
      <alignment vertical="center"/>
    </xf>
    <xf numFmtId="0" fontId="4" fillId="0" borderId="0" xfId="327" applyFont="1" applyFill="1"/>
    <xf numFmtId="0" fontId="1" fillId="0" borderId="0" xfId="0" applyFont="1" applyFill="1" applyBorder="1" applyAlignment="1">
      <alignment vertical="center"/>
    </xf>
    <xf numFmtId="0" fontId="15" fillId="0" borderId="15" xfId="327" applyFont="1" applyFill="1" applyBorder="1" applyAlignment="1">
      <alignment horizontal="right" vertical="center" wrapText="1"/>
    </xf>
    <xf numFmtId="0" fontId="15" fillId="0" borderId="15" xfId="327" applyFont="1" applyFill="1" applyBorder="1" applyAlignment="1">
      <alignment vertical="center" wrapText="1"/>
    </xf>
    <xf numFmtId="0" fontId="11" fillId="0" borderId="1" xfId="327" applyFont="1" applyFill="1" applyBorder="1" applyAlignment="1">
      <alignment vertical="center"/>
    </xf>
    <xf numFmtId="0" fontId="4" fillId="0" borderId="2" xfId="327" applyFont="1" applyFill="1" applyBorder="1" applyAlignment="1">
      <alignment vertical="center"/>
    </xf>
    <xf numFmtId="0" fontId="4" fillId="0" borderId="3" xfId="327" applyFont="1" applyFill="1" applyBorder="1" applyAlignment="1">
      <alignment vertical="center"/>
    </xf>
    <xf numFmtId="0" fontId="16" fillId="0" borderId="0" xfId="0" applyFont="1" applyFill="1" applyBorder="1" applyAlignment="1">
      <alignment horizontal="center"/>
    </xf>
    <xf numFmtId="0" fontId="4" fillId="0" borderId="0" xfId="327" applyFont="1" applyFill="1" applyBorder="1" applyAlignment="1">
      <alignment vertical="center"/>
    </xf>
    <xf numFmtId="0" fontId="11" fillId="0" borderId="12" xfId="372" applyFont="1" applyFill="1" applyBorder="1" applyAlignment="1">
      <alignment horizontal="center" vertical="center"/>
    </xf>
    <xf numFmtId="0" fontId="11" fillId="0" borderId="13" xfId="372" applyFont="1" applyFill="1" applyBorder="1" applyAlignment="1">
      <alignment horizontal="center" vertical="center"/>
    </xf>
    <xf numFmtId="0" fontId="11" fillId="0" borderId="21" xfId="372" applyFont="1" applyFill="1" applyBorder="1" applyAlignment="1">
      <alignment horizontal="center" vertical="center"/>
    </xf>
    <xf numFmtId="176" fontId="11" fillId="0" borderId="12" xfId="142" applyNumberFormat="1" applyFont="1" applyFill="1" applyBorder="1" applyAlignment="1">
      <alignment horizontal="center" vertical="center"/>
    </xf>
    <xf numFmtId="176" fontId="11" fillId="0" borderId="13" xfId="142" applyNumberFormat="1" applyFont="1" applyFill="1" applyBorder="1" applyAlignment="1">
      <alignment horizontal="center" vertical="center"/>
    </xf>
    <xf numFmtId="176" fontId="11" fillId="0" borderId="21" xfId="142" applyNumberFormat="1" applyFont="1" applyFill="1" applyBorder="1" applyAlignment="1">
      <alignment horizontal="center" vertical="center"/>
    </xf>
    <xf numFmtId="0" fontId="11" fillId="0" borderId="4" xfId="142" applyFont="1" applyFill="1" applyBorder="1" applyAlignment="1">
      <alignment horizontal="center" vertical="center"/>
    </xf>
    <xf numFmtId="0" fontId="11" fillId="0" borderId="6" xfId="142" applyFont="1" applyFill="1" applyBorder="1" applyAlignment="1">
      <alignment horizontal="center"/>
    </xf>
    <xf numFmtId="0" fontId="11" fillId="0" borderId="10" xfId="142" applyFont="1" applyFill="1" applyBorder="1" applyAlignment="1">
      <alignment horizontal="center" vertical="center"/>
    </xf>
    <xf numFmtId="0" fontId="11" fillId="0" borderId="18" xfId="142" applyFont="1" applyFill="1" applyBorder="1" applyAlignment="1">
      <alignment horizontal="center" vertical="center"/>
    </xf>
    <xf numFmtId="183" fontId="4" fillId="0" borderId="9" xfId="373" applyNumberFormat="1"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18" xfId="0" applyFont="1" applyFill="1" applyBorder="1" applyAlignment="1">
      <alignment horizontal="center" vertical="center"/>
    </xf>
    <xf numFmtId="177" fontId="4" fillId="0" borderId="10" xfId="142" applyNumberFormat="1" applyFont="1" applyFill="1" applyBorder="1" applyAlignment="1">
      <alignment horizontal="center" vertical="center"/>
    </xf>
    <xf numFmtId="181" fontId="4" fillId="0" borderId="9" xfId="373" applyNumberFormat="1" applyFont="1" applyFill="1" applyBorder="1" applyAlignment="1">
      <alignment horizontal="center" vertical="center"/>
    </xf>
    <xf numFmtId="0" fontId="1" fillId="0" borderId="9" xfId="0" applyFont="1" applyFill="1" applyBorder="1" applyAlignment="1">
      <alignment horizontal="center" vertical="center"/>
    </xf>
    <xf numFmtId="0" fontId="1" fillId="0" borderId="20" xfId="0" applyFont="1" applyFill="1" applyBorder="1" applyAlignment="1">
      <alignment horizontal="center" vertical="center"/>
    </xf>
    <xf numFmtId="184" fontId="4" fillId="0" borderId="23" xfId="142" applyNumberFormat="1" applyFont="1" applyFill="1" applyBorder="1" applyAlignment="1">
      <alignment horizontal="center" vertical="center"/>
    </xf>
    <xf numFmtId="177" fontId="4" fillId="0" borderId="23" xfId="142" applyNumberFormat="1" applyFont="1" applyFill="1" applyBorder="1" applyAlignment="1">
      <alignment horizontal="center" vertical="center"/>
    </xf>
    <xf numFmtId="176" fontId="4" fillId="0" borderId="9" xfId="373" applyNumberFormat="1" applyFont="1" applyFill="1" applyBorder="1" applyAlignment="1">
      <alignment horizontal="center" vertical="center"/>
    </xf>
    <xf numFmtId="177" fontId="4" fillId="0" borderId="9" xfId="373" applyNumberFormat="1" applyFont="1" applyFill="1" applyBorder="1" applyAlignment="1">
      <alignment horizontal="center" vertical="center"/>
    </xf>
    <xf numFmtId="176" fontId="4" fillId="0" borderId="23" xfId="142" applyNumberFormat="1" applyFont="1" applyFill="1" applyBorder="1" applyAlignment="1">
      <alignment horizontal="center" vertical="center"/>
    </xf>
    <xf numFmtId="184" fontId="4" fillId="0" borderId="9" xfId="373" applyNumberFormat="1" applyFont="1" applyFill="1" applyBorder="1" applyAlignment="1">
      <alignment horizontal="center" vertical="center"/>
    </xf>
    <xf numFmtId="177" fontId="1" fillId="0" borderId="9" xfId="0" applyNumberFormat="1" applyFont="1" applyFill="1" applyBorder="1" applyAlignment="1">
      <alignment horizontal="center" vertical="center"/>
    </xf>
    <xf numFmtId="184" fontId="4" fillId="0" borderId="9" xfId="372" applyNumberFormat="1" applyFont="1" applyFill="1" applyBorder="1" applyAlignment="1">
      <alignment horizontal="center" vertical="center"/>
    </xf>
    <xf numFmtId="184" fontId="4" fillId="0" borderId="7" xfId="372" applyNumberFormat="1"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19" xfId="0" applyFont="1" applyFill="1" applyBorder="1" applyAlignment="1">
      <alignment horizontal="center" vertical="center"/>
    </xf>
    <xf numFmtId="176" fontId="4" fillId="0" borderId="11" xfId="142" applyNumberFormat="1" applyFont="1" applyFill="1" applyBorder="1" applyAlignment="1">
      <alignment horizontal="center" vertical="center"/>
    </xf>
    <xf numFmtId="184" fontId="4" fillId="0" borderId="11" xfId="142" applyNumberFormat="1" applyFont="1" applyFill="1" applyBorder="1" applyAlignment="1">
      <alignment horizontal="center" vertical="center"/>
    </xf>
    <xf numFmtId="0" fontId="4" fillId="0" borderId="14" xfId="327" applyFont="1" applyFill="1" applyBorder="1" applyAlignment="1">
      <alignment vertical="center"/>
    </xf>
    <xf numFmtId="0" fontId="4" fillId="0" borderId="15" xfId="327" applyFont="1" applyFill="1" applyBorder="1" applyAlignment="1">
      <alignment vertical="center"/>
    </xf>
    <xf numFmtId="0" fontId="4" fillId="0" borderId="1" xfId="327" applyFont="1" applyFill="1" applyBorder="1" applyAlignment="1">
      <alignment vertical="center"/>
    </xf>
    <xf numFmtId="0" fontId="16" fillId="0" borderId="2" xfId="0" applyFont="1" applyFill="1" applyBorder="1" applyAlignment="1">
      <alignment horizontal="center" vertical="center"/>
    </xf>
    <xf numFmtId="0" fontId="16" fillId="0" borderId="8"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4" xfId="0" applyFont="1" applyFill="1" applyBorder="1" applyAlignment="1">
      <alignment horizontal="center" vertical="center"/>
    </xf>
    <xf numFmtId="0" fontId="11" fillId="0" borderId="12" xfId="0" applyFont="1" applyFill="1" applyBorder="1" applyAlignment="1">
      <alignment horizontal="center" vertical="center"/>
    </xf>
    <xf numFmtId="0" fontId="11" fillId="0" borderId="13"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10" xfId="0" applyFont="1" applyFill="1" applyBorder="1" applyAlignment="1">
      <alignment horizontal="center" vertical="center"/>
    </xf>
    <xf numFmtId="0" fontId="4" fillId="0" borderId="3" xfId="328" applyFont="1" applyFill="1" applyBorder="1" applyAlignment="1">
      <alignment horizontal="center" vertical="center"/>
    </xf>
    <xf numFmtId="0" fontId="4" fillId="0" borderId="11"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3" xfId="328"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21" xfId="0" applyFont="1" applyFill="1" applyBorder="1" applyAlignment="1">
      <alignment horizontal="center" vertical="center"/>
    </xf>
    <xf numFmtId="184" fontId="4" fillId="0" borderId="12" xfId="0" applyNumberFormat="1" applyFont="1" applyFill="1" applyBorder="1" applyAlignment="1">
      <alignment vertical="center"/>
    </xf>
    <xf numFmtId="0" fontId="4" fillId="0" borderId="13" xfId="0" applyFont="1" applyFill="1" applyBorder="1" applyAlignment="1">
      <alignment horizontal="left" vertical="center"/>
    </xf>
    <xf numFmtId="0" fontId="4" fillId="0" borderId="21" xfId="0" applyFont="1" applyFill="1" applyBorder="1" applyAlignment="1">
      <alignment horizontal="left" vertical="center"/>
    </xf>
    <xf numFmtId="0" fontId="11" fillId="0" borderId="11" xfId="0" applyFont="1" applyFill="1" applyBorder="1" applyAlignment="1">
      <alignment horizontal="center" vertical="center"/>
    </xf>
    <xf numFmtId="0" fontId="4" fillId="0" borderId="3" xfId="0" applyFont="1" applyFill="1" applyBorder="1" applyAlignment="1">
      <alignment horizontal="center" vertical="center" wrapText="1"/>
    </xf>
    <xf numFmtId="185" fontId="4" fillId="0" borderId="19" xfId="0" applyNumberFormat="1" applyFont="1" applyFill="1" applyBorder="1" applyAlignment="1">
      <alignment horizontal="center" vertical="center"/>
    </xf>
    <xf numFmtId="0" fontId="4" fillId="0" borderId="19" xfId="0" applyFont="1" applyFill="1" applyBorder="1" applyAlignment="1">
      <alignment horizontal="center" vertical="center"/>
    </xf>
    <xf numFmtId="2" fontId="4" fillId="0" borderId="19" xfId="0" applyNumberFormat="1" applyFont="1" applyFill="1" applyBorder="1" applyAlignment="1">
      <alignment horizontal="center" vertical="center"/>
    </xf>
    <xf numFmtId="1" fontId="4" fillId="0" borderId="19" xfId="0" applyNumberFormat="1" applyFont="1" applyFill="1" applyBorder="1" applyAlignment="1">
      <alignment horizontal="center" vertical="center"/>
    </xf>
    <xf numFmtId="0" fontId="4" fillId="0" borderId="3" xfId="219" applyFont="1" applyFill="1" applyBorder="1" applyAlignment="1">
      <alignment horizontal="center" vertical="center" wrapText="1"/>
    </xf>
    <xf numFmtId="0" fontId="11" fillId="0" borderId="0" xfId="0" applyFont="1" applyFill="1" applyBorder="1" applyAlignment="1">
      <alignment horizontal="center" vertical="center"/>
    </xf>
    <xf numFmtId="0" fontId="11" fillId="0" borderId="0" xfId="328" applyFont="1" applyFill="1" applyBorder="1" applyAlignment="1">
      <alignment vertical="center"/>
    </xf>
    <xf numFmtId="0" fontId="4" fillId="0" borderId="2" xfId="327" applyFont="1" applyFill="1" applyBorder="1" applyAlignment="1">
      <alignment horizontal="left" vertical="center" wrapText="1"/>
    </xf>
    <xf numFmtId="0" fontId="4" fillId="0" borderId="16" xfId="327" applyFont="1" applyFill="1" applyBorder="1"/>
    <xf numFmtId="0" fontId="16" fillId="2" borderId="15" xfId="327" applyFont="1" applyFill="1" applyBorder="1" applyAlignment="1">
      <alignment horizontal="right" vertical="center"/>
    </xf>
    <xf numFmtId="0" fontId="16" fillId="2" borderId="15" xfId="327" applyFont="1" applyFill="1" applyBorder="1" applyAlignment="1">
      <alignment horizontal="left" vertical="center"/>
    </xf>
    <xf numFmtId="0" fontId="4" fillId="0" borderId="17" xfId="327" applyFont="1" applyFill="1" applyBorder="1" applyAlignment="1">
      <alignment vertical="center"/>
    </xf>
    <xf numFmtId="0" fontId="11" fillId="2" borderId="1" xfId="374" applyFont="1" applyFill="1" applyBorder="1" applyAlignment="1">
      <alignment vertical="center"/>
    </xf>
    <xf numFmtId="0" fontId="4" fillId="2" borderId="2" xfId="374" applyFont="1" applyFill="1" applyBorder="1" applyAlignment="1">
      <alignment horizontal="right" vertical="center"/>
    </xf>
    <xf numFmtId="0" fontId="4" fillId="2" borderId="2" xfId="374" applyFont="1" applyFill="1" applyBorder="1" applyAlignment="1">
      <alignment horizontal="left" vertical="center"/>
    </xf>
    <xf numFmtId="0" fontId="4" fillId="2" borderId="2" xfId="374" applyFont="1" applyFill="1" applyBorder="1" applyAlignment="1">
      <alignment vertical="center"/>
    </xf>
    <xf numFmtId="0" fontId="11" fillId="2" borderId="3" xfId="374" applyFont="1" applyFill="1" applyBorder="1" applyAlignment="1">
      <alignment vertical="center"/>
    </xf>
    <xf numFmtId="0" fontId="4" fillId="2" borderId="0" xfId="374" applyFont="1" applyFill="1" applyBorder="1" applyAlignment="1">
      <alignment horizontal="right" vertical="center"/>
    </xf>
    <xf numFmtId="0" fontId="4" fillId="2" borderId="0" xfId="371" applyFont="1" applyFill="1" applyBorder="1" applyAlignment="1">
      <alignment vertical="center"/>
    </xf>
    <xf numFmtId="0" fontId="4" fillId="2" borderId="0" xfId="374" applyFont="1" applyFill="1" applyBorder="1" applyAlignment="1">
      <alignment horizontal="left" vertical="center"/>
    </xf>
    <xf numFmtId="0" fontId="4" fillId="2" borderId="3" xfId="374" applyFont="1" applyFill="1" applyBorder="1" applyAlignment="1">
      <alignment horizontal="right" vertical="center"/>
    </xf>
    <xf numFmtId="0" fontId="4" fillId="2" borderId="0" xfId="371" applyFont="1" applyFill="1" applyBorder="1" applyAlignment="1">
      <alignment horizontal="left" vertical="center"/>
    </xf>
    <xf numFmtId="49" fontId="4" fillId="2" borderId="0" xfId="374" applyNumberFormat="1" applyFont="1" applyFill="1" applyBorder="1" applyAlignment="1">
      <alignment horizontal="left" vertical="center"/>
    </xf>
    <xf numFmtId="2" fontId="4" fillId="2" borderId="0" xfId="374" applyNumberFormat="1" applyFont="1" applyFill="1" applyBorder="1" applyAlignment="1">
      <alignment horizontal="left" vertical="center"/>
    </xf>
    <xf numFmtId="10" fontId="4" fillId="0" borderId="0" xfId="0" applyNumberFormat="1" applyFont="1" applyFill="1" applyBorder="1" applyAlignment="1">
      <alignment horizontal="left" vertical="center" wrapText="1"/>
    </xf>
    <xf numFmtId="181" fontId="4" fillId="2" borderId="0" xfId="374" applyNumberFormat="1" applyFont="1" applyFill="1" applyBorder="1" applyAlignment="1">
      <alignment horizontal="left" vertical="center"/>
    </xf>
    <xf numFmtId="0" fontId="11" fillId="2" borderId="24" xfId="374" applyFont="1" applyFill="1" applyBorder="1" applyAlignment="1">
      <alignment horizontal="left" vertical="center"/>
    </xf>
    <xf numFmtId="0" fontId="4" fillId="2" borderId="25" xfId="374" applyFont="1" applyFill="1" applyBorder="1" applyAlignment="1">
      <alignment horizontal="right" vertical="center"/>
    </xf>
    <xf numFmtId="14" fontId="11" fillId="2" borderId="25" xfId="374" applyNumberFormat="1" applyFont="1" applyFill="1" applyBorder="1" applyAlignment="1">
      <alignment vertical="center"/>
    </xf>
    <xf numFmtId="0" fontId="4" fillId="2" borderId="25" xfId="374" applyFont="1" applyFill="1" applyBorder="1" applyAlignment="1">
      <alignment vertical="center"/>
    </xf>
    <xf numFmtId="0" fontId="4" fillId="2" borderId="1" xfId="374" applyFont="1" applyFill="1" applyBorder="1" applyAlignment="1">
      <alignment horizontal="right" vertical="center"/>
    </xf>
    <xf numFmtId="0" fontId="11" fillId="2" borderId="2" xfId="374" applyFont="1" applyFill="1" applyBorder="1" applyAlignment="1">
      <alignment horizontal="right" vertical="center"/>
    </xf>
    <xf numFmtId="184" fontId="4" fillId="2" borderId="0" xfId="374" applyNumberFormat="1" applyFont="1" applyFill="1" applyBorder="1" applyAlignment="1">
      <alignment horizontal="left" vertical="center"/>
    </xf>
    <xf numFmtId="0" fontId="4" fillId="2" borderId="0" xfId="374" applyFont="1" applyFill="1" applyBorder="1" applyAlignment="1">
      <alignment vertical="center"/>
    </xf>
    <xf numFmtId="177" fontId="4" fillId="2" borderId="0" xfId="374" applyNumberFormat="1" applyFont="1" applyFill="1" applyBorder="1" applyAlignment="1">
      <alignment horizontal="left" vertical="center"/>
    </xf>
    <xf numFmtId="0" fontId="4" fillId="2" borderId="14" xfId="374" applyFont="1" applyFill="1" applyBorder="1" applyAlignment="1">
      <alignment vertical="center"/>
    </xf>
    <xf numFmtId="0" fontId="4" fillId="2" borderId="15" xfId="374" applyFont="1" applyFill="1" applyBorder="1" applyAlignment="1">
      <alignment vertical="center"/>
    </xf>
    <xf numFmtId="0" fontId="11" fillId="2" borderId="1" xfId="0" applyFont="1" applyFill="1" applyBorder="1" applyAlignment="1">
      <alignment horizontal="center" vertical="center"/>
    </xf>
    <xf numFmtId="0" fontId="4" fillId="2" borderId="2" xfId="0" applyFont="1" applyFill="1" applyBorder="1" applyAlignment="1"/>
    <xf numFmtId="0" fontId="4" fillId="2" borderId="26" xfId="374" applyFont="1" applyFill="1" applyBorder="1" applyAlignment="1">
      <alignment horizontal="center" vertical="center" wrapText="1"/>
    </xf>
    <xf numFmtId="0" fontId="4" fillId="2" borderId="27" xfId="374" applyFont="1" applyFill="1" applyBorder="1" applyAlignment="1">
      <alignment horizontal="center" vertical="center"/>
    </xf>
    <xf numFmtId="0" fontId="4" fillId="2" borderId="27" xfId="374" applyFont="1" applyFill="1" applyBorder="1" applyAlignment="1">
      <alignment horizontal="center" vertical="center" wrapText="1"/>
    </xf>
    <xf numFmtId="0" fontId="4" fillId="2" borderId="28" xfId="374" applyFont="1" applyFill="1" applyBorder="1" applyAlignment="1">
      <alignment horizontal="center" vertical="center" wrapText="1"/>
    </xf>
    <xf numFmtId="0" fontId="4" fillId="2" borderId="11" xfId="374" applyFont="1" applyFill="1" applyBorder="1" applyAlignment="1">
      <alignment horizontal="center" vertical="center"/>
    </xf>
    <xf numFmtId="0" fontId="4" fillId="2" borderId="11" xfId="374" applyFont="1" applyFill="1" applyBorder="1" applyAlignment="1">
      <alignment horizontal="center" vertical="center" wrapText="1"/>
    </xf>
    <xf numFmtId="0" fontId="4" fillId="2" borderId="29" xfId="374" applyFont="1" applyFill="1" applyBorder="1" applyAlignment="1">
      <alignment horizontal="center" vertical="center"/>
    </xf>
    <xf numFmtId="49" fontId="4" fillId="2" borderId="10" xfId="374" applyNumberFormat="1" applyFont="1" applyFill="1" applyBorder="1" applyAlignment="1">
      <alignment horizontal="center" vertical="center"/>
    </xf>
    <xf numFmtId="0" fontId="4" fillId="2" borderId="10" xfId="374" applyFont="1" applyFill="1" applyBorder="1" applyAlignment="1">
      <alignment horizontal="center" vertical="center" wrapText="1"/>
    </xf>
    <xf numFmtId="177" fontId="4" fillId="2" borderId="10" xfId="374" applyNumberFormat="1" applyFont="1" applyFill="1" applyBorder="1" applyAlignment="1">
      <alignment horizontal="center" vertical="center" wrapText="1"/>
    </xf>
    <xf numFmtId="176" fontId="4" fillId="2" borderId="10" xfId="374" applyNumberFormat="1" applyFont="1" applyFill="1" applyBorder="1" applyAlignment="1">
      <alignment horizontal="center" vertical="center"/>
    </xf>
    <xf numFmtId="0" fontId="4" fillId="2" borderId="30" xfId="374" applyFont="1" applyFill="1" applyBorder="1" applyAlignment="1">
      <alignment horizontal="center" vertical="center"/>
    </xf>
    <xf numFmtId="49" fontId="4" fillId="2" borderId="23" xfId="374" applyNumberFormat="1" applyFont="1" applyFill="1" applyBorder="1" applyAlignment="1">
      <alignment horizontal="center" vertical="center"/>
    </xf>
    <xf numFmtId="0" fontId="17" fillId="2" borderId="23" xfId="374" applyFont="1" applyFill="1" applyBorder="1" applyAlignment="1">
      <alignment horizontal="center" vertical="center" wrapText="1"/>
    </xf>
    <xf numFmtId="177" fontId="4" fillId="2" borderId="23" xfId="374" applyNumberFormat="1" applyFont="1" applyFill="1" applyBorder="1" applyAlignment="1">
      <alignment horizontal="center" vertical="center" wrapText="1"/>
    </xf>
    <xf numFmtId="176" fontId="4" fillId="2" borderId="23" xfId="374" applyNumberFormat="1" applyFont="1" applyFill="1" applyBorder="1" applyAlignment="1">
      <alignment horizontal="center" vertical="center"/>
    </xf>
    <xf numFmtId="0" fontId="4" fillId="2" borderId="28" xfId="374" applyFont="1" applyFill="1" applyBorder="1" applyAlignment="1">
      <alignment horizontal="center" vertical="center"/>
    </xf>
    <xf numFmtId="49" fontId="4" fillId="2" borderId="11" xfId="374" applyNumberFormat="1" applyFont="1" applyFill="1" applyBorder="1" applyAlignment="1">
      <alignment horizontal="center" vertical="center"/>
    </xf>
    <xf numFmtId="0" fontId="17" fillId="2" borderId="11" xfId="374" applyFont="1" applyFill="1" applyBorder="1" applyAlignment="1">
      <alignment horizontal="center" vertical="center" wrapText="1"/>
    </xf>
    <xf numFmtId="177" fontId="4" fillId="2" borderId="11" xfId="374" applyNumberFormat="1" applyFont="1" applyFill="1" applyBorder="1" applyAlignment="1">
      <alignment horizontal="center" vertical="center" wrapText="1"/>
    </xf>
    <xf numFmtId="176" fontId="4" fillId="2" borderId="11" xfId="374" applyNumberFormat="1" applyFont="1" applyFill="1" applyBorder="1" applyAlignment="1">
      <alignment horizontal="center" vertical="center"/>
    </xf>
    <xf numFmtId="0" fontId="4" fillId="2" borderId="3" xfId="374" applyFont="1" applyFill="1" applyBorder="1" applyAlignment="1">
      <alignment horizontal="center" vertical="center"/>
    </xf>
    <xf numFmtId="49" fontId="4" fillId="2" borderId="0" xfId="374" applyNumberFormat="1" applyFont="1" applyFill="1" applyBorder="1" applyAlignment="1">
      <alignment horizontal="center" vertical="center"/>
    </xf>
    <xf numFmtId="0" fontId="4" fillId="2" borderId="0" xfId="374" applyFont="1" applyFill="1" applyBorder="1" applyAlignment="1">
      <alignment horizontal="center" vertical="center" wrapText="1"/>
    </xf>
    <xf numFmtId="176" fontId="4" fillId="2" borderId="0" xfId="374" applyNumberFormat="1" applyFont="1" applyFill="1" applyBorder="1" applyAlignment="1">
      <alignment horizontal="center" vertical="center" wrapText="1"/>
    </xf>
    <xf numFmtId="176" fontId="4" fillId="2" borderId="0" xfId="374" applyNumberFormat="1" applyFont="1" applyFill="1" applyBorder="1" applyAlignment="1">
      <alignment horizontal="center" vertical="center"/>
    </xf>
    <xf numFmtId="0" fontId="4" fillId="2" borderId="0" xfId="374" applyFont="1" applyFill="1" applyBorder="1" applyAlignment="1">
      <alignment horizontal="left" vertical="center" wrapText="1"/>
    </xf>
    <xf numFmtId="0" fontId="4" fillId="2" borderId="3" xfId="374" applyFont="1" applyFill="1" applyBorder="1" applyAlignment="1">
      <alignment vertical="center"/>
    </xf>
    <xf numFmtId="0" fontId="4" fillId="2" borderId="15" xfId="374" applyFont="1" applyFill="1" applyBorder="1" applyAlignment="1">
      <alignment horizontal="left" vertical="center" wrapText="1"/>
    </xf>
    <xf numFmtId="0" fontId="4" fillId="0" borderId="17" xfId="327" applyFont="1" applyFill="1" applyBorder="1"/>
    <xf numFmtId="0" fontId="11" fillId="2" borderId="1" xfId="327" applyFont="1" applyFill="1" applyBorder="1" applyAlignment="1">
      <alignment vertical="center"/>
    </xf>
    <xf numFmtId="0" fontId="4" fillId="2" borderId="2" xfId="327" applyFont="1" applyFill="1" applyBorder="1" applyAlignment="1">
      <alignment vertical="center"/>
    </xf>
    <xf numFmtId="0" fontId="4" fillId="2" borderId="3" xfId="327" applyFont="1" applyFill="1" applyBorder="1" applyAlignment="1">
      <alignment vertical="center"/>
    </xf>
    <xf numFmtId="0" fontId="4" fillId="2" borderId="0" xfId="327" applyFont="1" applyFill="1" applyBorder="1" applyAlignment="1">
      <alignment vertical="center"/>
    </xf>
    <xf numFmtId="0" fontId="4" fillId="2" borderId="3" xfId="327" applyFont="1" applyFill="1" applyBorder="1" applyAlignment="1">
      <alignment horizontal="center" vertical="center"/>
    </xf>
    <xf numFmtId="0" fontId="4" fillId="2" borderId="0" xfId="327" applyFont="1" applyFill="1" applyBorder="1" applyAlignment="1">
      <alignment horizontal="center" vertical="center"/>
    </xf>
    <xf numFmtId="0" fontId="4" fillId="0" borderId="22" xfId="327" applyFont="1" applyFill="1" applyBorder="1"/>
    <xf numFmtId="0" fontId="4" fillId="2" borderId="14" xfId="327" applyFont="1" applyFill="1" applyBorder="1" applyAlignment="1">
      <alignment vertical="center"/>
    </xf>
    <xf numFmtId="0" fontId="4" fillId="2" borderId="15" xfId="327" applyFont="1" applyFill="1" applyBorder="1" applyAlignment="1">
      <alignment vertical="center"/>
    </xf>
    <xf numFmtId="0" fontId="4" fillId="2" borderId="4" xfId="327" applyFont="1" applyFill="1" applyBorder="1" applyAlignment="1">
      <alignment vertical="center"/>
    </xf>
    <xf numFmtId="0" fontId="4" fillId="2" borderId="4" xfId="327" applyFont="1" applyFill="1" applyBorder="1" applyAlignment="1">
      <alignment horizontal="center" vertical="center"/>
    </xf>
    <xf numFmtId="0" fontId="17" fillId="2" borderId="3" xfId="327" applyFont="1" applyFill="1" applyBorder="1" applyAlignment="1">
      <alignment vertical="center"/>
    </xf>
    <xf numFmtId="0" fontId="17" fillId="2" borderId="0" xfId="327" applyFont="1" applyFill="1" applyBorder="1" applyAlignment="1">
      <alignment vertical="center"/>
    </xf>
    <xf numFmtId="0" fontId="17" fillId="2" borderId="14" xfId="327" applyFont="1" applyFill="1" applyBorder="1" applyAlignment="1">
      <alignment vertical="center"/>
    </xf>
    <xf numFmtId="0" fontId="17" fillId="2" borderId="15" xfId="327" applyFont="1" applyFill="1" applyBorder="1" applyAlignment="1">
      <alignment vertical="center"/>
    </xf>
    <xf numFmtId="186" fontId="4" fillId="0" borderId="19" xfId="0" applyNumberFormat="1" applyFont="1" applyFill="1" applyBorder="1" applyAlignment="1">
      <alignment horizontal="center" vertical="center"/>
    </xf>
    <xf numFmtId="178" fontId="4" fillId="0" borderId="19" xfId="0" applyNumberFormat="1" applyFont="1" applyFill="1" applyBorder="1" applyAlignment="1">
      <alignment horizontal="center" vertical="center"/>
    </xf>
    <xf numFmtId="0" fontId="4" fillId="2" borderId="16" xfId="374" applyFont="1" applyFill="1" applyBorder="1" applyAlignment="1">
      <alignment vertical="center"/>
    </xf>
    <xf numFmtId="0" fontId="4" fillId="2" borderId="17" xfId="374" applyFont="1" applyFill="1" applyBorder="1" applyAlignment="1">
      <alignment vertical="center"/>
    </xf>
    <xf numFmtId="10" fontId="4" fillId="2" borderId="0" xfId="374" applyNumberFormat="1" applyFont="1" applyFill="1" applyBorder="1" applyAlignment="1">
      <alignment horizontal="left" vertical="center"/>
    </xf>
    <xf numFmtId="0" fontId="4" fillId="2" borderId="17" xfId="374" applyFont="1" applyFill="1" applyBorder="1" applyAlignment="1">
      <alignment horizontal="left" vertical="center"/>
    </xf>
    <xf numFmtId="0" fontId="4" fillId="2" borderId="25" xfId="374" applyFont="1" applyFill="1" applyBorder="1" applyAlignment="1">
      <alignment horizontal="left" vertical="center"/>
    </xf>
    <xf numFmtId="0" fontId="4" fillId="2" borderId="31" xfId="374" applyFont="1" applyFill="1" applyBorder="1" applyAlignment="1">
      <alignment horizontal="left" vertical="center"/>
    </xf>
    <xf numFmtId="9" fontId="4" fillId="2" borderId="2" xfId="374" applyNumberFormat="1" applyFont="1" applyFill="1" applyBorder="1" applyAlignment="1">
      <alignment vertical="center"/>
    </xf>
    <xf numFmtId="0" fontId="4" fillId="2" borderId="2" xfId="374" applyFont="1" applyFill="1" applyBorder="1" applyAlignment="1">
      <alignment vertical="center" wrapText="1"/>
    </xf>
    <xf numFmtId="0" fontId="4" fillId="2" borderId="16" xfId="374" applyFont="1" applyFill="1" applyBorder="1" applyAlignment="1">
      <alignment vertical="center" wrapText="1"/>
    </xf>
    <xf numFmtId="0" fontId="4" fillId="2" borderId="17" xfId="374" applyFont="1" applyFill="1" applyBorder="1" applyAlignment="1">
      <alignment horizontal="left" vertical="center" wrapText="1"/>
    </xf>
    <xf numFmtId="0" fontId="4" fillId="2" borderId="22" xfId="374" applyFont="1" applyFill="1" applyBorder="1" applyAlignment="1">
      <alignment vertical="center"/>
    </xf>
    <xf numFmtId="0" fontId="1" fillId="0" borderId="27" xfId="0" applyFont="1" applyFill="1" applyBorder="1" applyAlignment="1">
      <alignment horizontal="center" vertical="center" wrapText="1"/>
    </xf>
    <xf numFmtId="0" fontId="1" fillId="0" borderId="32" xfId="0" applyFont="1" applyFill="1" applyBorder="1" applyAlignment="1">
      <alignment horizontal="center" vertical="center" wrapText="1"/>
    </xf>
    <xf numFmtId="0" fontId="1" fillId="0" borderId="16" xfId="0" applyFont="1" applyFill="1" applyBorder="1" applyAlignment="1">
      <alignment horizontal="center" vertical="center"/>
    </xf>
    <xf numFmtId="0" fontId="1" fillId="0" borderId="11" xfId="0" applyFont="1" applyFill="1" applyBorder="1" applyAlignment="1">
      <alignment horizontal="center" vertical="center" wrapText="1"/>
    </xf>
    <xf numFmtId="0" fontId="1" fillId="0" borderId="33" xfId="0" applyFont="1" applyFill="1" applyBorder="1" applyAlignment="1">
      <alignment horizontal="center" vertical="center"/>
    </xf>
    <xf numFmtId="181" fontId="4" fillId="2" borderId="10" xfId="374" applyNumberFormat="1" applyFont="1" applyFill="1" applyBorder="1" applyAlignment="1">
      <alignment horizontal="center" vertical="center"/>
    </xf>
    <xf numFmtId="0" fontId="1" fillId="0" borderId="10" xfId="0" applyFont="1" applyFill="1" applyBorder="1" applyAlignment="1">
      <alignment horizontal="center" vertical="center"/>
    </xf>
    <xf numFmtId="0" fontId="1" fillId="0" borderId="34" xfId="0" applyFont="1" applyFill="1" applyBorder="1" applyAlignment="1">
      <alignment horizontal="center" vertical="center"/>
    </xf>
    <xf numFmtId="181" fontId="4" fillId="2" borderId="23" xfId="374" applyNumberFormat="1" applyFont="1" applyFill="1" applyBorder="1" applyAlignment="1">
      <alignment horizontal="center" vertical="center"/>
    </xf>
    <xf numFmtId="0" fontId="1" fillId="0" borderId="23" xfId="0" applyFont="1" applyFill="1" applyBorder="1" applyAlignment="1">
      <alignment horizontal="center" vertical="center"/>
    </xf>
    <xf numFmtId="0" fontId="1" fillId="0" borderId="17" xfId="0" applyFont="1" applyFill="1" applyBorder="1" applyAlignment="1">
      <alignment horizontal="center" vertical="center"/>
    </xf>
    <xf numFmtId="181" fontId="4" fillId="2" borderId="11" xfId="374" applyNumberFormat="1" applyFont="1" applyFill="1" applyBorder="1" applyAlignment="1">
      <alignment horizontal="center" vertical="center"/>
    </xf>
    <xf numFmtId="0" fontId="1" fillId="0" borderId="11" xfId="0" applyFont="1" applyFill="1" applyBorder="1" applyAlignment="1">
      <alignment horizontal="center" vertical="center"/>
    </xf>
    <xf numFmtId="181" fontId="4" fillId="2" borderId="0" xfId="374" applyNumberFormat="1" applyFont="1" applyFill="1" applyBorder="1" applyAlignment="1">
      <alignment horizontal="center" vertical="center"/>
    </xf>
    <xf numFmtId="181" fontId="4" fillId="2" borderId="17" xfId="374" applyNumberFormat="1" applyFont="1" applyFill="1" applyBorder="1" applyAlignment="1">
      <alignment horizontal="center" vertical="center"/>
    </xf>
    <xf numFmtId="0" fontId="4" fillId="2" borderId="22" xfId="374" applyFont="1" applyFill="1" applyBorder="1" applyAlignment="1">
      <alignment horizontal="left" vertical="center" wrapText="1"/>
    </xf>
    <xf numFmtId="0" fontId="17" fillId="2" borderId="2" xfId="327" applyFont="1" applyFill="1" applyBorder="1" applyAlignment="1">
      <alignment vertical="center"/>
    </xf>
    <xf numFmtId="0" fontId="17" fillId="2" borderId="2" xfId="327" applyFont="1" applyFill="1" applyBorder="1" applyAlignment="1"/>
    <xf numFmtId="0" fontId="17" fillId="2" borderId="16" xfId="327" applyFont="1" applyFill="1" applyBorder="1" applyAlignment="1"/>
    <xf numFmtId="0" fontId="17" fillId="2" borderId="0" xfId="327" applyFont="1" applyFill="1" applyBorder="1" applyAlignment="1"/>
    <xf numFmtId="0" fontId="17" fillId="2" borderId="17" xfId="327" applyFont="1" applyFill="1" applyBorder="1" applyAlignment="1"/>
    <xf numFmtId="0" fontId="4" fillId="2" borderId="17" xfId="327" applyFont="1" applyFill="1" applyBorder="1" applyAlignment="1">
      <alignment horizontal="center" vertical="center"/>
    </xf>
    <xf numFmtId="0" fontId="17" fillId="2" borderId="15" xfId="327" applyFont="1" applyFill="1" applyBorder="1" applyAlignment="1"/>
    <xf numFmtId="0" fontId="17" fillId="2" borderId="22" xfId="327" applyFont="1" applyFill="1" applyBorder="1" applyAlignment="1"/>
    <xf numFmtId="0" fontId="18" fillId="2" borderId="0" xfId="243" applyFont="1" applyFill="1" applyBorder="1" applyAlignment="1">
      <alignment horizontal="center" vertical="top"/>
    </xf>
    <xf numFmtId="0" fontId="18" fillId="2" borderId="0" xfId="243" applyFont="1" applyFill="1" applyBorder="1" applyAlignment="1">
      <alignment horizontal="center" vertical="center"/>
    </xf>
    <xf numFmtId="0" fontId="19" fillId="2" borderId="0" xfId="243" applyFont="1" applyFill="1" applyBorder="1" applyAlignment="1">
      <alignment horizontal="center" vertical="center"/>
    </xf>
    <xf numFmtId="0" fontId="16" fillId="2" borderId="0" xfId="243" applyFont="1" applyFill="1" applyBorder="1" applyAlignment="1">
      <alignment horizontal="center" vertical="top"/>
    </xf>
    <xf numFmtId="0" fontId="16" fillId="2" borderId="0" xfId="327" applyFont="1" applyFill="1" applyBorder="1" applyAlignment="1">
      <alignment horizontal="center" vertical="center"/>
    </xf>
    <xf numFmtId="0" fontId="16" fillId="2" borderId="0" xfId="243" applyFont="1" applyFill="1" applyBorder="1" applyAlignment="1">
      <alignment vertical="top" wrapText="1"/>
    </xf>
    <xf numFmtId="0" fontId="16" fillId="2" borderId="0" xfId="243" applyFont="1" applyFill="1" applyBorder="1" applyAlignment="1">
      <alignment horizontal="left" vertical="top" wrapText="1"/>
    </xf>
    <xf numFmtId="0" fontId="16" fillId="2" borderId="0" xfId="243" applyFont="1" applyFill="1" applyBorder="1" applyAlignment="1">
      <alignment horizontal="left" vertical="top"/>
    </xf>
    <xf numFmtId="0" fontId="16" fillId="2" borderId="0" xfId="243" applyFont="1" applyFill="1" applyBorder="1" applyAlignment="1">
      <alignment horizontal="left" vertical="center" wrapText="1"/>
    </xf>
    <xf numFmtId="0" fontId="18" fillId="2" borderId="0" xfId="243" applyFont="1" applyFill="1" applyBorder="1" applyAlignment="1">
      <alignment horizontal="left" vertical="top" wrapText="1"/>
    </xf>
    <xf numFmtId="0" fontId="16" fillId="2" borderId="0" xfId="243" applyFont="1" applyFill="1" applyBorder="1" applyAlignment="1">
      <alignment horizontal="center" vertical="center"/>
    </xf>
    <xf numFmtId="0" fontId="18" fillId="2" borderId="0" xfId="243" applyFont="1" applyFill="1" applyBorder="1" applyAlignment="1">
      <alignment horizontal="left" vertical="center" wrapText="1"/>
    </xf>
    <xf numFmtId="0" fontId="20" fillId="2" borderId="0" xfId="0" applyFont="1" applyFill="1" applyBorder="1" applyAlignment="1">
      <alignment horizontal="center" vertical="center"/>
    </xf>
    <xf numFmtId="0" fontId="21" fillId="2" borderId="0" xfId="0" applyFont="1" applyFill="1" applyBorder="1" applyAlignment="1">
      <alignment horizontal="left" vertical="center" wrapText="1"/>
    </xf>
    <xf numFmtId="0" fontId="18" fillId="2" borderId="0" xfId="0" applyFont="1" applyFill="1" applyBorder="1" applyAlignment="1">
      <alignment horizontal="center"/>
    </xf>
    <xf numFmtId="0" fontId="18" fillId="2" borderId="0" xfId="243"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Border="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8" fillId="2" borderId="0" xfId="243" applyNumberFormat="1" applyFont="1" applyFill="1" applyBorder="1" applyAlignment="1">
      <alignment horizontal="center" vertical="center"/>
    </xf>
    <xf numFmtId="0" fontId="24" fillId="2" borderId="0" xfId="0" applyFont="1" applyFill="1" applyBorder="1" applyAlignment="1">
      <alignment horizontal="center" vertical="top" wrapText="1"/>
    </xf>
    <xf numFmtId="178" fontId="18" fillId="2" borderId="0" xfId="243" applyNumberFormat="1" applyFont="1" applyFill="1" applyBorder="1" applyAlignment="1">
      <alignment horizontal="center" vertical="center"/>
    </xf>
    <xf numFmtId="49" fontId="25" fillId="2" borderId="0" xfId="0" applyNumberFormat="1" applyFont="1" applyFill="1" applyBorder="1" applyAlignment="1" applyProtection="1">
      <alignment vertical="center"/>
      <protection locked="0"/>
    </xf>
    <xf numFmtId="14" fontId="5" fillId="2" borderId="0" xfId="243" applyNumberFormat="1" applyFont="1" applyFill="1" applyBorder="1" applyAlignment="1">
      <alignment horizontal="left" vertical="top" wrapText="1"/>
    </xf>
    <xf numFmtId="14" fontId="16" fillId="2" borderId="0" xfId="243" applyNumberFormat="1" applyFont="1" applyFill="1" applyBorder="1" applyAlignment="1">
      <alignment horizontal="left" vertical="top" wrapText="1"/>
    </xf>
  </cellXfs>
  <cellStyles count="41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3" xfId="54"/>
    <cellStyle name="20% - Accent2 3 2" xfId="55"/>
    <cellStyle name="20% - Accent2 3 3" xfId="56"/>
    <cellStyle name="20% - Accent2 4" xfId="57"/>
    <cellStyle name="20% - Accent3 2" xfId="58"/>
    <cellStyle name="20% - Accent4 2" xfId="59"/>
    <cellStyle name="20% - Accent4 2 2" xfId="60"/>
    <cellStyle name="20% - Accent4 2 3" xfId="61"/>
    <cellStyle name="20% - Accent4 2 3 2" xfId="62"/>
    <cellStyle name="20% - Accent4 3" xfId="63"/>
    <cellStyle name="20% - Accent4 3 2" xfId="64"/>
    <cellStyle name="20% - Accent4 3 3" xfId="65"/>
    <cellStyle name="20% - Accent4 4" xfId="66"/>
    <cellStyle name="20% - Accent5 2" xfId="67"/>
    <cellStyle name="20% - Accent6 2" xfId="68"/>
    <cellStyle name="20% - 强调文字颜色 1 2" xfId="69"/>
    <cellStyle name="20% - 强调文字颜色 1 3" xfId="70"/>
    <cellStyle name="20% - 强调文字颜色 2 2" xfId="71"/>
    <cellStyle name="20% - 强调文字颜色 2 3" xfId="72"/>
    <cellStyle name="20% - 强调文字颜色 3 2" xfId="73"/>
    <cellStyle name="20% - 强调文字颜色 3 3" xfId="74"/>
    <cellStyle name="20% - 强调文字颜色 4 2" xfId="75"/>
    <cellStyle name="20% - 强调文字颜色 4 3" xfId="76"/>
    <cellStyle name="20% - 强调文字颜色 5 2" xfId="77"/>
    <cellStyle name="20% - 强调文字颜色 5 3" xfId="78"/>
    <cellStyle name="20% - 强调文字颜色 6 2" xfId="79"/>
    <cellStyle name="20% - 强调文字颜色 6 3" xfId="80"/>
    <cellStyle name="40% - Accent1 2" xfId="81"/>
    <cellStyle name="40% - Accent2 2" xfId="82"/>
    <cellStyle name="40% - Accent3 2" xfId="83"/>
    <cellStyle name="40% - Accent4 2" xfId="84"/>
    <cellStyle name="40% - Accent5 2" xfId="85"/>
    <cellStyle name="40% - Accent6 2" xfId="86"/>
    <cellStyle name="40% - Accent6 2 2" xfId="87"/>
    <cellStyle name="40% - Accent6 2 3" xfId="88"/>
    <cellStyle name="40% - Accent6 3" xfId="89"/>
    <cellStyle name="40% - Accent6 3 2" xfId="90"/>
    <cellStyle name="40% - Accent6 3 3" xfId="91"/>
    <cellStyle name="40% - Accent6 4" xfId="92"/>
    <cellStyle name="40% - 强调文字颜色 1 2" xfId="93"/>
    <cellStyle name="40% - 强调文字颜色 1 3" xfId="94"/>
    <cellStyle name="40% - 强调文字颜色 2 2" xfId="95"/>
    <cellStyle name="40% - 强调文字颜色 2 3" xfId="96"/>
    <cellStyle name="40% - 强调文字颜色 3 2" xfId="97"/>
    <cellStyle name="40% - 强调文字颜色 3 3" xfId="98"/>
    <cellStyle name="40% - 强调文字颜色 4 2" xfId="99"/>
    <cellStyle name="40% - 强调文字颜色 4 3" xfId="100"/>
    <cellStyle name="40% - 强调文字颜色 5 2" xfId="101"/>
    <cellStyle name="40% - 强调文字颜色 5 3" xfId="102"/>
    <cellStyle name="40% - 强调文字颜色 6 2" xfId="103"/>
    <cellStyle name="40% - 强调文字颜色 6 3" xfId="104"/>
    <cellStyle name="60% - Accent1 2" xfId="105"/>
    <cellStyle name="60% - Accent2 2" xfId="106"/>
    <cellStyle name="60% - Accent3 2" xfId="107"/>
    <cellStyle name="60% - Accent4 2" xfId="108"/>
    <cellStyle name="60% - Accent5 2" xfId="109"/>
    <cellStyle name="60% - Accent6 2" xfId="110"/>
    <cellStyle name="60% - 强调文字颜色 1 2" xfId="111"/>
    <cellStyle name="60% - 强调文字颜色 1 3" xfId="112"/>
    <cellStyle name="60% - 强调文字颜色 2 2" xfId="113"/>
    <cellStyle name="60% - 强调文字颜色 2 3" xfId="114"/>
    <cellStyle name="60% - 强调文字颜色 3 2" xfId="115"/>
    <cellStyle name="60% - 强调文字颜色 3 3" xfId="116"/>
    <cellStyle name="60% - 强调文字颜色 4 2" xfId="117"/>
    <cellStyle name="60% - 强调文字颜色 4 3" xfId="118"/>
    <cellStyle name="60% - 强调文字颜色 5 2" xfId="119"/>
    <cellStyle name="60% - 强调文字颜色 5 3" xfId="120"/>
    <cellStyle name="60% - 强调文字颜色 6 2" xfId="121"/>
    <cellStyle name="60% - 强调文字颜色 6 3" xfId="122"/>
    <cellStyle name="Accent1 2" xfId="123"/>
    <cellStyle name="Accent2 2" xfId="124"/>
    <cellStyle name="Accent3 2" xfId="125"/>
    <cellStyle name="Accent4 2" xfId="126"/>
    <cellStyle name="Accent5 2" xfId="127"/>
    <cellStyle name="Accent6 2" xfId="128"/>
    <cellStyle name="Bad 2" xfId="129"/>
    <cellStyle name="Calculation 2" xfId="130"/>
    <cellStyle name="Check Cell 2" xfId="131"/>
    <cellStyle name="Good 2" xfId="132"/>
    <cellStyle name="Input 2" xfId="133"/>
    <cellStyle name="Neutral 2" xfId="134"/>
    <cellStyle name="Normal 2" xfId="135"/>
    <cellStyle name="Normal 2 2 2 2" xfId="136"/>
    <cellStyle name="Normal 27" xfId="137"/>
    <cellStyle name="Normal 27 4" xfId="138"/>
    <cellStyle name="Normal 28 2" xfId="139"/>
    <cellStyle name="Normal 30" xfId="140"/>
    <cellStyle name="Normal 31" xfId="141"/>
    <cellStyle name="Normal_request in life week 52" xfId="142"/>
    <cellStyle name="Note 2" xfId="143"/>
    <cellStyle name="Note 2 2" xfId="144"/>
    <cellStyle name="Note 2 2 2" xfId="145"/>
    <cellStyle name="Note 2 2 2 2" xfId="146"/>
    <cellStyle name="Note 2 2 2 3" xfId="147"/>
    <cellStyle name="Note 2 2 3" xfId="148"/>
    <cellStyle name="Note 2 2 3 2" xfId="149"/>
    <cellStyle name="Note 2 2 4" xfId="150"/>
    <cellStyle name="Note 2 3" xfId="151"/>
    <cellStyle name="Note 2 3 2" xfId="152"/>
    <cellStyle name="Note 2 3 3" xfId="153"/>
    <cellStyle name="Note 2 4" xfId="154"/>
    <cellStyle name="Note 2 4 2" xfId="155"/>
    <cellStyle name="Note 2 4 2 2" xfId="156"/>
    <cellStyle name="Note 2 4 3" xfId="157"/>
    <cellStyle name="Note 2 5" xfId="158"/>
    <cellStyle name="Note 2 5 2" xfId="159"/>
    <cellStyle name="Note 2 6" xfId="160"/>
    <cellStyle name="Note 2 6 2" xfId="161"/>
    <cellStyle name="Note 2 7" xfId="162"/>
    <cellStyle name="Note 2 8" xfId="163"/>
    <cellStyle name="Note 2 9" xfId="164"/>
    <cellStyle name="Note 3" xfId="165"/>
    <cellStyle name="Note 3 2" xfId="166"/>
    <cellStyle name="Note 3 3" xfId="167"/>
    <cellStyle name="Note 4" xfId="168"/>
    <cellStyle name="Note 4 2" xfId="169"/>
    <cellStyle name="Note 4 3" xfId="170"/>
    <cellStyle name="Note 5" xfId="171"/>
    <cellStyle name="Note 6" xfId="172"/>
    <cellStyle name="Note 7" xfId="173"/>
    <cellStyle name="Output 2" xfId="174"/>
    <cellStyle name="Style 1" xfId="175"/>
    <cellStyle name="Style 1 2 2" xfId="176"/>
    <cellStyle name="Style 1 3" xfId="177"/>
    <cellStyle name="Total 2" xfId="178"/>
    <cellStyle name="百分比 2" xfId="179"/>
    <cellStyle name="标题 1 2" xfId="180"/>
    <cellStyle name="标题 1 3" xfId="181"/>
    <cellStyle name="标题 2 2" xfId="182"/>
    <cellStyle name="标题 2 3" xfId="183"/>
    <cellStyle name="标题 3 2" xfId="184"/>
    <cellStyle name="标题 3 3" xfId="185"/>
    <cellStyle name="标题 4 2" xfId="186"/>
    <cellStyle name="标题 4 3" xfId="187"/>
    <cellStyle name="标题 5" xfId="188"/>
    <cellStyle name="标题 6" xfId="189"/>
    <cellStyle name="差 2" xfId="190"/>
    <cellStyle name="差 3" xfId="191"/>
    <cellStyle name="常规 10" xfId="192"/>
    <cellStyle name="常规 10 2" xfId="193"/>
    <cellStyle name="常规 10 2 2" xfId="194"/>
    <cellStyle name="常规 10 3" xfId="195"/>
    <cellStyle name="常规 10 3 2" xfId="196"/>
    <cellStyle name="常规 10 4" xfId="197"/>
    <cellStyle name="常规 10 5" xfId="198"/>
    <cellStyle name="常规 11" xfId="199"/>
    <cellStyle name="常规 11 2" xfId="200"/>
    <cellStyle name="常规 11 2 2" xfId="201"/>
    <cellStyle name="常规 11 2 3" xfId="202"/>
    <cellStyle name="常规 11 3" xfId="203"/>
    <cellStyle name="常规 11 4" xfId="204"/>
    <cellStyle name="常规 11 5" xfId="205"/>
    <cellStyle name="常规 11 6" xfId="206"/>
    <cellStyle name="常规 11 7" xfId="207"/>
    <cellStyle name="常规 12" xfId="208"/>
    <cellStyle name="常规 12 2" xfId="209"/>
    <cellStyle name="常规 12 3" xfId="210"/>
    <cellStyle name="常规 13" xfId="211"/>
    <cellStyle name="常规 13 2" xfId="212"/>
    <cellStyle name="常规 13 3" xfId="213"/>
    <cellStyle name="常规 13 4" xfId="214"/>
    <cellStyle name="常规 14" xfId="215"/>
    <cellStyle name="常规 15" xfId="216"/>
    <cellStyle name="常规 16" xfId="217"/>
    <cellStyle name="常规 17" xfId="218"/>
    <cellStyle name="常规 18" xfId="219"/>
    <cellStyle name="常规 19" xfId="220"/>
    <cellStyle name="常规 2" xfId="221"/>
    <cellStyle name="常规 2 2" xfId="222"/>
    <cellStyle name="常规 2 2 2" xfId="223"/>
    <cellStyle name="常规 2 2 2 2" xfId="224"/>
    <cellStyle name="常规 2 2 3" xfId="225"/>
    <cellStyle name="常规 2 2 3 2" xfId="226"/>
    <cellStyle name="常规 2 2 4" xfId="227"/>
    <cellStyle name="常规 2 2 5" xfId="228"/>
    <cellStyle name="常规 2 3" xfId="229"/>
    <cellStyle name="常规 2 3 2" xfId="230"/>
    <cellStyle name="常规 2 3 2 2" xfId="231"/>
    <cellStyle name="常规 2 3 3" xfId="232"/>
    <cellStyle name="常规 2 3 4" xfId="233"/>
    <cellStyle name="常规 2 4" xfId="234"/>
    <cellStyle name="常规 20" xfId="235"/>
    <cellStyle name="常规 3" xfId="236"/>
    <cellStyle name="常规 3 10" xfId="237"/>
    <cellStyle name="常规 3 10 2" xfId="238"/>
    <cellStyle name="常规 3 10 3" xfId="239"/>
    <cellStyle name="常规 3 11" xfId="240"/>
    <cellStyle name="常规 3 12" xfId="241"/>
    <cellStyle name="常规 3 13" xfId="242"/>
    <cellStyle name="常规 3 2" xfId="243"/>
    <cellStyle name="常规 3 2 2" xfId="244"/>
    <cellStyle name="常规 3 2 2 2" xfId="245"/>
    <cellStyle name="常规 3 2 2 2 2" xfId="246"/>
    <cellStyle name="常规 3 2 2 2 3" xfId="247"/>
    <cellStyle name="常规 3 2 2 3" xfId="248"/>
    <cellStyle name="常规 3 2 3" xfId="249"/>
    <cellStyle name="常规 3 2 3 2" xfId="250"/>
    <cellStyle name="常规 3 2 4" xfId="251"/>
    <cellStyle name="常规 3 2 5" xfId="252"/>
    <cellStyle name="常规 3 3" xfId="253"/>
    <cellStyle name="常规 3 3 2" xfId="254"/>
    <cellStyle name="常规 3 3 2 2" xfId="255"/>
    <cellStyle name="常规 3 3 2 2 2" xfId="256"/>
    <cellStyle name="常规 3 3 2 3" xfId="257"/>
    <cellStyle name="常规 3 3 3" xfId="258"/>
    <cellStyle name="常规 3 3 3 2" xfId="259"/>
    <cellStyle name="常规 3 3 3 3" xfId="260"/>
    <cellStyle name="常规 3 3 3 4" xfId="261"/>
    <cellStyle name="常规 3 3 3 5" xfId="262"/>
    <cellStyle name="常规 3 3 4" xfId="263"/>
    <cellStyle name="常规 3 3 4 2" xfId="264"/>
    <cellStyle name="常规 3 3 4 3" xfId="265"/>
    <cellStyle name="常规 3 3 4 4" xfId="266"/>
    <cellStyle name="常规 3 3 5" xfId="267"/>
    <cellStyle name="常规 3 4" xfId="268"/>
    <cellStyle name="常规 3 4 2" xfId="269"/>
    <cellStyle name="常规 3 4 2 2" xfId="270"/>
    <cellStyle name="常规 3 4 2 3" xfId="271"/>
    <cellStyle name="常规 3 4 2 4" xfId="272"/>
    <cellStyle name="常规 3 4 2 5" xfId="273"/>
    <cellStyle name="常规 3 4 3" xfId="274"/>
    <cellStyle name="常规 3 4 3 2" xfId="275"/>
    <cellStyle name="常规 3 4 3 3" xfId="276"/>
    <cellStyle name="常规 3 4 3 4" xfId="277"/>
    <cellStyle name="常规 3 4 4" xfId="278"/>
    <cellStyle name="常规 3 4 4 2" xfId="279"/>
    <cellStyle name="常规 3 5" xfId="280"/>
    <cellStyle name="常规 3 5 2" xfId="281"/>
    <cellStyle name="常规 3 5 2 2" xfId="282"/>
    <cellStyle name="常规 3 5 2 3" xfId="283"/>
    <cellStyle name="常规 3 5 2 4" xfId="284"/>
    <cellStyle name="常规 3 5 3" xfId="285"/>
    <cellStyle name="常规 3 5 3 2" xfId="286"/>
    <cellStyle name="常规 3 5 3 3" xfId="287"/>
    <cellStyle name="常规 3 5 3 4" xfId="288"/>
    <cellStyle name="常规 3 5 4" xfId="289"/>
    <cellStyle name="常规 3 5 5" xfId="290"/>
    <cellStyle name="常规 3 5 6" xfId="291"/>
    <cellStyle name="常规 3 5 7" xfId="292"/>
    <cellStyle name="常规 3 6" xfId="293"/>
    <cellStyle name="常规 3 6 2" xfId="294"/>
    <cellStyle name="常规 3 6 3" xfId="295"/>
    <cellStyle name="常规 3 6 4" xfId="296"/>
    <cellStyle name="常规 3 6 5" xfId="297"/>
    <cellStyle name="常规 3 6 6" xfId="298"/>
    <cellStyle name="常规 3 6 7" xfId="299"/>
    <cellStyle name="常规 3 7" xfId="300"/>
    <cellStyle name="常规 3 7 2" xfId="301"/>
    <cellStyle name="常规 3 7 3" xfId="302"/>
    <cellStyle name="常规 3 7 4" xfId="303"/>
    <cellStyle name="常规 3 8" xfId="304"/>
    <cellStyle name="常规 3 8 2" xfId="305"/>
    <cellStyle name="常规 3 8 3" xfId="306"/>
    <cellStyle name="常规 3 8 4" xfId="307"/>
    <cellStyle name="常规 3 9" xfId="308"/>
    <cellStyle name="常规 3 9 2" xfId="309"/>
    <cellStyle name="常规 3 9 3" xfId="310"/>
    <cellStyle name="常规 3 9 4" xfId="311"/>
    <cellStyle name="常规 4" xfId="312"/>
    <cellStyle name="常规 4 2" xfId="313"/>
    <cellStyle name="常规 4 3" xfId="314"/>
    <cellStyle name="常规 4 4" xfId="315"/>
    <cellStyle name="常规 4 5" xfId="316"/>
    <cellStyle name="常规 4 6" xfId="317"/>
    <cellStyle name="常规 5" xfId="318"/>
    <cellStyle name="常规 5 2" xfId="319"/>
    <cellStyle name="常规 5 2 2" xfId="320"/>
    <cellStyle name="常规 5 3" xfId="321"/>
    <cellStyle name="常规 5 3 2" xfId="322"/>
    <cellStyle name="常规 5 4" xfId="323"/>
    <cellStyle name="常规 5 5" xfId="324"/>
    <cellStyle name="常规 6" xfId="325"/>
    <cellStyle name="常规 6 2" xfId="326"/>
    <cellStyle name="常规 7" xfId="327"/>
    <cellStyle name="常规 7 2" xfId="328"/>
    <cellStyle name="常规 7 2 2" xfId="329"/>
    <cellStyle name="常规 7 2 3" xfId="330"/>
    <cellStyle name="常规 7 2 4" xfId="331"/>
    <cellStyle name="常规 7 3" xfId="332"/>
    <cellStyle name="常规 7 3 2" xfId="333"/>
    <cellStyle name="常规 7 4" xfId="334"/>
    <cellStyle name="常规 7 4 2" xfId="335"/>
    <cellStyle name="常规 7 5" xfId="336"/>
    <cellStyle name="常规 8" xfId="337"/>
    <cellStyle name="常规 8 2" xfId="338"/>
    <cellStyle name="常规 8 2 2" xfId="339"/>
    <cellStyle name="常规 8 2 2 2" xfId="340"/>
    <cellStyle name="常规 8 3" xfId="341"/>
    <cellStyle name="常规 8 3 2" xfId="342"/>
    <cellStyle name="常规 8 4" xfId="343"/>
    <cellStyle name="常规 9" xfId="344"/>
    <cellStyle name="常规 9 10" xfId="345"/>
    <cellStyle name="常规 9 10 2" xfId="346"/>
    <cellStyle name="常规 9 11" xfId="347"/>
    <cellStyle name="常规 9 12" xfId="348"/>
    <cellStyle name="常规 9 13" xfId="349"/>
    <cellStyle name="常规 9 14" xfId="350"/>
    <cellStyle name="常规 9 2" xfId="351"/>
    <cellStyle name="常规 9 2 2" xfId="352"/>
    <cellStyle name="常规 9 3" xfId="353"/>
    <cellStyle name="常规 9 4" xfId="354"/>
    <cellStyle name="常规 9 5" xfId="355"/>
    <cellStyle name="常规 9 5 2" xfId="356"/>
    <cellStyle name="常规 9 5 3" xfId="357"/>
    <cellStyle name="常规 9 6" xfId="358"/>
    <cellStyle name="常规 9 6 2" xfId="359"/>
    <cellStyle name="常规 9 6 3" xfId="360"/>
    <cellStyle name="常规 9 7" xfId="361"/>
    <cellStyle name="常规 9 7 2" xfId="362"/>
    <cellStyle name="常规 9 7 3" xfId="363"/>
    <cellStyle name="常规 9 8" xfId="364"/>
    <cellStyle name="常规 9 9" xfId="365"/>
    <cellStyle name="常规 9 9 2" xfId="366"/>
    <cellStyle name="常规 9 9 3" xfId="367"/>
    <cellStyle name="常规_080520 KG5 rat PK" xfId="368"/>
    <cellStyle name="常规_080727 JNJ-17156516 Rat PK reinjection" xfId="369"/>
    <cellStyle name="常规_080925 JNJ-41462304 rat PK retest 3" xfId="370"/>
    <cellStyle name="常规_PF-05297909-01-0008 3" xfId="371"/>
    <cellStyle name="常规_Report_AF34686 2_LDBK-20111214-RPK02_20111222" xfId="372"/>
    <cellStyle name="常规_result of 01Q675_20100407 (2)" xfId="373"/>
    <cellStyle name="常规_Sheet1_PF-05297909-01-0008" xfId="374"/>
    <cellStyle name="好 2" xfId="375"/>
    <cellStyle name="好 3" xfId="376"/>
    <cellStyle name="汇总 2" xfId="377"/>
    <cellStyle name="汇总 3" xfId="378"/>
    <cellStyle name="计算 2" xfId="379"/>
    <cellStyle name="计算 3" xfId="380"/>
    <cellStyle name="检查单元格 2" xfId="381"/>
    <cellStyle name="检查单元格 3" xfId="382"/>
    <cellStyle name="解释性文本 2" xfId="383"/>
    <cellStyle name="解释性文本 3" xfId="384"/>
    <cellStyle name="警告文本 2" xfId="385"/>
    <cellStyle name="警告文本 3" xfId="386"/>
    <cellStyle name="链接单元格 2" xfId="387"/>
    <cellStyle name="链接单元格 3" xfId="388"/>
    <cellStyle name="千位分隔 2" xfId="389"/>
    <cellStyle name="千位分隔 2 2" xfId="390"/>
    <cellStyle name="千位分隔 2 3" xfId="391"/>
    <cellStyle name="千位分隔 2 4" xfId="392"/>
    <cellStyle name="千位分隔 2 5" xfId="393"/>
    <cellStyle name="千位分隔 3" xfId="394"/>
    <cellStyle name="千位分隔 3 2" xfId="395"/>
    <cellStyle name="千位分隔 4" xfId="396"/>
    <cellStyle name="强调文字颜色 1 2" xfId="397"/>
    <cellStyle name="强调文字颜色 1 3" xfId="398"/>
    <cellStyle name="强调文字颜色 2 2" xfId="399"/>
    <cellStyle name="强调文字颜色 2 3" xfId="400"/>
    <cellStyle name="强调文字颜色 3 2" xfId="401"/>
    <cellStyle name="强调文字颜色 3 3" xfId="402"/>
    <cellStyle name="强调文字颜色 4 2" xfId="403"/>
    <cellStyle name="强调文字颜色 4 3" xfId="404"/>
    <cellStyle name="强调文字颜色 5 2" xfId="405"/>
    <cellStyle name="强调文字颜色 5 3" xfId="406"/>
    <cellStyle name="强调文字颜色 6 2" xfId="407"/>
    <cellStyle name="强调文字颜色 6 3" xfId="408"/>
    <cellStyle name="适中 2" xfId="409"/>
    <cellStyle name="适中 3" xfId="410"/>
    <cellStyle name="输出 2" xfId="411"/>
    <cellStyle name="输出 3" xfId="412"/>
    <cellStyle name="输入 2" xfId="413"/>
    <cellStyle name="输入 3" xfId="414"/>
    <cellStyle name="注释 2" xfId="415"/>
    <cellStyle name="注释 3" xfId="416"/>
  </cellStyles>
  <dxfs count="1">
    <dxf>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51.9</c:v>
                </c:pt>
                <c:pt idx="1">
                  <c:v>102</c:v>
                </c:pt>
                <c:pt idx="2">
                  <c:v>157</c:v>
                </c:pt>
                <c:pt idx="3">
                  <c:v>53.3</c:v>
                </c:pt>
                <c:pt idx="4" c:formatCode="0.0_ ">
                  <c:v>17</c:v>
                </c:pt>
                <c:pt idx="5">
                  <c:v>3.51</c:v>
                </c:pt>
                <c:pt idx="6">
                  <c:v>0</c:v>
                </c:pt>
                <c:pt idx="7">
                  <c:v>0</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70.1</c:v>
                </c:pt>
                <c:pt idx="1">
                  <c:v>128</c:v>
                </c:pt>
                <c:pt idx="2">
                  <c:v>202</c:v>
                </c:pt>
                <c:pt idx="3">
                  <c:v>59.9</c:v>
                </c:pt>
                <c:pt idx="4">
                  <c:v>11.3</c:v>
                </c:pt>
                <c:pt idx="5">
                  <c:v>0</c:v>
                </c:pt>
                <c:pt idx="6">
                  <c:v>0</c:v>
                </c:pt>
                <c:pt idx="7">
                  <c:v>0</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108</c:v>
                </c:pt>
                <c:pt idx="1">
                  <c:v>80.6</c:v>
                </c:pt>
                <c:pt idx="2">
                  <c:v>44.3</c:v>
                </c:pt>
                <c:pt idx="3">
                  <c:v>63.8</c:v>
                </c:pt>
                <c:pt idx="4">
                  <c:v>42.1</c:v>
                </c:pt>
                <c:pt idx="5">
                  <c:v>7.44</c:v>
                </c:pt>
                <c:pt idx="6">
                  <c:v>1.02</c:v>
                </c:pt>
                <c:pt idx="7">
                  <c:v>0</c:v>
                </c:pt>
                <c:pt idx="8">
                  <c:v>0</c:v>
                </c:pt>
              </c:numCache>
            </c:numRef>
          </c:yVal>
          <c:smooth val="0"/>
        </c:ser>
        <c:dLbls>
          <c:showLegendKey val="0"/>
          <c:showVal val="0"/>
          <c:showCatName val="0"/>
          <c:showSerName val="0"/>
          <c:showPercent val="0"/>
          <c:showBubbleSize val="0"/>
        </c:dLbls>
        <c:axId val="436388872"/>
        <c:axId val="436389264"/>
      </c:scatterChart>
      <c:valAx>
        <c:axId val="43638887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89264"/>
        <c:crosses val="autoZero"/>
        <c:crossBetween val="midCat"/>
        <c:majorUnit val="2"/>
      </c:valAx>
      <c:valAx>
        <c:axId val="436389264"/>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88872"/>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95834741704041"/>
          <c:w val="0.791341563786008"/>
          <c:h val="0.78157740993184"/>
        </c:manualLayout>
      </c:layout>
      <c:scatterChart>
        <c:scatterStyle val="lineMarker"/>
        <c:varyColors val="0"/>
        <c:ser>
          <c:idx val="0"/>
          <c:order val="0"/>
          <c:tx>
            <c:strRef>
              <c:f>结果汇总!$C$5</c:f>
              <c:strCache>
                <c:ptCount val="1"/>
                <c:pt idx="0">
                  <c:v>HW351002</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0.0_ </c:formatCode>
                <c:ptCount val="9"/>
                <c:pt idx="0">
                  <c:v>76.6666666666667</c:v>
                </c:pt>
                <c:pt idx="1" c:formatCode="0_ ">
                  <c:v>103.533333333333</c:v>
                </c:pt>
                <c:pt idx="2" c:formatCode="0_ ">
                  <c:v>134.433333333333</c:v>
                </c:pt>
                <c:pt idx="3">
                  <c:v>59</c:v>
                </c:pt>
                <c:pt idx="4">
                  <c:v>23.4666666666667</c:v>
                </c:pt>
                <c:pt idx="5" c:formatCode="0.00_ ">
                  <c:v>5.475</c:v>
                </c:pt>
                <c:pt idx="6" c:formatCode="0.00_ ">
                  <c:v>1.02</c:v>
                </c:pt>
                <c:pt idx="7">
                  <c:v>0</c:v>
                </c:pt>
                <c:pt idx="8" c:formatCode="0.00_ ">
                  <c:v>0</c:v>
                </c:pt>
              </c:numCache>
            </c:numRef>
          </c:yVal>
          <c:smooth val="0"/>
        </c:ser>
        <c:dLbls>
          <c:showLegendKey val="0"/>
          <c:showVal val="0"/>
          <c:showCatName val="0"/>
          <c:showSerName val="0"/>
          <c:showPercent val="0"/>
          <c:showBubbleSize val="0"/>
        </c:dLbls>
        <c:axId val="436390048"/>
        <c:axId val="436390440"/>
      </c:scatterChart>
      <c:valAx>
        <c:axId val="4363900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90440"/>
        <c:crosses val="autoZero"/>
        <c:crossBetween val="midCat"/>
        <c:majorUnit val="2"/>
      </c:valAx>
      <c:valAx>
        <c:axId val="43639044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900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24485" y="3275330"/>
        <a:ext cx="3357245" cy="3133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741627</xdr:colOff>
      <xdr:row>17</xdr:row>
      <xdr:rowOff>31750</xdr:rowOff>
    </xdr:from>
    <xdr:to>
      <xdr:col>9</xdr:col>
      <xdr:colOff>524934</xdr:colOff>
      <xdr:row>31</xdr:row>
      <xdr:rowOff>117475</xdr:rowOff>
    </xdr:to>
    <xdr:graphicFrame>
      <xdr:nvGraphicFramePr>
        <xdr:cNvPr id="9" name="图表 8"/>
        <xdr:cNvGraphicFramePr/>
      </xdr:nvGraphicFramePr>
      <xdr:xfrm>
        <a:off x="3884930" y="3321050"/>
        <a:ext cx="3495040" cy="31559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80</xdr:row>
      <xdr:rowOff>0</xdr:rowOff>
    </xdr:from>
    <xdr:to>
      <xdr:col>8</xdr:col>
      <xdr:colOff>286385</xdr:colOff>
      <xdr:row>111</xdr:row>
      <xdr:rowOff>59055</xdr:rowOff>
    </xdr:to>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28650" y="15593695"/>
          <a:ext cx="10345420" cy="5570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workbookViewId="0">
      <selection activeCell="IW20" sqref="IW20"/>
    </sheetView>
  </sheetViews>
  <sheetFormatPr defaultColWidth="0" defaultRowHeight="15.5"/>
  <cols>
    <col min="1" max="1" width="20.8727272727273" style="430" customWidth="1"/>
    <col min="2" max="2" width="32" style="430" customWidth="1"/>
    <col min="3" max="8" width="0" style="431" hidden="1"/>
    <col min="9" max="255" width="9" style="431" hidden="1"/>
    <col min="256" max="256" width="20" style="431" hidden="1" customWidth="1"/>
    <col min="257" max="257" width="66.3727272727273" style="431" customWidth="1"/>
    <col min="258" max="258" width="65" style="431" customWidth="1"/>
    <col min="259" max="512" width="9" style="431" hidden="1"/>
    <col min="513" max="513" width="33.3727272727273" style="431" customWidth="1"/>
    <col min="514" max="514" width="65" style="431" customWidth="1"/>
    <col min="515" max="768" width="9" style="431" hidden="1"/>
    <col min="769" max="769" width="33.3727272727273" style="431" customWidth="1"/>
    <col min="770" max="770" width="65" style="431" customWidth="1"/>
    <col min="771" max="1024" width="9" style="431" hidden="1"/>
    <col min="1025" max="1025" width="33.3727272727273" style="431" customWidth="1"/>
    <col min="1026" max="1026" width="65" style="431" customWidth="1"/>
    <col min="1027" max="1280" width="9" style="431" hidden="1"/>
    <col min="1281" max="1281" width="33.3727272727273" style="431" customWidth="1"/>
    <col min="1282" max="1282" width="65" style="431" customWidth="1"/>
    <col min="1283" max="1536" width="9" style="431" hidden="1"/>
    <col min="1537" max="1537" width="33.3727272727273" style="431" customWidth="1"/>
    <col min="1538" max="1538" width="65" style="431" customWidth="1"/>
    <col min="1539" max="1792" width="9" style="431" hidden="1"/>
    <col min="1793" max="1793" width="33.3727272727273" style="431" customWidth="1"/>
    <col min="1794" max="1794" width="65" style="431" customWidth="1"/>
    <col min="1795" max="2048" width="9" style="431" hidden="1"/>
    <col min="2049" max="2049" width="33.3727272727273" style="431" customWidth="1"/>
    <col min="2050" max="2050" width="65" style="431" customWidth="1"/>
    <col min="2051" max="2304" width="9" style="431" hidden="1"/>
    <col min="2305" max="2305" width="33.3727272727273" style="431" customWidth="1"/>
    <col min="2306" max="2306" width="65" style="431" customWidth="1"/>
    <col min="2307" max="2560" width="9" style="431" hidden="1"/>
    <col min="2561" max="2561" width="33.3727272727273" style="431" customWidth="1"/>
    <col min="2562" max="2562" width="65" style="431" customWidth="1"/>
    <col min="2563" max="2816" width="9" style="431" hidden="1"/>
    <col min="2817" max="2817" width="33.3727272727273" style="431" customWidth="1"/>
    <col min="2818" max="2818" width="65" style="431" customWidth="1"/>
    <col min="2819" max="3072" width="9" style="431" hidden="1"/>
    <col min="3073" max="3073" width="33.3727272727273" style="431" customWidth="1"/>
    <col min="3074" max="3074" width="65" style="431" customWidth="1"/>
    <col min="3075" max="3328" width="9" style="431" hidden="1"/>
    <col min="3329" max="3329" width="33.3727272727273" style="431" customWidth="1"/>
    <col min="3330" max="3330" width="65" style="431" customWidth="1"/>
    <col min="3331" max="3584" width="9" style="431" hidden="1"/>
    <col min="3585" max="3585" width="33.3727272727273" style="431" customWidth="1"/>
    <col min="3586" max="3586" width="65" style="431" customWidth="1"/>
    <col min="3587" max="3840" width="9" style="431" hidden="1"/>
    <col min="3841" max="3841" width="33.3727272727273" style="431" customWidth="1"/>
    <col min="3842" max="3842" width="65" style="431" customWidth="1"/>
    <col min="3843" max="4096" width="9" style="431" hidden="1"/>
    <col min="4097" max="4097" width="33.3727272727273" style="431" customWidth="1"/>
    <col min="4098" max="4098" width="65" style="431" customWidth="1"/>
    <col min="4099" max="4352" width="9" style="431" hidden="1"/>
    <col min="4353" max="4353" width="33.3727272727273" style="431" customWidth="1"/>
    <col min="4354" max="4354" width="65" style="431" customWidth="1"/>
    <col min="4355" max="4608" width="9" style="431" hidden="1"/>
    <col min="4609" max="4609" width="33.3727272727273" style="431" customWidth="1"/>
    <col min="4610" max="4610" width="65" style="431" customWidth="1"/>
    <col min="4611" max="4864" width="9" style="431" hidden="1"/>
    <col min="4865" max="4865" width="33.3727272727273" style="431" customWidth="1"/>
    <col min="4866" max="4866" width="65" style="431" customWidth="1"/>
    <col min="4867" max="5120" width="9" style="431" hidden="1"/>
    <col min="5121" max="5121" width="33.3727272727273" style="431" customWidth="1"/>
    <col min="5122" max="5122" width="65" style="431" customWidth="1"/>
    <col min="5123" max="5376" width="9" style="431" hidden="1"/>
    <col min="5377" max="5377" width="33.3727272727273" style="431" customWidth="1"/>
    <col min="5378" max="5378" width="65" style="431" customWidth="1"/>
    <col min="5379" max="5632" width="9" style="431" hidden="1"/>
    <col min="5633" max="5633" width="33.3727272727273" style="431" customWidth="1"/>
    <col min="5634" max="5634" width="65" style="431" customWidth="1"/>
    <col min="5635" max="5888" width="9" style="431" hidden="1"/>
    <col min="5889" max="5889" width="33.3727272727273" style="431" customWidth="1"/>
    <col min="5890" max="5890" width="65" style="431" customWidth="1"/>
    <col min="5891" max="6144" width="9" style="431" hidden="1"/>
    <col min="6145" max="6145" width="33.3727272727273" style="431" customWidth="1"/>
    <col min="6146" max="6146" width="65" style="431" customWidth="1"/>
    <col min="6147" max="6400" width="9" style="431" hidden="1"/>
    <col min="6401" max="6401" width="33.3727272727273" style="431" customWidth="1"/>
    <col min="6402" max="6402" width="65" style="431" customWidth="1"/>
    <col min="6403" max="6656" width="9" style="431" hidden="1"/>
    <col min="6657" max="6657" width="33.3727272727273" style="431" customWidth="1"/>
    <col min="6658" max="6658" width="65" style="431" customWidth="1"/>
    <col min="6659" max="6912" width="9" style="431" hidden="1"/>
    <col min="6913" max="6913" width="33.3727272727273" style="431" customWidth="1"/>
    <col min="6914" max="6914" width="65" style="431" customWidth="1"/>
    <col min="6915" max="7168" width="9" style="431" hidden="1"/>
    <col min="7169" max="7169" width="33.3727272727273" style="431" customWidth="1"/>
    <col min="7170" max="7170" width="65" style="431" customWidth="1"/>
    <col min="7171" max="7424" width="9" style="431" hidden="1"/>
    <col min="7425" max="7425" width="33.3727272727273" style="431" customWidth="1"/>
    <col min="7426" max="7426" width="65" style="431" customWidth="1"/>
    <col min="7427" max="7680" width="9" style="431" hidden="1"/>
    <col min="7681" max="7681" width="33.3727272727273" style="431" customWidth="1"/>
    <col min="7682" max="7682" width="65" style="431" customWidth="1"/>
    <col min="7683" max="7936" width="9" style="431" hidden="1"/>
    <col min="7937" max="7937" width="33.3727272727273" style="431" customWidth="1"/>
    <col min="7938" max="7938" width="65" style="431" customWidth="1"/>
    <col min="7939" max="8192" width="9" style="431" hidden="1"/>
    <col min="8193" max="8193" width="33.3727272727273" style="431" customWidth="1"/>
    <col min="8194" max="8194" width="65" style="431" customWidth="1"/>
    <col min="8195" max="8448" width="9" style="431" hidden="1"/>
    <col min="8449" max="8449" width="33.3727272727273" style="431" customWidth="1"/>
    <col min="8450" max="8450" width="65" style="431" customWidth="1"/>
    <col min="8451" max="8704" width="9" style="431" hidden="1"/>
    <col min="8705" max="8705" width="33.3727272727273" style="431" customWidth="1"/>
    <col min="8706" max="8706" width="65" style="431" customWidth="1"/>
    <col min="8707" max="8960" width="9" style="431" hidden="1"/>
    <col min="8961" max="8961" width="33.3727272727273" style="431" customWidth="1"/>
    <col min="8962" max="8962" width="65" style="431" customWidth="1"/>
    <col min="8963" max="9216" width="9" style="431" hidden="1"/>
    <col min="9217" max="9217" width="33.3727272727273" style="431" customWidth="1"/>
    <col min="9218" max="9218" width="65" style="431" customWidth="1"/>
    <col min="9219" max="9472" width="9" style="431" hidden="1"/>
    <col min="9473" max="9473" width="33.3727272727273" style="431" customWidth="1"/>
    <col min="9474" max="9474" width="65" style="431" customWidth="1"/>
    <col min="9475" max="9728" width="9" style="431" hidden="1"/>
    <col min="9729" max="9729" width="33.3727272727273" style="431" customWidth="1"/>
    <col min="9730" max="9730" width="65" style="431" customWidth="1"/>
    <col min="9731" max="9984" width="9" style="431" hidden="1"/>
    <col min="9985" max="9985" width="33.3727272727273" style="431" customWidth="1"/>
    <col min="9986" max="9986" width="65" style="431" customWidth="1"/>
    <col min="9987" max="10240" width="9" style="431" hidden="1"/>
    <col min="10241" max="10241" width="33.3727272727273" style="431" customWidth="1"/>
    <col min="10242" max="10242" width="65" style="431" customWidth="1"/>
    <col min="10243" max="10496" width="9" style="431" hidden="1"/>
    <col min="10497" max="10497" width="33.3727272727273" style="431" customWidth="1"/>
    <col min="10498" max="10498" width="65" style="431" customWidth="1"/>
    <col min="10499" max="10752" width="9" style="431" hidden="1"/>
    <col min="10753" max="10753" width="33.3727272727273" style="431" customWidth="1"/>
    <col min="10754" max="10754" width="65" style="431" customWidth="1"/>
    <col min="10755" max="11008" width="9" style="431" hidden="1"/>
    <col min="11009" max="11009" width="33.3727272727273" style="431" customWidth="1"/>
    <col min="11010" max="11010" width="65" style="431" customWidth="1"/>
    <col min="11011" max="11264" width="9" style="431" hidden="1"/>
    <col min="11265" max="11265" width="33.3727272727273" style="431" customWidth="1"/>
    <col min="11266" max="11266" width="65" style="431" customWidth="1"/>
    <col min="11267" max="11520" width="9" style="431" hidden="1"/>
    <col min="11521" max="11521" width="33.3727272727273" style="431" customWidth="1"/>
    <col min="11522" max="11522" width="65" style="431" customWidth="1"/>
    <col min="11523" max="11776" width="9" style="431" hidden="1"/>
    <col min="11777" max="11777" width="33.3727272727273" style="431" customWidth="1"/>
    <col min="11778" max="11778" width="65" style="431" customWidth="1"/>
    <col min="11779" max="12032" width="9" style="431" hidden="1"/>
    <col min="12033" max="12033" width="33.3727272727273" style="431" customWidth="1"/>
    <col min="12034" max="12034" width="65" style="431" customWidth="1"/>
    <col min="12035" max="12288" width="9" style="431" hidden="1"/>
    <col min="12289" max="12289" width="33.3727272727273" style="431" customWidth="1"/>
    <col min="12290" max="12290" width="65" style="431" customWidth="1"/>
    <col min="12291" max="12544" width="9" style="431" hidden="1"/>
    <col min="12545" max="12545" width="33.3727272727273" style="431" customWidth="1"/>
    <col min="12546" max="12546" width="65" style="431" customWidth="1"/>
    <col min="12547" max="12800" width="9" style="431" hidden="1"/>
    <col min="12801" max="12801" width="33.3727272727273" style="431" customWidth="1"/>
    <col min="12802" max="12802" width="65" style="431" customWidth="1"/>
    <col min="12803" max="13056" width="9" style="431" hidden="1"/>
    <col min="13057" max="13057" width="33.3727272727273" style="431" customWidth="1"/>
    <col min="13058" max="13058" width="65" style="431" customWidth="1"/>
    <col min="13059" max="13312" width="9" style="431" hidden="1"/>
    <col min="13313" max="13313" width="33.3727272727273" style="431" customWidth="1"/>
    <col min="13314" max="13314" width="65" style="431" customWidth="1"/>
    <col min="13315" max="13568" width="9" style="431" hidden="1"/>
    <col min="13569" max="13569" width="33.3727272727273" style="431" customWidth="1"/>
    <col min="13570" max="13570" width="65" style="431" customWidth="1"/>
    <col min="13571" max="13824" width="9" style="431" hidden="1"/>
    <col min="13825" max="13825" width="33.3727272727273" style="431" customWidth="1"/>
    <col min="13826" max="13826" width="65" style="431" customWidth="1"/>
    <col min="13827" max="14080" width="9" style="431" hidden="1"/>
    <col min="14081" max="14081" width="33.3727272727273" style="431" customWidth="1"/>
    <col min="14082" max="14082" width="65" style="431" customWidth="1"/>
    <col min="14083" max="14336" width="9" style="431" hidden="1"/>
    <col min="14337" max="14337" width="33.3727272727273" style="431" customWidth="1"/>
    <col min="14338" max="14338" width="65" style="431" customWidth="1"/>
    <col min="14339" max="14592" width="9" style="431" hidden="1"/>
    <col min="14593" max="14593" width="33.3727272727273" style="431" customWidth="1"/>
    <col min="14594" max="14594" width="65" style="431" customWidth="1"/>
    <col min="14595" max="14848" width="9" style="431" hidden="1"/>
    <col min="14849" max="14849" width="33.3727272727273" style="431" customWidth="1"/>
    <col min="14850" max="14850" width="65" style="431" customWidth="1"/>
    <col min="14851" max="15104" width="9" style="431" hidden="1"/>
    <col min="15105" max="15105" width="33.3727272727273" style="431" customWidth="1"/>
    <col min="15106" max="15106" width="65" style="431" customWidth="1"/>
    <col min="15107" max="15360" width="9" style="431" hidden="1"/>
    <col min="15361" max="15361" width="33.3727272727273" style="431" customWidth="1"/>
    <col min="15362" max="15362" width="65" style="431" customWidth="1"/>
    <col min="15363" max="15616" width="9" style="431" hidden="1"/>
    <col min="15617" max="15617" width="33.3727272727273" style="431" customWidth="1"/>
    <col min="15618" max="15618" width="65" style="431" customWidth="1"/>
    <col min="15619" max="15872" width="9" style="431" hidden="1"/>
    <col min="15873" max="15873" width="33.3727272727273" style="431" customWidth="1"/>
    <col min="15874" max="15874" width="65" style="431" customWidth="1"/>
    <col min="15875" max="16128" width="9" style="431" hidden="1"/>
    <col min="16129" max="16129" width="33.3727272727273" style="431" customWidth="1"/>
    <col min="16130" max="16130" width="65" style="431" customWidth="1"/>
    <col min="16131" max="16384" width="9" style="431" hidden="1"/>
  </cols>
  <sheetData>
    <row r="1" ht="15.6" customHeight="1" spans="2:257">
      <c r="B1" s="432" t="s">
        <v>0</v>
      </c>
      <c r="C1" s="432"/>
      <c r="D1" s="432"/>
      <c r="E1" s="432"/>
      <c r="F1" s="432"/>
      <c r="G1" s="432"/>
      <c r="H1" s="432"/>
      <c r="I1" s="432"/>
      <c r="J1" s="432"/>
      <c r="K1" s="432"/>
      <c r="L1" s="432"/>
      <c r="M1" s="432"/>
      <c r="N1" s="432"/>
      <c r="O1" s="432"/>
      <c r="P1" s="432"/>
      <c r="Q1" s="432"/>
      <c r="R1" s="432"/>
      <c r="S1" s="432"/>
      <c r="T1" s="432"/>
      <c r="U1" s="432"/>
      <c r="V1" s="432"/>
      <c r="W1" s="432"/>
      <c r="X1" s="432"/>
      <c r="Y1" s="432"/>
      <c r="Z1" s="432"/>
      <c r="AA1" s="432"/>
      <c r="AB1" s="432"/>
      <c r="AC1" s="432"/>
      <c r="AD1" s="432"/>
      <c r="AE1" s="432"/>
      <c r="AF1" s="432"/>
      <c r="AG1" s="432"/>
      <c r="AH1" s="432"/>
      <c r="AI1" s="432"/>
      <c r="AJ1" s="432"/>
      <c r="AK1" s="432"/>
      <c r="AL1" s="432"/>
      <c r="AM1" s="432"/>
      <c r="AN1" s="432"/>
      <c r="AO1" s="432"/>
      <c r="AP1" s="432"/>
      <c r="AQ1" s="432"/>
      <c r="AR1" s="432"/>
      <c r="AS1" s="432"/>
      <c r="AT1" s="432"/>
      <c r="AU1" s="432"/>
      <c r="AV1" s="432"/>
      <c r="AW1" s="432"/>
      <c r="AX1" s="432"/>
      <c r="AY1" s="432"/>
      <c r="AZ1" s="432"/>
      <c r="BA1" s="432"/>
      <c r="BB1" s="432"/>
      <c r="BC1" s="432"/>
      <c r="BD1" s="432"/>
      <c r="BE1" s="432"/>
      <c r="BF1" s="432"/>
      <c r="BG1" s="432"/>
      <c r="BH1" s="432"/>
      <c r="BI1" s="432"/>
      <c r="BJ1" s="432"/>
      <c r="BK1" s="432"/>
      <c r="BL1" s="432"/>
      <c r="BM1" s="432"/>
      <c r="BN1" s="432"/>
      <c r="BO1" s="432"/>
      <c r="BP1" s="432"/>
      <c r="BQ1" s="432"/>
      <c r="BR1" s="432"/>
      <c r="BS1" s="432"/>
      <c r="BT1" s="432"/>
      <c r="BU1" s="432"/>
      <c r="BV1" s="432"/>
      <c r="BW1" s="432"/>
      <c r="BX1" s="432"/>
      <c r="BY1" s="432"/>
      <c r="BZ1" s="432"/>
      <c r="CA1" s="432"/>
      <c r="CB1" s="432"/>
      <c r="CC1" s="432"/>
      <c r="CD1" s="432"/>
      <c r="CE1" s="432"/>
      <c r="CF1" s="432"/>
      <c r="CG1" s="432"/>
      <c r="CH1" s="432"/>
      <c r="CI1" s="432"/>
      <c r="CJ1" s="432"/>
      <c r="CK1" s="432"/>
      <c r="CL1" s="432"/>
      <c r="CM1" s="432"/>
      <c r="CN1" s="432"/>
      <c r="CO1" s="432"/>
      <c r="CP1" s="432"/>
      <c r="CQ1" s="432"/>
      <c r="CR1" s="432"/>
      <c r="CS1" s="432"/>
      <c r="CT1" s="432"/>
      <c r="CU1" s="432"/>
      <c r="CV1" s="432"/>
      <c r="CW1" s="432"/>
      <c r="CX1" s="432"/>
      <c r="CY1" s="432"/>
      <c r="CZ1" s="432"/>
      <c r="DA1" s="432"/>
      <c r="DB1" s="432"/>
      <c r="DC1" s="432"/>
      <c r="DD1" s="432"/>
      <c r="DE1" s="432"/>
      <c r="DF1" s="432"/>
      <c r="DG1" s="432"/>
      <c r="DH1" s="432"/>
      <c r="DI1" s="432"/>
      <c r="DJ1" s="432"/>
      <c r="DK1" s="432"/>
      <c r="DL1" s="432"/>
      <c r="DM1" s="432"/>
      <c r="DN1" s="432"/>
      <c r="DO1" s="432"/>
      <c r="DP1" s="432"/>
      <c r="DQ1" s="432"/>
      <c r="DR1" s="432"/>
      <c r="DS1" s="432"/>
      <c r="DT1" s="432"/>
      <c r="DU1" s="432"/>
      <c r="DV1" s="432"/>
      <c r="DW1" s="432"/>
      <c r="DX1" s="432"/>
      <c r="DY1" s="432"/>
      <c r="DZ1" s="432"/>
      <c r="EA1" s="432"/>
      <c r="EB1" s="432"/>
      <c r="EC1" s="432"/>
      <c r="ED1" s="432"/>
      <c r="EE1" s="432"/>
      <c r="EF1" s="432"/>
      <c r="EG1" s="432"/>
      <c r="EH1" s="432"/>
      <c r="EI1" s="432"/>
      <c r="EJ1" s="432"/>
      <c r="EK1" s="432"/>
      <c r="EL1" s="432"/>
      <c r="EM1" s="432"/>
      <c r="EN1" s="432"/>
      <c r="EO1" s="432"/>
      <c r="EP1" s="432"/>
      <c r="EQ1" s="432"/>
      <c r="ER1" s="432"/>
      <c r="ES1" s="432"/>
      <c r="ET1" s="432"/>
      <c r="EU1" s="432"/>
      <c r="EV1" s="432"/>
      <c r="EW1" s="432"/>
      <c r="EX1" s="432"/>
      <c r="EY1" s="432"/>
      <c r="EZ1" s="432"/>
      <c r="FA1" s="432"/>
      <c r="FB1" s="432"/>
      <c r="FC1" s="432"/>
      <c r="FD1" s="432"/>
      <c r="FE1" s="432"/>
      <c r="FF1" s="432"/>
      <c r="FG1" s="432"/>
      <c r="FH1" s="432"/>
      <c r="FI1" s="432"/>
      <c r="FJ1" s="432"/>
      <c r="FK1" s="432"/>
      <c r="FL1" s="432"/>
      <c r="FM1" s="432"/>
      <c r="FN1" s="432"/>
      <c r="FO1" s="432"/>
      <c r="FP1" s="432"/>
      <c r="FQ1" s="432"/>
      <c r="FR1" s="432"/>
      <c r="FS1" s="432"/>
      <c r="FT1" s="432"/>
      <c r="FU1" s="432"/>
      <c r="FV1" s="432"/>
      <c r="FW1" s="432"/>
      <c r="FX1" s="432"/>
      <c r="FY1" s="432"/>
      <c r="FZ1" s="432"/>
      <c r="GA1" s="432"/>
      <c r="GB1" s="432"/>
      <c r="GC1" s="432"/>
      <c r="GD1" s="432"/>
      <c r="GE1" s="432"/>
      <c r="GF1" s="432"/>
      <c r="GG1" s="432"/>
      <c r="GH1" s="432"/>
      <c r="GI1" s="432"/>
      <c r="GJ1" s="432"/>
      <c r="GK1" s="432"/>
      <c r="GL1" s="432"/>
      <c r="GM1" s="432"/>
      <c r="GN1" s="432"/>
      <c r="GO1" s="432"/>
      <c r="GP1" s="432"/>
      <c r="GQ1" s="432"/>
      <c r="GR1" s="432"/>
      <c r="GS1" s="432"/>
      <c r="GT1" s="432"/>
      <c r="GU1" s="432"/>
      <c r="GV1" s="432"/>
      <c r="GW1" s="432"/>
      <c r="GX1" s="432"/>
      <c r="GY1" s="432"/>
      <c r="GZ1" s="432"/>
      <c r="HA1" s="432"/>
      <c r="HB1" s="432"/>
      <c r="HC1" s="432"/>
      <c r="HD1" s="432"/>
      <c r="HE1" s="432"/>
      <c r="HF1" s="432"/>
      <c r="HG1" s="432"/>
      <c r="HH1" s="432"/>
      <c r="HI1" s="432"/>
      <c r="HJ1" s="432"/>
      <c r="HK1" s="432"/>
      <c r="HL1" s="432"/>
      <c r="HM1" s="432"/>
      <c r="HN1" s="432"/>
      <c r="HO1" s="432"/>
      <c r="HP1" s="432"/>
      <c r="HQ1" s="432"/>
      <c r="HR1" s="432"/>
      <c r="HS1" s="432"/>
      <c r="HT1" s="432"/>
      <c r="HU1" s="432"/>
      <c r="HV1" s="432"/>
      <c r="HW1" s="432"/>
      <c r="HX1" s="432"/>
      <c r="HY1" s="432"/>
      <c r="HZ1" s="432"/>
      <c r="IA1" s="432"/>
      <c r="IB1" s="432"/>
      <c r="IC1" s="432"/>
      <c r="ID1" s="432"/>
      <c r="IE1" s="432"/>
      <c r="IF1" s="432"/>
      <c r="IG1" s="432"/>
      <c r="IH1" s="432"/>
      <c r="II1" s="432"/>
      <c r="IJ1" s="432"/>
      <c r="IK1" s="432"/>
      <c r="IL1" s="432"/>
      <c r="IM1" s="432"/>
      <c r="IN1" s="432"/>
      <c r="IO1" s="432"/>
      <c r="IP1" s="432"/>
      <c r="IQ1" s="432"/>
      <c r="IR1" s="432"/>
      <c r="IS1" s="432"/>
      <c r="IT1" s="432"/>
      <c r="IU1" s="432"/>
      <c r="IV1" s="432"/>
      <c r="IW1" s="432"/>
    </row>
    <row r="2" ht="15.6" customHeight="1" spans="2:257">
      <c r="B2" s="432"/>
      <c r="C2" s="432"/>
      <c r="D2" s="432"/>
      <c r="E2" s="432"/>
      <c r="F2" s="432"/>
      <c r="G2" s="432"/>
      <c r="H2" s="432"/>
      <c r="I2" s="432"/>
      <c r="J2" s="432"/>
      <c r="K2" s="432"/>
      <c r="L2" s="432"/>
      <c r="M2" s="432"/>
      <c r="N2" s="432"/>
      <c r="O2" s="432"/>
      <c r="P2" s="432"/>
      <c r="Q2" s="432"/>
      <c r="R2" s="432"/>
      <c r="S2" s="432"/>
      <c r="T2" s="432"/>
      <c r="U2" s="432"/>
      <c r="V2" s="432"/>
      <c r="W2" s="432"/>
      <c r="X2" s="432"/>
      <c r="Y2" s="432"/>
      <c r="Z2" s="432"/>
      <c r="AA2" s="432"/>
      <c r="AB2" s="432"/>
      <c r="AC2" s="432"/>
      <c r="AD2" s="432"/>
      <c r="AE2" s="432"/>
      <c r="AF2" s="432"/>
      <c r="AG2" s="432"/>
      <c r="AH2" s="432"/>
      <c r="AI2" s="432"/>
      <c r="AJ2" s="432"/>
      <c r="AK2" s="432"/>
      <c r="AL2" s="432"/>
      <c r="AM2" s="432"/>
      <c r="AN2" s="432"/>
      <c r="AO2" s="432"/>
      <c r="AP2" s="432"/>
      <c r="AQ2" s="432"/>
      <c r="AR2" s="432"/>
      <c r="AS2" s="432"/>
      <c r="AT2" s="432"/>
      <c r="AU2" s="432"/>
      <c r="AV2" s="432"/>
      <c r="AW2" s="432"/>
      <c r="AX2" s="432"/>
      <c r="AY2" s="432"/>
      <c r="AZ2" s="432"/>
      <c r="BA2" s="432"/>
      <c r="BB2" s="432"/>
      <c r="BC2" s="432"/>
      <c r="BD2" s="432"/>
      <c r="BE2" s="432"/>
      <c r="BF2" s="432"/>
      <c r="BG2" s="432"/>
      <c r="BH2" s="432"/>
      <c r="BI2" s="432"/>
      <c r="BJ2" s="432"/>
      <c r="BK2" s="432"/>
      <c r="BL2" s="432"/>
      <c r="BM2" s="432"/>
      <c r="BN2" s="432"/>
      <c r="BO2" s="432"/>
      <c r="BP2" s="432"/>
      <c r="BQ2" s="432"/>
      <c r="BR2" s="432"/>
      <c r="BS2" s="432"/>
      <c r="BT2" s="432"/>
      <c r="BU2" s="432"/>
      <c r="BV2" s="432"/>
      <c r="BW2" s="432"/>
      <c r="BX2" s="432"/>
      <c r="BY2" s="432"/>
      <c r="BZ2" s="432"/>
      <c r="CA2" s="432"/>
      <c r="CB2" s="432"/>
      <c r="CC2" s="432"/>
      <c r="CD2" s="432"/>
      <c r="CE2" s="432"/>
      <c r="CF2" s="432"/>
      <c r="CG2" s="432"/>
      <c r="CH2" s="432"/>
      <c r="CI2" s="432"/>
      <c r="CJ2" s="432"/>
      <c r="CK2" s="432"/>
      <c r="CL2" s="432"/>
      <c r="CM2" s="432"/>
      <c r="CN2" s="432"/>
      <c r="CO2" s="432"/>
      <c r="CP2" s="432"/>
      <c r="CQ2" s="432"/>
      <c r="CR2" s="432"/>
      <c r="CS2" s="432"/>
      <c r="CT2" s="432"/>
      <c r="CU2" s="432"/>
      <c r="CV2" s="432"/>
      <c r="CW2" s="432"/>
      <c r="CX2" s="432"/>
      <c r="CY2" s="432"/>
      <c r="CZ2" s="432"/>
      <c r="DA2" s="432"/>
      <c r="DB2" s="432"/>
      <c r="DC2" s="432"/>
      <c r="DD2" s="432"/>
      <c r="DE2" s="432"/>
      <c r="DF2" s="432"/>
      <c r="DG2" s="432"/>
      <c r="DH2" s="432"/>
      <c r="DI2" s="432"/>
      <c r="DJ2" s="432"/>
      <c r="DK2" s="432"/>
      <c r="DL2" s="432"/>
      <c r="DM2" s="432"/>
      <c r="DN2" s="432"/>
      <c r="DO2" s="432"/>
      <c r="DP2" s="432"/>
      <c r="DQ2" s="432"/>
      <c r="DR2" s="432"/>
      <c r="DS2" s="432"/>
      <c r="DT2" s="432"/>
      <c r="DU2" s="432"/>
      <c r="DV2" s="432"/>
      <c r="DW2" s="432"/>
      <c r="DX2" s="432"/>
      <c r="DY2" s="432"/>
      <c r="DZ2" s="432"/>
      <c r="EA2" s="432"/>
      <c r="EB2" s="432"/>
      <c r="EC2" s="432"/>
      <c r="ED2" s="432"/>
      <c r="EE2" s="432"/>
      <c r="EF2" s="432"/>
      <c r="EG2" s="432"/>
      <c r="EH2" s="432"/>
      <c r="EI2" s="432"/>
      <c r="EJ2" s="432"/>
      <c r="EK2" s="432"/>
      <c r="EL2" s="432"/>
      <c r="EM2" s="432"/>
      <c r="EN2" s="432"/>
      <c r="EO2" s="432"/>
      <c r="EP2" s="432"/>
      <c r="EQ2" s="432"/>
      <c r="ER2" s="432"/>
      <c r="ES2" s="432"/>
      <c r="ET2" s="432"/>
      <c r="EU2" s="432"/>
      <c r="EV2" s="432"/>
      <c r="EW2" s="432"/>
      <c r="EX2" s="432"/>
      <c r="EY2" s="432"/>
      <c r="EZ2" s="432"/>
      <c r="FA2" s="432"/>
      <c r="FB2" s="432"/>
      <c r="FC2" s="432"/>
      <c r="FD2" s="432"/>
      <c r="FE2" s="432"/>
      <c r="FF2" s="432"/>
      <c r="FG2" s="432"/>
      <c r="FH2" s="432"/>
      <c r="FI2" s="432"/>
      <c r="FJ2" s="432"/>
      <c r="FK2" s="432"/>
      <c r="FL2" s="432"/>
      <c r="FM2" s="432"/>
      <c r="FN2" s="432"/>
      <c r="FO2" s="432"/>
      <c r="FP2" s="432"/>
      <c r="FQ2" s="432"/>
      <c r="FR2" s="432"/>
      <c r="FS2" s="432"/>
      <c r="FT2" s="432"/>
      <c r="FU2" s="432"/>
      <c r="FV2" s="432"/>
      <c r="FW2" s="432"/>
      <c r="FX2" s="432"/>
      <c r="FY2" s="432"/>
      <c r="FZ2" s="432"/>
      <c r="GA2" s="432"/>
      <c r="GB2" s="432"/>
      <c r="GC2" s="432"/>
      <c r="GD2" s="432"/>
      <c r="GE2" s="432"/>
      <c r="GF2" s="432"/>
      <c r="GG2" s="432"/>
      <c r="GH2" s="432"/>
      <c r="GI2" s="432"/>
      <c r="GJ2" s="432"/>
      <c r="GK2" s="432"/>
      <c r="GL2" s="432"/>
      <c r="GM2" s="432"/>
      <c r="GN2" s="432"/>
      <c r="GO2" s="432"/>
      <c r="GP2" s="432"/>
      <c r="GQ2" s="432"/>
      <c r="GR2" s="432"/>
      <c r="GS2" s="432"/>
      <c r="GT2" s="432"/>
      <c r="GU2" s="432"/>
      <c r="GV2" s="432"/>
      <c r="GW2" s="432"/>
      <c r="GX2" s="432"/>
      <c r="GY2" s="432"/>
      <c r="GZ2" s="432"/>
      <c r="HA2" s="432"/>
      <c r="HB2" s="432"/>
      <c r="HC2" s="432"/>
      <c r="HD2" s="432"/>
      <c r="HE2" s="432"/>
      <c r="HF2" s="432"/>
      <c r="HG2" s="432"/>
      <c r="HH2" s="432"/>
      <c r="HI2" s="432"/>
      <c r="HJ2" s="432"/>
      <c r="HK2" s="432"/>
      <c r="HL2" s="432"/>
      <c r="HM2" s="432"/>
      <c r="HN2" s="432"/>
      <c r="HO2" s="432"/>
      <c r="HP2" s="432"/>
      <c r="HQ2" s="432"/>
      <c r="HR2" s="432"/>
      <c r="HS2" s="432"/>
      <c r="HT2" s="432"/>
      <c r="HU2" s="432"/>
      <c r="HV2" s="432"/>
      <c r="HW2" s="432"/>
      <c r="HX2" s="432"/>
      <c r="HY2" s="432"/>
      <c r="HZ2" s="432"/>
      <c r="IA2" s="432"/>
      <c r="IB2" s="432"/>
      <c r="IC2" s="432"/>
      <c r="ID2" s="432"/>
      <c r="IE2" s="432"/>
      <c r="IF2" s="432"/>
      <c r="IG2" s="432"/>
      <c r="IH2" s="432"/>
      <c r="II2" s="432"/>
      <c r="IJ2" s="432"/>
      <c r="IK2" s="432"/>
      <c r="IL2" s="432"/>
      <c r="IM2" s="432"/>
      <c r="IN2" s="432"/>
      <c r="IO2" s="432"/>
      <c r="IP2" s="432"/>
      <c r="IQ2" s="432"/>
      <c r="IR2" s="432"/>
      <c r="IS2" s="432"/>
      <c r="IT2" s="432"/>
      <c r="IU2" s="432"/>
      <c r="IV2" s="432"/>
      <c r="IW2" s="432"/>
    </row>
    <row r="3" ht="15.6" customHeight="1" spans="2:257">
      <c r="B3" s="432"/>
      <c r="C3" s="432"/>
      <c r="D3" s="432"/>
      <c r="E3" s="432"/>
      <c r="F3" s="432"/>
      <c r="G3" s="432"/>
      <c r="H3" s="432"/>
      <c r="I3" s="432"/>
      <c r="J3" s="432"/>
      <c r="K3" s="432"/>
      <c r="L3" s="432"/>
      <c r="M3" s="432"/>
      <c r="N3" s="432"/>
      <c r="O3" s="432"/>
      <c r="P3" s="432"/>
      <c r="Q3" s="432"/>
      <c r="R3" s="432"/>
      <c r="S3" s="432"/>
      <c r="T3" s="432"/>
      <c r="U3" s="432"/>
      <c r="V3" s="432"/>
      <c r="W3" s="432"/>
      <c r="X3" s="432"/>
      <c r="Y3" s="432"/>
      <c r="Z3" s="432"/>
      <c r="AA3" s="432"/>
      <c r="AB3" s="432"/>
      <c r="AC3" s="432"/>
      <c r="AD3" s="432"/>
      <c r="AE3" s="432"/>
      <c r="AF3" s="432"/>
      <c r="AG3" s="432"/>
      <c r="AH3" s="432"/>
      <c r="AI3" s="432"/>
      <c r="AJ3" s="432"/>
      <c r="AK3" s="432"/>
      <c r="AL3" s="432"/>
      <c r="AM3" s="432"/>
      <c r="AN3" s="432"/>
      <c r="AO3" s="432"/>
      <c r="AP3" s="432"/>
      <c r="AQ3" s="432"/>
      <c r="AR3" s="432"/>
      <c r="AS3" s="432"/>
      <c r="AT3" s="432"/>
      <c r="AU3" s="432"/>
      <c r="AV3" s="432"/>
      <c r="AW3" s="432"/>
      <c r="AX3" s="432"/>
      <c r="AY3" s="432"/>
      <c r="AZ3" s="432"/>
      <c r="BA3" s="432"/>
      <c r="BB3" s="432"/>
      <c r="BC3" s="432"/>
      <c r="BD3" s="432"/>
      <c r="BE3" s="432"/>
      <c r="BF3" s="432"/>
      <c r="BG3" s="432"/>
      <c r="BH3" s="432"/>
      <c r="BI3" s="432"/>
      <c r="BJ3" s="432"/>
      <c r="BK3" s="432"/>
      <c r="BL3" s="432"/>
      <c r="BM3" s="432"/>
      <c r="BN3" s="432"/>
      <c r="BO3" s="432"/>
      <c r="BP3" s="432"/>
      <c r="BQ3" s="432"/>
      <c r="BR3" s="432"/>
      <c r="BS3" s="432"/>
      <c r="BT3" s="432"/>
      <c r="BU3" s="432"/>
      <c r="BV3" s="432"/>
      <c r="BW3" s="432"/>
      <c r="BX3" s="432"/>
      <c r="BY3" s="432"/>
      <c r="BZ3" s="432"/>
      <c r="CA3" s="432"/>
      <c r="CB3" s="432"/>
      <c r="CC3" s="432"/>
      <c r="CD3" s="432"/>
      <c r="CE3" s="432"/>
      <c r="CF3" s="432"/>
      <c r="CG3" s="432"/>
      <c r="CH3" s="432"/>
      <c r="CI3" s="432"/>
      <c r="CJ3" s="432"/>
      <c r="CK3" s="432"/>
      <c r="CL3" s="432"/>
      <c r="CM3" s="432"/>
      <c r="CN3" s="432"/>
      <c r="CO3" s="432"/>
      <c r="CP3" s="432"/>
      <c r="CQ3" s="432"/>
      <c r="CR3" s="432"/>
      <c r="CS3" s="432"/>
      <c r="CT3" s="432"/>
      <c r="CU3" s="432"/>
      <c r="CV3" s="432"/>
      <c r="CW3" s="432"/>
      <c r="CX3" s="432"/>
      <c r="CY3" s="432"/>
      <c r="CZ3" s="432"/>
      <c r="DA3" s="432"/>
      <c r="DB3" s="432"/>
      <c r="DC3" s="432"/>
      <c r="DD3" s="432"/>
      <c r="DE3" s="432"/>
      <c r="DF3" s="432"/>
      <c r="DG3" s="432"/>
      <c r="DH3" s="432"/>
      <c r="DI3" s="432"/>
      <c r="DJ3" s="432"/>
      <c r="DK3" s="432"/>
      <c r="DL3" s="432"/>
      <c r="DM3" s="432"/>
      <c r="DN3" s="432"/>
      <c r="DO3" s="432"/>
      <c r="DP3" s="432"/>
      <c r="DQ3" s="432"/>
      <c r="DR3" s="432"/>
      <c r="DS3" s="432"/>
      <c r="DT3" s="432"/>
      <c r="DU3" s="432"/>
      <c r="DV3" s="432"/>
      <c r="DW3" s="432"/>
      <c r="DX3" s="432"/>
      <c r="DY3" s="432"/>
      <c r="DZ3" s="432"/>
      <c r="EA3" s="432"/>
      <c r="EB3" s="432"/>
      <c r="EC3" s="432"/>
      <c r="ED3" s="432"/>
      <c r="EE3" s="432"/>
      <c r="EF3" s="432"/>
      <c r="EG3" s="432"/>
      <c r="EH3" s="432"/>
      <c r="EI3" s="432"/>
      <c r="EJ3" s="432"/>
      <c r="EK3" s="432"/>
      <c r="EL3" s="432"/>
      <c r="EM3" s="432"/>
      <c r="EN3" s="432"/>
      <c r="EO3" s="432"/>
      <c r="EP3" s="432"/>
      <c r="EQ3" s="432"/>
      <c r="ER3" s="432"/>
      <c r="ES3" s="432"/>
      <c r="ET3" s="432"/>
      <c r="EU3" s="432"/>
      <c r="EV3" s="432"/>
      <c r="EW3" s="432"/>
      <c r="EX3" s="432"/>
      <c r="EY3" s="432"/>
      <c r="EZ3" s="432"/>
      <c r="FA3" s="432"/>
      <c r="FB3" s="432"/>
      <c r="FC3" s="432"/>
      <c r="FD3" s="432"/>
      <c r="FE3" s="432"/>
      <c r="FF3" s="432"/>
      <c r="FG3" s="432"/>
      <c r="FH3" s="432"/>
      <c r="FI3" s="432"/>
      <c r="FJ3" s="432"/>
      <c r="FK3" s="432"/>
      <c r="FL3" s="432"/>
      <c r="FM3" s="432"/>
      <c r="FN3" s="432"/>
      <c r="FO3" s="432"/>
      <c r="FP3" s="432"/>
      <c r="FQ3" s="432"/>
      <c r="FR3" s="432"/>
      <c r="FS3" s="432"/>
      <c r="FT3" s="432"/>
      <c r="FU3" s="432"/>
      <c r="FV3" s="432"/>
      <c r="FW3" s="432"/>
      <c r="FX3" s="432"/>
      <c r="FY3" s="432"/>
      <c r="FZ3" s="432"/>
      <c r="GA3" s="432"/>
      <c r="GB3" s="432"/>
      <c r="GC3" s="432"/>
      <c r="GD3" s="432"/>
      <c r="GE3" s="432"/>
      <c r="GF3" s="432"/>
      <c r="GG3" s="432"/>
      <c r="GH3" s="432"/>
      <c r="GI3" s="432"/>
      <c r="GJ3" s="432"/>
      <c r="GK3" s="432"/>
      <c r="GL3" s="432"/>
      <c r="GM3" s="432"/>
      <c r="GN3" s="432"/>
      <c r="GO3" s="432"/>
      <c r="GP3" s="432"/>
      <c r="GQ3" s="432"/>
      <c r="GR3" s="432"/>
      <c r="GS3" s="432"/>
      <c r="GT3" s="432"/>
      <c r="GU3" s="432"/>
      <c r="GV3" s="432"/>
      <c r="GW3" s="432"/>
      <c r="GX3" s="432"/>
      <c r="GY3" s="432"/>
      <c r="GZ3" s="432"/>
      <c r="HA3" s="432"/>
      <c r="HB3" s="432"/>
      <c r="HC3" s="432"/>
      <c r="HD3" s="432"/>
      <c r="HE3" s="432"/>
      <c r="HF3" s="432"/>
      <c r="HG3" s="432"/>
      <c r="HH3" s="432"/>
      <c r="HI3" s="432"/>
      <c r="HJ3" s="432"/>
      <c r="HK3" s="432"/>
      <c r="HL3" s="432"/>
      <c r="HM3" s="432"/>
      <c r="HN3" s="432"/>
      <c r="HO3" s="432"/>
      <c r="HP3" s="432"/>
      <c r="HQ3" s="432"/>
      <c r="HR3" s="432"/>
      <c r="HS3" s="432"/>
      <c r="HT3" s="432"/>
      <c r="HU3" s="432"/>
      <c r="HV3" s="432"/>
      <c r="HW3" s="432"/>
      <c r="HX3" s="432"/>
      <c r="HY3" s="432"/>
      <c r="HZ3" s="432"/>
      <c r="IA3" s="432"/>
      <c r="IB3" s="432"/>
      <c r="IC3" s="432"/>
      <c r="ID3" s="432"/>
      <c r="IE3" s="432"/>
      <c r="IF3" s="432"/>
      <c r="IG3" s="432"/>
      <c r="IH3" s="432"/>
      <c r="II3" s="432"/>
      <c r="IJ3" s="432"/>
      <c r="IK3" s="432"/>
      <c r="IL3" s="432"/>
      <c r="IM3" s="432"/>
      <c r="IN3" s="432"/>
      <c r="IO3" s="432"/>
      <c r="IP3" s="432"/>
      <c r="IQ3" s="432"/>
      <c r="IR3" s="432"/>
      <c r="IS3" s="432"/>
      <c r="IT3" s="432"/>
      <c r="IU3" s="432"/>
      <c r="IV3" s="432"/>
      <c r="IW3" s="432"/>
    </row>
    <row r="4" ht="15" spans="1:2">
      <c r="A4" s="433"/>
      <c r="B4" s="433"/>
    </row>
    <row r="5" ht="15" spans="1:257">
      <c r="A5" s="434" t="s">
        <v>1</v>
      </c>
      <c r="B5" s="435" t="s">
        <v>2</v>
      </c>
      <c r="C5" s="435"/>
      <c r="D5" s="435"/>
      <c r="E5" s="435"/>
      <c r="F5" s="435"/>
      <c r="G5" s="435"/>
      <c r="H5" s="435"/>
      <c r="I5" s="435"/>
      <c r="J5" s="435"/>
      <c r="K5" s="435"/>
      <c r="L5" s="435"/>
      <c r="M5" s="435"/>
      <c r="N5" s="435"/>
      <c r="O5" s="435"/>
      <c r="P5" s="435"/>
      <c r="Q5" s="435"/>
      <c r="R5" s="435"/>
      <c r="S5" s="435"/>
      <c r="T5" s="435"/>
      <c r="U5" s="435"/>
      <c r="V5" s="435"/>
      <c r="W5" s="435"/>
      <c r="X5" s="435"/>
      <c r="Y5" s="435"/>
      <c r="Z5" s="435"/>
      <c r="AA5" s="435"/>
      <c r="AB5" s="435"/>
      <c r="AC5" s="435"/>
      <c r="AD5" s="435"/>
      <c r="AE5" s="435"/>
      <c r="AF5" s="435"/>
      <c r="AG5" s="435"/>
      <c r="AH5" s="435"/>
      <c r="AI5" s="435"/>
      <c r="AJ5" s="435"/>
      <c r="AK5" s="435"/>
      <c r="AL5" s="435"/>
      <c r="AM5" s="435"/>
      <c r="AN5" s="435"/>
      <c r="AO5" s="435"/>
      <c r="AP5" s="435"/>
      <c r="AQ5" s="435"/>
      <c r="AR5" s="435"/>
      <c r="AS5" s="435"/>
      <c r="AT5" s="435"/>
      <c r="AU5" s="435"/>
      <c r="AV5" s="435"/>
      <c r="AW5" s="435"/>
      <c r="AX5" s="435"/>
      <c r="AY5" s="435"/>
      <c r="AZ5" s="435"/>
      <c r="BA5" s="435"/>
      <c r="BB5" s="435"/>
      <c r="BC5" s="435"/>
      <c r="BD5" s="435"/>
      <c r="BE5" s="435"/>
      <c r="BF5" s="435"/>
      <c r="BG5" s="435"/>
      <c r="BH5" s="435"/>
      <c r="BI5" s="435"/>
      <c r="BJ5" s="435"/>
      <c r="BK5" s="435"/>
      <c r="BL5" s="435"/>
      <c r="BM5" s="435"/>
      <c r="BN5" s="435"/>
      <c r="BO5" s="435"/>
      <c r="BP5" s="435"/>
      <c r="BQ5" s="435"/>
      <c r="BR5" s="435"/>
      <c r="BS5" s="435"/>
      <c r="BT5" s="435"/>
      <c r="BU5" s="435"/>
      <c r="BV5" s="435"/>
      <c r="BW5" s="435"/>
      <c r="BX5" s="435"/>
      <c r="BY5" s="435"/>
      <c r="BZ5" s="435"/>
      <c r="CA5" s="435"/>
      <c r="CB5" s="435"/>
      <c r="CC5" s="435"/>
      <c r="CD5" s="435"/>
      <c r="CE5" s="435"/>
      <c r="CF5" s="435"/>
      <c r="CG5" s="435"/>
      <c r="CH5" s="435"/>
      <c r="CI5" s="435"/>
      <c r="CJ5" s="435"/>
      <c r="CK5" s="435"/>
      <c r="CL5" s="435"/>
      <c r="CM5" s="435"/>
      <c r="CN5" s="435"/>
      <c r="CO5" s="435"/>
      <c r="CP5" s="435"/>
      <c r="CQ5" s="435"/>
      <c r="CR5" s="435"/>
      <c r="CS5" s="435"/>
      <c r="CT5" s="435"/>
      <c r="CU5" s="435"/>
      <c r="CV5" s="435"/>
      <c r="CW5" s="435"/>
      <c r="CX5" s="435"/>
      <c r="CY5" s="435"/>
      <c r="CZ5" s="435"/>
      <c r="DA5" s="435"/>
      <c r="DB5" s="435"/>
      <c r="DC5" s="435"/>
      <c r="DD5" s="435"/>
      <c r="DE5" s="435"/>
      <c r="DF5" s="435"/>
      <c r="DG5" s="435"/>
      <c r="DH5" s="435"/>
      <c r="DI5" s="435"/>
      <c r="DJ5" s="435"/>
      <c r="DK5" s="435"/>
      <c r="DL5" s="435"/>
      <c r="DM5" s="435"/>
      <c r="DN5" s="435"/>
      <c r="DO5" s="435"/>
      <c r="DP5" s="435"/>
      <c r="DQ5" s="435"/>
      <c r="DR5" s="435"/>
      <c r="DS5" s="435"/>
      <c r="DT5" s="435"/>
      <c r="DU5" s="435"/>
      <c r="DV5" s="435"/>
      <c r="DW5" s="435"/>
      <c r="DX5" s="435"/>
      <c r="DY5" s="435"/>
      <c r="DZ5" s="435"/>
      <c r="EA5" s="435"/>
      <c r="EB5" s="435"/>
      <c r="EC5" s="435"/>
      <c r="ED5" s="435"/>
      <c r="EE5" s="435"/>
      <c r="EF5" s="435"/>
      <c r="EG5" s="435"/>
      <c r="EH5" s="435"/>
      <c r="EI5" s="435"/>
      <c r="EJ5" s="435"/>
      <c r="EK5" s="435"/>
      <c r="EL5" s="435"/>
      <c r="EM5" s="435"/>
      <c r="EN5" s="435"/>
      <c r="EO5" s="435"/>
      <c r="EP5" s="435"/>
      <c r="EQ5" s="435"/>
      <c r="ER5" s="435"/>
      <c r="ES5" s="435"/>
      <c r="ET5" s="435"/>
      <c r="EU5" s="435"/>
      <c r="EV5" s="435"/>
      <c r="EW5" s="435"/>
      <c r="EX5" s="435"/>
      <c r="EY5" s="435"/>
      <c r="EZ5" s="435"/>
      <c r="FA5" s="435"/>
      <c r="FB5" s="435"/>
      <c r="FC5" s="435"/>
      <c r="FD5" s="435"/>
      <c r="FE5" s="435"/>
      <c r="FF5" s="435"/>
      <c r="FG5" s="435"/>
      <c r="FH5" s="435"/>
      <c r="FI5" s="435"/>
      <c r="FJ5" s="435"/>
      <c r="FK5" s="435"/>
      <c r="FL5" s="435"/>
      <c r="FM5" s="435"/>
      <c r="FN5" s="435"/>
      <c r="FO5" s="435"/>
      <c r="FP5" s="435"/>
      <c r="FQ5" s="435"/>
      <c r="FR5" s="435"/>
      <c r="FS5" s="435"/>
      <c r="FT5" s="435"/>
      <c r="FU5" s="435"/>
      <c r="FV5" s="435"/>
      <c r="FW5" s="435"/>
      <c r="FX5" s="435"/>
      <c r="FY5" s="435"/>
      <c r="FZ5" s="435"/>
      <c r="GA5" s="435"/>
      <c r="GB5" s="435"/>
      <c r="GC5" s="435"/>
      <c r="GD5" s="435"/>
      <c r="GE5" s="435"/>
      <c r="GF5" s="435"/>
      <c r="GG5" s="435"/>
      <c r="GH5" s="435"/>
      <c r="GI5" s="435"/>
      <c r="GJ5" s="435"/>
      <c r="GK5" s="435"/>
      <c r="GL5" s="435"/>
      <c r="GM5" s="435"/>
      <c r="GN5" s="435"/>
      <c r="GO5" s="435"/>
      <c r="GP5" s="435"/>
      <c r="GQ5" s="435"/>
      <c r="GR5" s="435"/>
      <c r="GS5" s="435"/>
      <c r="GT5" s="435"/>
      <c r="GU5" s="435"/>
      <c r="GV5" s="435"/>
      <c r="GW5" s="435"/>
      <c r="GX5" s="435"/>
      <c r="GY5" s="435"/>
      <c r="GZ5" s="435"/>
      <c r="HA5" s="435"/>
      <c r="HB5" s="435"/>
      <c r="HC5" s="435"/>
      <c r="HD5" s="435"/>
      <c r="HE5" s="435"/>
      <c r="HF5" s="435"/>
      <c r="HG5" s="435"/>
      <c r="HH5" s="435"/>
      <c r="HI5" s="435"/>
      <c r="HJ5" s="435"/>
      <c r="HK5" s="435"/>
      <c r="HL5" s="435"/>
      <c r="HM5" s="435"/>
      <c r="HN5" s="435"/>
      <c r="HO5" s="435"/>
      <c r="HP5" s="435"/>
      <c r="HQ5" s="435"/>
      <c r="HR5" s="435"/>
      <c r="HS5" s="435"/>
      <c r="HT5" s="435"/>
      <c r="HU5" s="435"/>
      <c r="HV5" s="435"/>
      <c r="HW5" s="435"/>
      <c r="HX5" s="435"/>
      <c r="HY5" s="435"/>
      <c r="HZ5" s="435"/>
      <c r="IA5" s="435"/>
      <c r="IB5" s="435"/>
      <c r="IC5" s="435"/>
      <c r="ID5" s="435"/>
      <c r="IE5" s="435"/>
      <c r="IF5" s="435"/>
      <c r="IG5" s="435"/>
      <c r="IH5" s="435"/>
      <c r="II5" s="435"/>
      <c r="IJ5" s="435"/>
      <c r="IK5" s="435"/>
      <c r="IL5" s="435"/>
      <c r="IM5" s="435"/>
      <c r="IN5" s="435"/>
      <c r="IO5" s="435"/>
      <c r="IP5" s="435"/>
      <c r="IQ5" s="435"/>
      <c r="IR5" s="435"/>
      <c r="IS5" s="435"/>
      <c r="IT5" s="435"/>
      <c r="IU5" s="435"/>
      <c r="IV5" s="435"/>
      <c r="IW5" s="435"/>
    </row>
    <row r="6" ht="15" spans="1:257">
      <c r="A6" s="434"/>
      <c r="B6" s="436"/>
      <c r="C6" s="436"/>
      <c r="D6" s="436"/>
      <c r="E6" s="436"/>
      <c r="F6" s="436"/>
      <c r="G6" s="436"/>
      <c r="H6" s="436"/>
      <c r="I6" s="436"/>
      <c r="J6" s="436"/>
      <c r="K6" s="436"/>
      <c r="L6" s="436"/>
      <c r="M6" s="436"/>
      <c r="N6" s="436"/>
      <c r="O6" s="436"/>
      <c r="P6" s="436"/>
      <c r="Q6" s="436"/>
      <c r="R6" s="436"/>
      <c r="S6" s="436"/>
      <c r="T6" s="436"/>
      <c r="U6" s="436"/>
      <c r="V6" s="436"/>
      <c r="W6" s="436"/>
      <c r="X6" s="436"/>
      <c r="Y6" s="436"/>
      <c r="Z6" s="436"/>
      <c r="AA6" s="436"/>
      <c r="AB6" s="436"/>
      <c r="AC6" s="436"/>
      <c r="AD6" s="436"/>
      <c r="AE6" s="436"/>
      <c r="AF6" s="436"/>
      <c r="AG6" s="436"/>
      <c r="AH6" s="436"/>
      <c r="AI6" s="436"/>
      <c r="AJ6" s="436"/>
      <c r="AK6" s="436"/>
      <c r="AL6" s="436"/>
      <c r="AM6" s="436"/>
      <c r="AN6" s="436"/>
      <c r="AO6" s="436"/>
      <c r="AP6" s="436"/>
      <c r="AQ6" s="436"/>
      <c r="AR6" s="436"/>
      <c r="AS6" s="436"/>
      <c r="AT6" s="436"/>
      <c r="AU6" s="436"/>
      <c r="AV6" s="436"/>
      <c r="AW6" s="436"/>
      <c r="AX6" s="436"/>
      <c r="AY6" s="436"/>
      <c r="AZ6" s="436"/>
      <c r="BA6" s="436"/>
      <c r="BB6" s="436"/>
      <c r="BC6" s="436"/>
      <c r="BD6" s="436"/>
      <c r="BE6" s="436"/>
      <c r="BF6" s="436"/>
      <c r="BG6" s="436"/>
      <c r="BH6" s="436"/>
      <c r="BI6" s="436"/>
      <c r="BJ6" s="436"/>
      <c r="BK6" s="436"/>
      <c r="BL6" s="436"/>
      <c r="BM6" s="436"/>
      <c r="BN6" s="436"/>
      <c r="BO6" s="436"/>
      <c r="BP6" s="436"/>
      <c r="BQ6" s="436"/>
      <c r="BR6" s="436"/>
      <c r="BS6" s="436"/>
      <c r="BT6" s="436"/>
      <c r="BU6" s="436"/>
      <c r="BV6" s="436"/>
      <c r="BW6" s="436"/>
      <c r="BX6" s="436"/>
      <c r="BY6" s="436"/>
      <c r="BZ6" s="436"/>
      <c r="CA6" s="436"/>
      <c r="CB6" s="436"/>
      <c r="CC6" s="436"/>
      <c r="CD6" s="436"/>
      <c r="CE6" s="436"/>
      <c r="CF6" s="436"/>
      <c r="CG6" s="436"/>
      <c r="CH6" s="436"/>
      <c r="CI6" s="436"/>
      <c r="CJ6" s="436"/>
      <c r="CK6" s="436"/>
      <c r="CL6" s="436"/>
      <c r="CM6" s="436"/>
      <c r="CN6" s="436"/>
      <c r="CO6" s="436"/>
      <c r="CP6" s="436"/>
      <c r="CQ6" s="436"/>
      <c r="CR6" s="436"/>
      <c r="CS6" s="436"/>
      <c r="CT6" s="436"/>
      <c r="CU6" s="436"/>
      <c r="CV6" s="436"/>
      <c r="CW6" s="436"/>
      <c r="CX6" s="436"/>
      <c r="CY6" s="436"/>
      <c r="CZ6" s="436"/>
      <c r="DA6" s="436"/>
      <c r="DB6" s="436"/>
      <c r="DC6" s="436"/>
      <c r="DD6" s="436"/>
      <c r="DE6" s="436"/>
      <c r="DF6" s="436"/>
      <c r="DG6" s="436"/>
      <c r="DH6" s="436"/>
      <c r="DI6" s="436"/>
      <c r="DJ6" s="436"/>
      <c r="DK6" s="436"/>
      <c r="DL6" s="436"/>
      <c r="DM6" s="436"/>
      <c r="DN6" s="436"/>
      <c r="DO6" s="436"/>
      <c r="DP6" s="436"/>
      <c r="DQ6" s="436"/>
      <c r="DR6" s="436"/>
      <c r="DS6" s="436"/>
      <c r="DT6" s="436"/>
      <c r="DU6" s="436"/>
      <c r="DV6" s="436"/>
      <c r="DW6" s="436"/>
      <c r="DX6" s="436"/>
      <c r="DY6" s="436"/>
      <c r="DZ6" s="436"/>
      <c r="EA6" s="436"/>
      <c r="EB6" s="436"/>
      <c r="EC6" s="436"/>
      <c r="ED6" s="436"/>
      <c r="EE6" s="436"/>
      <c r="EF6" s="436"/>
      <c r="EG6" s="436"/>
      <c r="EH6" s="436"/>
      <c r="EI6" s="436"/>
      <c r="EJ6" s="436"/>
      <c r="EK6" s="436"/>
      <c r="EL6" s="436"/>
      <c r="EM6" s="436"/>
      <c r="EN6" s="436"/>
      <c r="EO6" s="436"/>
      <c r="EP6" s="436"/>
      <c r="EQ6" s="436"/>
      <c r="ER6" s="436"/>
      <c r="ES6" s="436"/>
      <c r="ET6" s="436"/>
      <c r="EU6" s="436"/>
      <c r="EV6" s="436"/>
      <c r="EW6" s="436"/>
      <c r="EX6" s="436"/>
      <c r="EY6" s="436"/>
      <c r="EZ6" s="436"/>
      <c r="FA6" s="436"/>
      <c r="FB6" s="436"/>
      <c r="FC6" s="436"/>
      <c r="FD6" s="436"/>
      <c r="FE6" s="436"/>
      <c r="FF6" s="436"/>
      <c r="FG6" s="436"/>
      <c r="FH6" s="436"/>
      <c r="FI6" s="436"/>
      <c r="FJ6" s="436"/>
      <c r="FK6" s="436"/>
      <c r="FL6" s="436"/>
      <c r="FM6" s="436"/>
      <c r="FN6" s="436"/>
      <c r="FO6" s="436"/>
      <c r="FP6" s="436"/>
      <c r="FQ6" s="436"/>
      <c r="FR6" s="436"/>
      <c r="FS6" s="436"/>
      <c r="FT6" s="436"/>
      <c r="FU6" s="436"/>
      <c r="FV6" s="436"/>
      <c r="FW6" s="436"/>
      <c r="FX6" s="436"/>
      <c r="FY6" s="436"/>
      <c r="FZ6" s="436"/>
      <c r="GA6" s="436"/>
      <c r="GB6" s="436"/>
      <c r="GC6" s="436"/>
      <c r="GD6" s="436"/>
      <c r="GE6" s="436"/>
      <c r="GF6" s="436"/>
      <c r="GG6" s="436"/>
      <c r="GH6" s="436"/>
      <c r="GI6" s="436"/>
      <c r="GJ6" s="436"/>
      <c r="GK6" s="436"/>
      <c r="GL6" s="436"/>
      <c r="GM6" s="436"/>
      <c r="GN6" s="436"/>
      <c r="GO6" s="436"/>
      <c r="GP6" s="436"/>
      <c r="GQ6" s="436"/>
      <c r="GR6" s="436"/>
      <c r="GS6" s="436"/>
      <c r="GT6" s="436"/>
      <c r="GU6" s="436"/>
      <c r="GV6" s="436"/>
      <c r="GW6" s="436"/>
      <c r="GX6" s="436"/>
      <c r="GY6" s="436"/>
      <c r="GZ6" s="436"/>
      <c r="HA6" s="436"/>
      <c r="HB6" s="436"/>
      <c r="HC6" s="436"/>
      <c r="HD6" s="436"/>
      <c r="HE6" s="436"/>
      <c r="HF6" s="436"/>
      <c r="HG6" s="436"/>
      <c r="HH6" s="436"/>
      <c r="HI6" s="436"/>
      <c r="HJ6" s="436"/>
      <c r="HK6" s="436"/>
      <c r="HL6" s="436"/>
      <c r="HM6" s="436"/>
      <c r="HN6" s="436"/>
      <c r="HO6" s="436"/>
      <c r="HP6" s="436"/>
      <c r="HQ6" s="436"/>
      <c r="HR6" s="436"/>
      <c r="HS6" s="436"/>
      <c r="HT6" s="436"/>
      <c r="HU6" s="436"/>
      <c r="HV6" s="436"/>
      <c r="HW6" s="436"/>
      <c r="HX6" s="436"/>
      <c r="HY6" s="436"/>
      <c r="HZ6" s="436"/>
      <c r="IA6" s="436"/>
      <c r="IB6" s="436"/>
      <c r="IC6" s="436"/>
      <c r="ID6" s="436"/>
      <c r="IE6" s="436"/>
      <c r="IF6" s="436"/>
      <c r="IG6" s="436"/>
      <c r="IH6" s="436"/>
      <c r="II6" s="436"/>
      <c r="IJ6" s="436"/>
      <c r="IK6" s="436"/>
      <c r="IL6" s="436"/>
      <c r="IM6" s="436"/>
      <c r="IN6" s="436"/>
      <c r="IO6" s="436"/>
      <c r="IP6" s="436"/>
      <c r="IQ6" s="436"/>
      <c r="IR6" s="436"/>
      <c r="IS6" s="436"/>
      <c r="IT6" s="436"/>
      <c r="IU6" s="436"/>
      <c r="IV6" s="436"/>
      <c r="IW6" s="436"/>
    </row>
    <row r="7" ht="15" spans="1:257">
      <c r="A7" s="434" t="s">
        <v>3</v>
      </c>
      <c r="B7" s="437" t="s">
        <v>4</v>
      </c>
      <c r="C7" s="436"/>
      <c r="D7" s="436"/>
      <c r="E7" s="436"/>
      <c r="F7" s="436"/>
      <c r="G7" s="436"/>
      <c r="H7" s="436"/>
      <c r="I7" s="436"/>
      <c r="J7" s="436"/>
      <c r="K7" s="436"/>
      <c r="L7" s="436"/>
      <c r="M7" s="436"/>
      <c r="N7" s="436"/>
      <c r="O7" s="436"/>
      <c r="P7" s="436"/>
      <c r="Q7" s="436"/>
      <c r="R7" s="436"/>
      <c r="S7" s="436"/>
      <c r="T7" s="436"/>
      <c r="U7" s="436"/>
      <c r="V7" s="436"/>
      <c r="W7" s="436"/>
      <c r="X7" s="436"/>
      <c r="Y7" s="436"/>
      <c r="Z7" s="436"/>
      <c r="AA7" s="436"/>
      <c r="AB7" s="436"/>
      <c r="AC7" s="436"/>
      <c r="AD7" s="436"/>
      <c r="AE7" s="436"/>
      <c r="AF7" s="436"/>
      <c r="AG7" s="436"/>
      <c r="AH7" s="436"/>
      <c r="AI7" s="436"/>
      <c r="AJ7" s="436"/>
      <c r="AK7" s="436"/>
      <c r="AL7" s="436"/>
      <c r="AM7" s="436"/>
      <c r="AN7" s="436"/>
      <c r="AO7" s="436"/>
      <c r="AP7" s="436"/>
      <c r="AQ7" s="436"/>
      <c r="AR7" s="436"/>
      <c r="AS7" s="436"/>
      <c r="AT7" s="436"/>
      <c r="AU7" s="436"/>
      <c r="AV7" s="436"/>
      <c r="AW7" s="436"/>
      <c r="AX7" s="436"/>
      <c r="AY7" s="436"/>
      <c r="AZ7" s="436"/>
      <c r="BA7" s="436"/>
      <c r="BB7" s="436"/>
      <c r="BC7" s="436"/>
      <c r="BD7" s="436"/>
      <c r="BE7" s="436"/>
      <c r="BF7" s="436"/>
      <c r="BG7" s="436"/>
      <c r="BH7" s="436"/>
      <c r="BI7" s="436"/>
      <c r="BJ7" s="436"/>
      <c r="BK7" s="436"/>
      <c r="BL7" s="436"/>
      <c r="BM7" s="436"/>
      <c r="BN7" s="436"/>
      <c r="BO7" s="436"/>
      <c r="BP7" s="436"/>
      <c r="BQ7" s="436"/>
      <c r="BR7" s="436"/>
      <c r="BS7" s="436"/>
      <c r="BT7" s="436"/>
      <c r="BU7" s="436"/>
      <c r="BV7" s="436"/>
      <c r="BW7" s="436"/>
      <c r="BX7" s="436"/>
      <c r="BY7" s="436"/>
      <c r="BZ7" s="436"/>
      <c r="CA7" s="436"/>
      <c r="CB7" s="436"/>
      <c r="CC7" s="436"/>
      <c r="CD7" s="436"/>
      <c r="CE7" s="436"/>
      <c r="CF7" s="436"/>
      <c r="CG7" s="436"/>
      <c r="CH7" s="436"/>
      <c r="CI7" s="436"/>
      <c r="CJ7" s="436"/>
      <c r="CK7" s="436"/>
      <c r="CL7" s="436"/>
      <c r="CM7" s="436"/>
      <c r="CN7" s="436"/>
      <c r="CO7" s="436"/>
      <c r="CP7" s="436"/>
      <c r="CQ7" s="436"/>
      <c r="CR7" s="436"/>
      <c r="CS7" s="436"/>
      <c r="CT7" s="436"/>
      <c r="CU7" s="436"/>
      <c r="CV7" s="436"/>
      <c r="CW7" s="436"/>
      <c r="CX7" s="436"/>
      <c r="CY7" s="436"/>
      <c r="CZ7" s="436"/>
      <c r="DA7" s="436"/>
      <c r="DB7" s="436"/>
      <c r="DC7" s="436"/>
      <c r="DD7" s="436"/>
      <c r="DE7" s="436"/>
      <c r="DF7" s="436"/>
      <c r="DG7" s="436"/>
      <c r="DH7" s="436"/>
      <c r="DI7" s="436"/>
      <c r="DJ7" s="436"/>
      <c r="DK7" s="436"/>
      <c r="DL7" s="436"/>
      <c r="DM7" s="436"/>
      <c r="DN7" s="436"/>
      <c r="DO7" s="436"/>
      <c r="DP7" s="436"/>
      <c r="DQ7" s="436"/>
      <c r="DR7" s="436"/>
      <c r="DS7" s="436"/>
      <c r="DT7" s="436"/>
      <c r="DU7" s="436"/>
      <c r="DV7" s="436"/>
      <c r="DW7" s="436"/>
      <c r="DX7" s="436"/>
      <c r="DY7" s="436"/>
      <c r="DZ7" s="436"/>
      <c r="EA7" s="436"/>
      <c r="EB7" s="436"/>
      <c r="EC7" s="436"/>
      <c r="ED7" s="436"/>
      <c r="EE7" s="436"/>
      <c r="EF7" s="436"/>
      <c r="EG7" s="436"/>
      <c r="EH7" s="436"/>
      <c r="EI7" s="436"/>
      <c r="EJ7" s="436"/>
      <c r="EK7" s="436"/>
      <c r="EL7" s="436"/>
      <c r="EM7" s="436"/>
      <c r="EN7" s="436"/>
      <c r="EO7" s="436"/>
      <c r="EP7" s="436"/>
      <c r="EQ7" s="436"/>
      <c r="ER7" s="436"/>
      <c r="ES7" s="436"/>
      <c r="ET7" s="436"/>
      <c r="EU7" s="436"/>
      <c r="EV7" s="436"/>
      <c r="EW7" s="436"/>
      <c r="EX7" s="436"/>
      <c r="EY7" s="436"/>
      <c r="EZ7" s="436"/>
      <c r="FA7" s="436"/>
      <c r="FB7" s="436"/>
      <c r="FC7" s="436"/>
      <c r="FD7" s="436"/>
      <c r="FE7" s="436"/>
      <c r="FF7" s="436"/>
      <c r="FG7" s="436"/>
      <c r="FH7" s="436"/>
      <c r="FI7" s="436"/>
      <c r="FJ7" s="436"/>
      <c r="FK7" s="436"/>
      <c r="FL7" s="436"/>
      <c r="FM7" s="436"/>
      <c r="FN7" s="436"/>
      <c r="FO7" s="436"/>
      <c r="FP7" s="436"/>
      <c r="FQ7" s="436"/>
      <c r="FR7" s="436"/>
      <c r="FS7" s="436"/>
      <c r="FT7" s="436"/>
      <c r="FU7" s="436"/>
      <c r="FV7" s="436"/>
      <c r="FW7" s="436"/>
      <c r="FX7" s="436"/>
      <c r="FY7" s="436"/>
      <c r="FZ7" s="436"/>
      <c r="GA7" s="436"/>
      <c r="GB7" s="436"/>
      <c r="GC7" s="436"/>
      <c r="GD7" s="436"/>
      <c r="GE7" s="436"/>
      <c r="GF7" s="436"/>
      <c r="GG7" s="436"/>
      <c r="GH7" s="436"/>
      <c r="GI7" s="436"/>
      <c r="GJ7" s="436"/>
      <c r="GK7" s="436"/>
      <c r="GL7" s="436"/>
      <c r="GM7" s="436"/>
      <c r="GN7" s="436"/>
      <c r="GO7" s="436"/>
      <c r="GP7" s="436"/>
      <c r="GQ7" s="436"/>
      <c r="GR7" s="436"/>
      <c r="GS7" s="436"/>
      <c r="GT7" s="436"/>
      <c r="GU7" s="436"/>
      <c r="GV7" s="436"/>
      <c r="GW7" s="436"/>
      <c r="GX7" s="436"/>
      <c r="GY7" s="436"/>
      <c r="GZ7" s="436"/>
      <c r="HA7" s="436"/>
      <c r="HB7" s="436"/>
      <c r="HC7" s="436"/>
      <c r="HD7" s="436"/>
      <c r="HE7" s="436"/>
      <c r="HF7" s="436"/>
      <c r="HG7" s="436"/>
      <c r="HH7" s="436"/>
      <c r="HI7" s="436"/>
      <c r="HJ7" s="436"/>
      <c r="HK7" s="436"/>
      <c r="HL7" s="436"/>
      <c r="HM7" s="436"/>
      <c r="HN7" s="436"/>
      <c r="HO7" s="436"/>
      <c r="HP7" s="436"/>
      <c r="HQ7" s="436"/>
      <c r="HR7" s="436"/>
      <c r="HS7" s="436"/>
      <c r="HT7" s="436"/>
      <c r="HU7" s="436"/>
      <c r="HV7" s="436"/>
      <c r="HW7" s="436"/>
      <c r="HX7" s="436"/>
      <c r="HY7" s="436"/>
      <c r="HZ7" s="436"/>
      <c r="IA7" s="436"/>
      <c r="IB7" s="436"/>
      <c r="IC7" s="436"/>
      <c r="ID7" s="436"/>
      <c r="IE7" s="436"/>
      <c r="IF7" s="436"/>
      <c r="IG7" s="436"/>
      <c r="IH7" s="436"/>
      <c r="II7" s="436"/>
      <c r="IJ7" s="436"/>
      <c r="IK7" s="436"/>
      <c r="IL7" s="436"/>
      <c r="IM7" s="436"/>
      <c r="IN7" s="436"/>
      <c r="IO7" s="436"/>
      <c r="IP7" s="436"/>
      <c r="IQ7" s="436"/>
      <c r="IR7" s="436"/>
      <c r="IS7" s="436"/>
      <c r="IT7" s="436"/>
      <c r="IU7" s="436"/>
      <c r="IV7" s="436"/>
      <c r="IW7" s="436"/>
    </row>
    <row r="8" ht="15" spans="1:258">
      <c r="A8" s="434"/>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c r="AE8" s="436"/>
      <c r="AF8" s="436"/>
      <c r="AG8" s="436"/>
      <c r="AH8" s="436"/>
      <c r="AI8" s="436"/>
      <c r="AJ8" s="436"/>
      <c r="AK8" s="436"/>
      <c r="AL8" s="436"/>
      <c r="AM8" s="436"/>
      <c r="AN8" s="436"/>
      <c r="AO8" s="436"/>
      <c r="AP8" s="436"/>
      <c r="AQ8" s="436"/>
      <c r="AR8" s="436"/>
      <c r="AS8" s="436"/>
      <c r="AT8" s="436"/>
      <c r="AU8" s="436"/>
      <c r="AV8" s="436"/>
      <c r="AW8" s="436"/>
      <c r="AX8" s="436"/>
      <c r="AY8" s="436"/>
      <c r="AZ8" s="436"/>
      <c r="BA8" s="436"/>
      <c r="BB8" s="436"/>
      <c r="BC8" s="436"/>
      <c r="BD8" s="436"/>
      <c r="BE8" s="436"/>
      <c r="BF8" s="436"/>
      <c r="BG8" s="436"/>
      <c r="BH8" s="436"/>
      <c r="BI8" s="436"/>
      <c r="BJ8" s="436"/>
      <c r="BK8" s="436"/>
      <c r="BL8" s="436"/>
      <c r="BM8" s="436"/>
      <c r="BN8" s="436"/>
      <c r="BO8" s="436"/>
      <c r="BP8" s="436"/>
      <c r="BQ8" s="436"/>
      <c r="BR8" s="436"/>
      <c r="BS8" s="436"/>
      <c r="BT8" s="436"/>
      <c r="BU8" s="436"/>
      <c r="BV8" s="436"/>
      <c r="BW8" s="436"/>
      <c r="BX8" s="436"/>
      <c r="BY8" s="436"/>
      <c r="BZ8" s="436"/>
      <c r="CA8" s="436"/>
      <c r="CB8" s="436"/>
      <c r="CC8" s="436"/>
      <c r="CD8" s="436"/>
      <c r="CE8" s="436"/>
      <c r="CF8" s="436"/>
      <c r="CG8" s="436"/>
      <c r="CH8" s="436"/>
      <c r="CI8" s="436"/>
      <c r="CJ8" s="436"/>
      <c r="CK8" s="436"/>
      <c r="CL8" s="436"/>
      <c r="CM8" s="436"/>
      <c r="CN8" s="436"/>
      <c r="CO8" s="436"/>
      <c r="CP8" s="436"/>
      <c r="CQ8" s="436"/>
      <c r="CR8" s="436"/>
      <c r="CS8" s="436"/>
      <c r="CT8" s="436"/>
      <c r="CU8" s="436"/>
      <c r="CV8" s="436"/>
      <c r="CW8" s="436"/>
      <c r="CX8" s="436"/>
      <c r="CY8" s="436"/>
      <c r="CZ8" s="436"/>
      <c r="DA8" s="436"/>
      <c r="DB8" s="436"/>
      <c r="DC8" s="436"/>
      <c r="DD8" s="436"/>
      <c r="DE8" s="436"/>
      <c r="DF8" s="436"/>
      <c r="DG8" s="436"/>
      <c r="DH8" s="436"/>
      <c r="DI8" s="436"/>
      <c r="DJ8" s="436"/>
      <c r="DK8" s="436"/>
      <c r="DL8" s="436"/>
      <c r="DM8" s="436"/>
      <c r="DN8" s="436"/>
      <c r="DO8" s="436"/>
      <c r="DP8" s="436"/>
      <c r="DQ8" s="436"/>
      <c r="DR8" s="436"/>
      <c r="DS8" s="436"/>
      <c r="DT8" s="436"/>
      <c r="DU8" s="436"/>
      <c r="DV8" s="436"/>
      <c r="DW8" s="436"/>
      <c r="DX8" s="436"/>
      <c r="DY8" s="436"/>
      <c r="DZ8" s="436"/>
      <c r="EA8" s="436"/>
      <c r="EB8" s="436"/>
      <c r="EC8" s="436"/>
      <c r="ED8" s="436"/>
      <c r="EE8" s="436"/>
      <c r="EF8" s="436"/>
      <c r="EG8" s="436"/>
      <c r="EH8" s="436"/>
      <c r="EI8" s="436"/>
      <c r="EJ8" s="436"/>
      <c r="EK8" s="436"/>
      <c r="EL8" s="436"/>
      <c r="EM8" s="436"/>
      <c r="EN8" s="436"/>
      <c r="EO8" s="436"/>
      <c r="EP8" s="436"/>
      <c r="EQ8" s="436"/>
      <c r="ER8" s="436"/>
      <c r="ES8" s="436"/>
      <c r="ET8" s="436"/>
      <c r="EU8" s="436"/>
      <c r="EV8" s="436"/>
      <c r="EW8" s="436"/>
      <c r="EX8" s="436"/>
      <c r="EY8" s="436"/>
      <c r="EZ8" s="436"/>
      <c r="FA8" s="436"/>
      <c r="FB8" s="436"/>
      <c r="FC8" s="436"/>
      <c r="FD8" s="436"/>
      <c r="FE8" s="436"/>
      <c r="FF8" s="436"/>
      <c r="FG8" s="436"/>
      <c r="FH8" s="436"/>
      <c r="FI8" s="436"/>
      <c r="FJ8" s="436"/>
      <c r="FK8" s="436"/>
      <c r="FL8" s="436"/>
      <c r="FM8" s="436"/>
      <c r="FN8" s="436"/>
      <c r="FO8" s="436"/>
      <c r="FP8" s="436"/>
      <c r="FQ8" s="436"/>
      <c r="FR8" s="436"/>
      <c r="FS8" s="436"/>
      <c r="FT8" s="436"/>
      <c r="FU8" s="436"/>
      <c r="FV8" s="436"/>
      <c r="FW8" s="436"/>
      <c r="FX8" s="436"/>
      <c r="FY8" s="436"/>
      <c r="FZ8" s="436"/>
      <c r="GA8" s="436"/>
      <c r="GB8" s="436"/>
      <c r="GC8" s="436"/>
      <c r="GD8" s="436"/>
      <c r="GE8" s="436"/>
      <c r="GF8" s="436"/>
      <c r="GG8" s="436"/>
      <c r="GH8" s="436"/>
      <c r="GI8" s="436"/>
      <c r="GJ8" s="436"/>
      <c r="GK8" s="436"/>
      <c r="GL8" s="436"/>
      <c r="GM8" s="436"/>
      <c r="GN8" s="436"/>
      <c r="GO8" s="436"/>
      <c r="GP8" s="436"/>
      <c r="GQ8" s="436"/>
      <c r="GR8" s="436"/>
      <c r="GS8" s="436"/>
      <c r="GT8" s="436"/>
      <c r="GU8" s="436"/>
      <c r="GV8" s="436"/>
      <c r="GW8" s="436"/>
      <c r="GX8" s="436"/>
      <c r="GY8" s="436"/>
      <c r="GZ8" s="436"/>
      <c r="HA8" s="436"/>
      <c r="HB8" s="436"/>
      <c r="HC8" s="436"/>
      <c r="HD8" s="436"/>
      <c r="HE8" s="436"/>
      <c r="HF8" s="436"/>
      <c r="HG8" s="436"/>
      <c r="HH8" s="436"/>
      <c r="HI8" s="436"/>
      <c r="HJ8" s="436"/>
      <c r="HK8" s="436"/>
      <c r="HL8" s="436"/>
      <c r="HM8" s="436"/>
      <c r="HN8" s="436"/>
      <c r="HO8" s="436"/>
      <c r="HP8" s="436"/>
      <c r="HQ8" s="436"/>
      <c r="HR8" s="436"/>
      <c r="HS8" s="436"/>
      <c r="HT8" s="436"/>
      <c r="HU8" s="436"/>
      <c r="HV8" s="436"/>
      <c r="HW8" s="436"/>
      <c r="HX8" s="436"/>
      <c r="HY8" s="436"/>
      <c r="HZ8" s="436"/>
      <c r="IA8" s="436"/>
      <c r="IB8" s="436"/>
      <c r="IC8" s="436"/>
      <c r="ID8" s="436"/>
      <c r="IE8" s="436"/>
      <c r="IF8" s="436"/>
      <c r="IG8" s="436"/>
      <c r="IH8" s="436"/>
      <c r="II8" s="436"/>
      <c r="IJ8" s="436"/>
      <c r="IK8" s="436"/>
      <c r="IL8" s="436"/>
      <c r="IM8" s="436"/>
      <c r="IN8" s="436"/>
      <c r="IO8" s="436"/>
      <c r="IP8" s="436"/>
      <c r="IQ8" s="436"/>
      <c r="IR8" s="436"/>
      <c r="IS8" s="436"/>
      <c r="IT8" s="436"/>
      <c r="IU8" s="436"/>
      <c r="IV8" s="436"/>
      <c r="IW8" s="453"/>
      <c r="IX8" s="453"/>
    </row>
    <row r="9" ht="15.6" customHeight="1" spans="1:257">
      <c r="A9" s="434" t="s">
        <v>5</v>
      </c>
      <c r="B9" s="438" t="s">
        <v>6</v>
      </c>
      <c r="C9" s="438"/>
      <c r="D9" s="438"/>
      <c r="E9" s="438"/>
      <c r="F9" s="438"/>
      <c r="G9" s="438"/>
      <c r="H9" s="438"/>
      <c r="I9" s="438"/>
      <c r="J9" s="438"/>
      <c r="K9" s="438"/>
      <c r="L9" s="438"/>
      <c r="M9" s="438"/>
      <c r="N9" s="438"/>
      <c r="O9" s="438"/>
      <c r="P9" s="438"/>
      <c r="Q9" s="438"/>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8"/>
      <c r="BD9" s="438"/>
      <c r="BE9" s="438"/>
      <c r="BF9" s="438"/>
      <c r="BG9" s="438"/>
      <c r="BH9" s="438"/>
      <c r="BI9" s="438"/>
      <c r="BJ9" s="438"/>
      <c r="BK9" s="438"/>
      <c r="BL9" s="438"/>
      <c r="BM9" s="438"/>
      <c r="BN9" s="438"/>
      <c r="BO9" s="438"/>
      <c r="BP9" s="438"/>
      <c r="BQ9" s="438"/>
      <c r="BR9" s="438"/>
      <c r="BS9" s="438"/>
      <c r="BT9" s="438"/>
      <c r="BU9" s="438"/>
      <c r="BV9" s="438"/>
      <c r="BW9" s="438"/>
      <c r="BX9" s="438"/>
      <c r="BY9" s="438"/>
      <c r="BZ9" s="438"/>
      <c r="CA9" s="438"/>
      <c r="CB9" s="438"/>
      <c r="CC9" s="438"/>
      <c r="CD9" s="438"/>
      <c r="CE9" s="438"/>
      <c r="CF9" s="438"/>
      <c r="CG9" s="438"/>
      <c r="CH9" s="438"/>
      <c r="CI9" s="438"/>
      <c r="CJ9" s="438"/>
      <c r="CK9" s="438"/>
      <c r="CL9" s="438"/>
      <c r="CM9" s="438"/>
      <c r="CN9" s="438"/>
      <c r="CO9" s="438"/>
      <c r="CP9" s="438"/>
      <c r="CQ9" s="438"/>
      <c r="CR9" s="438"/>
      <c r="CS9" s="438"/>
      <c r="CT9" s="438"/>
      <c r="CU9" s="438"/>
      <c r="CV9" s="438"/>
      <c r="CW9" s="438"/>
      <c r="CX9" s="438"/>
      <c r="CY9" s="438"/>
      <c r="CZ9" s="438"/>
      <c r="DA9" s="438"/>
      <c r="DB9" s="438"/>
      <c r="DC9" s="438"/>
      <c r="DD9" s="438"/>
      <c r="DE9" s="438"/>
      <c r="DF9" s="438"/>
      <c r="DG9" s="438"/>
      <c r="DH9" s="438"/>
      <c r="DI9" s="438"/>
      <c r="DJ9" s="438"/>
      <c r="DK9" s="438"/>
      <c r="DL9" s="438"/>
      <c r="DM9" s="438"/>
      <c r="DN9" s="438"/>
      <c r="DO9" s="438"/>
      <c r="DP9" s="438"/>
      <c r="DQ9" s="438"/>
      <c r="DR9" s="438"/>
      <c r="DS9" s="438"/>
      <c r="DT9" s="438"/>
      <c r="DU9" s="438"/>
      <c r="DV9" s="438"/>
      <c r="DW9" s="438"/>
      <c r="DX9" s="438"/>
      <c r="DY9" s="438"/>
      <c r="DZ9" s="438"/>
      <c r="EA9" s="438"/>
      <c r="EB9" s="438"/>
      <c r="EC9" s="438"/>
      <c r="ED9" s="438"/>
      <c r="EE9" s="438"/>
      <c r="EF9" s="438"/>
      <c r="EG9" s="438"/>
      <c r="EH9" s="438"/>
      <c r="EI9" s="438"/>
      <c r="EJ9" s="438"/>
      <c r="EK9" s="438"/>
      <c r="EL9" s="438"/>
      <c r="EM9" s="438"/>
      <c r="EN9" s="438"/>
      <c r="EO9" s="438"/>
      <c r="EP9" s="438"/>
      <c r="EQ9" s="438"/>
      <c r="ER9" s="438"/>
      <c r="ES9" s="438"/>
      <c r="ET9" s="438"/>
      <c r="EU9" s="438"/>
      <c r="EV9" s="438"/>
      <c r="EW9" s="438"/>
      <c r="EX9" s="438"/>
      <c r="EY9" s="438"/>
      <c r="EZ9" s="438"/>
      <c r="FA9" s="438"/>
      <c r="FB9" s="438"/>
      <c r="FC9" s="438"/>
      <c r="FD9" s="438"/>
      <c r="FE9" s="438"/>
      <c r="FF9" s="438"/>
      <c r="FG9" s="438"/>
      <c r="FH9" s="438"/>
      <c r="FI9" s="438"/>
      <c r="FJ9" s="438"/>
      <c r="FK9" s="438"/>
      <c r="FL9" s="438"/>
      <c r="FM9" s="438"/>
      <c r="FN9" s="438"/>
      <c r="FO9" s="438"/>
      <c r="FP9" s="438"/>
      <c r="FQ9" s="438"/>
      <c r="FR9" s="438"/>
      <c r="FS9" s="438"/>
      <c r="FT9" s="438"/>
      <c r="FU9" s="438"/>
      <c r="FV9" s="438"/>
      <c r="FW9" s="438"/>
      <c r="FX9" s="438"/>
      <c r="FY9" s="438"/>
      <c r="FZ9" s="438"/>
      <c r="GA9" s="438"/>
      <c r="GB9" s="438"/>
      <c r="GC9" s="438"/>
      <c r="GD9" s="438"/>
      <c r="GE9" s="438"/>
      <c r="GF9" s="438"/>
      <c r="GG9" s="438"/>
      <c r="GH9" s="438"/>
      <c r="GI9" s="438"/>
      <c r="GJ9" s="438"/>
      <c r="GK9" s="438"/>
      <c r="GL9" s="438"/>
      <c r="GM9" s="438"/>
      <c r="GN9" s="438"/>
      <c r="GO9" s="438"/>
      <c r="GP9" s="438"/>
      <c r="GQ9" s="438"/>
      <c r="GR9" s="438"/>
      <c r="GS9" s="438"/>
      <c r="GT9" s="438"/>
      <c r="GU9" s="438"/>
      <c r="GV9" s="438"/>
      <c r="GW9" s="438"/>
      <c r="GX9" s="438"/>
      <c r="GY9" s="438"/>
      <c r="GZ9" s="438"/>
      <c r="HA9" s="438"/>
      <c r="HB9" s="438"/>
      <c r="HC9" s="438"/>
      <c r="HD9" s="438"/>
      <c r="HE9" s="438"/>
      <c r="HF9" s="438"/>
      <c r="HG9" s="438"/>
      <c r="HH9" s="438"/>
      <c r="HI9" s="438"/>
      <c r="HJ9" s="438"/>
      <c r="HK9" s="438"/>
      <c r="HL9" s="438"/>
      <c r="HM9" s="438"/>
      <c r="HN9" s="438"/>
      <c r="HO9" s="438"/>
      <c r="HP9" s="438"/>
      <c r="HQ9" s="438"/>
      <c r="HR9" s="438"/>
      <c r="HS9" s="438"/>
      <c r="HT9" s="438"/>
      <c r="HU9" s="438"/>
      <c r="HV9" s="438"/>
      <c r="HW9" s="438"/>
      <c r="HX9" s="438"/>
      <c r="HY9" s="438"/>
      <c r="HZ9" s="438"/>
      <c r="IA9" s="438"/>
      <c r="IB9" s="438"/>
      <c r="IC9" s="438"/>
      <c r="ID9" s="438"/>
      <c r="IE9" s="438"/>
      <c r="IF9" s="438"/>
      <c r="IG9" s="438"/>
      <c r="IH9" s="438"/>
      <c r="II9" s="438"/>
      <c r="IJ9" s="438"/>
      <c r="IK9" s="438"/>
      <c r="IL9" s="438"/>
      <c r="IM9" s="438"/>
      <c r="IN9" s="438"/>
      <c r="IO9" s="438"/>
      <c r="IP9" s="438"/>
      <c r="IQ9" s="438"/>
      <c r="IR9" s="438"/>
      <c r="IS9" s="438"/>
      <c r="IT9" s="438"/>
      <c r="IU9" s="438"/>
      <c r="IV9" s="438"/>
      <c r="IW9" s="438"/>
    </row>
    <row r="10" ht="15" spans="1:257">
      <c r="A10" s="434"/>
      <c r="B10" s="438"/>
      <c r="C10" s="438"/>
      <c r="D10" s="438"/>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8"/>
      <c r="AU10" s="438"/>
      <c r="AV10" s="438"/>
      <c r="AW10" s="438"/>
      <c r="AX10" s="438"/>
      <c r="AY10" s="438"/>
      <c r="AZ10" s="438"/>
      <c r="BA10" s="438"/>
      <c r="BB10" s="438"/>
      <c r="BC10" s="438"/>
      <c r="BD10" s="438"/>
      <c r="BE10" s="438"/>
      <c r="BF10" s="438"/>
      <c r="BG10" s="438"/>
      <c r="BH10" s="438"/>
      <c r="BI10" s="438"/>
      <c r="BJ10" s="438"/>
      <c r="BK10" s="438"/>
      <c r="BL10" s="438"/>
      <c r="BM10" s="438"/>
      <c r="BN10" s="438"/>
      <c r="BO10" s="438"/>
      <c r="BP10" s="438"/>
      <c r="BQ10" s="438"/>
      <c r="BR10" s="438"/>
      <c r="BS10" s="438"/>
      <c r="BT10" s="438"/>
      <c r="BU10" s="438"/>
      <c r="BV10" s="438"/>
      <c r="BW10" s="438"/>
      <c r="BX10" s="438"/>
      <c r="BY10" s="438"/>
      <c r="BZ10" s="438"/>
      <c r="CA10" s="438"/>
      <c r="CB10" s="438"/>
      <c r="CC10" s="438"/>
      <c r="CD10" s="438"/>
      <c r="CE10" s="438"/>
      <c r="CF10" s="438"/>
      <c r="CG10" s="438"/>
      <c r="CH10" s="438"/>
      <c r="CI10" s="438"/>
      <c r="CJ10" s="438"/>
      <c r="CK10" s="438"/>
      <c r="CL10" s="438"/>
      <c r="CM10" s="438"/>
      <c r="CN10" s="438"/>
      <c r="CO10" s="438"/>
      <c r="CP10" s="438"/>
      <c r="CQ10" s="438"/>
      <c r="CR10" s="438"/>
      <c r="CS10" s="438"/>
      <c r="CT10" s="438"/>
      <c r="CU10" s="438"/>
      <c r="CV10" s="438"/>
      <c r="CW10" s="438"/>
      <c r="CX10" s="438"/>
      <c r="CY10" s="438"/>
      <c r="CZ10" s="438"/>
      <c r="DA10" s="438"/>
      <c r="DB10" s="438"/>
      <c r="DC10" s="438"/>
      <c r="DD10" s="438"/>
      <c r="DE10" s="438"/>
      <c r="DF10" s="438"/>
      <c r="DG10" s="438"/>
      <c r="DH10" s="438"/>
      <c r="DI10" s="438"/>
      <c r="DJ10" s="438"/>
      <c r="DK10" s="438"/>
      <c r="DL10" s="438"/>
      <c r="DM10" s="438"/>
      <c r="DN10" s="438"/>
      <c r="DO10" s="438"/>
      <c r="DP10" s="438"/>
      <c r="DQ10" s="438"/>
      <c r="DR10" s="438"/>
      <c r="DS10" s="438"/>
      <c r="DT10" s="438"/>
      <c r="DU10" s="438"/>
      <c r="DV10" s="438"/>
      <c r="DW10" s="438"/>
      <c r="DX10" s="438"/>
      <c r="DY10" s="438"/>
      <c r="DZ10" s="438"/>
      <c r="EA10" s="438"/>
      <c r="EB10" s="438"/>
      <c r="EC10" s="438"/>
      <c r="ED10" s="438"/>
      <c r="EE10" s="438"/>
      <c r="EF10" s="438"/>
      <c r="EG10" s="438"/>
      <c r="EH10" s="438"/>
      <c r="EI10" s="438"/>
      <c r="EJ10" s="438"/>
      <c r="EK10" s="438"/>
      <c r="EL10" s="438"/>
      <c r="EM10" s="438"/>
      <c r="EN10" s="438"/>
      <c r="EO10" s="438"/>
      <c r="EP10" s="438"/>
      <c r="EQ10" s="438"/>
      <c r="ER10" s="438"/>
      <c r="ES10" s="438"/>
      <c r="ET10" s="438"/>
      <c r="EU10" s="438"/>
      <c r="EV10" s="438"/>
      <c r="EW10" s="438"/>
      <c r="EX10" s="438"/>
      <c r="EY10" s="438"/>
      <c r="EZ10" s="438"/>
      <c r="FA10" s="438"/>
      <c r="FB10" s="438"/>
      <c r="FC10" s="438"/>
      <c r="FD10" s="438"/>
      <c r="FE10" s="438"/>
      <c r="FF10" s="438"/>
      <c r="FG10" s="438"/>
      <c r="FH10" s="438"/>
      <c r="FI10" s="438"/>
      <c r="FJ10" s="438"/>
      <c r="FK10" s="438"/>
      <c r="FL10" s="438"/>
      <c r="FM10" s="438"/>
      <c r="FN10" s="438"/>
      <c r="FO10" s="438"/>
      <c r="FP10" s="438"/>
      <c r="FQ10" s="438"/>
      <c r="FR10" s="438"/>
      <c r="FS10" s="438"/>
      <c r="FT10" s="438"/>
      <c r="FU10" s="438"/>
      <c r="FV10" s="438"/>
      <c r="FW10" s="438"/>
      <c r="FX10" s="438"/>
      <c r="FY10" s="438"/>
      <c r="FZ10" s="438"/>
      <c r="GA10" s="438"/>
      <c r="GB10" s="438"/>
      <c r="GC10" s="438"/>
      <c r="GD10" s="438"/>
      <c r="GE10" s="438"/>
      <c r="GF10" s="438"/>
      <c r="GG10" s="438"/>
      <c r="GH10" s="438"/>
      <c r="GI10" s="438"/>
      <c r="GJ10" s="438"/>
      <c r="GK10" s="438"/>
      <c r="GL10" s="438"/>
      <c r="GM10" s="438"/>
      <c r="GN10" s="438"/>
      <c r="GO10" s="438"/>
      <c r="GP10" s="438"/>
      <c r="GQ10" s="438"/>
      <c r="GR10" s="438"/>
      <c r="GS10" s="438"/>
      <c r="GT10" s="438"/>
      <c r="GU10" s="438"/>
      <c r="GV10" s="438"/>
      <c r="GW10" s="438"/>
      <c r="GX10" s="438"/>
      <c r="GY10" s="438"/>
      <c r="GZ10" s="438"/>
      <c r="HA10" s="438"/>
      <c r="HB10" s="438"/>
      <c r="HC10" s="438"/>
      <c r="HD10" s="438"/>
      <c r="HE10" s="438"/>
      <c r="HF10" s="438"/>
      <c r="HG10" s="438"/>
      <c r="HH10" s="438"/>
      <c r="HI10" s="438"/>
      <c r="HJ10" s="438"/>
      <c r="HK10" s="438"/>
      <c r="HL10" s="438"/>
      <c r="HM10" s="438"/>
      <c r="HN10" s="438"/>
      <c r="HO10" s="438"/>
      <c r="HP10" s="438"/>
      <c r="HQ10" s="438"/>
      <c r="HR10" s="438"/>
      <c r="HS10" s="438"/>
      <c r="HT10" s="438"/>
      <c r="HU10" s="438"/>
      <c r="HV10" s="438"/>
      <c r="HW10" s="438"/>
      <c r="HX10" s="438"/>
      <c r="HY10" s="438"/>
      <c r="HZ10" s="438"/>
      <c r="IA10" s="438"/>
      <c r="IB10" s="438"/>
      <c r="IC10" s="438"/>
      <c r="ID10" s="438"/>
      <c r="IE10" s="438"/>
      <c r="IF10" s="438"/>
      <c r="IG10" s="438"/>
      <c r="IH10" s="438"/>
      <c r="II10" s="438"/>
      <c r="IJ10" s="438"/>
      <c r="IK10" s="438"/>
      <c r="IL10" s="438"/>
      <c r="IM10" s="438"/>
      <c r="IN10" s="438"/>
      <c r="IO10" s="438"/>
      <c r="IP10" s="438"/>
      <c r="IQ10" s="438"/>
      <c r="IR10" s="438"/>
      <c r="IS10" s="438"/>
      <c r="IT10" s="438"/>
      <c r="IU10" s="438"/>
      <c r="IV10" s="438"/>
      <c r="IW10" s="438"/>
    </row>
    <row r="11" ht="62" spans="1:257">
      <c r="A11" s="434" t="s">
        <v>7</v>
      </c>
      <c r="B11" s="439" t="s">
        <v>8</v>
      </c>
      <c r="IW11" s="454" t="s">
        <v>9</v>
      </c>
    </row>
    <row r="12" ht="15" spans="1:257">
      <c r="A12" s="434"/>
      <c r="B12" s="436"/>
      <c r="C12" s="440"/>
      <c r="D12" s="440"/>
      <c r="E12" s="440"/>
      <c r="F12" s="440"/>
      <c r="G12" s="440"/>
      <c r="H12" s="440"/>
      <c r="I12" s="440"/>
      <c r="J12" s="440"/>
      <c r="K12" s="440"/>
      <c r="L12" s="440"/>
      <c r="M12" s="440"/>
      <c r="N12" s="440"/>
      <c r="O12" s="440"/>
      <c r="P12" s="440"/>
      <c r="Q12" s="440"/>
      <c r="R12" s="440"/>
      <c r="S12" s="440"/>
      <c r="T12" s="440"/>
      <c r="U12" s="440"/>
      <c r="V12" s="440"/>
      <c r="W12" s="440"/>
      <c r="X12" s="440"/>
      <c r="Y12" s="440"/>
      <c r="Z12" s="440"/>
      <c r="AA12" s="440"/>
      <c r="AB12" s="440"/>
      <c r="AC12" s="440"/>
      <c r="AD12" s="440"/>
      <c r="AE12" s="440"/>
      <c r="AF12" s="440"/>
      <c r="AG12" s="440"/>
      <c r="AH12" s="440"/>
      <c r="AI12" s="440"/>
      <c r="AJ12" s="440"/>
      <c r="AK12" s="440"/>
      <c r="AL12" s="440"/>
      <c r="AM12" s="440"/>
      <c r="AN12" s="440"/>
      <c r="AO12" s="440"/>
      <c r="AP12" s="440"/>
      <c r="AQ12" s="440"/>
      <c r="AR12" s="440"/>
      <c r="AS12" s="440"/>
      <c r="AT12" s="440"/>
      <c r="AU12" s="440"/>
      <c r="AV12" s="440"/>
      <c r="AW12" s="440"/>
      <c r="AX12" s="440"/>
      <c r="AY12" s="440"/>
      <c r="AZ12" s="440"/>
      <c r="BA12" s="440"/>
      <c r="BB12" s="440"/>
      <c r="BC12" s="440"/>
      <c r="BD12" s="440"/>
      <c r="BE12" s="440"/>
      <c r="BF12" s="440"/>
      <c r="BG12" s="440"/>
      <c r="BH12" s="440"/>
      <c r="BI12" s="440"/>
      <c r="BJ12" s="440"/>
      <c r="BK12" s="440"/>
      <c r="BL12" s="440"/>
      <c r="BM12" s="440"/>
      <c r="BN12" s="440"/>
      <c r="BO12" s="440"/>
      <c r="BP12" s="440"/>
      <c r="BQ12" s="440"/>
      <c r="BR12" s="440"/>
      <c r="BS12" s="440"/>
      <c r="BT12" s="440"/>
      <c r="BU12" s="440"/>
      <c r="BV12" s="440"/>
      <c r="BW12" s="440"/>
      <c r="BX12" s="440"/>
      <c r="BY12" s="440"/>
      <c r="BZ12" s="440"/>
      <c r="CA12" s="440"/>
      <c r="CB12" s="440"/>
      <c r="CC12" s="440"/>
      <c r="CD12" s="440"/>
      <c r="CE12" s="440"/>
      <c r="CF12" s="440"/>
      <c r="CG12" s="440"/>
      <c r="CH12" s="440"/>
      <c r="CI12" s="440"/>
      <c r="CJ12" s="440"/>
      <c r="CK12" s="440"/>
      <c r="CL12" s="440"/>
      <c r="CM12" s="440"/>
      <c r="CN12" s="440"/>
      <c r="CO12" s="440"/>
      <c r="CP12" s="440"/>
      <c r="CQ12" s="440"/>
      <c r="CR12" s="440"/>
      <c r="CS12" s="440"/>
      <c r="CT12" s="440"/>
      <c r="CU12" s="440"/>
      <c r="CV12" s="440"/>
      <c r="CW12" s="440"/>
      <c r="CX12" s="440"/>
      <c r="CY12" s="440"/>
      <c r="CZ12" s="440"/>
      <c r="DA12" s="440"/>
      <c r="DB12" s="440"/>
      <c r="DC12" s="440"/>
      <c r="DD12" s="440"/>
      <c r="DE12" s="440"/>
      <c r="DF12" s="440"/>
      <c r="DG12" s="440"/>
      <c r="DH12" s="440"/>
      <c r="DI12" s="440"/>
      <c r="DJ12" s="440"/>
      <c r="DK12" s="440"/>
      <c r="DL12" s="440"/>
      <c r="DM12" s="440"/>
      <c r="DN12" s="440"/>
      <c r="DO12" s="440"/>
      <c r="DP12" s="440"/>
      <c r="DQ12" s="440"/>
      <c r="DR12" s="440"/>
      <c r="DS12" s="440"/>
      <c r="DT12" s="440"/>
      <c r="DU12" s="440"/>
      <c r="DV12" s="440"/>
      <c r="DW12" s="440"/>
      <c r="DX12" s="440"/>
      <c r="DY12" s="440"/>
      <c r="DZ12" s="440"/>
      <c r="EA12" s="440"/>
      <c r="EB12" s="440"/>
      <c r="EC12" s="440"/>
      <c r="ED12" s="440"/>
      <c r="EE12" s="440"/>
      <c r="EF12" s="440"/>
      <c r="EG12" s="440"/>
      <c r="EH12" s="440"/>
      <c r="EI12" s="440"/>
      <c r="EJ12" s="440"/>
      <c r="EK12" s="440"/>
      <c r="EL12" s="440"/>
      <c r="EM12" s="440"/>
      <c r="EN12" s="440"/>
      <c r="EO12" s="440"/>
      <c r="EP12" s="440"/>
      <c r="EQ12" s="440"/>
      <c r="ER12" s="440"/>
      <c r="ES12" s="440"/>
      <c r="ET12" s="440"/>
      <c r="EU12" s="440"/>
      <c r="EV12" s="440"/>
      <c r="EW12" s="440"/>
      <c r="EX12" s="440"/>
      <c r="EY12" s="440"/>
      <c r="EZ12" s="440"/>
      <c r="FA12" s="440"/>
      <c r="FB12" s="440"/>
      <c r="FC12" s="440"/>
      <c r="FD12" s="440"/>
      <c r="FE12" s="440"/>
      <c r="FF12" s="440"/>
      <c r="FG12" s="440"/>
      <c r="FH12" s="440"/>
      <c r="FI12" s="440"/>
      <c r="FJ12" s="440"/>
      <c r="FK12" s="440"/>
      <c r="FL12" s="440"/>
      <c r="FM12" s="440"/>
      <c r="FN12" s="440"/>
      <c r="FO12" s="440"/>
      <c r="FP12" s="440"/>
      <c r="FQ12" s="440"/>
      <c r="FR12" s="440"/>
      <c r="FS12" s="440"/>
      <c r="FT12" s="440"/>
      <c r="FU12" s="440"/>
      <c r="FV12" s="440"/>
      <c r="FW12" s="440"/>
      <c r="FX12" s="440"/>
      <c r="FY12" s="440"/>
      <c r="FZ12" s="440"/>
      <c r="GA12" s="440"/>
      <c r="GB12" s="440"/>
      <c r="GC12" s="440"/>
      <c r="GD12" s="440"/>
      <c r="GE12" s="440"/>
      <c r="GF12" s="440"/>
      <c r="GG12" s="440"/>
      <c r="GH12" s="440"/>
      <c r="GI12" s="440"/>
      <c r="GJ12" s="440"/>
      <c r="GK12" s="440"/>
      <c r="GL12" s="440"/>
      <c r="GM12" s="440"/>
      <c r="GN12" s="440"/>
      <c r="GO12" s="440"/>
      <c r="GP12" s="440"/>
      <c r="GQ12" s="440"/>
      <c r="GR12" s="440"/>
      <c r="GS12" s="440"/>
      <c r="GT12" s="440"/>
      <c r="GU12" s="440"/>
      <c r="GV12" s="440"/>
      <c r="GW12" s="440"/>
      <c r="GX12" s="440"/>
      <c r="GY12" s="440"/>
      <c r="GZ12" s="440"/>
      <c r="HA12" s="440"/>
      <c r="HB12" s="440"/>
      <c r="HC12" s="440"/>
      <c r="HD12" s="440"/>
      <c r="HE12" s="440"/>
      <c r="HF12" s="440"/>
      <c r="HG12" s="440"/>
      <c r="HH12" s="440"/>
      <c r="HI12" s="440"/>
      <c r="HJ12" s="440"/>
      <c r="HK12" s="440"/>
      <c r="HL12" s="440"/>
      <c r="HM12" s="440"/>
      <c r="HN12" s="440"/>
      <c r="HO12" s="440"/>
      <c r="HP12" s="440"/>
      <c r="HQ12" s="440"/>
      <c r="HR12" s="440"/>
      <c r="HS12" s="440"/>
      <c r="HT12" s="440"/>
      <c r="HU12" s="440"/>
      <c r="HV12" s="440"/>
      <c r="HW12" s="440"/>
      <c r="HX12" s="440"/>
      <c r="HY12" s="440"/>
      <c r="HZ12" s="440"/>
      <c r="IA12" s="440"/>
      <c r="IB12" s="440"/>
      <c r="IC12" s="440"/>
      <c r="ID12" s="440"/>
      <c r="IE12" s="440"/>
      <c r="IF12" s="440"/>
      <c r="IG12" s="440"/>
      <c r="IH12" s="440"/>
      <c r="II12" s="440"/>
      <c r="IJ12" s="440"/>
      <c r="IK12" s="440"/>
      <c r="IL12" s="440"/>
      <c r="IM12" s="440"/>
      <c r="IN12" s="440"/>
      <c r="IO12" s="440"/>
      <c r="IP12" s="440"/>
      <c r="IQ12" s="440"/>
      <c r="IR12" s="440"/>
      <c r="IS12" s="440"/>
      <c r="IT12" s="440"/>
      <c r="IU12" s="440"/>
      <c r="IV12" s="440"/>
      <c r="IW12" s="455"/>
    </row>
    <row r="13" ht="116.25" customHeight="1" spans="1:257">
      <c r="A13" s="434" t="s">
        <v>10</v>
      </c>
      <c r="B13" s="441" t="s">
        <v>11</v>
      </c>
      <c r="C13" s="441"/>
      <c r="D13" s="441"/>
      <c r="E13" s="441"/>
      <c r="F13" s="441"/>
      <c r="G13" s="441"/>
      <c r="H13" s="441"/>
      <c r="I13" s="441"/>
      <c r="J13" s="441"/>
      <c r="K13" s="441"/>
      <c r="L13" s="441"/>
      <c r="M13" s="441"/>
      <c r="N13" s="441"/>
      <c r="O13" s="441"/>
      <c r="P13" s="441"/>
      <c r="Q13" s="441"/>
      <c r="R13" s="441"/>
      <c r="S13" s="441"/>
      <c r="T13" s="441"/>
      <c r="U13" s="441"/>
      <c r="V13" s="441"/>
      <c r="W13" s="441"/>
      <c r="X13" s="441"/>
      <c r="Y13" s="441"/>
      <c r="Z13" s="441"/>
      <c r="AA13" s="441"/>
      <c r="AB13" s="441"/>
      <c r="AC13" s="441"/>
      <c r="AD13" s="441"/>
      <c r="AE13" s="441"/>
      <c r="AF13" s="441"/>
      <c r="AG13" s="441"/>
      <c r="AH13" s="441"/>
      <c r="AI13" s="441"/>
      <c r="AJ13" s="441"/>
      <c r="AK13" s="441"/>
      <c r="AL13" s="441"/>
      <c r="AM13" s="441"/>
      <c r="AN13" s="441"/>
      <c r="AO13" s="441"/>
      <c r="AP13" s="441"/>
      <c r="AQ13" s="441"/>
      <c r="AR13" s="441"/>
      <c r="AS13" s="441"/>
      <c r="AT13" s="441"/>
      <c r="AU13" s="441"/>
      <c r="AV13" s="441"/>
      <c r="AW13" s="441"/>
      <c r="AX13" s="441"/>
      <c r="AY13" s="441"/>
      <c r="AZ13" s="441"/>
      <c r="BA13" s="441"/>
      <c r="BB13" s="441"/>
      <c r="BC13" s="441"/>
      <c r="BD13" s="441"/>
      <c r="BE13" s="441"/>
      <c r="BF13" s="441"/>
      <c r="BG13" s="441"/>
      <c r="BH13" s="441"/>
      <c r="BI13" s="441"/>
      <c r="BJ13" s="441"/>
      <c r="BK13" s="441"/>
      <c r="BL13" s="441"/>
      <c r="BM13" s="441"/>
      <c r="BN13" s="441"/>
      <c r="BO13" s="441"/>
      <c r="BP13" s="441"/>
      <c r="BQ13" s="441"/>
      <c r="BR13" s="441"/>
      <c r="BS13" s="441"/>
      <c r="BT13" s="441"/>
      <c r="BU13" s="441"/>
      <c r="BV13" s="441"/>
      <c r="BW13" s="441"/>
      <c r="BX13" s="441"/>
      <c r="BY13" s="441"/>
      <c r="BZ13" s="441"/>
      <c r="CA13" s="441"/>
      <c r="CB13" s="441"/>
      <c r="CC13" s="441"/>
      <c r="CD13" s="441"/>
      <c r="CE13" s="441"/>
      <c r="CF13" s="441"/>
      <c r="CG13" s="441"/>
      <c r="CH13" s="441"/>
      <c r="CI13" s="441"/>
      <c r="CJ13" s="441"/>
      <c r="CK13" s="441"/>
      <c r="CL13" s="441"/>
      <c r="CM13" s="441"/>
      <c r="CN13" s="441"/>
      <c r="CO13" s="441"/>
      <c r="CP13" s="441"/>
      <c r="CQ13" s="441"/>
      <c r="CR13" s="441"/>
      <c r="CS13" s="441"/>
      <c r="CT13" s="441"/>
      <c r="CU13" s="441"/>
      <c r="CV13" s="441"/>
      <c r="CW13" s="441"/>
      <c r="CX13" s="441"/>
      <c r="CY13" s="441"/>
      <c r="CZ13" s="441"/>
      <c r="DA13" s="441"/>
      <c r="DB13" s="441"/>
      <c r="DC13" s="441"/>
      <c r="DD13" s="441"/>
      <c r="DE13" s="441"/>
      <c r="DF13" s="441"/>
      <c r="DG13" s="441"/>
      <c r="DH13" s="441"/>
      <c r="DI13" s="441"/>
      <c r="DJ13" s="441"/>
      <c r="DK13" s="441"/>
      <c r="DL13" s="441"/>
      <c r="DM13" s="441"/>
      <c r="DN13" s="441"/>
      <c r="DO13" s="441"/>
      <c r="DP13" s="441"/>
      <c r="DQ13" s="441"/>
      <c r="DR13" s="441"/>
      <c r="DS13" s="441"/>
      <c r="DT13" s="441"/>
      <c r="DU13" s="441"/>
      <c r="DV13" s="441"/>
      <c r="DW13" s="441"/>
      <c r="DX13" s="441"/>
      <c r="DY13" s="441"/>
      <c r="DZ13" s="441"/>
      <c r="EA13" s="441"/>
      <c r="EB13" s="441"/>
      <c r="EC13" s="441"/>
      <c r="ED13" s="441"/>
      <c r="EE13" s="441"/>
      <c r="EF13" s="441"/>
      <c r="EG13" s="441"/>
      <c r="EH13" s="441"/>
      <c r="EI13" s="441"/>
      <c r="EJ13" s="441"/>
      <c r="EK13" s="441"/>
      <c r="EL13" s="441"/>
      <c r="EM13" s="441"/>
      <c r="EN13" s="441"/>
      <c r="EO13" s="441"/>
      <c r="EP13" s="441"/>
      <c r="EQ13" s="441"/>
      <c r="ER13" s="441"/>
      <c r="ES13" s="441"/>
      <c r="ET13" s="441"/>
      <c r="EU13" s="441"/>
      <c r="EV13" s="441"/>
      <c r="EW13" s="441"/>
      <c r="EX13" s="441"/>
      <c r="EY13" s="441"/>
      <c r="EZ13" s="441"/>
      <c r="FA13" s="441"/>
      <c r="FB13" s="441"/>
      <c r="FC13" s="441"/>
      <c r="FD13" s="441"/>
      <c r="FE13" s="441"/>
      <c r="FF13" s="441"/>
      <c r="FG13" s="441"/>
      <c r="FH13" s="441"/>
      <c r="FI13" s="441"/>
      <c r="FJ13" s="441"/>
      <c r="FK13" s="441"/>
      <c r="FL13" s="441"/>
      <c r="FM13" s="441"/>
      <c r="FN13" s="441"/>
      <c r="FO13" s="441"/>
      <c r="FP13" s="441"/>
      <c r="FQ13" s="441"/>
      <c r="FR13" s="441"/>
      <c r="FS13" s="441"/>
      <c r="FT13" s="441"/>
      <c r="FU13" s="441"/>
      <c r="FV13" s="441"/>
      <c r="FW13" s="441"/>
      <c r="FX13" s="441"/>
      <c r="FY13" s="441"/>
      <c r="FZ13" s="441"/>
      <c r="GA13" s="441"/>
      <c r="GB13" s="441"/>
      <c r="GC13" s="441"/>
      <c r="GD13" s="441"/>
      <c r="GE13" s="441"/>
      <c r="GF13" s="441"/>
      <c r="GG13" s="441"/>
      <c r="GH13" s="441"/>
      <c r="GI13" s="441"/>
      <c r="GJ13" s="441"/>
      <c r="GK13" s="441"/>
      <c r="GL13" s="441"/>
      <c r="GM13" s="441"/>
      <c r="GN13" s="441"/>
      <c r="GO13" s="441"/>
      <c r="GP13" s="441"/>
      <c r="GQ13" s="441"/>
      <c r="GR13" s="441"/>
      <c r="GS13" s="441"/>
      <c r="GT13" s="441"/>
      <c r="GU13" s="441"/>
      <c r="GV13" s="441"/>
      <c r="GW13" s="441"/>
      <c r="GX13" s="441"/>
      <c r="GY13" s="441"/>
      <c r="GZ13" s="441"/>
      <c r="HA13" s="441"/>
      <c r="HB13" s="441"/>
      <c r="HC13" s="441"/>
      <c r="HD13" s="441"/>
      <c r="HE13" s="441"/>
      <c r="HF13" s="441"/>
      <c r="HG13" s="441"/>
      <c r="HH13" s="441"/>
      <c r="HI13" s="441"/>
      <c r="HJ13" s="441"/>
      <c r="HK13" s="441"/>
      <c r="HL13" s="441"/>
      <c r="HM13" s="441"/>
      <c r="HN13" s="441"/>
      <c r="HO13" s="441"/>
      <c r="HP13" s="441"/>
      <c r="HQ13" s="441"/>
      <c r="HR13" s="441"/>
      <c r="HS13" s="441"/>
      <c r="HT13" s="441"/>
      <c r="HU13" s="441"/>
      <c r="HV13" s="441"/>
      <c r="HW13" s="441"/>
      <c r="HX13" s="441"/>
      <c r="HY13" s="441"/>
      <c r="HZ13" s="441"/>
      <c r="IA13" s="441"/>
      <c r="IB13" s="441"/>
      <c r="IC13" s="441"/>
      <c r="ID13" s="441"/>
      <c r="IE13" s="441"/>
      <c r="IF13" s="441"/>
      <c r="IG13" s="441"/>
      <c r="IH13" s="441"/>
      <c r="II13" s="441"/>
      <c r="IJ13" s="441"/>
      <c r="IK13" s="441"/>
      <c r="IL13" s="441"/>
      <c r="IM13" s="441"/>
      <c r="IN13" s="441"/>
      <c r="IO13" s="441"/>
      <c r="IP13" s="441"/>
      <c r="IQ13" s="441"/>
      <c r="IR13" s="441"/>
      <c r="IS13" s="441"/>
      <c r="IT13" s="441"/>
      <c r="IU13" s="441"/>
      <c r="IV13" s="441"/>
      <c r="IW13" s="441"/>
    </row>
    <row r="14" ht="88.5" customHeight="1" spans="1:257">
      <c r="A14" s="442" t="s">
        <v>12</v>
      </c>
      <c r="B14" s="443" t="s">
        <v>13</v>
      </c>
      <c r="C14" s="443"/>
      <c r="D14" s="443"/>
      <c r="E14" s="443"/>
      <c r="F14" s="443"/>
      <c r="G14" s="443"/>
      <c r="H14" s="443"/>
      <c r="I14" s="443"/>
      <c r="J14" s="443"/>
      <c r="K14" s="443"/>
      <c r="L14" s="443"/>
      <c r="M14" s="443"/>
      <c r="N14" s="443"/>
      <c r="O14" s="443"/>
      <c r="P14" s="443"/>
      <c r="Q14" s="443"/>
      <c r="R14" s="443"/>
      <c r="S14" s="443"/>
      <c r="T14" s="443"/>
      <c r="U14" s="443"/>
      <c r="V14" s="443"/>
      <c r="W14" s="443"/>
      <c r="X14" s="443"/>
      <c r="Y14" s="443"/>
      <c r="Z14" s="443"/>
      <c r="AA14" s="443"/>
      <c r="AB14" s="443"/>
      <c r="AC14" s="443"/>
      <c r="AD14" s="443"/>
      <c r="AE14" s="443"/>
      <c r="AF14" s="443"/>
      <c r="AG14" s="443"/>
      <c r="AH14" s="443"/>
      <c r="AI14" s="443"/>
      <c r="AJ14" s="443"/>
      <c r="AK14" s="443"/>
      <c r="AL14" s="443"/>
      <c r="AM14" s="443"/>
      <c r="AN14" s="443"/>
      <c r="AO14" s="443"/>
      <c r="AP14" s="443"/>
      <c r="AQ14" s="443"/>
      <c r="AR14" s="443"/>
      <c r="AS14" s="443"/>
      <c r="AT14" s="443"/>
      <c r="AU14" s="443"/>
      <c r="AV14" s="443"/>
      <c r="AW14" s="443"/>
      <c r="AX14" s="443"/>
      <c r="AY14" s="443"/>
      <c r="AZ14" s="443"/>
      <c r="BA14" s="443"/>
      <c r="BB14" s="443"/>
      <c r="BC14" s="443"/>
      <c r="BD14" s="443"/>
      <c r="BE14" s="443"/>
      <c r="BF14" s="443"/>
      <c r="BG14" s="443"/>
      <c r="BH14" s="443"/>
      <c r="BI14" s="443"/>
      <c r="BJ14" s="443"/>
      <c r="BK14" s="443"/>
      <c r="BL14" s="443"/>
      <c r="BM14" s="443"/>
      <c r="BN14" s="443"/>
      <c r="BO14" s="443"/>
      <c r="BP14" s="443"/>
      <c r="BQ14" s="443"/>
      <c r="BR14" s="443"/>
      <c r="BS14" s="443"/>
      <c r="BT14" s="443"/>
      <c r="BU14" s="443"/>
      <c r="BV14" s="443"/>
      <c r="BW14" s="443"/>
      <c r="BX14" s="443"/>
      <c r="BY14" s="443"/>
      <c r="BZ14" s="443"/>
      <c r="CA14" s="443"/>
      <c r="CB14" s="443"/>
      <c r="CC14" s="443"/>
      <c r="CD14" s="443"/>
      <c r="CE14" s="443"/>
      <c r="CF14" s="443"/>
      <c r="CG14" s="443"/>
      <c r="CH14" s="443"/>
      <c r="CI14" s="443"/>
      <c r="CJ14" s="443"/>
      <c r="CK14" s="443"/>
      <c r="CL14" s="443"/>
      <c r="CM14" s="443"/>
      <c r="CN14" s="443"/>
      <c r="CO14" s="443"/>
      <c r="CP14" s="443"/>
      <c r="CQ14" s="443"/>
      <c r="CR14" s="443"/>
      <c r="CS14" s="443"/>
      <c r="CT14" s="443"/>
      <c r="CU14" s="443"/>
      <c r="CV14" s="443"/>
      <c r="CW14" s="443"/>
      <c r="CX14" s="443"/>
      <c r="CY14" s="443"/>
      <c r="CZ14" s="443"/>
      <c r="DA14" s="443"/>
      <c r="DB14" s="443"/>
      <c r="DC14" s="443"/>
      <c r="DD14" s="443"/>
      <c r="DE14" s="443"/>
      <c r="DF14" s="443"/>
      <c r="DG14" s="443"/>
      <c r="DH14" s="443"/>
      <c r="DI14" s="443"/>
      <c r="DJ14" s="443"/>
      <c r="DK14" s="443"/>
      <c r="DL14" s="443"/>
      <c r="DM14" s="443"/>
      <c r="DN14" s="443"/>
      <c r="DO14" s="443"/>
      <c r="DP14" s="443"/>
      <c r="DQ14" s="443"/>
      <c r="DR14" s="443"/>
      <c r="DS14" s="443"/>
      <c r="DT14" s="443"/>
      <c r="DU14" s="443"/>
      <c r="DV14" s="443"/>
      <c r="DW14" s="443"/>
      <c r="DX14" s="443"/>
      <c r="DY14" s="443"/>
      <c r="DZ14" s="443"/>
      <c r="EA14" s="443"/>
      <c r="EB14" s="443"/>
      <c r="EC14" s="443"/>
      <c r="ED14" s="443"/>
      <c r="EE14" s="443"/>
      <c r="EF14" s="443"/>
      <c r="EG14" s="443"/>
      <c r="EH14" s="443"/>
      <c r="EI14" s="443"/>
      <c r="EJ14" s="443"/>
      <c r="EK14" s="443"/>
      <c r="EL14" s="443"/>
      <c r="EM14" s="443"/>
      <c r="EN14" s="443"/>
      <c r="EO14" s="443"/>
      <c r="EP14" s="443"/>
      <c r="EQ14" s="443"/>
      <c r="ER14" s="443"/>
      <c r="ES14" s="443"/>
      <c r="ET14" s="443"/>
      <c r="EU14" s="443"/>
      <c r="EV14" s="443"/>
      <c r="EW14" s="443"/>
      <c r="EX14" s="443"/>
      <c r="EY14" s="443"/>
      <c r="EZ14" s="443"/>
      <c r="FA14" s="443"/>
      <c r="FB14" s="443"/>
      <c r="FC14" s="443"/>
      <c r="FD14" s="443"/>
      <c r="FE14" s="443"/>
      <c r="FF14" s="443"/>
      <c r="FG14" s="443"/>
      <c r="FH14" s="443"/>
      <c r="FI14" s="443"/>
      <c r="FJ14" s="443"/>
      <c r="FK14" s="443"/>
      <c r="FL14" s="443"/>
      <c r="FM14" s="443"/>
      <c r="FN14" s="443"/>
      <c r="FO14" s="443"/>
      <c r="FP14" s="443"/>
      <c r="FQ14" s="443"/>
      <c r="FR14" s="443"/>
      <c r="FS14" s="443"/>
      <c r="FT14" s="443"/>
      <c r="FU14" s="443"/>
      <c r="FV14" s="443"/>
      <c r="FW14" s="443"/>
      <c r="FX14" s="443"/>
      <c r="FY14" s="443"/>
      <c r="FZ14" s="443"/>
      <c r="GA14" s="443"/>
      <c r="GB14" s="443"/>
      <c r="GC14" s="443"/>
      <c r="GD14" s="443"/>
      <c r="GE14" s="443"/>
      <c r="GF14" s="443"/>
      <c r="GG14" s="443"/>
      <c r="GH14" s="443"/>
      <c r="GI14" s="443"/>
      <c r="GJ14" s="443"/>
      <c r="GK14" s="443"/>
      <c r="GL14" s="443"/>
      <c r="GM14" s="443"/>
      <c r="GN14" s="443"/>
      <c r="GO14" s="443"/>
      <c r="GP14" s="443"/>
      <c r="GQ14" s="443"/>
      <c r="GR14" s="443"/>
      <c r="GS14" s="443"/>
      <c r="GT14" s="443"/>
      <c r="GU14" s="443"/>
      <c r="GV14" s="443"/>
      <c r="GW14" s="443"/>
      <c r="GX14" s="443"/>
      <c r="GY14" s="443"/>
      <c r="GZ14" s="443"/>
      <c r="HA14" s="443"/>
      <c r="HB14" s="443"/>
      <c r="HC14" s="443"/>
      <c r="HD14" s="443"/>
      <c r="HE14" s="443"/>
      <c r="HF14" s="443"/>
      <c r="HG14" s="443"/>
      <c r="HH14" s="443"/>
      <c r="HI14" s="443"/>
      <c r="HJ14" s="443"/>
      <c r="HK14" s="443"/>
      <c r="HL14" s="443"/>
      <c r="HM14" s="443"/>
      <c r="HN14" s="443"/>
      <c r="HO14" s="443"/>
      <c r="HP14" s="443"/>
      <c r="HQ14" s="443"/>
      <c r="HR14" s="443"/>
      <c r="HS14" s="443"/>
      <c r="HT14" s="443"/>
      <c r="HU14" s="443"/>
      <c r="HV14" s="443"/>
      <c r="HW14" s="443"/>
      <c r="HX14" s="443"/>
      <c r="HY14" s="443"/>
      <c r="HZ14" s="443"/>
      <c r="IA14" s="443"/>
      <c r="IB14" s="443"/>
      <c r="IC14" s="443"/>
      <c r="ID14" s="443"/>
      <c r="IE14" s="443"/>
      <c r="IF14" s="443"/>
      <c r="IG14" s="443"/>
      <c r="IH14" s="443"/>
      <c r="II14" s="443"/>
      <c r="IJ14" s="443"/>
      <c r="IK14" s="443"/>
      <c r="IL14" s="443"/>
      <c r="IM14" s="443"/>
      <c r="IN14" s="443"/>
      <c r="IO14" s="443"/>
      <c r="IP14" s="443"/>
      <c r="IQ14" s="443"/>
      <c r="IR14" s="443"/>
      <c r="IS14" s="443"/>
      <c r="IT14" s="443"/>
      <c r="IU14" s="443"/>
      <c r="IV14" s="443"/>
      <c r="IW14" s="443"/>
    </row>
    <row r="15" ht="54" customHeight="1" spans="1:4">
      <c r="A15" s="434" t="s">
        <v>14</v>
      </c>
      <c r="B15" s="441" t="s">
        <v>15</v>
      </c>
      <c r="C15" s="444"/>
      <c r="D15" s="444"/>
    </row>
    <row r="16" ht="24.75" customHeight="1" spans="1:2">
      <c r="A16" s="434" t="s">
        <v>16</v>
      </c>
      <c r="B16" s="441" t="s">
        <v>17</v>
      </c>
    </row>
    <row r="17" ht="42" customHeight="1" spans="1:2">
      <c r="A17" s="434" t="s">
        <v>18</v>
      </c>
      <c r="B17" s="441" t="s">
        <v>19</v>
      </c>
    </row>
    <row r="18" spans="1:2">
      <c r="A18" s="434"/>
      <c r="B18" s="445"/>
    </row>
    <row r="19" spans="1:2">
      <c r="A19" s="446"/>
      <c r="B19" s="444"/>
    </row>
    <row r="20" spans="1:2">
      <c r="A20" s="447"/>
      <c r="B20" s="444"/>
    </row>
    <row r="21" spans="1:6">
      <c r="A21" s="448"/>
      <c r="B21" s="449"/>
      <c r="F21" s="450"/>
    </row>
    <row r="22" spans="1:6">
      <c r="A22" s="451"/>
      <c r="B22" s="451"/>
      <c r="E22" s="452"/>
      <c r="F22" s="452"/>
    </row>
    <row r="23" spans="1:2">
      <c r="A23" s="451"/>
      <c r="B23" s="451"/>
    </row>
    <row r="35" spans="12:12">
      <c r="L35" s="450"/>
    </row>
    <row r="77" spans="6:6">
      <c r="F77" s="452"/>
    </row>
    <row r="93" spans="6:6">
      <c r="F93" s="452"/>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U56"/>
  <sheetViews>
    <sheetView showGridLines="0" tabSelected="1" zoomScale="90" zoomScaleNormal="90" topLeftCell="A23" workbookViewId="0">
      <selection activeCell="P51" sqref="P51"/>
    </sheetView>
  </sheetViews>
  <sheetFormatPr defaultColWidth="9" defaultRowHeight="14"/>
  <cols>
    <col min="1" max="1" width="3.62727272727273" style="243" customWidth="1"/>
    <col min="2" max="2" width="10.6272727272727" style="243" customWidth="1"/>
    <col min="3" max="3" width="20.1272727272727" style="243" customWidth="1"/>
    <col min="4" max="9" width="10.6272727272727" style="243" customWidth="1"/>
    <col min="10" max="10" width="10.6272727272727" style="244" customWidth="1"/>
    <col min="11" max="11" width="9" style="243"/>
    <col min="12" max="12" width="14.5" style="245" customWidth="1"/>
    <col min="13" max="13" width="14.3727272727273" style="245" customWidth="1"/>
    <col min="14" max="14" width="16.7545454545455" style="245" customWidth="1"/>
    <col min="15" max="15" width="10.5" style="245" customWidth="1"/>
    <col min="16" max="17" width="11.2545454545455" style="245" customWidth="1"/>
    <col min="18" max="18" width="11.8727272727273" style="245" customWidth="1"/>
    <col min="19" max="19" width="11.6272727272727" style="245" customWidth="1"/>
    <col min="20" max="20" width="8" style="245" customWidth="1"/>
    <col min="21" max="21" width="5.37272727272727" style="245" customWidth="1"/>
    <col min="22" max="16384" width="9" style="243"/>
  </cols>
  <sheetData>
    <row r="1" ht="29.25" customHeight="1" spans="2:10">
      <c r="B1" s="246" t="str">
        <f>封面!B7</f>
        <v>HW351002</v>
      </c>
      <c r="C1" s="246"/>
      <c r="D1" s="246"/>
      <c r="E1" s="246"/>
      <c r="F1" s="247" t="s">
        <v>20</v>
      </c>
      <c r="G1" s="247"/>
      <c r="H1" s="247"/>
      <c r="I1" s="247"/>
      <c r="J1" s="247"/>
    </row>
    <row r="2" ht="15.75" spans="2:21">
      <c r="B2" s="248"/>
      <c r="C2" s="249"/>
      <c r="D2" s="249"/>
      <c r="E2" s="249"/>
      <c r="F2" s="249"/>
      <c r="G2" s="249"/>
      <c r="H2" s="249"/>
      <c r="I2" s="249"/>
      <c r="J2" s="317"/>
      <c r="L2" s="318" t="s">
        <v>4</v>
      </c>
      <c r="M2" s="318"/>
      <c r="N2" s="318"/>
      <c r="O2" s="318"/>
      <c r="P2" s="319" t="s">
        <v>21</v>
      </c>
      <c r="Q2" s="319"/>
      <c r="R2" s="319"/>
      <c r="S2" s="319"/>
      <c r="T2" s="319"/>
      <c r="U2" s="319"/>
    </row>
    <row r="3" ht="15" spans="2:21">
      <c r="B3" s="250"/>
      <c r="C3" s="251" t="s">
        <v>22</v>
      </c>
      <c r="D3" s="251"/>
      <c r="E3" s="251"/>
      <c r="F3" s="251"/>
      <c r="G3" s="251"/>
      <c r="H3" s="251"/>
      <c r="I3" s="252"/>
      <c r="J3" s="320"/>
      <c r="L3" s="321" t="s">
        <v>23</v>
      </c>
      <c r="M3" s="322"/>
      <c r="N3" s="323"/>
      <c r="O3" s="324"/>
      <c r="P3" s="322"/>
      <c r="Q3" s="324"/>
      <c r="R3" s="324"/>
      <c r="S3" s="324"/>
      <c r="T3" s="324"/>
      <c r="U3" s="395"/>
    </row>
    <row r="4" spans="2:21">
      <c r="B4" s="250"/>
      <c r="C4" s="252"/>
      <c r="D4" s="252"/>
      <c r="E4" s="252"/>
      <c r="F4" s="252"/>
      <c r="G4" s="252"/>
      <c r="H4" s="252"/>
      <c r="I4" s="252"/>
      <c r="J4" s="320"/>
      <c r="L4" s="325"/>
      <c r="M4" s="326" t="s">
        <v>24</v>
      </c>
      <c r="N4" s="327" t="s">
        <v>4</v>
      </c>
      <c r="O4" s="327"/>
      <c r="P4" s="328"/>
      <c r="Q4" s="327"/>
      <c r="R4" s="328"/>
      <c r="S4" s="327"/>
      <c r="T4" s="342"/>
      <c r="U4" s="396"/>
    </row>
    <row r="5" spans="2:21">
      <c r="B5" s="250"/>
      <c r="C5" s="253" t="str">
        <f>封面!B7</f>
        <v>HW351002</v>
      </c>
      <c r="D5" s="254"/>
      <c r="E5" s="254"/>
      <c r="F5" s="254"/>
      <c r="G5" s="254"/>
      <c r="H5" s="255"/>
      <c r="I5" s="252"/>
      <c r="J5" s="320"/>
      <c r="L5" s="329"/>
      <c r="M5" s="326" t="s">
        <v>25</v>
      </c>
      <c r="N5" s="330" t="s">
        <v>26</v>
      </c>
      <c r="O5" s="327"/>
      <c r="P5" s="331"/>
      <c r="Q5" s="327"/>
      <c r="R5" s="331"/>
      <c r="S5" s="342"/>
      <c r="T5" s="342"/>
      <c r="U5" s="396"/>
    </row>
    <row r="6" spans="2:21">
      <c r="B6" s="250"/>
      <c r="C6" s="256" t="s">
        <v>27</v>
      </c>
      <c r="D6" s="257"/>
      <c r="E6" s="257"/>
      <c r="F6" s="257"/>
      <c r="G6" s="257"/>
      <c r="H6" s="258"/>
      <c r="I6" s="252"/>
      <c r="J6" s="320"/>
      <c r="L6" s="329"/>
      <c r="M6" s="326" t="s">
        <v>28</v>
      </c>
      <c r="N6" s="330">
        <v>778.2</v>
      </c>
      <c r="O6" s="327"/>
      <c r="P6" s="332"/>
      <c r="Q6" s="327"/>
      <c r="R6" s="332"/>
      <c r="S6" s="342"/>
      <c r="T6" s="342"/>
      <c r="U6" s="396"/>
    </row>
    <row r="7" ht="14.75" spans="2:21">
      <c r="B7" s="250"/>
      <c r="C7" s="259" t="s">
        <v>29</v>
      </c>
      <c r="D7" s="260">
        <v>1</v>
      </c>
      <c r="E7" s="260">
        <v>2</v>
      </c>
      <c r="F7" s="260">
        <v>3</v>
      </c>
      <c r="G7" s="261" t="s">
        <v>30</v>
      </c>
      <c r="H7" s="262" t="s">
        <v>31</v>
      </c>
      <c r="I7" s="252"/>
      <c r="J7" s="320"/>
      <c r="L7" s="329"/>
      <c r="M7" s="326" t="s">
        <v>32</v>
      </c>
      <c r="N7" s="333">
        <v>0.977</v>
      </c>
      <c r="O7" s="334"/>
      <c r="P7" s="326"/>
      <c r="Q7" s="397"/>
      <c r="R7" s="326"/>
      <c r="S7" s="397"/>
      <c r="T7" s="328"/>
      <c r="U7" s="398"/>
    </row>
    <row r="8" ht="14.75" spans="2:21">
      <c r="B8" s="250"/>
      <c r="C8" s="263">
        <v>0.0833</v>
      </c>
      <c r="D8" s="264">
        <v>51.9</v>
      </c>
      <c r="E8" s="265">
        <v>70.1</v>
      </c>
      <c r="F8" s="266">
        <v>108</v>
      </c>
      <c r="G8" s="267">
        <f>AVERAGE(D8:F8)</f>
        <v>76.6666666666667</v>
      </c>
      <c r="H8" s="267">
        <f>STDEV(D8:F8)</f>
        <v>28.6206801689501</v>
      </c>
      <c r="I8" s="252"/>
      <c r="J8" s="320"/>
      <c r="L8" s="335" t="s">
        <v>33</v>
      </c>
      <c r="M8" s="336"/>
      <c r="N8" s="337"/>
      <c r="O8" s="338"/>
      <c r="P8" s="336"/>
      <c r="Q8" s="399"/>
      <c r="R8" s="399"/>
      <c r="S8" s="399"/>
      <c r="T8" s="399"/>
      <c r="U8" s="400"/>
    </row>
    <row r="9" spans="2:21">
      <c r="B9" s="250"/>
      <c r="C9" s="268">
        <v>0.25</v>
      </c>
      <c r="D9" s="269">
        <v>102</v>
      </c>
      <c r="E9" s="207">
        <v>128</v>
      </c>
      <c r="F9" s="270">
        <v>80.6</v>
      </c>
      <c r="G9" s="271">
        <f t="shared" ref="G9:G14" si="0">AVERAGE(D9:F9)</f>
        <v>103.533333333333</v>
      </c>
      <c r="H9" s="272">
        <f t="shared" ref="H9:H13" si="1">STDEV(D9:F9)</f>
        <v>23.7371719742124</v>
      </c>
      <c r="I9" s="252"/>
      <c r="J9" s="320"/>
      <c r="L9" s="339" t="s">
        <v>34</v>
      </c>
      <c r="M9" s="322"/>
      <c r="N9" s="323" t="s">
        <v>35</v>
      </c>
      <c r="O9" s="324"/>
      <c r="P9" s="340" t="s">
        <v>36</v>
      </c>
      <c r="Q9" s="401" t="s">
        <v>37</v>
      </c>
      <c r="R9" s="402"/>
      <c r="S9" s="402"/>
      <c r="T9" s="402"/>
      <c r="U9" s="403"/>
    </row>
    <row r="10" spans="2:21">
      <c r="B10" s="250"/>
      <c r="C10" s="273">
        <v>0.5</v>
      </c>
      <c r="D10" s="269">
        <v>157</v>
      </c>
      <c r="E10" s="207">
        <v>202</v>
      </c>
      <c r="F10" s="270">
        <v>44.3</v>
      </c>
      <c r="G10" s="271">
        <f t="shared" si="0"/>
        <v>134.433333333333</v>
      </c>
      <c r="H10" s="272">
        <f t="shared" si="1"/>
        <v>81.2358500499215</v>
      </c>
      <c r="I10" s="252"/>
      <c r="J10" s="320"/>
      <c r="L10" s="329" t="s">
        <v>38</v>
      </c>
      <c r="M10" s="326"/>
      <c r="N10" s="341">
        <v>10</v>
      </c>
      <c r="O10" s="342"/>
      <c r="P10" s="326"/>
      <c r="Q10" s="342"/>
      <c r="R10" s="374"/>
      <c r="S10" s="374"/>
      <c r="T10" s="374"/>
      <c r="U10" s="404"/>
    </row>
    <row r="11" spans="2:21">
      <c r="B11" s="250"/>
      <c r="C11" s="274">
        <v>1</v>
      </c>
      <c r="D11" s="269">
        <v>53.3</v>
      </c>
      <c r="E11" s="207">
        <v>59.9</v>
      </c>
      <c r="F11" s="270">
        <v>63.8</v>
      </c>
      <c r="G11" s="272">
        <f t="shared" si="0"/>
        <v>59</v>
      </c>
      <c r="H11" s="275">
        <f t="shared" si="1"/>
        <v>5.30754180388624</v>
      </c>
      <c r="I11" s="252"/>
      <c r="J11" s="320"/>
      <c r="L11" s="329" t="s">
        <v>39</v>
      </c>
      <c r="M11" s="326"/>
      <c r="N11" s="343">
        <v>1</v>
      </c>
      <c r="O11" s="342"/>
      <c r="P11" s="326"/>
      <c r="Q11" s="328"/>
      <c r="R11" s="328"/>
      <c r="S11" s="328"/>
      <c r="T11" s="328"/>
      <c r="U11" s="398"/>
    </row>
    <row r="12" spans="2:21">
      <c r="B12" s="250"/>
      <c r="C12" s="276">
        <v>2</v>
      </c>
      <c r="D12" s="277">
        <v>17</v>
      </c>
      <c r="E12" s="207">
        <v>11.3</v>
      </c>
      <c r="F12" s="270">
        <v>42.1</v>
      </c>
      <c r="G12" s="272">
        <f t="shared" si="0"/>
        <v>23.4666666666667</v>
      </c>
      <c r="H12" s="272">
        <f t="shared" si="1"/>
        <v>16.3866815839368</v>
      </c>
      <c r="I12" s="252"/>
      <c r="J12" s="320"/>
      <c r="L12" s="329" t="s">
        <v>40</v>
      </c>
      <c r="M12" s="326"/>
      <c r="N12" s="341">
        <v>10</v>
      </c>
      <c r="O12" s="342"/>
      <c r="P12" s="342"/>
      <c r="Q12" s="374"/>
      <c r="R12" s="374"/>
      <c r="S12" s="374"/>
      <c r="T12" s="374"/>
      <c r="U12" s="404"/>
    </row>
    <row r="13" ht="14.75" spans="2:21">
      <c r="B13" s="250"/>
      <c r="C13" s="276">
        <v>4</v>
      </c>
      <c r="D13" s="269">
        <v>3.51</v>
      </c>
      <c r="E13" s="207" t="s">
        <v>41</v>
      </c>
      <c r="F13" s="270">
        <v>7.44</v>
      </c>
      <c r="G13" s="275">
        <f t="shared" si="0"/>
        <v>5.475</v>
      </c>
      <c r="H13" s="275">
        <f t="shared" si="1"/>
        <v>2.77892965006313</v>
      </c>
      <c r="I13" s="252"/>
      <c r="J13" s="320" t="s">
        <v>42</v>
      </c>
      <c r="L13" s="344"/>
      <c r="M13" s="345"/>
      <c r="N13" s="345"/>
      <c r="O13" s="345"/>
      <c r="P13" s="345"/>
      <c r="Q13" s="345"/>
      <c r="R13" s="345"/>
      <c r="S13" s="345"/>
      <c r="T13" s="345"/>
      <c r="U13" s="405"/>
    </row>
    <row r="14" ht="14.75" spans="2:21">
      <c r="B14" s="250"/>
      <c r="C14" s="276">
        <v>6</v>
      </c>
      <c r="D14" s="269" t="s">
        <v>41</v>
      </c>
      <c r="E14" s="207" t="s">
        <v>41</v>
      </c>
      <c r="F14" s="270">
        <v>1.02</v>
      </c>
      <c r="G14" s="275">
        <f t="shared" si="0"/>
        <v>1.02</v>
      </c>
      <c r="H14" s="272" t="s">
        <v>43</v>
      </c>
      <c r="I14" s="252"/>
      <c r="J14" s="320"/>
      <c r="L14" s="346" t="s">
        <v>44</v>
      </c>
      <c r="M14" s="347"/>
      <c r="N14" s="347"/>
      <c r="O14" s="347"/>
      <c r="P14" s="347"/>
      <c r="Q14" s="347"/>
      <c r="R14" s="347"/>
      <c r="S14" s="347"/>
      <c r="T14" s="324"/>
      <c r="U14" s="395"/>
    </row>
    <row r="15" spans="2:21">
      <c r="B15" s="250"/>
      <c r="C15" s="278">
        <v>8</v>
      </c>
      <c r="D15" s="269" t="s">
        <v>41</v>
      </c>
      <c r="E15" s="207" t="s">
        <v>41</v>
      </c>
      <c r="F15" s="270" t="s">
        <v>41</v>
      </c>
      <c r="G15" s="272" t="s">
        <v>43</v>
      </c>
      <c r="H15" s="272" t="s">
        <v>43</v>
      </c>
      <c r="I15" s="252"/>
      <c r="J15" s="320"/>
      <c r="L15" s="348" t="s">
        <v>45</v>
      </c>
      <c r="M15" s="349" t="s">
        <v>46</v>
      </c>
      <c r="N15" s="349" t="s">
        <v>47</v>
      </c>
      <c r="O15" s="350" t="s">
        <v>48</v>
      </c>
      <c r="P15" s="350" t="s">
        <v>49</v>
      </c>
      <c r="Q15" s="350" t="s">
        <v>50</v>
      </c>
      <c r="R15" s="350" t="s">
        <v>51</v>
      </c>
      <c r="S15" s="406" t="s">
        <v>52</v>
      </c>
      <c r="T15" s="407" t="s">
        <v>53</v>
      </c>
      <c r="U15" s="408"/>
    </row>
    <row r="16" spans="2:21">
      <c r="B16" s="250"/>
      <c r="C16" s="279">
        <v>24</v>
      </c>
      <c r="D16" s="280" t="s">
        <v>41</v>
      </c>
      <c r="E16" s="281" t="s">
        <v>41</v>
      </c>
      <c r="F16" s="282" t="s">
        <v>41</v>
      </c>
      <c r="G16" s="283" t="s">
        <v>43</v>
      </c>
      <c r="H16" s="284" t="s">
        <v>43</v>
      </c>
      <c r="I16" s="252"/>
      <c r="J16" s="320"/>
      <c r="L16" s="351"/>
      <c r="M16" s="352"/>
      <c r="N16" s="352"/>
      <c r="O16" s="353"/>
      <c r="P16" s="353"/>
      <c r="Q16" s="353"/>
      <c r="R16" s="353"/>
      <c r="S16" s="409"/>
      <c r="T16" s="280"/>
      <c r="U16" s="410"/>
    </row>
    <row r="17" spans="2:21">
      <c r="B17" s="250"/>
      <c r="C17" s="252"/>
      <c r="D17" s="252"/>
      <c r="E17" s="252"/>
      <c r="F17" s="252"/>
      <c r="G17" s="252"/>
      <c r="H17" s="252"/>
      <c r="I17" s="252"/>
      <c r="J17" s="320"/>
      <c r="L17" s="354" t="s">
        <v>35</v>
      </c>
      <c r="M17" s="355" t="s">
        <v>4</v>
      </c>
      <c r="N17" s="356" t="s">
        <v>37</v>
      </c>
      <c r="O17" s="357">
        <v>1</v>
      </c>
      <c r="P17" s="358">
        <v>1.4</v>
      </c>
      <c r="Q17" s="411">
        <v>1.368</v>
      </c>
      <c r="R17" s="411">
        <v>0.068</v>
      </c>
      <c r="S17" s="412">
        <v>0.137</v>
      </c>
      <c r="T17" s="264">
        <v>1.163</v>
      </c>
      <c r="U17" s="413"/>
    </row>
    <row r="18" spans="2:21">
      <c r="B18" s="250"/>
      <c r="C18" s="252"/>
      <c r="D18" s="252"/>
      <c r="E18" s="252"/>
      <c r="F18" s="252"/>
      <c r="G18" s="252"/>
      <c r="H18" s="252"/>
      <c r="I18" s="252"/>
      <c r="J18" s="320"/>
      <c r="L18" s="359"/>
      <c r="M18" s="360"/>
      <c r="N18" s="361"/>
      <c r="O18" s="362"/>
      <c r="P18" s="363"/>
      <c r="Q18" s="414"/>
      <c r="R18" s="414"/>
      <c r="S18" s="415"/>
      <c r="T18" s="269"/>
      <c r="U18" s="416"/>
    </row>
    <row r="19" spans="2:21">
      <c r="B19" s="250"/>
      <c r="C19" s="252"/>
      <c r="D19" s="252"/>
      <c r="E19" s="252"/>
      <c r="F19" s="252"/>
      <c r="G19" s="252"/>
      <c r="H19" s="252"/>
      <c r="I19" s="252"/>
      <c r="J19" s="320"/>
      <c r="L19" s="364"/>
      <c r="M19" s="365"/>
      <c r="N19" s="366"/>
      <c r="O19" s="367"/>
      <c r="P19" s="368"/>
      <c r="Q19" s="417"/>
      <c r="R19" s="417"/>
      <c r="S19" s="418"/>
      <c r="T19" s="280"/>
      <c r="U19" s="410"/>
    </row>
    <row r="20" ht="33.75" customHeight="1" spans="2:21">
      <c r="B20" s="250"/>
      <c r="C20" s="252"/>
      <c r="D20" s="252"/>
      <c r="E20" s="252"/>
      <c r="F20" s="252"/>
      <c r="G20" s="252"/>
      <c r="H20" s="252"/>
      <c r="I20" s="252"/>
      <c r="J20" s="320"/>
      <c r="L20" s="369"/>
      <c r="M20" s="370"/>
      <c r="N20" s="371"/>
      <c r="O20" s="372"/>
      <c r="P20" s="373"/>
      <c r="Q20" s="419"/>
      <c r="R20" s="419"/>
      <c r="S20" s="419"/>
      <c r="T20" s="419"/>
      <c r="U20" s="420"/>
    </row>
    <row r="21" ht="15" customHeight="1" spans="2:21">
      <c r="B21" s="250"/>
      <c r="C21" s="252"/>
      <c r="D21" s="252"/>
      <c r="E21" s="252"/>
      <c r="F21" s="252"/>
      <c r="G21" s="252"/>
      <c r="H21" s="252"/>
      <c r="I21" s="252"/>
      <c r="J21" s="320"/>
      <c r="L21" s="325" t="s">
        <v>54</v>
      </c>
      <c r="M21" s="374"/>
      <c r="N21" s="374"/>
      <c r="O21" s="374"/>
      <c r="P21" s="374"/>
      <c r="Q21" s="342"/>
      <c r="R21" s="374"/>
      <c r="S21" s="374"/>
      <c r="T21" s="374"/>
      <c r="U21" s="404"/>
    </row>
    <row r="22" ht="15" customHeight="1" spans="2:21">
      <c r="B22" s="250"/>
      <c r="C22" s="252"/>
      <c r="D22" s="252"/>
      <c r="E22" s="252"/>
      <c r="F22" s="252"/>
      <c r="G22" s="252"/>
      <c r="H22" s="252"/>
      <c r="I22" s="252"/>
      <c r="J22" s="320"/>
      <c r="L22" s="375" t="s">
        <v>55</v>
      </c>
      <c r="M22" s="342"/>
      <c r="N22" s="328"/>
      <c r="O22" s="328"/>
      <c r="P22" s="328"/>
      <c r="Q22" s="342"/>
      <c r="R22" s="342"/>
      <c r="S22" s="328"/>
      <c r="T22" s="328"/>
      <c r="U22" s="398"/>
    </row>
    <row r="23" ht="34.5" customHeight="1" spans="2:21">
      <c r="B23" s="250"/>
      <c r="C23" s="252"/>
      <c r="D23" s="252"/>
      <c r="E23" s="252"/>
      <c r="F23" s="252"/>
      <c r="G23" s="252"/>
      <c r="H23" s="252"/>
      <c r="I23" s="252"/>
      <c r="J23" s="320"/>
      <c r="L23" s="375" t="s">
        <v>56</v>
      </c>
      <c r="M23" s="374"/>
      <c r="N23" s="374"/>
      <c r="O23" s="374"/>
      <c r="P23" s="374"/>
      <c r="Q23" s="342"/>
      <c r="R23" s="374"/>
      <c r="S23" s="374"/>
      <c r="T23" s="374"/>
      <c r="U23" s="404"/>
    </row>
    <row r="24" ht="15" customHeight="1" spans="2:21">
      <c r="B24" s="250"/>
      <c r="C24" s="252"/>
      <c r="D24" s="252"/>
      <c r="E24" s="252"/>
      <c r="F24" s="252"/>
      <c r="G24" s="252"/>
      <c r="H24" s="252"/>
      <c r="I24" s="252"/>
      <c r="J24" s="320"/>
      <c r="L24" s="375" t="s">
        <v>57</v>
      </c>
      <c r="M24" s="374"/>
      <c r="N24" s="374"/>
      <c r="O24" s="374"/>
      <c r="P24" s="374"/>
      <c r="Q24" s="342"/>
      <c r="R24" s="374"/>
      <c r="S24" s="374"/>
      <c r="T24" s="374"/>
      <c r="U24" s="404"/>
    </row>
    <row r="25" spans="2:21">
      <c r="B25" s="250"/>
      <c r="C25" s="252"/>
      <c r="D25" s="252"/>
      <c r="E25" s="252"/>
      <c r="F25" s="252"/>
      <c r="G25" s="252"/>
      <c r="H25" s="252"/>
      <c r="I25" s="252"/>
      <c r="J25" s="320"/>
      <c r="L25" s="375" t="s">
        <v>58</v>
      </c>
      <c r="M25" s="374"/>
      <c r="N25" s="374"/>
      <c r="O25" s="374"/>
      <c r="P25" s="374"/>
      <c r="Q25" s="342"/>
      <c r="R25" s="374"/>
      <c r="S25" s="374"/>
      <c r="T25" s="374"/>
      <c r="U25" s="404"/>
    </row>
    <row r="26" ht="14.75" spans="2:21">
      <c r="B26" s="250"/>
      <c r="C26" s="252"/>
      <c r="D26" s="252"/>
      <c r="E26" s="252"/>
      <c r="F26" s="252"/>
      <c r="G26" s="252"/>
      <c r="H26" s="252"/>
      <c r="I26" s="252"/>
      <c r="J26" s="320"/>
      <c r="L26" s="344"/>
      <c r="M26" s="376"/>
      <c r="N26" s="376"/>
      <c r="O26" s="376"/>
      <c r="P26" s="376"/>
      <c r="Q26" s="345"/>
      <c r="R26" s="376"/>
      <c r="S26" s="376"/>
      <c r="T26" s="376"/>
      <c r="U26" s="421"/>
    </row>
    <row r="27" ht="14.75" spans="2:21">
      <c r="B27" s="250"/>
      <c r="C27" s="252"/>
      <c r="D27" s="252"/>
      <c r="E27" s="252"/>
      <c r="F27" s="252"/>
      <c r="G27" s="252"/>
      <c r="H27" s="252"/>
      <c r="I27" s="252"/>
      <c r="J27" s="320"/>
      <c r="L27" s="342"/>
      <c r="M27" s="374"/>
      <c r="N27" s="374"/>
      <c r="O27" s="374"/>
      <c r="P27" s="374"/>
      <c r="Q27" s="342"/>
      <c r="R27" s="374"/>
      <c r="S27" s="374"/>
      <c r="T27" s="374"/>
      <c r="U27" s="374"/>
    </row>
    <row r="28" spans="2:21">
      <c r="B28" s="250"/>
      <c r="C28" s="252"/>
      <c r="D28" s="252"/>
      <c r="E28" s="252"/>
      <c r="F28" s="252"/>
      <c r="G28" s="252"/>
      <c r="H28" s="252"/>
      <c r="I28" s="252"/>
      <c r="J28" s="377"/>
      <c r="L28" s="378" t="s">
        <v>59</v>
      </c>
      <c r="M28" s="379"/>
      <c r="N28" s="379"/>
      <c r="O28" s="379"/>
      <c r="P28" s="379"/>
      <c r="Q28" s="422"/>
      <c r="R28" s="422"/>
      <c r="S28" s="422"/>
      <c r="T28" s="423"/>
      <c r="U28" s="424"/>
    </row>
    <row r="29" spans="2:21">
      <c r="B29" s="250"/>
      <c r="C29" s="252"/>
      <c r="D29" s="252"/>
      <c r="E29" s="252"/>
      <c r="F29" s="252"/>
      <c r="G29" s="252"/>
      <c r="H29" s="252"/>
      <c r="I29" s="252"/>
      <c r="J29" s="377"/>
      <c r="L29" s="380"/>
      <c r="M29" s="381"/>
      <c r="N29" s="381"/>
      <c r="O29" s="381"/>
      <c r="P29" s="381"/>
      <c r="Q29" s="390"/>
      <c r="R29" s="390"/>
      <c r="S29" s="390"/>
      <c r="T29" s="425"/>
      <c r="U29" s="426"/>
    </row>
    <row r="30" spans="2:21">
      <c r="B30" s="250"/>
      <c r="C30" s="252"/>
      <c r="D30" s="252"/>
      <c r="E30" s="252"/>
      <c r="F30" s="252"/>
      <c r="G30" s="252"/>
      <c r="H30" s="252"/>
      <c r="I30" s="252"/>
      <c r="J30" s="377"/>
      <c r="L30" s="382" t="s">
        <v>60</v>
      </c>
      <c r="M30" s="383"/>
      <c r="N30" s="383"/>
      <c r="O30" s="383"/>
      <c r="P30" s="383"/>
      <c r="Q30" s="383"/>
      <c r="R30" s="383"/>
      <c r="S30" s="383"/>
      <c r="T30" s="383"/>
      <c r="U30" s="427"/>
    </row>
    <row r="31" ht="15" customHeight="1" spans="2:21">
      <c r="B31" s="250"/>
      <c r="C31" s="252"/>
      <c r="D31" s="252"/>
      <c r="E31" s="252"/>
      <c r="F31" s="252"/>
      <c r="G31" s="252"/>
      <c r="H31" s="252"/>
      <c r="I31" s="252"/>
      <c r="J31" s="377"/>
      <c r="L31" s="380"/>
      <c r="M31" s="381"/>
      <c r="N31" s="381"/>
      <c r="O31" s="381"/>
      <c r="P31" s="381"/>
      <c r="Q31" s="390"/>
      <c r="R31" s="390"/>
      <c r="S31" s="390"/>
      <c r="T31" s="425"/>
      <c r="U31" s="426"/>
    </row>
    <row r="32" ht="15" customHeight="1" spans="2:21">
      <c r="B32" s="250"/>
      <c r="C32" s="252"/>
      <c r="D32" s="252"/>
      <c r="E32" s="252"/>
      <c r="F32" s="252"/>
      <c r="G32" s="252"/>
      <c r="H32" s="252"/>
      <c r="I32" s="252"/>
      <c r="J32" s="377"/>
      <c r="L32" s="380"/>
      <c r="M32" s="381"/>
      <c r="N32" s="381"/>
      <c r="O32" s="381"/>
      <c r="P32" s="381"/>
      <c r="Q32" s="390"/>
      <c r="R32" s="390"/>
      <c r="S32" s="390"/>
      <c r="T32" s="425"/>
      <c r="U32" s="426"/>
    </row>
    <row r="33" ht="14.75" spans="2:21">
      <c r="B33" s="285"/>
      <c r="C33" s="286"/>
      <c r="D33" s="286"/>
      <c r="E33" s="286"/>
      <c r="F33" s="286"/>
      <c r="G33" s="286"/>
      <c r="H33" s="286"/>
      <c r="I33" s="286"/>
      <c r="J33" s="384"/>
      <c r="L33" s="385"/>
      <c r="M33" s="386"/>
      <c r="N33" s="386"/>
      <c r="O33" s="386"/>
      <c r="P33" s="386"/>
      <c r="Q33" s="392"/>
      <c r="R33" s="392"/>
      <c r="S33" s="392"/>
      <c r="T33" s="428"/>
      <c r="U33" s="429"/>
    </row>
    <row r="34" ht="15" customHeight="1" spans="2:21">
      <c r="B34" s="287"/>
      <c r="C34" s="288" t="s">
        <v>61</v>
      </c>
      <c r="D34" s="288"/>
      <c r="E34" s="288"/>
      <c r="F34" s="288"/>
      <c r="G34" s="288"/>
      <c r="H34" s="288"/>
      <c r="I34" s="288"/>
      <c r="J34" s="317"/>
      <c r="L34" s="381"/>
      <c r="M34" s="381"/>
      <c r="N34" s="381"/>
      <c r="O34" s="381"/>
      <c r="P34" s="381"/>
      <c r="Q34" s="390"/>
      <c r="R34" s="390"/>
      <c r="S34" s="390"/>
      <c r="T34" s="425"/>
      <c r="U34" s="426"/>
    </row>
    <row r="35" ht="15" customHeight="1" spans="2:21">
      <c r="B35" s="250"/>
      <c r="C35" s="289"/>
      <c r="D35" s="289"/>
      <c r="E35" s="289"/>
      <c r="F35" s="289"/>
      <c r="G35" s="289"/>
      <c r="H35" s="289"/>
      <c r="I35" s="289"/>
      <c r="J35" s="377"/>
      <c r="L35" s="378" t="s">
        <v>62</v>
      </c>
      <c r="M35" s="379"/>
      <c r="N35" s="379"/>
      <c r="O35" s="379"/>
      <c r="P35" s="379"/>
      <c r="Q35" s="422"/>
      <c r="R35" s="422"/>
      <c r="S35" s="422"/>
      <c r="T35" s="423"/>
      <c r="U35" s="424"/>
    </row>
    <row r="36" spans="2:21">
      <c r="B36" s="290"/>
      <c r="C36" s="291" t="s">
        <v>63</v>
      </c>
      <c r="D36" s="292" t="s">
        <v>64</v>
      </c>
      <c r="E36" s="293"/>
      <c r="F36" s="294"/>
      <c r="G36" s="295" t="s">
        <v>65</v>
      </c>
      <c r="H36" s="295" t="s">
        <v>66</v>
      </c>
      <c r="I36" s="295" t="s">
        <v>67</v>
      </c>
      <c r="J36" s="377"/>
      <c r="L36" s="380"/>
      <c r="M36" s="387" t="s">
        <v>68</v>
      </c>
      <c r="N36" s="388">
        <v>1</v>
      </c>
      <c r="O36" s="388">
        <v>2</v>
      </c>
      <c r="P36" s="388">
        <v>3</v>
      </c>
      <c r="T36" s="425"/>
      <c r="U36" s="426"/>
    </row>
    <row r="37" spans="2:21">
      <c r="B37" s="296"/>
      <c r="C37" s="297" t="s">
        <v>69</v>
      </c>
      <c r="D37" s="260">
        <v>1</v>
      </c>
      <c r="E37" s="260">
        <v>2</v>
      </c>
      <c r="F37" s="260">
        <v>3</v>
      </c>
      <c r="G37" s="298"/>
      <c r="H37" s="298"/>
      <c r="I37" s="298"/>
      <c r="J37" s="377"/>
      <c r="L37" s="380"/>
      <c r="M37" s="387" t="s">
        <v>70</v>
      </c>
      <c r="N37" s="157">
        <v>24.3</v>
      </c>
      <c r="O37" s="388">
        <v>25.2</v>
      </c>
      <c r="P37" s="388">
        <v>24.6</v>
      </c>
      <c r="T37" s="425"/>
      <c r="U37" s="426"/>
    </row>
    <row r="38" spans="2:21">
      <c r="B38" s="299"/>
      <c r="C38" s="300" t="s">
        <v>71</v>
      </c>
      <c r="D38" s="301" t="str">
        <f>封面!B7</f>
        <v>HW351002</v>
      </c>
      <c r="E38" s="302"/>
      <c r="F38" s="303"/>
      <c r="G38" s="298"/>
      <c r="H38" s="298"/>
      <c r="I38" s="298"/>
      <c r="J38" s="377"/>
      <c r="L38" s="380"/>
      <c r="M38" s="381"/>
      <c r="N38" s="383"/>
      <c r="O38" s="381"/>
      <c r="P38" s="381"/>
      <c r="Q38" s="390"/>
      <c r="R38" s="390"/>
      <c r="S38" s="390"/>
      <c r="T38" s="425"/>
      <c r="U38" s="426"/>
    </row>
    <row r="39" spans="2:21">
      <c r="B39" s="299"/>
      <c r="C39" s="300" t="s">
        <v>45</v>
      </c>
      <c r="D39" s="301" t="s">
        <v>72</v>
      </c>
      <c r="E39" s="302"/>
      <c r="F39" s="303"/>
      <c r="G39" s="298"/>
      <c r="H39" s="298"/>
      <c r="I39" s="298"/>
      <c r="J39" s="377"/>
      <c r="L39" s="389"/>
      <c r="M39" s="390"/>
      <c r="N39" s="390"/>
      <c r="O39" s="390"/>
      <c r="P39" s="390"/>
      <c r="Q39" s="390"/>
      <c r="R39" s="390"/>
      <c r="S39" s="390"/>
      <c r="T39" s="425"/>
      <c r="U39" s="426"/>
    </row>
    <row r="40" ht="14.75" spans="2:21">
      <c r="B40" s="299"/>
      <c r="C40" s="300" t="s">
        <v>73</v>
      </c>
      <c r="D40" s="304">
        <v>10</v>
      </c>
      <c r="E40" s="305" t="s">
        <v>74</v>
      </c>
      <c r="F40" s="306"/>
      <c r="G40" s="307"/>
      <c r="H40" s="307"/>
      <c r="I40" s="307"/>
      <c r="J40" s="377"/>
      <c r="L40" s="391"/>
      <c r="M40" s="392"/>
      <c r="N40" s="392"/>
      <c r="O40" s="392"/>
      <c r="P40" s="392"/>
      <c r="Q40" s="392"/>
      <c r="R40" s="392"/>
      <c r="S40" s="392"/>
      <c r="T40" s="428"/>
      <c r="U40" s="429"/>
    </row>
    <row r="41" spans="2:10">
      <c r="B41" s="308"/>
      <c r="C41" s="300" t="s">
        <v>75</v>
      </c>
      <c r="D41" s="309">
        <f>'PK 参数'!F3</f>
        <v>0.98081822</v>
      </c>
      <c r="E41" s="309">
        <f>'PK 参数'!F4</f>
        <v>0.98014107</v>
      </c>
      <c r="F41" s="309">
        <f>'PK 参数'!F5</f>
        <v>0.99689981</v>
      </c>
      <c r="G41" s="310">
        <v>3</v>
      </c>
      <c r="H41" s="309">
        <f>AVERAGE(D41:F41)</f>
        <v>0.985953033333333</v>
      </c>
      <c r="I41" s="393">
        <f>STDEV(D41:F41)</f>
        <v>0.00948623068310245</v>
      </c>
      <c r="J41" s="377"/>
    </row>
    <row r="42" ht="21" customHeight="1" spans="2:10">
      <c r="B42" s="308"/>
      <c r="C42" s="300" t="s">
        <v>76</v>
      </c>
      <c r="D42" s="310">
        <f>'PK 参数'!H3</f>
        <v>3</v>
      </c>
      <c r="E42" s="310">
        <f>'PK 参数'!H4</f>
        <v>3</v>
      </c>
      <c r="F42" s="310">
        <f>'PK 参数'!H5</f>
        <v>3</v>
      </c>
      <c r="G42" s="310">
        <v>3</v>
      </c>
      <c r="H42" s="311">
        <f t="shared" ref="H42:H52" si="2">AVERAGE(D42:F42)</f>
        <v>3</v>
      </c>
      <c r="I42" s="311">
        <f t="shared" ref="I42:I52" si="3">STDEV(D42:F42)</f>
        <v>0</v>
      </c>
      <c r="J42" s="377"/>
    </row>
    <row r="43" spans="2:10">
      <c r="B43" s="308"/>
      <c r="C43" s="300" t="s">
        <v>77</v>
      </c>
      <c r="D43" s="311">
        <f>'PK 参数'!S3</f>
        <v>4</v>
      </c>
      <c r="E43" s="311">
        <f>'PK 参数'!S4</f>
        <v>2</v>
      </c>
      <c r="F43" s="311">
        <f>'PK 参数'!S5</f>
        <v>6</v>
      </c>
      <c r="G43" s="310">
        <v>3</v>
      </c>
      <c r="H43" s="311">
        <f t="shared" si="2"/>
        <v>4</v>
      </c>
      <c r="I43" s="311">
        <f t="shared" si="3"/>
        <v>2</v>
      </c>
      <c r="J43" s="377"/>
    </row>
    <row r="44" ht="17.5" spans="2:10">
      <c r="B44" s="296"/>
      <c r="C44" s="297" t="s">
        <v>78</v>
      </c>
      <c r="D44" s="309">
        <f>'PK 参数'!M3</f>
        <v>0.77888716</v>
      </c>
      <c r="E44" s="309">
        <f>'PK 参数'!M4</f>
        <v>0.36752978</v>
      </c>
      <c r="F44" s="309">
        <f>'PK 参数'!M5</f>
        <v>0.74527044</v>
      </c>
      <c r="G44" s="310">
        <v>3</v>
      </c>
      <c r="H44" s="309">
        <f t="shared" si="2"/>
        <v>0.63056246</v>
      </c>
      <c r="I44" s="309">
        <f t="shared" si="3"/>
        <v>0.228412267680342</v>
      </c>
      <c r="J44" s="377"/>
    </row>
    <row r="45" ht="17.5" spans="2:10">
      <c r="B45" s="296"/>
      <c r="C45" s="297" t="s">
        <v>79</v>
      </c>
      <c r="D45" s="309">
        <f>'PK 参数'!P3</f>
        <v>0.5</v>
      </c>
      <c r="E45" s="309">
        <f>'PK 参数'!P4</f>
        <v>0.5</v>
      </c>
      <c r="F45" s="309">
        <f>'PK 参数'!P5</f>
        <v>0.0833</v>
      </c>
      <c r="G45" s="310">
        <v>3</v>
      </c>
      <c r="H45" s="309">
        <f t="shared" si="2"/>
        <v>0.3611</v>
      </c>
      <c r="I45" s="309">
        <f t="shared" si="3"/>
        <v>0.240581857171317</v>
      </c>
      <c r="J45" s="377"/>
    </row>
    <row r="46" ht="17.5" spans="2:10">
      <c r="B46" s="296"/>
      <c r="C46" s="297" t="s">
        <v>80</v>
      </c>
      <c r="D46" s="312">
        <f>'PK 参数'!Q3</f>
        <v>157</v>
      </c>
      <c r="E46" s="312">
        <f>'PK 参数'!Q4</f>
        <v>202</v>
      </c>
      <c r="F46" s="312">
        <f>'PK 参数'!Q5</f>
        <v>108</v>
      </c>
      <c r="G46" s="310">
        <v>3</v>
      </c>
      <c r="H46" s="312">
        <f t="shared" si="2"/>
        <v>155.666666666667</v>
      </c>
      <c r="I46" s="394">
        <f t="shared" si="3"/>
        <v>47.0141822574139</v>
      </c>
      <c r="J46" s="377"/>
    </row>
    <row r="47" ht="17.5" spans="2:10">
      <c r="B47" s="296"/>
      <c r="C47" s="297" t="s">
        <v>81</v>
      </c>
      <c r="D47" s="312">
        <f>'PK 参数'!V3</f>
        <v>155.5992</v>
      </c>
      <c r="E47" s="312">
        <f>'PK 参数'!V4</f>
        <v>161.7563</v>
      </c>
      <c r="F47" s="312">
        <f>'PK 参数'!V5</f>
        <v>173.80551</v>
      </c>
      <c r="G47" s="310">
        <v>3</v>
      </c>
      <c r="H47" s="312">
        <f t="shared" si="2"/>
        <v>163.720336666667</v>
      </c>
      <c r="I47" s="311">
        <f t="shared" si="3"/>
        <v>9.26069711064093</v>
      </c>
      <c r="J47" s="377"/>
    </row>
    <row r="48" ht="17.5" spans="2:10">
      <c r="B48" s="296"/>
      <c r="C48" s="297" t="s">
        <v>82</v>
      </c>
      <c r="D48" s="312">
        <f>'PK 参数'!Y3</f>
        <v>159.54338</v>
      </c>
      <c r="E48" s="312">
        <f>'PK 参数'!Y4</f>
        <v>167.74794</v>
      </c>
      <c r="F48" s="312">
        <f>'PK 参数'!Y5</f>
        <v>174.90221</v>
      </c>
      <c r="G48" s="310">
        <v>3</v>
      </c>
      <c r="H48" s="312">
        <f t="shared" si="2"/>
        <v>167.397843333333</v>
      </c>
      <c r="I48" s="311">
        <f t="shared" si="3"/>
        <v>7.68539787514174</v>
      </c>
      <c r="J48" s="377"/>
    </row>
    <row r="49" ht="17.5" spans="2:10">
      <c r="B49" s="296"/>
      <c r="C49" s="297" t="s">
        <v>83</v>
      </c>
      <c r="D49" s="309">
        <f>'PK 参数'!AN3</f>
        <v>0.90171308</v>
      </c>
      <c r="E49" s="309">
        <f>'PK 参数'!AN4</f>
        <v>0.62746932</v>
      </c>
      <c r="F49" s="311">
        <f>'PK 参数'!AN5</f>
        <v>1.4580611</v>
      </c>
      <c r="G49" s="310">
        <v>3</v>
      </c>
      <c r="H49" s="311">
        <f t="shared" si="2"/>
        <v>0.995747833333333</v>
      </c>
      <c r="I49" s="309">
        <f t="shared" si="3"/>
        <v>0.423205124468901</v>
      </c>
      <c r="J49" s="377"/>
    </row>
    <row r="50" ht="17.5" spans="2:10">
      <c r="B50" s="296"/>
      <c r="C50" s="297" t="s">
        <v>84</v>
      </c>
      <c r="D50" s="311">
        <f>'PK 参数'!AO3</f>
        <v>1.0060875</v>
      </c>
      <c r="E50" s="309">
        <f>'PK 参数'!AO4</f>
        <v>0.69543244</v>
      </c>
      <c r="F50" s="311">
        <f>'PK 参数'!AO5</f>
        <v>1.4932826</v>
      </c>
      <c r="G50" s="310">
        <v>3</v>
      </c>
      <c r="H50" s="311">
        <f t="shared" si="2"/>
        <v>1.06493418</v>
      </c>
      <c r="I50" s="309">
        <f t="shared" si="3"/>
        <v>0.402167152143575</v>
      </c>
      <c r="J50" s="377"/>
    </row>
    <row r="51" ht="17.5" spans="2:10">
      <c r="B51" s="308"/>
      <c r="C51" s="300" t="s">
        <v>85</v>
      </c>
      <c r="D51" s="311">
        <f>'PK 参数'!AA3</f>
        <v>2.4721648</v>
      </c>
      <c r="E51" s="311">
        <f>'PK 参数'!AA4</f>
        <v>3.5718098</v>
      </c>
      <c r="F51" s="311">
        <f>'PK 参数'!AA5</f>
        <v>0.6270372</v>
      </c>
      <c r="G51" s="310">
        <v>3</v>
      </c>
      <c r="H51" s="311">
        <f t="shared" si="2"/>
        <v>2.2236706</v>
      </c>
      <c r="I51" s="311">
        <f t="shared" si="3"/>
        <v>1.48803005413295</v>
      </c>
      <c r="J51" s="377"/>
    </row>
    <row r="52" ht="20.25" customHeight="1" spans="2:10">
      <c r="B52" s="313"/>
      <c r="C52" s="300" t="s">
        <v>86</v>
      </c>
      <c r="D52" s="311">
        <f>'PK 参数'!AK3</f>
        <v>12.589982</v>
      </c>
      <c r="E52" s="311">
        <f>'PK 参数'!AK4</f>
        <v>12.995529</v>
      </c>
      <c r="F52" s="311">
        <f>'PK 参数'!AK5</f>
        <v>2.9709127</v>
      </c>
      <c r="G52" s="310">
        <v>3</v>
      </c>
      <c r="H52" s="311">
        <f t="shared" si="2"/>
        <v>9.5188079</v>
      </c>
      <c r="I52" s="311">
        <f t="shared" si="3"/>
        <v>5.67426786069705</v>
      </c>
      <c r="J52" s="377"/>
    </row>
    <row r="53" spans="2:10">
      <c r="B53" s="250"/>
      <c r="C53" s="252"/>
      <c r="D53" s="252"/>
      <c r="E53" s="252"/>
      <c r="F53" s="252"/>
      <c r="G53" s="252"/>
      <c r="H53" s="252"/>
      <c r="I53" s="252"/>
      <c r="J53" s="377"/>
    </row>
    <row r="54" spans="2:10">
      <c r="B54" s="250"/>
      <c r="C54" s="314"/>
      <c r="D54" s="229"/>
      <c r="E54" s="229"/>
      <c r="F54" s="229"/>
      <c r="G54" s="315"/>
      <c r="H54" s="315"/>
      <c r="I54" s="315"/>
      <c r="J54" s="377"/>
    </row>
    <row r="55" ht="14.75" spans="2:10">
      <c r="B55" s="285"/>
      <c r="C55" s="286"/>
      <c r="D55" s="286"/>
      <c r="E55" s="286"/>
      <c r="F55" s="286"/>
      <c r="G55" s="286"/>
      <c r="H55" s="286"/>
      <c r="I55" s="286"/>
      <c r="J55" s="384"/>
    </row>
    <row r="56" ht="73.5" customHeight="1" spans="2:10">
      <c r="B56" s="316" t="s">
        <v>87</v>
      </c>
      <c r="C56" s="316"/>
      <c r="D56" s="316"/>
      <c r="E56" s="316"/>
      <c r="F56" s="316"/>
      <c r="G56" s="316"/>
      <c r="H56" s="316"/>
      <c r="I56" s="316"/>
      <c r="J56" s="316"/>
    </row>
  </sheetData>
  <sheetProtection formatCells="0" insertHyperlinks="0" autoFilter="0"/>
  <mergeCells count="38">
    <mergeCell ref="B1:E1"/>
    <mergeCell ref="L2:O2"/>
    <mergeCell ref="P2:U2"/>
    <mergeCell ref="C3:H3"/>
    <mergeCell ref="C5:H5"/>
    <mergeCell ref="C6:H6"/>
    <mergeCell ref="L9:M9"/>
    <mergeCell ref="L10:M10"/>
    <mergeCell ref="L11:M11"/>
    <mergeCell ref="L12:M12"/>
    <mergeCell ref="L30:U30"/>
    <mergeCell ref="D36:F36"/>
    <mergeCell ref="D38:F38"/>
    <mergeCell ref="D39:F39"/>
    <mergeCell ref="E40:F40"/>
    <mergeCell ref="B56:J56"/>
    <mergeCell ref="G36:G40"/>
    <mergeCell ref="H36:H40"/>
    <mergeCell ref="I36:I40"/>
    <mergeCell ref="L15:L16"/>
    <mergeCell ref="L17:L19"/>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C34:I35"/>
    <mergeCell ref="T15:U16"/>
    <mergeCell ref="T17:U19"/>
  </mergeCells>
  <conditionalFormatting sqref="C8:C14">
    <cfRule type="cellIs" dxfId="0" priority="173" stopIfTrue="1" operator="equal">
      <formula>""</formula>
    </cfRule>
  </conditionalFormatting>
  <pageMargins left="0.7" right="0.7" top="0.75" bottom="0.75" header="0.3" footer="0.3"/>
  <pageSetup paperSize="9" scale="3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5"/>
  <sheetViews>
    <sheetView showGridLines="0" workbookViewId="0">
      <pane xSplit="2" topLeftCell="C1" activePane="topRight" state="frozen"/>
      <selection/>
      <selection pane="topRight" activeCell="D28" sqref="D28"/>
    </sheetView>
  </sheetViews>
  <sheetFormatPr defaultColWidth="9" defaultRowHeight="14" outlineLevelRow="4"/>
  <cols>
    <col min="1" max="1" width="16.8727272727273" style="164" customWidth="1"/>
    <col min="2" max="2" width="15.6272727272727" style="164" customWidth="1"/>
    <col min="3" max="3" width="11.6272727272727" style="164" customWidth="1"/>
    <col min="4" max="6" width="9.37272727272727" style="164" customWidth="1"/>
    <col min="7" max="7" width="10.1272727272727" style="164" customWidth="1"/>
    <col min="8" max="8" width="11.3727272727273" style="164" customWidth="1"/>
    <col min="9" max="9" width="9.37272727272727" style="164" customWidth="1"/>
    <col min="10" max="10" width="20.8727272727273" style="164" customWidth="1"/>
    <col min="11" max="11" width="11.3727272727273" style="164" customWidth="1"/>
    <col min="12" max="13" width="9.37272727272727" style="164" customWidth="1"/>
    <col min="14" max="14" width="11.1272727272727" style="164" customWidth="1"/>
    <col min="15" max="17" width="9.37272727272727" style="164" customWidth="1"/>
    <col min="18" max="18" width="11.8727272727273" style="164" customWidth="1"/>
    <col min="19" max="19" width="19" style="164" customWidth="1"/>
    <col min="20" max="21" width="9.37272727272727" style="164" customWidth="1"/>
    <col min="22" max="22" width="13.6272727272727" style="164" customWidth="1"/>
    <col min="23" max="23" width="9.37272727272727" style="164" customWidth="1"/>
    <col min="24" max="24" width="14.3727272727273" style="164" customWidth="1"/>
    <col min="25" max="28" width="9.37272727272727" style="164" customWidth="1"/>
    <col min="29" max="29" width="9.62727272727273" style="164" customWidth="1"/>
    <col min="30" max="30" width="20" style="164" customWidth="1"/>
    <col min="31" max="31" width="14.3727272727273" style="164" customWidth="1"/>
    <col min="32" max="32" width="10.6272727272727" style="164" customWidth="1"/>
    <col min="33" max="42" width="9.37272727272727" style="164" customWidth="1"/>
    <col min="43" max="45" width="10.6272727272727" style="164" customWidth="1"/>
    <col min="46" max="46" width="9.12727272727273" style="164" customWidth="1"/>
    <col min="47" max="16384" width="9" style="164"/>
  </cols>
  <sheetData>
    <row r="1" ht="18" customHeight="1" spans="1:2">
      <c r="A1" s="228" t="str">
        <f>封面!B7</f>
        <v>HW351002</v>
      </c>
      <c r="B1" s="229" t="s">
        <v>88</v>
      </c>
    </row>
    <row r="2" s="185" customFormat="1" ht="58.5" customHeight="1" spans="1:46">
      <c r="A2" s="230" t="s">
        <v>72</v>
      </c>
      <c r="B2" s="231" t="s">
        <v>89</v>
      </c>
      <c r="C2" s="231" t="s">
        <v>90</v>
      </c>
      <c r="D2" s="231" t="s">
        <v>91</v>
      </c>
      <c r="E2" s="231" t="s">
        <v>92</v>
      </c>
      <c r="F2" s="231" t="s">
        <v>75</v>
      </c>
      <c r="G2" s="231" t="s">
        <v>93</v>
      </c>
      <c r="H2" s="231" t="s">
        <v>76</v>
      </c>
      <c r="I2" s="231" t="s">
        <v>94</v>
      </c>
      <c r="J2" s="231" t="s">
        <v>95</v>
      </c>
      <c r="K2" s="231" t="s">
        <v>96</v>
      </c>
      <c r="L2" s="231" t="s">
        <v>97</v>
      </c>
      <c r="M2" s="231" t="s">
        <v>98</v>
      </c>
      <c r="N2" s="231" t="s">
        <v>99</v>
      </c>
      <c r="O2" s="231" t="s">
        <v>100</v>
      </c>
      <c r="P2" s="231" t="s">
        <v>101</v>
      </c>
      <c r="Q2" s="231" t="s">
        <v>102</v>
      </c>
      <c r="R2" s="231" t="s">
        <v>103</v>
      </c>
      <c r="S2" s="231" t="s">
        <v>104</v>
      </c>
      <c r="T2" s="231" t="s">
        <v>105</v>
      </c>
      <c r="U2" s="231" t="s">
        <v>106</v>
      </c>
      <c r="V2" s="231" t="s">
        <v>107</v>
      </c>
      <c r="W2" s="231" t="s">
        <v>108</v>
      </c>
      <c r="X2" s="231" t="s">
        <v>109</v>
      </c>
      <c r="Y2" s="231" t="s">
        <v>110</v>
      </c>
      <c r="Z2" s="231" t="s">
        <v>111</v>
      </c>
      <c r="AA2" s="231" t="s">
        <v>112</v>
      </c>
      <c r="AB2" s="231" t="s">
        <v>113</v>
      </c>
      <c r="AC2" s="231" t="s">
        <v>114</v>
      </c>
      <c r="AD2" s="231" t="s">
        <v>115</v>
      </c>
      <c r="AE2" s="231" t="s">
        <v>116</v>
      </c>
      <c r="AF2" s="231" t="s">
        <v>117</v>
      </c>
      <c r="AG2" s="231" t="s">
        <v>118</v>
      </c>
      <c r="AH2" s="231" t="s">
        <v>119</v>
      </c>
      <c r="AI2" s="231" t="s">
        <v>120</v>
      </c>
      <c r="AJ2" s="231" t="s">
        <v>121</v>
      </c>
      <c r="AK2" s="231" t="s">
        <v>122</v>
      </c>
      <c r="AL2" s="231" t="s">
        <v>123</v>
      </c>
      <c r="AM2" s="231" t="s">
        <v>124</v>
      </c>
      <c r="AN2" s="231" t="s">
        <v>125</v>
      </c>
      <c r="AO2" s="231" t="s">
        <v>126</v>
      </c>
      <c r="AP2" s="231" t="s">
        <v>127</v>
      </c>
      <c r="AQ2" s="237"/>
      <c r="AR2" s="237"/>
      <c r="AS2" s="238"/>
      <c r="AT2" s="239"/>
    </row>
    <row r="3" spans="1:46">
      <c r="A3" s="232"/>
      <c r="B3" s="164">
        <v>1</v>
      </c>
      <c r="C3" s="164">
        <v>6</v>
      </c>
      <c r="D3" s="164">
        <v>10</v>
      </c>
      <c r="E3" s="164">
        <v>0.99040911</v>
      </c>
      <c r="F3" s="233">
        <v>0.98081822</v>
      </c>
      <c r="G3" s="164">
        <v>-0.995193</v>
      </c>
      <c r="H3" s="233">
        <v>3</v>
      </c>
      <c r="I3" s="164">
        <v>0.88991989</v>
      </c>
      <c r="J3" s="164">
        <v>4.764735</v>
      </c>
      <c r="K3" s="164">
        <v>1</v>
      </c>
      <c r="L3" s="164">
        <v>4</v>
      </c>
      <c r="M3" s="233">
        <v>0.77888716</v>
      </c>
      <c r="N3" s="164">
        <v>3.851649</v>
      </c>
      <c r="O3" s="164">
        <v>0</v>
      </c>
      <c r="P3" s="233">
        <v>0.5</v>
      </c>
      <c r="Q3" s="233">
        <v>157</v>
      </c>
      <c r="R3" s="233">
        <v>15.7</v>
      </c>
      <c r="S3" s="233">
        <v>4</v>
      </c>
      <c r="T3" s="164">
        <v>3.51</v>
      </c>
      <c r="U3" s="164">
        <v>3.336944</v>
      </c>
      <c r="V3" s="233">
        <v>155.5992</v>
      </c>
      <c r="W3" s="164">
        <v>15.55992</v>
      </c>
      <c r="X3" s="164">
        <v>155.5992</v>
      </c>
      <c r="Y3" s="233">
        <v>159.54338</v>
      </c>
      <c r="Z3" s="164">
        <v>15.954338</v>
      </c>
      <c r="AA3" s="233">
        <v>2.4721648</v>
      </c>
      <c r="AB3" s="164">
        <v>70.432047</v>
      </c>
      <c r="AC3" s="233">
        <v>62.67888</v>
      </c>
      <c r="AD3" s="233">
        <v>159.34891</v>
      </c>
      <c r="AE3" s="233">
        <v>15.934891</v>
      </c>
      <c r="AF3" s="164">
        <v>2.3531461</v>
      </c>
      <c r="AG3" s="164">
        <v>70.517999</v>
      </c>
      <c r="AH3" s="164">
        <v>62.75537</v>
      </c>
      <c r="AI3" s="164">
        <v>140.30583</v>
      </c>
      <c r="AJ3" s="164">
        <v>160.51459</v>
      </c>
      <c r="AK3" s="164">
        <v>12.589982</v>
      </c>
      <c r="AL3" s="164">
        <v>159.51822</v>
      </c>
      <c r="AM3" s="164">
        <v>12.04401</v>
      </c>
      <c r="AN3" s="233">
        <v>0.90171308</v>
      </c>
      <c r="AO3" s="233">
        <v>1.0060875</v>
      </c>
      <c r="AP3" s="164">
        <v>1.0010625</v>
      </c>
      <c r="AQ3" s="233"/>
      <c r="AR3" s="233"/>
      <c r="AS3" s="240"/>
      <c r="AT3" s="241"/>
    </row>
    <row r="4" spans="1:46">
      <c r="A4" s="232"/>
      <c r="B4" s="164">
        <v>2</v>
      </c>
      <c r="C4" s="164">
        <v>5</v>
      </c>
      <c r="D4" s="164">
        <v>10</v>
      </c>
      <c r="E4" s="164">
        <v>0.99007054</v>
      </c>
      <c r="F4" s="233">
        <v>0.98014107</v>
      </c>
      <c r="G4" s="164">
        <v>-0.99502288</v>
      </c>
      <c r="H4" s="233">
        <v>3</v>
      </c>
      <c r="I4" s="164">
        <v>1.885962</v>
      </c>
      <c r="J4" s="164">
        <v>6.1422046</v>
      </c>
      <c r="K4" s="164">
        <v>0.5</v>
      </c>
      <c r="L4" s="164">
        <v>2</v>
      </c>
      <c r="M4" s="233">
        <v>0.36752978</v>
      </c>
      <c r="N4" s="164">
        <v>4.0813019</v>
      </c>
      <c r="O4" s="164">
        <v>0</v>
      </c>
      <c r="P4" s="233">
        <v>0.5</v>
      </c>
      <c r="Q4" s="233">
        <v>202</v>
      </c>
      <c r="R4" s="233">
        <v>20.2</v>
      </c>
      <c r="S4" s="233">
        <v>2</v>
      </c>
      <c r="T4" s="164">
        <v>11.3</v>
      </c>
      <c r="U4" s="164">
        <v>10.700395</v>
      </c>
      <c r="V4" s="233">
        <v>161.7563</v>
      </c>
      <c r="W4" s="164">
        <v>16.17563</v>
      </c>
      <c r="X4" s="164">
        <v>161.7563</v>
      </c>
      <c r="Y4" s="233">
        <v>167.74794</v>
      </c>
      <c r="Z4" s="164">
        <v>16.774794</v>
      </c>
      <c r="AA4" s="233">
        <v>3.5718098</v>
      </c>
      <c r="AB4" s="164">
        <v>31.608937</v>
      </c>
      <c r="AC4" s="233">
        <v>59.613252</v>
      </c>
      <c r="AD4" s="233">
        <v>167.43001</v>
      </c>
      <c r="AE4" s="233">
        <v>16.743001</v>
      </c>
      <c r="AF4" s="164">
        <v>3.3887037</v>
      </c>
      <c r="AG4" s="164">
        <v>31.668958</v>
      </c>
      <c r="AH4" s="164">
        <v>59.72645</v>
      </c>
      <c r="AI4" s="164">
        <v>101.49712</v>
      </c>
      <c r="AJ4" s="164">
        <v>116.65736</v>
      </c>
      <c r="AK4" s="164">
        <v>12.995529</v>
      </c>
      <c r="AL4" s="164">
        <v>115.85292</v>
      </c>
      <c r="AM4" s="164">
        <v>12.391403</v>
      </c>
      <c r="AN4" s="233">
        <v>0.62746932</v>
      </c>
      <c r="AO4" s="233">
        <v>0.69543244</v>
      </c>
      <c r="AP4" s="164">
        <v>0.69194836</v>
      </c>
      <c r="AQ4" s="233"/>
      <c r="AR4" s="233"/>
      <c r="AS4" s="240"/>
      <c r="AT4" s="241"/>
    </row>
    <row r="5" ht="14.75" spans="1:45">
      <c r="A5" s="234"/>
      <c r="B5" s="235">
        <v>3</v>
      </c>
      <c r="C5" s="235">
        <v>7</v>
      </c>
      <c r="D5" s="235">
        <v>10</v>
      </c>
      <c r="E5" s="235">
        <v>0.99844991</v>
      </c>
      <c r="F5" s="236">
        <v>0.99689981</v>
      </c>
      <c r="G5" s="235">
        <v>-0.99922465</v>
      </c>
      <c r="H5" s="236">
        <v>3</v>
      </c>
      <c r="I5" s="235">
        <v>0.93006128</v>
      </c>
      <c r="J5" s="235">
        <v>5.6424855</v>
      </c>
      <c r="K5" s="235">
        <v>2</v>
      </c>
      <c r="L5" s="235">
        <v>6</v>
      </c>
      <c r="M5" s="236">
        <v>0.74527044</v>
      </c>
      <c r="N5" s="235">
        <v>5.3671792</v>
      </c>
      <c r="O5" s="235">
        <v>0</v>
      </c>
      <c r="P5" s="236">
        <v>0.0833</v>
      </c>
      <c r="Q5" s="236">
        <v>108</v>
      </c>
      <c r="R5" s="236">
        <v>10.8</v>
      </c>
      <c r="S5" s="236">
        <v>6</v>
      </c>
      <c r="T5" s="235">
        <v>1.02</v>
      </c>
      <c r="U5" s="235">
        <v>1.0640877</v>
      </c>
      <c r="V5" s="236">
        <v>173.80551</v>
      </c>
      <c r="W5" s="235">
        <v>17.380551</v>
      </c>
      <c r="X5" s="235">
        <v>173.80551</v>
      </c>
      <c r="Y5" s="236">
        <v>174.90221</v>
      </c>
      <c r="Z5" s="235">
        <v>17.490221</v>
      </c>
      <c r="AA5" s="236">
        <v>0.6270372</v>
      </c>
      <c r="AB5" s="235">
        <v>61.474235</v>
      </c>
      <c r="AC5" s="235">
        <v>57.174806</v>
      </c>
      <c r="AD5" s="235">
        <v>174.94961</v>
      </c>
      <c r="AE5" s="235">
        <v>17.494961</v>
      </c>
      <c r="AF5" s="235">
        <v>0.65396256</v>
      </c>
      <c r="AG5" s="235">
        <v>61.457579</v>
      </c>
      <c r="AH5" s="235">
        <v>57.159314</v>
      </c>
      <c r="AI5" s="235">
        <v>253.41905</v>
      </c>
      <c r="AJ5" s="235">
        <v>261.17844</v>
      </c>
      <c r="AK5" s="235">
        <v>2.9709127</v>
      </c>
      <c r="AL5" s="235">
        <v>261.51382</v>
      </c>
      <c r="AM5" s="235">
        <v>3.0953504</v>
      </c>
      <c r="AN5" s="236">
        <v>1.4580611</v>
      </c>
      <c r="AO5" s="236">
        <v>1.4932826</v>
      </c>
      <c r="AP5" s="235">
        <v>1.4947951</v>
      </c>
      <c r="AQ5" s="235"/>
      <c r="AR5" s="235"/>
      <c r="AS5" s="242"/>
    </row>
  </sheetData>
  <sheetProtection formatCells="0" insertHyperlinks="0" autoFilter="0"/>
  <mergeCells count="1">
    <mergeCell ref="A2:A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113"/>
  <sheetViews>
    <sheetView showGridLines="0" zoomScale="80" zoomScaleNormal="80" topLeftCell="A28" workbookViewId="0">
      <selection activeCell="S28" sqref="S28"/>
    </sheetView>
  </sheetViews>
  <sheetFormatPr defaultColWidth="9" defaultRowHeight="14"/>
  <cols>
    <col min="1" max="1" width="9" style="187"/>
    <col min="2" max="2" width="46.8727272727273" style="188" customWidth="1"/>
    <col min="3" max="3" width="10.2545454545455" style="187" customWidth="1"/>
    <col min="4" max="4" width="38.2545454545455" style="187" customWidth="1"/>
    <col min="5" max="5" width="12.7545454545455" style="189" customWidth="1"/>
    <col min="6" max="6" width="13.3727272727273" style="190" customWidth="1"/>
    <col min="7" max="7" width="11.6272727272727" style="191" customWidth="1"/>
    <col min="8" max="8" width="10.8727272727273" style="187" customWidth="1"/>
    <col min="9" max="9" width="19" style="187" customWidth="1"/>
    <col min="10" max="10" width="9.37272727272727" style="192" customWidth="1"/>
    <col min="11" max="11" width="10.6272727272727" style="190" customWidth="1"/>
    <col min="12" max="12" width="18.1272727272727" style="187" customWidth="1"/>
    <col min="13" max="13" width="11" style="187" customWidth="1"/>
    <col min="14" max="14" width="9" style="187"/>
    <col min="15" max="15" width="9.37272727272727" style="192" customWidth="1"/>
    <col min="16" max="16384" width="9" style="187"/>
  </cols>
  <sheetData>
    <row r="1" spans="2:16">
      <c r="B1" s="193"/>
      <c r="C1" s="194"/>
      <c r="D1" s="194"/>
      <c r="E1" s="195"/>
      <c r="F1" s="196"/>
      <c r="G1" s="197"/>
      <c r="H1" s="194"/>
      <c r="I1" s="194"/>
      <c r="J1" s="202"/>
      <c r="K1" s="196"/>
      <c r="L1" s="194"/>
      <c r="M1" s="194"/>
      <c r="N1" s="194"/>
      <c r="O1" s="202"/>
      <c r="P1" s="203"/>
    </row>
    <row r="2" spans="2:16">
      <c r="B2" s="198" t="s">
        <v>128</v>
      </c>
      <c r="C2" s="199"/>
      <c r="D2" s="199"/>
      <c r="E2" s="199"/>
      <c r="F2" s="199"/>
      <c r="G2" s="199"/>
      <c r="H2" s="199"/>
      <c r="I2" s="199"/>
      <c r="J2" s="199"/>
      <c r="K2" s="199"/>
      <c r="L2" s="199"/>
      <c r="M2" s="199"/>
      <c r="N2" s="199"/>
      <c r="O2" s="199"/>
      <c r="P2" s="204"/>
    </row>
    <row r="3" s="177" customFormat="1" ht="14.25" customHeight="1" spans="2:16">
      <c r="B3" s="198" t="s">
        <v>129</v>
      </c>
      <c r="C3" s="199"/>
      <c r="D3" s="199"/>
      <c r="E3" s="199"/>
      <c r="F3" s="199"/>
      <c r="G3" s="199"/>
      <c r="H3" s="199"/>
      <c r="I3" s="199"/>
      <c r="J3" s="199"/>
      <c r="K3" s="199"/>
      <c r="L3" s="199"/>
      <c r="M3" s="199"/>
      <c r="N3" s="199"/>
      <c r="O3" s="199"/>
      <c r="P3" s="204"/>
    </row>
    <row r="4" s="177" customFormat="1" ht="14.25" customHeight="1" spans="2:16">
      <c r="B4" s="198" t="s">
        <v>130</v>
      </c>
      <c r="C4" s="199"/>
      <c r="D4" s="199"/>
      <c r="E4" s="199"/>
      <c r="F4" s="199"/>
      <c r="G4" s="199"/>
      <c r="H4" s="199"/>
      <c r="I4" s="199"/>
      <c r="J4" s="199"/>
      <c r="K4" s="199"/>
      <c r="L4" s="199"/>
      <c r="M4" s="199"/>
      <c r="N4" s="199"/>
      <c r="O4" s="199"/>
      <c r="P4" s="204"/>
    </row>
    <row r="5" s="177" customFormat="1" ht="14.25" customHeight="1" spans="2:16">
      <c r="B5" s="198"/>
      <c r="C5" s="199"/>
      <c r="D5" s="199"/>
      <c r="E5" s="199"/>
      <c r="F5" s="199"/>
      <c r="G5" s="199"/>
      <c r="H5" s="199"/>
      <c r="I5" s="199"/>
      <c r="J5" s="199"/>
      <c r="K5" s="199"/>
      <c r="L5" s="199"/>
      <c r="M5" s="199"/>
      <c r="N5" s="199"/>
      <c r="O5" s="199"/>
      <c r="P5" s="204"/>
    </row>
    <row r="6" s="177" customFormat="1" ht="14.25" customHeight="1" spans="2:16">
      <c r="B6" s="198" t="s">
        <v>131</v>
      </c>
      <c r="C6" s="199"/>
      <c r="D6" s="199"/>
      <c r="E6" s="199"/>
      <c r="F6" s="199"/>
      <c r="G6" s="199"/>
      <c r="H6" s="199"/>
      <c r="I6" s="199"/>
      <c r="J6" s="199"/>
      <c r="K6" s="199"/>
      <c r="L6" s="199"/>
      <c r="M6" s="199"/>
      <c r="N6" s="199"/>
      <c r="O6" s="199"/>
      <c r="P6" s="204"/>
    </row>
    <row r="7" s="177" customFormat="1" ht="14.25" customHeight="1" spans="2:16">
      <c r="B7" s="198" t="s">
        <v>132</v>
      </c>
      <c r="C7" s="199"/>
      <c r="D7" s="199"/>
      <c r="E7" s="199"/>
      <c r="F7" s="199"/>
      <c r="G7" s="199"/>
      <c r="H7" s="199"/>
      <c r="I7" s="199"/>
      <c r="J7" s="199"/>
      <c r="K7" s="199"/>
      <c r="L7" s="199"/>
      <c r="M7" s="199"/>
      <c r="N7" s="199"/>
      <c r="O7" s="199"/>
      <c r="P7" s="204"/>
    </row>
    <row r="8" s="177" customFormat="1" ht="14.25" customHeight="1" spans="2:16">
      <c r="B8" s="198" t="s">
        <v>133</v>
      </c>
      <c r="C8" s="199"/>
      <c r="D8" s="199"/>
      <c r="E8" s="199"/>
      <c r="F8" s="199"/>
      <c r="G8" s="199"/>
      <c r="H8" s="199"/>
      <c r="I8" s="199"/>
      <c r="J8" s="199"/>
      <c r="K8" s="199"/>
      <c r="L8" s="199"/>
      <c r="M8" s="199"/>
      <c r="N8" s="199"/>
      <c r="O8" s="199"/>
      <c r="P8" s="204"/>
    </row>
    <row r="9" s="177" customFormat="1" ht="14.25" customHeight="1" spans="2:16">
      <c r="B9" s="198"/>
      <c r="C9" s="199"/>
      <c r="D9" s="199"/>
      <c r="E9" s="199"/>
      <c r="F9" s="199"/>
      <c r="G9" s="199"/>
      <c r="H9" s="199"/>
      <c r="I9" s="199"/>
      <c r="J9" s="199"/>
      <c r="K9" s="199"/>
      <c r="L9" s="199"/>
      <c r="M9" s="199"/>
      <c r="N9" s="199"/>
      <c r="O9" s="199"/>
      <c r="P9" s="204"/>
    </row>
    <row r="10" s="177" customFormat="1" ht="14.25" customHeight="1" spans="2:16">
      <c r="B10" s="198" t="s">
        <v>134</v>
      </c>
      <c r="C10" s="199" t="s">
        <v>135</v>
      </c>
      <c r="D10" s="199" t="s">
        <v>136</v>
      </c>
      <c r="E10" s="199" t="s">
        <v>137</v>
      </c>
      <c r="F10" s="199" t="s">
        <v>138</v>
      </c>
      <c r="G10" s="199" t="s">
        <v>139</v>
      </c>
      <c r="H10" s="199"/>
      <c r="I10" s="199"/>
      <c r="J10" s="199"/>
      <c r="K10" s="199"/>
      <c r="L10" s="199"/>
      <c r="M10" s="199"/>
      <c r="N10" s="199"/>
      <c r="O10" s="199"/>
      <c r="P10" s="204"/>
    </row>
    <row r="11" s="177" customFormat="1" ht="14.25" customHeight="1" spans="2:16">
      <c r="B11" s="198" t="s">
        <v>140</v>
      </c>
      <c r="C11" s="199">
        <v>0.000142</v>
      </c>
      <c r="D11" s="199"/>
      <c r="E11" s="199"/>
      <c r="F11" s="199"/>
      <c r="G11" s="199"/>
      <c r="H11" s="199"/>
      <c r="I11" s="199"/>
      <c r="J11" s="199"/>
      <c r="K11" s="199"/>
      <c r="L11" s="199"/>
      <c r="M11" s="199"/>
      <c r="N11" s="199"/>
      <c r="O11" s="199"/>
      <c r="P11" s="204"/>
    </row>
    <row r="12" s="177" customFormat="1" ht="14.25" customHeight="1" spans="2:16">
      <c r="B12" s="198" t="s">
        <v>141</v>
      </c>
      <c r="C12" s="199">
        <v>0.000241</v>
      </c>
      <c r="D12" s="199"/>
      <c r="E12" s="199"/>
      <c r="F12" s="199"/>
      <c r="G12" s="199"/>
      <c r="H12" s="199"/>
      <c r="I12" s="199"/>
      <c r="J12" s="199"/>
      <c r="K12" s="199"/>
      <c r="L12" s="199"/>
      <c r="M12" s="199"/>
      <c r="N12" s="199"/>
      <c r="O12" s="199"/>
      <c r="P12" s="204"/>
    </row>
    <row r="13" s="177" customFormat="1" ht="14.25" customHeight="1" spans="2:16">
      <c r="B13" s="198" t="s">
        <v>142</v>
      </c>
      <c r="C13" s="199">
        <v>0.9988</v>
      </c>
      <c r="D13" s="199"/>
      <c r="E13" s="199"/>
      <c r="F13" s="199"/>
      <c r="G13" s="199"/>
      <c r="H13" s="199"/>
      <c r="I13" s="199"/>
      <c r="J13" s="199"/>
      <c r="K13" s="199"/>
      <c r="L13" s="199"/>
      <c r="M13" s="199"/>
      <c r="N13" s="199"/>
      <c r="O13" s="199"/>
      <c r="P13" s="204"/>
    </row>
    <row r="14" s="177" customFormat="1" ht="14.25" customHeight="1" spans="2:16">
      <c r="B14" s="198" t="s">
        <v>143</v>
      </c>
      <c r="C14" s="199"/>
      <c r="D14" s="199"/>
      <c r="E14" s="199"/>
      <c r="F14" s="199"/>
      <c r="G14" s="199"/>
      <c r="H14" s="199"/>
      <c r="I14" s="199"/>
      <c r="J14" s="199"/>
      <c r="K14" s="199"/>
      <c r="L14" s="199"/>
      <c r="M14" s="199"/>
      <c r="N14" s="199"/>
      <c r="O14" s="199"/>
      <c r="P14" s="204"/>
    </row>
    <row r="15" s="177" customFormat="1" ht="14.25" customHeight="1" spans="2:16">
      <c r="B15" s="198"/>
      <c r="C15" s="199"/>
      <c r="D15" s="199"/>
      <c r="E15" s="199"/>
      <c r="F15" s="199"/>
      <c r="G15" s="199"/>
      <c r="H15" s="199"/>
      <c r="I15" s="199"/>
      <c r="J15" s="199"/>
      <c r="K15" s="199"/>
      <c r="L15" s="199"/>
      <c r="M15" s="199"/>
      <c r="N15" s="199"/>
      <c r="O15" s="199"/>
      <c r="P15" s="204"/>
    </row>
    <row r="16" s="185" customFormat="1" ht="41.1" customHeight="1" spans="2:16">
      <c r="B16" s="198"/>
      <c r="C16" s="199"/>
      <c r="D16" s="199"/>
      <c r="E16" s="199"/>
      <c r="F16" s="199"/>
      <c r="G16" s="199"/>
      <c r="H16" s="199"/>
      <c r="I16" s="199"/>
      <c r="J16" s="199"/>
      <c r="K16" s="199"/>
      <c r="L16" s="199"/>
      <c r="M16" s="199"/>
      <c r="N16" s="199"/>
      <c r="O16" s="199"/>
      <c r="P16" s="204"/>
    </row>
    <row r="17" s="177" customFormat="1" ht="14.25" customHeight="1" spans="2:16">
      <c r="B17" s="198"/>
      <c r="C17" s="199"/>
      <c r="D17" s="199"/>
      <c r="E17" s="199"/>
      <c r="F17" s="199"/>
      <c r="G17" s="199"/>
      <c r="H17" s="199"/>
      <c r="I17" s="199"/>
      <c r="J17" s="199"/>
      <c r="K17" s="199"/>
      <c r="L17" s="199"/>
      <c r="M17" s="199"/>
      <c r="N17" s="199"/>
      <c r="O17" s="199"/>
      <c r="P17" s="204"/>
    </row>
    <row r="18" s="186" customFormat="1" ht="45.95" customHeight="1" spans="2:16">
      <c r="B18" s="200" t="s">
        <v>144</v>
      </c>
      <c r="C18" s="201" t="s">
        <v>145</v>
      </c>
      <c r="D18" s="201" t="s">
        <v>146</v>
      </c>
      <c r="E18" s="201" t="s">
        <v>147</v>
      </c>
      <c r="F18" s="201" t="s">
        <v>148</v>
      </c>
      <c r="G18" s="201" t="s">
        <v>149</v>
      </c>
      <c r="H18" s="201" t="s">
        <v>150</v>
      </c>
      <c r="I18" s="201" t="s">
        <v>151</v>
      </c>
      <c r="J18" s="201" t="s">
        <v>152</v>
      </c>
      <c r="K18" s="201" t="s">
        <v>153</v>
      </c>
      <c r="L18" s="201" t="s">
        <v>154</v>
      </c>
      <c r="M18" s="201" t="s">
        <v>155</v>
      </c>
      <c r="N18" s="201" t="s">
        <v>156</v>
      </c>
      <c r="O18" s="201" t="s">
        <v>157</v>
      </c>
      <c r="P18" s="205" t="s">
        <v>158</v>
      </c>
    </row>
    <row r="19" s="177" customFormat="1" ht="14.25" customHeight="1" spans="2:16">
      <c r="B19" s="198" t="s">
        <v>159</v>
      </c>
      <c r="C19" s="199" t="s">
        <v>160</v>
      </c>
      <c r="D19" s="199" t="s">
        <v>161</v>
      </c>
      <c r="E19" s="199" t="s">
        <v>4</v>
      </c>
      <c r="F19" s="199" t="s">
        <v>162</v>
      </c>
      <c r="G19" s="199" t="e">
        <v>#DIV/0!</v>
      </c>
      <c r="H19" s="199">
        <v>0</v>
      </c>
      <c r="I19" s="199">
        <v>0</v>
      </c>
      <c r="J19" s="199" t="e">
        <v>#DIV/0!</v>
      </c>
      <c r="K19" s="199">
        <v>0</v>
      </c>
      <c r="L19" s="199">
        <v>0</v>
      </c>
      <c r="M19" s="199"/>
      <c r="N19" s="199">
        <v>0</v>
      </c>
      <c r="O19" s="199" t="s">
        <v>162</v>
      </c>
      <c r="P19" s="204">
        <v>1</v>
      </c>
    </row>
    <row r="20" s="177" customFormat="1" ht="14.25" customHeight="1" spans="2:16">
      <c r="B20" s="198" t="s">
        <v>159</v>
      </c>
      <c r="C20" s="199" t="s">
        <v>160</v>
      </c>
      <c r="D20" s="199" t="s">
        <v>161</v>
      </c>
      <c r="E20" s="199" t="s">
        <v>4</v>
      </c>
      <c r="F20" s="199" t="s">
        <v>162</v>
      </c>
      <c r="G20" s="199" t="e">
        <v>#DIV/0!</v>
      </c>
      <c r="H20" s="199">
        <v>152</v>
      </c>
      <c r="I20" s="199">
        <v>1.17</v>
      </c>
      <c r="J20" s="199" t="e">
        <v>#DIV/0!</v>
      </c>
      <c r="K20" s="199">
        <v>0</v>
      </c>
      <c r="L20" s="199">
        <v>0</v>
      </c>
      <c r="M20" s="199"/>
      <c r="N20" s="199">
        <v>0</v>
      </c>
      <c r="O20" s="199" t="s">
        <v>162</v>
      </c>
      <c r="P20" s="204">
        <v>1</v>
      </c>
    </row>
    <row r="21" s="177" customFormat="1" ht="14.25" customHeight="1" spans="2:16">
      <c r="B21" s="198" t="s">
        <v>163</v>
      </c>
      <c r="C21" s="199" t="s">
        <v>160</v>
      </c>
      <c r="D21" s="199" t="s">
        <v>161</v>
      </c>
      <c r="E21" s="199" t="s">
        <v>4</v>
      </c>
      <c r="F21" s="199" t="s">
        <v>162</v>
      </c>
      <c r="G21" s="199" t="s">
        <v>164</v>
      </c>
      <c r="H21" s="199">
        <v>0</v>
      </c>
      <c r="I21" s="199">
        <v>0</v>
      </c>
      <c r="J21" s="199">
        <v>0</v>
      </c>
      <c r="K21" s="199">
        <v>1450000</v>
      </c>
      <c r="L21" s="199">
        <v>0.884</v>
      </c>
      <c r="M21" s="199"/>
      <c r="N21" s="199">
        <v>0</v>
      </c>
      <c r="O21" s="199" t="s">
        <v>162</v>
      </c>
      <c r="P21" s="204">
        <v>1</v>
      </c>
    </row>
    <row r="22" s="177" customFormat="1" ht="14.25" customHeight="1" spans="2:16">
      <c r="B22" s="198" t="s">
        <v>165</v>
      </c>
      <c r="C22" s="199" t="s">
        <v>166</v>
      </c>
      <c r="D22" s="199" t="s">
        <v>161</v>
      </c>
      <c r="E22" s="199" t="s">
        <v>4</v>
      </c>
      <c r="F22" s="199">
        <v>1</v>
      </c>
      <c r="G22" s="199">
        <v>0.983</v>
      </c>
      <c r="H22" s="199">
        <v>536</v>
      </c>
      <c r="I22" s="199">
        <v>1.15</v>
      </c>
      <c r="J22" s="199">
        <v>0.000379</v>
      </c>
      <c r="K22" s="199">
        <v>1420000</v>
      </c>
      <c r="L22" s="199">
        <v>0.886</v>
      </c>
      <c r="M22" s="199">
        <v>1</v>
      </c>
      <c r="N22" s="199">
        <v>0</v>
      </c>
      <c r="O22" s="199">
        <v>98.3</v>
      </c>
      <c r="P22" s="204">
        <v>1</v>
      </c>
    </row>
    <row r="23" s="177" customFormat="1" ht="14.25" customHeight="1" spans="2:16">
      <c r="B23" s="198" t="s">
        <v>167</v>
      </c>
      <c r="C23" s="199" t="s">
        <v>166</v>
      </c>
      <c r="D23" s="199" t="s">
        <v>161</v>
      </c>
      <c r="E23" s="199" t="s">
        <v>4</v>
      </c>
      <c r="F23" s="199">
        <v>2</v>
      </c>
      <c r="G23" s="199">
        <v>1.05</v>
      </c>
      <c r="H23" s="199">
        <v>570</v>
      </c>
      <c r="I23" s="199">
        <v>1.14</v>
      </c>
      <c r="J23" s="199">
        <v>0.000394</v>
      </c>
      <c r="K23" s="199">
        <v>1440000</v>
      </c>
      <c r="L23" s="199">
        <v>0.885</v>
      </c>
      <c r="M23" s="199">
        <v>0</v>
      </c>
      <c r="N23" s="199">
        <v>0</v>
      </c>
      <c r="O23" s="199">
        <v>52.42</v>
      </c>
      <c r="P23" s="204">
        <v>1</v>
      </c>
    </row>
    <row r="24" s="177" customFormat="1" ht="14.25" customHeight="1" spans="2:16">
      <c r="B24" s="198" t="s">
        <v>168</v>
      </c>
      <c r="C24" s="199" t="s">
        <v>166</v>
      </c>
      <c r="D24" s="199" t="s">
        <v>161</v>
      </c>
      <c r="E24" s="199" t="s">
        <v>4</v>
      </c>
      <c r="F24" s="199">
        <v>5</v>
      </c>
      <c r="G24" s="199">
        <v>5.41</v>
      </c>
      <c r="H24" s="199">
        <v>2090</v>
      </c>
      <c r="I24" s="199">
        <v>1.15</v>
      </c>
      <c r="J24" s="199">
        <v>0.00144</v>
      </c>
      <c r="K24" s="199">
        <v>1450000</v>
      </c>
      <c r="L24" s="199">
        <v>0.884</v>
      </c>
      <c r="M24" s="199">
        <v>1</v>
      </c>
      <c r="N24" s="199">
        <v>0</v>
      </c>
      <c r="O24" s="199">
        <v>108.12</v>
      </c>
      <c r="P24" s="204">
        <v>1</v>
      </c>
    </row>
    <row r="25" s="177" customFormat="1" ht="14.25" customHeight="1" spans="2:16">
      <c r="B25" s="198" t="s">
        <v>169</v>
      </c>
      <c r="C25" s="199" t="s">
        <v>166</v>
      </c>
      <c r="D25" s="199" t="s">
        <v>161</v>
      </c>
      <c r="E25" s="199" t="s">
        <v>4</v>
      </c>
      <c r="F25" s="199">
        <v>20</v>
      </c>
      <c r="G25" s="199">
        <v>20.5</v>
      </c>
      <c r="H25" s="199">
        <v>7260</v>
      </c>
      <c r="I25" s="199">
        <v>1.15</v>
      </c>
      <c r="J25" s="199">
        <v>0.00508</v>
      </c>
      <c r="K25" s="199">
        <v>1430000</v>
      </c>
      <c r="L25" s="199">
        <v>0.884</v>
      </c>
      <c r="M25" s="199">
        <v>1</v>
      </c>
      <c r="N25" s="199">
        <v>0</v>
      </c>
      <c r="O25" s="199">
        <v>102.57</v>
      </c>
      <c r="P25" s="204">
        <v>1</v>
      </c>
    </row>
    <row r="26" s="177" customFormat="1" ht="14.25" customHeight="1" spans="2:16">
      <c r="B26" s="198" t="s">
        <v>170</v>
      </c>
      <c r="C26" s="199" t="s">
        <v>166</v>
      </c>
      <c r="D26" s="199" t="s">
        <v>161</v>
      </c>
      <c r="E26" s="199" t="s">
        <v>4</v>
      </c>
      <c r="F26" s="199">
        <v>100</v>
      </c>
      <c r="G26" s="199">
        <v>94.8</v>
      </c>
      <c r="H26" s="199">
        <v>32800</v>
      </c>
      <c r="I26" s="199">
        <v>1.14</v>
      </c>
      <c r="J26" s="199">
        <v>0.023</v>
      </c>
      <c r="K26" s="199">
        <v>1430000</v>
      </c>
      <c r="L26" s="199">
        <v>0.88</v>
      </c>
      <c r="M26" s="199">
        <v>1</v>
      </c>
      <c r="N26" s="199">
        <v>0</v>
      </c>
      <c r="O26" s="199">
        <v>94.79</v>
      </c>
      <c r="P26" s="204">
        <v>1</v>
      </c>
    </row>
    <row r="27" s="177" customFormat="1" ht="14.25" customHeight="1" spans="2:16">
      <c r="B27" s="198" t="s">
        <v>171</v>
      </c>
      <c r="C27" s="199" t="s">
        <v>166</v>
      </c>
      <c r="D27" s="199" t="s">
        <v>161</v>
      </c>
      <c r="E27" s="199" t="s">
        <v>4</v>
      </c>
      <c r="F27" s="199">
        <v>500</v>
      </c>
      <c r="G27" s="199">
        <v>511</v>
      </c>
      <c r="H27" s="199">
        <v>176000</v>
      </c>
      <c r="I27" s="199">
        <v>1.14</v>
      </c>
      <c r="J27" s="199">
        <v>0.123</v>
      </c>
      <c r="K27" s="199">
        <v>1430000</v>
      </c>
      <c r="L27" s="199">
        <v>0.881</v>
      </c>
      <c r="M27" s="199">
        <v>1</v>
      </c>
      <c r="N27" s="199">
        <v>0</v>
      </c>
      <c r="O27" s="199">
        <v>102.25</v>
      </c>
      <c r="P27" s="204">
        <v>1</v>
      </c>
    </row>
    <row r="28" s="177" customFormat="1" ht="14.25" customHeight="1" spans="2:17">
      <c r="B28" s="198" t="s">
        <v>172</v>
      </c>
      <c r="C28" s="199" t="s">
        <v>166</v>
      </c>
      <c r="D28" s="199" t="s">
        <v>161</v>
      </c>
      <c r="E28" s="199" t="s">
        <v>4</v>
      </c>
      <c r="F28" s="199">
        <v>1000</v>
      </c>
      <c r="G28" s="199">
        <v>977</v>
      </c>
      <c r="H28" s="199">
        <v>337000</v>
      </c>
      <c r="I28" s="199">
        <v>1.14</v>
      </c>
      <c r="J28" s="199">
        <v>0.235</v>
      </c>
      <c r="K28" s="199">
        <v>1430000</v>
      </c>
      <c r="L28" s="199">
        <v>0.88</v>
      </c>
      <c r="M28" s="199">
        <v>1</v>
      </c>
      <c r="N28" s="199">
        <v>0</v>
      </c>
      <c r="O28" s="199">
        <v>97.68</v>
      </c>
      <c r="P28" s="204">
        <v>1</v>
      </c>
      <c r="Q28" s="206"/>
    </row>
    <row r="29" s="177" customFormat="1" ht="14.25" customHeight="1" spans="2:17">
      <c r="B29" s="198" t="s">
        <v>173</v>
      </c>
      <c r="C29" s="199" t="s">
        <v>166</v>
      </c>
      <c r="D29" s="199" t="s">
        <v>161</v>
      </c>
      <c r="E29" s="199" t="s">
        <v>4</v>
      </c>
      <c r="F29" s="199">
        <v>2000</v>
      </c>
      <c r="G29" s="199">
        <v>1930</v>
      </c>
      <c r="H29" s="199">
        <v>674000</v>
      </c>
      <c r="I29" s="199">
        <v>1.14</v>
      </c>
      <c r="J29" s="199">
        <v>0.464</v>
      </c>
      <c r="K29" s="199">
        <v>1450000</v>
      </c>
      <c r="L29" s="199">
        <v>0.879</v>
      </c>
      <c r="M29" s="199">
        <v>1</v>
      </c>
      <c r="N29" s="199">
        <v>0</v>
      </c>
      <c r="O29" s="199">
        <v>96.29</v>
      </c>
      <c r="P29" s="204">
        <v>1</v>
      </c>
      <c r="Q29" s="207"/>
    </row>
    <row r="30" s="177" customFormat="1" ht="14.25" customHeight="1" spans="2:17">
      <c r="B30" s="198" t="s">
        <v>159</v>
      </c>
      <c r="C30" s="199" t="s">
        <v>160</v>
      </c>
      <c r="D30" s="199" t="s">
        <v>161</v>
      </c>
      <c r="E30" s="199" t="s">
        <v>4</v>
      </c>
      <c r="F30" s="199" t="s">
        <v>162</v>
      </c>
      <c r="G30" s="199" t="e">
        <v>#DIV/0!</v>
      </c>
      <c r="H30" s="199">
        <v>258</v>
      </c>
      <c r="I30" s="199">
        <v>1.13</v>
      </c>
      <c r="J30" s="199" t="e">
        <v>#DIV/0!</v>
      </c>
      <c r="K30" s="199">
        <v>0</v>
      </c>
      <c r="L30" s="199">
        <v>0</v>
      </c>
      <c r="M30" s="199"/>
      <c r="N30" s="199">
        <v>0</v>
      </c>
      <c r="O30" s="199" t="s">
        <v>162</v>
      </c>
      <c r="P30" s="204">
        <v>1</v>
      </c>
      <c r="Q30" s="207"/>
    </row>
    <row r="31" s="177" customFormat="1" ht="14.25" customHeight="1" spans="2:17">
      <c r="B31" s="198" t="s">
        <v>159</v>
      </c>
      <c r="C31" s="199" t="s">
        <v>160</v>
      </c>
      <c r="D31" s="199" t="s">
        <v>161</v>
      </c>
      <c r="E31" s="199" t="s">
        <v>4</v>
      </c>
      <c r="F31" s="199" t="s">
        <v>162</v>
      </c>
      <c r="G31" s="199" t="e">
        <v>#DIV/0!</v>
      </c>
      <c r="H31" s="199">
        <v>0</v>
      </c>
      <c r="I31" s="199">
        <v>0</v>
      </c>
      <c r="J31" s="199" t="e">
        <v>#DIV/0!</v>
      </c>
      <c r="K31" s="199">
        <v>0</v>
      </c>
      <c r="L31" s="199">
        <v>0</v>
      </c>
      <c r="M31" s="199"/>
      <c r="N31" s="199">
        <v>0</v>
      </c>
      <c r="O31" s="199" t="s">
        <v>162</v>
      </c>
      <c r="P31" s="204">
        <v>1</v>
      </c>
      <c r="Q31" s="207"/>
    </row>
    <row r="32" s="177" customFormat="1" ht="14.25" customHeight="1" spans="2:16">
      <c r="B32" s="198" t="s">
        <v>159</v>
      </c>
      <c r="C32" s="199" t="s">
        <v>160</v>
      </c>
      <c r="D32" s="199" t="s">
        <v>161</v>
      </c>
      <c r="E32" s="199" t="s">
        <v>4</v>
      </c>
      <c r="F32" s="199" t="s">
        <v>162</v>
      </c>
      <c r="G32" s="199" t="e">
        <v>#DIV/0!</v>
      </c>
      <c r="H32" s="199">
        <v>0</v>
      </c>
      <c r="I32" s="199">
        <v>0</v>
      </c>
      <c r="J32" s="199" t="e">
        <v>#DIV/0!</v>
      </c>
      <c r="K32" s="199">
        <v>0</v>
      </c>
      <c r="L32" s="199">
        <v>0</v>
      </c>
      <c r="M32" s="199"/>
      <c r="N32" s="199">
        <v>0</v>
      </c>
      <c r="O32" s="199" t="s">
        <v>162</v>
      </c>
      <c r="P32" s="204">
        <v>1</v>
      </c>
    </row>
    <row r="33" s="177" customFormat="1" ht="14.25" customHeight="1" spans="2:16">
      <c r="B33" s="198" t="s">
        <v>159</v>
      </c>
      <c r="C33" s="199" t="s">
        <v>160</v>
      </c>
      <c r="D33" s="199" t="s">
        <v>161</v>
      </c>
      <c r="E33" s="199" t="s">
        <v>4</v>
      </c>
      <c r="F33" s="199" t="s">
        <v>162</v>
      </c>
      <c r="G33" s="199" t="e">
        <v>#DIV/0!</v>
      </c>
      <c r="H33" s="199">
        <v>0</v>
      </c>
      <c r="I33" s="199">
        <v>0</v>
      </c>
      <c r="J33" s="199" t="e">
        <v>#DIV/0!</v>
      </c>
      <c r="K33" s="199">
        <v>0</v>
      </c>
      <c r="L33" s="199">
        <v>0</v>
      </c>
      <c r="M33" s="199"/>
      <c r="N33" s="199">
        <v>0</v>
      </c>
      <c r="O33" s="199" t="s">
        <v>162</v>
      </c>
      <c r="P33" s="204">
        <v>1</v>
      </c>
    </row>
    <row r="34" s="177" customFormat="1" ht="14.25" customHeight="1" spans="2:16">
      <c r="B34" s="198" t="s">
        <v>174</v>
      </c>
      <c r="C34" s="199" t="s">
        <v>175</v>
      </c>
      <c r="D34" s="199" t="s">
        <v>161</v>
      </c>
      <c r="E34" s="199" t="s">
        <v>4</v>
      </c>
      <c r="F34" s="199">
        <v>3</v>
      </c>
      <c r="G34" s="199">
        <v>3.05</v>
      </c>
      <c r="H34" s="199">
        <v>1290</v>
      </c>
      <c r="I34" s="199">
        <v>1.14</v>
      </c>
      <c r="J34" s="199">
        <v>0.000875</v>
      </c>
      <c r="K34" s="199">
        <v>1470000</v>
      </c>
      <c r="L34" s="199">
        <v>0.882</v>
      </c>
      <c r="M34" s="199">
        <v>1</v>
      </c>
      <c r="N34" s="199">
        <v>0</v>
      </c>
      <c r="O34" s="199">
        <v>101.54</v>
      </c>
      <c r="P34" s="204">
        <v>1</v>
      </c>
    </row>
    <row r="35" s="177" customFormat="1" ht="14.25" customHeight="1" spans="2:16">
      <c r="B35" s="198" t="s">
        <v>176</v>
      </c>
      <c r="C35" s="199" t="s">
        <v>175</v>
      </c>
      <c r="D35" s="199" t="s">
        <v>161</v>
      </c>
      <c r="E35" s="199" t="s">
        <v>4</v>
      </c>
      <c r="F35" s="199">
        <v>30</v>
      </c>
      <c r="G35" s="199">
        <v>33.1</v>
      </c>
      <c r="H35" s="199">
        <v>12000</v>
      </c>
      <c r="I35" s="199">
        <v>1.14</v>
      </c>
      <c r="J35" s="199">
        <v>0.0081</v>
      </c>
      <c r="K35" s="199">
        <v>1480000</v>
      </c>
      <c r="L35" s="199">
        <v>0.878</v>
      </c>
      <c r="M35" s="199">
        <v>1</v>
      </c>
      <c r="N35" s="199">
        <v>0</v>
      </c>
      <c r="O35" s="199">
        <v>110.28</v>
      </c>
      <c r="P35" s="204">
        <v>1</v>
      </c>
    </row>
    <row r="36" s="177" customFormat="1" ht="14.25" customHeight="1" spans="2:16">
      <c r="B36" s="198" t="s">
        <v>177</v>
      </c>
      <c r="C36" s="199" t="s">
        <v>175</v>
      </c>
      <c r="D36" s="199" t="s">
        <v>161</v>
      </c>
      <c r="E36" s="199" t="s">
        <v>4</v>
      </c>
      <c r="F36" s="199">
        <v>1600</v>
      </c>
      <c r="G36" s="199">
        <v>1580</v>
      </c>
      <c r="H36" s="199">
        <v>556000</v>
      </c>
      <c r="I36" s="199">
        <v>1.15</v>
      </c>
      <c r="J36" s="199">
        <v>0.38</v>
      </c>
      <c r="K36" s="199">
        <v>1460000</v>
      </c>
      <c r="L36" s="199">
        <v>0.886</v>
      </c>
      <c r="M36" s="199">
        <v>1</v>
      </c>
      <c r="N36" s="199">
        <v>0</v>
      </c>
      <c r="O36" s="199">
        <v>98.63</v>
      </c>
      <c r="P36" s="204">
        <v>1</v>
      </c>
    </row>
    <row r="37" s="177" customFormat="1" ht="14.25" customHeight="1" spans="2:16">
      <c r="B37" s="198" t="s">
        <v>178</v>
      </c>
      <c r="C37" s="199" t="s">
        <v>175</v>
      </c>
      <c r="D37" s="199" t="s">
        <v>161</v>
      </c>
      <c r="E37" s="199" t="s">
        <v>4</v>
      </c>
      <c r="F37" s="199">
        <v>50</v>
      </c>
      <c r="G37" s="199">
        <v>61.4</v>
      </c>
      <c r="H37" s="199">
        <v>22400</v>
      </c>
      <c r="I37" s="199">
        <v>1.14</v>
      </c>
      <c r="J37" s="199">
        <v>0.0149</v>
      </c>
      <c r="K37" s="199">
        <v>1500000</v>
      </c>
      <c r="L37" s="199">
        <v>0.879</v>
      </c>
      <c r="M37" s="199">
        <v>1</v>
      </c>
      <c r="N37" s="199">
        <v>0</v>
      </c>
      <c r="O37" s="199">
        <v>122.81</v>
      </c>
      <c r="P37" s="204">
        <v>1</v>
      </c>
    </row>
    <row r="38" s="177" customFormat="1" ht="14.25" customHeight="1" spans="2:16">
      <c r="B38" s="198" t="s">
        <v>179</v>
      </c>
      <c r="C38" s="199" t="s">
        <v>175</v>
      </c>
      <c r="D38" s="199" t="s">
        <v>161</v>
      </c>
      <c r="E38" s="199" t="s">
        <v>4</v>
      </c>
      <c r="F38" s="199">
        <v>50</v>
      </c>
      <c r="G38" s="199">
        <v>55.8</v>
      </c>
      <c r="H38" s="199">
        <v>20700</v>
      </c>
      <c r="I38" s="199">
        <v>1.15</v>
      </c>
      <c r="J38" s="199">
        <v>0.0136</v>
      </c>
      <c r="K38" s="199">
        <v>1520000</v>
      </c>
      <c r="L38" s="199">
        <v>0.884</v>
      </c>
      <c r="M38" s="199">
        <v>1</v>
      </c>
      <c r="N38" s="199">
        <v>0</v>
      </c>
      <c r="O38" s="199">
        <v>111.56</v>
      </c>
      <c r="P38" s="204">
        <v>1</v>
      </c>
    </row>
    <row r="39" s="177" customFormat="1" ht="14.25" customHeight="1" spans="2:16">
      <c r="B39" s="198" t="s">
        <v>180</v>
      </c>
      <c r="C39" s="199" t="s">
        <v>175</v>
      </c>
      <c r="D39" s="199" t="s">
        <v>161</v>
      </c>
      <c r="E39" s="199" t="s">
        <v>4</v>
      </c>
      <c r="F39" s="199">
        <v>50</v>
      </c>
      <c r="G39" s="199">
        <v>56.7</v>
      </c>
      <c r="H39" s="199">
        <v>21200</v>
      </c>
      <c r="I39" s="199">
        <v>1.14</v>
      </c>
      <c r="J39" s="199">
        <v>0.0138</v>
      </c>
      <c r="K39" s="199">
        <v>1530000</v>
      </c>
      <c r="L39" s="199">
        <v>0.878</v>
      </c>
      <c r="M39" s="199">
        <v>1</v>
      </c>
      <c r="N39" s="199">
        <v>0</v>
      </c>
      <c r="O39" s="199">
        <v>113.45</v>
      </c>
      <c r="P39" s="204">
        <v>1</v>
      </c>
    </row>
    <row r="40" s="177" customFormat="1" ht="14.25" customHeight="1" spans="2:16">
      <c r="B40" s="198" t="s">
        <v>159</v>
      </c>
      <c r="C40" s="199" t="s">
        <v>160</v>
      </c>
      <c r="D40" s="199" t="s">
        <v>161</v>
      </c>
      <c r="E40" s="199" t="s">
        <v>4</v>
      </c>
      <c r="F40" s="199" t="s">
        <v>162</v>
      </c>
      <c r="G40" s="199" t="e">
        <v>#DIV/0!</v>
      </c>
      <c r="H40" s="199">
        <v>147</v>
      </c>
      <c r="I40" s="199">
        <v>1.15</v>
      </c>
      <c r="J40" s="199" t="e">
        <v>#DIV/0!</v>
      </c>
      <c r="K40" s="199">
        <v>0</v>
      </c>
      <c r="L40" s="199">
        <v>0</v>
      </c>
      <c r="M40" s="199"/>
      <c r="N40" s="199">
        <v>0</v>
      </c>
      <c r="O40" s="199" t="s">
        <v>162</v>
      </c>
      <c r="P40" s="204">
        <v>1</v>
      </c>
    </row>
    <row r="41" s="177" customFormat="1" ht="14.25" customHeight="1" spans="2:16">
      <c r="B41" s="198" t="s">
        <v>159</v>
      </c>
      <c r="C41" s="199" t="s">
        <v>160</v>
      </c>
      <c r="D41" s="199" t="s">
        <v>161</v>
      </c>
      <c r="E41" s="199" t="s">
        <v>4</v>
      </c>
      <c r="F41" s="199" t="s">
        <v>162</v>
      </c>
      <c r="G41" s="199" t="e">
        <v>#DIV/0!</v>
      </c>
      <c r="H41" s="199">
        <v>0</v>
      </c>
      <c r="I41" s="199">
        <v>0</v>
      </c>
      <c r="J41" s="199" t="e">
        <v>#DIV/0!</v>
      </c>
      <c r="K41" s="199">
        <v>0</v>
      </c>
      <c r="L41" s="199">
        <v>0</v>
      </c>
      <c r="M41" s="199"/>
      <c r="N41" s="199">
        <v>0</v>
      </c>
      <c r="O41" s="199" t="s">
        <v>162</v>
      </c>
      <c r="P41" s="204">
        <v>1</v>
      </c>
    </row>
    <row r="42" s="177" customFormat="1" ht="14.25" customHeight="1" spans="2:16">
      <c r="B42" s="198" t="s">
        <v>181</v>
      </c>
      <c r="C42" s="199" t="s">
        <v>160</v>
      </c>
      <c r="D42" s="199" t="s">
        <v>161</v>
      </c>
      <c r="E42" s="199" t="s">
        <v>4</v>
      </c>
      <c r="F42" s="199" t="s">
        <v>162</v>
      </c>
      <c r="G42" s="199" t="s">
        <v>164</v>
      </c>
      <c r="H42" s="199">
        <v>0</v>
      </c>
      <c r="I42" s="199">
        <v>0</v>
      </c>
      <c r="J42" s="199">
        <v>0</v>
      </c>
      <c r="K42" s="199">
        <v>1510000</v>
      </c>
      <c r="L42" s="199">
        <v>0.888</v>
      </c>
      <c r="M42" s="199"/>
      <c r="N42" s="199">
        <v>0</v>
      </c>
      <c r="O42" s="199" t="s">
        <v>162</v>
      </c>
      <c r="P42" s="204">
        <v>1</v>
      </c>
    </row>
    <row r="43" s="177" customFormat="1" ht="18" customHeight="1" spans="2:16">
      <c r="B43" s="198" t="s">
        <v>182</v>
      </c>
      <c r="C43" s="199" t="s">
        <v>160</v>
      </c>
      <c r="D43" s="199" t="s">
        <v>161</v>
      </c>
      <c r="E43" s="199" t="s">
        <v>4</v>
      </c>
      <c r="F43" s="199" t="s">
        <v>162</v>
      </c>
      <c r="G43" s="199" t="s">
        <v>164</v>
      </c>
      <c r="H43" s="199">
        <v>0</v>
      </c>
      <c r="I43" s="199">
        <v>0</v>
      </c>
      <c r="J43" s="199">
        <v>0</v>
      </c>
      <c r="K43" s="199">
        <v>1290000</v>
      </c>
      <c r="L43" s="199">
        <v>0.881</v>
      </c>
      <c r="M43" s="199"/>
      <c r="N43" s="199">
        <v>0</v>
      </c>
      <c r="O43" s="199" t="s">
        <v>162</v>
      </c>
      <c r="P43" s="204">
        <v>1</v>
      </c>
    </row>
    <row r="44" s="177" customFormat="1" ht="15" customHeight="1" spans="2:16">
      <c r="B44" s="198" t="s">
        <v>183</v>
      </c>
      <c r="C44" s="199" t="s">
        <v>160</v>
      </c>
      <c r="D44" s="199" t="s">
        <v>161</v>
      </c>
      <c r="E44" s="199" t="s">
        <v>4</v>
      </c>
      <c r="F44" s="199" t="s">
        <v>162</v>
      </c>
      <c r="G44" s="199" t="s">
        <v>164</v>
      </c>
      <c r="H44" s="199">
        <v>0</v>
      </c>
      <c r="I44" s="199">
        <v>0</v>
      </c>
      <c r="J44" s="199">
        <v>0</v>
      </c>
      <c r="K44" s="199">
        <v>1340000</v>
      </c>
      <c r="L44" s="199">
        <v>0.885</v>
      </c>
      <c r="M44" s="199"/>
      <c r="N44" s="199">
        <v>0</v>
      </c>
      <c r="O44" s="199" t="s">
        <v>162</v>
      </c>
      <c r="P44" s="204">
        <v>1</v>
      </c>
    </row>
    <row r="45" s="177" customFormat="1" ht="14.25" customHeight="1" spans="2:16">
      <c r="B45" s="198" t="s">
        <v>184</v>
      </c>
      <c r="C45" s="199" t="s">
        <v>160</v>
      </c>
      <c r="D45" s="199" t="s">
        <v>161</v>
      </c>
      <c r="E45" s="199" t="s">
        <v>4</v>
      </c>
      <c r="F45" s="199" t="s">
        <v>162</v>
      </c>
      <c r="G45" s="199" t="s">
        <v>164</v>
      </c>
      <c r="H45" s="199">
        <v>0</v>
      </c>
      <c r="I45" s="199">
        <v>0</v>
      </c>
      <c r="J45" s="199">
        <v>0</v>
      </c>
      <c r="K45" s="199">
        <v>1320000</v>
      </c>
      <c r="L45" s="199">
        <v>0.886</v>
      </c>
      <c r="M45" s="199"/>
      <c r="N45" s="199">
        <v>0</v>
      </c>
      <c r="O45" s="199" t="s">
        <v>162</v>
      </c>
      <c r="P45" s="204">
        <v>1</v>
      </c>
    </row>
    <row r="46" s="177" customFormat="1" ht="14.25" customHeight="1" spans="2:17">
      <c r="B46" s="198" t="s">
        <v>185</v>
      </c>
      <c r="C46" s="199" t="s">
        <v>160</v>
      </c>
      <c r="D46" s="199" t="s">
        <v>161</v>
      </c>
      <c r="E46" s="199" t="s">
        <v>4</v>
      </c>
      <c r="F46" s="199" t="s">
        <v>162</v>
      </c>
      <c r="G46" s="199" t="s">
        <v>164</v>
      </c>
      <c r="H46" s="199">
        <v>0</v>
      </c>
      <c r="I46" s="199">
        <v>0</v>
      </c>
      <c r="J46" s="199">
        <v>0</v>
      </c>
      <c r="K46" s="199">
        <v>1370000</v>
      </c>
      <c r="L46" s="199">
        <v>0.885</v>
      </c>
      <c r="M46" s="199"/>
      <c r="N46" s="199">
        <v>0</v>
      </c>
      <c r="O46" s="199" t="s">
        <v>162</v>
      </c>
      <c r="P46" s="204">
        <v>1</v>
      </c>
      <c r="Q46" s="208"/>
    </row>
    <row r="47" s="177" customFormat="1" ht="14.25" customHeight="1" spans="2:17">
      <c r="B47" s="198" t="s">
        <v>186</v>
      </c>
      <c r="C47" s="199" t="s">
        <v>160</v>
      </c>
      <c r="D47" s="199" t="s">
        <v>161</v>
      </c>
      <c r="E47" s="199" t="s">
        <v>4</v>
      </c>
      <c r="F47" s="199" t="s">
        <v>162</v>
      </c>
      <c r="G47" s="199" t="s">
        <v>164</v>
      </c>
      <c r="H47" s="199">
        <v>0</v>
      </c>
      <c r="I47" s="199">
        <v>0</v>
      </c>
      <c r="J47" s="199">
        <v>0</v>
      </c>
      <c r="K47" s="199">
        <v>1310000</v>
      </c>
      <c r="L47" s="199">
        <v>0.885</v>
      </c>
      <c r="M47" s="199"/>
      <c r="N47" s="199">
        <v>0</v>
      </c>
      <c r="O47" s="199" t="s">
        <v>162</v>
      </c>
      <c r="P47" s="204">
        <v>1</v>
      </c>
      <c r="Q47" s="209"/>
    </row>
    <row r="48" s="177" customFormat="1" ht="18" customHeight="1" spans="2:17">
      <c r="B48" s="198" t="s">
        <v>187</v>
      </c>
      <c r="C48" s="199" t="s">
        <v>160</v>
      </c>
      <c r="D48" s="199" t="s">
        <v>161</v>
      </c>
      <c r="E48" s="199" t="s">
        <v>4</v>
      </c>
      <c r="F48" s="199" t="s">
        <v>162</v>
      </c>
      <c r="G48" s="199">
        <v>0.949</v>
      </c>
      <c r="H48" s="199">
        <v>478</v>
      </c>
      <c r="I48" s="199">
        <v>1.14</v>
      </c>
      <c r="J48" s="199">
        <v>0.00037</v>
      </c>
      <c r="K48" s="199">
        <v>1290000</v>
      </c>
      <c r="L48" s="199">
        <v>0.882</v>
      </c>
      <c r="M48" s="199"/>
      <c r="N48" s="199">
        <v>0</v>
      </c>
      <c r="O48" s="199" t="s">
        <v>162</v>
      </c>
      <c r="P48" s="204">
        <v>1</v>
      </c>
      <c r="Q48" s="209"/>
    </row>
    <row r="49" s="177" customFormat="1" ht="14.25" customHeight="1" spans="2:17">
      <c r="B49" s="198" t="s">
        <v>188</v>
      </c>
      <c r="C49" s="199" t="s">
        <v>160</v>
      </c>
      <c r="D49" s="199" t="s">
        <v>161</v>
      </c>
      <c r="E49" s="199" t="s">
        <v>4</v>
      </c>
      <c r="F49" s="199" t="s">
        <v>162</v>
      </c>
      <c r="G49" s="199">
        <v>0.364</v>
      </c>
      <c r="H49" s="199">
        <v>300</v>
      </c>
      <c r="I49" s="199">
        <v>1.13</v>
      </c>
      <c r="J49" s="199">
        <v>0.00023</v>
      </c>
      <c r="K49" s="199">
        <v>1310000</v>
      </c>
      <c r="L49" s="199">
        <v>0.882</v>
      </c>
      <c r="M49" s="199"/>
      <c r="N49" s="199">
        <v>0</v>
      </c>
      <c r="O49" s="199" t="s">
        <v>162</v>
      </c>
      <c r="P49" s="204">
        <v>1</v>
      </c>
      <c r="Q49" s="209"/>
    </row>
    <row r="50" s="177" customFormat="1" ht="15" customHeight="1" spans="2:16">
      <c r="B50" s="198" t="s">
        <v>189</v>
      </c>
      <c r="C50" s="199" t="s">
        <v>160</v>
      </c>
      <c r="D50" s="199" t="s">
        <v>161</v>
      </c>
      <c r="E50" s="199" t="s">
        <v>4</v>
      </c>
      <c r="F50" s="199" t="s">
        <v>162</v>
      </c>
      <c r="G50" s="199">
        <v>1.02</v>
      </c>
      <c r="H50" s="199">
        <v>531</v>
      </c>
      <c r="I50" s="199">
        <v>1.13</v>
      </c>
      <c r="J50" s="199">
        <v>0.000387</v>
      </c>
      <c r="K50" s="199">
        <v>1370000</v>
      </c>
      <c r="L50" s="199">
        <v>0.878</v>
      </c>
      <c r="M50" s="199"/>
      <c r="N50" s="199">
        <v>0</v>
      </c>
      <c r="O50" s="199" t="s">
        <v>162</v>
      </c>
      <c r="P50" s="204">
        <v>1</v>
      </c>
    </row>
    <row r="51" s="177" customFormat="1" ht="14.25" customHeight="1" spans="2:16">
      <c r="B51" s="198" t="s">
        <v>190</v>
      </c>
      <c r="C51" s="199" t="s">
        <v>160</v>
      </c>
      <c r="D51" s="199" t="s">
        <v>161</v>
      </c>
      <c r="E51" s="199" t="s">
        <v>4</v>
      </c>
      <c r="F51" s="199" t="s">
        <v>162</v>
      </c>
      <c r="G51" s="199">
        <v>3.51</v>
      </c>
      <c r="H51" s="199">
        <v>1350</v>
      </c>
      <c r="I51" s="199">
        <v>1.14</v>
      </c>
      <c r="J51" s="199">
        <v>0.000986</v>
      </c>
      <c r="K51" s="199">
        <v>1370000</v>
      </c>
      <c r="L51" s="199">
        <v>0.884</v>
      </c>
      <c r="M51" s="199"/>
      <c r="N51" s="199">
        <v>0</v>
      </c>
      <c r="O51" s="199" t="s">
        <v>162</v>
      </c>
      <c r="P51" s="204">
        <v>1</v>
      </c>
    </row>
    <row r="52" s="177" customFormat="1" ht="14.25" customHeight="1" spans="2:16">
      <c r="B52" s="198" t="s">
        <v>191</v>
      </c>
      <c r="C52" s="199" t="s">
        <v>160</v>
      </c>
      <c r="D52" s="199" t="s">
        <v>161</v>
      </c>
      <c r="E52" s="199" t="s">
        <v>4</v>
      </c>
      <c r="F52" s="199" t="s">
        <v>162</v>
      </c>
      <c r="G52" s="199">
        <v>0.903</v>
      </c>
      <c r="H52" s="199">
        <v>495</v>
      </c>
      <c r="I52" s="199">
        <v>1.13</v>
      </c>
      <c r="J52" s="199">
        <v>0.00036</v>
      </c>
      <c r="K52" s="199">
        <v>1380000</v>
      </c>
      <c r="L52" s="199">
        <v>0.884</v>
      </c>
      <c r="M52" s="199"/>
      <c r="N52" s="199">
        <v>0</v>
      </c>
      <c r="O52" s="199" t="s">
        <v>162</v>
      </c>
      <c r="P52" s="204">
        <v>1</v>
      </c>
    </row>
    <row r="53" s="177" customFormat="1" ht="15" customHeight="1" spans="2:16">
      <c r="B53" s="198" t="s">
        <v>192</v>
      </c>
      <c r="C53" s="199" t="s">
        <v>160</v>
      </c>
      <c r="D53" s="199" t="s">
        <v>161</v>
      </c>
      <c r="E53" s="199" t="s">
        <v>4</v>
      </c>
      <c r="F53" s="199" t="s">
        <v>162</v>
      </c>
      <c r="G53" s="199">
        <v>7.44</v>
      </c>
      <c r="H53" s="199">
        <v>2580</v>
      </c>
      <c r="I53" s="199">
        <v>1.14</v>
      </c>
      <c r="J53" s="199">
        <v>0.00193</v>
      </c>
      <c r="K53" s="199">
        <v>1340000</v>
      </c>
      <c r="L53" s="199">
        <v>0.882</v>
      </c>
      <c r="M53" s="199"/>
      <c r="N53" s="199">
        <v>0</v>
      </c>
      <c r="O53" s="199" t="s">
        <v>162</v>
      </c>
      <c r="P53" s="204">
        <v>1</v>
      </c>
    </row>
    <row r="54" s="177" customFormat="1" ht="14.25" customHeight="1" spans="2:16">
      <c r="B54" s="198" t="s">
        <v>193</v>
      </c>
      <c r="C54" s="199" t="s">
        <v>160</v>
      </c>
      <c r="D54" s="199" t="s">
        <v>161</v>
      </c>
      <c r="E54" s="199" t="s">
        <v>4</v>
      </c>
      <c r="F54" s="199" t="s">
        <v>162</v>
      </c>
      <c r="G54" s="199">
        <v>17</v>
      </c>
      <c r="H54" s="199">
        <v>5550</v>
      </c>
      <c r="I54" s="199">
        <v>1.13</v>
      </c>
      <c r="J54" s="199">
        <v>0.00424</v>
      </c>
      <c r="K54" s="199">
        <v>1310000</v>
      </c>
      <c r="L54" s="199">
        <v>0.88</v>
      </c>
      <c r="M54" s="199"/>
      <c r="N54" s="199">
        <v>0</v>
      </c>
      <c r="O54" s="199" t="s">
        <v>162</v>
      </c>
      <c r="P54" s="204">
        <v>1</v>
      </c>
    </row>
    <row r="55" s="177" customFormat="1" ht="14.25" customHeight="1" spans="2:17">
      <c r="B55" s="198" t="s">
        <v>194</v>
      </c>
      <c r="C55" s="199" t="s">
        <v>160</v>
      </c>
      <c r="D55" s="199" t="s">
        <v>161</v>
      </c>
      <c r="E55" s="199" t="s">
        <v>4</v>
      </c>
      <c r="F55" s="199" t="s">
        <v>162</v>
      </c>
      <c r="G55" s="199">
        <v>11.3</v>
      </c>
      <c r="H55" s="199">
        <v>3740</v>
      </c>
      <c r="I55" s="199">
        <v>1.14</v>
      </c>
      <c r="J55" s="199">
        <v>0.00285</v>
      </c>
      <c r="K55" s="199">
        <v>1310000</v>
      </c>
      <c r="L55" s="199">
        <v>0.885</v>
      </c>
      <c r="M55" s="199"/>
      <c r="N55" s="199">
        <v>0</v>
      </c>
      <c r="O55" s="199" t="s">
        <v>162</v>
      </c>
      <c r="P55" s="204">
        <v>1</v>
      </c>
      <c r="Q55" s="208"/>
    </row>
    <row r="56" s="177" customFormat="1" ht="14.25" customHeight="1" spans="2:17">
      <c r="B56" s="198" t="s">
        <v>195</v>
      </c>
      <c r="C56" s="199" t="s">
        <v>160</v>
      </c>
      <c r="D56" s="199" t="s">
        <v>161</v>
      </c>
      <c r="E56" s="199" t="s">
        <v>4</v>
      </c>
      <c r="F56" s="199" t="s">
        <v>162</v>
      </c>
      <c r="G56" s="199">
        <v>42.1</v>
      </c>
      <c r="H56" s="199">
        <v>13100</v>
      </c>
      <c r="I56" s="199">
        <v>1.14</v>
      </c>
      <c r="J56" s="199">
        <v>0.0103</v>
      </c>
      <c r="K56" s="199">
        <v>1270000</v>
      </c>
      <c r="L56" s="199">
        <v>0.883</v>
      </c>
      <c r="M56" s="199"/>
      <c r="N56" s="199">
        <v>0</v>
      </c>
      <c r="O56" s="199" t="s">
        <v>162</v>
      </c>
      <c r="P56" s="204">
        <v>1</v>
      </c>
      <c r="Q56" s="208"/>
    </row>
    <row r="57" s="177" customFormat="1" ht="18" customHeight="1" spans="2:17">
      <c r="B57" s="198" t="s">
        <v>196</v>
      </c>
      <c r="C57" s="199" t="s">
        <v>160</v>
      </c>
      <c r="D57" s="199" t="s">
        <v>161</v>
      </c>
      <c r="E57" s="199" t="s">
        <v>4</v>
      </c>
      <c r="F57" s="199" t="s">
        <v>162</v>
      </c>
      <c r="G57" s="199">
        <v>53.3</v>
      </c>
      <c r="H57" s="199">
        <v>17000</v>
      </c>
      <c r="I57" s="199">
        <v>1.14</v>
      </c>
      <c r="J57" s="199">
        <v>0.013</v>
      </c>
      <c r="K57" s="199">
        <v>1320000</v>
      </c>
      <c r="L57" s="199">
        <v>0.879</v>
      </c>
      <c r="M57" s="199"/>
      <c r="N57" s="199">
        <v>0</v>
      </c>
      <c r="O57" s="199" t="s">
        <v>162</v>
      </c>
      <c r="P57" s="204">
        <v>1</v>
      </c>
      <c r="Q57" s="208"/>
    </row>
    <row r="58" s="177" customFormat="1" ht="14.25" customHeight="1" spans="2:16">
      <c r="B58" s="198" t="s">
        <v>197</v>
      </c>
      <c r="C58" s="199" t="s">
        <v>160</v>
      </c>
      <c r="D58" s="199" t="s">
        <v>161</v>
      </c>
      <c r="E58" s="199" t="s">
        <v>4</v>
      </c>
      <c r="F58" s="199" t="s">
        <v>162</v>
      </c>
      <c r="G58" s="199">
        <v>59.9</v>
      </c>
      <c r="H58" s="199">
        <v>18500</v>
      </c>
      <c r="I58" s="199">
        <v>1.14</v>
      </c>
      <c r="J58" s="199">
        <v>0.0146</v>
      </c>
      <c r="K58" s="199">
        <v>1270000</v>
      </c>
      <c r="L58" s="199">
        <v>0.883</v>
      </c>
      <c r="M58" s="199"/>
      <c r="N58" s="199">
        <v>0</v>
      </c>
      <c r="O58" s="199" t="s">
        <v>162</v>
      </c>
      <c r="P58" s="204">
        <v>1</v>
      </c>
    </row>
    <row r="59" s="177" customFormat="1" ht="15" customHeight="1" spans="2:16">
      <c r="B59" s="198" t="s">
        <v>198</v>
      </c>
      <c r="C59" s="199" t="s">
        <v>160</v>
      </c>
      <c r="D59" s="199" t="s">
        <v>161</v>
      </c>
      <c r="E59" s="199" t="s">
        <v>4</v>
      </c>
      <c r="F59" s="199" t="s">
        <v>162</v>
      </c>
      <c r="G59" s="199">
        <v>63.8</v>
      </c>
      <c r="H59" s="199">
        <v>20700</v>
      </c>
      <c r="I59" s="199">
        <v>1.14</v>
      </c>
      <c r="J59" s="199">
        <v>0.0155</v>
      </c>
      <c r="K59" s="199">
        <v>1340000</v>
      </c>
      <c r="L59" s="199">
        <v>0.883</v>
      </c>
      <c r="M59" s="199"/>
      <c r="N59" s="199">
        <v>0</v>
      </c>
      <c r="O59" s="199" t="s">
        <v>162</v>
      </c>
      <c r="P59" s="204">
        <v>1</v>
      </c>
    </row>
    <row r="60" s="177" customFormat="1" ht="14.25" customHeight="1" spans="2:16">
      <c r="B60" s="198" t="s">
        <v>199</v>
      </c>
      <c r="C60" s="199" t="s">
        <v>160</v>
      </c>
      <c r="D60" s="199" t="s">
        <v>161</v>
      </c>
      <c r="E60" s="199" t="s">
        <v>4</v>
      </c>
      <c r="F60" s="199" t="s">
        <v>162</v>
      </c>
      <c r="G60" s="199">
        <v>157</v>
      </c>
      <c r="H60" s="199">
        <v>49700</v>
      </c>
      <c r="I60" s="199">
        <v>1.14</v>
      </c>
      <c r="J60" s="199">
        <v>0.0379</v>
      </c>
      <c r="K60" s="199">
        <v>1310000</v>
      </c>
      <c r="L60" s="199">
        <v>0.884</v>
      </c>
      <c r="M60" s="199"/>
      <c r="N60" s="199">
        <v>0</v>
      </c>
      <c r="O60" s="199" t="s">
        <v>162</v>
      </c>
      <c r="P60" s="204">
        <v>1</v>
      </c>
    </row>
    <row r="61" s="177" customFormat="1" ht="14.25" customHeight="1" spans="2:16">
      <c r="B61" s="198" t="s">
        <v>200</v>
      </c>
      <c r="C61" s="199" t="s">
        <v>160</v>
      </c>
      <c r="D61" s="199" t="s">
        <v>161</v>
      </c>
      <c r="E61" s="199" t="s">
        <v>4</v>
      </c>
      <c r="F61" s="199" t="s">
        <v>162</v>
      </c>
      <c r="G61" s="199">
        <v>202</v>
      </c>
      <c r="H61" s="199">
        <v>64400</v>
      </c>
      <c r="I61" s="199">
        <v>1.14</v>
      </c>
      <c r="J61" s="199">
        <v>0.0488</v>
      </c>
      <c r="K61" s="199">
        <v>1320000</v>
      </c>
      <c r="L61" s="199">
        <v>0.886</v>
      </c>
      <c r="M61" s="199"/>
      <c r="N61" s="199">
        <v>0</v>
      </c>
      <c r="O61" s="199" t="s">
        <v>162</v>
      </c>
      <c r="P61" s="204">
        <v>1</v>
      </c>
    </row>
    <row r="62" s="177" customFormat="1" ht="14.25" customHeight="1" spans="2:16">
      <c r="B62" s="198" t="s">
        <v>201</v>
      </c>
      <c r="C62" s="199" t="s">
        <v>160</v>
      </c>
      <c r="D62" s="199" t="s">
        <v>161</v>
      </c>
      <c r="E62" s="199" t="s">
        <v>4</v>
      </c>
      <c r="F62" s="199" t="s">
        <v>162</v>
      </c>
      <c r="G62" s="199">
        <v>44.3</v>
      </c>
      <c r="H62" s="199">
        <v>14200</v>
      </c>
      <c r="I62" s="199">
        <v>1.14</v>
      </c>
      <c r="J62" s="199">
        <v>0.0108</v>
      </c>
      <c r="K62" s="199">
        <v>1310000</v>
      </c>
      <c r="L62" s="199">
        <v>0.882</v>
      </c>
      <c r="M62" s="199"/>
      <c r="N62" s="199">
        <v>0</v>
      </c>
      <c r="O62" s="199" t="s">
        <v>162</v>
      </c>
      <c r="P62" s="204">
        <v>1</v>
      </c>
    </row>
    <row r="63" s="177" customFormat="1" ht="14.25" customHeight="1" spans="2:16">
      <c r="B63" s="198" t="s">
        <v>202</v>
      </c>
      <c r="C63" s="199" t="s">
        <v>160</v>
      </c>
      <c r="D63" s="199" t="s">
        <v>161</v>
      </c>
      <c r="E63" s="199" t="s">
        <v>4</v>
      </c>
      <c r="F63" s="199" t="s">
        <v>162</v>
      </c>
      <c r="G63" s="199">
        <v>102</v>
      </c>
      <c r="H63" s="199">
        <v>31900</v>
      </c>
      <c r="I63" s="199">
        <v>1.14</v>
      </c>
      <c r="J63" s="199">
        <v>0.0246</v>
      </c>
      <c r="K63" s="199">
        <v>1290000</v>
      </c>
      <c r="L63" s="199">
        <v>0.887</v>
      </c>
      <c r="M63" s="199"/>
      <c r="N63" s="199">
        <v>0</v>
      </c>
      <c r="O63" s="199" t="s">
        <v>162</v>
      </c>
      <c r="P63" s="204">
        <v>1</v>
      </c>
    </row>
    <row r="64" s="177" customFormat="1" ht="14.25" customHeight="1" spans="2:16">
      <c r="B64" s="198" t="s">
        <v>203</v>
      </c>
      <c r="C64" s="199" t="s">
        <v>160</v>
      </c>
      <c r="D64" s="199" t="s">
        <v>161</v>
      </c>
      <c r="E64" s="199" t="s">
        <v>4</v>
      </c>
      <c r="F64" s="199" t="s">
        <v>162</v>
      </c>
      <c r="G64" s="199">
        <v>128</v>
      </c>
      <c r="H64" s="199">
        <v>39200</v>
      </c>
      <c r="I64" s="199">
        <v>1.14</v>
      </c>
      <c r="J64" s="199">
        <v>0.031</v>
      </c>
      <c r="K64" s="199">
        <v>1260000</v>
      </c>
      <c r="L64" s="199">
        <v>0.883</v>
      </c>
      <c r="M64" s="199"/>
      <c r="N64" s="199">
        <v>0</v>
      </c>
      <c r="O64" s="199" t="s">
        <v>162</v>
      </c>
      <c r="P64" s="204">
        <v>1</v>
      </c>
    </row>
    <row r="65" s="177" customFormat="1" ht="14.25" customHeight="1" spans="2:16">
      <c r="B65" s="198" t="s">
        <v>204</v>
      </c>
      <c r="C65" s="199" t="s">
        <v>160</v>
      </c>
      <c r="D65" s="199" t="s">
        <v>161</v>
      </c>
      <c r="E65" s="199" t="s">
        <v>4</v>
      </c>
      <c r="F65" s="199" t="s">
        <v>162</v>
      </c>
      <c r="G65" s="199">
        <v>80.6</v>
      </c>
      <c r="H65" s="199">
        <v>25400</v>
      </c>
      <c r="I65" s="199">
        <v>1.14</v>
      </c>
      <c r="J65" s="199">
        <v>0.0195</v>
      </c>
      <c r="K65" s="199">
        <v>1300000</v>
      </c>
      <c r="L65" s="199">
        <v>0.88</v>
      </c>
      <c r="M65" s="199"/>
      <c r="N65" s="199">
        <v>0</v>
      </c>
      <c r="O65" s="199" t="s">
        <v>162</v>
      </c>
      <c r="P65" s="204">
        <v>1</v>
      </c>
    </row>
    <row r="66" s="177" customFormat="1" ht="18" customHeight="1" spans="2:16">
      <c r="B66" s="198" t="s">
        <v>205</v>
      </c>
      <c r="C66" s="199" t="s">
        <v>160</v>
      </c>
      <c r="D66" s="199" t="s">
        <v>161</v>
      </c>
      <c r="E66" s="199" t="s">
        <v>4</v>
      </c>
      <c r="F66" s="199" t="s">
        <v>162</v>
      </c>
      <c r="G66" s="199">
        <v>51.9</v>
      </c>
      <c r="H66" s="199">
        <v>16600</v>
      </c>
      <c r="I66" s="199">
        <v>1.13</v>
      </c>
      <c r="J66" s="199">
        <v>0.0126</v>
      </c>
      <c r="K66" s="199">
        <v>1320000</v>
      </c>
      <c r="L66" s="199">
        <v>0.88</v>
      </c>
      <c r="M66" s="199"/>
      <c r="N66" s="199">
        <v>0</v>
      </c>
      <c r="O66" s="199" t="s">
        <v>162</v>
      </c>
      <c r="P66" s="204">
        <v>1</v>
      </c>
    </row>
    <row r="67" s="177" customFormat="1" ht="14.25" customHeight="1" spans="2:16">
      <c r="B67" s="198" t="s">
        <v>206</v>
      </c>
      <c r="C67" s="199" t="s">
        <v>160</v>
      </c>
      <c r="D67" s="199" t="s">
        <v>161</v>
      </c>
      <c r="E67" s="199" t="s">
        <v>4</v>
      </c>
      <c r="F67" s="199" t="s">
        <v>162</v>
      </c>
      <c r="G67" s="199">
        <v>70.1</v>
      </c>
      <c r="H67" s="199">
        <v>22000</v>
      </c>
      <c r="I67" s="199">
        <v>1.14</v>
      </c>
      <c r="J67" s="199">
        <v>0.017</v>
      </c>
      <c r="K67" s="199">
        <v>1290000</v>
      </c>
      <c r="L67" s="199">
        <v>0.881</v>
      </c>
      <c r="M67" s="199"/>
      <c r="N67" s="199">
        <v>0</v>
      </c>
      <c r="O67" s="199" t="s">
        <v>162</v>
      </c>
      <c r="P67" s="204">
        <v>1</v>
      </c>
    </row>
    <row r="68" s="177" customFormat="1" ht="15" customHeight="1" spans="2:16">
      <c r="B68" s="198" t="s">
        <v>207</v>
      </c>
      <c r="C68" s="199" t="s">
        <v>160</v>
      </c>
      <c r="D68" s="199" t="s">
        <v>161</v>
      </c>
      <c r="E68" s="199" t="s">
        <v>4</v>
      </c>
      <c r="F68" s="199" t="s">
        <v>162</v>
      </c>
      <c r="G68" s="199">
        <v>108</v>
      </c>
      <c r="H68" s="199">
        <v>35900</v>
      </c>
      <c r="I68" s="199">
        <v>1.14</v>
      </c>
      <c r="J68" s="199">
        <v>0.0262</v>
      </c>
      <c r="K68" s="199">
        <v>1370000</v>
      </c>
      <c r="L68" s="199">
        <v>0.886</v>
      </c>
      <c r="M68" s="199"/>
      <c r="N68" s="199">
        <v>0</v>
      </c>
      <c r="O68" s="199" t="s">
        <v>162</v>
      </c>
      <c r="P68" s="204">
        <v>1</v>
      </c>
    </row>
    <row r="69" s="177" customFormat="1" ht="14.25" customHeight="1" spans="2:16">
      <c r="B69" s="198" t="s">
        <v>159</v>
      </c>
      <c r="C69" s="199" t="s">
        <v>160</v>
      </c>
      <c r="D69" s="199" t="s">
        <v>161</v>
      </c>
      <c r="E69" s="199" t="s">
        <v>4</v>
      </c>
      <c r="F69" s="199" t="s">
        <v>162</v>
      </c>
      <c r="G69" s="199" t="e">
        <v>#DIV/0!</v>
      </c>
      <c r="H69" s="199">
        <v>0</v>
      </c>
      <c r="I69" s="199">
        <v>0</v>
      </c>
      <c r="J69" s="199" t="e">
        <v>#DIV/0!</v>
      </c>
      <c r="K69" s="199">
        <v>0</v>
      </c>
      <c r="L69" s="199">
        <v>0</v>
      </c>
      <c r="M69" s="199"/>
      <c r="N69" s="199">
        <v>0</v>
      </c>
      <c r="O69" s="199" t="s">
        <v>162</v>
      </c>
      <c r="P69" s="204">
        <v>1</v>
      </c>
    </row>
    <row r="70" s="177" customFormat="1" ht="14.25" customHeight="1" spans="2:16">
      <c r="B70" s="198" t="s">
        <v>159</v>
      </c>
      <c r="C70" s="199" t="s">
        <v>160</v>
      </c>
      <c r="D70" s="199" t="s">
        <v>161</v>
      </c>
      <c r="E70" s="199" t="s">
        <v>4</v>
      </c>
      <c r="F70" s="199" t="s">
        <v>162</v>
      </c>
      <c r="G70" s="199" t="e">
        <v>#DIV/0!</v>
      </c>
      <c r="H70" s="199">
        <v>0</v>
      </c>
      <c r="I70" s="199">
        <v>0</v>
      </c>
      <c r="J70" s="199" t="e">
        <v>#DIV/0!</v>
      </c>
      <c r="K70" s="199">
        <v>0</v>
      </c>
      <c r="L70" s="199">
        <v>0</v>
      </c>
      <c r="M70" s="199"/>
      <c r="N70" s="199">
        <v>0</v>
      </c>
      <c r="O70" s="199" t="s">
        <v>162</v>
      </c>
      <c r="P70" s="204">
        <v>1</v>
      </c>
    </row>
    <row r="71" s="177" customFormat="1" ht="14.25" customHeight="1" spans="2:16">
      <c r="B71" s="198" t="s">
        <v>208</v>
      </c>
      <c r="C71" s="199" t="s">
        <v>175</v>
      </c>
      <c r="D71" s="199" t="s">
        <v>161</v>
      </c>
      <c r="E71" s="199" t="s">
        <v>4</v>
      </c>
      <c r="F71" s="199">
        <v>3</v>
      </c>
      <c r="G71" s="199">
        <v>2.84</v>
      </c>
      <c r="H71" s="199">
        <v>1260</v>
      </c>
      <c r="I71" s="199">
        <v>1.15</v>
      </c>
      <c r="J71" s="199">
        <v>0.000826</v>
      </c>
      <c r="K71" s="199">
        <v>1520000</v>
      </c>
      <c r="L71" s="199">
        <v>0.884</v>
      </c>
      <c r="M71" s="199">
        <v>1</v>
      </c>
      <c r="N71" s="199">
        <v>0</v>
      </c>
      <c r="O71" s="199">
        <v>94.66</v>
      </c>
      <c r="P71" s="204">
        <v>1</v>
      </c>
    </row>
    <row r="72" s="177" customFormat="1" ht="14.25" customHeight="1" spans="2:16">
      <c r="B72" s="198" t="s">
        <v>209</v>
      </c>
      <c r="C72" s="199" t="s">
        <v>175</v>
      </c>
      <c r="D72" s="199" t="s">
        <v>161</v>
      </c>
      <c r="E72" s="199" t="s">
        <v>4</v>
      </c>
      <c r="F72" s="199">
        <v>30</v>
      </c>
      <c r="G72" s="199">
        <v>29.5</v>
      </c>
      <c r="H72" s="199">
        <v>11100</v>
      </c>
      <c r="I72" s="199">
        <v>1.15</v>
      </c>
      <c r="J72" s="199">
        <v>0.00724</v>
      </c>
      <c r="K72" s="199">
        <v>1540000</v>
      </c>
      <c r="L72" s="199">
        <v>0.883</v>
      </c>
      <c r="M72" s="199">
        <v>1</v>
      </c>
      <c r="N72" s="199">
        <v>0</v>
      </c>
      <c r="O72" s="199">
        <v>98.32</v>
      </c>
      <c r="P72" s="204">
        <v>1</v>
      </c>
    </row>
    <row r="73" s="177" customFormat="1" ht="14.25" customHeight="1" spans="2:16">
      <c r="B73" s="198" t="s">
        <v>210</v>
      </c>
      <c r="C73" s="199" t="s">
        <v>175</v>
      </c>
      <c r="D73" s="199" t="s">
        <v>161</v>
      </c>
      <c r="E73" s="199" t="s">
        <v>4</v>
      </c>
      <c r="F73" s="199">
        <v>1600</v>
      </c>
      <c r="G73" s="199">
        <v>1630</v>
      </c>
      <c r="H73" s="199">
        <v>600000</v>
      </c>
      <c r="I73" s="199">
        <v>1.14</v>
      </c>
      <c r="J73" s="199">
        <v>0.392</v>
      </c>
      <c r="K73" s="199">
        <v>1530000</v>
      </c>
      <c r="L73" s="199">
        <v>0.881</v>
      </c>
      <c r="M73" s="199">
        <v>1</v>
      </c>
      <c r="N73" s="199">
        <v>0</v>
      </c>
      <c r="O73" s="199">
        <v>101.75</v>
      </c>
      <c r="P73" s="204">
        <v>1</v>
      </c>
    </row>
    <row r="74" s="177" customFormat="1" ht="14.25" customHeight="1" spans="2:16">
      <c r="B74" s="198" t="s">
        <v>200</v>
      </c>
      <c r="C74" s="199" t="s">
        <v>160</v>
      </c>
      <c r="D74" s="199" t="s">
        <v>161</v>
      </c>
      <c r="E74" s="199" t="s">
        <v>4</v>
      </c>
      <c r="F74" s="199" t="s">
        <v>162</v>
      </c>
      <c r="G74" s="199">
        <v>171</v>
      </c>
      <c r="H74" s="199">
        <v>49600</v>
      </c>
      <c r="I74" s="199">
        <v>1.13</v>
      </c>
      <c r="J74" s="199">
        <v>0.0413</v>
      </c>
      <c r="K74" s="199">
        <v>1200000</v>
      </c>
      <c r="L74" s="199">
        <v>0.88</v>
      </c>
      <c r="M74" s="199"/>
      <c r="N74" s="199">
        <v>0</v>
      </c>
      <c r="O74" s="199" t="s">
        <v>162</v>
      </c>
      <c r="P74" s="204">
        <v>1</v>
      </c>
    </row>
    <row r="75" s="177" customFormat="1" ht="19.9" customHeight="1" spans="2:16">
      <c r="B75" s="198" t="s">
        <v>201</v>
      </c>
      <c r="C75" s="199" t="s">
        <v>160</v>
      </c>
      <c r="D75" s="199" t="s">
        <v>161</v>
      </c>
      <c r="E75" s="199" t="s">
        <v>4</v>
      </c>
      <c r="F75" s="199" t="s">
        <v>162</v>
      </c>
      <c r="G75" s="199">
        <v>36.3</v>
      </c>
      <c r="H75" s="199">
        <v>10800</v>
      </c>
      <c r="I75" s="199">
        <v>1.14</v>
      </c>
      <c r="J75" s="199">
        <v>0.00888</v>
      </c>
      <c r="K75" s="199">
        <v>1210000</v>
      </c>
      <c r="L75" s="199">
        <v>0.881</v>
      </c>
      <c r="M75" s="199"/>
      <c r="N75" s="199">
        <v>0</v>
      </c>
      <c r="O75" s="199" t="s">
        <v>162</v>
      </c>
      <c r="P75" s="204">
        <v>1</v>
      </c>
    </row>
    <row r="76" s="177" customFormat="1" ht="19.9" customHeight="1" spans="2:16">
      <c r="B76" s="198" t="s">
        <v>198</v>
      </c>
      <c r="C76" s="199" t="s">
        <v>160</v>
      </c>
      <c r="D76" s="199" t="s">
        <v>161</v>
      </c>
      <c r="E76" s="199" t="s">
        <v>4</v>
      </c>
      <c r="F76" s="199" t="s">
        <v>162</v>
      </c>
      <c r="G76" s="199">
        <v>55.6</v>
      </c>
      <c r="H76" s="199">
        <v>16500</v>
      </c>
      <c r="I76" s="199">
        <v>1.13</v>
      </c>
      <c r="J76" s="199">
        <v>0.0135</v>
      </c>
      <c r="K76" s="199">
        <v>1220000</v>
      </c>
      <c r="L76" s="199">
        <v>0.876</v>
      </c>
      <c r="M76" s="199"/>
      <c r="N76" s="199">
        <v>0</v>
      </c>
      <c r="O76" s="199" t="s">
        <v>162</v>
      </c>
      <c r="P76" s="204">
        <v>1</v>
      </c>
    </row>
    <row r="77" spans="2:16">
      <c r="B77" s="210" t="s">
        <v>211</v>
      </c>
      <c r="C77" s="211"/>
      <c r="D77" s="212"/>
      <c r="E77" s="213"/>
      <c r="F77" s="214"/>
      <c r="P77" s="225"/>
    </row>
    <row r="78" spans="2:16">
      <c r="B78" s="215" t="s">
        <v>212</v>
      </c>
      <c r="C78" s="214">
        <f>AVERAGE(K71:K76,K42:K68,K34:K39,K21:K29)</f>
        <v>1372916.66666667</v>
      </c>
      <c r="D78" s="214"/>
      <c r="E78" s="214"/>
      <c r="F78" s="214"/>
      <c r="P78" s="225"/>
    </row>
    <row r="79" spans="2:16">
      <c r="B79" s="215" t="s">
        <v>213</v>
      </c>
      <c r="C79" s="214">
        <f>STDEV(K71:K76,K42:K68,K34:K39,K21:K29)</f>
        <v>92987.2636745149</v>
      </c>
      <c r="D79" s="214"/>
      <c r="E79" s="214"/>
      <c r="F79" s="214"/>
      <c r="P79" s="225"/>
    </row>
    <row r="80" ht="14.75" spans="2:16">
      <c r="B80" s="216" t="s">
        <v>214</v>
      </c>
      <c r="C80" s="217">
        <f>C79/C78*100</f>
        <v>6.77297216445632</v>
      </c>
      <c r="D80" s="217"/>
      <c r="E80" s="218" t="s">
        <v>215</v>
      </c>
      <c r="F80" s="219" t="s">
        <v>216</v>
      </c>
      <c r="G80" s="220"/>
      <c r="H80" s="221"/>
      <c r="I80" s="221"/>
      <c r="J80" s="226"/>
      <c r="K80" s="224"/>
      <c r="L80" s="221"/>
      <c r="M80" s="221"/>
      <c r="N80" s="221"/>
      <c r="O80" s="226"/>
      <c r="P80" s="227"/>
    </row>
    <row r="81" spans="2:16">
      <c r="B81" s="193"/>
      <c r="C81" s="194"/>
      <c r="D81" s="194"/>
      <c r="E81" s="195"/>
      <c r="F81" s="196"/>
      <c r="G81" s="197"/>
      <c r="H81" s="194"/>
      <c r="I81" s="194"/>
      <c r="J81" s="202"/>
      <c r="K81" s="196"/>
      <c r="L81" s="194"/>
      <c r="M81" s="194"/>
      <c r="N81" s="194"/>
      <c r="O81" s="202"/>
      <c r="P81" s="203"/>
    </row>
    <row r="82" spans="16:16">
      <c r="P82" s="225"/>
    </row>
    <row r="83" spans="16:16">
      <c r="P83" s="225"/>
    </row>
    <row r="84" spans="16:16">
      <c r="P84" s="225"/>
    </row>
    <row r="85" spans="16:16">
      <c r="P85" s="225"/>
    </row>
    <row r="86" spans="16:16">
      <c r="P86" s="225"/>
    </row>
    <row r="87" spans="16:16">
      <c r="P87" s="225"/>
    </row>
    <row r="88" spans="16:16">
      <c r="P88" s="225"/>
    </row>
    <row r="89" spans="16:16">
      <c r="P89" s="225"/>
    </row>
    <row r="90" spans="16:16">
      <c r="P90" s="225"/>
    </row>
    <row r="91" spans="16:16">
      <c r="P91" s="225"/>
    </row>
    <row r="92" spans="16:16">
      <c r="P92" s="225"/>
    </row>
    <row r="93" spans="16:16">
      <c r="P93" s="225"/>
    </row>
    <row r="94" spans="16:16">
      <c r="P94" s="225"/>
    </row>
    <row r="95" spans="16:16">
      <c r="P95" s="225"/>
    </row>
    <row r="96" spans="16:16">
      <c r="P96" s="225"/>
    </row>
    <row r="97" spans="16:16">
      <c r="P97" s="225"/>
    </row>
    <row r="98" spans="16:16">
      <c r="P98" s="225"/>
    </row>
    <row r="99" spans="16:16">
      <c r="P99" s="225"/>
    </row>
    <row r="100" spans="16:16">
      <c r="P100" s="225"/>
    </row>
    <row r="101" spans="16:16">
      <c r="P101" s="225"/>
    </row>
    <row r="102" spans="16:16">
      <c r="P102" s="225"/>
    </row>
    <row r="103" spans="16:16">
      <c r="P103" s="225"/>
    </row>
    <row r="104" spans="16:16">
      <c r="P104" s="225"/>
    </row>
    <row r="105" spans="16:16">
      <c r="P105" s="225"/>
    </row>
    <row r="106" spans="16:16">
      <c r="P106" s="225"/>
    </row>
    <row r="107" spans="16:16">
      <c r="P107" s="225"/>
    </row>
    <row r="108" spans="16:16">
      <c r="P108" s="225"/>
    </row>
    <row r="109" spans="16:16">
      <c r="P109" s="225"/>
    </row>
    <row r="110" spans="16:16">
      <c r="P110" s="225"/>
    </row>
    <row r="111" spans="16:16">
      <c r="P111" s="225"/>
    </row>
    <row r="112" spans="16:16">
      <c r="P112" s="225"/>
    </row>
    <row r="113" ht="14.75" spans="2:16">
      <c r="B113" s="222"/>
      <c r="C113" s="221"/>
      <c r="D113" s="221"/>
      <c r="E113" s="223"/>
      <c r="F113" s="224"/>
      <c r="G113" s="220"/>
      <c r="H113" s="221"/>
      <c r="I113" s="221"/>
      <c r="J113" s="226"/>
      <c r="K113" s="224"/>
      <c r="L113" s="221"/>
      <c r="M113" s="221"/>
      <c r="N113" s="221"/>
      <c r="O113" s="226"/>
      <c r="P113" s="227"/>
    </row>
  </sheetData>
  <sheetProtection formatCells="0" insertHyperlinks="0" autoFilter="0"/>
  <mergeCells count="3">
    <mergeCell ref="C78:E78"/>
    <mergeCell ref="C79:E79"/>
    <mergeCell ref="C80:D80"/>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0"/>
  <sheetViews>
    <sheetView showGridLines="0" workbookViewId="0">
      <selection activeCell="P21" sqref="P21"/>
    </sheetView>
  </sheetViews>
  <sheetFormatPr defaultColWidth="9" defaultRowHeight="14"/>
  <cols>
    <col min="1" max="1" width="1.87272727272727" style="145" customWidth="1"/>
    <col min="2" max="2" width="4.37272727272727" style="145" customWidth="1"/>
    <col min="3" max="3" width="17.2545454545455" style="145" customWidth="1"/>
    <col min="4" max="9" width="11.3727272727273" style="145" customWidth="1"/>
    <col min="10" max="10" width="6.37272727272727" style="145" customWidth="1"/>
    <col min="11" max="16384" width="9" style="145"/>
  </cols>
  <sheetData>
    <row r="1" spans="1:8">
      <c r="A1" s="107"/>
      <c r="B1" s="138"/>
      <c r="C1" s="138"/>
      <c r="D1" s="138"/>
      <c r="E1" s="138"/>
      <c r="F1" s="138"/>
      <c r="G1" s="138"/>
      <c r="H1" s="138"/>
    </row>
    <row r="2" ht="14.75" spans="1:8">
      <c r="A2" s="107"/>
      <c r="B2" s="146"/>
      <c r="C2" s="138"/>
      <c r="D2" s="138"/>
      <c r="E2" s="138"/>
      <c r="F2" s="138"/>
      <c r="G2" s="138"/>
      <c r="H2" s="138"/>
    </row>
    <row r="3" spans="1:10">
      <c r="A3" s="107"/>
      <c r="B3" s="147"/>
      <c r="C3" s="148"/>
      <c r="D3" s="134"/>
      <c r="E3" s="134"/>
      <c r="F3" s="134"/>
      <c r="G3" s="134"/>
      <c r="H3" s="134"/>
      <c r="I3" s="172"/>
      <c r="J3" s="173"/>
    </row>
    <row r="4" spans="1:10">
      <c r="A4" s="107"/>
      <c r="B4" s="149"/>
      <c r="C4" s="150"/>
      <c r="D4" s="151"/>
      <c r="E4" s="151"/>
      <c r="F4" s="151"/>
      <c r="G4" s="151"/>
      <c r="H4" s="151"/>
      <c r="I4" s="151"/>
      <c r="J4" s="174"/>
    </row>
    <row r="5" spans="1:17">
      <c r="A5" s="107"/>
      <c r="B5" s="152"/>
      <c r="C5" s="153" t="s">
        <v>217</v>
      </c>
      <c r="D5" s="154" t="s">
        <v>218</v>
      </c>
      <c r="E5" s="154" t="s">
        <v>219</v>
      </c>
      <c r="F5" s="154" t="s">
        <v>220</v>
      </c>
      <c r="G5" s="154" t="s">
        <v>221</v>
      </c>
      <c r="H5" s="155"/>
      <c r="I5" s="155"/>
      <c r="J5" s="175"/>
      <c r="K5" s="155"/>
      <c r="L5" s="176"/>
      <c r="M5" s="176"/>
      <c r="N5" s="176"/>
      <c r="O5" s="177"/>
      <c r="P5" s="177"/>
      <c r="Q5" s="177"/>
    </row>
    <row r="6" spans="1:17">
      <c r="A6" s="107"/>
      <c r="B6" s="152"/>
      <c r="C6" s="156"/>
      <c r="D6" s="157" t="s">
        <v>222</v>
      </c>
      <c r="E6" s="157">
        <v>1</v>
      </c>
      <c r="F6" s="157">
        <v>0.983</v>
      </c>
      <c r="G6" s="157">
        <v>98.3</v>
      </c>
      <c r="H6" s="155"/>
      <c r="I6" s="155"/>
      <c r="J6" s="175"/>
      <c r="K6" s="155"/>
      <c r="L6" s="164"/>
      <c r="M6" s="164"/>
      <c r="N6" s="164"/>
      <c r="O6" s="177"/>
      <c r="P6" s="177"/>
      <c r="Q6" s="177"/>
    </row>
    <row r="7" ht="15.75" customHeight="1" spans="1:17">
      <c r="A7" s="107"/>
      <c r="B7" s="152"/>
      <c r="C7" s="156"/>
      <c r="D7" s="157" t="s">
        <v>223</v>
      </c>
      <c r="E7" s="157">
        <v>2</v>
      </c>
      <c r="F7" s="157">
        <v>1.05</v>
      </c>
      <c r="G7" s="158">
        <v>52.42</v>
      </c>
      <c r="H7" s="155"/>
      <c r="I7" s="155"/>
      <c r="J7" s="175"/>
      <c r="K7" s="155"/>
      <c r="L7" s="164"/>
      <c r="M7" s="164"/>
      <c r="N7" s="164"/>
      <c r="O7" s="177"/>
      <c r="P7" s="177"/>
      <c r="Q7" s="177"/>
    </row>
    <row r="8" spans="1:17">
      <c r="A8" s="107"/>
      <c r="B8" s="152"/>
      <c r="C8" s="156"/>
      <c r="D8" s="157" t="s">
        <v>224</v>
      </c>
      <c r="E8" s="157">
        <v>5</v>
      </c>
      <c r="F8" s="157">
        <v>5.41</v>
      </c>
      <c r="G8" s="157">
        <v>108.12</v>
      </c>
      <c r="H8" s="155"/>
      <c r="I8" s="155"/>
      <c r="J8" s="175"/>
      <c r="K8" s="155"/>
      <c r="L8" s="164"/>
      <c r="M8" s="164"/>
      <c r="N8" s="164"/>
      <c r="O8" s="177"/>
      <c r="P8" s="177"/>
      <c r="Q8" s="177"/>
    </row>
    <row r="9" spans="1:17">
      <c r="A9" s="107"/>
      <c r="B9" s="152"/>
      <c r="C9" s="156"/>
      <c r="D9" s="157" t="s">
        <v>225</v>
      </c>
      <c r="E9" s="157">
        <v>20</v>
      </c>
      <c r="F9" s="157">
        <v>20.5</v>
      </c>
      <c r="G9" s="157">
        <v>102.57</v>
      </c>
      <c r="H9" s="155"/>
      <c r="I9" s="155"/>
      <c r="J9" s="175"/>
      <c r="K9" s="155"/>
      <c r="L9" s="164"/>
      <c r="M9" s="164"/>
      <c r="N9" s="164"/>
      <c r="O9" s="177"/>
      <c r="P9" s="177"/>
      <c r="Q9" s="177"/>
    </row>
    <row r="10" ht="15.75" customHeight="1" spans="1:17">
      <c r="A10" s="107"/>
      <c r="B10" s="152"/>
      <c r="C10" s="156"/>
      <c r="D10" s="157" t="s">
        <v>226</v>
      </c>
      <c r="E10" s="157">
        <v>100</v>
      </c>
      <c r="F10" s="157">
        <v>94.8</v>
      </c>
      <c r="G10" s="157">
        <v>94.79</v>
      </c>
      <c r="H10" s="155"/>
      <c r="I10" s="155"/>
      <c r="J10" s="175"/>
      <c r="K10" s="155"/>
      <c r="L10" s="164"/>
      <c r="M10" s="164"/>
      <c r="N10" s="164"/>
      <c r="O10" s="177"/>
      <c r="P10" s="177"/>
      <c r="Q10" s="177"/>
    </row>
    <row r="11" spans="1:17">
      <c r="A11" s="107"/>
      <c r="B11" s="152"/>
      <c r="C11" s="156"/>
      <c r="D11" s="157" t="s">
        <v>227</v>
      </c>
      <c r="E11" s="157">
        <v>500</v>
      </c>
      <c r="F11" s="157">
        <v>511</v>
      </c>
      <c r="G11" s="157">
        <v>102.25</v>
      </c>
      <c r="H11" s="155"/>
      <c r="I11" s="155"/>
      <c r="J11" s="175"/>
      <c r="K11" s="178"/>
      <c r="L11" s="164"/>
      <c r="M11" s="164"/>
      <c r="N11" s="164"/>
      <c r="O11" s="177"/>
      <c r="P11" s="177"/>
      <c r="Q11" s="177"/>
    </row>
    <row r="12" ht="15" customHeight="1" spans="1:20">
      <c r="A12" s="107"/>
      <c r="B12" s="152"/>
      <c r="C12" s="156"/>
      <c r="D12" s="157" t="s">
        <v>228</v>
      </c>
      <c r="E12" s="157">
        <v>1000</v>
      </c>
      <c r="F12" s="157">
        <v>977</v>
      </c>
      <c r="G12" s="157">
        <v>97.68</v>
      </c>
      <c r="H12" s="155"/>
      <c r="I12" s="155"/>
      <c r="J12" s="175"/>
      <c r="K12" s="155"/>
      <c r="L12" s="164"/>
      <c r="M12" s="164"/>
      <c r="N12" s="164"/>
      <c r="O12" s="177"/>
      <c r="P12" s="177"/>
      <c r="Q12" s="177"/>
      <c r="S12" s="164"/>
      <c r="T12" s="164"/>
    </row>
    <row r="13" ht="15" customHeight="1" spans="1:20">
      <c r="A13" s="107"/>
      <c r="B13" s="152"/>
      <c r="C13" s="159"/>
      <c r="D13" s="157" t="s">
        <v>229</v>
      </c>
      <c r="E13" s="157">
        <v>2000</v>
      </c>
      <c r="F13" s="157">
        <v>1930</v>
      </c>
      <c r="G13" s="157">
        <v>96.29</v>
      </c>
      <c r="H13" s="155"/>
      <c r="I13" s="155"/>
      <c r="J13" s="175"/>
      <c r="K13" s="155"/>
      <c r="L13" s="164"/>
      <c r="M13" s="164"/>
      <c r="N13" s="164"/>
      <c r="O13" s="177"/>
      <c r="P13" s="177"/>
      <c r="Q13" s="177"/>
      <c r="S13" s="164"/>
      <c r="T13" s="164"/>
    </row>
    <row r="14" ht="15" customHeight="1" spans="1:20">
      <c r="A14" s="107"/>
      <c r="B14" s="152"/>
      <c r="C14" s="160"/>
      <c r="D14" s="151"/>
      <c r="H14" s="151"/>
      <c r="I14" s="151"/>
      <c r="J14" s="175"/>
      <c r="K14" s="155"/>
      <c r="L14" s="179"/>
      <c r="M14" s="177"/>
      <c r="N14" s="177"/>
      <c r="O14" s="177"/>
      <c r="P14" s="177"/>
      <c r="Q14" s="177"/>
      <c r="S14" s="164"/>
      <c r="T14" s="164"/>
    </row>
    <row r="15" spans="1:20">
      <c r="A15" s="107"/>
      <c r="B15" s="152"/>
      <c r="C15" s="161" t="s">
        <v>230</v>
      </c>
      <c r="D15" s="154" t="s">
        <v>218</v>
      </c>
      <c r="E15" s="154" t="s">
        <v>219</v>
      </c>
      <c r="F15" s="154" t="s">
        <v>220</v>
      </c>
      <c r="G15" s="162"/>
      <c r="H15" s="154" t="s">
        <v>221</v>
      </c>
      <c r="I15" s="162"/>
      <c r="J15" s="175"/>
      <c r="K15" s="180"/>
      <c r="L15" s="176"/>
      <c r="M15" s="176"/>
      <c r="N15" s="176"/>
      <c r="O15" s="176"/>
      <c r="P15" s="176"/>
      <c r="Q15" s="177"/>
      <c r="S15" s="164"/>
      <c r="T15" s="164"/>
    </row>
    <row r="16" spans="1:20">
      <c r="A16" s="107"/>
      <c r="B16" s="152"/>
      <c r="C16" s="161"/>
      <c r="D16" s="162"/>
      <c r="E16" s="162"/>
      <c r="F16" s="162">
        <v>1</v>
      </c>
      <c r="G16" s="162">
        <v>2</v>
      </c>
      <c r="H16" s="162">
        <v>1</v>
      </c>
      <c r="I16" s="162">
        <v>2</v>
      </c>
      <c r="J16" s="175"/>
      <c r="K16" s="181"/>
      <c r="L16" s="164"/>
      <c r="M16" s="164"/>
      <c r="N16" s="164"/>
      <c r="O16" s="164"/>
      <c r="P16" s="164"/>
      <c r="Q16" s="177"/>
      <c r="S16" s="164"/>
      <c r="T16" s="164"/>
    </row>
    <row r="17" spans="1:20">
      <c r="A17" s="107"/>
      <c r="B17" s="152"/>
      <c r="C17" s="161"/>
      <c r="D17" s="157" t="s">
        <v>231</v>
      </c>
      <c r="E17" s="157">
        <v>3</v>
      </c>
      <c r="F17" s="157">
        <v>3.05</v>
      </c>
      <c r="G17" s="157">
        <v>2.84</v>
      </c>
      <c r="H17" s="157">
        <v>101.54</v>
      </c>
      <c r="I17" s="157">
        <v>94.66</v>
      </c>
      <c r="J17" s="175"/>
      <c r="K17" s="181"/>
      <c r="L17" s="164"/>
      <c r="M17" s="164"/>
      <c r="N17" s="164"/>
      <c r="O17" s="164"/>
      <c r="P17" s="164"/>
      <c r="Q17" s="177"/>
      <c r="S17" s="164"/>
      <c r="T17" s="164"/>
    </row>
    <row r="18" spans="1:17">
      <c r="A18" s="107"/>
      <c r="B18" s="152"/>
      <c r="C18" s="161"/>
      <c r="D18" s="157" t="s">
        <v>232</v>
      </c>
      <c r="E18" s="157">
        <v>30</v>
      </c>
      <c r="F18" s="163">
        <v>33.1</v>
      </c>
      <c r="G18" s="163">
        <v>29.5</v>
      </c>
      <c r="H18" s="157">
        <v>110.28</v>
      </c>
      <c r="I18" s="157">
        <v>98.32</v>
      </c>
      <c r="J18" s="175"/>
      <c r="K18" s="181"/>
      <c r="L18" s="164"/>
      <c r="M18" s="164"/>
      <c r="N18" s="164"/>
      <c r="O18" s="164"/>
      <c r="P18" s="164"/>
      <c r="Q18" s="177"/>
    </row>
    <row r="19" spans="1:17">
      <c r="A19" s="107"/>
      <c r="B19" s="152"/>
      <c r="C19" s="161"/>
      <c r="D19" s="157" t="s">
        <v>233</v>
      </c>
      <c r="E19" s="157">
        <v>1600</v>
      </c>
      <c r="F19" s="157">
        <v>1580</v>
      </c>
      <c r="G19" s="157">
        <v>1630</v>
      </c>
      <c r="H19" s="157">
        <v>98.63</v>
      </c>
      <c r="I19" s="157">
        <v>101.75</v>
      </c>
      <c r="J19" s="175"/>
      <c r="K19" s="181"/>
      <c r="L19" s="164"/>
      <c r="M19" s="164"/>
      <c r="N19" s="164"/>
      <c r="O19" s="164"/>
      <c r="P19" s="164"/>
      <c r="Q19" s="177"/>
    </row>
    <row r="20" spans="2:12">
      <c r="B20" s="152"/>
      <c r="C20" s="151"/>
      <c r="D20" s="164"/>
      <c r="E20" s="164"/>
      <c r="F20" s="164"/>
      <c r="G20" s="164"/>
      <c r="H20" s="164"/>
      <c r="J20" s="175"/>
      <c r="K20" s="155"/>
      <c r="L20" s="155"/>
    </row>
    <row r="21" ht="57.75" customHeight="1" spans="2:10">
      <c r="B21" s="165"/>
      <c r="C21" s="166" t="s">
        <v>234</v>
      </c>
      <c r="D21" s="167"/>
      <c r="E21" s="167"/>
      <c r="F21" s="167"/>
      <c r="G21" s="167"/>
      <c r="H21" s="167"/>
      <c r="I21" s="167"/>
      <c r="J21" s="174"/>
    </row>
    <row r="22" ht="14.75" spans="2:10">
      <c r="B22" s="168"/>
      <c r="C22" s="169"/>
      <c r="D22" s="169"/>
      <c r="E22" s="169"/>
      <c r="F22" s="169"/>
      <c r="G22" s="169"/>
      <c r="H22" s="169"/>
      <c r="I22" s="169"/>
      <c r="J22" s="182"/>
    </row>
    <row r="24" spans="4:6">
      <c r="D24" s="170"/>
      <c r="E24" s="170"/>
      <c r="F24" s="170"/>
    </row>
    <row r="25" spans="4:8">
      <c r="D25" s="170"/>
      <c r="E25" s="170"/>
      <c r="F25" s="170"/>
      <c r="G25" s="171"/>
      <c r="H25" s="171"/>
    </row>
    <row r="26" spans="4:8">
      <c r="D26" s="170"/>
      <c r="E26" s="170"/>
      <c r="F26" s="170"/>
      <c r="G26" s="171"/>
      <c r="H26" s="171"/>
    </row>
    <row r="27" spans="4:8">
      <c r="D27" s="170"/>
      <c r="E27" s="170"/>
      <c r="F27" s="170"/>
      <c r="G27" s="171"/>
      <c r="H27" s="171"/>
    </row>
    <row r="29" spans="5:6">
      <c r="E29" s="170"/>
      <c r="F29" s="170"/>
    </row>
    <row r="30" spans="5:6">
      <c r="E30" s="170"/>
      <c r="F30" s="170"/>
    </row>
    <row r="31" spans="5:6">
      <c r="E31" s="170"/>
      <c r="F31" s="170"/>
    </row>
    <row r="32" spans="5:12">
      <c r="E32" s="170"/>
      <c r="F32" s="170"/>
      <c r="L32" s="183"/>
    </row>
    <row r="74" spans="6:6">
      <c r="F74" s="184"/>
    </row>
    <row r="90" spans="6:6">
      <c r="F90" s="184"/>
    </row>
  </sheetData>
  <sheetProtection formatCells="0" insertHyperlinks="0" autoFilter="0"/>
  <mergeCells count="7">
    <mergeCell ref="F15:G15"/>
    <mergeCell ref="H15:I15"/>
    <mergeCell ref="C21:I21"/>
    <mergeCell ref="C5:C13"/>
    <mergeCell ref="C15:C19"/>
    <mergeCell ref="D15:D16"/>
    <mergeCell ref="E15:E1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21"/>
  <sheetViews>
    <sheetView showGridLines="0" workbookViewId="0">
      <selection activeCell="I26" sqref="I26"/>
    </sheetView>
  </sheetViews>
  <sheetFormatPr defaultColWidth="9" defaultRowHeight="14"/>
  <cols>
    <col min="1" max="1" width="2.62727272727273" style="107" customWidth="1"/>
    <col min="2" max="2" width="12.3727272727273" style="107" customWidth="1"/>
    <col min="3" max="3" width="19.2545454545455" style="107" customWidth="1"/>
    <col min="4" max="4" width="13.1272727272727" style="107" customWidth="1"/>
    <col min="5" max="5" width="14.3727272727273" style="107" customWidth="1"/>
    <col min="6" max="6" width="12.3727272727273" style="107" customWidth="1"/>
    <col min="7" max="7" width="13.8727272727273" style="107" customWidth="1"/>
    <col min="8" max="8" width="13.8727272727273" style="108" customWidth="1"/>
    <col min="9" max="9" width="22.2545454545455" style="107" customWidth="1"/>
    <col min="10" max="10" width="12.3727272727273" style="107" customWidth="1"/>
    <col min="11" max="12" width="14.3727272727273" style="107" customWidth="1"/>
    <col min="13" max="13" width="7.37272727272727" style="107" customWidth="1"/>
    <col min="14" max="14" width="15.3727272727273" style="107" customWidth="1"/>
    <col min="15" max="15" width="22.3727272727273" style="107" customWidth="1"/>
    <col min="16" max="16384" width="9" style="107"/>
  </cols>
  <sheetData>
    <row r="1" ht="14.75" spans="2:13">
      <c r="B1" s="109"/>
      <c r="C1" s="110"/>
      <c r="D1" s="109"/>
      <c r="E1" s="109"/>
      <c r="F1" s="109"/>
      <c r="G1" s="109"/>
      <c r="H1" s="109"/>
      <c r="I1" s="109"/>
      <c r="J1" s="109"/>
      <c r="K1" s="109"/>
      <c r="L1" s="109"/>
      <c r="M1" s="109"/>
    </row>
    <row r="2" spans="2:15">
      <c r="B2" s="111" t="s">
        <v>235</v>
      </c>
      <c r="C2" s="110"/>
      <c r="D2" s="110"/>
      <c r="E2" s="110"/>
      <c r="F2" s="110"/>
      <c r="G2" s="110"/>
      <c r="H2" s="110"/>
      <c r="I2" s="110"/>
      <c r="J2" s="110"/>
      <c r="K2" s="110"/>
      <c r="L2" s="110"/>
      <c r="M2" s="110"/>
      <c r="N2" s="134"/>
      <c r="O2" s="135"/>
    </row>
    <row r="3" spans="2:15">
      <c r="B3" s="112" t="s">
        <v>72</v>
      </c>
      <c r="C3" s="113" t="s">
        <v>236</v>
      </c>
      <c r="D3" s="109"/>
      <c r="E3" s="109"/>
      <c r="F3" s="109"/>
      <c r="G3" s="109"/>
      <c r="H3" s="109"/>
      <c r="I3" s="109"/>
      <c r="J3" s="109"/>
      <c r="K3" s="109"/>
      <c r="L3" s="109"/>
      <c r="M3" s="109"/>
      <c r="N3" s="109"/>
      <c r="O3" s="136"/>
    </row>
    <row r="4" spans="2:15">
      <c r="B4" s="114"/>
      <c r="C4" s="109" t="s">
        <v>237</v>
      </c>
      <c r="D4" s="109"/>
      <c r="E4" s="109"/>
      <c r="F4" s="109"/>
      <c r="G4" s="109"/>
      <c r="H4" s="109"/>
      <c r="I4" s="109"/>
      <c r="J4" s="109"/>
      <c r="K4" s="109"/>
      <c r="L4" s="109"/>
      <c r="M4" s="109"/>
      <c r="N4" s="109"/>
      <c r="O4" s="136"/>
    </row>
    <row r="5" s="105" customFormat="1" spans="2:15">
      <c r="B5" s="114"/>
      <c r="C5" s="109" t="s">
        <v>238</v>
      </c>
      <c r="D5" s="109"/>
      <c r="E5" s="109"/>
      <c r="F5" s="109"/>
      <c r="G5" s="109"/>
      <c r="H5" s="109"/>
      <c r="I5" s="109"/>
      <c r="J5" s="109"/>
      <c r="K5" s="109"/>
      <c r="L5" s="109"/>
      <c r="M5" s="109"/>
      <c r="N5" s="109"/>
      <c r="O5" s="137"/>
    </row>
    <row r="6" s="105" customFormat="1" ht="44.1" customHeight="1" spans="2:15">
      <c r="B6" s="114"/>
      <c r="C6" s="115" t="s">
        <v>239</v>
      </c>
      <c r="D6" s="115"/>
      <c r="E6" s="115"/>
      <c r="F6" s="115"/>
      <c r="G6" s="115"/>
      <c r="H6" s="115"/>
      <c r="I6" s="115"/>
      <c r="J6" s="109"/>
      <c r="K6" s="109"/>
      <c r="L6" s="109"/>
      <c r="M6" s="109"/>
      <c r="N6" s="109"/>
      <c r="O6" s="137"/>
    </row>
    <row r="7" s="105" customFormat="1" ht="18" customHeight="1" spans="2:15">
      <c r="B7" s="114"/>
      <c r="C7" s="116"/>
      <c r="D7" s="116"/>
      <c r="E7" s="116"/>
      <c r="F7" s="116"/>
      <c r="G7" s="116"/>
      <c r="H7" s="116"/>
      <c r="I7" s="116"/>
      <c r="J7" s="109"/>
      <c r="K7" s="109"/>
      <c r="L7" s="109"/>
      <c r="M7" s="109"/>
      <c r="N7" s="109"/>
      <c r="O7" s="137"/>
    </row>
    <row r="8" ht="28" spans="2:15">
      <c r="B8" s="117"/>
      <c r="C8" s="118" t="s">
        <v>46</v>
      </c>
      <c r="D8" s="118" t="s">
        <v>240</v>
      </c>
      <c r="E8" s="118" t="s">
        <v>241</v>
      </c>
      <c r="F8" s="118" t="s">
        <v>242</v>
      </c>
      <c r="G8" s="118" t="s">
        <v>243</v>
      </c>
      <c r="H8" s="118" t="s">
        <v>244</v>
      </c>
      <c r="I8" s="118" t="s">
        <v>245</v>
      </c>
      <c r="J8" s="118" t="s">
        <v>246</v>
      </c>
      <c r="K8" s="11" t="s">
        <v>247</v>
      </c>
      <c r="L8" s="11" t="s">
        <v>248</v>
      </c>
      <c r="M8" s="109"/>
      <c r="N8" s="138"/>
      <c r="O8" s="136"/>
    </row>
    <row r="9" spans="2:16">
      <c r="B9" s="117"/>
      <c r="C9" s="119" t="str">
        <f>封面!B7</f>
        <v>HW351002</v>
      </c>
      <c r="D9" s="120" t="s">
        <v>72</v>
      </c>
      <c r="E9" s="121">
        <v>1</v>
      </c>
      <c r="F9" s="122">
        <v>20000</v>
      </c>
      <c r="G9" s="123">
        <v>61.4</v>
      </c>
      <c r="H9" s="124">
        <f t="shared" ref="H9:H11" si="0">G9*F9/1000000</f>
        <v>1.228</v>
      </c>
      <c r="I9" s="124">
        <f>AVERAGE(H9:H11)</f>
        <v>1.15933333333333</v>
      </c>
      <c r="J9" s="124">
        <f>(I9-E9)/E9*100</f>
        <v>15.9333333333333</v>
      </c>
      <c r="K9" s="139">
        <f>STDEV(H9:H11)/I9*100</f>
        <v>5.18783246061945</v>
      </c>
      <c r="L9" s="11" t="s">
        <v>249</v>
      </c>
      <c r="M9" s="109"/>
      <c r="N9" s="138"/>
      <c r="O9" s="136"/>
      <c r="P9" s="140"/>
    </row>
    <row r="10" spans="2:16">
      <c r="B10" s="117"/>
      <c r="C10" s="119"/>
      <c r="D10" s="120"/>
      <c r="E10" s="121"/>
      <c r="F10" s="122">
        <f>F9</f>
        <v>20000</v>
      </c>
      <c r="G10" s="123">
        <v>55.8</v>
      </c>
      <c r="H10" s="124">
        <f t="shared" si="0"/>
        <v>1.116</v>
      </c>
      <c r="I10" s="124"/>
      <c r="J10" s="124"/>
      <c r="K10" s="139"/>
      <c r="L10" s="11"/>
      <c r="M10" s="109"/>
      <c r="N10" s="138"/>
      <c r="O10" s="136"/>
      <c r="P10" s="140"/>
    </row>
    <row r="11" spans="2:16">
      <c r="B11" s="117"/>
      <c r="C11" s="125"/>
      <c r="D11" s="120"/>
      <c r="E11" s="121"/>
      <c r="F11" s="122">
        <f>F9</f>
        <v>20000</v>
      </c>
      <c r="G11" s="123">
        <v>56.7</v>
      </c>
      <c r="H11" s="124">
        <f t="shared" si="0"/>
        <v>1.134</v>
      </c>
      <c r="I11" s="124"/>
      <c r="J11" s="124"/>
      <c r="K11" s="139"/>
      <c r="L11" s="11"/>
      <c r="M11" s="109"/>
      <c r="N11" s="138"/>
      <c r="O11" s="136"/>
      <c r="P11" s="140"/>
    </row>
    <row r="12" spans="2:15">
      <c r="B12" s="117"/>
      <c r="C12" s="126"/>
      <c r="D12" s="127"/>
      <c r="E12" s="128"/>
      <c r="F12" s="127"/>
      <c r="G12" s="129"/>
      <c r="H12" s="130"/>
      <c r="I12" s="130"/>
      <c r="J12" s="141"/>
      <c r="K12" s="142"/>
      <c r="L12" s="142"/>
      <c r="M12" s="109"/>
      <c r="N12" s="138"/>
      <c r="O12" s="136"/>
    </row>
    <row r="13" spans="2:15">
      <c r="B13" s="117"/>
      <c r="C13" s="126" t="s">
        <v>250</v>
      </c>
      <c r="D13" s="127"/>
      <c r="E13" s="128"/>
      <c r="F13" s="127"/>
      <c r="G13" s="129"/>
      <c r="H13" s="130"/>
      <c r="I13" s="130"/>
      <c r="J13" s="141"/>
      <c r="K13" s="142"/>
      <c r="L13" s="142"/>
      <c r="M13" s="109"/>
      <c r="N13" s="138"/>
      <c r="O13" s="136"/>
    </row>
    <row r="14" s="106" customFormat="1" ht="14.75" spans="2:15">
      <c r="B14" s="131"/>
      <c r="C14" s="132" t="s">
        <v>251</v>
      </c>
      <c r="D14" s="133"/>
      <c r="E14" s="133"/>
      <c r="F14" s="133"/>
      <c r="G14" s="133"/>
      <c r="H14" s="133"/>
      <c r="I14" s="133"/>
      <c r="J14" s="133"/>
      <c r="K14" s="133"/>
      <c r="L14" s="133"/>
      <c r="M14" s="133"/>
      <c r="N14" s="143"/>
      <c r="O14" s="144"/>
    </row>
    <row r="17" spans="6:6">
      <c r="F17" s="107" t="s">
        <v>42</v>
      </c>
    </row>
    <row r="21" spans="5:5">
      <c r="E21" s="107" t="s">
        <v>42</v>
      </c>
    </row>
  </sheetData>
  <sheetProtection formatCells="0" insertHyperlinks="0" autoFilter="0"/>
  <mergeCells count="8">
    <mergeCell ref="C6:I6"/>
    <mergeCell ref="C9:C11"/>
    <mergeCell ref="D9:D11"/>
    <mergeCell ref="E9:E11"/>
    <mergeCell ref="I9:I11"/>
    <mergeCell ref="J9:J11"/>
    <mergeCell ref="K9:K11"/>
    <mergeCell ref="L9:L1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89"/>
  <sheetViews>
    <sheetView showGridLines="0" zoomScale="90" zoomScaleNormal="90" workbookViewId="0">
      <selection activeCell="M27" sqref="M27"/>
    </sheetView>
  </sheetViews>
  <sheetFormatPr defaultColWidth="9" defaultRowHeight="14"/>
  <cols>
    <col min="1" max="1" width="2.75454545454545" style="71" customWidth="1"/>
    <col min="2" max="2" width="9" style="71"/>
    <col min="3" max="3" width="17.6272727272727" style="71" customWidth="1"/>
    <col min="4" max="4" width="22.3727272727273" style="71" customWidth="1"/>
    <col min="5" max="5" width="21" style="71" customWidth="1"/>
    <col min="6" max="8" width="9" style="71"/>
    <col min="9" max="9" width="14.1272727272727" style="71" customWidth="1"/>
    <col min="10" max="10" width="9" style="71"/>
    <col min="11" max="11" width="21.8727272727273" style="71" customWidth="1"/>
    <col min="12" max="223" width="9" style="71"/>
    <col min="224" max="224" width="11.3727272727273" style="71" customWidth="1"/>
    <col min="225" max="225" width="17.8727272727273" style="71" customWidth="1"/>
    <col min="226" max="226" width="19" style="71" customWidth="1"/>
    <col min="227" max="227" width="22.8727272727273" style="71" customWidth="1"/>
    <col min="228" max="228" width="12.6272727272727" style="71" customWidth="1"/>
    <col min="229" max="479" width="9" style="71"/>
    <col min="480" max="480" width="11.3727272727273" style="71" customWidth="1"/>
    <col min="481" max="481" width="17.8727272727273" style="71" customWidth="1"/>
    <col min="482" max="482" width="19" style="71" customWidth="1"/>
    <col min="483" max="483" width="22.8727272727273" style="71" customWidth="1"/>
    <col min="484" max="484" width="12.6272727272727" style="71" customWidth="1"/>
    <col min="485" max="735" width="9" style="71"/>
    <col min="736" max="736" width="11.3727272727273" style="71" customWidth="1"/>
    <col min="737" max="737" width="17.8727272727273" style="71" customWidth="1"/>
    <col min="738" max="738" width="19" style="71" customWidth="1"/>
    <col min="739" max="739" width="22.8727272727273" style="71" customWidth="1"/>
    <col min="740" max="740" width="12.6272727272727" style="71" customWidth="1"/>
    <col min="741" max="991" width="9" style="71"/>
    <col min="992" max="992" width="11.3727272727273" style="71" customWidth="1"/>
    <col min="993" max="993" width="17.8727272727273" style="71" customWidth="1"/>
    <col min="994" max="994" width="19" style="71" customWidth="1"/>
    <col min="995" max="995" width="22.8727272727273" style="71" customWidth="1"/>
    <col min="996" max="996" width="12.6272727272727" style="71" customWidth="1"/>
    <col min="997" max="1247" width="9" style="71"/>
    <col min="1248" max="1248" width="11.3727272727273" style="71" customWidth="1"/>
    <col min="1249" max="1249" width="17.8727272727273" style="71" customWidth="1"/>
    <col min="1250" max="1250" width="19" style="71" customWidth="1"/>
    <col min="1251" max="1251" width="22.8727272727273" style="71" customWidth="1"/>
    <col min="1252" max="1252" width="12.6272727272727" style="71" customWidth="1"/>
    <col min="1253" max="1503" width="9" style="71"/>
    <col min="1504" max="1504" width="11.3727272727273" style="71" customWidth="1"/>
    <col min="1505" max="1505" width="17.8727272727273" style="71" customWidth="1"/>
    <col min="1506" max="1506" width="19" style="71" customWidth="1"/>
    <col min="1507" max="1507" width="22.8727272727273" style="71" customWidth="1"/>
    <col min="1508" max="1508" width="12.6272727272727" style="71" customWidth="1"/>
    <col min="1509" max="1759" width="9" style="71"/>
    <col min="1760" max="1760" width="11.3727272727273" style="71" customWidth="1"/>
    <col min="1761" max="1761" width="17.8727272727273" style="71" customWidth="1"/>
    <col min="1762" max="1762" width="19" style="71" customWidth="1"/>
    <col min="1763" max="1763" width="22.8727272727273" style="71" customWidth="1"/>
    <col min="1764" max="1764" width="12.6272727272727" style="71" customWidth="1"/>
    <col min="1765" max="2015" width="9" style="71"/>
    <col min="2016" max="2016" width="11.3727272727273" style="71" customWidth="1"/>
    <col min="2017" max="2017" width="17.8727272727273" style="71" customWidth="1"/>
    <col min="2018" max="2018" width="19" style="71" customWidth="1"/>
    <col min="2019" max="2019" width="22.8727272727273" style="71" customWidth="1"/>
    <col min="2020" max="2020" width="12.6272727272727" style="71" customWidth="1"/>
    <col min="2021" max="2271" width="9" style="71"/>
    <col min="2272" max="2272" width="11.3727272727273" style="71" customWidth="1"/>
    <col min="2273" max="2273" width="17.8727272727273" style="71" customWidth="1"/>
    <col min="2274" max="2274" width="19" style="71" customWidth="1"/>
    <col min="2275" max="2275" width="22.8727272727273" style="71" customWidth="1"/>
    <col min="2276" max="2276" width="12.6272727272727" style="71" customWidth="1"/>
    <col min="2277" max="2527" width="9" style="71"/>
    <col min="2528" max="2528" width="11.3727272727273" style="71" customWidth="1"/>
    <col min="2529" max="2529" width="17.8727272727273" style="71" customWidth="1"/>
    <col min="2530" max="2530" width="19" style="71" customWidth="1"/>
    <col min="2531" max="2531" width="22.8727272727273" style="71" customWidth="1"/>
    <col min="2532" max="2532" width="12.6272727272727" style="71" customWidth="1"/>
    <col min="2533" max="2783" width="9" style="71"/>
    <col min="2784" max="2784" width="11.3727272727273" style="71" customWidth="1"/>
    <col min="2785" max="2785" width="17.8727272727273" style="71" customWidth="1"/>
    <col min="2786" max="2786" width="19" style="71" customWidth="1"/>
    <col min="2787" max="2787" width="22.8727272727273" style="71" customWidth="1"/>
    <col min="2788" max="2788" width="12.6272727272727" style="71" customWidth="1"/>
    <col min="2789" max="3039" width="9" style="71"/>
    <col min="3040" max="3040" width="11.3727272727273" style="71" customWidth="1"/>
    <col min="3041" max="3041" width="17.8727272727273" style="71" customWidth="1"/>
    <col min="3042" max="3042" width="19" style="71" customWidth="1"/>
    <col min="3043" max="3043" width="22.8727272727273" style="71" customWidth="1"/>
    <col min="3044" max="3044" width="12.6272727272727" style="71" customWidth="1"/>
    <col min="3045" max="3295" width="9" style="71"/>
    <col min="3296" max="3296" width="11.3727272727273" style="71" customWidth="1"/>
    <col min="3297" max="3297" width="17.8727272727273" style="71" customWidth="1"/>
    <col min="3298" max="3298" width="19" style="71" customWidth="1"/>
    <col min="3299" max="3299" width="22.8727272727273" style="71" customWidth="1"/>
    <col min="3300" max="3300" width="12.6272727272727" style="71" customWidth="1"/>
    <col min="3301" max="3551" width="9" style="71"/>
    <col min="3552" max="3552" width="11.3727272727273" style="71" customWidth="1"/>
    <col min="3553" max="3553" width="17.8727272727273" style="71" customWidth="1"/>
    <col min="3554" max="3554" width="19" style="71" customWidth="1"/>
    <col min="3555" max="3555" width="22.8727272727273" style="71" customWidth="1"/>
    <col min="3556" max="3556" width="12.6272727272727" style="71" customWidth="1"/>
    <col min="3557" max="3807" width="9" style="71"/>
    <col min="3808" max="3808" width="11.3727272727273" style="71" customWidth="1"/>
    <col min="3809" max="3809" width="17.8727272727273" style="71" customWidth="1"/>
    <col min="3810" max="3810" width="19" style="71" customWidth="1"/>
    <col min="3811" max="3811" width="22.8727272727273" style="71" customWidth="1"/>
    <col min="3812" max="3812" width="12.6272727272727" style="71" customWidth="1"/>
    <col min="3813" max="4063" width="9" style="71"/>
    <col min="4064" max="4064" width="11.3727272727273" style="71" customWidth="1"/>
    <col min="4065" max="4065" width="17.8727272727273" style="71" customWidth="1"/>
    <col min="4066" max="4066" width="19" style="71" customWidth="1"/>
    <col min="4067" max="4067" width="22.8727272727273" style="71" customWidth="1"/>
    <col min="4068" max="4068" width="12.6272727272727" style="71" customWidth="1"/>
    <col min="4069" max="4319" width="9" style="71"/>
    <col min="4320" max="4320" width="11.3727272727273" style="71" customWidth="1"/>
    <col min="4321" max="4321" width="17.8727272727273" style="71" customWidth="1"/>
    <col min="4322" max="4322" width="19" style="71" customWidth="1"/>
    <col min="4323" max="4323" width="22.8727272727273" style="71" customWidth="1"/>
    <col min="4324" max="4324" width="12.6272727272727" style="71" customWidth="1"/>
    <col min="4325" max="4575" width="9" style="71"/>
    <col min="4576" max="4576" width="11.3727272727273" style="71" customWidth="1"/>
    <col min="4577" max="4577" width="17.8727272727273" style="71" customWidth="1"/>
    <col min="4578" max="4578" width="19" style="71" customWidth="1"/>
    <col min="4579" max="4579" width="22.8727272727273" style="71" customWidth="1"/>
    <col min="4580" max="4580" width="12.6272727272727" style="71" customWidth="1"/>
    <col min="4581" max="4831" width="9" style="71"/>
    <col min="4832" max="4832" width="11.3727272727273" style="71" customWidth="1"/>
    <col min="4833" max="4833" width="17.8727272727273" style="71" customWidth="1"/>
    <col min="4834" max="4834" width="19" style="71" customWidth="1"/>
    <col min="4835" max="4835" width="22.8727272727273" style="71" customWidth="1"/>
    <col min="4836" max="4836" width="12.6272727272727" style="71" customWidth="1"/>
    <col min="4837" max="5087" width="9" style="71"/>
    <col min="5088" max="5088" width="11.3727272727273" style="71" customWidth="1"/>
    <col min="5089" max="5089" width="17.8727272727273" style="71" customWidth="1"/>
    <col min="5090" max="5090" width="19" style="71" customWidth="1"/>
    <col min="5091" max="5091" width="22.8727272727273" style="71" customWidth="1"/>
    <col min="5092" max="5092" width="12.6272727272727" style="71" customWidth="1"/>
    <col min="5093" max="5343" width="9" style="71"/>
    <col min="5344" max="5344" width="11.3727272727273" style="71" customWidth="1"/>
    <col min="5345" max="5345" width="17.8727272727273" style="71" customWidth="1"/>
    <col min="5346" max="5346" width="19" style="71" customWidth="1"/>
    <col min="5347" max="5347" width="22.8727272727273" style="71" customWidth="1"/>
    <col min="5348" max="5348" width="12.6272727272727" style="71" customWidth="1"/>
    <col min="5349" max="5599" width="9" style="71"/>
    <col min="5600" max="5600" width="11.3727272727273" style="71" customWidth="1"/>
    <col min="5601" max="5601" width="17.8727272727273" style="71" customWidth="1"/>
    <col min="5602" max="5602" width="19" style="71" customWidth="1"/>
    <col min="5603" max="5603" width="22.8727272727273" style="71" customWidth="1"/>
    <col min="5604" max="5604" width="12.6272727272727" style="71" customWidth="1"/>
    <col min="5605" max="5855" width="9" style="71"/>
    <col min="5856" max="5856" width="11.3727272727273" style="71" customWidth="1"/>
    <col min="5857" max="5857" width="17.8727272727273" style="71" customWidth="1"/>
    <col min="5858" max="5858" width="19" style="71" customWidth="1"/>
    <col min="5859" max="5859" width="22.8727272727273" style="71" customWidth="1"/>
    <col min="5860" max="5860" width="12.6272727272727" style="71" customWidth="1"/>
    <col min="5861" max="6111" width="9" style="71"/>
    <col min="6112" max="6112" width="11.3727272727273" style="71" customWidth="1"/>
    <col min="6113" max="6113" width="17.8727272727273" style="71" customWidth="1"/>
    <col min="6114" max="6114" width="19" style="71" customWidth="1"/>
    <col min="6115" max="6115" width="22.8727272727273" style="71" customWidth="1"/>
    <col min="6116" max="6116" width="12.6272727272727" style="71" customWidth="1"/>
    <col min="6117" max="6367" width="9" style="71"/>
    <col min="6368" max="6368" width="11.3727272727273" style="71" customWidth="1"/>
    <col min="6369" max="6369" width="17.8727272727273" style="71" customWidth="1"/>
    <col min="6370" max="6370" width="19" style="71" customWidth="1"/>
    <col min="6371" max="6371" width="22.8727272727273" style="71" customWidth="1"/>
    <col min="6372" max="6372" width="12.6272727272727" style="71" customWidth="1"/>
    <col min="6373" max="6623" width="9" style="71"/>
    <col min="6624" max="6624" width="11.3727272727273" style="71" customWidth="1"/>
    <col min="6625" max="6625" width="17.8727272727273" style="71" customWidth="1"/>
    <col min="6626" max="6626" width="19" style="71" customWidth="1"/>
    <col min="6627" max="6627" width="22.8727272727273" style="71" customWidth="1"/>
    <col min="6628" max="6628" width="12.6272727272727" style="71" customWidth="1"/>
    <col min="6629" max="6879" width="9" style="71"/>
    <col min="6880" max="6880" width="11.3727272727273" style="71" customWidth="1"/>
    <col min="6881" max="6881" width="17.8727272727273" style="71" customWidth="1"/>
    <col min="6882" max="6882" width="19" style="71" customWidth="1"/>
    <col min="6883" max="6883" width="22.8727272727273" style="71" customWidth="1"/>
    <col min="6884" max="6884" width="12.6272727272727" style="71" customWidth="1"/>
    <col min="6885" max="7135" width="9" style="71"/>
    <col min="7136" max="7136" width="11.3727272727273" style="71" customWidth="1"/>
    <col min="7137" max="7137" width="17.8727272727273" style="71" customWidth="1"/>
    <col min="7138" max="7138" width="19" style="71" customWidth="1"/>
    <col min="7139" max="7139" width="22.8727272727273" style="71" customWidth="1"/>
    <col min="7140" max="7140" width="12.6272727272727" style="71" customWidth="1"/>
    <col min="7141" max="7391" width="9" style="71"/>
    <col min="7392" max="7392" width="11.3727272727273" style="71" customWidth="1"/>
    <col min="7393" max="7393" width="17.8727272727273" style="71" customWidth="1"/>
    <col min="7394" max="7394" width="19" style="71" customWidth="1"/>
    <col min="7395" max="7395" width="22.8727272727273" style="71" customWidth="1"/>
    <col min="7396" max="7396" width="12.6272727272727" style="71" customWidth="1"/>
    <col min="7397" max="7647" width="9" style="71"/>
    <col min="7648" max="7648" width="11.3727272727273" style="71" customWidth="1"/>
    <col min="7649" max="7649" width="17.8727272727273" style="71" customWidth="1"/>
    <col min="7650" max="7650" width="19" style="71" customWidth="1"/>
    <col min="7651" max="7651" width="22.8727272727273" style="71" customWidth="1"/>
    <col min="7652" max="7652" width="12.6272727272727" style="71" customWidth="1"/>
    <col min="7653" max="7903" width="9" style="71"/>
    <col min="7904" max="7904" width="11.3727272727273" style="71" customWidth="1"/>
    <col min="7905" max="7905" width="17.8727272727273" style="71" customWidth="1"/>
    <col min="7906" max="7906" width="19" style="71" customWidth="1"/>
    <col min="7907" max="7907" width="22.8727272727273" style="71" customWidth="1"/>
    <col min="7908" max="7908" width="12.6272727272727" style="71" customWidth="1"/>
    <col min="7909" max="8159" width="9" style="71"/>
    <col min="8160" max="8160" width="11.3727272727273" style="71" customWidth="1"/>
    <col min="8161" max="8161" width="17.8727272727273" style="71" customWidth="1"/>
    <col min="8162" max="8162" width="19" style="71" customWidth="1"/>
    <col min="8163" max="8163" width="22.8727272727273" style="71" customWidth="1"/>
    <col min="8164" max="8164" width="12.6272727272727" style="71" customWidth="1"/>
    <col min="8165" max="8415" width="9" style="71"/>
    <col min="8416" max="8416" width="11.3727272727273" style="71" customWidth="1"/>
    <col min="8417" max="8417" width="17.8727272727273" style="71" customWidth="1"/>
    <col min="8418" max="8418" width="19" style="71" customWidth="1"/>
    <col min="8419" max="8419" width="22.8727272727273" style="71" customWidth="1"/>
    <col min="8420" max="8420" width="12.6272727272727" style="71" customWidth="1"/>
    <col min="8421" max="8671" width="9" style="71"/>
    <col min="8672" max="8672" width="11.3727272727273" style="71" customWidth="1"/>
    <col min="8673" max="8673" width="17.8727272727273" style="71" customWidth="1"/>
    <col min="8674" max="8674" width="19" style="71" customWidth="1"/>
    <col min="8675" max="8675" width="22.8727272727273" style="71" customWidth="1"/>
    <col min="8676" max="8676" width="12.6272727272727" style="71" customWidth="1"/>
    <col min="8677" max="8927" width="9" style="71"/>
    <col min="8928" max="8928" width="11.3727272727273" style="71" customWidth="1"/>
    <col min="8929" max="8929" width="17.8727272727273" style="71" customWidth="1"/>
    <col min="8930" max="8930" width="19" style="71" customWidth="1"/>
    <col min="8931" max="8931" width="22.8727272727273" style="71" customWidth="1"/>
    <col min="8932" max="8932" width="12.6272727272727" style="71" customWidth="1"/>
    <col min="8933" max="9183" width="9" style="71"/>
    <col min="9184" max="9184" width="11.3727272727273" style="71" customWidth="1"/>
    <col min="9185" max="9185" width="17.8727272727273" style="71" customWidth="1"/>
    <col min="9186" max="9186" width="19" style="71" customWidth="1"/>
    <col min="9187" max="9187" width="22.8727272727273" style="71" customWidth="1"/>
    <col min="9188" max="9188" width="12.6272727272727" style="71" customWidth="1"/>
    <col min="9189" max="9439" width="9" style="71"/>
    <col min="9440" max="9440" width="11.3727272727273" style="71" customWidth="1"/>
    <col min="9441" max="9441" width="17.8727272727273" style="71" customWidth="1"/>
    <col min="9442" max="9442" width="19" style="71" customWidth="1"/>
    <col min="9443" max="9443" width="22.8727272727273" style="71" customWidth="1"/>
    <col min="9444" max="9444" width="12.6272727272727" style="71" customWidth="1"/>
    <col min="9445" max="9695" width="9" style="71"/>
    <col min="9696" max="9696" width="11.3727272727273" style="71" customWidth="1"/>
    <col min="9697" max="9697" width="17.8727272727273" style="71" customWidth="1"/>
    <col min="9698" max="9698" width="19" style="71" customWidth="1"/>
    <col min="9699" max="9699" width="22.8727272727273" style="71" customWidth="1"/>
    <col min="9700" max="9700" width="12.6272727272727" style="71" customWidth="1"/>
    <col min="9701" max="9951" width="9" style="71"/>
    <col min="9952" max="9952" width="11.3727272727273" style="71" customWidth="1"/>
    <col min="9953" max="9953" width="17.8727272727273" style="71" customWidth="1"/>
    <col min="9954" max="9954" width="19" style="71" customWidth="1"/>
    <col min="9955" max="9955" width="22.8727272727273" style="71" customWidth="1"/>
    <col min="9956" max="9956" width="12.6272727272727" style="71" customWidth="1"/>
    <col min="9957" max="10207" width="9" style="71"/>
    <col min="10208" max="10208" width="11.3727272727273" style="71" customWidth="1"/>
    <col min="10209" max="10209" width="17.8727272727273" style="71" customWidth="1"/>
    <col min="10210" max="10210" width="19" style="71" customWidth="1"/>
    <col min="10211" max="10211" width="22.8727272727273" style="71" customWidth="1"/>
    <col min="10212" max="10212" width="12.6272727272727" style="71" customWidth="1"/>
    <col min="10213" max="10463" width="9" style="71"/>
    <col min="10464" max="10464" width="11.3727272727273" style="71" customWidth="1"/>
    <col min="10465" max="10465" width="17.8727272727273" style="71" customWidth="1"/>
    <col min="10466" max="10466" width="19" style="71" customWidth="1"/>
    <col min="10467" max="10467" width="22.8727272727273" style="71" customWidth="1"/>
    <col min="10468" max="10468" width="12.6272727272727" style="71" customWidth="1"/>
    <col min="10469" max="10719" width="9" style="71"/>
    <col min="10720" max="10720" width="11.3727272727273" style="71" customWidth="1"/>
    <col min="10721" max="10721" width="17.8727272727273" style="71" customWidth="1"/>
    <col min="10722" max="10722" width="19" style="71" customWidth="1"/>
    <col min="10723" max="10723" width="22.8727272727273" style="71" customWidth="1"/>
    <col min="10724" max="10724" width="12.6272727272727" style="71" customWidth="1"/>
    <col min="10725" max="10975" width="9" style="71"/>
    <col min="10976" max="10976" width="11.3727272727273" style="71" customWidth="1"/>
    <col min="10977" max="10977" width="17.8727272727273" style="71" customWidth="1"/>
    <col min="10978" max="10978" width="19" style="71" customWidth="1"/>
    <col min="10979" max="10979" width="22.8727272727273" style="71" customWidth="1"/>
    <col min="10980" max="10980" width="12.6272727272727" style="71" customWidth="1"/>
    <col min="10981" max="11231" width="9" style="71"/>
    <col min="11232" max="11232" width="11.3727272727273" style="71" customWidth="1"/>
    <col min="11233" max="11233" width="17.8727272727273" style="71" customWidth="1"/>
    <col min="11234" max="11234" width="19" style="71" customWidth="1"/>
    <col min="11235" max="11235" width="22.8727272727273" style="71" customWidth="1"/>
    <col min="11236" max="11236" width="12.6272727272727" style="71" customWidth="1"/>
    <col min="11237" max="11487" width="9" style="71"/>
    <col min="11488" max="11488" width="11.3727272727273" style="71" customWidth="1"/>
    <col min="11489" max="11489" width="17.8727272727273" style="71" customWidth="1"/>
    <col min="11490" max="11490" width="19" style="71" customWidth="1"/>
    <col min="11491" max="11491" width="22.8727272727273" style="71" customWidth="1"/>
    <col min="11492" max="11492" width="12.6272727272727" style="71" customWidth="1"/>
    <col min="11493" max="11743" width="9" style="71"/>
    <col min="11744" max="11744" width="11.3727272727273" style="71" customWidth="1"/>
    <col min="11745" max="11745" width="17.8727272727273" style="71" customWidth="1"/>
    <col min="11746" max="11746" width="19" style="71" customWidth="1"/>
    <col min="11747" max="11747" width="22.8727272727273" style="71" customWidth="1"/>
    <col min="11748" max="11748" width="12.6272727272727" style="71" customWidth="1"/>
    <col min="11749" max="11999" width="9" style="71"/>
    <col min="12000" max="12000" width="11.3727272727273" style="71" customWidth="1"/>
    <col min="12001" max="12001" width="17.8727272727273" style="71" customWidth="1"/>
    <col min="12002" max="12002" width="19" style="71" customWidth="1"/>
    <col min="12003" max="12003" width="22.8727272727273" style="71" customWidth="1"/>
    <col min="12004" max="12004" width="12.6272727272727" style="71" customWidth="1"/>
    <col min="12005" max="12255" width="9" style="71"/>
    <col min="12256" max="12256" width="11.3727272727273" style="71" customWidth="1"/>
    <col min="12257" max="12257" width="17.8727272727273" style="71" customWidth="1"/>
    <col min="12258" max="12258" width="19" style="71" customWidth="1"/>
    <col min="12259" max="12259" width="22.8727272727273" style="71" customWidth="1"/>
    <col min="12260" max="12260" width="12.6272727272727" style="71" customWidth="1"/>
    <col min="12261" max="12511" width="9" style="71"/>
    <col min="12512" max="12512" width="11.3727272727273" style="71" customWidth="1"/>
    <col min="12513" max="12513" width="17.8727272727273" style="71" customWidth="1"/>
    <col min="12514" max="12514" width="19" style="71" customWidth="1"/>
    <col min="12515" max="12515" width="22.8727272727273" style="71" customWidth="1"/>
    <col min="12516" max="12516" width="12.6272727272727" style="71" customWidth="1"/>
    <col min="12517" max="12767" width="9" style="71"/>
    <col min="12768" max="12768" width="11.3727272727273" style="71" customWidth="1"/>
    <col min="12769" max="12769" width="17.8727272727273" style="71" customWidth="1"/>
    <col min="12770" max="12770" width="19" style="71" customWidth="1"/>
    <col min="12771" max="12771" width="22.8727272727273" style="71" customWidth="1"/>
    <col min="12772" max="12772" width="12.6272727272727" style="71" customWidth="1"/>
    <col min="12773" max="13023" width="9" style="71"/>
    <col min="13024" max="13024" width="11.3727272727273" style="71" customWidth="1"/>
    <col min="13025" max="13025" width="17.8727272727273" style="71" customWidth="1"/>
    <col min="13026" max="13026" width="19" style="71" customWidth="1"/>
    <col min="13027" max="13027" width="22.8727272727273" style="71" customWidth="1"/>
    <col min="13028" max="13028" width="12.6272727272727" style="71" customWidth="1"/>
    <col min="13029" max="13279" width="9" style="71"/>
    <col min="13280" max="13280" width="11.3727272727273" style="71" customWidth="1"/>
    <col min="13281" max="13281" width="17.8727272727273" style="71" customWidth="1"/>
    <col min="13282" max="13282" width="19" style="71" customWidth="1"/>
    <col min="13283" max="13283" width="22.8727272727273" style="71" customWidth="1"/>
    <col min="13284" max="13284" width="12.6272727272727" style="71" customWidth="1"/>
    <col min="13285" max="13535" width="9" style="71"/>
    <col min="13536" max="13536" width="11.3727272727273" style="71" customWidth="1"/>
    <col min="13537" max="13537" width="17.8727272727273" style="71" customWidth="1"/>
    <col min="13538" max="13538" width="19" style="71" customWidth="1"/>
    <col min="13539" max="13539" width="22.8727272727273" style="71" customWidth="1"/>
    <col min="13540" max="13540" width="12.6272727272727" style="71" customWidth="1"/>
    <col min="13541" max="13791" width="9" style="71"/>
    <col min="13792" max="13792" width="11.3727272727273" style="71" customWidth="1"/>
    <col min="13793" max="13793" width="17.8727272727273" style="71" customWidth="1"/>
    <col min="13794" max="13794" width="19" style="71" customWidth="1"/>
    <col min="13795" max="13795" width="22.8727272727273" style="71" customWidth="1"/>
    <col min="13796" max="13796" width="12.6272727272727" style="71" customWidth="1"/>
    <col min="13797" max="14047" width="9" style="71"/>
    <col min="14048" max="14048" width="11.3727272727273" style="71" customWidth="1"/>
    <col min="14049" max="14049" width="17.8727272727273" style="71" customWidth="1"/>
    <col min="14050" max="14050" width="19" style="71" customWidth="1"/>
    <col min="14051" max="14051" width="22.8727272727273" style="71" customWidth="1"/>
    <col min="14052" max="14052" width="12.6272727272727" style="71" customWidth="1"/>
    <col min="14053" max="14303" width="9" style="71"/>
    <col min="14304" max="14304" width="11.3727272727273" style="71" customWidth="1"/>
    <col min="14305" max="14305" width="17.8727272727273" style="71" customWidth="1"/>
    <col min="14306" max="14306" width="19" style="71" customWidth="1"/>
    <col min="14307" max="14307" width="22.8727272727273" style="71" customWidth="1"/>
    <col min="14308" max="14308" width="12.6272727272727" style="71" customWidth="1"/>
    <col min="14309" max="14559" width="9" style="71"/>
    <col min="14560" max="14560" width="11.3727272727273" style="71" customWidth="1"/>
    <col min="14561" max="14561" width="17.8727272727273" style="71" customWidth="1"/>
    <col min="14562" max="14562" width="19" style="71" customWidth="1"/>
    <col min="14563" max="14563" width="22.8727272727273" style="71" customWidth="1"/>
    <col min="14564" max="14564" width="12.6272727272727" style="71" customWidth="1"/>
    <col min="14565" max="14815" width="9" style="71"/>
    <col min="14816" max="14816" width="11.3727272727273" style="71" customWidth="1"/>
    <col min="14817" max="14817" width="17.8727272727273" style="71" customWidth="1"/>
    <col min="14818" max="14818" width="19" style="71" customWidth="1"/>
    <col min="14819" max="14819" width="22.8727272727273" style="71" customWidth="1"/>
    <col min="14820" max="14820" width="12.6272727272727" style="71" customWidth="1"/>
    <col min="14821" max="15071" width="9" style="71"/>
    <col min="15072" max="15072" width="11.3727272727273" style="71" customWidth="1"/>
    <col min="15073" max="15073" width="17.8727272727273" style="71" customWidth="1"/>
    <col min="15074" max="15074" width="19" style="71" customWidth="1"/>
    <col min="15075" max="15075" width="22.8727272727273" style="71" customWidth="1"/>
    <col min="15076" max="15076" width="12.6272727272727" style="71" customWidth="1"/>
    <col min="15077" max="15327" width="9" style="71"/>
    <col min="15328" max="15328" width="11.3727272727273" style="71" customWidth="1"/>
    <col min="15329" max="15329" width="17.8727272727273" style="71" customWidth="1"/>
    <col min="15330" max="15330" width="19" style="71" customWidth="1"/>
    <col min="15331" max="15331" width="22.8727272727273" style="71" customWidth="1"/>
    <col min="15332" max="15332" width="12.6272727272727" style="71" customWidth="1"/>
    <col min="15333" max="15583" width="9" style="71"/>
    <col min="15584" max="15584" width="11.3727272727273" style="71" customWidth="1"/>
    <col min="15585" max="15585" width="17.8727272727273" style="71" customWidth="1"/>
    <col min="15586" max="15586" width="19" style="71" customWidth="1"/>
    <col min="15587" max="15587" width="22.8727272727273" style="71" customWidth="1"/>
    <col min="15588" max="15588" width="12.6272727272727" style="71" customWidth="1"/>
    <col min="15589" max="15839" width="9" style="71"/>
    <col min="15840" max="15840" width="11.3727272727273" style="71" customWidth="1"/>
    <col min="15841" max="15841" width="17.8727272727273" style="71" customWidth="1"/>
    <col min="15842" max="15842" width="19" style="71" customWidth="1"/>
    <col min="15843" max="15843" width="22.8727272727273" style="71" customWidth="1"/>
    <col min="15844" max="15844" width="12.6272727272727" style="71" customWidth="1"/>
    <col min="15845" max="16095" width="9" style="71"/>
    <col min="16096" max="16096" width="11.3727272727273" style="71" customWidth="1"/>
    <col min="16097" max="16097" width="17.8727272727273" style="71" customWidth="1"/>
    <col min="16098" max="16098" width="19" style="71" customWidth="1"/>
    <col min="16099" max="16099" width="22.8727272727273" style="71" customWidth="1"/>
    <col min="16100" max="16100" width="12.6272727272727" style="71" customWidth="1"/>
    <col min="16101" max="16384" width="9" style="71"/>
  </cols>
  <sheetData>
    <row r="1" ht="14.75"/>
    <row r="2" spans="2:10">
      <c r="B2" s="72" t="s">
        <v>252</v>
      </c>
      <c r="C2" s="73"/>
      <c r="D2" s="73"/>
      <c r="E2" s="73"/>
      <c r="F2" s="74"/>
      <c r="G2" s="74"/>
      <c r="H2" s="74"/>
      <c r="I2" s="74"/>
      <c r="J2" s="100"/>
    </row>
    <row r="3" spans="2:10">
      <c r="B3" s="75"/>
      <c r="C3" s="76" t="s">
        <v>253</v>
      </c>
      <c r="D3" s="77" t="s">
        <v>254</v>
      </c>
      <c r="E3" s="78"/>
      <c r="F3" s="79"/>
      <c r="G3" s="79"/>
      <c r="H3" s="79"/>
      <c r="I3" s="79"/>
      <c r="J3" s="101"/>
    </row>
    <row r="4" spans="2:10">
      <c r="B4" s="75"/>
      <c r="C4" s="76"/>
      <c r="D4" s="77"/>
      <c r="E4" s="78"/>
      <c r="F4" s="79"/>
      <c r="G4" s="79"/>
      <c r="H4" s="79"/>
      <c r="I4" s="79"/>
      <c r="J4" s="101"/>
    </row>
    <row r="5" spans="2:10">
      <c r="B5" s="75"/>
      <c r="C5" s="76" t="s">
        <v>255</v>
      </c>
      <c r="D5" s="77" t="s">
        <v>256</v>
      </c>
      <c r="E5" s="78"/>
      <c r="F5" s="79"/>
      <c r="G5" s="79"/>
      <c r="H5" s="79"/>
      <c r="I5" s="79"/>
      <c r="J5" s="101"/>
    </row>
    <row r="6" spans="2:10">
      <c r="B6" s="75"/>
      <c r="C6" s="76"/>
      <c r="D6" s="78"/>
      <c r="E6" s="78"/>
      <c r="F6" s="79"/>
      <c r="G6" s="79"/>
      <c r="H6" s="79"/>
      <c r="I6" s="79"/>
      <c r="J6" s="101"/>
    </row>
    <row r="7" spans="2:10">
      <c r="B7" s="75"/>
      <c r="C7" s="76" t="s">
        <v>257</v>
      </c>
      <c r="D7" s="78" t="s">
        <v>258</v>
      </c>
      <c r="E7" s="78"/>
      <c r="F7" s="79"/>
      <c r="G7" s="79"/>
      <c r="H7" s="79"/>
      <c r="I7" s="79"/>
      <c r="J7" s="101"/>
    </row>
    <row r="8" spans="2:10">
      <c r="B8" s="75"/>
      <c r="C8" s="76"/>
      <c r="D8" s="78"/>
      <c r="E8" s="78"/>
      <c r="F8" s="79"/>
      <c r="G8" s="79"/>
      <c r="H8" s="79"/>
      <c r="I8" s="79"/>
      <c r="J8" s="101"/>
    </row>
    <row r="9" ht="19.5" customHeight="1" spans="2:10">
      <c r="B9" s="75"/>
      <c r="C9" s="76" t="s">
        <v>259</v>
      </c>
      <c r="D9" s="80" t="s">
        <v>4</v>
      </c>
      <c r="E9" s="78"/>
      <c r="F9" s="79"/>
      <c r="G9" s="79"/>
      <c r="H9" s="79"/>
      <c r="I9" s="79"/>
      <c r="J9" s="101"/>
    </row>
    <row r="10" spans="2:10">
      <c r="B10" s="75"/>
      <c r="C10" s="76"/>
      <c r="D10" s="78"/>
      <c r="E10" s="78"/>
      <c r="F10" s="79"/>
      <c r="G10" s="79"/>
      <c r="H10" s="79"/>
      <c r="I10" s="79"/>
      <c r="J10" s="101"/>
    </row>
    <row r="11" spans="2:10">
      <c r="B11" s="75"/>
      <c r="C11" s="76" t="s">
        <v>260</v>
      </c>
      <c r="D11" s="78" t="s">
        <v>261</v>
      </c>
      <c r="E11" s="78"/>
      <c r="F11" s="79"/>
      <c r="G11" s="79"/>
      <c r="H11" s="79"/>
      <c r="I11" s="79"/>
      <c r="J11" s="101"/>
    </row>
    <row r="12" spans="2:10">
      <c r="B12" s="75"/>
      <c r="C12" s="81"/>
      <c r="D12" s="78"/>
      <c r="E12" s="78"/>
      <c r="F12" s="79"/>
      <c r="G12" s="79"/>
      <c r="H12" s="79"/>
      <c r="I12" s="79"/>
      <c r="J12" s="101"/>
    </row>
    <row r="13" spans="2:10">
      <c r="B13" s="75"/>
      <c r="C13" s="76" t="s">
        <v>262</v>
      </c>
      <c r="D13" s="78" t="s">
        <v>263</v>
      </c>
      <c r="E13" s="78"/>
      <c r="F13" s="79"/>
      <c r="G13" s="79"/>
      <c r="H13" s="79"/>
      <c r="I13" s="79"/>
      <c r="J13" s="101"/>
    </row>
    <row r="14" spans="2:10">
      <c r="B14" s="75"/>
      <c r="C14" s="76"/>
      <c r="D14" s="78" t="s">
        <v>264</v>
      </c>
      <c r="E14" s="78"/>
      <c r="F14" s="79"/>
      <c r="G14" s="79"/>
      <c r="H14" s="79"/>
      <c r="I14" s="79"/>
      <c r="J14" s="101"/>
    </row>
    <row r="15" ht="21" customHeight="1" spans="2:10">
      <c r="B15" s="75"/>
      <c r="C15" s="76"/>
      <c r="D15" s="80" t="s">
        <v>4</v>
      </c>
      <c r="E15" s="78" t="s">
        <v>133</v>
      </c>
      <c r="F15" s="79"/>
      <c r="G15" s="79"/>
      <c r="H15" s="79"/>
      <c r="I15" s="79"/>
      <c r="J15" s="101"/>
    </row>
    <row r="16" spans="2:10">
      <c r="B16" s="75" t="s">
        <v>42</v>
      </c>
      <c r="C16" s="81"/>
      <c r="D16" s="78" t="s">
        <v>261</v>
      </c>
      <c r="E16" s="78" t="s">
        <v>130</v>
      </c>
      <c r="F16" s="79"/>
      <c r="G16" s="79"/>
      <c r="H16" s="79"/>
      <c r="I16" s="79"/>
      <c r="J16" s="101"/>
    </row>
    <row r="17" spans="2:10">
      <c r="B17" s="75"/>
      <c r="C17" s="76" t="s">
        <v>265</v>
      </c>
      <c r="D17" s="78"/>
      <c r="E17" s="78"/>
      <c r="F17" s="79"/>
      <c r="G17" s="79"/>
      <c r="H17" s="79"/>
      <c r="I17" s="79"/>
      <c r="J17" s="101"/>
    </row>
    <row r="18" spans="2:10">
      <c r="B18" s="75"/>
      <c r="C18" s="76"/>
      <c r="D18" s="79" t="s">
        <v>266</v>
      </c>
      <c r="E18" s="82" t="s">
        <v>267</v>
      </c>
      <c r="F18" s="83"/>
      <c r="G18" s="79"/>
      <c r="H18" s="83"/>
      <c r="I18" s="79"/>
      <c r="J18" s="101"/>
    </row>
    <row r="19" spans="2:10">
      <c r="B19" s="75"/>
      <c r="C19" s="76"/>
      <c r="D19" s="79" t="s">
        <v>268</v>
      </c>
      <c r="E19" s="84" t="s">
        <v>269</v>
      </c>
      <c r="F19" s="83"/>
      <c r="G19" s="79"/>
      <c r="H19" s="83"/>
      <c r="I19" s="79"/>
      <c r="J19" s="101"/>
    </row>
    <row r="20" spans="2:10">
      <c r="B20" s="75"/>
      <c r="C20" s="76"/>
      <c r="D20" s="79" t="s">
        <v>270</v>
      </c>
      <c r="E20" s="79" t="s">
        <v>271</v>
      </c>
      <c r="F20" s="79"/>
      <c r="G20" s="79"/>
      <c r="H20" s="83"/>
      <c r="I20" s="79"/>
      <c r="J20" s="101"/>
    </row>
    <row r="21" spans="2:10">
      <c r="B21" s="75"/>
      <c r="C21" s="76"/>
      <c r="D21" s="79"/>
      <c r="E21" s="85" t="s">
        <v>272</v>
      </c>
      <c r="F21" s="83"/>
      <c r="G21" s="79"/>
      <c r="H21" s="83"/>
      <c r="I21" s="79"/>
      <c r="J21" s="101"/>
    </row>
    <row r="22" spans="2:10">
      <c r="B22" s="75"/>
      <c r="C22" s="76"/>
      <c r="D22" s="86" t="s">
        <v>273</v>
      </c>
      <c r="E22" s="86"/>
      <c r="F22" s="79"/>
      <c r="G22" s="79"/>
      <c r="H22" s="79"/>
      <c r="I22" s="79"/>
      <c r="J22" s="101"/>
    </row>
    <row r="23" ht="28" spans="2:10">
      <c r="B23" s="75"/>
      <c r="C23" s="76"/>
      <c r="D23" s="79"/>
      <c r="E23" s="87" t="s">
        <v>274</v>
      </c>
      <c r="F23" s="87" t="s">
        <v>275</v>
      </c>
      <c r="G23" s="87" t="s">
        <v>276</v>
      </c>
      <c r="H23" s="87" t="s">
        <v>277</v>
      </c>
      <c r="I23" s="79"/>
      <c r="J23" s="101"/>
    </row>
    <row r="24" spans="2:10">
      <c r="B24" s="75"/>
      <c r="C24" s="76"/>
      <c r="D24" s="79"/>
      <c r="E24" s="88">
        <v>0.2</v>
      </c>
      <c r="F24" s="89">
        <v>0.8</v>
      </c>
      <c r="G24" s="89">
        <v>95</v>
      </c>
      <c r="H24" s="90">
        <v>20</v>
      </c>
      <c r="I24" s="79"/>
      <c r="J24" s="101"/>
    </row>
    <row r="25" spans="2:10">
      <c r="B25" s="75"/>
      <c r="C25" s="76"/>
      <c r="D25" s="79"/>
      <c r="E25" s="91">
        <v>1.6</v>
      </c>
      <c r="F25" s="92">
        <f>F24</f>
        <v>0.8</v>
      </c>
      <c r="G25" s="92">
        <f t="shared" ref="G25:G28" si="0">100-H25</f>
        <v>5</v>
      </c>
      <c r="H25" s="92">
        <v>95</v>
      </c>
      <c r="I25" s="79"/>
      <c r="J25" s="101"/>
    </row>
    <row r="26" spans="2:10">
      <c r="B26" s="75"/>
      <c r="C26" s="76"/>
      <c r="D26" s="79"/>
      <c r="E26" s="91">
        <v>1.9</v>
      </c>
      <c r="F26" s="92">
        <f>F24</f>
        <v>0.8</v>
      </c>
      <c r="G26" s="92">
        <f t="shared" si="0"/>
        <v>5</v>
      </c>
      <c r="H26" s="92">
        <v>95</v>
      </c>
      <c r="I26" s="79"/>
      <c r="J26" s="101"/>
    </row>
    <row r="27" spans="2:10">
      <c r="B27" s="75"/>
      <c r="C27" s="78"/>
      <c r="D27" s="79"/>
      <c r="E27" s="93">
        <v>1.91</v>
      </c>
      <c r="F27" s="92">
        <f>F24</f>
        <v>0.8</v>
      </c>
      <c r="G27" s="94">
        <f t="shared" si="0"/>
        <v>80</v>
      </c>
      <c r="H27" s="94">
        <v>20</v>
      </c>
      <c r="I27" s="79"/>
      <c r="J27" s="101"/>
    </row>
    <row r="28" spans="2:10">
      <c r="B28" s="75"/>
      <c r="C28" s="78"/>
      <c r="D28" s="79"/>
      <c r="E28" s="91">
        <v>2.2</v>
      </c>
      <c r="F28" s="92">
        <f>F24</f>
        <v>0.8</v>
      </c>
      <c r="G28" s="92">
        <f t="shared" si="0"/>
        <v>80</v>
      </c>
      <c r="H28" s="92">
        <v>20</v>
      </c>
      <c r="I28" s="79"/>
      <c r="J28" s="101"/>
    </row>
    <row r="29" spans="2:10">
      <c r="B29" s="75"/>
      <c r="C29" s="78"/>
      <c r="D29" s="79" t="s">
        <v>278</v>
      </c>
      <c r="E29" s="79" t="s">
        <v>279</v>
      </c>
      <c r="F29" s="83"/>
      <c r="G29" s="83"/>
      <c r="H29" s="83"/>
      <c r="I29" s="79"/>
      <c r="J29" s="101"/>
    </row>
    <row r="30" spans="2:10">
      <c r="B30" s="75"/>
      <c r="C30" s="78"/>
      <c r="D30" s="79" t="s">
        <v>280</v>
      </c>
      <c r="E30" s="79" t="s">
        <v>281</v>
      </c>
      <c r="F30" s="83"/>
      <c r="G30" s="83"/>
      <c r="H30" s="83"/>
      <c r="I30" s="79"/>
      <c r="J30" s="101"/>
    </row>
    <row r="31" spans="2:10">
      <c r="B31" s="75"/>
      <c r="C31" s="78"/>
      <c r="D31" s="78" t="s">
        <v>282</v>
      </c>
      <c r="E31" s="78"/>
      <c r="F31" s="79"/>
      <c r="G31" s="79"/>
      <c r="H31" s="79" t="s">
        <v>42</v>
      </c>
      <c r="I31" s="79"/>
      <c r="J31" s="101"/>
    </row>
    <row r="32" spans="2:10">
      <c r="B32" s="75"/>
      <c r="C32" s="78"/>
      <c r="D32" s="80" t="s">
        <v>4</v>
      </c>
      <c r="E32" s="78" t="s">
        <v>283</v>
      </c>
      <c r="F32" s="79"/>
      <c r="G32" s="79"/>
      <c r="H32" s="79"/>
      <c r="I32" s="79"/>
      <c r="J32" s="101"/>
    </row>
    <row r="33" spans="2:10">
      <c r="B33" s="75"/>
      <c r="C33" s="78"/>
      <c r="D33" s="78" t="s">
        <v>284</v>
      </c>
      <c r="E33" s="78" t="s">
        <v>285</v>
      </c>
      <c r="F33" s="79"/>
      <c r="G33" s="79"/>
      <c r="H33" s="79"/>
      <c r="I33" s="79"/>
      <c r="J33" s="101"/>
    </row>
    <row r="34" spans="2:10">
      <c r="B34" s="75"/>
      <c r="C34" s="78"/>
      <c r="D34" s="80"/>
      <c r="E34" s="80"/>
      <c r="F34" s="79"/>
      <c r="G34" s="79"/>
      <c r="H34" s="79"/>
      <c r="I34" s="79"/>
      <c r="J34" s="101"/>
    </row>
    <row r="35" ht="117" customHeight="1" spans="2:11">
      <c r="B35" s="75"/>
      <c r="C35" s="76" t="s">
        <v>286</v>
      </c>
      <c r="D35" s="80" t="s">
        <v>287</v>
      </c>
      <c r="E35" s="80"/>
      <c r="F35" s="80"/>
      <c r="G35" s="80"/>
      <c r="H35" s="80"/>
      <c r="I35" s="80"/>
      <c r="J35" s="101"/>
      <c r="K35" s="102"/>
    </row>
    <row r="36" ht="14.75" spans="2:10">
      <c r="B36" s="95"/>
      <c r="C36" s="96" t="s">
        <v>288</v>
      </c>
      <c r="D36" s="97" t="s">
        <v>289</v>
      </c>
      <c r="E36" s="98"/>
      <c r="F36" s="99"/>
      <c r="G36" s="99"/>
      <c r="H36" s="99"/>
      <c r="I36" s="99"/>
      <c r="J36" s="103"/>
    </row>
    <row r="73" spans="5:5">
      <c r="E73" s="104"/>
    </row>
    <row r="89" spans="5:5">
      <c r="E89" s="104"/>
    </row>
  </sheetData>
  <sheetProtection formatCells="0" insertHyperlinks="0" autoFilter="0"/>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63"/>
  <sheetViews>
    <sheetView showGridLines="0" topLeftCell="A7" workbookViewId="0">
      <selection activeCell="N25" sqref="N25:O25"/>
    </sheetView>
  </sheetViews>
  <sheetFormatPr defaultColWidth="9" defaultRowHeight="14"/>
  <cols>
    <col min="1" max="1" width="9" style="2"/>
    <col min="2" max="2" width="1.62727272727273" style="3" customWidth="1"/>
    <col min="3" max="3" width="14.6272727272727" style="4" customWidth="1"/>
    <col min="4" max="4" width="15.1272727272727" style="4" customWidth="1"/>
    <col min="5" max="6" width="10.3727272727273" style="4" customWidth="1"/>
    <col min="7" max="7" width="10.8727272727273" style="4" customWidth="1"/>
    <col min="8" max="8" width="11.8727272727273" style="4" customWidth="1"/>
    <col min="9" max="9" width="12.3727272727273" style="4" customWidth="1"/>
    <col min="10" max="11" width="9" style="4"/>
    <col min="12" max="12" width="1.75454545454545" style="4" customWidth="1"/>
    <col min="13" max="16384" width="9" style="2"/>
  </cols>
  <sheetData>
    <row r="1" ht="14.75"/>
    <row r="2" spans="2:12">
      <c r="B2" s="5"/>
      <c r="C2" s="6"/>
      <c r="D2" s="6"/>
      <c r="E2" s="6"/>
      <c r="F2" s="6"/>
      <c r="G2" s="6"/>
      <c r="H2" s="6"/>
      <c r="I2" s="6"/>
      <c r="J2" s="6"/>
      <c r="K2" s="6"/>
      <c r="L2" s="55"/>
    </row>
    <row r="3" ht="15" customHeight="1" spans="2:12">
      <c r="B3" s="7"/>
      <c r="C3" s="8" t="s">
        <v>290</v>
      </c>
      <c r="D3" s="9"/>
      <c r="E3" s="9"/>
      <c r="F3" s="9"/>
      <c r="G3" s="9"/>
      <c r="H3" s="9"/>
      <c r="I3" s="9"/>
      <c r="J3" s="9"/>
      <c r="K3" s="9"/>
      <c r="L3" s="56"/>
    </row>
    <row r="4" ht="15" customHeight="1" spans="2:12">
      <c r="B4" s="7"/>
      <c r="C4" s="9"/>
      <c r="D4" s="9"/>
      <c r="E4" s="9"/>
      <c r="F4" s="9"/>
      <c r="G4" s="9"/>
      <c r="H4" s="9"/>
      <c r="I4" s="9"/>
      <c r="J4" s="9"/>
      <c r="K4" s="9"/>
      <c r="L4" s="56"/>
    </row>
    <row r="5" ht="25.5" customHeight="1" spans="2:12">
      <c r="B5" s="7"/>
      <c r="C5" s="10" t="s">
        <v>291</v>
      </c>
      <c r="D5" s="10" t="s">
        <v>292</v>
      </c>
      <c r="E5" s="10" t="s">
        <v>293</v>
      </c>
      <c r="F5" s="10" t="s">
        <v>294</v>
      </c>
      <c r="G5" s="10" t="s">
        <v>295</v>
      </c>
      <c r="H5" s="10" t="s">
        <v>296</v>
      </c>
      <c r="I5" s="17"/>
      <c r="J5" s="9"/>
      <c r="K5" s="57"/>
      <c r="L5" s="58"/>
    </row>
    <row r="6" ht="18.4" customHeight="1" spans="2:12">
      <c r="B6" s="7"/>
      <c r="C6" s="11" t="s">
        <v>4</v>
      </c>
      <c r="D6" s="12" t="s">
        <v>297</v>
      </c>
      <c r="E6" s="13">
        <v>0.977</v>
      </c>
      <c r="F6" s="14" t="s">
        <v>298</v>
      </c>
      <c r="G6" s="15">
        <v>778.2</v>
      </c>
      <c r="H6" s="15">
        <v>778.2</v>
      </c>
      <c r="I6" s="17"/>
      <c r="J6" s="9"/>
      <c r="K6" s="57"/>
      <c r="L6" s="58"/>
    </row>
    <row r="7" spans="2:12">
      <c r="B7" s="7"/>
      <c r="C7" s="16" t="s">
        <v>299</v>
      </c>
      <c r="D7" s="16"/>
      <c r="E7" s="16"/>
      <c r="F7" s="16"/>
      <c r="G7" s="16"/>
      <c r="H7" s="16"/>
      <c r="I7" s="16"/>
      <c r="J7" s="16"/>
      <c r="K7" s="16"/>
      <c r="L7" s="59"/>
    </row>
    <row r="8" ht="21.4" customHeight="1" spans="2:12">
      <c r="B8" s="7"/>
      <c r="C8" s="9"/>
      <c r="D8" s="9"/>
      <c r="E8" s="9"/>
      <c r="F8" s="9"/>
      <c r="G8" s="9"/>
      <c r="H8" s="9"/>
      <c r="I8" s="9"/>
      <c r="J8" s="9"/>
      <c r="K8" s="9"/>
      <c r="L8" s="56"/>
    </row>
    <row r="9" ht="16.9" customHeight="1" spans="2:12">
      <c r="B9" s="7"/>
      <c r="C9" s="8" t="s">
        <v>300</v>
      </c>
      <c r="D9" s="17"/>
      <c r="E9" s="17"/>
      <c r="F9" s="17"/>
      <c r="G9" s="9"/>
      <c r="H9" s="9"/>
      <c r="I9" s="9"/>
      <c r="J9" s="9"/>
      <c r="K9" s="9"/>
      <c r="L9" s="56"/>
    </row>
    <row r="10" ht="15" customHeight="1" spans="2:12">
      <c r="B10" s="7"/>
      <c r="C10" s="9" t="s">
        <v>42</v>
      </c>
      <c r="D10" s="18"/>
      <c r="E10" s="19"/>
      <c r="F10" s="19"/>
      <c r="G10" s="9"/>
      <c r="H10" s="9"/>
      <c r="I10" s="9"/>
      <c r="J10" s="9"/>
      <c r="K10" s="9"/>
      <c r="L10" s="56"/>
    </row>
    <row r="11" ht="15" customHeight="1" spans="2:12">
      <c r="B11" s="7"/>
      <c r="C11" s="20" t="s">
        <v>301</v>
      </c>
      <c r="D11" s="21"/>
      <c r="E11" s="21"/>
      <c r="F11" s="21"/>
      <c r="G11" s="21"/>
      <c r="H11" s="21"/>
      <c r="I11" s="21"/>
      <c r="J11" s="21"/>
      <c r="K11" s="60"/>
      <c r="L11" s="56"/>
    </row>
    <row r="12" ht="15" customHeight="1" spans="2:12">
      <c r="B12" s="7"/>
      <c r="C12" s="22" t="s">
        <v>302</v>
      </c>
      <c r="D12" s="23"/>
      <c r="E12" s="23"/>
      <c r="F12" s="23"/>
      <c r="G12" s="23"/>
      <c r="H12" s="23"/>
      <c r="I12" s="23"/>
      <c r="J12" s="23"/>
      <c r="K12" s="61"/>
      <c r="L12" s="56"/>
    </row>
    <row r="13" ht="15" customHeight="1" spans="2:12">
      <c r="B13" s="7"/>
      <c r="C13" s="9"/>
      <c r="D13" s="18"/>
      <c r="E13" s="18"/>
      <c r="F13" s="18"/>
      <c r="G13" s="9"/>
      <c r="H13" s="9"/>
      <c r="I13" s="9"/>
      <c r="J13" s="9"/>
      <c r="K13" s="9"/>
      <c r="L13" s="56"/>
    </row>
    <row r="14" ht="15" customHeight="1" spans="2:12">
      <c r="B14" s="7"/>
      <c r="C14" s="8" t="s">
        <v>303</v>
      </c>
      <c r="D14" s="9"/>
      <c r="E14" s="9"/>
      <c r="F14" s="9"/>
      <c r="G14" s="9"/>
      <c r="H14" s="9"/>
      <c r="I14" s="9"/>
      <c r="J14" s="9"/>
      <c r="K14" s="9"/>
      <c r="L14" s="56"/>
    </row>
    <row r="15" ht="15" customHeight="1" spans="2:12">
      <c r="B15" s="7"/>
      <c r="C15" s="9"/>
      <c r="D15" s="9"/>
      <c r="E15" s="9"/>
      <c r="F15" s="9"/>
      <c r="G15" s="9"/>
      <c r="H15" s="9"/>
      <c r="I15" s="9"/>
      <c r="J15" s="9"/>
      <c r="K15" s="9"/>
      <c r="L15" s="56"/>
    </row>
    <row r="16" ht="15" customHeight="1" spans="2:12">
      <c r="B16" s="7"/>
      <c r="C16" s="24" t="s">
        <v>304</v>
      </c>
      <c r="D16" s="25"/>
      <c r="E16" s="25"/>
      <c r="F16" s="25"/>
      <c r="G16" s="25"/>
      <c r="H16" s="25"/>
      <c r="I16" s="25"/>
      <c r="J16" s="25"/>
      <c r="K16" s="62"/>
      <c r="L16" s="56"/>
    </row>
    <row r="17" ht="15" customHeight="1" spans="2:12">
      <c r="B17" s="7"/>
      <c r="C17" s="26" t="s">
        <v>305</v>
      </c>
      <c r="D17" s="9"/>
      <c r="E17" s="9"/>
      <c r="F17" s="9"/>
      <c r="G17" s="9"/>
      <c r="H17" s="9"/>
      <c r="I17" s="9"/>
      <c r="J17" s="9"/>
      <c r="K17" s="63"/>
      <c r="L17" s="56"/>
    </row>
    <row r="18" ht="15" customHeight="1" spans="2:12">
      <c r="B18" s="7"/>
      <c r="C18" s="27" t="s">
        <v>306</v>
      </c>
      <c r="E18" s="9"/>
      <c r="F18" s="9"/>
      <c r="G18" s="9"/>
      <c r="H18" s="9"/>
      <c r="I18" s="9"/>
      <c r="J18" s="9"/>
      <c r="K18" s="63"/>
      <c r="L18" s="56"/>
    </row>
    <row r="19" ht="15" customHeight="1" spans="2:12">
      <c r="B19" s="7"/>
      <c r="C19" s="28" t="s">
        <v>307</v>
      </c>
      <c r="D19" s="29"/>
      <c r="E19" s="29"/>
      <c r="F19" s="29"/>
      <c r="G19" s="29"/>
      <c r="H19" s="29"/>
      <c r="I19" s="29"/>
      <c r="J19" s="29"/>
      <c r="K19" s="64"/>
      <c r="L19" s="56"/>
    </row>
    <row r="20" ht="15" customHeight="1" spans="2:12">
      <c r="B20" s="7"/>
      <c r="C20" s="9"/>
      <c r="D20" s="9"/>
      <c r="E20" s="9"/>
      <c r="F20" s="9"/>
      <c r="G20" s="9"/>
      <c r="H20" s="9"/>
      <c r="I20" s="9"/>
      <c r="J20" s="9"/>
      <c r="K20" s="9"/>
      <c r="L20" s="56"/>
    </row>
    <row r="21" ht="15" customHeight="1" spans="2:12">
      <c r="B21" s="7"/>
      <c r="C21" s="8" t="s">
        <v>308</v>
      </c>
      <c r="D21" s="9"/>
      <c r="E21" s="9"/>
      <c r="F21" s="9"/>
      <c r="G21" s="9"/>
      <c r="H21" s="9"/>
      <c r="I21" s="9"/>
      <c r="J21" s="9"/>
      <c r="K21" s="9"/>
      <c r="L21" s="56"/>
    </row>
    <row r="22" ht="15" customHeight="1" spans="2:12">
      <c r="B22" s="7"/>
      <c r="C22" s="9"/>
      <c r="D22" s="9"/>
      <c r="E22" s="9"/>
      <c r="F22" s="9"/>
      <c r="G22" s="9"/>
      <c r="H22" s="9"/>
      <c r="I22" s="9"/>
      <c r="J22" s="9"/>
      <c r="K22" s="9"/>
      <c r="L22" s="56"/>
    </row>
    <row r="23" ht="15" customHeight="1" spans="2:12">
      <c r="B23" s="7"/>
      <c r="C23" s="30" t="s">
        <v>309</v>
      </c>
      <c r="D23" s="30" t="s">
        <v>310</v>
      </c>
      <c r="E23" s="31" t="s">
        <v>311</v>
      </c>
      <c r="F23" s="32" t="s">
        <v>312</v>
      </c>
      <c r="G23" s="32" t="s">
        <v>313</v>
      </c>
      <c r="H23" s="32" t="s">
        <v>314</v>
      </c>
      <c r="I23" s="30" t="s">
        <v>315</v>
      </c>
      <c r="J23" s="30" t="s">
        <v>316</v>
      </c>
      <c r="K23" s="9"/>
      <c r="L23" s="56"/>
    </row>
    <row r="24" ht="15" customHeight="1" spans="2:12">
      <c r="B24" s="7"/>
      <c r="C24" s="33"/>
      <c r="D24" s="33"/>
      <c r="E24" s="34" t="s">
        <v>317</v>
      </c>
      <c r="F24" s="32" t="s">
        <v>318</v>
      </c>
      <c r="G24" s="32" t="s">
        <v>319</v>
      </c>
      <c r="H24" s="32" t="s">
        <v>320</v>
      </c>
      <c r="I24" s="33"/>
      <c r="J24" s="33"/>
      <c r="K24" s="9"/>
      <c r="L24" s="56"/>
    </row>
    <row r="25" ht="27" customHeight="1" spans="2:12">
      <c r="B25" s="7"/>
      <c r="C25" s="10">
        <v>1</v>
      </c>
      <c r="D25" s="11" t="s">
        <v>4</v>
      </c>
      <c r="E25" s="11">
        <v>3</v>
      </c>
      <c r="F25" s="11">
        <v>10</v>
      </c>
      <c r="G25" s="35">
        <v>1</v>
      </c>
      <c r="H25" s="11">
        <v>10</v>
      </c>
      <c r="I25" s="11" t="s">
        <v>321</v>
      </c>
      <c r="J25" s="10" t="s">
        <v>322</v>
      </c>
      <c r="K25" s="9"/>
      <c r="L25" s="56"/>
    </row>
    <row r="26" ht="15" customHeight="1" spans="2:12">
      <c r="B26" s="7"/>
      <c r="C26" s="36" t="s">
        <v>323</v>
      </c>
      <c r="D26" s="37"/>
      <c r="E26" s="37"/>
      <c r="F26" s="37"/>
      <c r="G26" s="37"/>
      <c r="H26" s="37"/>
      <c r="I26" s="37"/>
      <c r="J26" s="37"/>
      <c r="K26" s="9"/>
      <c r="L26" s="56"/>
    </row>
    <row r="27" ht="15" customHeight="1" spans="2:12">
      <c r="B27" s="7"/>
      <c r="C27" s="9"/>
      <c r="D27" s="9"/>
      <c r="E27" s="9"/>
      <c r="F27" s="9"/>
      <c r="G27" s="9"/>
      <c r="H27" s="9"/>
      <c r="I27" s="9"/>
      <c r="J27" s="9"/>
      <c r="K27" s="9"/>
      <c r="L27" s="56"/>
    </row>
    <row r="28" ht="15" customHeight="1" spans="2:12">
      <c r="B28" s="7"/>
      <c r="C28" s="8" t="s">
        <v>324</v>
      </c>
      <c r="D28" s="9"/>
      <c r="E28" s="9"/>
      <c r="F28" s="9"/>
      <c r="G28" s="9"/>
      <c r="H28" s="9"/>
      <c r="I28" s="9"/>
      <c r="J28" s="9"/>
      <c r="K28" s="9"/>
      <c r="L28" s="56"/>
    </row>
    <row r="29" ht="15" customHeight="1" spans="2:12">
      <c r="B29" s="7"/>
      <c r="C29" s="9"/>
      <c r="D29" s="9"/>
      <c r="E29" s="9"/>
      <c r="F29" s="9"/>
      <c r="G29" s="9"/>
      <c r="H29" s="9"/>
      <c r="I29" s="9"/>
      <c r="J29" s="9"/>
      <c r="K29" s="9"/>
      <c r="L29" s="56"/>
    </row>
    <row r="30" ht="15" customHeight="1" spans="2:12">
      <c r="B30" s="7"/>
      <c r="C30" s="38" t="s">
        <v>325</v>
      </c>
      <c r="D30" s="39"/>
      <c r="E30" s="39"/>
      <c r="F30" s="39"/>
      <c r="G30" s="39"/>
      <c r="H30" s="39"/>
      <c r="I30" s="39"/>
      <c r="J30" s="39"/>
      <c r="K30" s="65"/>
      <c r="L30" s="56"/>
    </row>
    <row r="31" ht="15" customHeight="1" spans="2:12">
      <c r="B31" s="7"/>
      <c r="C31" s="9"/>
      <c r="D31" s="9"/>
      <c r="E31" s="9"/>
      <c r="F31" s="9"/>
      <c r="G31" s="9"/>
      <c r="H31" s="9"/>
      <c r="I31" s="9"/>
      <c r="J31" s="9"/>
      <c r="K31" s="9"/>
      <c r="L31" s="56"/>
    </row>
    <row r="32" ht="15" customHeight="1" spans="2:12">
      <c r="B32" s="7"/>
      <c r="C32" s="8" t="s">
        <v>326</v>
      </c>
      <c r="D32" s="9"/>
      <c r="E32" s="9"/>
      <c r="F32" s="9"/>
      <c r="G32" s="9"/>
      <c r="H32" s="9"/>
      <c r="I32" s="9"/>
      <c r="J32" s="9"/>
      <c r="K32" s="9"/>
      <c r="L32" s="56"/>
    </row>
    <row r="33" spans="2:12">
      <c r="B33" s="7"/>
      <c r="C33" s="9"/>
      <c r="D33" s="9"/>
      <c r="E33" s="9"/>
      <c r="F33" s="9"/>
      <c r="G33" s="9"/>
      <c r="H33" s="9"/>
      <c r="I33" s="9"/>
      <c r="J33" s="9"/>
      <c r="K33" s="9"/>
      <c r="L33" s="56"/>
    </row>
    <row r="34" spans="2:12">
      <c r="B34" s="7"/>
      <c r="C34" s="40" t="s">
        <v>327</v>
      </c>
      <c r="D34" s="41"/>
      <c r="E34" s="41"/>
      <c r="F34" s="41"/>
      <c r="G34" s="41"/>
      <c r="H34" s="41"/>
      <c r="I34" s="41"/>
      <c r="J34" s="41"/>
      <c r="K34" s="66"/>
      <c r="L34" s="56"/>
    </row>
    <row r="35" ht="15" customHeight="1" spans="2:12">
      <c r="B35" s="7"/>
      <c r="C35" s="42" t="s">
        <v>328</v>
      </c>
      <c r="D35" s="43"/>
      <c r="E35" s="43"/>
      <c r="F35" s="43"/>
      <c r="G35" s="43"/>
      <c r="H35" s="43"/>
      <c r="I35" s="43"/>
      <c r="J35" s="43"/>
      <c r="K35" s="67"/>
      <c r="L35" s="56"/>
    </row>
    <row r="36" ht="15" customHeight="1" spans="2:12">
      <c r="B36" s="7"/>
      <c r="C36" s="44"/>
      <c r="D36" s="44"/>
      <c r="E36" s="44"/>
      <c r="F36" s="44"/>
      <c r="G36" s="44"/>
      <c r="H36" s="44"/>
      <c r="I36" s="44"/>
      <c r="J36" s="44"/>
      <c r="K36" s="44"/>
      <c r="L36" s="56"/>
    </row>
    <row r="37" spans="2:12">
      <c r="B37" s="7"/>
      <c r="C37" s="8" t="s">
        <v>329</v>
      </c>
      <c r="D37" s="9"/>
      <c r="E37" s="9"/>
      <c r="F37" s="9"/>
      <c r="G37" s="9"/>
      <c r="H37" s="9"/>
      <c r="I37" s="9"/>
      <c r="J37" s="9"/>
      <c r="K37" s="9"/>
      <c r="L37" s="56"/>
    </row>
    <row r="38" spans="2:12">
      <c r="B38" s="7"/>
      <c r="C38" s="8"/>
      <c r="D38" s="9"/>
      <c r="E38" s="9"/>
      <c r="F38" s="9"/>
      <c r="G38" s="9"/>
      <c r="H38" s="9"/>
      <c r="I38" s="9"/>
      <c r="J38" s="9"/>
      <c r="K38" s="9"/>
      <c r="L38" s="56"/>
    </row>
    <row r="39" ht="33.95" customHeight="1" spans="2:12">
      <c r="B39" s="7"/>
      <c r="C39" s="45" t="s">
        <v>330</v>
      </c>
      <c r="D39" s="45"/>
      <c r="E39" s="45"/>
      <c r="F39" s="45"/>
      <c r="G39" s="45"/>
      <c r="H39" s="45"/>
      <c r="I39" s="45"/>
      <c r="J39" s="45"/>
      <c r="K39" s="45"/>
      <c r="L39" s="56"/>
    </row>
    <row r="40" ht="15" customHeight="1" spans="2:12">
      <c r="B40" s="7"/>
      <c r="C40" s="46"/>
      <c r="D40" s="46"/>
      <c r="E40" s="46"/>
      <c r="F40" s="46"/>
      <c r="G40" s="46"/>
      <c r="H40" s="46"/>
      <c r="I40" s="46"/>
      <c r="J40" s="46"/>
      <c r="K40" s="9"/>
      <c r="L40" s="56"/>
    </row>
    <row r="41" spans="2:12">
      <c r="B41" s="7"/>
      <c r="C41" s="8" t="s">
        <v>331</v>
      </c>
      <c r="D41" s="46"/>
      <c r="E41" s="46"/>
      <c r="F41" s="46"/>
      <c r="G41" s="46"/>
      <c r="H41" s="46"/>
      <c r="I41" s="46"/>
      <c r="J41" s="46"/>
      <c r="K41" s="9"/>
      <c r="L41" s="56"/>
    </row>
    <row r="42" ht="28.5" customHeight="1" spans="2:12">
      <c r="B42" s="7"/>
      <c r="C42" s="8"/>
      <c r="D42" s="46"/>
      <c r="E42" s="46"/>
      <c r="F42" s="46"/>
      <c r="G42" s="46"/>
      <c r="H42" s="46"/>
      <c r="I42" s="46"/>
      <c r="J42" s="46"/>
      <c r="K42" s="9"/>
      <c r="L42" s="56"/>
    </row>
    <row r="43" ht="48" customHeight="1" spans="2:12">
      <c r="B43" s="7"/>
      <c r="C43" s="47" t="s">
        <v>332</v>
      </c>
      <c r="D43" s="48"/>
      <c r="E43" s="48"/>
      <c r="F43" s="48"/>
      <c r="G43" s="48"/>
      <c r="H43" s="48"/>
      <c r="I43" s="48"/>
      <c r="J43" s="48"/>
      <c r="K43" s="68"/>
      <c r="L43" s="56"/>
    </row>
    <row r="44" ht="15" customHeight="1" spans="2:12">
      <c r="B44" s="7"/>
      <c r="C44" s="49"/>
      <c r="D44" s="49"/>
      <c r="E44" s="49"/>
      <c r="F44" s="49"/>
      <c r="G44" s="49"/>
      <c r="H44" s="49"/>
      <c r="I44" s="49"/>
      <c r="J44" s="49"/>
      <c r="K44" s="49"/>
      <c r="L44" s="56"/>
    </row>
    <row r="45" spans="2:12">
      <c r="B45" s="7"/>
      <c r="C45" s="50" t="s">
        <v>333</v>
      </c>
      <c r="D45" s="50"/>
      <c r="E45" s="50"/>
      <c r="F45" s="50"/>
      <c r="G45" s="50"/>
      <c r="H45" s="50"/>
      <c r="I45" s="50"/>
      <c r="J45" s="50"/>
      <c r="K45" s="50"/>
      <c r="L45" s="56"/>
    </row>
    <row r="46" s="1" customFormat="1" ht="33.95" customHeight="1" spans="2:12">
      <c r="B46" s="7"/>
      <c r="C46" s="50"/>
      <c r="D46" s="50"/>
      <c r="E46" s="50"/>
      <c r="F46" s="50"/>
      <c r="G46" s="50"/>
      <c r="H46" s="50"/>
      <c r="I46" s="50"/>
      <c r="J46" s="50"/>
      <c r="K46" s="50"/>
      <c r="L46" s="56"/>
    </row>
    <row r="47" ht="15" customHeight="1" spans="2:12">
      <c r="B47" s="7"/>
      <c r="C47" s="51" t="s">
        <v>334</v>
      </c>
      <c r="D47" s="52"/>
      <c r="E47" s="52"/>
      <c r="F47" s="52"/>
      <c r="G47" s="52"/>
      <c r="H47" s="52"/>
      <c r="I47" s="52"/>
      <c r="J47" s="52"/>
      <c r="K47" s="69"/>
      <c r="L47" s="56"/>
    </row>
    <row r="48" ht="15" customHeight="1" spans="2:12">
      <c r="B48" s="53"/>
      <c r="C48" s="54"/>
      <c r="D48" s="54"/>
      <c r="E48" s="54"/>
      <c r="F48" s="54"/>
      <c r="G48" s="54"/>
      <c r="H48" s="54"/>
      <c r="I48" s="54"/>
      <c r="J48" s="54"/>
      <c r="K48" s="54"/>
      <c r="L48" s="70"/>
    </row>
    <row r="49" ht="16.9" customHeight="1"/>
    <row r="50" ht="16.15" customHeight="1"/>
    <row r="51" ht="45" customHeight="1"/>
    <row r="52" ht="15" customHeight="1"/>
    <row r="53" ht="15" customHeight="1"/>
    <row r="54" ht="15" customHeight="1"/>
    <row r="55" ht="15.4" customHeight="1"/>
    <row r="56" ht="34.5" customHeight="1"/>
    <row r="57" ht="43.15" customHeight="1"/>
    <row r="58" ht="15" customHeight="1"/>
    <row r="59" ht="15" customHeight="1"/>
    <row r="61" ht="41.65" customHeight="1"/>
    <row r="63" ht="14.45" customHeight="1"/>
  </sheetData>
  <sheetProtection formatCells="0" insertHyperlinks="0" autoFilter="0"/>
  <mergeCells count="15">
    <mergeCell ref="C7:K7"/>
    <mergeCell ref="C11:K11"/>
    <mergeCell ref="C12:K12"/>
    <mergeCell ref="C26:J26"/>
    <mergeCell ref="C34:K34"/>
    <mergeCell ref="C35:K35"/>
    <mergeCell ref="C39:K39"/>
    <mergeCell ref="C43:K43"/>
    <mergeCell ref="C44:K44"/>
    <mergeCell ref="C45:K45"/>
    <mergeCell ref="C47:K47"/>
    <mergeCell ref="C23:C24"/>
    <mergeCell ref="D23:D24"/>
    <mergeCell ref="I23:I24"/>
    <mergeCell ref="J23:J24"/>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arrUserId title="EditableByClient_1" rangeCreator="" othersAccessPermission="edit"/>
  </rangeList>
  <rangeList sheetStid="39" master=""/>
  <rangeList sheetStid="23" master=""/>
  <rangeList sheetStid="43" master=""/>
  <rangeList sheetStid="44" master=""/>
  <rangeList sheetStid="47" master=""/>
  <rangeList sheetStid="40" master=""/>
  <rangeList sheetStid="34" master=""/>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2006-09-16T08:00:00Z</dcterms:created>
  <cp:lastPrinted>2017-05-16T16:15:00Z</cp:lastPrinted>
  <dcterms:modified xsi:type="dcterms:W3CDTF">2024-04-01T08:09:37Z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2052-12.1.0.16417</vt:lpwstr>
  </property>
  <property fmtid="{D5CDD505-2E9C-101B-9397-08002B2CF9AE}" pid="3" name="ICV">
    <vt:lpwstr>840550D5E8434B349970B37A875FDF99_13</vt:lpwstr>
  </property>
</Properties>
</file>