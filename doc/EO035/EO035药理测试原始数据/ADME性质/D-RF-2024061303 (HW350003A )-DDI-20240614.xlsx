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Users\User\Desktop\"/>
    </mc:Choice>
  </mc:AlternateContent>
  <bookViews>
    <workbookView xWindow="0" yWindow="0" windowWidth="28800" windowHeight="12375"/>
  </bookViews>
  <sheets>
    <sheet name="Signature" sheetId="1" r:id="rId1"/>
    <sheet name="Summary" sheetId="2" r:id="rId2"/>
    <sheet name="Materials" sheetId="4" r:id="rId3"/>
    <sheet name="Study Design" sheetId="5" r:id="rId4"/>
    <sheet name="Data" sheetId="9" r:id="rId5"/>
    <sheet name="Bioanalytical Method" sheetId="6" r:id="rId6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2" i="6" l="1"/>
  <c r="J45" i="6"/>
  <c r="I45" i="6"/>
  <c r="J44" i="6"/>
  <c r="I44" i="6"/>
  <c r="I43" i="6"/>
  <c r="J42" i="6"/>
  <c r="I42" i="6"/>
  <c r="J41" i="6"/>
  <c r="I41" i="6"/>
  <c r="I40" i="6"/>
  <c r="J39" i="6"/>
  <c r="J17" i="6"/>
  <c r="J16" i="6"/>
  <c r="D16" i="6"/>
  <c r="J15" i="6"/>
  <c r="D15" i="6"/>
  <c r="J14" i="6"/>
  <c r="D14" i="6"/>
  <c r="D13" i="6"/>
  <c r="J12" i="6"/>
  <c r="D12" i="6"/>
  <c r="F49" i="9"/>
  <c r="E49" i="9"/>
  <c r="D49" i="9"/>
  <c r="I47" i="9"/>
  <c r="F47" i="9"/>
  <c r="E47" i="9"/>
  <c r="D47" i="9"/>
  <c r="F45" i="9"/>
  <c r="E45" i="9"/>
  <c r="D45" i="9"/>
  <c r="F36" i="9"/>
  <c r="E36" i="9"/>
  <c r="D36" i="9"/>
  <c r="I34" i="9"/>
  <c r="F34" i="9"/>
  <c r="E34" i="9"/>
  <c r="D34" i="9"/>
  <c r="E32" i="9"/>
  <c r="D32" i="9"/>
  <c r="F23" i="9"/>
  <c r="E23" i="9"/>
  <c r="D23" i="9"/>
  <c r="I21" i="9"/>
  <c r="F21" i="9"/>
  <c r="E21" i="9"/>
  <c r="D21" i="9"/>
  <c r="E19" i="9"/>
  <c r="D19" i="9"/>
  <c r="F10" i="9"/>
  <c r="E10" i="9"/>
  <c r="D10" i="9"/>
  <c r="I8" i="9"/>
  <c r="F8" i="9"/>
  <c r="E8" i="9"/>
  <c r="D8" i="9"/>
  <c r="F6" i="9"/>
  <c r="E6" i="9"/>
  <c r="D6" i="9"/>
  <c r="E15" i="2"/>
  <c r="D15" i="2"/>
  <c r="C15" i="2"/>
  <c r="B15" i="2"/>
  <c r="E7" i="2"/>
  <c r="D7" i="2"/>
  <c r="C6" i="2"/>
  <c r="B5" i="2"/>
</calcChain>
</file>

<file path=xl/sharedStrings.xml><?xml version="1.0" encoding="utf-8"?>
<sst xmlns="http://schemas.openxmlformats.org/spreadsheetml/2006/main" count="679" uniqueCount="245">
  <si>
    <t>Study Report</t>
  </si>
  <si>
    <t>Report Name</t>
  </si>
  <si>
    <t>Inhibition of CYP2C9, CYP2D6, CYP3A4 by HW350003A in Human Liver Microsomes</t>
  </si>
  <si>
    <t>Study Number</t>
  </si>
  <si>
    <t>D-RF-2024061303</t>
  </si>
  <si>
    <t>Report Number</t>
  </si>
  <si>
    <r>
      <rPr>
        <sz val="11"/>
        <rFont val="Times New Roman"/>
        <family val="1"/>
      </rPr>
      <t>ADME-</t>
    </r>
    <r>
      <rPr>
        <sz val="11"/>
        <rFont val="宋体"/>
        <charset val="134"/>
      </rPr>
      <t>人福医药</t>
    </r>
    <r>
      <rPr>
        <sz val="11"/>
        <rFont val="Times New Roman"/>
        <family val="1"/>
      </rPr>
      <t>-DDI-20240614</t>
    </r>
  </si>
  <si>
    <t>Sponsor Name</t>
  </si>
  <si>
    <t>人福医药</t>
  </si>
  <si>
    <t>Submitted by</t>
  </si>
  <si>
    <t>Yuguo Xu</t>
  </si>
  <si>
    <t>Study Start Date</t>
  </si>
  <si>
    <t>Report Submission Date</t>
  </si>
  <si>
    <t>Study Director</t>
  </si>
  <si>
    <t>Jie Shao</t>
  </si>
  <si>
    <t>Assay Scientist</t>
  </si>
  <si>
    <t>QC for Report</t>
  </si>
  <si>
    <t>Yu Sun</t>
  </si>
  <si>
    <t>Report Approval</t>
  </si>
  <si>
    <t>Data Summary</t>
  </si>
  <si>
    <r>
      <t>Table 1. IC</t>
    </r>
    <r>
      <rPr>
        <b/>
        <vertAlign val="subscript"/>
        <sz val="11"/>
        <color rgb="FF000000"/>
        <rFont val="Times New Roman"/>
        <family val="1"/>
      </rPr>
      <t>50</t>
    </r>
    <r>
      <rPr>
        <b/>
        <sz val="11"/>
        <color rgb="FF000000"/>
        <rFont val="Times New Roman"/>
        <family val="1"/>
      </rPr>
      <t xml:space="preserve"> values for HW350003A and known inhibitors against CYP2C9, CYP2D6, CYP3A4.</t>
    </r>
  </si>
  <si>
    <t>Compound</t>
  </si>
  <si>
    <r>
      <rPr>
        <b/>
        <sz val="11"/>
        <color rgb="FF000000"/>
        <rFont val="Times New Roman"/>
        <family val="1"/>
      </rPr>
      <t>IC</t>
    </r>
    <r>
      <rPr>
        <b/>
        <vertAlign val="subscript"/>
        <sz val="11"/>
        <color rgb="FF000000"/>
        <rFont val="Times New Roman"/>
        <family val="1"/>
      </rPr>
      <t xml:space="preserve">50 </t>
    </r>
    <r>
      <rPr>
        <b/>
        <sz val="11"/>
        <color rgb="FF000000"/>
        <rFont val="Times New Roman"/>
        <family val="1"/>
      </rPr>
      <t>(μM)</t>
    </r>
  </si>
  <si>
    <t>CYP2C9</t>
  </si>
  <si>
    <t>CYP2D6</t>
  </si>
  <si>
    <t>CYP3A4 (Substrate:midazolam)</t>
  </si>
  <si>
    <t>CYP3A4 (Substrate:testosterone)</t>
  </si>
  <si>
    <t>Sulfaphenazole</t>
  </si>
  <si>
    <t>-</t>
  </si>
  <si>
    <t>Quinidine</t>
  </si>
  <si>
    <t>Ketoconazole</t>
  </si>
  <si>
    <t>HW350003A</t>
  </si>
  <si>
    <t>&gt;10</t>
  </si>
  <si>
    <t>Table 2. Inhibition for HW350003A against CYP2C9, CYP2D6, CYP3A4.</t>
  </si>
  <si>
    <t>Inhibition(% VC)</t>
  </si>
  <si>
    <t>Materials</t>
  </si>
  <si>
    <t>1.Test compound was provided by the sponsor. The compound information is listed in Table 3.</t>
  </si>
  <si>
    <t>Table 3. Compound information</t>
  </si>
  <si>
    <t>Molecule Name</t>
  </si>
  <si>
    <t xml:space="preserve"> Lot No.</t>
  </si>
  <si>
    <t>MW (g/mol)</t>
  </si>
  <si>
    <t>FW (g/mol)</t>
  </si>
  <si>
    <t>Purity</t>
  </si>
  <si>
    <t>2.The microsomes were stored at -80°C prior to use, and the liver microsome information is listed in Table 4.</t>
  </si>
  <si>
    <t>Table 4. Liver microsome information</t>
  </si>
  <si>
    <t>Species</t>
  </si>
  <si>
    <t>Vendor</t>
  </si>
  <si>
    <t>Cat. No.</t>
  </si>
  <si>
    <t>Lot. No.</t>
  </si>
  <si>
    <t>Strain &amp; Gender</t>
  </si>
  <si>
    <t>Human</t>
  </si>
  <si>
    <t>BiOIVT</t>
  </si>
  <si>
    <t>X008064</t>
  </si>
  <si>
    <t>SEU</t>
  </si>
  <si>
    <t>25 donor, mix</t>
  </si>
  <si>
    <t>Study Design</t>
  </si>
  <si>
    <t>1. Equipment, materials and reagents</t>
  </si>
  <si>
    <t>1.1. Substrates</t>
  </si>
  <si>
    <r>
      <rPr>
        <sz val="11"/>
        <color rgb="FF000000"/>
        <rFont val="Times New Roman"/>
        <family val="1"/>
      </rPr>
      <t>Preparation details of these substrates are given in Table 5. The substrate stock solution is stored in a -20</t>
    </r>
    <r>
      <rPr>
        <vertAlign val="superscript"/>
        <sz val="11"/>
        <color rgb="FF000000"/>
        <rFont val="Times New Roman"/>
        <family val="1"/>
      </rPr>
      <t>o</t>
    </r>
    <r>
      <rPr>
        <sz val="11"/>
        <color rgb="FF000000"/>
        <rFont val="Times New Roman"/>
        <family val="1"/>
      </rPr>
      <t>C freezer. Prior to use, remove the substrate stock solution from the freezer and allow it to rise to room temperature.  Then mix the substrate stock solution on a whirly mixer for 30 seconds.</t>
    </r>
  </si>
  <si>
    <t>Table 5: Preparation of the substrate stock solution</t>
  </si>
  <si>
    <t>CYP Isoform</t>
  </si>
  <si>
    <t>Substrate</t>
  </si>
  <si>
    <t>MW(g/mol)</t>
  </si>
  <si>
    <t>Stock solution Conc. (mM)</t>
  </si>
  <si>
    <t>Final Conc.   (µM)</t>
  </si>
  <si>
    <t>2C9</t>
  </si>
  <si>
    <t>diclofenac</t>
  </si>
  <si>
    <t>10 (in MeOH)</t>
  </si>
  <si>
    <t>2D6</t>
  </si>
  <si>
    <t>dextromethorphan</t>
  </si>
  <si>
    <t>3A4</t>
  </si>
  <si>
    <t>midazolam</t>
  </si>
  <si>
    <t>2 (in DMSO)</t>
  </si>
  <si>
    <t>testosterone</t>
  </si>
  <si>
    <t>40 (in DMSO)</t>
  </si>
  <si>
    <t>1.2. Human liver microsome(HLM)</t>
  </si>
  <si>
    <r>
      <rPr>
        <sz val="11"/>
        <color rgb="FF000000"/>
        <rFont val="Times New Roman"/>
        <family val="1"/>
      </rPr>
      <t>HLMs are stored in a -80</t>
    </r>
    <r>
      <rPr>
        <vertAlign val="superscript"/>
        <sz val="11"/>
        <color rgb="FF000000"/>
        <rFont val="Times New Roman"/>
        <family val="1"/>
      </rPr>
      <t>o</t>
    </r>
    <r>
      <rPr>
        <sz val="11"/>
        <color rgb="FF000000"/>
        <rFont val="Times New Roman"/>
        <family val="1"/>
      </rPr>
      <t>C freezer. Prior to use, remove the pooled HLM from the freezer and allow it to thaw in a 37</t>
    </r>
    <r>
      <rPr>
        <vertAlign val="superscript"/>
        <sz val="11"/>
        <color rgb="FF000000"/>
        <rFont val="Times New Roman"/>
        <family val="1"/>
      </rPr>
      <t xml:space="preserve"> o</t>
    </r>
    <r>
      <rPr>
        <sz val="11"/>
        <color rgb="FF000000"/>
        <rFont val="Times New Roman"/>
        <family val="1"/>
      </rPr>
      <t>C water bath and then stored on wet ice.</t>
    </r>
  </si>
  <si>
    <t>1.3. Inhibitors</t>
  </si>
  <si>
    <t>The positive control inhibitors and their concentrations used by each isozyme was prepared according to Table 6.</t>
  </si>
  <si>
    <t>Table 6: Preparation of the standard inhibitors solution</t>
  </si>
  <si>
    <t>Inhibitor</t>
  </si>
  <si>
    <t>MW (g/moL)</t>
  </si>
  <si>
    <t>Final Conc. (µM)</t>
  </si>
  <si>
    <t>10(in DMSO)</t>
  </si>
  <si>
    <t>2. Assay procedure</t>
  </si>
  <si>
    <t>2.1. Preparation of human liver microsome working solution</t>
  </si>
  <si>
    <t>The human liver microsome working solution was prepared according to Table 7. Obtain the substrate and HLM mixture.</t>
  </si>
  <si>
    <t>Table 7. Preparation of human liver microsome working solution</t>
  </si>
  <si>
    <t>Buffer</t>
  </si>
  <si>
    <t>Stock Concentration</t>
  </si>
  <si>
    <t>Final Concentration</t>
  </si>
  <si>
    <t>Microsomes</t>
  </si>
  <si>
    <t>20 mg/mL</t>
  </si>
  <si>
    <t>0.2 mg/mL</t>
  </si>
  <si>
    <t>Phosphate buffer</t>
  </si>
  <si>
    <t>100 mM</t>
  </si>
  <si>
    <t>2.2.Compound Dilution</t>
  </si>
  <si>
    <t>The working solution of the test compound is configured according to the following table, and the appropriate solvent is selected according to the solubility of the compound.</t>
  </si>
  <si>
    <t>Table 8: Compound dilution</t>
  </si>
  <si>
    <t>Stock Solution/ mM</t>
  </si>
  <si>
    <t>Final Conc. (μM)</t>
  </si>
  <si>
    <t>2.3. Incubation</t>
  </si>
  <si>
    <t>All samples were incubated in a 37°C water bath, with two parallels for each concentration of the test compund and two parallels for each concentration of the positive control inhibitor. After pre-incubation, add  NADPH regeneration solution to all samples to start the reaction . Then put it back in the water bath and incubate for a certain period of time.The experiments of each isozyme are summarized in the following table.</t>
  </si>
  <si>
    <t>Table 9. Summary table of each isozyme experiment</t>
  </si>
  <si>
    <t>Protein Conc.</t>
  </si>
  <si>
    <t>Metabolite</t>
  </si>
  <si>
    <t>0.100 mg/mL</t>
  </si>
  <si>
    <t>sulfaphenazole</t>
  </si>
  <si>
    <t>4'-hydroxydiclofenac</t>
  </si>
  <si>
    <t>quinidine</t>
  </si>
  <si>
    <t>dextrorphan</t>
  </si>
  <si>
    <t>ketoconazole</t>
  </si>
  <si>
    <t>1-hydroxymidazolam</t>
  </si>
  <si>
    <t>6ß-Hydroxytesterone</t>
  </si>
  <si>
    <t>2.4. Reaction Quenching</t>
  </si>
  <si>
    <t>Quench the reaction by 200 μLstop solution. Centrifuge the plate at 3,220 g for 10 minutes.   Transfer 100 µL of the supernatant, add 100 µLwater and mix well to the analysis plate for LC-MS/MS analysis.</t>
  </si>
  <si>
    <t>3. Data Processing</t>
  </si>
  <si>
    <t>The automatic peak integration areas are checked for all of the samples.  The Analyte Peak Area and Internal Standard Peak Area are exported into excel spreadsheet.</t>
  </si>
  <si>
    <r>
      <rPr>
        <sz val="11"/>
        <rFont val="Times New Roman"/>
        <family val="1"/>
      </rPr>
      <t>The inhibition of each P</t>
    </r>
    <r>
      <rPr>
        <vertAlign val="subscript"/>
        <sz val="11"/>
        <rFont val="Times New Roman"/>
        <family val="1"/>
      </rPr>
      <t>450</t>
    </r>
    <r>
      <rPr>
        <sz val="11"/>
        <rFont val="Times New Roman"/>
        <family val="1"/>
      </rPr>
      <t xml:space="preserve"> enzyme in human liver microsomes is measured as the percentage decrease in the activity of marker metabolite formation compared to non-inhibited 10%DMSO/ACN controls (= 100% activity).   IC</t>
    </r>
    <r>
      <rPr>
        <vertAlign val="subscript"/>
        <sz val="11"/>
        <rFont val="Times New Roman"/>
        <family val="1"/>
      </rPr>
      <t>50</t>
    </r>
    <r>
      <rPr>
        <sz val="11"/>
        <rFont val="Times New Roman"/>
        <family val="1"/>
      </rPr>
      <t xml:space="preserve"> values were reported as “&gt;10 µM” when % inhibition at the highest concentration (10 µM) is less than 50%.</t>
    </r>
  </si>
  <si>
    <t>Calculate the percentage of remaining activity as follows:</t>
  </si>
  <si>
    <r>
      <rPr>
        <sz val="11"/>
        <color rgb="FF000000"/>
        <rFont val="Times New Roman"/>
        <family val="1"/>
      </rPr>
      <t xml:space="preserve">Area Ratio = Peak Area </t>
    </r>
    <r>
      <rPr>
        <vertAlign val="subscript"/>
        <sz val="11"/>
        <color rgb="FF000000"/>
        <rFont val="Times New Roman"/>
        <family val="1"/>
      </rPr>
      <t>Analyte</t>
    </r>
    <r>
      <rPr>
        <sz val="11"/>
        <color rgb="FF000000"/>
        <rFont val="Times New Roman"/>
        <family val="1"/>
      </rPr>
      <t xml:space="preserve">/ Peak Area </t>
    </r>
    <r>
      <rPr>
        <vertAlign val="subscript"/>
        <sz val="11"/>
        <color rgb="FF000000"/>
        <rFont val="Times New Roman"/>
        <family val="1"/>
      </rPr>
      <t>Internal Standard</t>
    </r>
  </si>
  <si>
    <r>
      <rPr>
        <sz val="11"/>
        <color rgb="FF000000"/>
        <rFont val="Times New Roman"/>
        <family val="1"/>
      </rPr>
      <t xml:space="preserve">Remaining Activity (%) = Area Ratio </t>
    </r>
    <r>
      <rPr>
        <vertAlign val="subscript"/>
        <sz val="11"/>
        <color rgb="FF000000"/>
        <rFont val="Times New Roman"/>
        <family val="1"/>
      </rPr>
      <t>test compound</t>
    </r>
    <r>
      <rPr>
        <sz val="11"/>
        <color rgb="FF000000"/>
        <rFont val="Times New Roman"/>
        <family val="1"/>
      </rPr>
      <t xml:space="preserve">/ Area Ratio </t>
    </r>
    <r>
      <rPr>
        <vertAlign val="subscript"/>
        <sz val="11"/>
        <color rgb="FF000000"/>
        <rFont val="Times New Roman"/>
        <family val="1"/>
      </rPr>
      <t>vehicle</t>
    </r>
    <r>
      <rPr>
        <sz val="11"/>
        <color rgb="FF000000"/>
        <rFont val="Times New Roman"/>
        <family val="1"/>
      </rPr>
      <t>*100%</t>
    </r>
  </si>
  <si>
    <r>
      <rPr>
        <sz val="10"/>
        <rFont val="Times New Roman"/>
        <family val="1"/>
      </rPr>
      <t>*IC</t>
    </r>
    <r>
      <rPr>
        <vertAlign val="subscript"/>
        <sz val="10"/>
        <rFont val="Times New Roman"/>
        <family val="1"/>
      </rPr>
      <t>50</t>
    </r>
    <r>
      <rPr>
        <sz val="10"/>
        <rFont val="Times New Roman"/>
        <family val="1"/>
      </rPr>
      <t xml:space="preserve"> = x * (100 - %inhibition at x) / %inhibition, suppose Hill slope = 1</t>
    </r>
  </si>
  <si>
    <t>x= concentration of control compound</t>
  </si>
  <si>
    <t>Inhibition on 2C9</t>
  </si>
  <si>
    <t>Compounds</t>
  </si>
  <si>
    <t>Conc (μM)</t>
  </si>
  <si>
    <t>Mean</t>
  </si>
  <si>
    <t>Activity (% VC)</t>
  </si>
  <si>
    <t>Area Ratio</t>
  </si>
  <si>
    <t>10 μM</t>
  </si>
  <si>
    <r>
      <t>*IC</t>
    </r>
    <r>
      <rPr>
        <vertAlign val="subscript"/>
        <sz val="11"/>
        <rFont val="Times New Roman"/>
        <family val="1"/>
      </rPr>
      <t>50</t>
    </r>
    <r>
      <rPr>
        <sz val="11"/>
        <rFont val="宋体"/>
        <charset val="134"/>
      </rPr>
      <t>＞</t>
    </r>
  </si>
  <si>
    <t>μM</t>
  </si>
  <si>
    <t>3 μM</t>
  </si>
  <si>
    <r>
      <t>*IC</t>
    </r>
    <r>
      <rPr>
        <vertAlign val="subscript"/>
        <sz val="11"/>
        <rFont val="Times New Roman"/>
        <family val="1"/>
      </rPr>
      <t>50</t>
    </r>
    <r>
      <rPr>
        <sz val="11"/>
        <rFont val="Times New Roman"/>
        <family val="1"/>
      </rPr>
      <t>=</t>
    </r>
  </si>
  <si>
    <t>No inhibitor</t>
  </si>
  <si>
    <r>
      <t>*IC</t>
    </r>
    <r>
      <rPr>
        <vertAlign val="subscript"/>
        <sz val="11"/>
        <rFont val="Times New Roman"/>
        <family val="1"/>
      </rPr>
      <t>50</t>
    </r>
    <r>
      <rPr>
        <sz val="11"/>
        <rFont val="Times New Roman"/>
        <family val="1"/>
      </rPr>
      <t xml:space="preserve"> = x * (100 - %inhibition at x) / %inhibition, suppose Hill slope = 1</t>
    </r>
  </si>
  <si>
    <t>Inhibition on 2D6</t>
  </si>
  <si>
    <t>Inhibition on 3A4 (midazolam)</t>
  </si>
  <si>
    <t>Inhibition on 3A4 (testosterone)</t>
  </si>
  <si>
    <t>Peak Name: Tolbutamide</t>
  </si>
  <si>
    <t>Use as Internal Standard</t>
  </si>
  <si>
    <t>Q1/Q3 Masses: 269.20/170.00 Da</t>
  </si>
  <si>
    <t>Peak Name: 4-Hydroxy Diclofenac</t>
  </si>
  <si>
    <t>Internal Standard: Tolbutamide</t>
  </si>
  <si>
    <t>Q1/Q3 Masses: 310.20/166.10 Da</t>
  </si>
  <si>
    <t>Fit</t>
  </si>
  <si>
    <t>Linear</t>
  </si>
  <si>
    <t>Weighting</t>
  </si>
  <si>
    <t>1  / (x * x)</t>
  </si>
  <si>
    <t>Iterate</t>
  </si>
  <si>
    <t>No</t>
  </si>
  <si>
    <t>Error</t>
  </si>
  <si>
    <t>At least 2 points are required to calculate regression.</t>
  </si>
  <si>
    <t>Use Area</t>
  </si>
  <si>
    <t>Sample Name</t>
  </si>
  <si>
    <t>Sample Type</t>
  </si>
  <si>
    <t>Sample Comment</t>
  </si>
  <si>
    <t>File Name</t>
  </si>
  <si>
    <t>Analyte Peak Name</t>
  </si>
  <si>
    <t>Analyte Peak Area (counts)</t>
  </si>
  <si>
    <t>Analyte Peak Height (cps)</t>
  </si>
  <si>
    <t>Analyte Retention Time (min)</t>
  </si>
  <si>
    <t>IS Peak Name</t>
  </si>
  <si>
    <t>IS Peak Area (counts)</t>
  </si>
  <si>
    <t>IS Peak Height (cps)</t>
  </si>
  <si>
    <t>IS Retention Time (min)</t>
  </si>
  <si>
    <t>Record Modified</t>
  </si>
  <si>
    <t>BLK</t>
  </si>
  <si>
    <t>Blank</t>
  </si>
  <si>
    <t>HW232088&amp;HW350003A-DDIM-20240612\SA.wiff</t>
  </si>
  <si>
    <t>4-Hydroxy Diclofenac</t>
  </si>
  <si>
    <t>Tolbutamide</t>
  </si>
  <si>
    <t>HW350003A 2C9-10uM</t>
  </si>
  <si>
    <t>Unknown</t>
  </si>
  <si>
    <t>PC-2C9</t>
  </si>
  <si>
    <t>2C9-NIC</t>
  </si>
  <si>
    <t>Q1/Q3 Masses: 271.10/155.00 Da</t>
  </si>
  <si>
    <t>Peak Name: Dextrophan</t>
  </si>
  <si>
    <t>Q1/Q3 Masses: 258.40/199.20 Da</t>
  </si>
  <si>
    <t>Dextrophan</t>
  </si>
  <si>
    <t>HW350003A 2D6-10uM</t>
  </si>
  <si>
    <t>PC-2D6</t>
  </si>
  <si>
    <t>2D6-NIC</t>
  </si>
  <si>
    <t>Peak Name: 1'-Hydroxymidazolam</t>
  </si>
  <si>
    <t>Q1/Q3 Masses: 342.30/203.00 Da</t>
  </si>
  <si>
    <t>1'-Hydroxymidazolam</t>
  </si>
  <si>
    <t>HW350003A 3A4-M-10uM</t>
  </si>
  <si>
    <t>PC-3A4-M</t>
  </si>
  <si>
    <t>3A4-M-NIC</t>
  </si>
  <si>
    <t>Peak Name: 6b-Hydroxytesterone</t>
  </si>
  <si>
    <t>Q1/Q3 Masses: 305.50/269.30 Da</t>
  </si>
  <si>
    <t>6b-Hydroxytesterone</t>
  </si>
  <si>
    <t>HW350003A 3A4-T-10uM</t>
  </si>
  <si>
    <t>PC-3A4-T</t>
  </si>
  <si>
    <t>3A4-T-NIC</t>
  </si>
  <si>
    <t>Bioanalytical Method</t>
  </si>
  <si>
    <t>1. LC-MS/MS method of 4'-hydroxydiclofenac</t>
  </si>
  <si>
    <t>2. LC-MS/MS method of dextrorphan</t>
  </si>
  <si>
    <t>4'-hydroxy diclofenac</t>
  </si>
  <si>
    <t>LC Methods</t>
  </si>
  <si>
    <t>Mobile phase A</t>
  </si>
  <si>
    <t>0.1% Formic Acid in Water</t>
  </si>
  <si>
    <t>Mobile phase B</t>
  </si>
  <si>
    <t>100% Acetonitrile</t>
  </si>
  <si>
    <t>Column</t>
  </si>
  <si>
    <t>Synergi 4 µm Fusion-RP, 2 mm *50 mm</t>
  </si>
  <si>
    <t>Internal standard</t>
  </si>
  <si>
    <t>LC system</t>
  </si>
  <si>
    <t>ExionLC</t>
  </si>
  <si>
    <t>Injection Volume</t>
  </si>
  <si>
    <t>5 µL</t>
  </si>
  <si>
    <t>2 µL</t>
  </si>
  <si>
    <t>Gradient conditions</t>
  </si>
  <si>
    <t>Time (min)</t>
  </si>
  <si>
    <t>Flow (mL/min)</t>
  </si>
  <si>
    <t>A(%)</t>
  </si>
  <si>
    <t>B(%)</t>
  </si>
  <si>
    <t>MS Methods</t>
  </si>
  <si>
    <t>MS</t>
  </si>
  <si>
    <t>Triple Quad 6500+ Low Mass</t>
  </si>
  <si>
    <t>Ionization model</t>
  </si>
  <si>
    <t>ESI</t>
  </si>
  <si>
    <t>Scan type</t>
  </si>
  <si>
    <t>MRM</t>
  </si>
  <si>
    <t>polarity</t>
  </si>
  <si>
    <t>Negative</t>
  </si>
  <si>
    <t>Name</t>
  </si>
  <si>
    <t>Ion pair(m/z)</t>
  </si>
  <si>
    <t>DP(eV)</t>
  </si>
  <si>
    <t>CE(eV)</t>
  </si>
  <si>
    <t>Positive</t>
  </si>
  <si>
    <t>310.20/166.10</t>
  </si>
  <si>
    <t>269.2/170.0</t>
  </si>
  <si>
    <t>258.40/199.20</t>
  </si>
  <si>
    <t>271.1/155.0</t>
  </si>
  <si>
    <t>3. LC-MS/MS method of 1-hydroxymidazolam</t>
  </si>
  <si>
    <t>4.  LC-MS/MS method of 6ß-hydroxytesterone</t>
  </si>
  <si>
    <t>6ß-hydroxytesterone</t>
  </si>
  <si>
    <t>Waters XBridge®BEH C18 2.5µm</t>
  </si>
  <si>
    <t>1 µL</t>
  </si>
  <si>
    <t>Triple Quad 5500+</t>
  </si>
  <si>
    <t>Polarity</t>
  </si>
  <si>
    <t>342.30/203.00</t>
  </si>
  <si>
    <t>305.50/269.30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</si>
</sst>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4">
    <numFmt numFmtId="43" formatCode="_ * #,##0.00_ ;_ * \-#,##0.00_ ;_ * &quot;-&quot;??_ ;_ @_ "/>
    <numFmt numFmtId="178" formatCode="0.00_);[Red]\(0.00\)"/>
    <numFmt numFmtId="179" formatCode="0.00_ "/>
    <numFmt numFmtId="180" formatCode="0.000_ "/>
    <numFmt numFmtId="181" formatCode="0_);[Red]\(0\)"/>
    <numFmt numFmtId="182" formatCode="0.0000_);[Red]\(0.0000\)"/>
    <numFmt numFmtId="183" formatCode="0.00000_);[Red]\(0.00000\)"/>
    <numFmt numFmtId="184" formatCode="0.000_);[Red]\(0.000\)"/>
    <numFmt numFmtId="185" formatCode="0.0_ "/>
    <numFmt numFmtId="186" formatCode="#,##0_ "/>
    <numFmt numFmtId="187" formatCode="0.0000_ "/>
    <numFmt numFmtId="188" formatCode="0.0000"/>
    <numFmt numFmtId="189" formatCode="0.000"/>
    <numFmt numFmtId="190" formatCode="yyyy/mm/dd"/>
  </numFmts>
  <fonts count="27" x14ac:knownFonts="1">
    <font>
      <sz val="11"/>
      <color theme="1"/>
      <name val="等线"/>
      <charset val="134"/>
      <scheme val="minor"/>
    </font>
    <font>
      <sz val="11"/>
      <color rgb="FF000000"/>
      <name val="Times New Roman"/>
      <family val="1"/>
    </font>
    <font>
      <sz val="11"/>
      <name val="Times New Roman"/>
      <family val="1"/>
    </font>
    <font>
      <b/>
      <sz val="15"/>
      <name val="Times New Roman"/>
      <family val="1"/>
    </font>
    <font>
      <b/>
      <sz val="11"/>
      <name val="Times New Roman"/>
      <family val="1"/>
    </font>
    <font>
      <sz val="12"/>
      <name val="Times New Roman"/>
      <family val="1"/>
    </font>
    <font>
      <sz val="11"/>
      <color theme="1"/>
      <name val="Times New Roman"/>
      <family val="1"/>
    </font>
    <font>
      <b/>
      <sz val="11"/>
      <color indexed="8"/>
      <name val="Times New Roman"/>
      <family val="1"/>
    </font>
    <font>
      <b/>
      <sz val="15"/>
      <color rgb="FF000000"/>
      <name val="Times New Roman"/>
      <family val="1"/>
    </font>
    <font>
      <b/>
      <sz val="11"/>
      <color rgb="FF000000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sz val="10"/>
      <color rgb="FFFF0000"/>
      <name val="Times New Roman"/>
      <family val="1"/>
    </font>
    <font>
      <sz val="10"/>
      <color rgb="FF000000"/>
      <name val="Times New Roman"/>
      <family val="1"/>
    </font>
    <font>
      <sz val="11"/>
      <color rgb="FF000000"/>
      <name val="宋体"/>
      <charset val="134"/>
    </font>
    <font>
      <sz val="11"/>
      <color theme="1"/>
      <name val="等线"/>
      <charset val="134"/>
      <scheme val="minor"/>
    </font>
    <font>
      <sz val="10"/>
      <color indexed="8"/>
      <name val="Arial"/>
      <family val="2"/>
    </font>
    <font>
      <sz val="12"/>
      <name val="宋体"/>
      <charset val="134"/>
    </font>
    <font>
      <sz val="11"/>
      <color indexed="8"/>
      <name val="宋体"/>
      <charset val="134"/>
    </font>
    <font>
      <vertAlign val="subscript"/>
      <sz val="11"/>
      <name val="Times New Roman"/>
      <family val="1"/>
    </font>
    <font>
      <sz val="11"/>
      <name val="宋体"/>
      <charset val="134"/>
    </font>
    <font>
      <vertAlign val="superscript"/>
      <sz val="11"/>
      <color rgb="FF000000"/>
      <name val="Times New Roman"/>
      <family val="1"/>
    </font>
    <font>
      <vertAlign val="subscript"/>
      <sz val="11"/>
      <color rgb="FF000000"/>
      <name val="Times New Roman"/>
      <family val="1"/>
    </font>
    <font>
      <vertAlign val="subscript"/>
      <sz val="10"/>
      <name val="Times New Roman"/>
      <family val="1"/>
    </font>
    <font>
      <b/>
      <vertAlign val="subscript"/>
      <sz val="11"/>
      <color rgb="FF000000"/>
      <name val="Times New Roman"/>
      <family val="1"/>
    </font>
    <font>
      <sz val="9"/>
      <name val="等线"/>
      <charset val="134"/>
      <scheme val="minor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</fills>
  <borders count="44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rgb="FF000000"/>
      </right>
      <top style="thin">
        <color rgb="FF000000"/>
      </top>
      <bottom style="medium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auto="1"/>
      </bottom>
      <diagonal/>
    </border>
  </borders>
  <cellStyleXfs count="20">
    <xf numFmtId="0" fontId="0" fillId="0" borderId="0"/>
    <xf numFmtId="43" fontId="15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0" fontId="16" fillId="0" borderId="0">
      <alignment vertical="top"/>
    </xf>
    <xf numFmtId="0" fontId="16" fillId="0" borderId="0">
      <alignment vertical="top"/>
    </xf>
    <xf numFmtId="0" fontId="17" fillId="0" borderId="0">
      <alignment vertical="top"/>
    </xf>
    <xf numFmtId="0" fontId="15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8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8" fillId="0" borderId="0">
      <alignment vertical="center"/>
    </xf>
    <xf numFmtId="0" fontId="15" fillId="0" borderId="0">
      <alignment vertical="center"/>
    </xf>
    <xf numFmtId="0" fontId="17" fillId="0" borderId="0"/>
    <xf numFmtId="0" fontId="18" fillId="0" borderId="0">
      <alignment vertical="center"/>
    </xf>
    <xf numFmtId="0" fontId="16" fillId="0" borderId="0">
      <alignment vertical="top"/>
    </xf>
    <xf numFmtId="0" fontId="16" fillId="0" borderId="0">
      <alignment vertical="top"/>
    </xf>
  </cellStyleXfs>
  <cellXfs count="296">
    <xf numFmtId="0" fontId="0" fillId="0" borderId="0" xfId="0"/>
    <xf numFmtId="0" fontId="1" fillId="0" borderId="0" xfId="0" applyFont="1" applyFill="1" applyBorder="1"/>
    <xf numFmtId="0" fontId="2" fillId="0" borderId="0" xfId="0" applyFont="1" applyFill="1" applyBorder="1" applyAlignment="1">
      <alignment vertical="center"/>
    </xf>
    <xf numFmtId="0" fontId="4" fillId="0" borderId="0" xfId="0" applyFont="1" applyFill="1" applyBorder="1" applyAlignment="1">
      <alignment horizontal="left" vertical="center" wrapText="1"/>
    </xf>
    <xf numFmtId="0" fontId="4" fillId="0" borderId="0" xfId="0" applyFont="1" applyFill="1" applyBorder="1" applyAlignment="1">
      <alignment vertical="center" wrapText="1"/>
    </xf>
    <xf numFmtId="0" fontId="2" fillId="0" borderId="1" xfId="0" applyFont="1" applyFill="1" applyBorder="1" applyAlignment="1">
      <alignment horizontal="center" vertical="center"/>
    </xf>
    <xf numFmtId="0" fontId="2" fillId="0" borderId="9" xfId="0" applyFont="1" applyFill="1" applyBorder="1" applyAlignment="1">
      <alignment horizontal="center" vertical="center"/>
    </xf>
    <xf numFmtId="0" fontId="2" fillId="0" borderId="10" xfId="0" applyFont="1" applyFill="1" applyBorder="1" applyAlignment="1">
      <alignment horizontal="center" vertical="center"/>
    </xf>
    <xf numFmtId="0" fontId="2" fillId="0" borderId="11" xfId="0" applyFont="1" applyFill="1" applyBorder="1" applyAlignment="1">
      <alignment horizontal="center" vertical="center"/>
    </xf>
    <xf numFmtId="0" fontId="2" fillId="0" borderId="14" xfId="0" applyFont="1" applyFill="1" applyBorder="1" applyAlignment="1">
      <alignment horizontal="center" vertical="center"/>
    </xf>
    <xf numFmtId="179" fontId="2" fillId="0" borderId="10" xfId="0" applyNumberFormat="1" applyFont="1" applyFill="1" applyBorder="1" applyAlignment="1">
      <alignment horizontal="center" vertical="center"/>
    </xf>
    <xf numFmtId="180" fontId="2" fillId="0" borderId="10" xfId="0" applyNumberFormat="1" applyFont="1" applyFill="1" applyBorder="1" applyAlignment="1">
      <alignment horizontal="center" vertical="center"/>
    </xf>
    <xf numFmtId="0" fontId="2" fillId="0" borderId="9" xfId="0" applyFont="1" applyFill="1" applyBorder="1" applyAlignment="1">
      <alignment horizontal="center" vertical="center" wrapText="1"/>
    </xf>
    <xf numFmtId="0" fontId="2" fillId="0" borderId="21" xfId="0" applyFont="1" applyFill="1" applyBorder="1" applyAlignment="1">
      <alignment horizontal="center" vertical="center"/>
    </xf>
    <xf numFmtId="0" fontId="2" fillId="0" borderId="24" xfId="0" applyFont="1" applyFill="1" applyBorder="1" applyAlignment="1">
      <alignment horizontal="center" vertical="center"/>
    </xf>
    <xf numFmtId="0" fontId="2" fillId="0" borderId="25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178" fontId="1" fillId="0" borderId="0" xfId="0" applyNumberFormat="1" applyFont="1"/>
    <xf numFmtId="178" fontId="2" fillId="0" borderId="1" xfId="0" applyNumberFormat="1" applyFont="1" applyBorder="1" applyAlignment="1">
      <alignment horizontal="center" vertical="center"/>
    </xf>
    <xf numFmtId="178" fontId="2" fillId="0" borderId="9" xfId="0" applyNumberFormat="1" applyFont="1" applyBorder="1" applyAlignment="1">
      <alignment horizontal="center" vertical="center"/>
    </xf>
    <xf numFmtId="178" fontId="2" fillId="0" borderId="10" xfId="0" applyNumberFormat="1" applyFont="1" applyBorder="1" applyAlignment="1">
      <alignment horizontal="center" vertical="center"/>
    </xf>
    <xf numFmtId="178" fontId="2" fillId="0" borderId="11" xfId="0" applyNumberFormat="1" applyFont="1" applyBorder="1" applyAlignment="1">
      <alignment horizontal="center" vertical="center"/>
    </xf>
    <xf numFmtId="178" fontId="2" fillId="0" borderId="9" xfId="0" applyNumberFormat="1" applyFont="1" applyBorder="1" applyAlignment="1">
      <alignment horizontal="center" vertical="center" wrapText="1"/>
    </xf>
    <xf numFmtId="178" fontId="2" fillId="0" borderId="21" xfId="0" applyNumberFormat="1" applyFont="1" applyBorder="1" applyAlignment="1">
      <alignment horizontal="center" vertical="center"/>
    </xf>
    <xf numFmtId="178" fontId="2" fillId="0" borderId="0" xfId="0" applyNumberFormat="1" applyFont="1" applyAlignment="1">
      <alignment vertical="center"/>
    </xf>
    <xf numFmtId="178" fontId="2" fillId="0" borderId="14" xfId="0" applyNumberFormat="1" applyFont="1" applyBorder="1" applyAlignment="1">
      <alignment horizontal="center" vertical="center"/>
    </xf>
    <xf numFmtId="181" fontId="2" fillId="0" borderId="10" xfId="0" applyNumberFormat="1" applyFont="1" applyBorder="1" applyAlignment="1">
      <alignment horizontal="center" vertical="center"/>
    </xf>
    <xf numFmtId="181" fontId="2" fillId="0" borderId="14" xfId="0" applyNumberFormat="1" applyFont="1" applyBorder="1" applyAlignment="1">
      <alignment horizontal="center" vertical="center"/>
    </xf>
    <xf numFmtId="178" fontId="2" fillId="0" borderId="24" xfId="0" applyNumberFormat="1" applyFont="1" applyBorder="1" applyAlignment="1">
      <alignment horizontal="center" vertical="center"/>
    </xf>
    <xf numFmtId="178" fontId="2" fillId="0" borderId="25" xfId="0" applyNumberFormat="1" applyFont="1" applyBorder="1" applyAlignment="1">
      <alignment horizontal="center" vertical="center"/>
    </xf>
    <xf numFmtId="178" fontId="6" fillId="0" borderId="0" xfId="0" applyNumberFormat="1" applyFont="1"/>
    <xf numFmtId="178" fontId="6" fillId="0" borderId="0" xfId="0" applyNumberFormat="1" applyFont="1" applyAlignment="1">
      <alignment wrapText="1"/>
    </xf>
    <xf numFmtId="178" fontId="6" fillId="0" borderId="0" xfId="0" applyNumberFormat="1" applyFont="1" applyAlignment="1">
      <alignment horizontal="center"/>
    </xf>
    <xf numFmtId="11" fontId="6" fillId="0" borderId="0" xfId="0" applyNumberFormat="1" applyFont="1"/>
    <xf numFmtId="0" fontId="6" fillId="0" borderId="0" xfId="0" applyNumberFormat="1" applyFont="1"/>
    <xf numFmtId="178" fontId="2" fillId="0" borderId="0" xfId="0" applyNumberFormat="1" applyFont="1" applyAlignment="1">
      <alignment horizontal="center" vertical="center"/>
    </xf>
    <xf numFmtId="181" fontId="2" fillId="0" borderId="0" xfId="0" applyNumberFormat="1" applyFont="1" applyAlignment="1">
      <alignment horizontal="center" vertical="center"/>
    </xf>
    <xf numFmtId="178" fontId="6" fillId="0" borderId="0" xfId="0" applyNumberFormat="1" applyFont="1" applyAlignment="1">
      <alignment horizontal="center" vertical="center"/>
    </xf>
    <xf numFmtId="0" fontId="2" fillId="0" borderId="0" xfId="0" applyFont="1" applyAlignment="1">
      <alignment vertical="top"/>
    </xf>
    <xf numFmtId="178" fontId="4" fillId="0" borderId="0" xfId="19" applyNumberFormat="1" applyFont="1">
      <alignment vertical="top"/>
    </xf>
    <xf numFmtId="181" fontId="6" fillId="0" borderId="0" xfId="0" applyNumberFormat="1" applyFont="1"/>
    <xf numFmtId="178" fontId="7" fillId="0" borderId="5" xfId="5" applyNumberFormat="1" applyFont="1" applyBorder="1" applyAlignment="1">
      <alignment horizontal="center" vertical="center" wrapText="1"/>
    </xf>
    <xf numFmtId="178" fontId="7" fillId="0" borderId="10" xfId="5" applyNumberFormat="1" applyFont="1" applyBorder="1" applyAlignment="1">
      <alignment horizontal="center" vertical="center" wrapText="1"/>
    </xf>
    <xf numFmtId="182" fontId="6" fillId="0" borderId="0" xfId="0" applyNumberFormat="1" applyFont="1"/>
    <xf numFmtId="182" fontId="2" fillId="0" borderId="10" xfId="0" applyNumberFormat="1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183" fontId="6" fillId="0" borderId="0" xfId="0" applyNumberFormat="1" applyFont="1"/>
    <xf numFmtId="183" fontId="2" fillId="0" borderId="10" xfId="0" applyNumberFormat="1" applyFont="1" applyBorder="1" applyAlignment="1">
      <alignment horizontal="center" vertical="center"/>
    </xf>
    <xf numFmtId="182" fontId="2" fillId="0" borderId="24" xfId="0" applyNumberFormat="1" applyFont="1" applyBorder="1" applyAlignment="1">
      <alignment horizontal="center" vertical="center"/>
    </xf>
    <xf numFmtId="184" fontId="2" fillId="0" borderId="10" xfId="0" applyNumberFormat="1" applyFont="1" applyBorder="1" applyAlignment="1">
      <alignment horizontal="center" vertical="center"/>
    </xf>
    <xf numFmtId="184" fontId="6" fillId="0" borderId="0" xfId="0" applyNumberFormat="1" applyFont="1"/>
    <xf numFmtId="0" fontId="6" fillId="0" borderId="0" xfId="0" applyFont="1" applyFill="1" applyAlignment="1">
      <alignment vertical="center"/>
    </xf>
    <xf numFmtId="11" fontId="6" fillId="0" borderId="0" xfId="0" applyNumberFormat="1" applyFont="1" applyFill="1" applyAlignment="1">
      <alignment vertical="center"/>
    </xf>
    <xf numFmtId="179" fontId="6" fillId="0" borderId="0" xfId="0" applyNumberFormat="1" applyFont="1" applyFill="1" applyAlignment="1">
      <alignment vertical="center"/>
    </xf>
    <xf numFmtId="178" fontId="6" fillId="0" borderId="0" xfId="0" applyNumberFormat="1" applyFont="1" applyFill="1" applyAlignment="1">
      <alignment vertical="center"/>
    </xf>
    <xf numFmtId="0" fontId="6" fillId="0" borderId="29" xfId="0" applyFont="1" applyFill="1" applyBorder="1" applyAlignment="1">
      <alignment vertical="center"/>
    </xf>
    <xf numFmtId="0" fontId="6" fillId="0" borderId="30" xfId="0" applyFont="1" applyFill="1" applyBorder="1" applyAlignment="1">
      <alignment vertical="center"/>
    </xf>
    <xf numFmtId="0" fontId="6" fillId="0" borderId="31" xfId="0" applyFont="1" applyFill="1" applyBorder="1" applyAlignment="1">
      <alignment vertical="center"/>
    </xf>
    <xf numFmtId="0" fontId="6" fillId="0" borderId="0" xfId="0" applyFont="1" applyFill="1" applyAlignment="1">
      <alignment vertical="center"/>
    </xf>
    <xf numFmtId="0" fontId="6" fillId="0" borderId="31" xfId="0" applyFont="1" applyFill="1" applyBorder="1" applyAlignment="1">
      <alignment vertical="center"/>
    </xf>
    <xf numFmtId="178" fontId="6" fillId="0" borderId="0" xfId="0" applyNumberFormat="1" applyFont="1" applyAlignment="1">
      <alignment vertical="center"/>
    </xf>
    <xf numFmtId="178" fontId="2" fillId="0" borderId="0" xfId="0" applyNumberFormat="1" applyFont="1" applyAlignment="1">
      <alignment vertical="top"/>
    </xf>
    <xf numFmtId="185" fontId="2" fillId="0" borderId="0" xfId="0" applyNumberFormat="1" applyFont="1" applyAlignment="1">
      <alignment horizontal="center" vertical="center"/>
    </xf>
    <xf numFmtId="37" fontId="2" fillId="0" borderId="0" xfId="1" applyNumberFormat="1" applyFont="1" applyFill="1" applyAlignment="1">
      <alignment horizontal="center" vertical="center"/>
    </xf>
    <xf numFmtId="11" fontId="2" fillId="0" borderId="0" xfId="1" applyNumberFormat="1" applyFont="1" applyFill="1" applyAlignment="1">
      <alignment horizontal="center" vertical="center"/>
    </xf>
    <xf numFmtId="178" fontId="6" fillId="0" borderId="0" xfId="1" applyNumberFormat="1" applyFont="1" applyAlignment="1">
      <alignment horizontal="center" vertical="center"/>
    </xf>
    <xf numFmtId="186" fontId="6" fillId="0" borderId="0" xfId="1" applyNumberFormat="1" applyFont="1" applyAlignment="1">
      <alignment horizontal="center" vertical="center"/>
    </xf>
    <xf numFmtId="180" fontId="2" fillId="0" borderId="0" xfId="0" applyNumberFormat="1" applyFont="1" applyAlignment="1">
      <alignment horizontal="center" vertical="center"/>
    </xf>
    <xf numFmtId="0" fontId="2" fillId="0" borderId="0" xfId="5" applyFont="1" applyAlignment="1">
      <alignment horizontal="center" vertical="center"/>
    </xf>
    <xf numFmtId="11" fontId="2" fillId="0" borderId="0" xfId="0" applyNumberFormat="1" applyFont="1" applyAlignment="1">
      <alignment vertical="top"/>
    </xf>
    <xf numFmtId="0" fontId="2" fillId="0" borderId="0" xfId="0" applyFont="1" applyAlignment="1">
      <alignment horizontal="center" vertical="center"/>
    </xf>
    <xf numFmtId="0" fontId="2" fillId="0" borderId="0" xfId="0" applyNumberFormat="1" applyFont="1" applyAlignment="1">
      <alignment vertical="top"/>
    </xf>
    <xf numFmtId="0" fontId="2" fillId="0" borderId="0" xfId="1" applyNumberFormat="1" applyFont="1" applyFill="1" applyAlignment="1">
      <alignment horizontal="center" vertical="center"/>
    </xf>
    <xf numFmtId="187" fontId="2" fillId="0" borderId="0" xfId="0" applyNumberFormat="1" applyFont="1" applyAlignment="1">
      <alignment horizontal="center" vertical="center"/>
    </xf>
    <xf numFmtId="0" fontId="6" fillId="0" borderId="32" xfId="0" applyFont="1" applyFill="1" applyBorder="1" applyAlignment="1">
      <alignment vertical="center"/>
    </xf>
    <xf numFmtId="0" fontId="6" fillId="0" borderId="33" xfId="0" applyFont="1" applyFill="1" applyBorder="1" applyAlignment="1">
      <alignment vertical="center"/>
    </xf>
    <xf numFmtId="11" fontId="6" fillId="0" borderId="0" xfId="0" applyNumberFormat="1" applyFont="1" applyFill="1" applyAlignment="1">
      <alignment vertical="center"/>
    </xf>
    <xf numFmtId="0" fontId="6" fillId="0" borderId="34" xfId="0" applyFont="1" applyFill="1" applyBorder="1" applyAlignment="1">
      <alignment vertical="center"/>
    </xf>
    <xf numFmtId="0" fontId="6" fillId="0" borderId="35" xfId="0" applyFont="1" applyFill="1" applyBorder="1" applyAlignment="1">
      <alignment vertical="center"/>
    </xf>
    <xf numFmtId="0" fontId="6" fillId="0" borderId="35" xfId="0" applyFont="1" applyFill="1" applyBorder="1" applyAlignment="1">
      <alignment vertical="center"/>
    </xf>
    <xf numFmtId="11" fontId="6" fillId="0" borderId="35" xfId="0" applyNumberFormat="1" applyFont="1" applyFill="1" applyBorder="1" applyAlignment="1">
      <alignment vertical="center"/>
    </xf>
    <xf numFmtId="179" fontId="6" fillId="0" borderId="0" xfId="0" applyNumberFormat="1" applyFont="1" applyFill="1" applyAlignment="1">
      <alignment vertical="center"/>
    </xf>
    <xf numFmtId="179" fontId="6" fillId="0" borderId="35" xfId="0" applyNumberFormat="1" applyFont="1" applyFill="1" applyBorder="1" applyAlignment="1">
      <alignment vertical="center"/>
    </xf>
    <xf numFmtId="0" fontId="6" fillId="0" borderId="33" xfId="0" applyFont="1" applyFill="1" applyBorder="1" applyAlignment="1">
      <alignment vertical="center"/>
    </xf>
    <xf numFmtId="0" fontId="6" fillId="0" borderId="36" xfId="0" applyFont="1" applyFill="1" applyBorder="1" applyAlignment="1">
      <alignment vertical="center"/>
    </xf>
    <xf numFmtId="179" fontId="6" fillId="0" borderId="0" xfId="0" applyNumberFormat="1" applyFont="1"/>
    <xf numFmtId="2" fontId="6" fillId="0" borderId="0" xfId="0" applyNumberFormat="1" applyFont="1"/>
    <xf numFmtId="0" fontId="1" fillId="0" borderId="0" xfId="0" applyFont="1"/>
    <xf numFmtId="0" fontId="1" fillId="0" borderId="0" xfId="0" applyFont="1" applyAlignment="1">
      <alignment horizontal="left" vertical="center" wrapText="1"/>
    </xf>
    <xf numFmtId="178" fontId="9" fillId="0" borderId="0" xfId="0" applyNumberFormat="1" applyFont="1" applyAlignment="1">
      <alignment vertical="center"/>
    </xf>
    <xf numFmtId="0" fontId="9" fillId="0" borderId="1" xfId="0" applyFont="1" applyFill="1" applyBorder="1" applyAlignment="1">
      <alignment horizontal="center" vertical="center" wrapText="1"/>
    </xf>
    <xf numFmtId="0" fontId="9" fillId="0" borderId="5" xfId="0" applyFont="1" applyFill="1" applyBorder="1" applyAlignment="1">
      <alignment horizontal="center" vertical="center" wrapText="1"/>
    </xf>
    <xf numFmtId="0" fontId="10" fillId="0" borderId="26" xfId="0" applyFont="1" applyBorder="1" applyAlignment="1">
      <alignment horizontal="center" vertical="center" wrapText="1"/>
    </xf>
    <xf numFmtId="0" fontId="1" fillId="0" borderId="9" xfId="0" applyFont="1" applyFill="1" applyBorder="1" applyAlignment="1">
      <alignment horizontal="center" vertical="center" wrapText="1"/>
    </xf>
    <xf numFmtId="0" fontId="1" fillId="0" borderId="10" xfId="0" applyFont="1" applyFill="1" applyBorder="1" applyAlignment="1">
      <alignment horizontal="center" vertical="center" wrapText="1"/>
    </xf>
    <xf numFmtId="0" fontId="1" fillId="0" borderId="14" xfId="0" applyFont="1" applyFill="1" applyBorder="1" applyAlignment="1">
      <alignment horizontal="center" vertical="center" wrapText="1"/>
    </xf>
    <xf numFmtId="178" fontId="1" fillId="0" borderId="10" xfId="0" applyNumberFormat="1" applyFont="1" applyBorder="1" applyAlignment="1">
      <alignment horizontal="center" vertical="center" wrapText="1"/>
    </xf>
    <xf numFmtId="181" fontId="1" fillId="0" borderId="14" xfId="0" applyNumberFormat="1" applyFont="1" applyBorder="1" applyAlignment="1">
      <alignment horizontal="center" vertical="center" wrapText="1"/>
    </xf>
    <xf numFmtId="178" fontId="1" fillId="0" borderId="21" xfId="0" applyNumberFormat="1" applyFont="1" applyBorder="1" applyAlignment="1">
      <alignment horizontal="center" vertical="center" wrapText="1"/>
    </xf>
    <xf numFmtId="178" fontId="1" fillId="0" borderId="24" xfId="0" applyNumberFormat="1" applyFont="1" applyBorder="1" applyAlignment="1">
      <alignment horizontal="center" vertical="center" wrapText="1"/>
    </xf>
    <xf numFmtId="181" fontId="1" fillId="0" borderId="25" xfId="0" applyNumberFormat="1" applyFont="1" applyBorder="1" applyAlignment="1">
      <alignment horizontal="center" vertical="center" wrapText="1"/>
    </xf>
    <xf numFmtId="0" fontId="9" fillId="0" borderId="0" xfId="0" applyFont="1" applyBorder="1" applyAlignment="1">
      <alignment vertical="center"/>
    </xf>
    <xf numFmtId="0" fontId="9" fillId="0" borderId="1" xfId="0" applyFont="1" applyBorder="1" applyAlignment="1">
      <alignment horizontal="center" vertical="center" wrapText="1"/>
    </xf>
    <xf numFmtId="178" fontId="9" fillId="0" borderId="5" xfId="0" applyNumberFormat="1" applyFont="1" applyBorder="1" applyAlignment="1">
      <alignment horizontal="center" vertical="center" wrapText="1"/>
    </xf>
    <xf numFmtId="0" fontId="9" fillId="0" borderId="26" xfId="0" applyFont="1" applyBorder="1" applyAlignment="1">
      <alignment horizontal="center" vertical="center" wrapText="1"/>
    </xf>
    <xf numFmtId="0" fontId="1" fillId="0" borderId="0" xfId="0" applyFont="1" applyBorder="1"/>
    <xf numFmtId="0" fontId="1" fillId="0" borderId="9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left" vertical="center" wrapText="1"/>
    </xf>
    <xf numFmtId="0" fontId="1" fillId="0" borderId="0" xfId="0" applyFont="1" applyFill="1" applyBorder="1" applyAlignment="1">
      <alignment horizontal="left" vertical="center" wrapText="1"/>
    </xf>
    <xf numFmtId="0" fontId="1" fillId="0" borderId="0" xfId="0" applyFont="1" applyFill="1" applyAlignment="1">
      <alignment horizontal="left" vertical="center" wrapText="1"/>
    </xf>
    <xf numFmtId="0" fontId="9" fillId="0" borderId="0" xfId="0" applyFont="1" applyFill="1" applyBorder="1" applyAlignment="1">
      <alignment vertical="center"/>
    </xf>
    <xf numFmtId="181" fontId="1" fillId="0" borderId="0" xfId="0" applyNumberFormat="1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1" fillId="0" borderId="0" xfId="0" applyFont="1" applyAlignment="1">
      <alignment horizontal="left" vertical="center"/>
    </xf>
    <xf numFmtId="0" fontId="11" fillId="0" borderId="0" xfId="5" applyFont="1" applyAlignment="1">
      <alignment horizontal="center" vertical="center"/>
    </xf>
    <xf numFmtId="0" fontId="11" fillId="0" borderId="0" xfId="0" applyFont="1" applyAlignment="1">
      <alignment vertical="top"/>
    </xf>
    <xf numFmtId="0" fontId="11" fillId="0" borderId="0" xfId="0" applyFont="1" applyAlignment="1">
      <alignment vertical="top" wrapText="1"/>
    </xf>
    <xf numFmtId="185" fontId="11" fillId="0" borderId="0" xfId="0" applyNumberFormat="1" applyFont="1" applyAlignment="1">
      <alignment horizontal="center" vertical="top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top"/>
    </xf>
    <xf numFmtId="0" fontId="12" fillId="0" borderId="0" xfId="0" applyFont="1" applyAlignment="1">
      <alignment vertical="top"/>
    </xf>
    <xf numFmtId="0" fontId="1" fillId="0" borderId="0" xfId="0" applyFont="1" applyFill="1"/>
    <xf numFmtId="0" fontId="9" fillId="0" borderId="0" xfId="0" applyFont="1" applyFill="1" applyAlignment="1">
      <alignment vertical="center"/>
    </xf>
    <xf numFmtId="0" fontId="1" fillId="0" borderId="14" xfId="0" applyFont="1" applyFill="1" applyBorder="1" applyAlignment="1">
      <alignment horizontal="center" vertical="center"/>
    </xf>
    <xf numFmtId="0" fontId="1" fillId="0" borderId="25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/>
    </xf>
    <xf numFmtId="0" fontId="9" fillId="0" borderId="5" xfId="7" applyFont="1" applyFill="1" applyBorder="1" applyAlignment="1" applyProtection="1">
      <alignment horizontal="center" vertical="center" wrapText="1"/>
      <protection locked="0"/>
    </xf>
    <xf numFmtId="0" fontId="9" fillId="0" borderId="5" xfId="8" applyFont="1" applyFill="1" applyBorder="1" applyAlignment="1">
      <alignment horizontal="center" vertical="center" wrapText="1"/>
    </xf>
    <xf numFmtId="0" fontId="4" fillId="0" borderId="5" xfId="0" applyFont="1" applyFill="1" applyBorder="1" applyAlignment="1" applyProtection="1">
      <alignment horizontal="center" vertical="center"/>
      <protection locked="0"/>
    </xf>
    <xf numFmtId="0" fontId="9" fillId="0" borderId="26" xfId="8" applyFont="1" applyFill="1" applyBorder="1" applyAlignment="1">
      <alignment horizontal="center" vertical="center" wrapText="1"/>
    </xf>
    <xf numFmtId="0" fontId="1" fillId="0" borderId="42" xfId="0" applyFont="1" applyFill="1" applyBorder="1" applyAlignment="1">
      <alignment horizontal="center"/>
    </xf>
    <xf numFmtId="0" fontId="1" fillId="0" borderId="24" xfId="7" applyFont="1" applyFill="1" applyBorder="1" applyAlignment="1" applyProtection="1">
      <alignment horizontal="center" vertical="center"/>
      <protection locked="0"/>
    </xf>
    <xf numFmtId="180" fontId="1" fillId="0" borderId="43" xfId="0" applyNumberFormat="1" applyFont="1" applyFill="1" applyBorder="1" applyAlignment="1">
      <alignment horizontal="center"/>
    </xf>
    <xf numFmtId="0" fontId="9" fillId="0" borderId="1" xfId="17" applyFont="1" applyFill="1" applyBorder="1" applyAlignment="1">
      <alignment horizontal="center" vertical="center" wrapText="1"/>
    </xf>
    <xf numFmtId="0" fontId="9" fillId="0" borderId="5" xfId="13" applyFont="1" applyFill="1" applyBorder="1" applyAlignment="1">
      <alignment horizontal="center" vertical="center" wrapText="1"/>
    </xf>
    <xf numFmtId="0" fontId="9" fillId="0" borderId="5" xfId="17" applyFont="1" applyFill="1" applyBorder="1" applyAlignment="1">
      <alignment horizontal="center" vertical="center" wrapText="1"/>
    </xf>
    <xf numFmtId="0" fontId="9" fillId="0" borderId="26" xfId="13" applyFont="1" applyFill="1" applyBorder="1" applyAlignment="1">
      <alignment horizontal="center" vertical="center" wrapText="1"/>
    </xf>
    <xf numFmtId="0" fontId="6" fillId="0" borderId="21" xfId="17" applyFont="1" applyFill="1" applyBorder="1" applyAlignment="1">
      <alignment horizontal="center" vertical="center" wrapText="1"/>
    </xf>
    <xf numFmtId="0" fontId="1" fillId="0" borderId="24" xfId="0" applyFont="1" applyBorder="1" applyAlignment="1">
      <alignment horizontal="center" vertical="center"/>
    </xf>
    <xf numFmtId="0" fontId="6" fillId="0" borderId="24" xfId="17" applyFont="1" applyFill="1" applyBorder="1" applyAlignment="1">
      <alignment horizontal="center" vertical="center" wrapText="1"/>
    </xf>
    <xf numFmtId="0" fontId="6" fillId="0" borderId="25" xfId="12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/>
    </xf>
    <xf numFmtId="0" fontId="9" fillId="0" borderId="10" xfId="0" applyFont="1" applyBorder="1" applyAlignment="1">
      <alignment horizontal="center" vertical="center" wrapText="1"/>
    </xf>
    <xf numFmtId="0" fontId="9" fillId="0" borderId="14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/>
    </xf>
    <xf numFmtId="184" fontId="1" fillId="0" borderId="10" xfId="0" applyNumberFormat="1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188" fontId="1" fillId="2" borderId="10" xfId="0" applyNumberFormat="1" applyFont="1" applyFill="1" applyBorder="1" applyAlignment="1">
      <alignment horizontal="center" vertical="center" wrapText="1"/>
    </xf>
    <xf numFmtId="189" fontId="1" fillId="2" borderId="14" xfId="0" applyNumberFormat="1" applyFont="1" applyFill="1" applyBorder="1" applyAlignment="1">
      <alignment horizontal="center" vertical="center" wrapText="1"/>
    </xf>
    <xf numFmtId="0" fontId="1" fillId="0" borderId="24" xfId="0" applyFont="1" applyBorder="1" applyAlignment="1">
      <alignment horizontal="center" vertical="center" wrapText="1"/>
    </xf>
    <xf numFmtId="0" fontId="1" fillId="0" borderId="25" xfId="0" applyFont="1" applyBorder="1" applyAlignment="1">
      <alignment horizontal="center" vertical="center" wrapText="1"/>
    </xf>
    <xf numFmtId="0" fontId="13" fillId="0" borderId="0" xfId="0" applyFont="1" applyAlignment="1">
      <alignment horizontal="left"/>
    </xf>
    <xf numFmtId="0" fontId="1" fillId="0" borderId="0" xfId="0" applyFont="1" applyAlignment="1">
      <alignment vertical="center"/>
    </xf>
    <xf numFmtId="178" fontId="1" fillId="0" borderId="24" xfId="0" applyNumberFormat="1" applyFont="1" applyBorder="1" applyAlignment="1">
      <alignment horizontal="center" vertical="center"/>
    </xf>
    <xf numFmtId="178" fontId="1" fillId="0" borderId="25" xfId="0" applyNumberFormat="1" applyFont="1" applyBorder="1" applyAlignment="1">
      <alignment horizontal="center" vertical="center"/>
    </xf>
    <xf numFmtId="178" fontId="1" fillId="0" borderId="0" xfId="0" applyNumberFormat="1" applyFont="1" applyAlignment="1">
      <alignment horizontal="center" vertical="center"/>
    </xf>
    <xf numFmtId="0" fontId="1" fillId="0" borderId="0" xfId="11" applyFont="1" applyFill="1" applyBorder="1" applyAlignment="1">
      <alignment horizontal="left" vertical="center"/>
    </xf>
    <xf numFmtId="0" fontId="9" fillId="0" borderId="10" xfId="7" applyFont="1" applyFill="1" applyBorder="1" applyAlignment="1">
      <alignment horizontal="left" vertical="center" wrapText="1"/>
    </xf>
    <xf numFmtId="0" fontId="2" fillId="0" borderId="10" xfId="0" applyFont="1" applyFill="1" applyBorder="1" applyAlignment="1">
      <alignment horizontal="left" vertical="center" wrapText="1"/>
    </xf>
    <xf numFmtId="0" fontId="2" fillId="0" borderId="10" xfId="9" applyFont="1" applyFill="1" applyBorder="1" applyAlignment="1">
      <alignment horizontal="left" vertical="center" wrapText="1"/>
    </xf>
    <xf numFmtId="0" fontId="14" fillId="0" borderId="10" xfId="10" applyFont="1" applyFill="1" applyBorder="1" applyAlignment="1">
      <alignment horizontal="left" vertical="center" wrapText="1"/>
    </xf>
    <xf numFmtId="0" fontId="2" fillId="0" borderId="10" xfId="16" applyFont="1" applyFill="1" applyBorder="1" applyAlignment="1">
      <alignment horizontal="left" vertical="center"/>
    </xf>
    <xf numFmtId="14" fontId="2" fillId="0" borderId="10" xfId="9" applyNumberFormat="1" applyFont="1" applyFill="1" applyBorder="1" applyAlignment="1">
      <alignment horizontal="left" vertical="center" wrapText="1"/>
    </xf>
    <xf numFmtId="0" fontId="2" fillId="3" borderId="10" xfId="16" applyFont="1" applyFill="1" applyBorder="1" applyAlignment="1">
      <alignment horizontal="left" vertical="center"/>
    </xf>
    <xf numFmtId="0" fontId="1" fillId="0" borderId="0" xfId="11" applyFont="1" applyFill="1" applyBorder="1" applyAlignment="1">
      <alignment horizontal="left" vertical="top" wrapText="1"/>
    </xf>
    <xf numFmtId="190" fontId="2" fillId="0" borderId="0" xfId="0" applyNumberFormat="1" applyFont="1" applyFill="1" applyBorder="1" applyAlignment="1">
      <alignment horizontal="center" vertical="top" wrapText="1"/>
    </xf>
    <xf numFmtId="0" fontId="8" fillId="0" borderId="27" xfId="7" applyFont="1" applyFill="1" applyBorder="1" applyAlignment="1">
      <alignment horizontal="center" vertical="center" wrapText="1"/>
    </xf>
    <xf numFmtId="0" fontId="8" fillId="0" borderId="0" xfId="14" applyFont="1" applyAlignment="1">
      <alignment horizontal="left" vertical="center"/>
    </xf>
    <xf numFmtId="0" fontId="9" fillId="0" borderId="0" xfId="0" applyFont="1" applyAlignment="1">
      <alignment horizontal="left" vertical="center" wrapText="1"/>
    </xf>
    <xf numFmtId="0" fontId="9" fillId="0" borderId="5" xfId="0" applyFont="1" applyBorder="1" applyAlignment="1">
      <alignment horizontal="center" vertical="center" wrapText="1"/>
    </xf>
    <xf numFmtId="0" fontId="9" fillId="0" borderId="26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3" fillId="0" borderId="0" xfId="11" applyFont="1" applyFill="1" applyBorder="1" applyAlignment="1">
      <alignment horizontal="left" vertical="center" wrapText="1"/>
    </xf>
    <xf numFmtId="0" fontId="2" fillId="0" borderId="0" xfId="0" applyFont="1" applyFill="1" applyBorder="1" applyAlignment="1">
      <alignment horizontal="left" vertical="center" wrapText="1"/>
    </xf>
    <xf numFmtId="0" fontId="4" fillId="0" borderId="0" xfId="0" applyFont="1" applyFill="1" applyBorder="1" applyAlignment="1">
      <alignment horizontal="center" vertical="center" wrapText="1"/>
    </xf>
    <xf numFmtId="0" fontId="2" fillId="0" borderId="0" xfId="13" applyFont="1" applyFill="1" applyBorder="1" applyAlignment="1">
      <alignment horizontal="left" vertical="center"/>
    </xf>
    <xf numFmtId="0" fontId="4" fillId="0" borderId="35" xfId="13" applyFont="1" applyFill="1" applyBorder="1" applyAlignment="1">
      <alignment horizontal="center" vertical="center" wrapText="1"/>
    </xf>
    <xf numFmtId="0" fontId="8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178" fontId="9" fillId="0" borderId="0" xfId="0" applyNumberFormat="1" applyFont="1" applyBorder="1" applyAlignment="1">
      <alignment horizontal="center" vertical="center"/>
    </xf>
    <xf numFmtId="0" fontId="9" fillId="0" borderId="5" xfId="0" applyFont="1" applyFill="1" applyBorder="1" applyAlignment="1">
      <alignment horizontal="center" vertical="center" wrapText="1"/>
    </xf>
    <xf numFmtId="0" fontId="1" fillId="0" borderId="10" xfId="0" applyFont="1" applyFill="1" applyBorder="1" applyAlignment="1">
      <alignment horizontal="center" vertical="center" wrapText="1"/>
    </xf>
    <xf numFmtId="178" fontId="1" fillId="0" borderId="10" xfId="0" applyNumberFormat="1" applyFont="1" applyBorder="1" applyAlignment="1">
      <alignment horizontal="center" vertical="center" wrapText="1"/>
    </xf>
    <xf numFmtId="178" fontId="1" fillId="0" borderId="24" xfId="0" applyNumberFormat="1" applyFont="1" applyBorder="1" applyAlignment="1">
      <alignment horizontal="center" vertical="center" wrapText="1"/>
    </xf>
    <xf numFmtId="178" fontId="1" fillId="0" borderId="0" xfId="0" applyNumberFormat="1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181" fontId="1" fillId="0" borderId="10" xfId="0" applyNumberFormat="1" applyFont="1" applyBorder="1" applyAlignment="1">
      <alignment horizontal="center" vertical="center" wrapText="1"/>
    </xf>
    <xf numFmtId="181" fontId="1" fillId="0" borderId="24" xfId="0" applyNumberFormat="1" applyFont="1" applyBorder="1" applyAlignment="1">
      <alignment horizontal="center" vertical="center" wrapText="1"/>
    </xf>
    <xf numFmtId="0" fontId="4" fillId="0" borderId="35" xfId="13" applyFont="1" applyBorder="1" applyAlignment="1" applyProtection="1">
      <alignment horizontal="center" vertical="center"/>
      <protection locked="0"/>
    </xf>
    <xf numFmtId="0" fontId="4" fillId="0" borderId="0" xfId="13" applyFont="1" applyBorder="1" applyAlignment="1" applyProtection="1">
      <alignment horizontal="center" vertical="center"/>
      <protection locked="0"/>
    </xf>
    <xf numFmtId="0" fontId="1" fillId="0" borderId="9" xfId="0" applyFont="1" applyFill="1" applyBorder="1" applyAlignment="1">
      <alignment horizontal="center" vertical="center" wrapText="1"/>
    </xf>
    <xf numFmtId="0" fontId="1" fillId="0" borderId="14" xfId="0" applyFont="1" applyFill="1" applyBorder="1" applyAlignment="1">
      <alignment horizontal="center" vertical="center" wrapText="1"/>
    </xf>
    <xf numFmtId="0" fontId="1" fillId="0" borderId="21" xfId="0" applyFont="1" applyFill="1" applyBorder="1" applyAlignment="1">
      <alignment horizontal="center" vertical="center" wrapText="1"/>
    </xf>
    <xf numFmtId="0" fontId="1" fillId="0" borderId="24" xfId="0" applyFont="1" applyFill="1" applyBorder="1" applyAlignment="1">
      <alignment horizontal="center" vertical="center" wrapText="1"/>
    </xf>
    <xf numFmtId="0" fontId="1" fillId="0" borderId="25" xfId="0" applyFont="1" applyFill="1" applyBorder="1" applyAlignment="1">
      <alignment horizontal="center" vertical="center" wrapText="1"/>
    </xf>
    <xf numFmtId="0" fontId="1" fillId="0" borderId="0" xfId="0" applyFont="1" applyFill="1" applyAlignment="1">
      <alignment horizontal="left" vertical="center"/>
    </xf>
    <xf numFmtId="0" fontId="1" fillId="0" borderId="0" xfId="0" applyFont="1" applyFill="1" applyAlignment="1">
      <alignment horizontal="left" vertical="center" wrapText="1"/>
    </xf>
    <xf numFmtId="0" fontId="9" fillId="0" borderId="35" xfId="0" applyFont="1" applyFill="1" applyBorder="1" applyAlignment="1">
      <alignment horizontal="center" vertical="center"/>
    </xf>
    <xf numFmtId="181" fontId="1" fillId="0" borderId="37" xfId="0" applyNumberFormat="1" applyFont="1" applyFill="1" applyBorder="1" applyAlignment="1">
      <alignment horizontal="center" vertical="center" wrapText="1"/>
    </xf>
    <xf numFmtId="181" fontId="1" fillId="0" borderId="23" xfId="0" applyNumberFormat="1" applyFont="1" applyFill="1" applyBorder="1" applyAlignment="1">
      <alignment horizontal="center" vertical="center" wrapText="1"/>
    </xf>
    <xf numFmtId="181" fontId="1" fillId="0" borderId="22" xfId="0" applyNumberFormat="1" applyFont="1" applyFill="1" applyBorder="1" applyAlignment="1">
      <alignment horizontal="center" vertical="center" wrapText="1"/>
    </xf>
    <xf numFmtId="181" fontId="1" fillId="0" borderId="38" xfId="0" applyNumberFormat="1" applyFont="1" applyFill="1" applyBorder="1" applyAlignment="1">
      <alignment horizontal="center" vertical="center" wrapText="1"/>
    </xf>
    <xf numFmtId="181" fontId="1" fillId="0" borderId="0" xfId="0" applyNumberFormat="1" applyFont="1" applyFill="1" applyAlignment="1">
      <alignment horizontal="left" vertical="center"/>
    </xf>
    <xf numFmtId="0" fontId="1" fillId="0" borderId="0" xfId="0" applyFont="1" applyFill="1" applyBorder="1" applyAlignment="1">
      <alignment horizontal="left" vertical="center" wrapText="1"/>
    </xf>
    <xf numFmtId="0" fontId="9" fillId="0" borderId="0" xfId="0" applyFont="1" applyFill="1" applyAlignment="1">
      <alignment horizontal="center" vertical="center"/>
    </xf>
    <xf numFmtId="0" fontId="1" fillId="0" borderId="40" xfId="0" applyFont="1" applyFill="1" applyBorder="1" applyAlignment="1">
      <alignment horizontal="center" vertical="center" wrapText="1"/>
    </xf>
    <xf numFmtId="0" fontId="1" fillId="0" borderId="41" xfId="0" applyFont="1" applyFill="1" applyBorder="1" applyAlignment="1">
      <alignment horizontal="center" vertical="center" wrapText="1"/>
    </xf>
    <xf numFmtId="0" fontId="1" fillId="0" borderId="15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178" fontId="1" fillId="0" borderId="9" xfId="0" applyNumberFormat="1" applyFont="1" applyBorder="1" applyAlignment="1">
      <alignment horizontal="center" vertical="center" wrapText="1"/>
    </xf>
    <xf numFmtId="178" fontId="1" fillId="0" borderId="21" xfId="0" applyNumberFormat="1" applyFont="1" applyBorder="1" applyAlignment="1">
      <alignment horizontal="center" vertical="center" wrapText="1"/>
    </xf>
    <xf numFmtId="0" fontId="9" fillId="0" borderId="26" xfId="0" applyFont="1" applyFill="1" applyBorder="1" applyAlignment="1">
      <alignment horizontal="center" vertical="center"/>
    </xf>
    <xf numFmtId="0" fontId="9" fillId="0" borderId="14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 wrapText="1"/>
    </xf>
    <xf numFmtId="0" fontId="9" fillId="0" borderId="9" xfId="0" applyFont="1" applyFill="1" applyBorder="1" applyAlignment="1">
      <alignment horizontal="center" vertical="center" wrapText="1"/>
    </xf>
    <xf numFmtId="0" fontId="9" fillId="0" borderId="10" xfId="0" applyFont="1" applyFill="1" applyBorder="1" applyAlignment="1">
      <alignment horizontal="center" vertical="center" wrapText="1"/>
    </xf>
    <xf numFmtId="0" fontId="9" fillId="0" borderId="39" xfId="0" applyFont="1" applyFill="1" applyBorder="1" applyAlignment="1">
      <alignment horizontal="center" vertical="center" wrapText="1"/>
    </xf>
    <xf numFmtId="181" fontId="9" fillId="0" borderId="1" xfId="0" applyNumberFormat="1" applyFont="1" applyFill="1" applyBorder="1" applyAlignment="1">
      <alignment horizontal="center" vertical="center" wrapText="1"/>
    </xf>
    <xf numFmtId="181" fontId="9" fillId="0" borderId="5" xfId="0" applyNumberFormat="1" applyFont="1" applyFill="1" applyBorder="1" applyAlignment="1">
      <alignment horizontal="center" vertical="center" wrapText="1"/>
    </xf>
    <xf numFmtId="181" fontId="9" fillId="0" borderId="9" xfId="0" applyNumberFormat="1" applyFont="1" applyFill="1" applyBorder="1" applyAlignment="1">
      <alignment horizontal="center" vertical="center" wrapText="1"/>
    </xf>
    <xf numFmtId="181" fontId="9" fillId="0" borderId="10" xfId="0" applyNumberFormat="1" applyFont="1" applyFill="1" applyBorder="1" applyAlignment="1">
      <alignment horizontal="center" vertical="center" wrapText="1"/>
    </xf>
    <xf numFmtId="181" fontId="9" fillId="0" borderId="26" xfId="0" applyNumberFormat="1" applyFont="1" applyFill="1" applyBorder="1" applyAlignment="1">
      <alignment horizontal="center" vertical="center" wrapText="1"/>
    </xf>
    <xf numFmtId="181" fontId="9" fillId="0" borderId="14" xfId="0" applyNumberFormat="1" applyFont="1" applyFill="1" applyBorder="1" applyAlignment="1">
      <alignment horizontal="center" vertical="center" wrapText="1"/>
    </xf>
    <xf numFmtId="178" fontId="4" fillId="0" borderId="1" xfId="0" applyNumberFormat="1" applyFont="1" applyBorder="1" applyAlignment="1">
      <alignment horizontal="center" vertical="center" wrapText="1"/>
    </xf>
    <xf numFmtId="178" fontId="4" fillId="0" borderId="9" xfId="0" applyNumberFormat="1" applyFont="1" applyBorder="1" applyAlignment="1">
      <alignment horizontal="center" vertical="center" wrapText="1"/>
    </xf>
    <xf numFmtId="178" fontId="2" fillId="0" borderId="9" xfId="0" applyNumberFormat="1" applyFont="1" applyBorder="1" applyAlignment="1">
      <alignment horizontal="center" vertical="center"/>
    </xf>
    <xf numFmtId="178" fontId="2" fillId="0" borderId="21" xfId="0" applyNumberFormat="1" applyFont="1" applyBorder="1" applyAlignment="1">
      <alignment horizontal="center" vertical="center"/>
    </xf>
    <xf numFmtId="181" fontId="4" fillId="0" borderId="5" xfId="5" applyNumberFormat="1" applyFont="1" applyBorder="1" applyAlignment="1">
      <alignment horizontal="center" vertical="center"/>
    </xf>
    <xf numFmtId="181" fontId="4" fillId="0" borderId="10" xfId="5" applyNumberFormat="1" applyFont="1" applyBorder="1" applyAlignment="1">
      <alignment horizontal="center" vertical="center"/>
    </xf>
    <xf numFmtId="181" fontId="2" fillId="0" borderId="10" xfId="0" applyNumberFormat="1" applyFont="1" applyBorder="1" applyAlignment="1">
      <alignment horizontal="center" vertical="center"/>
    </xf>
    <xf numFmtId="181" fontId="2" fillId="0" borderId="24" xfId="0" applyNumberFormat="1" applyFont="1" applyBorder="1" applyAlignment="1">
      <alignment horizontal="center" vertical="center"/>
    </xf>
    <xf numFmtId="178" fontId="4" fillId="0" borderId="5" xfId="18" applyNumberFormat="1" applyFont="1" applyBorder="1" applyAlignment="1">
      <alignment horizontal="center" vertical="center"/>
    </xf>
    <xf numFmtId="178" fontId="4" fillId="0" borderId="10" xfId="18" applyNumberFormat="1" applyFont="1" applyBorder="1" applyAlignment="1">
      <alignment horizontal="center" vertical="center"/>
    </xf>
    <xf numFmtId="182" fontId="2" fillId="0" borderId="10" xfId="0" applyNumberFormat="1" applyFont="1" applyBorder="1" applyAlignment="1">
      <alignment horizontal="center" vertical="center"/>
    </xf>
    <xf numFmtId="183" fontId="2" fillId="0" borderId="10" xfId="0" applyNumberFormat="1" applyFont="1" applyBorder="1" applyAlignment="1">
      <alignment horizontal="center" vertical="center"/>
    </xf>
    <xf numFmtId="182" fontId="2" fillId="0" borderId="24" xfId="0" applyNumberFormat="1" applyFont="1" applyBorder="1" applyAlignment="1">
      <alignment horizontal="center" vertical="center"/>
    </xf>
    <xf numFmtId="178" fontId="2" fillId="0" borderId="10" xfId="0" applyNumberFormat="1" applyFont="1" applyBorder="1" applyAlignment="1">
      <alignment horizontal="center" vertical="center"/>
    </xf>
    <xf numFmtId="184" fontId="2" fillId="0" borderId="10" xfId="0" applyNumberFormat="1" applyFont="1" applyBorder="1" applyAlignment="1">
      <alignment horizontal="center" vertical="center"/>
    </xf>
    <xf numFmtId="178" fontId="2" fillId="0" borderId="24" xfId="0" applyNumberFormat="1" applyFont="1" applyBorder="1" applyAlignment="1">
      <alignment horizontal="center" vertical="center"/>
    </xf>
    <xf numFmtId="178" fontId="4" fillId="0" borderId="5" xfId="2" applyNumberFormat="1" applyFont="1" applyBorder="1" applyAlignment="1">
      <alignment horizontal="center" vertical="center"/>
    </xf>
    <xf numFmtId="178" fontId="4" fillId="0" borderId="10" xfId="2" applyNumberFormat="1" applyFont="1" applyBorder="1" applyAlignment="1">
      <alignment horizontal="center" vertical="center"/>
    </xf>
    <xf numFmtId="178" fontId="2" fillId="0" borderId="10" xfId="2" applyNumberFormat="1" applyFont="1" applyBorder="1" applyAlignment="1">
      <alignment horizontal="center" vertical="center"/>
    </xf>
    <xf numFmtId="178" fontId="4" fillId="0" borderId="26" xfId="2" applyNumberFormat="1" applyFont="1" applyBorder="1" applyAlignment="1">
      <alignment horizontal="center" vertical="center"/>
    </xf>
    <xf numFmtId="178" fontId="4" fillId="0" borderId="14" xfId="2" applyNumberFormat="1" applyFont="1" applyBorder="1" applyAlignment="1">
      <alignment horizontal="center" vertical="center"/>
    </xf>
    <xf numFmtId="178" fontId="6" fillId="0" borderId="14" xfId="0" applyNumberFormat="1" applyFont="1" applyBorder="1" applyAlignment="1">
      <alignment horizontal="center" vertical="center"/>
    </xf>
    <xf numFmtId="178" fontId="6" fillId="0" borderId="25" xfId="0" applyNumberFormat="1" applyFont="1" applyBorder="1" applyAlignment="1">
      <alignment horizontal="center" vertical="center"/>
    </xf>
    <xf numFmtId="0" fontId="3" fillId="0" borderId="0" xfId="0" applyFont="1" applyFill="1" applyBorder="1" applyAlignment="1">
      <alignment horizontal="left" vertical="center" wrapText="1"/>
    </xf>
    <xf numFmtId="0" fontId="4" fillId="0" borderId="0" xfId="0" applyFont="1" applyFill="1" applyBorder="1" applyAlignment="1">
      <alignment horizontal="left" vertical="center" wrapText="1"/>
    </xf>
    <xf numFmtId="0" fontId="2" fillId="0" borderId="2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  <xf numFmtId="0" fontId="2" fillId="0" borderId="26" xfId="0" applyFont="1" applyFill="1" applyBorder="1" applyAlignment="1">
      <alignment horizontal="center" vertical="center"/>
    </xf>
    <xf numFmtId="0" fontId="2" fillId="0" borderId="6" xfId="0" applyFont="1" applyFill="1" applyBorder="1" applyAlignment="1">
      <alignment horizontal="center" vertical="center"/>
    </xf>
    <xf numFmtId="0" fontId="2" fillId="0" borderId="7" xfId="0" applyFont="1" applyFill="1" applyBorder="1" applyAlignment="1">
      <alignment horizontal="center" vertical="center"/>
    </xf>
    <xf numFmtId="0" fontId="2" fillId="0" borderId="8" xfId="0" applyFont="1" applyFill="1" applyBorder="1" applyAlignment="1">
      <alignment horizontal="center" vertical="center"/>
    </xf>
    <xf numFmtId="0" fontId="2" fillId="0" borderId="9" xfId="0" applyFont="1" applyFill="1" applyBorder="1" applyAlignment="1">
      <alignment horizontal="center" vertical="center"/>
    </xf>
    <xf numFmtId="0" fontId="2" fillId="0" borderId="10" xfId="0" applyFont="1" applyFill="1" applyBorder="1" applyAlignment="1">
      <alignment horizontal="center" vertical="center"/>
    </xf>
    <xf numFmtId="0" fontId="2" fillId="0" borderId="14" xfId="0" applyFont="1" applyFill="1" applyBorder="1" applyAlignment="1">
      <alignment horizontal="center" vertical="center"/>
    </xf>
    <xf numFmtId="0" fontId="2" fillId="0" borderId="12" xfId="0" applyFont="1" applyFill="1" applyBorder="1" applyAlignment="1">
      <alignment horizontal="center" vertical="center"/>
    </xf>
    <xf numFmtId="0" fontId="2" fillId="0" borderId="13" xfId="0" applyFont="1" applyFill="1" applyBorder="1" applyAlignment="1">
      <alignment horizontal="center" vertical="center"/>
    </xf>
    <xf numFmtId="0" fontId="2" fillId="0" borderId="27" xfId="0" applyFont="1" applyFill="1" applyBorder="1" applyAlignment="1">
      <alignment horizontal="center" vertical="center"/>
    </xf>
    <xf numFmtId="0" fontId="2" fillId="0" borderId="28" xfId="0" applyFont="1" applyFill="1" applyBorder="1" applyAlignment="1">
      <alignment horizontal="center" vertical="center"/>
    </xf>
    <xf numFmtId="178" fontId="2" fillId="0" borderId="12" xfId="0" applyNumberFormat="1" applyFont="1" applyBorder="1" applyAlignment="1">
      <alignment horizontal="center" vertical="center"/>
    </xf>
    <xf numFmtId="178" fontId="2" fillId="0" borderId="7" xfId="0" applyNumberFormat="1" applyFont="1" applyBorder="1" applyAlignment="1">
      <alignment horizontal="center" vertical="center"/>
    </xf>
    <xf numFmtId="178" fontId="2" fillId="0" borderId="8" xfId="0" applyNumberFormat="1" applyFont="1" applyBorder="1" applyAlignment="1">
      <alignment horizontal="center" vertical="center"/>
    </xf>
    <xf numFmtId="0" fontId="2" fillId="0" borderId="15" xfId="0" applyFont="1" applyFill="1" applyBorder="1" applyAlignment="1">
      <alignment horizontal="center" vertical="center"/>
    </xf>
    <xf numFmtId="0" fontId="2" fillId="0" borderId="16" xfId="0" applyFont="1" applyFill="1" applyBorder="1" applyAlignment="1">
      <alignment horizontal="center" vertical="center"/>
    </xf>
    <xf numFmtId="0" fontId="2" fillId="0" borderId="17" xfId="0" applyFont="1" applyFill="1" applyBorder="1" applyAlignment="1">
      <alignment horizontal="center" vertical="center"/>
    </xf>
    <xf numFmtId="0" fontId="5" fillId="0" borderId="12" xfId="0" applyFont="1" applyFill="1" applyBorder="1" applyAlignment="1">
      <alignment horizontal="center" vertical="center"/>
    </xf>
    <xf numFmtId="0" fontId="5" fillId="0" borderId="7" xfId="0" applyFont="1" applyFill="1" applyBorder="1" applyAlignment="1">
      <alignment horizontal="center" vertical="center"/>
    </xf>
    <xf numFmtId="0" fontId="5" fillId="0" borderId="8" xfId="0" applyFont="1" applyFill="1" applyBorder="1" applyAlignment="1">
      <alignment horizontal="center" vertical="center"/>
    </xf>
    <xf numFmtId="0" fontId="2" fillId="0" borderId="20" xfId="0" applyFont="1" applyFill="1" applyBorder="1" applyAlignment="1">
      <alignment horizontal="center" vertical="center"/>
    </xf>
    <xf numFmtId="0" fontId="2" fillId="0" borderId="22" xfId="0" applyFont="1" applyFill="1" applyBorder="1" applyAlignment="1">
      <alignment horizontal="center" vertical="center"/>
    </xf>
    <xf numFmtId="0" fontId="2" fillId="0" borderId="23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178" fontId="4" fillId="0" borderId="0" xfId="0" applyNumberFormat="1" applyFont="1" applyAlignment="1">
      <alignment horizontal="left" vertical="center" wrapText="1"/>
    </xf>
    <xf numFmtId="178" fontId="2" fillId="0" borderId="5" xfId="0" applyNumberFormat="1" applyFont="1" applyBorder="1" applyAlignment="1">
      <alignment horizontal="center" vertical="center"/>
    </xf>
    <xf numFmtId="178" fontId="2" fillId="0" borderId="26" xfId="0" applyNumberFormat="1" applyFont="1" applyBorder="1" applyAlignment="1">
      <alignment horizontal="center" vertical="center"/>
    </xf>
    <xf numFmtId="178" fontId="2" fillId="0" borderId="14" xfId="0" applyNumberFormat="1" applyFont="1" applyBorder="1" applyAlignment="1">
      <alignment horizontal="center" vertical="center"/>
    </xf>
    <xf numFmtId="178" fontId="2" fillId="0" borderId="13" xfId="0" applyNumberFormat="1" applyFont="1" applyBorder="1" applyAlignment="1">
      <alignment horizontal="center" vertical="center"/>
    </xf>
    <xf numFmtId="178" fontId="2" fillId="0" borderId="27" xfId="0" applyNumberFormat="1" applyFont="1" applyBorder="1" applyAlignment="1">
      <alignment horizontal="center" vertical="center"/>
    </xf>
    <xf numFmtId="178" fontId="2" fillId="0" borderId="28" xfId="0" applyNumberFormat="1" applyFont="1" applyBorder="1" applyAlignment="1">
      <alignment horizontal="center" vertical="center"/>
    </xf>
    <xf numFmtId="178" fontId="2" fillId="0" borderId="20" xfId="0" applyNumberFormat="1" applyFont="1" applyBorder="1" applyAlignment="1">
      <alignment horizontal="center" vertical="center"/>
    </xf>
    <xf numFmtId="178" fontId="2" fillId="0" borderId="22" xfId="0" applyNumberFormat="1" applyFont="1" applyBorder="1" applyAlignment="1">
      <alignment horizontal="center" vertical="center"/>
    </xf>
    <xf numFmtId="178" fontId="2" fillId="0" borderId="23" xfId="0" applyNumberFormat="1" applyFont="1" applyBorder="1" applyAlignment="1">
      <alignment horizontal="center" vertical="center"/>
    </xf>
    <xf numFmtId="0" fontId="2" fillId="0" borderId="18" xfId="0" applyFont="1" applyFill="1" applyBorder="1" applyAlignment="1">
      <alignment horizontal="center" vertical="center" wrapText="1"/>
    </xf>
    <xf numFmtId="0" fontId="2" fillId="0" borderId="19" xfId="0" applyFont="1" applyFill="1" applyBorder="1" applyAlignment="1">
      <alignment horizontal="center" vertical="center" wrapText="1"/>
    </xf>
    <xf numFmtId="178" fontId="2" fillId="0" borderId="18" xfId="0" applyNumberFormat="1" applyFont="1" applyBorder="1" applyAlignment="1">
      <alignment horizontal="center" vertical="center" wrapText="1"/>
    </xf>
    <xf numFmtId="178" fontId="2" fillId="0" borderId="19" xfId="0" applyNumberFormat="1" applyFont="1" applyBorder="1" applyAlignment="1">
      <alignment horizontal="center" vertical="center" wrapText="1"/>
    </xf>
  </cellXfs>
  <cellStyles count="20">
    <cellStyle name="_ET_STYLE_NoName_00_" xfId="3"/>
    <cellStyle name="_ET_STYLE_NoName_00_ 2" xfId="4"/>
    <cellStyle name="Normal 2" xfId="5"/>
    <cellStyle name="百分比" xfId="2" builtinId="5"/>
    <cellStyle name="常规" xfId="0" builtinId="0"/>
    <cellStyle name="常规 16" xfId="6"/>
    <cellStyle name="常规 2" xfId="7"/>
    <cellStyle name="常规 2 10 4 2" xfId="8"/>
    <cellStyle name="常规 2 2" xfId="9"/>
    <cellStyle name="常规 2 2 2" xfId="10"/>
    <cellStyle name="常规 3" xfId="11"/>
    <cellStyle name="常规 3 2 2" xfId="12"/>
    <cellStyle name="常规 3 2 2 2" xfId="13"/>
    <cellStyle name="常规 4 2" xfId="14"/>
    <cellStyle name="常规 4 4 2" xfId="15"/>
    <cellStyle name="常规 5" xfId="16"/>
    <cellStyle name="常规 7" xfId="17"/>
    <cellStyle name="常规_Sheet1" xfId="18"/>
    <cellStyle name="千位分隔" xfId="1" builtinId="3"/>
    <cellStyle name="样式 1" xfId="19"/>
  </cellStyles>
  <dxfs count="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152400</xdr:colOff>
      <xdr:row>0</xdr:row>
      <xdr:rowOff>0</xdr:rowOff>
    </xdr:from>
    <xdr:to>
      <xdr:col>0</xdr:col>
      <xdr:colOff>619125</xdr:colOff>
      <xdr:row>1</xdr:row>
      <xdr:rowOff>43815</xdr:rowOff>
    </xdr:to>
    <xdr:pic>
      <xdr:nvPicPr>
        <xdr:cNvPr id="2" name="图片 1" descr="logo-01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52400" y="0"/>
          <a:ext cx="466725" cy="52768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1066800</xdr:colOff>
      <xdr:row>72</xdr:row>
      <xdr:rowOff>0</xdr:rowOff>
    </xdr:from>
    <xdr:to>
      <xdr:col>2</xdr:col>
      <xdr:colOff>76199</xdr:colOff>
      <xdr:row>72</xdr:row>
      <xdr:rowOff>167640</xdr:rowOff>
    </xdr:to>
    <xdr:sp macro="" textlink="">
      <xdr:nvSpPr>
        <xdr:cNvPr id="2" name="Text Box 1"/>
        <xdr:cNvSpPr txBox="1">
          <a:spLocks noChangeArrowheads="1"/>
        </xdr:cNvSpPr>
      </xdr:nvSpPr>
      <xdr:spPr>
        <a:xfrm>
          <a:off x="2311400" y="16347440"/>
          <a:ext cx="75565" cy="167640"/>
        </a:xfrm>
        <a:prstGeom prst="rect">
          <a:avLst/>
        </a:prstGeom>
        <a:noFill/>
        <a:ln w="9525">
          <a:noFill/>
          <a:miter lim="800000"/>
        </a:ln>
      </xdr:spPr>
    </xdr:sp>
    <xdr:clientData/>
  </xdr:twoCellAnchor>
  <xdr:twoCellAnchor editAs="oneCell">
    <xdr:from>
      <xdr:col>1</xdr:col>
      <xdr:colOff>1066800</xdr:colOff>
      <xdr:row>69</xdr:row>
      <xdr:rowOff>0</xdr:rowOff>
    </xdr:from>
    <xdr:to>
      <xdr:col>2</xdr:col>
      <xdr:colOff>76199</xdr:colOff>
      <xdr:row>69</xdr:row>
      <xdr:rowOff>167640</xdr:rowOff>
    </xdr:to>
    <xdr:sp macro="" textlink="">
      <xdr:nvSpPr>
        <xdr:cNvPr id="3" name="Text Box 1"/>
        <xdr:cNvSpPr txBox="1">
          <a:spLocks noChangeArrowheads="1"/>
        </xdr:cNvSpPr>
      </xdr:nvSpPr>
      <xdr:spPr>
        <a:xfrm>
          <a:off x="2311400" y="15775940"/>
          <a:ext cx="75565" cy="167640"/>
        </a:xfrm>
        <a:prstGeom prst="rect">
          <a:avLst/>
        </a:prstGeom>
        <a:noFill/>
        <a:ln w="9525">
          <a:noFill/>
          <a:miter lim="800000"/>
        </a:ln>
      </xdr:spPr>
    </xdr:sp>
    <xdr:clientData/>
  </xdr:twoCellAnchor>
  <xdr:twoCellAnchor editAs="oneCell">
    <xdr:from>
      <xdr:col>1</xdr:col>
      <xdr:colOff>660400</xdr:colOff>
      <xdr:row>60</xdr:row>
      <xdr:rowOff>0</xdr:rowOff>
    </xdr:from>
    <xdr:to>
      <xdr:col>2</xdr:col>
      <xdr:colOff>75565</xdr:colOff>
      <xdr:row>60</xdr:row>
      <xdr:rowOff>167640</xdr:rowOff>
    </xdr:to>
    <xdr:sp macro="" textlink="">
      <xdr:nvSpPr>
        <xdr:cNvPr id="4" name="Text Box 1"/>
        <xdr:cNvSpPr txBox="1">
          <a:spLocks noChangeArrowheads="1"/>
        </xdr:cNvSpPr>
      </xdr:nvSpPr>
      <xdr:spPr>
        <a:xfrm>
          <a:off x="2311400" y="14061440"/>
          <a:ext cx="75565" cy="167640"/>
        </a:xfrm>
        <a:prstGeom prst="rect">
          <a:avLst/>
        </a:prstGeom>
        <a:noFill/>
        <a:ln w="9525">
          <a:noFill/>
          <a:miter lim="800000"/>
        </a:ln>
      </xdr:spPr>
    </xdr: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6"/>
  <sheetViews>
    <sheetView tabSelected="1" workbookViewId="0">
      <selection activeCell="G8" sqref="G8"/>
    </sheetView>
  </sheetViews>
  <sheetFormatPr defaultColWidth="9" defaultRowHeight="15" x14ac:dyDescent="0.25"/>
  <cols>
    <col min="1" max="1" width="34.375" style="158" customWidth="1"/>
    <col min="2" max="2" width="64.375" style="158" customWidth="1"/>
    <col min="3" max="16384" width="9" style="1"/>
  </cols>
  <sheetData>
    <row r="1" spans="1:2" ht="38.1" customHeight="1" x14ac:dyDescent="0.25">
      <c r="A1" s="168" t="s">
        <v>0</v>
      </c>
      <c r="B1" s="168"/>
    </row>
    <row r="2" spans="1:2" ht="50.25" customHeight="1" x14ac:dyDescent="0.25">
      <c r="A2" s="159" t="s">
        <v>1</v>
      </c>
      <c r="B2" s="160" t="s">
        <v>2</v>
      </c>
    </row>
    <row r="3" spans="1:2" ht="38.1" customHeight="1" x14ac:dyDescent="0.25">
      <c r="A3" s="159" t="s">
        <v>3</v>
      </c>
      <c r="B3" s="161" t="s">
        <v>4</v>
      </c>
    </row>
    <row r="4" spans="1:2" ht="38.1" customHeight="1" x14ac:dyDescent="0.25">
      <c r="A4" s="159" t="s">
        <v>5</v>
      </c>
      <c r="B4" s="161" t="s">
        <v>6</v>
      </c>
    </row>
    <row r="5" spans="1:2" ht="38.1" customHeight="1" x14ac:dyDescent="0.25">
      <c r="A5" s="159" t="s">
        <v>7</v>
      </c>
      <c r="B5" s="162" t="s">
        <v>8</v>
      </c>
    </row>
    <row r="6" spans="1:2" ht="38.1" customHeight="1" x14ac:dyDescent="0.25">
      <c r="A6" s="159" t="s">
        <v>9</v>
      </c>
      <c r="B6" s="163" t="s">
        <v>10</v>
      </c>
    </row>
    <row r="7" spans="1:2" ht="38.1" customHeight="1" x14ac:dyDescent="0.25">
      <c r="A7" s="159" t="s">
        <v>11</v>
      </c>
      <c r="B7" s="164">
        <v>45455</v>
      </c>
    </row>
    <row r="8" spans="1:2" ht="38.1" customHeight="1" x14ac:dyDescent="0.25">
      <c r="A8" s="159" t="s">
        <v>12</v>
      </c>
      <c r="B8" s="164">
        <v>45460</v>
      </c>
    </row>
    <row r="9" spans="1:2" ht="38.1" customHeight="1" x14ac:dyDescent="0.25">
      <c r="A9" s="159" t="s">
        <v>13</v>
      </c>
      <c r="B9" s="165" t="s">
        <v>14</v>
      </c>
    </row>
    <row r="10" spans="1:2" ht="38.1" customHeight="1" x14ac:dyDescent="0.25">
      <c r="A10" s="159" t="s">
        <v>15</v>
      </c>
      <c r="B10" s="163" t="s">
        <v>10</v>
      </c>
    </row>
    <row r="11" spans="1:2" ht="38.1" customHeight="1" x14ac:dyDescent="0.25">
      <c r="A11" s="159" t="s">
        <v>16</v>
      </c>
      <c r="B11" s="161" t="s">
        <v>17</v>
      </c>
    </row>
    <row r="12" spans="1:2" ht="38.1" customHeight="1" x14ac:dyDescent="0.25">
      <c r="A12" s="159" t="s">
        <v>18</v>
      </c>
      <c r="B12" s="165" t="s">
        <v>14</v>
      </c>
    </row>
    <row r="13" spans="1:2" x14ac:dyDescent="0.25">
      <c r="A13" s="166"/>
      <c r="B13" s="166"/>
    </row>
    <row r="14" spans="1:2" x14ac:dyDescent="0.25">
      <c r="A14" s="166"/>
      <c r="B14" s="166"/>
    </row>
    <row r="15" spans="1:2" x14ac:dyDescent="0.25">
      <c r="A15" s="166"/>
      <c r="B15" s="166"/>
    </row>
    <row r="16" spans="1:2" x14ac:dyDescent="0.25">
      <c r="A16" s="166"/>
      <c r="B16" s="166"/>
    </row>
    <row r="17" spans="1:2" x14ac:dyDescent="0.25">
      <c r="A17" s="166"/>
      <c r="B17" s="166"/>
    </row>
    <row r="22" spans="1:2" x14ac:dyDescent="0.25">
      <c r="B22" s="167"/>
    </row>
    <row r="23" spans="1:2" x14ac:dyDescent="0.25">
      <c r="B23" s="167"/>
    </row>
    <row r="24" spans="1:2" x14ac:dyDescent="0.25">
      <c r="B24" s="167"/>
    </row>
    <row r="25" spans="1:2" x14ac:dyDescent="0.25">
      <c r="B25" s="167"/>
    </row>
    <row r="26" spans="1:2" x14ac:dyDescent="0.25">
      <c r="B26" s="167"/>
    </row>
  </sheetData>
  <protectedRanges>
    <protectedRange sqref="B7:B8" name="Sign_1_1_1_1_1_1"/>
  </protectedRanges>
  <mergeCells count="1">
    <mergeCell ref="A1:B1"/>
  </mergeCells>
  <phoneticPr fontId="25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"/>
  <sheetViews>
    <sheetView workbookViewId="0">
      <selection activeCell="G26" sqref="G26"/>
    </sheetView>
  </sheetViews>
  <sheetFormatPr defaultColWidth="9" defaultRowHeight="15" x14ac:dyDescent="0.25"/>
  <cols>
    <col min="1" max="1" width="28.875" style="113" customWidth="1"/>
    <col min="2" max="4" width="21" style="113" customWidth="1"/>
    <col min="5" max="5" width="21" style="87" customWidth="1"/>
    <col min="6" max="16384" width="9" style="87"/>
  </cols>
  <sheetData>
    <row r="1" spans="1:6" ht="19.5" x14ac:dyDescent="0.25">
      <c r="A1" s="169" t="s">
        <v>19</v>
      </c>
      <c r="B1" s="169"/>
      <c r="C1" s="169"/>
      <c r="D1" s="169"/>
    </row>
    <row r="2" spans="1:6" ht="15.75" customHeight="1" x14ac:dyDescent="0.25">
      <c r="A2" s="170" t="s">
        <v>20</v>
      </c>
      <c r="B2" s="170"/>
      <c r="C2" s="170"/>
      <c r="D2" s="170"/>
      <c r="E2" s="170"/>
      <c r="F2" s="170"/>
    </row>
    <row r="3" spans="1:6" ht="20.100000000000001" customHeight="1" x14ac:dyDescent="0.25">
      <c r="A3" s="173" t="s">
        <v>21</v>
      </c>
      <c r="B3" s="171" t="s">
        <v>22</v>
      </c>
      <c r="C3" s="171"/>
      <c r="D3" s="171"/>
      <c r="E3" s="172"/>
    </row>
    <row r="4" spans="1:6" ht="38.25" customHeight="1" x14ac:dyDescent="0.25">
      <c r="A4" s="174"/>
      <c r="B4" s="143" t="s">
        <v>23</v>
      </c>
      <c r="C4" s="143" t="s">
        <v>24</v>
      </c>
      <c r="D4" s="143" t="s">
        <v>25</v>
      </c>
      <c r="E4" s="144" t="s">
        <v>26</v>
      </c>
    </row>
    <row r="5" spans="1:6" x14ac:dyDescent="0.25">
      <c r="A5" s="145" t="s">
        <v>27</v>
      </c>
      <c r="B5" s="146">
        <f>Data!I8</f>
        <v>0.74708352776481601</v>
      </c>
      <c r="C5" s="147" t="s">
        <v>28</v>
      </c>
      <c r="D5" s="147" t="s">
        <v>28</v>
      </c>
      <c r="E5" s="148" t="s">
        <v>28</v>
      </c>
    </row>
    <row r="6" spans="1:6" x14ac:dyDescent="0.25">
      <c r="A6" s="106" t="s">
        <v>29</v>
      </c>
      <c r="B6" s="147" t="s">
        <v>28</v>
      </c>
      <c r="C6" s="146">
        <f>Data!I21</f>
        <v>0.273720814704421</v>
      </c>
      <c r="D6" s="147" t="s">
        <v>28</v>
      </c>
      <c r="E6" s="148" t="s">
        <v>28</v>
      </c>
    </row>
    <row r="7" spans="1:6" x14ac:dyDescent="0.25">
      <c r="A7" s="106" t="s">
        <v>30</v>
      </c>
      <c r="B7" s="147" t="s">
        <v>28</v>
      </c>
      <c r="C7" s="147" t="s">
        <v>28</v>
      </c>
      <c r="D7" s="149">
        <f>Data!I34</f>
        <v>5.3118519700111701E-2</v>
      </c>
      <c r="E7" s="150">
        <f>Data!I47</f>
        <v>0.110398690358446</v>
      </c>
    </row>
    <row r="8" spans="1:6" x14ac:dyDescent="0.25">
      <c r="A8" s="106" t="s">
        <v>30</v>
      </c>
      <c r="B8" s="147" t="s">
        <v>28</v>
      </c>
      <c r="C8" s="147" t="s">
        <v>28</v>
      </c>
      <c r="D8" s="147" t="s">
        <v>28</v>
      </c>
      <c r="E8" s="148" t="s">
        <v>28</v>
      </c>
    </row>
    <row r="9" spans="1:6" ht="18.95" customHeight="1" x14ac:dyDescent="0.25">
      <c r="A9" s="107" t="s">
        <v>31</v>
      </c>
      <c r="B9" s="151" t="s">
        <v>32</v>
      </c>
      <c r="C9" s="151" t="s">
        <v>32</v>
      </c>
      <c r="D9" s="151" t="s">
        <v>32</v>
      </c>
      <c r="E9" s="152" t="s">
        <v>32</v>
      </c>
    </row>
    <row r="10" spans="1:6" x14ac:dyDescent="0.25">
      <c r="A10" s="153"/>
    </row>
    <row r="11" spans="1:6" x14ac:dyDescent="0.25">
      <c r="A11" s="154"/>
      <c r="C11" s="87"/>
      <c r="D11" s="87"/>
    </row>
    <row r="12" spans="1:6" ht="18" customHeight="1" x14ac:dyDescent="0.25">
      <c r="A12" s="170" t="s">
        <v>33</v>
      </c>
      <c r="B12" s="170"/>
      <c r="C12" s="170"/>
      <c r="D12" s="170"/>
    </row>
    <row r="13" spans="1:6" ht="35.25" customHeight="1" x14ac:dyDescent="0.25">
      <c r="A13" s="173" t="s">
        <v>21</v>
      </c>
      <c r="B13" s="171" t="s">
        <v>34</v>
      </c>
      <c r="C13" s="171"/>
      <c r="D13" s="171"/>
      <c r="E13" s="172"/>
    </row>
    <row r="14" spans="1:6" ht="30" customHeight="1" x14ac:dyDescent="0.25">
      <c r="A14" s="174"/>
      <c r="B14" s="143" t="s">
        <v>23</v>
      </c>
      <c r="C14" s="143" t="s">
        <v>24</v>
      </c>
      <c r="D14" s="143" t="s">
        <v>25</v>
      </c>
      <c r="E14" s="144" t="s">
        <v>26</v>
      </c>
    </row>
    <row r="15" spans="1:6" s="17" customFormat="1" ht="35.1" customHeight="1" x14ac:dyDescent="0.25">
      <c r="A15" s="98" t="s">
        <v>31</v>
      </c>
      <c r="B15" s="99">
        <f>Data!F6</f>
        <v>3.2378580323785799</v>
      </c>
      <c r="C15" s="99">
        <f>Data!F19</f>
        <v>0</v>
      </c>
      <c r="D15" s="155">
        <f>Data!F32</f>
        <v>0</v>
      </c>
      <c r="E15" s="156">
        <f>Data!F45</f>
        <v>2.6315789473684199</v>
      </c>
    </row>
    <row r="16" spans="1:6" x14ac:dyDescent="0.25">
      <c r="B16" s="157"/>
      <c r="C16" s="157"/>
      <c r="D16" s="157"/>
    </row>
  </sheetData>
  <mergeCells count="7">
    <mergeCell ref="A1:D1"/>
    <mergeCell ref="A2:F2"/>
    <mergeCell ref="B3:E3"/>
    <mergeCell ref="A12:D12"/>
    <mergeCell ref="B13:E13"/>
    <mergeCell ref="A3:A4"/>
    <mergeCell ref="A13:A14"/>
  </mergeCells>
  <phoneticPr fontId="26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Views>
    <sheetView workbookViewId="0">
      <selection activeCell="F23" sqref="F23"/>
    </sheetView>
  </sheetViews>
  <sheetFormatPr defaultColWidth="9" defaultRowHeight="15" x14ac:dyDescent="0.25"/>
  <cols>
    <col min="1" max="1" width="18.875" style="1" customWidth="1"/>
    <col min="2" max="2" width="24.625" style="1" customWidth="1"/>
    <col min="3" max="6" width="18.875" style="1" customWidth="1"/>
    <col min="7" max="16384" width="9" style="1"/>
  </cols>
  <sheetData>
    <row r="1" spans="1:6" ht="19.5" x14ac:dyDescent="0.25">
      <c r="A1" s="175" t="s">
        <v>35</v>
      </c>
      <c r="B1" s="175"/>
      <c r="C1" s="175"/>
      <c r="D1" s="175"/>
      <c r="E1" s="175"/>
      <c r="F1" s="175"/>
    </row>
    <row r="2" spans="1:6" ht="15" customHeight="1" x14ac:dyDescent="0.25">
      <c r="A2" s="176" t="s">
        <v>36</v>
      </c>
      <c r="B2" s="176"/>
      <c r="C2" s="176"/>
      <c r="D2" s="176"/>
      <c r="E2" s="176"/>
      <c r="F2" s="176"/>
    </row>
    <row r="3" spans="1:6" ht="15.75" customHeight="1" x14ac:dyDescent="0.25">
      <c r="A3" s="177" t="s">
        <v>37</v>
      </c>
      <c r="B3" s="177"/>
      <c r="C3" s="177"/>
      <c r="D3" s="177"/>
      <c r="E3" s="177"/>
      <c r="F3" s="177"/>
    </row>
    <row r="4" spans="1:6" ht="14.45" customHeight="1" x14ac:dyDescent="0.25">
      <c r="A4" s="126" t="s">
        <v>38</v>
      </c>
      <c r="B4" s="127" t="s">
        <v>39</v>
      </c>
      <c r="C4" s="128" t="s">
        <v>40</v>
      </c>
      <c r="D4" s="129" t="s">
        <v>41</v>
      </c>
      <c r="E4" s="130" t="s">
        <v>42</v>
      </c>
    </row>
    <row r="5" spans="1:6" x14ac:dyDescent="0.25">
      <c r="A5" s="131" t="s">
        <v>31</v>
      </c>
      <c r="B5" s="132">
        <v>20240514</v>
      </c>
      <c r="C5" s="133">
        <v>437.46</v>
      </c>
      <c r="D5" s="133">
        <v>437.46</v>
      </c>
      <c r="E5" s="133">
        <v>0.98240000000000005</v>
      </c>
    </row>
    <row r="6" spans="1:6" x14ac:dyDescent="0.25">
      <c r="A6" s="178" t="s">
        <v>43</v>
      </c>
      <c r="B6" s="178"/>
      <c r="C6" s="178"/>
      <c r="D6" s="178"/>
      <c r="E6" s="178"/>
    </row>
    <row r="7" spans="1:6" x14ac:dyDescent="0.25">
      <c r="A7" s="179" t="s">
        <v>44</v>
      </c>
      <c r="B7" s="179"/>
      <c r="C7" s="179"/>
      <c r="D7" s="179"/>
      <c r="E7" s="179"/>
    </row>
    <row r="8" spans="1:6" x14ac:dyDescent="0.25">
      <c r="A8" s="134" t="s">
        <v>45</v>
      </c>
      <c r="B8" s="135" t="s">
        <v>46</v>
      </c>
      <c r="C8" s="136" t="s">
        <v>47</v>
      </c>
      <c r="D8" s="136" t="s">
        <v>48</v>
      </c>
      <c r="E8" s="137" t="s">
        <v>49</v>
      </c>
    </row>
    <row r="9" spans="1:6" x14ac:dyDescent="0.25">
      <c r="A9" s="138" t="s">
        <v>50</v>
      </c>
      <c r="B9" s="139" t="s">
        <v>51</v>
      </c>
      <c r="C9" s="139" t="s">
        <v>52</v>
      </c>
      <c r="D9" s="140" t="s">
        <v>53</v>
      </c>
      <c r="E9" s="141" t="s">
        <v>54</v>
      </c>
    </row>
    <row r="11" spans="1:6" x14ac:dyDescent="0.25">
      <c r="D11" s="142"/>
      <c r="E11" s="142"/>
    </row>
    <row r="12" spans="1:6" x14ac:dyDescent="0.25">
      <c r="D12" s="142"/>
      <c r="E12" s="142"/>
    </row>
  </sheetData>
  <mergeCells count="5">
    <mergeCell ref="A1:F1"/>
    <mergeCell ref="A2:F2"/>
    <mergeCell ref="A3:F3"/>
    <mergeCell ref="A6:E6"/>
    <mergeCell ref="A7:E7"/>
  </mergeCells>
  <phoneticPr fontId="26" type="noConversion"/>
  <conditionalFormatting sqref="A4">
    <cfRule type="duplicateValues" dxfId="1" priority="11"/>
  </conditionalFormatting>
  <conditionalFormatting sqref="A5">
    <cfRule type="duplicateValues" dxfId="0" priority="1"/>
  </conditionalFormatting>
  <pageMargins left="0.7" right="0.7" top="0.75" bottom="0.75" header="0.3" footer="0.3"/>
  <pageSetup paperSize="9" orientation="portrait" horizontalDpi="360" verticalDpi="36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4"/>
  <sheetViews>
    <sheetView zoomScale="105" zoomScaleNormal="105" workbookViewId="0">
      <selection activeCell="I24" sqref="I24"/>
    </sheetView>
  </sheetViews>
  <sheetFormatPr defaultColWidth="9" defaultRowHeight="15" x14ac:dyDescent="0.25"/>
  <cols>
    <col min="1" max="1" width="21.625" style="87" customWidth="1"/>
    <col min="2" max="2" width="8.625" style="87" customWidth="1"/>
    <col min="3" max="3" width="11.5" style="87" customWidth="1"/>
    <col min="4" max="4" width="11.375" style="87" customWidth="1"/>
    <col min="5" max="5" width="15.875" style="87" customWidth="1"/>
    <col min="6" max="6" width="6.625" style="87" customWidth="1"/>
    <col min="7" max="7" width="14.625" style="87" customWidth="1"/>
    <col min="8" max="8" width="15.375" style="87" customWidth="1"/>
    <col min="9" max="9" width="39.625" style="87" customWidth="1"/>
    <col min="10" max="10" width="23.625" style="87" customWidth="1"/>
    <col min="11" max="11" width="13.375" style="87" customWidth="1"/>
    <col min="12" max="16384" width="9" style="87"/>
  </cols>
  <sheetData>
    <row r="1" spans="1:11" ht="19.5" x14ac:dyDescent="0.25">
      <c r="A1" s="180" t="s">
        <v>55</v>
      </c>
      <c r="B1" s="180"/>
      <c r="C1" s="180"/>
      <c r="D1" s="180"/>
      <c r="E1" s="180"/>
      <c r="F1" s="180"/>
      <c r="G1" s="180"/>
      <c r="H1" s="180"/>
      <c r="I1" s="180"/>
      <c r="J1" s="180"/>
      <c r="K1" s="180"/>
    </row>
    <row r="2" spans="1:11" x14ac:dyDescent="0.25">
      <c r="A2" s="181" t="s">
        <v>56</v>
      </c>
      <c r="B2" s="181"/>
      <c r="C2" s="181"/>
      <c r="D2" s="181"/>
      <c r="E2" s="181"/>
      <c r="F2" s="181"/>
      <c r="G2" s="181"/>
      <c r="H2" s="181"/>
      <c r="I2" s="181"/>
      <c r="J2" s="181"/>
      <c r="K2" s="181"/>
    </row>
    <row r="3" spans="1:11" x14ac:dyDescent="0.25">
      <c r="A3" s="182" t="s">
        <v>57</v>
      </c>
      <c r="B3" s="182"/>
      <c r="C3" s="182"/>
      <c r="D3" s="182"/>
      <c r="E3" s="182"/>
      <c r="F3" s="182"/>
      <c r="G3" s="182"/>
      <c r="H3" s="182"/>
      <c r="I3" s="182"/>
      <c r="J3" s="182"/>
      <c r="K3" s="182"/>
    </row>
    <row r="4" spans="1:11" ht="42" customHeight="1" x14ac:dyDescent="0.25">
      <c r="A4" s="183" t="s">
        <v>58</v>
      </c>
      <c r="B4" s="183"/>
      <c r="C4" s="183"/>
      <c r="D4" s="183"/>
      <c r="E4" s="183"/>
      <c r="F4" s="183"/>
      <c r="G4" s="183"/>
      <c r="H4" s="183"/>
      <c r="I4" s="183"/>
      <c r="J4" s="183"/>
      <c r="K4" s="183"/>
    </row>
    <row r="5" spans="1:11" x14ac:dyDescent="0.25">
      <c r="A5" s="184" t="s">
        <v>59</v>
      </c>
      <c r="B5" s="184"/>
      <c r="C5" s="184"/>
      <c r="D5" s="184"/>
      <c r="E5" s="184"/>
      <c r="F5" s="184"/>
      <c r="G5" s="184"/>
      <c r="H5" s="89"/>
      <c r="I5" s="89"/>
      <c r="J5" s="89"/>
      <c r="K5" s="89"/>
    </row>
    <row r="6" spans="1:11" s="1" customFormat="1" ht="26.45" customHeight="1" x14ac:dyDescent="0.25">
      <c r="A6" s="90" t="s">
        <v>60</v>
      </c>
      <c r="B6" s="185" t="s">
        <v>61</v>
      </c>
      <c r="C6" s="185"/>
      <c r="D6" s="91" t="s">
        <v>62</v>
      </c>
      <c r="E6" s="185" t="s">
        <v>63</v>
      </c>
      <c r="F6" s="185"/>
      <c r="G6" s="92" t="s">
        <v>64</v>
      </c>
    </row>
    <row r="7" spans="1:11" s="1" customFormat="1" ht="13.9" customHeight="1" x14ac:dyDescent="0.25">
      <c r="A7" s="93" t="s">
        <v>65</v>
      </c>
      <c r="B7" s="186" t="s">
        <v>66</v>
      </c>
      <c r="C7" s="186"/>
      <c r="D7" s="94">
        <v>318.13</v>
      </c>
      <c r="E7" s="186" t="s">
        <v>67</v>
      </c>
      <c r="F7" s="186"/>
      <c r="G7" s="95">
        <v>10</v>
      </c>
    </row>
    <row r="8" spans="1:11" s="1" customFormat="1" ht="13.9" customHeight="1" x14ac:dyDescent="0.25">
      <c r="A8" s="93" t="s">
        <v>68</v>
      </c>
      <c r="B8" s="186" t="s">
        <v>69</v>
      </c>
      <c r="C8" s="186"/>
      <c r="D8" s="94">
        <v>370.3</v>
      </c>
      <c r="E8" s="186" t="s">
        <v>67</v>
      </c>
      <c r="F8" s="186"/>
      <c r="G8" s="95">
        <v>10</v>
      </c>
    </row>
    <row r="9" spans="1:11" s="1" customFormat="1" ht="13.9" customHeight="1" x14ac:dyDescent="0.25">
      <c r="A9" s="215" t="s">
        <v>70</v>
      </c>
      <c r="B9" s="187" t="s">
        <v>71</v>
      </c>
      <c r="C9" s="187"/>
      <c r="D9" s="96">
        <v>325.77</v>
      </c>
      <c r="E9" s="187" t="s">
        <v>72</v>
      </c>
      <c r="F9" s="187"/>
      <c r="G9" s="97">
        <v>2</v>
      </c>
    </row>
    <row r="10" spans="1:11" s="1" customFormat="1" ht="13.9" customHeight="1" x14ac:dyDescent="0.25">
      <c r="A10" s="216"/>
      <c r="B10" s="188" t="s">
        <v>73</v>
      </c>
      <c r="C10" s="188"/>
      <c r="D10" s="99">
        <v>412.6</v>
      </c>
      <c r="E10" s="188" t="s">
        <v>74</v>
      </c>
      <c r="F10" s="188"/>
      <c r="G10" s="100">
        <v>40</v>
      </c>
    </row>
    <row r="11" spans="1:11" s="1" customFormat="1" x14ac:dyDescent="0.25">
      <c r="A11" s="189" t="s">
        <v>75</v>
      </c>
      <c r="B11" s="189"/>
      <c r="C11" s="189"/>
      <c r="D11" s="189"/>
      <c r="E11" s="189"/>
      <c r="F11" s="189"/>
      <c r="G11" s="189"/>
      <c r="H11" s="189"/>
      <c r="I11" s="189"/>
      <c r="J11" s="189"/>
      <c r="K11" s="189"/>
    </row>
    <row r="12" spans="1:11" s="1" customFormat="1" ht="25.9" customHeight="1" x14ac:dyDescent="0.25">
      <c r="A12" s="183" t="s">
        <v>76</v>
      </c>
      <c r="B12" s="182"/>
      <c r="C12" s="182"/>
      <c r="D12" s="182"/>
      <c r="E12" s="182"/>
      <c r="F12" s="182"/>
      <c r="G12" s="182"/>
      <c r="H12" s="182"/>
      <c r="I12" s="182"/>
      <c r="J12" s="182"/>
      <c r="K12" s="182"/>
    </row>
    <row r="13" spans="1:11" s="1" customFormat="1" x14ac:dyDescent="0.25">
      <c r="A13" s="182" t="s">
        <v>77</v>
      </c>
      <c r="B13" s="182"/>
      <c r="C13" s="182"/>
      <c r="D13" s="182"/>
      <c r="E13" s="182"/>
      <c r="F13" s="182"/>
      <c r="G13" s="182"/>
      <c r="H13" s="182"/>
      <c r="I13" s="182"/>
      <c r="J13" s="182"/>
      <c r="K13" s="182"/>
    </row>
    <row r="14" spans="1:11" s="1" customFormat="1" ht="18" customHeight="1" x14ac:dyDescent="0.25">
      <c r="A14" s="183" t="s">
        <v>78</v>
      </c>
      <c r="B14" s="183"/>
      <c r="C14" s="183"/>
      <c r="D14" s="183"/>
      <c r="E14" s="183"/>
      <c r="F14" s="183"/>
      <c r="G14" s="183"/>
      <c r="H14" s="183"/>
      <c r="I14" s="183"/>
      <c r="J14" s="183"/>
      <c r="K14" s="183"/>
    </row>
    <row r="15" spans="1:11" s="1" customFormat="1" x14ac:dyDescent="0.25">
      <c r="A15" s="190" t="s">
        <v>79</v>
      </c>
      <c r="B15" s="190"/>
      <c r="C15" s="190"/>
      <c r="D15" s="190"/>
      <c r="E15" s="190"/>
      <c r="F15" s="190"/>
      <c r="G15" s="190"/>
      <c r="H15" s="101"/>
      <c r="I15" s="101"/>
      <c r="J15" s="87"/>
      <c r="K15" s="87"/>
    </row>
    <row r="16" spans="1:11" s="1" customFormat="1" ht="34.9" customHeight="1" x14ac:dyDescent="0.25">
      <c r="A16" s="102" t="s">
        <v>60</v>
      </c>
      <c r="B16" s="171" t="s">
        <v>80</v>
      </c>
      <c r="C16" s="171"/>
      <c r="D16" s="103" t="s">
        <v>81</v>
      </c>
      <c r="E16" s="171" t="s">
        <v>63</v>
      </c>
      <c r="F16" s="171"/>
      <c r="G16" s="104" t="s">
        <v>82</v>
      </c>
      <c r="H16" s="105"/>
      <c r="I16" s="105"/>
      <c r="J16" s="87"/>
      <c r="K16" s="87"/>
    </row>
    <row r="17" spans="1:11" s="1" customFormat="1" x14ac:dyDescent="0.25">
      <c r="A17" s="106" t="s">
        <v>65</v>
      </c>
      <c r="B17" s="191" t="s">
        <v>27</v>
      </c>
      <c r="C17" s="191"/>
      <c r="D17" s="96">
        <v>314.39999999999998</v>
      </c>
      <c r="E17" s="191" t="s">
        <v>83</v>
      </c>
      <c r="F17" s="191"/>
      <c r="G17" s="97">
        <v>3</v>
      </c>
      <c r="H17" s="105"/>
      <c r="I17" s="105"/>
      <c r="J17" s="87"/>
      <c r="K17" s="87"/>
    </row>
    <row r="18" spans="1:11" x14ac:dyDescent="0.25">
      <c r="A18" s="106" t="s">
        <v>68</v>
      </c>
      <c r="B18" s="191" t="s">
        <v>29</v>
      </c>
      <c r="C18" s="191"/>
      <c r="D18" s="96">
        <v>324.39999999999998</v>
      </c>
      <c r="E18" s="191" t="s">
        <v>83</v>
      </c>
      <c r="F18" s="191"/>
      <c r="G18" s="97">
        <v>3</v>
      </c>
      <c r="H18" s="105"/>
      <c r="I18" s="105"/>
    </row>
    <row r="19" spans="1:11" x14ac:dyDescent="0.25">
      <c r="A19" s="107" t="s">
        <v>70</v>
      </c>
      <c r="B19" s="192" t="s">
        <v>30</v>
      </c>
      <c r="C19" s="192"/>
      <c r="D19" s="99">
        <v>531.4</v>
      </c>
      <c r="E19" s="192" t="s">
        <v>83</v>
      </c>
      <c r="F19" s="192"/>
      <c r="G19" s="100">
        <v>3</v>
      </c>
      <c r="H19" s="105"/>
      <c r="I19" s="105"/>
    </row>
    <row r="20" spans="1:11" x14ac:dyDescent="0.25">
      <c r="A20" s="181" t="s">
        <v>84</v>
      </c>
      <c r="B20" s="181"/>
      <c r="C20" s="181"/>
      <c r="D20" s="181"/>
      <c r="E20" s="181"/>
      <c r="F20" s="181"/>
      <c r="G20" s="181"/>
      <c r="H20" s="181"/>
      <c r="I20" s="181"/>
      <c r="J20" s="181"/>
      <c r="K20" s="181"/>
    </row>
    <row r="21" spans="1:11" x14ac:dyDescent="0.25">
      <c r="A21" s="182" t="s">
        <v>85</v>
      </c>
      <c r="B21" s="182"/>
      <c r="C21" s="182"/>
      <c r="D21" s="182"/>
      <c r="E21" s="182"/>
      <c r="F21" s="182"/>
      <c r="G21" s="182"/>
      <c r="H21" s="182"/>
      <c r="I21" s="182"/>
      <c r="J21" s="182"/>
      <c r="K21" s="182"/>
    </row>
    <row r="22" spans="1:11" x14ac:dyDescent="0.25">
      <c r="A22" s="182" t="s">
        <v>86</v>
      </c>
      <c r="B22" s="182"/>
      <c r="C22" s="182"/>
      <c r="D22" s="182"/>
      <c r="E22" s="182"/>
      <c r="F22" s="182"/>
      <c r="G22" s="182"/>
      <c r="H22" s="182"/>
      <c r="I22" s="182"/>
      <c r="J22" s="182"/>
      <c r="K22" s="182"/>
    </row>
    <row r="23" spans="1:11" ht="18" customHeight="1" x14ac:dyDescent="0.25">
      <c r="A23" s="193" t="s">
        <v>87</v>
      </c>
      <c r="B23" s="193"/>
      <c r="C23" s="193"/>
      <c r="D23" s="193"/>
      <c r="E23" s="193"/>
      <c r="F23" s="193"/>
      <c r="G23" s="194"/>
      <c r="H23" s="194"/>
      <c r="I23" s="88"/>
      <c r="J23" s="88"/>
      <c r="K23" s="88"/>
    </row>
    <row r="24" spans="1:11" x14ac:dyDescent="0.25">
      <c r="A24" s="173" t="s">
        <v>88</v>
      </c>
      <c r="B24" s="171"/>
      <c r="C24" s="171" t="s">
        <v>89</v>
      </c>
      <c r="D24" s="171"/>
      <c r="E24" s="171" t="s">
        <v>90</v>
      </c>
      <c r="F24" s="172"/>
      <c r="G24" s="108"/>
      <c r="H24" s="108"/>
      <c r="I24" s="88"/>
    </row>
    <row r="25" spans="1:11" x14ac:dyDescent="0.25">
      <c r="A25" s="195" t="s">
        <v>91</v>
      </c>
      <c r="B25" s="186"/>
      <c r="C25" s="186" t="s">
        <v>92</v>
      </c>
      <c r="D25" s="186"/>
      <c r="E25" s="186" t="s">
        <v>93</v>
      </c>
      <c r="F25" s="196"/>
      <c r="G25" s="109"/>
      <c r="H25" s="109"/>
      <c r="I25" s="110"/>
      <c r="J25" s="122"/>
      <c r="K25" s="122"/>
    </row>
    <row r="26" spans="1:11" x14ac:dyDescent="0.25">
      <c r="A26" s="195" t="s">
        <v>94</v>
      </c>
      <c r="B26" s="186"/>
      <c r="C26" s="186" t="s">
        <v>95</v>
      </c>
      <c r="D26" s="186"/>
      <c r="E26" s="186" t="s">
        <v>95</v>
      </c>
      <c r="F26" s="196"/>
      <c r="G26" s="109"/>
      <c r="H26" s="109"/>
      <c r="I26" s="110"/>
      <c r="J26" s="122"/>
      <c r="K26" s="122"/>
    </row>
    <row r="27" spans="1:11" x14ac:dyDescent="0.25">
      <c r="A27" s="197" t="s">
        <v>61</v>
      </c>
      <c r="B27" s="198"/>
      <c r="C27" s="198" t="s">
        <v>28</v>
      </c>
      <c r="D27" s="198"/>
      <c r="E27" s="198" t="s">
        <v>28</v>
      </c>
      <c r="F27" s="199"/>
      <c r="G27" s="109"/>
      <c r="H27" s="109"/>
      <c r="I27" s="110"/>
      <c r="J27" s="122"/>
      <c r="K27" s="122"/>
    </row>
    <row r="28" spans="1:11" x14ac:dyDescent="0.25">
      <c r="A28" s="200" t="s">
        <v>96</v>
      </c>
      <c r="B28" s="200"/>
      <c r="C28" s="200"/>
      <c r="D28" s="200"/>
      <c r="E28" s="200"/>
      <c r="F28" s="200"/>
      <c r="G28" s="200"/>
      <c r="H28" s="200"/>
      <c r="I28" s="200"/>
      <c r="J28" s="200"/>
      <c r="K28" s="200"/>
    </row>
    <row r="29" spans="1:11" ht="36" customHeight="1" x14ac:dyDescent="0.25">
      <c r="A29" s="201" t="s">
        <v>97</v>
      </c>
      <c r="B29" s="201"/>
      <c r="C29" s="201"/>
      <c r="D29" s="201"/>
      <c r="E29" s="201"/>
      <c r="F29" s="201"/>
      <c r="G29" s="201"/>
      <c r="H29" s="201"/>
      <c r="I29" s="201"/>
      <c r="J29" s="201"/>
      <c r="K29" s="201"/>
    </row>
    <row r="30" spans="1:11" x14ac:dyDescent="0.25">
      <c r="A30" s="202" t="s">
        <v>98</v>
      </c>
      <c r="B30" s="202"/>
      <c r="C30" s="202"/>
      <c r="D30" s="202"/>
      <c r="E30" s="111"/>
      <c r="F30" s="111"/>
      <c r="G30" s="111"/>
      <c r="H30" s="111"/>
      <c r="I30" s="111"/>
      <c r="J30" s="111"/>
      <c r="K30" s="111"/>
    </row>
    <row r="31" spans="1:11" x14ac:dyDescent="0.25">
      <c r="A31" s="223" t="s">
        <v>99</v>
      </c>
      <c r="B31" s="224"/>
      <c r="C31" s="224" t="s">
        <v>100</v>
      </c>
      <c r="D31" s="227"/>
      <c r="E31" s="1"/>
      <c r="F31" s="1"/>
      <c r="G31" s="1"/>
      <c r="H31" s="1"/>
      <c r="I31" s="1"/>
      <c r="J31" s="1"/>
      <c r="K31" s="1"/>
    </row>
    <row r="32" spans="1:11" x14ac:dyDescent="0.25">
      <c r="A32" s="225"/>
      <c r="B32" s="226"/>
      <c r="C32" s="226"/>
      <c r="D32" s="228"/>
      <c r="E32" s="1"/>
      <c r="F32" s="1"/>
      <c r="G32" s="1"/>
      <c r="H32" s="1"/>
      <c r="I32" s="1"/>
      <c r="J32" s="1"/>
      <c r="K32" s="1"/>
    </row>
    <row r="33" spans="1:11" x14ac:dyDescent="0.25">
      <c r="A33" s="203">
        <v>10</v>
      </c>
      <c r="B33" s="204"/>
      <c r="C33" s="205">
        <v>10</v>
      </c>
      <c r="D33" s="206"/>
      <c r="E33" s="1"/>
      <c r="F33" s="1"/>
      <c r="G33" s="1"/>
      <c r="H33" s="1"/>
      <c r="I33" s="1"/>
      <c r="J33" s="1"/>
      <c r="K33" s="1"/>
    </row>
    <row r="34" spans="1:11" x14ac:dyDescent="0.25">
      <c r="A34" s="112"/>
      <c r="B34" s="112"/>
      <c r="C34" s="112"/>
      <c r="D34" s="112"/>
      <c r="E34" s="112"/>
      <c r="F34" s="112"/>
      <c r="G34" s="112"/>
      <c r="H34" s="112"/>
      <c r="I34" s="112"/>
      <c r="J34" s="112"/>
      <c r="K34" s="112"/>
    </row>
    <row r="35" spans="1:11" x14ac:dyDescent="0.25">
      <c r="A35" s="207" t="s">
        <v>101</v>
      </c>
      <c r="B35" s="207"/>
      <c r="C35" s="207"/>
      <c r="D35" s="207"/>
      <c r="E35" s="207"/>
      <c r="F35" s="207"/>
      <c r="G35" s="207"/>
      <c r="H35" s="207"/>
      <c r="I35" s="207"/>
      <c r="J35" s="207"/>
      <c r="K35" s="207"/>
    </row>
    <row r="36" spans="1:11" ht="48" customHeight="1" x14ac:dyDescent="0.25">
      <c r="A36" s="208" t="s">
        <v>102</v>
      </c>
      <c r="B36" s="208"/>
      <c r="C36" s="208"/>
      <c r="D36" s="208"/>
      <c r="E36" s="208"/>
      <c r="F36" s="208"/>
      <c r="G36" s="208"/>
      <c r="H36" s="208"/>
      <c r="I36" s="208"/>
      <c r="J36" s="208"/>
      <c r="K36" s="208"/>
    </row>
    <row r="37" spans="1:11" x14ac:dyDescent="0.25">
      <c r="A37" s="209" t="s">
        <v>103</v>
      </c>
      <c r="B37" s="209"/>
      <c r="C37" s="209"/>
      <c r="D37" s="209"/>
      <c r="E37" s="209"/>
      <c r="F37" s="209"/>
      <c r="G37" s="209"/>
      <c r="H37" s="209"/>
      <c r="I37" s="209"/>
      <c r="J37" s="123"/>
      <c r="K37" s="123"/>
    </row>
    <row r="38" spans="1:11" x14ac:dyDescent="0.25">
      <c r="A38" s="219" t="s">
        <v>60</v>
      </c>
      <c r="B38" s="185"/>
      <c r="C38" s="185" t="s">
        <v>61</v>
      </c>
      <c r="D38" s="185"/>
      <c r="E38" s="185" t="s">
        <v>104</v>
      </c>
      <c r="F38" s="185"/>
      <c r="G38" s="185" t="s">
        <v>80</v>
      </c>
      <c r="H38" s="185"/>
      <c r="I38" s="217" t="s">
        <v>105</v>
      </c>
      <c r="J38" s="122"/>
      <c r="K38" s="122"/>
    </row>
    <row r="39" spans="1:11" x14ac:dyDescent="0.25">
      <c r="A39" s="220"/>
      <c r="B39" s="221"/>
      <c r="C39" s="221"/>
      <c r="D39" s="221"/>
      <c r="E39" s="222"/>
      <c r="F39" s="222"/>
      <c r="G39" s="221"/>
      <c r="H39" s="221"/>
      <c r="I39" s="218"/>
      <c r="J39" s="122"/>
      <c r="K39" s="122"/>
    </row>
    <row r="40" spans="1:11" x14ac:dyDescent="0.25">
      <c r="A40" s="195" t="s">
        <v>65</v>
      </c>
      <c r="B40" s="186"/>
      <c r="C40" s="186" t="s">
        <v>66</v>
      </c>
      <c r="D40" s="186"/>
      <c r="E40" s="186" t="s">
        <v>106</v>
      </c>
      <c r="F40" s="186"/>
      <c r="G40" s="186" t="s">
        <v>107</v>
      </c>
      <c r="H40" s="186"/>
      <c r="I40" s="124" t="s">
        <v>108</v>
      </c>
      <c r="J40" s="122"/>
      <c r="K40" s="122"/>
    </row>
    <row r="41" spans="1:11" x14ac:dyDescent="0.25">
      <c r="A41" s="195" t="s">
        <v>68</v>
      </c>
      <c r="B41" s="186"/>
      <c r="C41" s="186" t="s">
        <v>69</v>
      </c>
      <c r="D41" s="186"/>
      <c r="E41" s="186"/>
      <c r="F41" s="186"/>
      <c r="G41" s="186" t="s">
        <v>109</v>
      </c>
      <c r="H41" s="186"/>
      <c r="I41" s="124" t="s">
        <v>110</v>
      </c>
      <c r="J41" s="122"/>
      <c r="K41" s="122"/>
    </row>
    <row r="42" spans="1:11" x14ac:dyDescent="0.25">
      <c r="A42" s="210" t="s">
        <v>70</v>
      </c>
      <c r="B42" s="211"/>
      <c r="C42" s="186" t="s">
        <v>71</v>
      </c>
      <c r="D42" s="186"/>
      <c r="E42" s="186"/>
      <c r="F42" s="186"/>
      <c r="G42" s="212" t="s">
        <v>111</v>
      </c>
      <c r="H42" s="211"/>
      <c r="I42" s="124" t="s">
        <v>112</v>
      </c>
      <c r="J42" s="122"/>
      <c r="K42" s="122"/>
    </row>
    <row r="43" spans="1:11" s="1" customFormat="1" x14ac:dyDescent="0.25">
      <c r="A43" s="197" t="s">
        <v>70</v>
      </c>
      <c r="B43" s="198"/>
      <c r="C43" s="198" t="s">
        <v>73</v>
      </c>
      <c r="D43" s="198"/>
      <c r="E43" s="198"/>
      <c r="F43" s="198"/>
      <c r="G43" s="198" t="s">
        <v>111</v>
      </c>
      <c r="H43" s="198"/>
      <c r="I43" s="125" t="s">
        <v>113</v>
      </c>
      <c r="J43" s="122"/>
      <c r="K43" s="122"/>
    </row>
    <row r="44" spans="1:11" x14ac:dyDescent="0.25">
      <c r="A44" s="182" t="s">
        <v>114</v>
      </c>
      <c r="B44" s="182"/>
      <c r="C44" s="182"/>
      <c r="D44" s="182"/>
      <c r="E44" s="182"/>
      <c r="F44" s="182"/>
      <c r="G44" s="182"/>
      <c r="H44" s="182"/>
      <c r="I44" s="182"/>
      <c r="J44" s="182"/>
      <c r="K44" s="182"/>
    </row>
    <row r="45" spans="1:11" ht="36.75" customHeight="1" x14ac:dyDescent="0.25">
      <c r="A45" s="183" t="s">
        <v>115</v>
      </c>
      <c r="B45" s="183"/>
      <c r="C45" s="183"/>
      <c r="D45" s="183"/>
      <c r="E45" s="183"/>
      <c r="F45" s="183"/>
      <c r="G45" s="183"/>
      <c r="H45" s="183"/>
      <c r="I45" s="183"/>
      <c r="J45" s="183"/>
      <c r="K45" s="183"/>
    </row>
    <row r="46" spans="1:11" x14ac:dyDescent="0.25">
      <c r="A46" s="181" t="s">
        <v>116</v>
      </c>
      <c r="B46" s="181"/>
      <c r="C46" s="181"/>
      <c r="D46" s="181"/>
      <c r="E46" s="181"/>
      <c r="F46" s="181"/>
      <c r="G46" s="181"/>
      <c r="H46" s="181"/>
      <c r="I46" s="181"/>
      <c r="J46" s="181"/>
      <c r="K46" s="181"/>
    </row>
    <row r="47" spans="1:11" x14ac:dyDescent="0.25">
      <c r="A47" s="183" t="s">
        <v>117</v>
      </c>
      <c r="B47" s="183"/>
      <c r="C47" s="183"/>
      <c r="D47" s="183"/>
      <c r="E47" s="183"/>
      <c r="F47" s="183"/>
      <c r="G47" s="183"/>
      <c r="H47" s="183"/>
      <c r="I47" s="183"/>
      <c r="J47" s="183"/>
      <c r="K47" s="183"/>
    </row>
    <row r="48" spans="1:11" ht="56.25" customHeight="1" x14ac:dyDescent="0.25">
      <c r="A48" s="213" t="s">
        <v>118</v>
      </c>
      <c r="B48" s="213"/>
      <c r="C48" s="213"/>
      <c r="D48" s="213"/>
      <c r="E48" s="213"/>
      <c r="F48" s="213"/>
      <c r="G48" s="213"/>
      <c r="H48" s="213"/>
      <c r="I48" s="213"/>
      <c r="J48" s="213"/>
      <c r="K48" s="213"/>
    </row>
    <row r="49" spans="1:11" x14ac:dyDescent="0.25">
      <c r="A49" s="182" t="s">
        <v>119</v>
      </c>
      <c r="B49" s="182"/>
      <c r="C49" s="182"/>
      <c r="D49" s="182"/>
      <c r="E49" s="182"/>
      <c r="F49" s="182"/>
      <c r="G49" s="182"/>
      <c r="H49" s="182"/>
      <c r="I49" s="182"/>
      <c r="J49" s="182"/>
      <c r="K49" s="182"/>
    </row>
    <row r="50" spans="1:11" ht="16.5" x14ac:dyDescent="0.25">
      <c r="A50" s="214" t="s">
        <v>120</v>
      </c>
      <c r="B50" s="214"/>
      <c r="C50" s="214"/>
      <c r="D50" s="214"/>
      <c r="E50" s="214"/>
      <c r="F50" s="214"/>
      <c r="G50" s="214"/>
      <c r="H50" s="214"/>
      <c r="I50" s="214"/>
      <c r="J50" s="214"/>
      <c r="K50" s="214"/>
    </row>
    <row r="51" spans="1:11" ht="16.5" x14ac:dyDescent="0.25">
      <c r="A51" s="214" t="s">
        <v>121</v>
      </c>
      <c r="B51" s="214"/>
      <c r="C51" s="214"/>
      <c r="D51" s="214"/>
      <c r="E51" s="214"/>
      <c r="F51" s="214"/>
      <c r="G51" s="214"/>
      <c r="H51" s="214"/>
      <c r="I51" s="214"/>
      <c r="J51" s="214"/>
      <c r="K51" s="214"/>
    </row>
    <row r="53" spans="1:11" x14ac:dyDescent="0.25">
      <c r="A53" s="114" t="s">
        <v>122</v>
      </c>
      <c r="B53" s="115"/>
      <c r="C53" s="115"/>
      <c r="D53" s="116"/>
      <c r="E53" s="116"/>
      <c r="F53" s="116"/>
      <c r="G53" s="117"/>
    </row>
    <row r="54" spans="1:11" x14ac:dyDescent="0.25">
      <c r="A54" s="116" t="s">
        <v>123</v>
      </c>
      <c r="B54" s="118"/>
      <c r="C54" s="119"/>
      <c r="D54" s="30"/>
      <c r="E54" s="30"/>
      <c r="F54" s="30"/>
      <c r="G54" s="116"/>
    </row>
    <row r="55" spans="1:11" x14ac:dyDescent="0.25">
      <c r="A55" s="120"/>
      <c r="B55" s="121"/>
      <c r="C55" s="121"/>
      <c r="D55" s="121"/>
      <c r="E55" s="121"/>
      <c r="F55" s="121"/>
      <c r="G55" s="121"/>
    </row>
    <row r="56" spans="1:11" x14ac:dyDescent="0.25">
      <c r="A56" s="120"/>
      <c r="B56" s="121"/>
      <c r="C56" s="121"/>
      <c r="D56" s="121"/>
      <c r="E56" s="121"/>
      <c r="F56" s="121"/>
      <c r="G56" s="121"/>
    </row>
    <row r="57" spans="1:11" x14ac:dyDescent="0.25">
      <c r="A57" s="120"/>
      <c r="B57" s="121"/>
      <c r="C57" s="121"/>
      <c r="D57" s="121"/>
      <c r="E57" s="121"/>
      <c r="F57" s="121"/>
      <c r="G57" s="121"/>
    </row>
    <row r="58" spans="1:11" x14ac:dyDescent="0.25">
      <c r="A58" s="120"/>
      <c r="B58" s="121"/>
      <c r="C58" s="121"/>
      <c r="D58" s="121"/>
      <c r="E58" s="121"/>
      <c r="F58" s="121"/>
      <c r="G58" s="121"/>
    </row>
    <row r="59" spans="1:11" x14ac:dyDescent="0.25">
      <c r="A59" s="116"/>
      <c r="B59" s="116"/>
      <c r="C59" s="116"/>
      <c r="D59" s="116"/>
      <c r="E59" s="116"/>
      <c r="F59" s="116"/>
      <c r="G59" s="116"/>
    </row>
    <row r="60" spans="1:11" x14ac:dyDescent="0.25">
      <c r="A60" s="120"/>
      <c r="B60" s="121"/>
      <c r="C60" s="121"/>
      <c r="D60" s="121"/>
      <c r="E60" s="121"/>
      <c r="F60" s="121"/>
      <c r="G60" s="121"/>
    </row>
    <row r="61" spans="1:11" x14ac:dyDescent="0.25">
      <c r="A61" s="120"/>
      <c r="B61" s="121"/>
      <c r="C61" s="121"/>
      <c r="D61" s="121"/>
      <c r="E61" s="121"/>
      <c r="F61" s="121"/>
      <c r="G61" s="121"/>
    </row>
    <row r="62" spans="1:11" x14ac:dyDescent="0.25">
      <c r="A62" s="120"/>
      <c r="B62" s="121"/>
      <c r="C62" s="121"/>
      <c r="D62" s="121"/>
      <c r="E62" s="121"/>
      <c r="F62" s="121"/>
      <c r="G62" s="121"/>
    </row>
    <row r="63" spans="1:11" x14ac:dyDescent="0.25">
      <c r="A63" s="120"/>
      <c r="B63" s="121"/>
      <c r="C63" s="121"/>
      <c r="D63" s="121"/>
      <c r="E63" s="121"/>
      <c r="F63" s="121"/>
      <c r="G63" s="121"/>
    </row>
    <row r="64" spans="1:11" x14ac:dyDescent="0.25">
      <c r="A64" s="116"/>
      <c r="B64" s="116"/>
      <c r="C64" s="116"/>
      <c r="D64" s="116"/>
      <c r="E64" s="116"/>
      <c r="F64" s="116"/>
      <c r="G64" s="116"/>
    </row>
  </sheetData>
  <mergeCells count="81">
    <mergeCell ref="A49:K49"/>
    <mergeCell ref="A50:K50"/>
    <mergeCell ref="A51:K51"/>
    <mergeCell ref="A9:A10"/>
    <mergeCell ref="I38:I39"/>
    <mergeCell ref="A38:B39"/>
    <mergeCell ref="C38:D39"/>
    <mergeCell ref="E38:F39"/>
    <mergeCell ref="G38:H39"/>
    <mergeCell ref="A31:B32"/>
    <mergeCell ref="C31:D32"/>
    <mergeCell ref="E40:F43"/>
    <mergeCell ref="A44:K44"/>
    <mergeCell ref="A45:K45"/>
    <mergeCell ref="A46:K46"/>
    <mergeCell ref="A47:K47"/>
    <mergeCell ref="A48:K48"/>
    <mergeCell ref="A42:B42"/>
    <mergeCell ref="C42:D42"/>
    <mergeCell ref="G42:H42"/>
    <mergeCell ref="A43:B43"/>
    <mergeCell ref="C43:D43"/>
    <mergeCell ref="G43:H43"/>
    <mergeCell ref="A37:I37"/>
    <mergeCell ref="A40:B40"/>
    <mergeCell ref="C40:D40"/>
    <mergeCell ref="G40:H40"/>
    <mergeCell ref="A41:B41"/>
    <mergeCell ref="C41:D41"/>
    <mergeCell ref="G41:H41"/>
    <mergeCell ref="A30:D30"/>
    <mergeCell ref="A33:B33"/>
    <mergeCell ref="C33:D33"/>
    <mergeCell ref="A35:K35"/>
    <mergeCell ref="A36:K36"/>
    <mergeCell ref="A27:B27"/>
    <mergeCell ref="C27:D27"/>
    <mergeCell ref="E27:F27"/>
    <mergeCell ref="A28:K28"/>
    <mergeCell ref="A29:K29"/>
    <mergeCell ref="A25:B25"/>
    <mergeCell ref="C25:D25"/>
    <mergeCell ref="E25:F25"/>
    <mergeCell ref="A26:B26"/>
    <mergeCell ref="C26:D26"/>
    <mergeCell ref="E26:F26"/>
    <mergeCell ref="A20:K20"/>
    <mergeCell ref="A21:K21"/>
    <mergeCell ref="A22:K22"/>
    <mergeCell ref="A23:H23"/>
    <mergeCell ref="A24:B24"/>
    <mergeCell ref="C24:D24"/>
    <mergeCell ref="E24:F24"/>
    <mergeCell ref="B17:C17"/>
    <mergeCell ref="E17:F17"/>
    <mergeCell ref="B18:C18"/>
    <mergeCell ref="E18:F18"/>
    <mergeCell ref="B19:C19"/>
    <mergeCell ref="E19:F19"/>
    <mergeCell ref="A12:K12"/>
    <mergeCell ref="A13:K13"/>
    <mergeCell ref="A14:K14"/>
    <mergeCell ref="A15:G15"/>
    <mergeCell ref="B16:C16"/>
    <mergeCell ref="E16:F16"/>
    <mergeCell ref="B9:C9"/>
    <mergeCell ref="E9:F9"/>
    <mergeCell ref="B10:C10"/>
    <mergeCell ref="E10:F10"/>
    <mergeCell ref="A11:K11"/>
    <mergeCell ref="B6:C6"/>
    <mergeCell ref="E6:F6"/>
    <mergeCell ref="B7:C7"/>
    <mergeCell ref="E7:F7"/>
    <mergeCell ref="B8:C8"/>
    <mergeCell ref="E8:F8"/>
    <mergeCell ref="A1:K1"/>
    <mergeCell ref="A2:K2"/>
    <mergeCell ref="A3:K3"/>
    <mergeCell ref="A4:K4"/>
    <mergeCell ref="A5:G5"/>
  </mergeCells>
  <phoneticPr fontId="26" type="noConversion"/>
  <pageMargins left="0.7" right="0.7" top="0.75" bottom="0.75" header="0.3" footer="0.3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35"/>
  <sheetViews>
    <sheetView topLeftCell="A100" workbookViewId="0">
      <selection activeCell="I39" sqref="I39"/>
    </sheetView>
  </sheetViews>
  <sheetFormatPr defaultColWidth="8.875" defaultRowHeight="15" x14ac:dyDescent="0.25"/>
  <cols>
    <col min="1" max="1" width="32.375" style="30" customWidth="1"/>
    <col min="2" max="2" width="12.75" style="30" customWidth="1"/>
    <col min="3" max="3" width="24.625" style="32" customWidth="1"/>
    <col min="4" max="4" width="11" style="30" customWidth="1"/>
    <col min="5" max="5" width="15.125" style="30" customWidth="1"/>
    <col min="6" max="6" width="16.75" style="30" customWidth="1"/>
    <col min="7" max="7" width="9.75" style="30" customWidth="1"/>
    <col min="8" max="8" width="8.875" style="30"/>
    <col min="9" max="9" width="9" style="30"/>
    <col min="10" max="10" width="9" style="30" customWidth="1"/>
    <col min="11" max="11" width="11.5" style="30" customWidth="1"/>
    <col min="12" max="12" width="11.375" style="33" customWidth="1"/>
    <col min="13" max="13" width="9" style="30" customWidth="1"/>
    <col min="14" max="14" width="16.625" style="34" customWidth="1"/>
    <col min="15" max="15" width="10.625" style="30" customWidth="1"/>
    <col min="16" max="16" width="18" style="30" customWidth="1"/>
    <col min="17" max="17" width="11.125" style="30" customWidth="1"/>
    <col min="18" max="18" width="15.875" style="30" customWidth="1"/>
    <col min="19" max="16384" width="8.875" style="30"/>
  </cols>
  <sheetData>
    <row r="1" spans="1:16" x14ac:dyDescent="0.25">
      <c r="A1" s="35"/>
      <c r="B1" s="36"/>
      <c r="C1" s="35"/>
      <c r="D1" s="35"/>
      <c r="E1" s="35"/>
      <c r="F1" s="37"/>
      <c r="H1" s="38"/>
      <c r="I1" s="60"/>
      <c r="M1" s="61"/>
    </row>
    <row r="2" spans="1:16" x14ac:dyDescent="0.25">
      <c r="A2" s="39" t="s">
        <v>124</v>
      </c>
      <c r="B2" s="40"/>
      <c r="I2" s="60"/>
    </row>
    <row r="3" spans="1:16" x14ac:dyDescent="0.25">
      <c r="B3" s="40"/>
      <c r="I3" s="60"/>
      <c r="N3" s="30"/>
    </row>
    <row r="4" spans="1:16" ht="29.45" customHeight="1" x14ac:dyDescent="0.25">
      <c r="A4" s="229" t="s">
        <v>125</v>
      </c>
      <c r="B4" s="233" t="s">
        <v>126</v>
      </c>
      <c r="C4" s="41" t="s">
        <v>108</v>
      </c>
      <c r="D4" s="237" t="s">
        <v>127</v>
      </c>
      <c r="E4" s="245" t="s">
        <v>128</v>
      </c>
      <c r="F4" s="248" t="s">
        <v>34</v>
      </c>
      <c r="I4" s="60"/>
      <c r="N4" s="30"/>
    </row>
    <row r="5" spans="1:16" x14ac:dyDescent="0.25">
      <c r="A5" s="230"/>
      <c r="B5" s="234"/>
      <c r="C5" s="42" t="s">
        <v>129</v>
      </c>
      <c r="D5" s="238"/>
      <c r="E5" s="246"/>
      <c r="F5" s="249"/>
      <c r="G5" s="43"/>
      <c r="I5" s="60"/>
      <c r="N5" s="30"/>
    </row>
    <row r="6" spans="1:16" ht="16.5" x14ac:dyDescent="0.25">
      <c r="A6" s="231" t="s">
        <v>31</v>
      </c>
      <c r="B6" s="235" t="s">
        <v>130</v>
      </c>
      <c r="C6" s="44">
        <v>3.7400000000000003E-2</v>
      </c>
      <c r="D6" s="239">
        <f>AVERAGE(C6:C7)</f>
        <v>3.8850000000000003E-2</v>
      </c>
      <c r="E6" s="247">
        <f>D6/D10*100</f>
        <v>96.762141967621403</v>
      </c>
      <c r="F6" s="250">
        <f>100-E6</f>
        <v>3.2378580323785799</v>
      </c>
      <c r="G6" s="43"/>
      <c r="H6" s="45" t="s">
        <v>131</v>
      </c>
      <c r="I6" s="62">
        <v>10</v>
      </c>
      <c r="J6" s="38" t="s">
        <v>132</v>
      </c>
      <c r="N6" s="30"/>
    </row>
    <row r="7" spans="1:16" x14ac:dyDescent="0.25">
      <c r="A7" s="231"/>
      <c r="B7" s="235"/>
      <c r="C7" s="44">
        <v>4.0300000000000002E-2</v>
      </c>
      <c r="D7" s="239"/>
      <c r="E7" s="247"/>
      <c r="F7" s="250"/>
      <c r="G7" s="46"/>
      <c r="I7" s="60"/>
      <c r="K7" s="63"/>
      <c r="L7" s="64"/>
      <c r="M7" s="65"/>
      <c r="N7" s="63"/>
      <c r="O7" s="66"/>
    </row>
    <row r="8" spans="1:16" ht="16.5" x14ac:dyDescent="0.25">
      <c r="A8" s="231" t="s">
        <v>27</v>
      </c>
      <c r="B8" s="235" t="s">
        <v>133</v>
      </c>
      <c r="C8" s="47">
        <v>8.0000000000000002E-3</v>
      </c>
      <c r="D8" s="240">
        <f>AVERAGE(C8:C9)</f>
        <v>8.005E-3</v>
      </c>
      <c r="E8" s="247">
        <f>D8/D10*100</f>
        <v>19.937733499377298</v>
      </c>
      <c r="F8" s="250">
        <f t="shared" ref="F8:F10" si="0">100-E8</f>
        <v>80.062266500622698</v>
      </c>
      <c r="G8" s="46"/>
      <c r="H8" s="45" t="s">
        <v>134</v>
      </c>
      <c r="I8" s="67">
        <f>E8/(100-E8)*3</f>
        <v>0.74708352776481601</v>
      </c>
      <c r="J8" s="38" t="s">
        <v>132</v>
      </c>
      <c r="N8" s="63"/>
      <c r="O8" s="38"/>
    </row>
    <row r="9" spans="1:16" x14ac:dyDescent="0.25">
      <c r="A9" s="231"/>
      <c r="B9" s="235"/>
      <c r="C9" s="47">
        <v>8.0099999999999998E-3</v>
      </c>
      <c r="D9" s="240"/>
      <c r="E9" s="247"/>
      <c r="F9" s="250"/>
      <c r="G9" s="43"/>
      <c r="I9" s="68"/>
      <c r="J9" s="68"/>
      <c r="K9" s="38"/>
      <c r="L9" s="69"/>
      <c r="M9" s="61"/>
      <c r="N9" s="38"/>
      <c r="O9" s="38"/>
    </row>
    <row r="10" spans="1:16" ht="16.5" x14ac:dyDescent="0.25">
      <c r="A10" s="231" t="s">
        <v>135</v>
      </c>
      <c r="B10" s="235">
        <v>0</v>
      </c>
      <c r="C10" s="44">
        <v>3.9100000000000003E-2</v>
      </c>
      <c r="D10" s="239">
        <f>AVERAGE(C10:C11)</f>
        <v>4.0149999999999998E-2</v>
      </c>
      <c r="E10" s="242">
        <f>D10/D10*100</f>
        <v>100</v>
      </c>
      <c r="F10" s="250">
        <f t="shared" si="0"/>
        <v>0</v>
      </c>
      <c r="G10" s="43"/>
      <c r="H10" s="45" t="s">
        <v>136</v>
      </c>
      <c r="I10" s="62"/>
      <c r="J10" s="70"/>
      <c r="N10" s="71"/>
      <c r="O10" s="38"/>
      <c r="P10" s="38"/>
    </row>
    <row r="11" spans="1:16" x14ac:dyDescent="0.25">
      <c r="A11" s="232"/>
      <c r="B11" s="236"/>
      <c r="C11" s="48">
        <v>4.1200000000000001E-2</v>
      </c>
      <c r="D11" s="241"/>
      <c r="E11" s="244"/>
      <c r="F11" s="251"/>
      <c r="G11" s="43"/>
      <c r="H11" s="38" t="s">
        <v>123</v>
      </c>
      <c r="I11" s="60"/>
      <c r="K11" s="38"/>
      <c r="L11" s="69"/>
      <c r="M11" s="61"/>
      <c r="N11" s="71"/>
      <c r="O11" s="38"/>
      <c r="P11" s="38"/>
    </row>
    <row r="12" spans="1:16" x14ac:dyDescent="0.25">
      <c r="B12" s="40"/>
      <c r="G12" s="43"/>
      <c r="I12" s="60"/>
    </row>
    <row r="13" spans="1:16" x14ac:dyDescent="0.25">
      <c r="B13" s="40"/>
      <c r="I13" s="60"/>
    </row>
    <row r="14" spans="1:16" x14ac:dyDescent="0.25">
      <c r="B14" s="40"/>
      <c r="I14" s="60"/>
    </row>
    <row r="15" spans="1:16" x14ac:dyDescent="0.25">
      <c r="A15" s="39" t="s">
        <v>137</v>
      </c>
      <c r="B15" s="40"/>
      <c r="I15" s="60"/>
    </row>
    <row r="16" spans="1:16" x14ac:dyDescent="0.25">
      <c r="B16" s="40"/>
      <c r="I16" s="60"/>
    </row>
    <row r="17" spans="1:16" ht="29.45" customHeight="1" x14ac:dyDescent="0.25">
      <c r="A17" s="229" t="s">
        <v>125</v>
      </c>
      <c r="B17" s="233" t="s">
        <v>126</v>
      </c>
      <c r="C17" s="41" t="s">
        <v>110</v>
      </c>
      <c r="D17" s="237" t="s">
        <v>127</v>
      </c>
      <c r="E17" s="245" t="s">
        <v>128</v>
      </c>
      <c r="F17" s="248" t="s">
        <v>34</v>
      </c>
      <c r="I17" s="60"/>
    </row>
    <row r="18" spans="1:16" x14ac:dyDescent="0.25">
      <c r="A18" s="230"/>
      <c r="B18" s="234"/>
      <c r="C18" s="42" t="s">
        <v>129</v>
      </c>
      <c r="D18" s="238"/>
      <c r="E18" s="246"/>
      <c r="F18" s="249"/>
      <c r="I18" s="60"/>
    </row>
    <row r="19" spans="1:16" ht="16.5" x14ac:dyDescent="0.25">
      <c r="A19" s="231" t="s">
        <v>31</v>
      </c>
      <c r="B19" s="235" t="s">
        <v>130</v>
      </c>
      <c r="C19" s="20">
        <v>6.54</v>
      </c>
      <c r="D19" s="242">
        <f>AVERAGE(C19:C20)</f>
        <v>6.93</v>
      </c>
      <c r="E19" s="247">
        <f>D19/D23*100</f>
        <v>105.15933232170001</v>
      </c>
      <c r="F19" s="250">
        <v>0</v>
      </c>
      <c r="H19" s="45" t="s">
        <v>131</v>
      </c>
      <c r="I19" s="62">
        <v>10</v>
      </c>
      <c r="J19" s="38" t="s">
        <v>132</v>
      </c>
      <c r="K19" s="63"/>
    </row>
    <row r="20" spans="1:16" x14ac:dyDescent="0.25">
      <c r="A20" s="231"/>
      <c r="B20" s="235"/>
      <c r="C20" s="20">
        <v>7.32</v>
      </c>
      <c r="D20" s="242"/>
      <c r="E20" s="247"/>
      <c r="F20" s="250"/>
      <c r="I20" s="60"/>
      <c r="K20" s="63"/>
      <c r="L20" s="64"/>
      <c r="M20" s="65"/>
      <c r="O20" s="63"/>
      <c r="P20" s="66"/>
    </row>
    <row r="21" spans="1:16" ht="16.5" x14ac:dyDescent="0.25">
      <c r="A21" s="231" t="s">
        <v>29</v>
      </c>
      <c r="B21" s="235" t="s">
        <v>133</v>
      </c>
      <c r="C21" s="49">
        <v>0.56699999999999995</v>
      </c>
      <c r="D21" s="243">
        <f>AVERAGE(C21:C22)</f>
        <v>0.55100000000000005</v>
      </c>
      <c r="E21" s="247">
        <f>D21/D23*100</f>
        <v>8.36115326251897</v>
      </c>
      <c r="F21" s="250">
        <f t="shared" ref="F21:F23" si="1">100-E21</f>
        <v>91.638846737481003</v>
      </c>
      <c r="G21" s="50"/>
      <c r="H21" s="45" t="s">
        <v>134</v>
      </c>
      <c r="I21" s="67">
        <f>E21/(100-E21)*3</f>
        <v>0.273720814704421</v>
      </c>
      <c r="J21" s="38" t="s">
        <v>132</v>
      </c>
      <c r="N21" s="38"/>
      <c r="O21" s="38"/>
    </row>
    <row r="22" spans="1:16" x14ac:dyDescent="0.25">
      <c r="A22" s="231"/>
      <c r="B22" s="235"/>
      <c r="C22" s="49">
        <v>0.53500000000000003</v>
      </c>
      <c r="D22" s="243"/>
      <c r="E22" s="247"/>
      <c r="F22" s="250"/>
      <c r="G22" s="50"/>
      <c r="I22" s="68"/>
      <c r="J22" s="68"/>
      <c r="K22" s="38"/>
      <c r="L22" s="69"/>
      <c r="M22" s="61"/>
      <c r="N22" s="30"/>
      <c r="O22" s="38"/>
    </row>
    <row r="23" spans="1:16" ht="16.5" x14ac:dyDescent="0.25">
      <c r="A23" s="231" t="s">
        <v>135</v>
      </c>
      <c r="B23" s="235">
        <v>0</v>
      </c>
      <c r="C23" s="20">
        <v>6.66</v>
      </c>
      <c r="D23" s="242">
        <f>AVERAGE(C23:C24)</f>
        <v>6.59</v>
      </c>
      <c r="E23" s="242">
        <f>D23/D23*100</f>
        <v>100</v>
      </c>
      <c r="F23" s="250">
        <f t="shared" si="1"/>
        <v>0</v>
      </c>
      <c r="H23" s="45" t="s">
        <v>136</v>
      </c>
      <c r="I23" s="62"/>
      <c r="J23" s="70"/>
      <c r="N23" s="30"/>
    </row>
    <row r="24" spans="1:16" x14ac:dyDescent="0.25">
      <c r="A24" s="232"/>
      <c r="B24" s="236"/>
      <c r="C24" s="28">
        <v>6.52</v>
      </c>
      <c r="D24" s="244"/>
      <c r="E24" s="244"/>
      <c r="F24" s="251"/>
      <c r="H24" s="38" t="s">
        <v>123</v>
      </c>
      <c r="I24" s="60"/>
      <c r="M24" s="61"/>
      <c r="N24" s="30"/>
    </row>
    <row r="25" spans="1:16" x14ac:dyDescent="0.25">
      <c r="B25" s="40"/>
      <c r="I25" s="60"/>
      <c r="N25" s="30"/>
    </row>
    <row r="26" spans="1:16" x14ac:dyDescent="0.25">
      <c r="B26" s="40"/>
      <c r="I26" s="60"/>
      <c r="N26" s="30"/>
    </row>
    <row r="27" spans="1:16" x14ac:dyDescent="0.25">
      <c r="B27" s="40"/>
      <c r="I27" s="60"/>
      <c r="N27" s="30"/>
    </row>
    <row r="28" spans="1:16" x14ac:dyDescent="0.25">
      <c r="A28" s="39" t="s">
        <v>138</v>
      </c>
      <c r="B28" s="40"/>
      <c r="I28" s="60"/>
    </row>
    <row r="29" spans="1:16" x14ac:dyDescent="0.25">
      <c r="B29" s="40"/>
      <c r="I29" s="60"/>
    </row>
    <row r="30" spans="1:16" ht="29.45" customHeight="1" x14ac:dyDescent="0.25">
      <c r="A30" s="229" t="s">
        <v>125</v>
      </c>
      <c r="B30" s="233" t="s">
        <v>126</v>
      </c>
      <c r="C30" s="41" t="s">
        <v>112</v>
      </c>
      <c r="D30" s="237" t="s">
        <v>127</v>
      </c>
      <c r="E30" s="245" t="s">
        <v>128</v>
      </c>
      <c r="F30" s="248" t="s">
        <v>34</v>
      </c>
      <c r="I30" s="60"/>
    </row>
    <row r="31" spans="1:16" x14ac:dyDescent="0.25">
      <c r="A31" s="230"/>
      <c r="B31" s="234"/>
      <c r="C31" s="42" t="s">
        <v>129</v>
      </c>
      <c r="D31" s="238"/>
      <c r="E31" s="246"/>
      <c r="F31" s="249"/>
      <c r="I31" s="60"/>
    </row>
    <row r="32" spans="1:16" ht="16.5" x14ac:dyDescent="0.25">
      <c r="A32" s="231" t="s">
        <v>31</v>
      </c>
      <c r="B32" s="235" t="s">
        <v>130</v>
      </c>
      <c r="C32" s="20">
        <v>6.44</v>
      </c>
      <c r="D32" s="242">
        <f>AVERAGE(C32:C33)</f>
        <v>6.64</v>
      </c>
      <c r="E32" s="247">
        <f>D32/D36*100</f>
        <v>104.07523510971799</v>
      </c>
      <c r="F32" s="250">
        <v>0</v>
      </c>
      <c r="H32" s="45" t="s">
        <v>131</v>
      </c>
      <c r="I32" s="62">
        <v>10</v>
      </c>
      <c r="J32" s="38" t="s">
        <v>132</v>
      </c>
    </row>
    <row r="33" spans="1:16" ht="14.25" customHeight="1" x14ac:dyDescent="0.25">
      <c r="A33" s="231"/>
      <c r="B33" s="235"/>
      <c r="C33" s="20">
        <v>6.84</v>
      </c>
      <c r="D33" s="242"/>
      <c r="E33" s="247"/>
      <c r="F33" s="250"/>
      <c r="I33" s="60"/>
      <c r="K33" s="63"/>
      <c r="L33" s="64"/>
      <c r="M33" s="65"/>
      <c r="N33" s="72"/>
      <c r="O33" s="63"/>
      <c r="P33" s="66"/>
    </row>
    <row r="34" spans="1:16" ht="16.5" x14ac:dyDescent="0.25">
      <c r="A34" s="231" t="s">
        <v>111</v>
      </c>
      <c r="B34" s="235" t="s">
        <v>133</v>
      </c>
      <c r="C34" s="49">
        <v>0.106</v>
      </c>
      <c r="D34" s="243">
        <f>AVERAGE(C34:C35)</f>
        <v>0.111</v>
      </c>
      <c r="E34" s="247">
        <f>D34/D36*100</f>
        <v>1.7398119122257101</v>
      </c>
      <c r="F34" s="250">
        <f>100-E34</f>
        <v>98.260188087774296</v>
      </c>
      <c r="G34" s="43"/>
      <c r="H34" s="45" t="s">
        <v>134</v>
      </c>
      <c r="I34" s="73">
        <f>E34/(100-E34)*3</f>
        <v>5.3118519700111701E-2</v>
      </c>
      <c r="J34" s="38" t="s">
        <v>132</v>
      </c>
      <c r="N34" s="71"/>
      <c r="O34" s="38"/>
      <c r="P34" s="38"/>
    </row>
    <row r="35" spans="1:16" x14ac:dyDescent="0.25">
      <c r="A35" s="231"/>
      <c r="B35" s="235"/>
      <c r="C35" s="49">
        <v>0.11600000000000001</v>
      </c>
      <c r="D35" s="243"/>
      <c r="E35" s="247"/>
      <c r="F35" s="250"/>
      <c r="G35" s="43"/>
      <c r="I35" s="68"/>
      <c r="J35" s="68"/>
      <c r="K35" s="38"/>
      <c r="L35" s="69"/>
      <c r="M35" s="61"/>
    </row>
    <row r="36" spans="1:16" ht="16.5" x14ac:dyDescent="0.25">
      <c r="A36" s="231" t="s">
        <v>135</v>
      </c>
      <c r="B36" s="235">
        <v>0</v>
      </c>
      <c r="C36" s="20">
        <v>6.25</v>
      </c>
      <c r="D36" s="242">
        <f>AVERAGE(C36:C37)</f>
        <v>6.38</v>
      </c>
      <c r="E36" s="242">
        <f>D36/D36*100</f>
        <v>100</v>
      </c>
      <c r="F36" s="250">
        <f>100-E36</f>
        <v>0</v>
      </c>
      <c r="H36" s="45" t="s">
        <v>136</v>
      </c>
      <c r="I36" s="62"/>
      <c r="J36" s="70"/>
    </row>
    <row r="37" spans="1:16" x14ac:dyDescent="0.25">
      <c r="A37" s="232"/>
      <c r="B37" s="236"/>
      <c r="C37" s="28">
        <v>6.51</v>
      </c>
      <c r="D37" s="244"/>
      <c r="E37" s="244"/>
      <c r="F37" s="251"/>
      <c r="H37" s="38" t="s">
        <v>123</v>
      </c>
      <c r="I37" s="62"/>
      <c r="J37" s="70"/>
    </row>
    <row r="38" spans="1:16" x14ac:dyDescent="0.25">
      <c r="B38" s="40"/>
      <c r="I38" s="60"/>
    </row>
    <row r="39" spans="1:16" x14ac:dyDescent="0.25">
      <c r="B39" s="40"/>
      <c r="I39" s="60"/>
    </row>
    <row r="40" spans="1:16" x14ac:dyDescent="0.25">
      <c r="B40" s="40"/>
      <c r="I40" s="60"/>
    </row>
    <row r="41" spans="1:16" x14ac:dyDescent="0.25">
      <c r="A41" s="39" t="s">
        <v>139</v>
      </c>
      <c r="B41" s="40"/>
      <c r="I41" s="60"/>
    </row>
    <row r="42" spans="1:16" x14ac:dyDescent="0.25">
      <c r="B42" s="40"/>
      <c r="I42" s="60"/>
    </row>
    <row r="43" spans="1:16" ht="29.45" customHeight="1" x14ac:dyDescent="0.25">
      <c r="A43" s="229" t="s">
        <v>125</v>
      </c>
      <c r="B43" s="233" t="s">
        <v>126</v>
      </c>
      <c r="C43" s="41" t="s">
        <v>113</v>
      </c>
      <c r="D43" s="237" t="s">
        <v>127</v>
      </c>
      <c r="E43" s="245" t="s">
        <v>128</v>
      </c>
      <c r="F43" s="248" t="s">
        <v>34</v>
      </c>
      <c r="I43" s="60"/>
    </row>
    <row r="44" spans="1:16" x14ac:dyDescent="0.25">
      <c r="A44" s="230"/>
      <c r="B44" s="234"/>
      <c r="C44" s="42" t="s">
        <v>129</v>
      </c>
      <c r="D44" s="238"/>
      <c r="E44" s="246"/>
      <c r="F44" s="249"/>
      <c r="I44" s="60"/>
    </row>
    <row r="45" spans="1:16" ht="16.5" x14ac:dyDescent="0.25">
      <c r="A45" s="231" t="s">
        <v>31</v>
      </c>
      <c r="B45" s="235" t="s">
        <v>130</v>
      </c>
      <c r="C45" s="20">
        <v>1.52</v>
      </c>
      <c r="D45" s="242">
        <f>AVERAGE(C45:C46)</f>
        <v>1.48</v>
      </c>
      <c r="E45" s="247">
        <f>D45/D49*100</f>
        <v>97.368421052631604</v>
      </c>
      <c r="F45" s="250">
        <f>100-E45</f>
        <v>2.6315789473684199</v>
      </c>
      <c r="H45" s="45" t="s">
        <v>131</v>
      </c>
      <c r="I45" s="62">
        <v>10</v>
      </c>
      <c r="J45" s="38" t="s">
        <v>132</v>
      </c>
    </row>
    <row r="46" spans="1:16" ht="14.25" customHeight="1" x14ac:dyDescent="0.25">
      <c r="A46" s="231"/>
      <c r="B46" s="235"/>
      <c r="C46" s="20">
        <v>1.44</v>
      </c>
      <c r="D46" s="242"/>
      <c r="E46" s="247"/>
      <c r="F46" s="250"/>
      <c r="I46" s="60"/>
      <c r="K46" s="63"/>
      <c r="L46" s="64"/>
      <c r="M46" s="65"/>
      <c r="N46" s="72"/>
      <c r="O46" s="63"/>
      <c r="P46" s="66"/>
    </row>
    <row r="47" spans="1:16" ht="16.5" x14ac:dyDescent="0.25">
      <c r="A47" s="231" t="s">
        <v>111</v>
      </c>
      <c r="B47" s="235" t="s">
        <v>133</v>
      </c>
      <c r="C47" s="44">
        <v>5.33E-2</v>
      </c>
      <c r="D47" s="239">
        <f>AVERAGE(C47:C48)</f>
        <v>5.3949999999999998E-2</v>
      </c>
      <c r="E47" s="247">
        <f>D47/D49*100</f>
        <v>3.5493421052631602</v>
      </c>
      <c r="F47" s="250">
        <f>100-E47</f>
        <v>96.450657894736807</v>
      </c>
      <c r="G47" s="43"/>
      <c r="H47" s="45" t="s">
        <v>134</v>
      </c>
      <c r="I47" s="67">
        <f>E47/(100-E47)*3</f>
        <v>0.110398690358446</v>
      </c>
      <c r="J47" s="38" t="s">
        <v>132</v>
      </c>
      <c r="N47" s="71"/>
      <c r="O47" s="38"/>
      <c r="P47" s="38"/>
    </row>
    <row r="48" spans="1:16" x14ac:dyDescent="0.25">
      <c r="A48" s="231"/>
      <c r="B48" s="235"/>
      <c r="C48" s="44">
        <v>5.4600000000000003E-2</v>
      </c>
      <c r="D48" s="239"/>
      <c r="E48" s="247"/>
      <c r="F48" s="250"/>
      <c r="G48" s="43"/>
      <c r="I48" s="68"/>
      <c r="J48" s="68"/>
      <c r="K48" s="38"/>
      <c r="L48" s="69"/>
      <c r="M48" s="61"/>
    </row>
    <row r="49" spans="1:14" ht="16.5" x14ac:dyDescent="0.25">
      <c r="A49" s="231" t="s">
        <v>135</v>
      </c>
      <c r="B49" s="235">
        <v>0</v>
      </c>
      <c r="C49" s="20">
        <v>1.5</v>
      </c>
      <c r="D49" s="242">
        <f>AVERAGE(C49:C50)</f>
        <v>1.52</v>
      </c>
      <c r="E49" s="242">
        <f>D49/D49*100</f>
        <v>100</v>
      </c>
      <c r="F49" s="250">
        <f>100-E49</f>
        <v>0</v>
      </c>
      <c r="H49" s="45" t="s">
        <v>136</v>
      </c>
      <c r="I49" s="62"/>
      <c r="J49" s="70"/>
    </row>
    <row r="50" spans="1:14" x14ac:dyDescent="0.25">
      <c r="A50" s="232"/>
      <c r="B50" s="236"/>
      <c r="C50" s="28">
        <v>1.54</v>
      </c>
      <c r="D50" s="244"/>
      <c r="E50" s="244"/>
      <c r="F50" s="251"/>
      <c r="H50" s="38" t="s">
        <v>123</v>
      </c>
      <c r="I50" s="62"/>
      <c r="J50" s="70"/>
    </row>
    <row r="53" spans="1:14" x14ac:dyDescent="0.25">
      <c r="A53" s="51"/>
      <c r="B53" s="51"/>
      <c r="C53" s="51"/>
      <c r="D53" s="51"/>
      <c r="E53" s="51"/>
      <c r="F53" s="52"/>
      <c r="G53" s="52"/>
      <c r="H53" s="53"/>
      <c r="I53" s="52"/>
      <c r="J53" s="51"/>
      <c r="K53" s="52"/>
      <c r="L53" s="54"/>
      <c r="M53" s="51"/>
      <c r="N53" s="51"/>
    </row>
    <row r="54" spans="1:14" x14ac:dyDescent="0.25">
      <c r="A54" s="51"/>
      <c r="B54" s="51"/>
      <c r="C54" s="51"/>
      <c r="D54" s="51"/>
      <c r="E54" s="51"/>
      <c r="F54" s="52"/>
      <c r="G54" s="52"/>
      <c r="H54" s="54"/>
      <c r="I54" s="52"/>
      <c r="J54" s="51"/>
      <c r="K54" s="52"/>
      <c r="L54" s="54"/>
      <c r="M54" s="51"/>
      <c r="N54" s="51"/>
    </row>
    <row r="55" spans="1:14" x14ac:dyDescent="0.25">
      <c r="A55" s="55" t="s">
        <v>140</v>
      </c>
      <c r="B55" s="56"/>
      <c r="C55" s="56"/>
      <c r="D55" s="56"/>
      <c r="E55" s="56"/>
      <c r="F55" s="56"/>
      <c r="G55" s="56"/>
      <c r="H55" s="56"/>
      <c r="I55" s="56"/>
      <c r="J55" s="56"/>
      <c r="K55" s="56"/>
      <c r="L55" s="56"/>
      <c r="M55" s="56"/>
      <c r="N55" s="74"/>
    </row>
    <row r="56" spans="1:14" x14ac:dyDescent="0.25">
      <c r="A56" s="57" t="s">
        <v>141</v>
      </c>
      <c r="B56" s="58"/>
      <c r="C56" s="58"/>
      <c r="D56" s="58"/>
      <c r="E56" s="58"/>
      <c r="F56" s="58"/>
      <c r="G56" s="58"/>
      <c r="H56" s="58"/>
      <c r="I56" s="58"/>
      <c r="J56" s="58"/>
      <c r="K56" s="58"/>
      <c r="L56" s="58"/>
      <c r="M56" s="58"/>
      <c r="N56" s="75"/>
    </row>
    <row r="57" spans="1:14" x14ac:dyDescent="0.25">
      <c r="A57" s="57" t="s">
        <v>142</v>
      </c>
      <c r="B57" s="58"/>
      <c r="C57" s="58"/>
      <c r="D57" s="58"/>
      <c r="E57" s="58"/>
      <c r="F57" s="58"/>
      <c r="G57" s="58"/>
      <c r="H57" s="58"/>
      <c r="I57" s="58"/>
      <c r="J57" s="58"/>
      <c r="K57" s="58"/>
      <c r="L57" s="58"/>
      <c r="M57" s="58"/>
      <c r="N57" s="75"/>
    </row>
    <row r="58" spans="1:14" x14ac:dyDescent="0.25">
      <c r="A58" s="59"/>
      <c r="B58" s="58"/>
      <c r="C58" s="58"/>
      <c r="D58" s="58"/>
      <c r="E58" s="58"/>
      <c r="F58" s="58"/>
      <c r="G58" s="58"/>
      <c r="H58" s="58"/>
      <c r="I58" s="58"/>
      <c r="J58" s="58"/>
      <c r="K58" s="58"/>
      <c r="L58" s="58"/>
      <c r="M58" s="58"/>
      <c r="N58" s="75"/>
    </row>
    <row r="59" spans="1:14" x14ac:dyDescent="0.25">
      <c r="A59" s="57" t="s">
        <v>143</v>
      </c>
      <c r="B59" s="58"/>
      <c r="C59" s="58"/>
      <c r="D59" s="58"/>
      <c r="E59" s="58"/>
      <c r="F59" s="58"/>
      <c r="G59" s="58"/>
      <c r="H59" s="58"/>
      <c r="I59" s="58"/>
      <c r="J59" s="58"/>
      <c r="K59" s="58"/>
      <c r="L59" s="58"/>
      <c r="M59" s="58"/>
      <c r="N59" s="75"/>
    </row>
    <row r="60" spans="1:14" x14ac:dyDescent="0.25">
      <c r="A60" s="57" t="s">
        <v>144</v>
      </c>
      <c r="B60" s="58"/>
      <c r="C60" s="58"/>
      <c r="D60" s="58"/>
      <c r="E60" s="58"/>
      <c r="F60" s="58"/>
      <c r="G60" s="58"/>
      <c r="H60" s="58"/>
      <c r="I60" s="58"/>
      <c r="J60" s="58"/>
      <c r="K60" s="58"/>
      <c r="L60" s="58"/>
      <c r="M60" s="58"/>
      <c r="N60" s="75"/>
    </row>
    <row r="61" spans="1:14" x14ac:dyDescent="0.25">
      <c r="A61" s="57" t="s">
        <v>145</v>
      </c>
      <c r="B61" s="58"/>
      <c r="C61" s="58"/>
      <c r="D61" s="58"/>
      <c r="E61" s="58"/>
      <c r="F61" s="58"/>
      <c r="G61" s="58"/>
      <c r="H61" s="58"/>
      <c r="I61" s="58"/>
      <c r="J61" s="58"/>
      <c r="K61" s="58"/>
      <c r="L61" s="58"/>
      <c r="M61" s="58"/>
      <c r="N61" s="75"/>
    </row>
    <row r="62" spans="1:14" x14ac:dyDescent="0.25">
      <c r="A62" s="59"/>
      <c r="B62" s="58"/>
      <c r="C62" s="58"/>
      <c r="D62" s="58"/>
      <c r="E62" s="58"/>
      <c r="F62" s="58"/>
      <c r="G62" s="58"/>
      <c r="H62" s="58"/>
      <c r="I62" s="58"/>
      <c r="J62" s="58"/>
      <c r="K62" s="58"/>
      <c r="L62" s="58"/>
      <c r="M62" s="58"/>
      <c r="N62" s="75"/>
    </row>
    <row r="63" spans="1:14" x14ac:dyDescent="0.25">
      <c r="A63" s="57" t="s">
        <v>146</v>
      </c>
      <c r="B63" s="51" t="s">
        <v>147</v>
      </c>
      <c r="C63" s="51" t="s">
        <v>148</v>
      </c>
      <c r="D63" s="51" t="s">
        <v>149</v>
      </c>
      <c r="E63" s="51" t="s">
        <v>150</v>
      </c>
      <c r="F63" s="51" t="s">
        <v>151</v>
      </c>
      <c r="G63" s="58"/>
      <c r="H63" s="58"/>
      <c r="I63" s="58"/>
      <c r="J63" s="58"/>
      <c r="K63" s="58"/>
      <c r="L63" s="58"/>
      <c r="M63" s="58"/>
      <c r="N63" s="75"/>
    </row>
    <row r="64" spans="1:14" x14ac:dyDescent="0.25">
      <c r="A64" s="57" t="s">
        <v>152</v>
      </c>
      <c r="B64" s="51" t="s">
        <v>153</v>
      </c>
      <c r="C64" s="58"/>
      <c r="D64" s="58"/>
      <c r="E64" s="58"/>
      <c r="F64" s="58"/>
      <c r="G64" s="58"/>
      <c r="H64" s="58"/>
      <c r="I64" s="58"/>
      <c r="J64" s="58"/>
      <c r="K64" s="58"/>
      <c r="L64" s="58"/>
      <c r="M64" s="58"/>
      <c r="N64" s="75"/>
    </row>
    <row r="65" spans="1:14" x14ac:dyDescent="0.25">
      <c r="A65" s="57" t="s">
        <v>154</v>
      </c>
      <c r="B65" s="58"/>
      <c r="C65" s="58"/>
      <c r="D65" s="58"/>
      <c r="E65" s="58"/>
      <c r="F65" s="58"/>
      <c r="G65" s="58"/>
      <c r="H65" s="58"/>
      <c r="I65" s="58"/>
      <c r="J65" s="58"/>
      <c r="K65" s="58"/>
      <c r="L65" s="58"/>
      <c r="M65" s="58"/>
      <c r="N65" s="75"/>
    </row>
    <row r="66" spans="1:14" x14ac:dyDescent="0.25">
      <c r="A66" s="59"/>
      <c r="B66" s="58"/>
      <c r="C66" s="58"/>
      <c r="D66" s="58"/>
      <c r="E66" s="58"/>
      <c r="F66" s="58"/>
      <c r="G66" s="58"/>
      <c r="H66" s="58"/>
      <c r="I66" s="58"/>
      <c r="J66" s="58"/>
      <c r="K66" s="58"/>
      <c r="L66" s="58"/>
      <c r="M66" s="58"/>
      <c r="N66" s="75"/>
    </row>
    <row r="67" spans="1:14" x14ac:dyDescent="0.25">
      <c r="A67" s="59"/>
      <c r="B67" s="58"/>
      <c r="C67" s="58"/>
      <c r="D67" s="58"/>
      <c r="E67" s="58"/>
      <c r="F67" s="58"/>
      <c r="G67" s="58"/>
      <c r="H67" s="58"/>
      <c r="I67" s="58"/>
      <c r="J67" s="58"/>
      <c r="K67" s="58"/>
      <c r="L67" s="58"/>
      <c r="M67" s="58"/>
      <c r="N67" s="75"/>
    </row>
    <row r="68" spans="1:14" x14ac:dyDescent="0.25">
      <c r="A68" s="59"/>
      <c r="B68" s="58"/>
      <c r="C68" s="58"/>
      <c r="D68" s="58"/>
      <c r="E68" s="58"/>
      <c r="F68" s="58"/>
      <c r="G68" s="58"/>
      <c r="H68" s="58"/>
      <c r="I68" s="58"/>
      <c r="J68" s="58"/>
      <c r="K68" s="58"/>
      <c r="L68" s="58"/>
      <c r="M68" s="58"/>
      <c r="N68" s="75"/>
    </row>
    <row r="69" spans="1:14" x14ac:dyDescent="0.25">
      <c r="A69" s="57" t="s">
        <v>155</v>
      </c>
      <c r="B69" s="51" t="s">
        <v>156</v>
      </c>
      <c r="C69" s="51" t="s">
        <v>157</v>
      </c>
      <c r="D69" s="51" t="s">
        <v>158</v>
      </c>
      <c r="E69" s="51" t="s">
        <v>159</v>
      </c>
      <c r="F69" s="51" t="s">
        <v>160</v>
      </c>
      <c r="G69" s="51" t="s">
        <v>161</v>
      </c>
      <c r="H69" s="51" t="s">
        <v>162</v>
      </c>
      <c r="I69" s="51" t="s">
        <v>129</v>
      </c>
      <c r="J69" s="51" t="s">
        <v>163</v>
      </c>
      <c r="K69" s="51" t="s">
        <v>164</v>
      </c>
      <c r="L69" s="51" t="s">
        <v>165</v>
      </c>
      <c r="M69" s="51" t="s">
        <v>166</v>
      </c>
      <c r="N69" s="83" t="s">
        <v>167</v>
      </c>
    </row>
    <row r="70" spans="1:14" s="31" customFormat="1" x14ac:dyDescent="0.25">
      <c r="A70" s="57" t="s">
        <v>168</v>
      </c>
      <c r="B70" s="51" t="s">
        <v>169</v>
      </c>
      <c r="C70" s="58"/>
      <c r="D70" s="51" t="s">
        <v>170</v>
      </c>
      <c r="E70" s="51" t="s">
        <v>171</v>
      </c>
      <c r="F70" s="76">
        <v>0</v>
      </c>
      <c r="G70" s="76">
        <v>0</v>
      </c>
      <c r="H70" s="58">
        <v>0</v>
      </c>
      <c r="I70" s="76">
        <v>0</v>
      </c>
      <c r="J70" s="51" t="s">
        <v>172</v>
      </c>
      <c r="K70" s="76">
        <v>233000</v>
      </c>
      <c r="L70" s="76">
        <v>132000</v>
      </c>
      <c r="M70" s="58">
        <v>0.81</v>
      </c>
      <c r="N70" s="75">
        <v>0</v>
      </c>
    </row>
    <row r="71" spans="1:14" x14ac:dyDescent="0.25">
      <c r="A71" s="57" t="s">
        <v>168</v>
      </c>
      <c r="B71" s="51" t="s">
        <v>169</v>
      </c>
      <c r="C71" s="58"/>
      <c r="D71" s="51" t="s">
        <v>170</v>
      </c>
      <c r="E71" s="51" t="s">
        <v>171</v>
      </c>
      <c r="F71" s="76">
        <v>0</v>
      </c>
      <c r="G71" s="76">
        <v>0</v>
      </c>
      <c r="H71" s="58">
        <v>0</v>
      </c>
      <c r="I71" s="76">
        <v>0</v>
      </c>
      <c r="J71" s="51" t="s">
        <v>172</v>
      </c>
      <c r="K71" s="76">
        <v>237000</v>
      </c>
      <c r="L71" s="76">
        <v>136000</v>
      </c>
      <c r="M71" s="58">
        <v>0.8</v>
      </c>
      <c r="N71" s="75">
        <v>0</v>
      </c>
    </row>
    <row r="72" spans="1:14" x14ac:dyDescent="0.25">
      <c r="A72" s="57" t="s">
        <v>173</v>
      </c>
      <c r="B72" s="51" t="s">
        <v>174</v>
      </c>
      <c r="C72" s="58"/>
      <c r="D72" s="51" t="s">
        <v>170</v>
      </c>
      <c r="E72" s="51" t="s">
        <v>171</v>
      </c>
      <c r="F72" s="76">
        <v>8810</v>
      </c>
      <c r="G72" s="76">
        <v>6210</v>
      </c>
      <c r="H72" s="58">
        <v>0.79</v>
      </c>
      <c r="I72" s="76">
        <v>3.7400000000000003E-2</v>
      </c>
      <c r="J72" s="51" t="s">
        <v>172</v>
      </c>
      <c r="K72" s="76">
        <v>236000</v>
      </c>
      <c r="L72" s="76">
        <v>135000</v>
      </c>
      <c r="M72" s="58">
        <v>0.8</v>
      </c>
      <c r="N72" s="75">
        <v>0</v>
      </c>
    </row>
    <row r="73" spans="1:14" x14ac:dyDescent="0.25">
      <c r="A73" s="57" t="s">
        <v>173</v>
      </c>
      <c r="B73" s="51" t="s">
        <v>174</v>
      </c>
      <c r="C73" s="58"/>
      <c r="D73" s="51" t="s">
        <v>170</v>
      </c>
      <c r="E73" s="51" t="s">
        <v>171</v>
      </c>
      <c r="F73" s="76">
        <v>9160</v>
      </c>
      <c r="G73" s="76">
        <v>6660</v>
      </c>
      <c r="H73" s="58">
        <v>0.79</v>
      </c>
      <c r="I73" s="76">
        <v>4.0300000000000002E-2</v>
      </c>
      <c r="J73" s="51" t="s">
        <v>172</v>
      </c>
      <c r="K73" s="76">
        <v>228000</v>
      </c>
      <c r="L73" s="76">
        <v>129000</v>
      </c>
      <c r="M73" s="58">
        <v>0.8</v>
      </c>
      <c r="N73" s="75">
        <v>0</v>
      </c>
    </row>
    <row r="74" spans="1:14" x14ac:dyDescent="0.25">
      <c r="A74" s="57" t="s">
        <v>175</v>
      </c>
      <c r="B74" s="51" t="s">
        <v>174</v>
      </c>
      <c r="C74" s="58"/>
      <c r="D74" s="51" t="s">
        <v>170</v>
      </c>
      <c r="E74" s="51" t="s">
        <v>171</v>
      </c>
      <c r="F74" s="76">
        <v>1850</v>
      </c>
      <c r="G74" s="76">
        <v>1380</v>
      </c>
      <c r="H74" s="58">
        <v>0.79</v>
      </c>
      <c r="I74" s="76">
        <v>8.0000000000000002E-3</v>
      </c>
      <c r="J74" s="51" t="s">
        <v>172</v>
      </c>
      <c r="K74" s="76">
        <v>231000</v>
      </c>
      <c r="L74" s="76">
        <v>131000</v>
      </c>
      <c r="M74" s="58">
        <v>0.8</v>
      </c>
      <c r="N74" s="75">
        <v>0</v>
      </c>
    </row>
    <row r="75" spans="1:14" x14ac:dyDescent="0.25">
      <c r="A75" s="57" t="s">
        <v>175</v>
      </c>
      <c r="B75" s="51" t="s">
        <v>174</v>
      </c>
      <c r="C75" s="58"/>
      <c r="D75" s="51" t="s">
        <v>170</v>
      </c>
      <c r="E75" s="51" t="s">
        <v>171</v>
      </c>
      <c r="F75" s="76">
        <v>1820</v>
      </c>
      <c r="G75" s="76">
        <v>1270</v>
      </c>
      <c r="H75" s="58">
        <v>0.79</v>
      </c>
      <c r="I75" s="76">
        <v>8.0099999999999998E-3</v>
      </c>
      <c r="J75" s="51" t="s">
        <v>172</v>
      </c>
      <c r="K75" s="76">
        <v>228000</v>
      </c>
      <c r="L75" s="76">
        <v>130000</v>
      </c>
      <c r="M75" s="58">
        <v>0.8</v>
      </c>
      <c r="N75" s="75">
        <v>0</v>
      </c>
    </row>
    <row r="76" spans="1:14" x14ac:dyDescent="0.25">
      <c r="A76" s="57" t="s">
        <v>176</v>
      </c>
      <c r="B76" s="51" t="s">
        <v>174</v>
      </c>
      <c r="C76" s="58"/>
      <c r="D76" s="51" t="s">
        <v>170</v>
      </c>
      <c r="E76" s="51" t="s">
        <v>171</v>
      </c>
      <c r="F76" s="76">
        <v>9130</v>
      </c>
      <c r="G76" s="76">
        <v>6550</v>
      </c>
      <c r="H76" s="58">
        <v>0.79</v>
      </c>
      <c r="I76" s="76">
        <v>3.9100000000000003E-2</v>
      </c>
      <c r="J76" s="51" t="s">
        <v>172</v>
      </c>
      <c r="K76" s="76">
        <v>233000</v>
      </c>
      <c r="L76" s="76">
        <v>131000</v>
      </c>
      <c r="M76" s="58">
        <v>0.8</v>
      </c>
      <c r="N76" s="75">
        <v>0</v>
      </c>
    </row>
    <row r="77" spans="1:14" x14ac:dyDescent="0.25">
      <c r="A77" s="77" t="s">
        <v>176</v>
      </c>
      <c r="B77" s="78" t="s">
        <v>174</v>
      </c>
      <c r="C77" s="79"/>
      <c r="D77" s="78" t="s">
        <v>170</v>
      </c>
      <c r="E77" s="78" t="s">
        <v>171</v>
      </c>
      <c r="F77" s="80">
        <v>9290</v>
      </c>
      <c r="G77" s="80">
        <v>6730</v>
      </c>
      <c r="H77" s="79">
        <v>0.79</v>
      </c>
      <c r="I77" s="80">
        <v>4.1200000000000001E-2</v>
      </c>
      <c r="J77" s="78" t="s">
        <v>172</v>
      </c>
      <c r="K77" s="80">
        <v>226000</v>
      </c>
      <c r="L77" s="80">
        <v>131000</v>
      </c>
      <c r="M77" s="79">
        <v>0.8</v>
      </c>
      <c r="N77" s="84">
        <v>0</v>
      </c>
    </row>
    <row r="78" spans="1:14" x14ac:dyDescent="0.25">
      <c r="A78" s="58"/>
      <c r="B78" s="58"/>
      <c r="C78" s="58"/>
      <c r="D78" s="58"/>
      <c r="E78" s="58"/>
      <c r="F78" s="76"/>
      <c r="G78" s="76"/>
      <c r="H78" s="58"/>
      <c r="I78" s="76"/>
      <c r="J78" s="58"/>
      <c r="K78" s="76"/>
      <c r="L78" s="76"/>
      <c r="M78" s="58"/>
      <c r="N78" s="58"/>
    </row>
    <row r="79" spans="1:14" x14ac:dyDescent="0.25">
      <c r="A79" s="58"/>
      <c r="B79" s="58"/>
      <c r="C79" s="58"/>
      <c r="D79" s="58"/>
      <c r="E79" s="58"/>
      <c r="F79" s="76"/>
      <c r="G79" s="76"/>
      <c r="H79" s="58"/>
      <c r="I79" s="76"/>
      <c r="J79" s="58"/>
      <c r="K79" s="76"/>
      <c r="L79" s="76"/>
      <c r="M79" s="58"/>
      <c r="N79" s="58"/>
    </row>
    <row r="80" spans="1:14" x14ac:dyDescent="0.25">
      <c r="A80" s="58"/>
      <c r="B80" s="58"/>
      <c r="C80" s="58"/>
      <c r="D80" s="58"/>
      <c r="E80" s="58"/>
      <c r="F80" s="76"/>
      <c r="G80" s="76"/>
      <c r="H80" s="58"/>
      <c r="I80" s="76"/>
      <c r="J80" s="58"/>
      <c r="K80" s="76"/>
      <c r="L80" s="76"/>
      <c r="M80" s="58"/>
      <c r="N80" s="58"/>
    </row>
    <row r="81" spans="1:14" x14ac:dyDescent="0.25">
      <c r="A81" s="55" t="s">
        <v>140</v>
      </c>
      <c r="B81" s="56"/>
      <c r="C81" s="56"/>
      <c r="D81" s="56"/>
      <c r="E81" s="56"/>
      <c r="F81" s="56"/>
      <c r="G81" s="56"/>
      <c r="H81" s="56"/>
      <c r="I81" s="56"/>
      <c r="J81" s="56"/>
      <c r="K81" s="56"/>
      <c r="L81" s="56"/>
      <c r="M81" s="56"/>
      <c r="N81" s="74"/>
    </row>
    <row r="82" spans="1:14" x14ac:dyDescent="0.25">
      <c r="A82" s="57" t="s">
        <v>141</v>
      </c>
      <c r="B82" s="58"/>
      <c r="C82" s="58"/>
      <c r="D82" s="58"/>
      <c r="E82" s="58"/>
      <c r="F82" s="58"/>
      <c r="G82" s="58"/>
      <c r="H82" s="58"/>
      <c r="I82" s="58"/>
      <c r="J82" s="58"/>
      <c r="K82" s="58"/>
      <c r="L82" s="58"/>
      <c r="M82" s="58"/>
      <c r="N82" s="75"/>
    </row>
    <row r="83" spans="1:14" x14ac:dyDescent="0.25">
      <c r="A83" s="57" t="s">
        <v>177</v>
      </c>
      <c r="B83" s="58"/>
      <c r="C83" s="58"/>
      <c r="D83" s="58"/>
      <c r="E83" s="58"/>
      <c r="F83" s="58"/>
      <c r="G83" s="58"/>
      <c r="H83" s="58"/>
      <c r="I83" s="58"/>
      <c r="J83" s="58"/>
      <c r="K83" s="58"/>
      <c r="L83" s="58"/>
      <c r="M83" s="58"/>
      <c r="N83" s="75"/>
    </row>
    <row r="84" spans="1:14" x14ac:dyDescent="0.25">
      <c r="A84" s="59"/>
      <c r="B84" s="58"/>
      <c r="C84" s="58"/>
      <c r="D84" s="58"/>
      <c r="E84" s="58"/>
      <c r="F84" s="58"/>
      <c r="G84" s="58"/>
      <c r="H84" s="58"/>
      <c r="I84" s="58"/>
      <c r="J84" s="58"/>
      <c r="K84" s="58"/>
      <c r="L84" s="58"/>
      <c r="M84" s="58"/>
      <c r="N84" s="75"/>
    </row>
    <row r="85" spans="1:14" x14ac:dyDescent="0.25">
      <c r="A85" s="57" t="s">
        <v>178</v>
      </c>
      <c r="B85" s="58"/>
      <c r="C85" s="58"/>
      <c r="D85" s="58"/>
      <c r="E85" s="58"/>
      <c r="F85" s="58"/>
      <c r="G85" s="58"/>
      <c r="H85" s="58"/>
      <c r="I85" s="58"/>
      <c r="J85" s="58"/>
      <c r="K85" s="58"/>
      <c r="L85" s="58"/>
      <c r="M85" s="58"/>
      <c r="N85" s="75"/>
    </row>
    <row r="86" spans="1:14" x14ac:dyDescent="0.25">
      <c r="A86" s="57" t="s">
        <v>144</v>
      </c>
      <c r="B86" s="58"/>
      <c r="C86" s="58"/>
      <c r="D86" s="58"/>
      <c r="E86" s="58"/>
      <c r="F86" s="58"/>
      <c r="G86" s="58"/>
      <c r="H86" s="58"/>
      <c r="I86" s="58"/>
      <c r="J86" s="58"/>
      <c r="K86" s="58"/>
      <c r="L86" s="58"/>
      <c r="M86" s="58"/>
      <c r="N86" s="75"/>
    </row>
    <row r="87" spans="1:14" x14ac:dyDescent="0.25">
      <c r="A87" s="57" t="s">
        <v>179</v>
      </c>
      <c r="B87" s="58"/>
      <c r="C87" s="58"/>
      <c r="D87" s="58"/>
      <c r="E87" s="58"/>
      <c r="F87" s="58"/>
      <c r="G87" s="58"/>
      <c r="H87" s="58"/>
      <c r="I87" s="58"/>
      <c r="J87" s="58"/>
      <c r="K87" s="58"/>
      <c r="L87" s="58"/>
      <c r="M87" s="58"/>
      <c r="N87" s="75"/>
    </row>
    <row r="88" spans="1:14" x14ac:dyDescent="0.25">
      <c r="A88" s="59"/>
      <c r="B88" s="58"/>
      <c r="C88" s="58"/>
      <c r="D88" s="58"/>
      <c r="E88" s="58"/>
      <c r="F88" s="58"/>
      <c r="G88" s="58"/>
      <c r="H88" s="58"/>
      <c r="I88" s="58"/>
      <c r="J88" s="58"/>
      <c r="K88" s="58"/>
      <c r="L88" s="58"/>
      <c r="M88" s="58"/>
      <c r="N88" s="75"/>
    </row>
    <row r="89" spans="1:14" x14ac:dyDescent="0.25">
      <c r="A89" s="57" t="s">
        <v>146</v>
      </c>
      <c r="B89" s="51" t="s">
        <v>147</v>
      </c>
      <c r="C89" s="51" t="s">
        <v>148</v>
      </c>
      <c r="D89" s="51" t="s">
        <v>149</v>
      </c>
      <c r="E89" s="51" t="s">
        <v>150</v>
      </c>
      <c r="F89" s="51" t="s">
        <v>151</v>
      </c>
      <c r="G89" s="58"/>
      <c r="H89" s="58"/>
      <c r="I89" s="58"/>
      <c r="J89" s="58"/>
      <c r="K89" s="58"/>
      <c r="L89" s="58"/>
      <c r="M89" s="58"/>
      <c r="N89" s="75"/>
    </row>
    <row r="90" spans="1:14" x14ac:dyDescent="0.25">
      <c r="A90" s="57" t="s">
        <v>152</v>
      </c>
      <c r="B90" s="51" t="s">
        <v>153</v>
      </c>
      <c r="C90" s="58"/>
      <c r="D90" s="58"/>
      <c r="E90" s="58"/>
      <c r="F90" s="58"/>
      <c r="G90" s="58"/>
      <c r="H90" s="58"/>
      <c r="I90" s="58"/>
      <c r="J90" s="58"/>
      <c r="K90" s="58"/>
      <c r="L90" s="58"/>
      <c r="M90" s="58"/>
      <c r="N90" s="75"/>
    </row>
    <row r="91" spans="1:14" x14ac:dyDescent="0.25">
      <c r="A91" s="57" t="s">
        <v>154</v>
      </c>
      <c r="B91" s="58"/>
      <c r="C91" s="58"/>
      <c r="D91" s="58"/>
      <c r="E91" s="58"/>
      <c r="F91" s="58"/>
      <c r="G91" s="58"/>
      <c r="H91" s="58"/>
      <c r="I91" s="58"/>
      <c r="J91" s="58"/>
      <c r="K91" s="58"/>
      <c r="L91" s="58"/>
      <c r="M91" s="58"/>
      <c r="N91" s="75"/>
    </row>
    <row r="92" spans="1:14" x14ac:dyDescent="0.25">
      <c r="A92" s="59"/>
      <c r="B92" s="58"/>
      <c r="C92" s="58"/>
      <c r="D92" s="58"/>
      <c r="E92" s="58"/>
      <c r="F92" s="58"/>
      <c r="G92" s="58"/>
      <c r="H92" s="58"/>
      <c r="I92" s="58"/>
      <c r="J92" s="58"/>
      <c r="K92" s="58"/>
      <c r="L92" s="58"/>
      <c r="M92" s="58"/>
      <c r="N92" s="75"/>
    </row>
    <row r="93" spans="1:14" x14ac:dyDescent="0.25">
      <c r="A93" s="59"/>
      <c r="B93" s="58"/>
      <c r="C93" s="58"/>
      <c r="D93" s="58"/>
      <c r="E93" s="58"/>
      <c r="F93" s="58"/>
      <c r="G93" s="58"/>
      <c r="H93" s="58"/>
      <c r="I93" s="58"/>
      <c r="J93" s="58"/>
      <c r="K93" s="58"/>
      <c r="L93" s="58"/>
      <c r="M93" s="58"/>
      <c r="N93" s="75"/>
    </row>
    <row r="94" spans="1:14" x14ac:dyDescent="0.25">
      <c r="A94" s="59"/>
      <c r="B94" s="58"/>
      <c r="C94" s="58"/>
      <c r="D94" s="58"/>
      <c r="E94" s="58"/>
      <c r="F94" s="58"/>
      <c r="G94" s="58"/>
      <c r="H94" s="58"/>
      <c r="I94" s="58"/>
      <c r="J94" s="58"/>
      <c r="K94" s="58"/>
      <c r="L94" s="58"/>
      <c r="M94" s="58"/>
      <c r="N94" s="75"/>
    </row>
    <row r="95" spans="1:14" x14ac:dyDescent="0.25">
      <c r="A95" s="57" t="s">
        <v>155</v>
      </c>
      <c r="B95" s="51" t="s">
        <v>156</v>
      </c>
      <c r="C95" s="51" t="s">
        <v>157</v>
      </c>
      <c r="D95" s="51" t="s">
        <v>158</v>
      </c>
      <c r="E95" s="51" t="s">
        <v>159</v>
      </c>
      <c r="F95" s="51" t="s">
        <v>160</v>
      </c>
      <c r="G95" s="51" t="s">
        <v>161</v>
      </c>
      <c r="H95" s="51" t="s">
        <v>162</v>
      </c>
      <c r="I95" s="51" t="s">
        <v>129</v>
      </c>
      <c r="J95" s="51" t="s">
        <v>163</v>
      </c>
      <c r="K95" s="51" t="s">
        <v>164</v>
      </c>
      <c r="L95" s="51" t="s">
        <v>165</v>
      </c>
      <c r="M95" s="51" t="s">
        <v>166</v>
      </c>
      <c r="N95" s="83" t="s">
        <v>167</v>
      </c>
    </row>
    <row r="96" spans="1:14" x14ac:dyDescent="0.25">
      <c r="A96" s="57" t="s">
        <v>168</v>
      </c>
      <c r="B96" s="51" t="s">
        <v>169</v>
      </c>
      <c r="C96" s="58"/>
      <c r="D96" s="51" t="s">
        <v>170</v>
      </c>
      <c r="E96" s="51" t="s">
        <v>180</v>
      </c>
      <c r="F96" s="76">
        <v>0</v>
      </c>
      <c r="G96" s="76">
        <v>0</v>
      </c>
      <c r="H96" s="81">
        <v>0</v>
      </c>
      <c r="I96" s="76">
        <v>0</v>
      </c>
      <c r="J96" s="51" t="s">
        <v>172</v>
      </c>
      <c r="K96" s="76">
        <v>212000</v>
      </c>
      <c r="L96" s="76">
        <v>175000</v>
      </c>
      <c r="M96" s="58">
        <v>0.93</v>
      </c>
      <c r="N96" s="75">
        <v>0</v>
      </c>
    </row>
    <row r="97" spans="1:18" x14ac:dyDescent="0.25">
      <c r="A97" s="57" t="s">
        <v>168</v>
      </c>
      <c r="B97" s="51" t="s">
        <v>169</v>
      </c>
      <c r="C97" s="58"/>
      <c r="D97" s="51" t="s">
        <v>170</v>
      </c>
      <c r="E97" s="51" t="s">
        <v>180</v>
      </c>
      <c r="F97" s="76">
        <v>0</v>
      </c>
      <c r="G97" s="76">
        <v>0</v>
      </c>
      <c r="H97" s="81">
        <v>0</v>
      </c>
      <c r="I97" s="76">
        <v>0</v>
      </c>
      <c r="J97" s="51" t="s">
        <v>172</v>
      </c>
      <c r="K97" s="76">
        <v>250000</v>
      </c>
      <c r="L97" s="76">
        <v>211000</v>
      </c>
      <c r="M97" s="58">
        <v>0.93</v>
      </c>
      <c r="N97" s="75">
        <v>0</v>
      </c>
    </row>
    <row r="98" spans="1:18" x14ac:dyDescent="0.25">
      <c r="A98" s="57" t="s">
        <v>181</v>
      </c>
      <c r="B98" s="51" t="s">
        <v>174</v>
      </c>
      <c r="C98" s="58"/>
      <c r="D98" s="51" t="s">
        <v>170</v>
      </c>
      <c r="E98" s="51" t="s">
        <v>180</v>
      </c>
      <c r="F98" s="76">
        <v>1550000</v>
      </c>
      <c r="G98" s="76">
        <v>1050000</v>
      </c>
      <c r="H98" s="81">
        <v>0.7</v>
      </c>
      <c r="I98" s="76">
        <v>6.54</v>
      </c>
      <c r="J98" s="51" t="s">
        <v>172</v>
      </c>
      <c r="K98" s="76">
        <v>237000</v>
      </c>
      <c r="L98" s="76">
        <v>192000</v>
      </c>
      <c r="M98" s="58">
        <v>0.93</v>
      </c>
      <c r="N98" s="75">
        <v>0</v>
      </c>
    </row>
    <row r="99" spans="1:18" x14ac:dyDescent="0.25">
      <c r="A99" s="57" t="s">
        <v>181</v>
      </c>
      <c r="B99" s="51" t="s">
        <v>174</v>
      </c>
      <c r="C99" s="58"/>
      <c r="D99" s="51" t="s">
        <v>170</v>
      </c>
      <c r="E99" s="51" t="s">
        <v>180</v>
      </c>
      <c r="F99" s="76">
        <v>1580000</v>
      </c>
      <c r="G99" s="76">
        <v>1070000</v>
      </c>
      <c r="H99" s="81">
        <v>0.69</v>
      </c>
      <c r="I99" s="76">
        <v>7.32</v>
      </c>
      <c r="J99" s="51" t="s">
        <v>172</v>
      </c>
      <c r="K99" s="76">
        <v>216000</v>
      </c>
      <c r="L99" s="76">
        <v>182000</v>
      </c>
      <c r="M99" s="58">
        <v>0.92</v>
      </c>
      <c r="N99" s="75">
        <v>0</v>
      </c>
    </row>
    <row r="100" spans="1:18" x14ac:dyDescent="0.25">
      <c r="A100" s="57" t="s">
        <v>182</v>
      </c>
      <c r="B100" s="51" t="s">
        <v>174</v>
      </c>
      <c r="C100" s="58"/>
      <c r="D100" s="51" t="s">
        <v>170</v>
      </c>
      <c r="E100" s="51" t="s">
        <v>180</v>
      </c>
      <c r="F100" s="76">
        <v>130000</v>
      </c>
      <c r="G100" s="76">
        <v>87500</v>
      </c>
      <c r="H100" s="81">
        <v>0.69</v>
      </c>
      <c r="I100" s="76">
        <v>0.56699999999999995</v>
      </c>
      <c r="J100" s="51" t="s">
        <v>172</v>
      </c>
      <c r="K100" s="76">
        <v>230000</v>
      </c>
      <c r="L100" s="76">
        <v>192000</v>
      </c>
      <c r="M100" s="58">
        <v>0.92</v>
      </c>
      <c r="N100" s="75">
        <v>0</v>
      </c>
    </row>
    <row r="101" spans="1:18" x14ac:dyDescent="0.25">
      <c r="A101" s="57" t="s">
        <v>182</v>
      </c>
      <c r="B101" s="51" t="s">
        <v>174</v>
      </c>
      <c r="C101" s="58"/>
      <c r="D101" s="51" t="s">
        <v>170</v>
      </c>
      <c r="E101" s="51" t="s">
        <v>180</v>
      </c>
      <c r="F101" s="76">
        <v>126000</v>
      </c>
      <c r="G101" s="76">
        <v>84100</v>
      </c>
      <c r="H101" s="81">
        <v>0.69</v>
      </c>
      <c r="I101" s="76">
        <v>0.53500000000000003</v>
      </c>
      <c r="J101" s="51" t="s">
        <v>172</v>
      </c>
      <c r="K101" s="76">
        <v>235000</v>
      </c>
      <c r="L101" s="76">
        <v>195000</v>
      </c>
      <c r="M101" s="58">
        <v>0.92</v>
      </c>
      <c r="N101" s="75">
        <v>0</v>
      </c>
    </row>
    <row r="102" spans="1:18" x14ac:dyDescent="0.25">
      <c r="A102" s="57" t="s">
        <v>183</v>
      </c>
      <c r="B102" s="51" t="s">
        <v>174</v>
      </c>
      <c r="C102" s="58"/>
      <c r="D102" s="51" t="s">
        <v>170</v>
      </c>
      <c r="E102" s="51" t="s">
        <v>180</v>
      </c>
      <c r="F102" s="76">
        <v>1560000</v>
      </c>
      <c r="G102" s="76">
        <v>1060000</v>
      </c>
      <c r="H102" s="81">
        <v>0.7</v>
      </c>
      <c r="I102" s="76">
        <v>6.66</v>
      </c>
      <c r="J102" s="51" t="s">
        <v>172</v>
      </c>
      <c r="K102" s="76">
        <v>234000</v>
      </c>
      <c r="L102" s="76">
        <v>198000</v>
      </c>
      <c r="M102" s="58">
        <v>0.92</v>
      </c>
      <c r="N102" s="75">
        <v>0</v>
      </c>
    </row>
    <row r="103" spans="1:18" x14ac:dyDescent="0.25">
      <c r="A103" s="77" t="s">
        <v>183</v>
      </c>
      <c r="B103" s="78" t="s">
        <v>174</v>
      </c>
      <c r="C103" s="79"/>
      <c r="D103" s="78" t="s">
        <v>170</v>
      </c>
      <c r="E103" s="78" t="s">
        <v>180</v>
      </c>
      <c r="F103" s="80">
        <v>1510000</v>
      </c>
      <c r="G103" s="80">
        <v>1020000</v>
      </c>
      <c r="H103" s="82">
        <v>0.7</v>
      </c>
      <c r="I103" s="80">
        <v>6.52</v>
      </c>
      <c r="J103" s="78" t="s">
        <v>172</v>
      </c>
      <c r="K103" s="80">
        <v>231000</v>
      </c>
      <c r="L103" s="80">
        <v>192000</v>
      </c>
      <c r="M103" s="79">
        <v>0.92</v>
      </c>
      <c r="N103" s="84">
        <v>0</v>
      </c>
    </row>
    <row r="104" spans="1:18" x14ac:dyDescent="0.25">
      <c r="A104" s="58"/>
      <c r="B104" s="58"/>
      <c r="C104" s="58"/>
      <c r="D104" s="58"/>
      <c r="E104" s="58"/>
      <c r="F104" s="76"/>
      <c r="G104" s="76"/>
      <c r="H104" s="58"/>
      <c r="I104" s="76"/>
      <c r="J104" s="58"/>
      <c r="K104" s="76"/>
      <c r="L104" s="76"/>
      <c r="M104" s="58"/>
      <c r="N104" s="58"/>
    </row>
    <row r="105" spans="1:18" s="31" customFormat="1" x14ac:dyDescent="0.25">
      <c r="A105" s="58"/>
      <c r="B105" s="58"/>
      <c r="C105" s="58"/>
      <c r="D105" s="58"/>
      <c r="E105" s="58"/>
      <c r="F105" s="76"/>
      <c r="G105" s="76"/>
      <c r="H105" s="58"/>
      <c r="I105" s="76"/>
      <c r="J105" s="58"/>
      <c r="K105" s="76"/>
      <c r="L105" s="76"/>
      <c r="M105" s="58"/>
      <c r="N105" s="58"/>
      <c r="O105" s="30"/>
      <c r="P105" s="30"/>
      <c r="Q105" s="30"/>
      <c r="R105" s="30"/>
    </row>
    <row r="106" spans="1:18" x14ac:dyDescent="0.25">
      <c r="A106" s="58"/>
      <c r="B106" s="58"/>
      <c r="C106" s="58"/>
      <c r="D106" s="58"/>
      <c r="E106" s="58"/>
      <c r="F106" s="76"/>
      <c r="G106" s="76"/>
      <c r="H106" s="58"/>
      <c r="I106" s="76"/>
      <c r="J106" s="58"/>
      <c r="K106" s="76"/>
      <c r="L106" s="76"/>
      <c r="M106" s="58"/>
      <c r="N106" s="58"/>
    </row>
    <row r="107" spans="1:18" x14ac:dyDescent="0.25">
      <c r="A107" s="55" t="s">
        <v>140</v>
      </c>
      <c r="B107" s="56"/>
      <c r="C107" s="56"/>
      <c r="D107" s="56"/>
      <c r="E107" s="56"/>
      <c r="F107" s="56"/>
      <c r="G107" s="56"/>
      <c r="H107" s="56"/>
      <c r="I107" s="56"/>
      <c r="J107" s="56"/>
      <c r="K107" s="56"/>
      <c r="L107" s="56"/>
      <c r="M107" s="56"/>
      <c r="N107" s="74"/>
    </row>
    <row r="108" spans="1:18" x14ac:dyDescent="0.25">
      <c r="A108" s="57" t="s">
        <v>141</v>
      </c>
      <c r="B108" s="58"/>
      <c r="C108" s="58"/>
      <c r="D108" s="58"/>
      <c r="E108" s="58"/>
      <c r="F108" s="58"/>
      <c r="G108" s="58"/>
      <c r="H108" s="58"/>
      <c r="I108" s="58"/>
      <c r="J108" s="58"/>
      <c r="K108" s="58"/>
      <c r="L108" s="58"/>
      <c r="M108" s="58"/>
      <c r="N108" s="75"/>
    </row>
    <row r="109" spans="1:18" x14ac:dyDescent="0.25">
      <c r="A109" s="57" t="s">
        <v>177</v>
      </c>
      <c r="B109" s="58"/>
      <c r="C109" s="58"/>
      <c r="D109" s="58"/>
      <c r="E109" s="58"/>
      <c r="F109" s="58"/>
      <c r="G109" s="58"/>
      <c r="H109" s="58"/>
      <c r="I109" s="58"/>
      <c r="J109" s="58"/>
      <c r="K109" s="58"/>
      <c r="L109" s="58"/>
      <c r="M109" s="58"/>
      <c r="N109" s="75"/>
    </row>
    <row r="110" spans="1:18" x14ac:dyDescent="0.25">
      <c r="A110" s="59"/>
      <c r="B110" s="58"/>
      <c r="C110" s="58"/>
      <c r="D110" s="58"/>
      <c r="E110" s="58"/>
      <c r="F110" s="58"/>
      <c r="G110" s="58"/>
      <c r="H110" s="58"/>
      <c r="I110" s="58"/>
      <c r="J110" s="58"/>
      <c r="K110" s="58"/>
      <c r="L110" s="58"/>
      <c r="M110" s="58"/>
      <c r="N110" s="75"/>
    </row>
    <row r="111" spans="1:18" x14ac:dyDescent="0.25">
      <c r="A111" s="57" t="s">
        <v>184</v>
      </c>
      <c r="B111" s="58"/>
      <c r="C111" s="58"/>
      <c r="D111" s="58"/>
      <c r="E111" s="58"/>
      <c r="F111" s="58"/>
      <c r="G111" s="58"/>
      <c r="H111" s="58"/>
      <c r="I111" s="58"/>
      <c r="J111" s="58"/>
      <c r="K111" s="58"/>
      <c r="L111" s="58"/>
      <c r="M111" s="58"/>
      <c r="N111" s="75"/>
    </row>
    <row r="112" spans="1:18" x14ac:dyDescent="0.25">
      <c r="A112" s="57" t="s">
        <v>144</v>
      </c>
      <c r="B112" s="58"/>
      <c r="C112" s="58"/>
      <c r="D112" s="58"/>
      <c r="E112" s="58"/>
      <c r="F112" s="58"/>
      <c r="G112" s="58"/>
      <c r="H112" s="58"/>
      <c r="I112" s="58"/>
      <c r="J112" s="58"/>
      <c r="K112" s="58"/>
      <c r="L112" s="58"/>
      <c r="M112" s="58"/>
      <c r="N112" s="75"/>
    </row>
    <row r="113" spans="1:14" x14ac:dyDescent="0.25">
      <c r="A113" s="57" t="s">
        <v>185</v>
      </c>
      <c r="B113" s="58"/>
      <c r="C113" s="58"/>
      <c r="D113" s="58"/>
      <c r="E113" s="58"/>
      <c r="F113" s="58"/>
      <c r="G113" s="58"/>
      <c r="H113" s="58"/>
      <c r="I113" s="58"/>
      <c r="J113" s="58"/>
      <c r="K113" s="58"/>
      <c r="L113" s="58"/>
      <c r="M113" s="58"/>
      <c r="N113" s="75"/>
    </row>
    <row r="114" spans="1:14" x14ac:dyDescent="0.25">
      <c r="A114" s="59"/>
      <c r="B114" s="58"/>
      <c r="C114" s="58"/>
      <c r="D114" s="58"/>
      <c r="E114" s="58"/>
      <c r="F114" s="58"/>
      <c r="G114" s="58"/>
      <c r="H114" s="58"/>
      <c r="I114" s="58"/>
      <c r="J114" s="58"/>
      <c r="K114" s="58"/>
      <c r="L114" s="58"/>
      <c r="M114" s="58"/>
      <c r="N114" s="75"/>
    </row>
    <row r="115" spans="1:14" x14ac:dyDescent="0.25">
      <c r="A115" s="57" t="s">
        <v>146</v>
      </c>
      <c r="B115" s="51" t="s">
        <v>147</v>
      </c>
      <c r="C115" s="51" t="s">
        <v>148</v>
      </c>
      <c r="D115" s="51" t="s">
        <v>149</v>
      </c>
      <c r="E115" s="51" t="s">
        <v>150</v>
      </c>
      <c r="F115" s="51" t="s">
        <v>151</v>
      </c>
      <c r="G115" s="58"/>
      <c r="H115" s="58"/>
      <c r="I115" s="58"/>
      <c r="J115" s="58"/>
      <c r="K115" s="58"/>
      <c r="L115" s="58"/>
      <c r="M115" s="58"/>
      <c r="N115" s="75"/>
    </row>
    <row r="116" spans="1:14" x14ac:dyDescent="0.25">
      <c r="A116" s="57" t="s">
        <v>152</v>
      </c>
      <c r="B116" s="51" t="s">
        <v>153</v>
      </c>
      <c r="C116" s="58"/>
      <c r="D116" s="58"/>
      <c r="E116" s="58"/>
      <c r="F116" s="58"/>
      <c r="G116" s="58"/>
      <c r="H116" s="58"/>
      <c r="I116" s="58"/>
      <c r="J116" s="58"/>
      <c r="K116" s="58"/>
      <c r="L116" s="58"/>
      <c r="M116" s="58"/>
      <c r="N116" s="75"/>
    </row>
    <row r="117" spans="1:14" x14ac:dyDescent="0.25">
      <c r="A117" s="57" t="s">
        <v>154</v>
      </c>
      <c r="B117" s="58"/>
      <c r="C117" s="58"/>
      <c r="D117" s="58"/>
      <c r="E117" s="58"/>
      <c r="F117" s="58"/>
      <c r="G117" s="58"/>
      <c r="H117" s="58"/>
      <c r="I117" s="58"/>
      <c r="J117" s="58"/>
      <c r="K117" s="58"/>
      <c r="L117" s="58"/>
      <c r="M117" s="58"/>
      <c r="N117" s="75"/>
    </row>
    <row r="118" spans="1:14" x14ac:dyDescent="0.25">
      <c r="A118" s="59"/>
      <c r="B118" s="58"/>
      <c r="C118" s="58"/>
      <c r="D118" s="58"/>
      <c r="E118" s="58"/>
      <c r="F118" s="58"/>
      <c r="G118" s="58"/>
      <c r="H118" s="58"/>
      <c r="I118" s="58"/>
      <c r="J118" s="58"/>
      <c r="K118" s="58"/>
      <c r="L118" s="58"/>
      <c r="M118" s="58"/>
      <c r="N118" s="75"/>
    </row>
    <row r="119" spans="1:14" x14ac:dyDescent="0.25">
      <c r="A119" s="59"/>
      <c r="B119" s="58"/>
      <c r="C119" s="58"/>
      <c r="D119" s="58"/>
      <c r="E119" s="58"/>
      <c r="F119" s="58"/>
      <c r="G119" s="58"/>
      <c r="H119" s="58"/>
      <c r="I119" s="58"/>
      <c r="J119" s="58"/>
      <c r="K119" s="58"/>
      <c r="L119" s="58"/>
      <c r="M119" s="58"/>
      <c r="N119" s="75"/>
    </row>
    <row r="120" spans="1:14" x14ac:dyDescent="0.25">
      <c r="A120" s="59"/>
      <c r="B120" s="58"/>
      <c r="C120" s="58"/>
      <c r="D120" s="58"/>
      <c r="E120" s="58"/>
      <c r="F120" s="58"/>
      <c r="G120" s="58"/>
      <c r="H120" s="58"/>
      <c r="I120" s="58"/>
      <c r="J120" s="58"/>
      <c r="K120" s="58"/>
      <c r="L120" s="58"/>
      <c r="M120" s="58"/>
      <c r="N120" s="75"/>
    </row>
    <row r="121" spans="1:14" x14ac:dyDescent="0.25">
      <c r="A121" s="57" t="s">
        <v>155</v>
      </c>
      <c r="B121" s="51" t="s">
        <v>156</v>
      </c>
      <c r="C121" s="51" t="s">
        <v>157</v>
      </c>
      <c r="D121" s="51" t="s">
        <v>158</v>
      </c>
      <c r="E121" s="51" t="s">
        <v>159</v>
      </c>
      <c r="F121" s="51" t="s">
        <v>160</v>
      </c>
      <c r="G121" s="51" t="s">
        <v>161</v>
      </c>
      <c r="H121" s="51" t="s">
        <v>162</v>
      </c>
      <c r="I121" s="51" t="s">
        <v>129</v>
      </c>
      <c r="J121" s="51" t="s">
        <v>163</v>
      </c>
      <c r="K121" s="51" t="s">
        <v>164</v>
      </c>
      <c r="L121" s="51" t="s">
        <v>165</v>
      </c>
      <c r="M121" s="51" t="s">
        <v>166</v>
      </c>
      <c r="N121" s="83" t="s">
        <v>167</v>
      </c>
    </row>
    <row r="122" spans="1:14" x14ac:dyDescent="0.25">
      <c r="A122" s="57" t="s">
        <v>168</v>
      </c>
      <c r="B122" s="51" t="s">
        <v>169</v>
      </c>
      <c r="C122" s="58"/>
      <c r="D122" s="51" t="s">
        <v>170</v>
      </c>
      <c r="E122" s="51" t="s">
        <v>186</v>
      </c>
      <c r="F122" s="76">
        <v>0</v>
      </c>
      <c r="G122" s="76">
        <v>0</v>
      </c>
      <c r="H122" s="58">
        <v>0</v>
      </c>
      <c r="I122" s="76">
        <v>0</v>
      </c>
      <c r="J122" s="51" t="s">
        <v>172</v>
      </c>
      <c r="K122" s="76">
        <v>213000</v>
      </c>
      <c r="L122" s="76">
        <v>145000</v>
      </c>
      <c r="M122" s="58">
        <v>1.21</v>
      </c>
      <c r="N122" s="75">
        <v>0</v>
      </c>
    </row>
    <row r="123" spans="1:14" x14ac:dyDescent="0.25">
      <c r="A123" s="57" t="s">
        <v>168</v>
      </c>
      <c r="B123" s="51" t="s">
        <v>169</v>
      </c>
      <c r="C123" s="58"/>
      <c r="D123" s="51" t="s">
        <v>170</v>
      </c>
      <c r="E123" s="51" t="s">
        <v>186</v>
      </c>
      <c r="F123" s="76">
        <v>0</v>
      </c>
      <c r="G123" s="76">
        <v>0</v>
      </c>
      <c r="H123" s="58">
        <v>0</v>
      </c>
      <c r="I123" s="76">
        <v>0</v>
      </c>
      <c r="J123" s="51" t="s">
        <v>172</v>
      </c>
      <c r="K123" s="76">
        <v>214000</v>
      </c>
      <c r="L123" s="76">
        <v>148000</v>
      </c>
      <c r="M123" s="58">
        <v>1.21</v>
      </c>
      <c r="N123" s="75">
        <v>0</v>
      </c>
    </row>
    <row r="124" spans="1:14" x14ac:dyDescent="0.25">
      <c r="A124" s="57" t="s">
        <v>187</v>
      </c>
      <c r="B124" s="51" t="s">
        <v>174</v>
      </c>
      <c r="C124" s="58"/>
      <c r="D124" s="51" t="s">
        <v>170</v>
      </c>
      <c r="E124" s="51" t="s">
        <v>186</v>
      </c>
      <c r="F124" s="76">
        <v>1310000</v>
      </c>
      <c r="G124" s="76">
        <v>673000</v>
      </c>
      <c r="H124" s="58">
        <v>0.98</v>
      </c>
      <c r="I124" s="76">
        <v>6.44</v>
      </c>
      <c r="J124" s="51" t="s">
        <v>172</v>
      </c>
      <c r="K124" s="76">
        <v>204000</v>
      </c>
      <c r="L124" s="76">
        <v>144000</v>
      </c>
      <c r="M124" s="58">
        <v>1.21</v>
      </c>
      <c r="N124" s="75">
        <v>0</v>
      </c>
    </row>
    <row r="125" spans="1:14" x14ac:dyDescent="0.25">
      <c r="A125" s="57" t="s">
        <v>187</v>
      </c>
      <c r="B125" s="51" t="s">
        <v>174</v>
      </c>
      <c r="C125" s="58"/>
      <c r="D125" s="51" t="s">
        <v>170</v>
      </c>
      <c r="E125" s="51" t="s">
        <v>186</v>
      </c>
      <c r="F125" s="76">
        <v>1300000</v>
      </c>
      <c r="G125" s="76">
        <v>665000</v>
      </c>
      <c r="H125" s="58">
        <v>0.98</v>
      </c>
      <c r="I125" s="76">
        <v>6.84</v>
      </c>
      <c r="J125" s="51" t="s">
        <v>172</v>
      </c>
      <c r="K125" s="76">
        <v>191000</v>
      </c>
      <c r="L125" s="76">
        <v>133000</v>
      </c>
      <c r="M125" s="58">
        <v>1.21</v>
      </c>
      <c r="N125" s="75">
        <v>0</v>
      </c>
    </row>
    <row r="126" spans="1:14" x14ac:dyDescent="0.25">
      <c r="A126" s="57" t="s">
        <v>188</v>
      </c>
      <c r="B126" s="51" t="s">
        <v>174</v>
      </c>
      <c r="C126" s="58"/>
      <c r="D126" s="51" t="s">
        <v>170</v>
      </c>
      <c r="E126" s="51" t="s">
        <v>186</v>
      </c>
      <c r="F126" s="76">
        <v>22900</v>
      </c>
      <c r="G126" s="76">
        <v>11300</v>
      </c>
      <c r="H126" s="58">
        <v>0.98</v>
      </c>
      <c r="I126" s="76">
        <v>0.106</v>
      </c>
      <c r="J126" s="51" t="s">
        <v>172</v>
      </c>
      <c r="K126" s="76">
        <v>217000</v>
      </c>
      <c r="L126" s="76">
        <v>154000</v>
      </c>
      <c r="M126" s="58">
        <v>1.2</v>
      </c>
      <c r="N126" s="75">
        <v>0</v>
      </c>
    </row>
    <row r="127" spans="1:14" x14ac:dyDescent="0.25">
      <c r="A127" s="57" t="s">
        <v>188</v>
      </c>
      <c r="B127" s="51" t="s">
        <v>174</v>
      </c>
      <c r="C127" s="58"/>
      <c r="D127" s="51" t="s">
        <v>170</v>
      </c>
      <c r="E127" s="51" t="s">
        <v>186</v>
      </c>
      <c r="F127" s="76">
        <v>22300</v>
      </c>
      <c r="G127" s="76">
        <v>11400</v>
      </c>
      <c r="H127" s="58">
        <v>0.98</v>
      </c>
      <c r="I127" s="76">
        <v>0.11600000000000001</v>
      </c>
      <c r="J127" s="51" t="s">
        <v>172</v>
      </c>
      <c r="K127" s="76">
        <v>192000</v>
      </c>
      <c r="L127" s="76">
        <v>134000</v>
      </c>
      <c r="M127" s="58">
        <v>1.21</v>
      </c>
      <c r="N127" s="75">
        <v>0</v>
      </c>
    </row>
    <row r="128" spans="1:14" x14ac:dyDescent="0.25">
      <c r="A128" s="57" t="s">
        <v>189</v>
      </c>
      <c r="B128" s="51" t="s">
        <v>174</v>
      </c>
      <c r="C128" s="58"/>
      <c r="D128" s="51" t="s">
        <v>170</v>
      </c>
      <c r="E128" s="51" t="s">
        <v>186</v>
      </c>
      <c r="F128" s="76">
        <v>1300000</v>
      </c>
      <c r="G128" s="76">
        <v>659000</v>
      </c>
      <c r="H128" s="58">
        <v>0.99</v>
      </c>
      <c r="I128" s="76">
        <v>6.25</v>
      </c>
      <c r="J128" s="51" t="s">
        <v>172</v>
      </c>
      <c r="K128" s="76">
        <v>208000</v>
      </c>
      <c r="L128" s="76">
        <v>144000</v>
      </c>
      <c r="M128" s="58">
        <v>1.21</v>
      </c>
      <c r="N128" s="75">
        <v>0</v>
      </c>
    </row>
    <row r="129" spans="1:14" x14ac:dyDescent="0.25">
      <c r="A129" s="77" t="s">
        <v>189</v>
      </c>
      <c r="B129" s="78" t="s">
        <v>174</v>
      </c>
      <c r="C129" s="79"/>
      <c r="D129" s="78" t="s">
        <v>170</v>
      </c>
      <c r="E129" s="78" t="s">
        <v>186</v>
      </c>
      <c r="F129" s="80">
        <v>1360000</v>
      </c>
      <c r="G129" s="80">
        <v>706000</v>
      </c>
      <c r="H129" s="79">
        <v>0.98</v>
      </c>
      <c r="I129" s="80">
        <v>6.51</v>
      </c>
      <c r="J129" s="78" t="s">
        <v>172</v>
      </c>
      <c r="K129" s="80">
        <v>209000</v>
      </c>
      <c r="L129" s="80">
        <v>148000</v>
      </c>
      <c r="M129" s="79">
        <v>1.2</v>
      </c>
      <c r="N129" s="84">
        <v>0</v>
      </c>
    </row>
    <row r="130" spans="1:14" x14ac:dyDescent="0.25">
      <c r="H130" s="85"/>
      <c r="K130" s="86"/>
    </row>
    <row r="131" spans="1:14" x14ac:dyDescent="0.25">
      <c r="H131" s="85"/>
      <c r="K131" s="86"/>
    </row>
    <row r="132" spans="1:14" x14ac:dyDescent="0.25">
      <c r="H132" s="85"/>
      <c r="K132" s="86"/>
    </row>
    <row r="133" spans="1:14" x14ac:dyDescent="0.25">
      <c r="A133" s="55" t="s">
        <v>140</v>
      </c>
      <c r="B133" s="56"/>
      <c r="C133" s="56"/>
      <c r="D133" s="56"/>
      <c r="E133" s="56"/>
      <c r="F133" s="56"/>
      <c r="G133" s="56"/>
      <c r="H133" s="56"/>
      <c r="I133" s="56"/>
      <c r="J133" s="56"/>
      <c r="K133" s="56"/>
      <c r="L133" s="56"/>
      <c r="M133" s="56"/>
      <c r="N133" s="74"/>
    </row>
    <row r="134" spans="1:14" x14ac:dyDescent="0.25">
      <c r="A134" s="57" t="s">
        <v>141</v>
      </c>
      <c r="B134" s="58"/>
      <c r="C134" s="58"/>
      <c r="D134" s="58"/>
      <c r="E134" s="58"/>
      <c r="F134" s="58"/>
      <c r="G134" s="58"/>
      <c r="H134" s="58"/>
      <c r="I134" s="58"/>
      <c r="J134" s="58"/>
      <c r="K134" s="58"/>
      <c r="L134" s="58"/>
      <c r="M134" s="58"/>
      <c r="N134" s="75"/>
    </row>
    <row r="135" spans="1:14" x14ac:dyDescent="0.25">
      <c r="A135" s="57" t="s">
        <v>177</v>
      </c>
      <c r="B135" s="58"/>
      <c r="C135" s="58"/>
      <c r="D135" s="58"/>
      <c r="E135" s="58"/>
      <c r="F135" s="58"/>
      <c r="G135" s="58"/>
      <c r="H135" s="58"/>
      <c r="I135" s="58"/>
      <c r="J135" s="58"/>
      <c r="K135" s="58"/>
      <c r="L135" s="58"/>
      <c r="M135" s="58"/>
      <c r="N135" s="75"/>
    </row>
    <row r="136" spans="1:14" x14ac:dyDescent="0.25">
      <c r="A136" s="59"/>
      <c r="B136" s="58"/>
      <c r="C136" s="58"/>
      <c r="D136" s="58"/>
      <c r="E136" s="58"/>
      <c r="F136" s="58"/>
      <c r="G136" s="58"/>
      <c r="H136" s="58"/>
      <c r="I136" s="58"/>
      <c r="J136" s="58"/>
      <c r="K136" s="58"/>
      <c r="L136" s="58"/>
      <c r="M136" s="58"/>
      <c r="N136" s="75"/>
    </row>
    <row r="137" spans="1:14" x14ac:dyDescent="0.25">
      <c r="A137" s="57" t="s">
        <v>190</v>
      </c>
      <c r="B137" s="58"/>
      <c r="C137" s="58"/>
      <c r="D137" s="58"/>
      <c r="E137" s="58"/>
      <c r="F137" s="58"/>
      <c r="G137" s="58"/>
      <c r="H137" s="58"/>
      <c r="I137" s="58"/>
      <c r="J137" s="58"/>
      <c r="K137" s="58"/>
      <c r="L137" s="58"/>
      <c r="M137" s="58"/>
      <c r="N137" s="75"/>
    </row>
    <row r="138" spans="1:14" x14ac:dyDescent="0.25">
      <c r="A138" s="57" t="s">
        <v>144</v>
      </c>
      <c r="B138" s="58"/>
      <c r="C138" s="58"/>
      <c r="D138" s="58"/>
      <c r="E138" s="58"/>
      <c r="F138" s="58"/>
      <c r="G138" s="58"/>
      <c r="H138" s="58"/>
      <c r="I138" s="58"/>
      <c r="J138" s="58"/>
      <c r="K138" s="58"/>
      <c r="L138" s="58"/>
      <c r="M138" s="58"/>
      <c r="N138" s="75"/>
    </row>
    <row r="139" spans="1:14" x14ac:dyDescent="0.25">
      <c r="A139" s="57" t="s">
        <v>191</v>
      </c>
      <c r="B139" s="58"/>
      <c r="C139" s="58"/>
      <c r="D139" s="58"/>
      <c r="E139" s="58"/>
      <c r="F139" s="58"/>
      <c r="G139" s="58"/>
      <c r="H139" s="58"/>
      <c r="I139" s="58"/>
      <c r="J139" s="58"/>
      <c r="K139" s="58"/>
      <c r="L139" s="58"/>
      <c r="M139" s="58"/>
      <c r="N139" s="75"/>
    </row>
    <row r="140" spans="1:14" x14ac:dyDescent="0.25">
      <c r="A140" s="59"/>
      <c r="B140" s="58"/>
      <c r="C140" s="58"/>
      <c r="D140" s="58"/>
      <c r="E140" s="58"/>
      <c r="F140" s="58"/>
      <c r="G140" s="58"/>
      <c r="H140" s="58"/>
      <c r="I140" s="58"/>
      <c r="J140" s="58"/>
      <c r="K140" s="58"/>
      <c r="L140" s="58"/>
      <c r="M140" s="58"/>
      <c r="N140" s="75"/>
    </row>
    <row r="141" spans="1:14" x14ac:dyDescent="0.25">
      <c r="A141" s="57" t="s">
        <v>146</v>
      </c>
      <c r="B141" s="51" t="s">
        <v>147</v>
      </c>
      <c r="C141" s="51" t="s">
        <v>148</v>
      </c>
      <c r="D141" s="51" t="s">
        <v>149</v>
      </c>
      <c r="E141" s="51" t="s">
        <v>150</v>
      </c>
      <c r="F141" s="51" t="s">
        <v>151</v>
      </c>
      <c r="G141" s="58"/>
      <c r="H141" s="58"/>
      <c r="I141" s="58"/>
      <c r="J141" s="58"/>
      <c r="K141" s="58"/>
      <c r="L141" s="58"/>
      <c r="M141" s="58"/>
      <c r="N141" s="75"/>
    </row>
    <row r="142" spans="1:14" x14ac:dyDescent="0.25">
      <c r="A142" s="57" t="s">
        <v>152</v>
      </c>
      <c r="B142" s="51" t="s">
        <v>153</v>
      </c>
      <c r="C142" s="58"/>
      <c r="D142" s="58"/>
      <c r="E142" s="58"/>
      <c r="F142" s="58"/>
      <c r="G142" s="58"/>
      <c r="H142" s="58"/>
      <c r="I142" s="58"/>
      <c r="J142" s="58"/>
      <c r="K142" s="58"/>
      <c r="L142" s="58"/>
      <c r="M142" s="58"/>
      <c r="N142" s="75"/>
    </row>
    <row r="143" spans="1:14" x14ac:dyDescent="0.25">
      <c r="A143" s="57" t="s">
        <v>154</v>
      </c>
      <c r="B143" s="58"/>
      <c r="C143" s="58"/>
      <c r="D143" s="58"/>
      <c r="E143" s="58"/>
      <c r="F143" s="58"/>
      <c r="G143" s="58"/>
      <c r="H143" s="58"/>
      <c r="I143" s="58"/>
      <c r="J143" s="58"/>
      <c r="K143" s="58"/>
      <c r="L143" s="58"/>
      <c r="M143" s="58"/>
      <c r="N143" s="75"/>
    </row>
    <row r="144" spans="1:14" x14ac:dyDescent="0.25">
      <c r="A144" s="59"/>
      <c r="B144" s="58"/>
      <c r="C144" s="58"/>
      <c r="D144" s="58"/>
      <c r="E144" s="58"/>
      <c r="F144" s="58"/>
      <c r="G144" s="58"/>
      <c r="H144" s="58"/>
      <c r="I144" s="58"/>
      <c r="J144" s="58"/>
      <c r="K144" s="58"/>
      <c r="L144" s="58"/>
      <c r="M144" s="58"/>
      <c r="N144" s="75"/>
    </row>
    <row r="145" spans="1:14" x14ac:dyDescent="0.25">
      <c r="A145" s="59"/>
      <c r="B145" s="58"/>
      <c r="C145" s="58"/>
      <c r="D145" s="58"/>
      <c r="E145" s="58"/>
      <c r="F145" s="58"/>
      <c r="G145" s="58"/>
      <c r="H145" s="58"/>
      <c r="I145" s="58"/>
      <c r="J145" s="58"/>
      <c r="K145" s="58"/>
      <c r="L145" s="58"/>
      <c r="M145" s="58"/>
      <c r="N145" s="75"/>
    </row>
    <row r="146" spans="1:14" x14ac:dyDescent="0.25">
      <c r="A146" s="59"/>
      <c r="B146" s="58"/>
      <c r="C146" s="58"/>
      <c r="D146" s="58"/>
      <c r="E146" s="58"/>
      <c r="F146" s="58"/>
      <c r="G146" s="58"/>
      <c r="H146" s="58"/>
      <c r="I146" s="58"/>
      <c r="J146" s="58"/>
      <c r="K146" s="58"/>
      <c r="L146" s="58"/>
      <c r="M146" s="58"/>
      <c r="N146" s="75"/>
    </row>
    <row r="147" spans="1:14" x14ac:dyDescent="0.25">
      <c r="A147" s="57" t="s">
        <v>155</v>
      </c>
      <c r="B147" s="51" t="s">
        <v>156</v>
      </c>
      <c r="C147" s="51" t="s">
        <v>157</v>
      </c>
      <c r="D147" s="51" t="s">
        <v>158</v>
      </c>
      <c r="E147" s="51" t="s">
        <v>159</v>
      </c>
      <c r="F147" s="51" t="s">
        <v>160</v>
      </c>
      <c r="G147" s="51" t="s">
        <v>161</v>
      </c>
      <c r="H147" s="51" t="s">
        <v>162</v>
      </c>
      <c r="I147" s="51" t="s">
        <v>129</v>
      </c>
      <c r="J147" s="51" t="s">
        <v>163</v>
      </c>
      <c r="K147" s="51" t="s">
        <v>164</v>
      </c>
      <c r="L147" s="51" t="s">
        <v>165</v>
      </c>
      <c r="M147" s="51" t="s">
        <v>166</v>
      </c>
      <c r="N147" s="83" t="s">
        <v>167</v>
      </c>
    </row>
    <row r="148" spans="1:14" x14ac:dyDescent="0.25">
      <c r="A148" s="57" t="s">
        <v>168</v>
      </c>
      <c r="B148" s="51" t="s">
        <v>169</v>
      </c>
      <c r="C148" s="58"/>
      <c r="D148" s="51" t="s">
        <v>170</v>
      </c>
      <c r="E148" s="51" t="s">
        <v>192</v>
      </c>
      <c r="F148" s="76">
        <v>0</v>
      </c>
      <c r="G148" s="76">
        <v>0</v>
      </c>
      <c r="H148" s="58">
        <v>0</v>
      </c>
      <c r="I148" s="76">
        <v>0</v>
      </c>
      <c r="J148" s="51" t="s">
        <v>172</v>
      </c>
      <c r="K148" s="76">
        <v>195000</v>
      </c>
      <c r="L148" s="76">
        <v>129000</v>
      </c>
      <c r="M148" s="58">
        <v>1.27</v>
      </c>
      <c r="N148" s="75">
        <v>0</v>
      </c>
    </row>
    <row r="149" spans="1:14" x14ac:dyDescent="0.25">
      <c r="A149" s="57" t="s">
        <v>168</v>
      </c>
      <c r="B149" s="51" t="s">
        <v>169</v>
      </c>
      <c r="C149" s="58"/>
      <c r="D149" s="51" t="s">
        <v>170</v>
      </c>
      <c r="E149" s="51" t="s">
        <v>192</v>
      </c>
      <c r="F149" s="76">
        <v>0</v>
      </c>
      <c r="G149" s="76">
        <v>0</v>
      </c>
      <c r="H149" s="58">
        <v>0</v>
      </c>
      <c r="I149" s="76">
        <v>0</v>
      </c>
      <c r="J149" s="51" t="s">
        <v>172</v>
      </c>
      <c r="K149" s="76">
        <v>217000</v>
      </c>
      <c r="L149" s="76">
        <v>137000</v>
      </c>
      <c r="M149" s="58">
        <v>1.27</v>
      </c>
      <c r="N149" s="75">
        <v>0</v>
      </c>
    </row>
    <row r="150" spans="1:14" x14ac:dyDescent="0.25">
      <c r="A150" s="57" t="s">
        <v>193</v>
      </c>
      <c r="B150" s="51" t="s">
        <v>174</v>
      </c>
      <c r="C150" s="58"/>
      <c r="D150" s="51" t="s">
        <v>170</v>
      </c>
      <c r="E150" s="51" t="s">
        <v>192</v>
      </c>
      <c r="F150" s="76">
        <v>325000</v>
      </c>
      <c r="G150" s="76">
        <v>153000</v>
      </c>
      <c r="H150" s="58">
        <v>0.76</v>
      </c>
      <c r="I150" s="76">
        <v>1.52</v>
      </c>
      <c r="J150" s="51" t="s">
        <v>172</v>
      </c>
      <c r="K150" s="76">
        <v>215000</v>
      </c>
      <c r="L150" s="76">
        <v>131000</v>
      </c>
      <c r="M150" s="58">
        <v>1.27</v>
      </c>
      <c r="N150" s="75">
        <v>0</v>
      </c>
    </row>
    <row r="151" spans="1:14" x14ac:dyDescent="0.25">
      <c r="A151" s="57" t="s">
        <v>193</v>
      </c>
      <c r="B151" s="51" t="s">
        <v>174</v>
      </c>
      <c r="C151" s="58"/>
      <c r="D151" s="51" t="s">
        <v>170</v>
      </c>
      <c r="E151" s="51" t="s">
        <v>192</v>
      </c>
      <c r="F151" s="76">
        <v>319000</v>
      </c>
      <c r="G151" s="76">
        <v>146000</v>
      </c>
      <c r="H151" s="58">
        <v>0.76</v>
      </c>
      <c r="I151" s="76">
        <v>1.44</v>
      </c>
      <c r="J151" s="51" t="s">
        <v>172</v>
      </c>
      <c r="K151" s="76">
        <v>221000</v>
      </c>
      <c r="L151" s="76">
        <v>138000</v>
      </c>
      <c r="M151" s="58">
        <v>1.27</v>
      </c>
      <c r="N151" s="75">
        <v>0</v>
      </c>
    </row>
    <row r="152" spans="1:14" x14ac:dyDescent="0.25">
      <c r="A152" s="57" t="s">
        <v>194</v>
      </c>
      <c r="B152" s="51" t="s">
        <v>174</v>
      </c>
      <c r="C152" s="58"/>
      <c r="D152" s="51" t="s">
        <v>170</v>
      </c>
      <c r="E152" s="51" t="s">
        <v>192</v>
      </c>
      <c r="F152" s="76">
        <v>11700</v>
      </c>
      <c r="G152" s="76">
        <v>5960</v>
      </c>
      <c r="H152" s="58">
        <v>0.77</v>
      </c>
      <c r="I152" s="76">
        <v>5.33E-2</v>
      </c>
      <c r="J152" s="51" t="s">
        <v>172</v>
      </c>
      <c r="K152" s="76">
        <v>220000</v>
      </c>
      <c r="L152" s="76">
        <v>135000</v>
      </c>
      <c r="M152" s="58">
        <v>1.27</v>
      </c>
      <c r="N152" s="75">
        <v>0</v>
      </c>
    </row>
    <row r="153" spans="1:14" x14ac:dyDescent="0.25">
      <c r="A153" s="57" t="s">
        <v>194</v>
      </c>
      <c r="B153" s="51" t="s">
        <v>174</v>
      </c>
      <c r="C153" s="58"/>
      <c r="D153" s="51" t="s">
        <v>170</v>
      </c>
      <c r="E153" s="51" t="s">
        <v>192</v>
      </c>
      <c r="F153" s="76">
        <v>10900</v>
      </c>
      <c r="G153" s="76">
        <v>5180</v>
      </c>
      <c r="H153" s="58">
        <v>0.76</v>
      </c>
      <c r="I153" s="76">
        <v>5.4600000000000003E-2</v>
      </c>
      <c r="J153" s="51" t="s">
        <v>172</v>
      </c>
      <c r="K153" s="76">
        <v>200000</v>
      </c>
      <c r="L153" s="76">
        <v>124000</v>
      </c>
      <c r="M153" s="58">
        <v>1.27</v>
      </c>
      <c r="N153" s="75">
        <v>0</v>
      </c>
    </row>
    <row r="154" spans="1:14" x14ac:dyDescent="0.25">
      <c r="A154" s="57" t="s">
        <v>195</v>
      </c>
      <c r="B154" s="51" t="s">
        <v>174</v>
      </c>
      <c r="C154" s="58"/>
      <c r="D154" s="51" t="s">
        <v>170</v>
      </c>
      <c r="E154" s="51" t="s">
        <v>192</v>
      </c>
      <c r="F154" s="76">
        <v>318000</v>
      </c>
      <c r="G154" s="76">
        <v>137000</v>
      </c>
      <c r="H154" s="58">
        <v>0.76</v>
      </c>
      <c r="I154" s="76">
        <v>1.5</v>
      </c>
      <c r="J154" s="51" t="s">
        <v>172</v>
      </c>
      <c r="K154" s="76">
        <v>211000</v>
      </c>
      <c r="L154" s="76">
        <v>131000</v>
      </c>
      <c r="M154" s="58">
        <v>1.26</v>
      </c>
      <c r="N154" s="75">
        <v>0</v>
      </c>
    </row>
    <row r="155" spans="1:14" x14ac:dyDescent="0.25">
      <c r="A155" s="77" t="s">
        <v>195</v>
      </c>
      <c r="B155" s="78" t="s">
        <v>174</v>
      </c>
      <c r="C155" s="79"/>
      <c r="D155" s="78" t="s">
        <v>170</v>
      </c>
      <c r="E155" s="78" t="s">
        <v>192</v>
      </c>
      <c r="F155" s="80">
        <v>322000</v>
      </c>
      <c r="G155" s="80">
        <v>145000</v>
      </c>
      <c r="H155" s="79">
        <v>0.76</v>
      </c>
      <c r="I155" s="80">
        <v>1.54</v>
      </c>
      <c r="J155" s="78" t="s">
        <v>172</v>
      </c>
      <c r="K155" s="80">
        <v>209000</v>
      </c>
      <c r="L155" s="80">
        <v>127000</v>
      </c>
      <c r="M155" s="79">
        <v>1.27</v>
      </c>
      <c r="N155" s="84">
        <v>0</v>
      </c>
    </row>
    <row r="156" spans="1:14" x14ac:dyDescent="0.25">
      <c r="K156" s="86"/>
    </row>
    <row r="157" spans="1:14" x14ac:dyDescent="0.25">
      <c r="K157" s="86"/>
    </row>
    <row r="158" spans="1:14" x14ac:dyDescent="0.25">
      <c r="K158" s="86"/>
    </row>
    <row r="159" spans="1:14" x14ac:dyDescent="0.25">
      <c r="K159" s="86"/>
    </row>
    <row r="160" spans="1:14" x14ac:dyDescent="0.25">
      <c r="K160" s="86"/>
    </row>
    <row r="161" spans="11:11" x14ac:dyDescent="0.25">
      <c r="K161" s="86"/>
    </row>
    <row r="162" spans="11:11" x14ac:dyDescent="0.25">
      <c r="K162" s="86"/>
    </row>
    <row r="163" spans="11:11" x14ac:dyDescent="0.25">
      <c r="K163" s="86"/>
    </row>
    <row r="164" spans="11:11" x14ac:dyDescent="0.25">
      <c r="K164" s="86"/>
    </row>
    <row r="165" spans="11:11" x14ac:dyDescent="0.25">
      <c r="K165" s="86"/>
    </row>
    <row r="166" spans="11:11" x14ac:dyDescent="0.25">
      <c r="K166" s="86"/>
    </row>
    <row r="167" spans="11:11" x14ac:dyDescent="0.25">
      <c r="K167" s="86"/>
    </row>
    <row r="168" spans="11:11" x14ac:dyDescent="0.25">
      <c r="K168" s="86"/>
    </row>
    <row r="169" spans="11:11" x14ac:dyDescent="0.25">
      <c r="K169" s="86"/>
    </row>
    <row r="170" spans="11:11" x14ac:dyDescent="0.25">
      <c r="K170" s="86"/>
    </row>
    <row r="171" spans="11:11" x14ac:dyDescent="0.25">
      <c r="K171" s="86"/>
    </row>
    <row r="172" spans="11:11" x14ac:dyDescent="0.25">
      <c r="K172" s="86"/>
    </row>
    <row r="173" spans="11:11" x14ac:dyDescent="0.25">
      <c r="K173" s="86"/>
    </row>
    <row r="174" spans="11:11" x14ac:dyDescent="0.25">
      <c r="K174" s="86"/>
    </row>
    <row r="175" spans="11:11" x14ac:dyDescent="0.25">
      <c r="K175" s="86"/>
    </row>
    <row r="176" spans="11:11" x14ac:dyDescent="0.25">
      <c r="K176" s="86"/>
    </row>
    <row r="177" spans="11:11" x14ac:dyDescent="0.25">
      <c r="K177" s="86"/>
    </row>
    <row r="178" spans="11:11" x14ac:dyDescent="0.25">
      <c r="K178" s="86"/>
    </row>
    <row r="179" spans="11:11" x14ac:dyDescent="0.25">
      <c r="K179" s="86"/>
    </row>
    <row r="180" spans="11:11" x14ac:dyDescent="0.25">
      <c r="K180" s="86"/>
    </row>
    <row r="181" spans="11:11" x14ac:dyDescent="0.25">
      <c r="K181" s="86"/>
    </row>
    <row r="182" spans="11:11" x14ac:dyDescent="0.25">
      <c r="K182" s="86"/>
    </row>
    <row r="183" spans="11:11" x14ac:dyDescent="0.25">
      <c r="K183" s="86"/>
    </row>
    <row r="184" spans="11:11" x14ac:dyDescent="0.25">
      <c r="K184" s="86"/>
    </row>
    <row r="185" spans="11:11" x14ac:dyDescent="0.25">
      <c r="K185" s="86"/>
    </row>
    <row r="186" spans="11:11" x14ac:dyDescent="0.25">
      <c r="K186" s="86"/>
    </row>
    <row r="187" spans="11:11" x14ac:dyDescent="0.25">
      <c r="K187" s="86"/>
    </row>
    <row r="188" spans="11:11" x14ac:dyDescent="0.25">
      <c r="K188" s="86"/>
    </row>
    <row r="189" spans="11:11" x14ac:dyDescent="0.25">
      <c r="K189" s="86"/>
    </row>
    <row r="190" spans="11:11" x14ac:dyDescent="0.25">
      <c r="K190" s="86"/>
    </row>
    <row r="191" spans="11:11" x14ac:dyDescent="0.25">
      <c r="K191" s="86"/>
    </row>
    <row r="192" spans="11:11" x14ac:dyDescent="0.25">
      <c r="K192" s="86"/>
    </row>
    <row r="193" spans="11:11" x14ac:dyDescent="0.25">
      <c r="K193" s="86"/>
    </row>
    <row r="194" spans="11:11" x14ac:dyDescent="0.25">
      <c r="K194" s="86"/>
    </row>
    <row r="195" spans="11:11" x14ac:dyDescent="0.25">
      <c r="K195" s="86"/>
    </row>
    <row r="196" spans="11:11" x14ac:dyDescent="0.25">
      <c r="K196" s="86"/>
    </row>
    <row r="197" spans="11:11" x14ac:dyDescent="0.25">
      <c r="K197" s="86"/>
    </row>
    <row r="198" spans="11:11" x14ac:dyDescent="0.25">
      <c r="K198" s="86"/>
    </row>
    <row r="199" spans="11:11" x14ac:dyDescent="0.25">
      <c r="K199" s="86"/>
    </row>
    <row r="200" spans="11:11" x14ac:dyDescent="0.25">
      <c r="K200" s="86"/>
    </row>
    <row r="201" spans="11:11" x14ac:dyDescent="0.25">
      <c r="K201" s="86"/>
    </row>
    <row r="202" spans="11:11" x14ac:dyDescent="0.25">
      <c r="K202" s="86"/>
    </row>
    <row r="203" spans="11:11" x14ac:dyDescent="0.25">
      <c r="K203" s="86"/>
    </row>
    <row r="204" spans="11:11" x14ac:dyDescent="0.25">
      <c r="K204" s="86"/>
    </row>
    <row r="205" spans="11:11" x14ac:dyDescent="0.25">
      <c r="K205" s="86"/>
    </row>
    <row r="206" spans="11:11" x14ac:dyDescent="0.25">
      <c r="K206" s="86"/>
    </row>
    <row r="207" spans="11:11" x14ac:dyDescent="0.25">
      <c r="K207" s="86"/>
    </row>
    <row r="208" spans="11:11" x14ac:dyDescent="0.25">
      <c r="K208" s="86"/>
    </row>
    <row r="209" spans="11:11" x14ac:dyDescent="0.25">
      <c r="K209" s="86"/>
    </row>
    <row r="210" spans="11:11" x14ac:dyDescent="0.25">
      <c r="K210" s="86"/>
    </row>
    <row r="211" spans="11:11" x14ac:dyDescent="0.25">
      <c r="K211" s="86"/>
    </row>
    <row r="212" spans="11:11" x14ac:dyDescent="0.25">
      <c r="K212" s="86"/>
    </row>
    <row r="213" spans="11:11" x14ac:dyDescent="0.25">
      <c r="K213" s="86"/>
    </row>
    <row r="214" spans="11:11" x14ac:dyDescent="0.25">
      <c r="K214" s="86"/>
    </row>
    <row r="215" spans="11:11" x14ac:dyDescent="0.25">
      <c r="K215" s="86"/>
    </row>
    <row r="216" spans="11:11" x14ac:dyDescent="0.25">
      <c r="K216" s="86"/>
    </row>
    <row r="217" spans="11:11" x14ac:dyDescent="0.25">
      <c r="K217" s="86"/>
    </row>
    <row r="218" spans="11:11" x14ac:dyDescent="0.25">
      <c r="K218" s="86"/>
    </row>
    <row r="219" spans="11:11" x14ac:dyDescent="0.25">
      <c r="K219" s="86"/>
    </row>
    <row r="220" spans="11:11" x14ac:dyDescent="0.25">
      <c r="K220" s="86"/>
    </row>
    <row r="221" spans="11:11" x14ac:dyDescent="0.25">
      <c r="K221" s="86"/>
    </row>
    <row r="222" spans="11:11" x14ac:dyDescent="0.25">
      <c r="K222" s="86"/>
    </row>
    <row r="223" spans="11:11" x14ac:dyDescent="0.25">
      <c r="K223" s="86"/>
    </row>
    <row r="224" spans="11:11" x14ac:dyDescent="0.25">
      <c r="K224" s="86"/>
    </row>
    <row r="225" spans="11:11" x14ac:dyDescent="0.25">
      <c r="K225" s="86"/>
    </row>
    <row r="226" spans="11:11" x14ac:dyDescent="0.25">
      <c r="K226" s="86"/>
    </row>
    <row r="227" spans="11:11" x14ac:dyDescent="0.25">
      <c r="K227" s="86"/>
    </row>
    <row r="228" spans="11:11" x14ac:dyDescent="0.25">
      <c r="K228" s="86"/>
    </row>
    <row r="229" spans="11:11" x14ac:dyDescent="0.25">
      <c r="K229" s="86"/>
    </row>
    <row r="230" spans="11:11" x14ac:dyDescent="0.25">
      <c r="K230" s="86"/>
    </row>
    <row r="231" spans="11:11" x14ac:dyDescent="0.25">
      <c r="K231" s="86"/>
    </row>
    <row r="232" spans="11:11" x14ac:dyDescent="0.25">
      <c r="K232" s="86"/>
    </row>
    <row r="233" spans="11:11" x14ac:dyDescent="0.25">
      <c r="K233" s="86"/>
    </row>
    <row r="234" spans="11:11" x14ac:dyDescent="0.25">
      <c r="K234" s="86"/>
    </row>
    <row r="235" spans="11:11" x14ac:dyDescent="0.25">
      <c r="K235" s="86"/>
    </row>
  </sheetData>
  <mergeCells count="80">
    <mergeCell ref="F49:F50"/>
    <mergeCell ref="E49:E50"/>
    <mergeCell ref="F4:F5"/>
    <mergeCell ref="F6:F7"/>
    <mergeCell ref="F8:F9"/>
    <mergeCell ref="F10:F11"/>
    <mergeCell ref="F17:F18"/>
    <mergeCell ref="F19:F20"/>
    <mergeCell ref="F21:F22"/>
    <mergeCell ref="F23:F24"/>
    <mergeCell ref="F30:F31"/>
    <mergeCell ref="F32:F33"/>
    <mergeCell ref="F34:F35"/>
    <mergeCell ref="F36:F37"/>
    <mergeCell ref="F43:F44"/>
    <mergeCell ref="F45:F46"/>
    <mergeCell ref="F47:F48"/>
    <mergeCell ref="D49:D50"/>
    <mergeCell ref="E4:E5"/>
    <mergeCell ref="E6:E7"/>
    <mergeCell ref="E8:E9"/>
    <mergeCell ref="E10:E11"/>
    <mergeCell ref="E17:E18"/>
    <mergeCell ref="E19:E20"/>
    <mergeCell ref="E21:E22"/>
    <mergeCell ref="E23:E24"/>
    <mergeCell ref="E30:E31"/>
    <mergeCell ref="E32:E33"/>
    <mergeCell ref="E34:E35"/>
    <mergeCell ref="E36:E37"/>
    <mergeCell ref="E43:E44"/>
    <mergeCell ref="E45:E46"/>
    <mergeCell ref="E47:E48"/>
    <mergeCell ref="B49:B50"/>
    <mergeCell ref="D4:D5"/>
    <mergeCell ref="D6:D7"/>
    <mergeCell ref="D8:D9"/>
    <mergeCell ref="D10:D11"/>
    <mergeCell ref="D17:D18"/>
    <mergeCell ref="D19:D20"/>
    <mergeCell ref="D21:D22"/>
    <mergeCell ref="D23:D24"/>
    <mergeCell ref="D30:D31"/>
    <mergeCell ref="D32:D33"/>
    <mergeCell ref="D34:D35"/>
    <mergeCell ref="D36:D37"/>
    <mergeCell ref="D43:D44"/>
    <mergeCell ref="D45:D46"/>
    <mergeCell ref="D47:D48"/>
    <mergeCell ref="A49:A50"/>
    <mergeCell ref="B4:B5"/>
    <mergeCell ref="B6:B7"/>
    <mergeCell ref="B8:B9"/>
    <mergeCell ref="B10:B11"/>
    <mergeCell ref="B17:B18"/>
    <mergeCell ref="B19:B20"/>
    <mergeCell ref="B21:B22"/>
    <mergeCell ref="B23:B24"/>
    <mergeCell ref="B30:B31"/>
    <mergeCell ref="B32:B33"/>
    <mergeCell ref="B34:B35"/>
    <mergeCell ref="B36:B37"/>
    <mergeCell ref="B43:B44"/>
    <mergeCell ref="B45:B46"/>
    <mergeCell ref="B47:B48"/>
    <mergeCell ref="A34:A35"/>
    <mergeCell ref="A36:A37"/>
    <mergeCell ref="A43:A44"/>
    <mergeCell ref="A45:A46"/>
    <mergeCell ref="A47:A48"/>
    <mergeCell ref="A19:A20"/>
    <mergeCell ref="A21:A22"/>
    <mergeCell ref="A23:A24"/>
    <mergeCell ref="A30:A31"/>
    <mergeCell ref="A32:A33"/>
    <mergeCell ref="A4:A5"/>
    <mergeCell ref="A6:A7"/>
    <mergeCell ref="A8:A9"/>
    <mergeCell ref="A10:A11"/>
    <mergeCell ref="A17:A18"/>
  </mergeCells>
  <phoneticPr fontId="26" type="noConversion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4"/>
  <sheetViews>
    <sheetView workbookViewId="0">
      <selection activeCell="B25" sqref="B25:C25"/>
    </sheetView>
  </sheetViews>
  <sheetFormatPr defaultColWidth="9" defaultRowHeight="15" x14ac:dyDescent="0.25"/>
  <cols>
    <col min="1" max="1" width="17" style="2" customWidth="1"/>
    <col min="2" max="2" width="20.375" style="2" customWidth="1"/>
    <col min="3" max="3" width="17" style="2" customWidth="1"/>
    <col min="4" max="5" width="10" style="2" customWidth="1"/>
    <col min="6" max="6" width="7.5" style="2" customWidth="1"/>
    <col min="7" max="7" width="20.25" style="1" customWidth="1"/>
    <col min="8" max="8" width="15.125" style="1" customWidth="1"/>
    <col min="9" max="9" width="16.125" style="1" customWidth="1"/>
    <col min="10" max="10" width="13" style="1" customWidth="1"/>
    <col min="11" max="11" width="18" style="1" customWidth="1"/>
    <col min="12" max="16384" width="9" style="1"/>
  </cols>
  <sheetData>
    <row r="1" spans="1:13" ht="19.5" x14ac:dyDescent="0.25">
      <c r="A1" s="252" t="s">
        <v>196</v>
      </c>
      <c r="B1" s="252"/>
      <c r="C1" s="252"/>
      <c r="D1" s="252"/>
      <c r="E1" s="252"/>
      <c r="F1" s="252"/>
    </row>
    <row r="2" spans="1:13" ht="13.9" customHeight="1" x14ac:dyDescent="0.25">
      <c r="A2" s="253" t="s">
        <v>197</v>
      </c>
      <c r="B2" s="253"/>
      <c r="C2" s="253"/>
      <c r="D2" s="4"/>
      <c r="E2" s="4"/>
      <c r="F2" s="4"/>
      <c r="G2" s="253" t="s">
        <v>198</v>
      </c>
      <c r="H2" s="253"/>
      <c r="I2" s="253"/>
      <c r="J2" s="253"/>
      <c r="K2" s="253"/>
      <c r="L2" s="253"/>
      <c r="M2" s="253"/>
    </row>
    <row r="3" spans="1:13" x14ac:dyDescent="0.25">
      <c r="A3" s="5" t="s">
        <v>21</v>
      </c>
      <c r="B3" s="254" t="s">
        <v>199</v>
      </c>
      <c r="C3" s="255"/>
      <c r="D3" s="255"/>
      <c r="E3" s="256"/>
      <c r="G3" s="5" t="s">
        <v>21</v>
      </c>
      <c r="H3" s="257" t="s">
        <v>110</v>
      </c>
      <c r="I3" s="257"/>
      <c r="J3" s="257"/>
      <c r="K3" s="258"/>
      <c r="L3" s="2"/>
      <c r="M3" s="2"/>
    </row>
    <row r="4" spans="1:13" x14ac:dyDescent="0.25">
      <c r="A4" s="259" t="s">
        <v>200</v>
      </c>
      <c r="B4" s="260"/>
      <c r="C4" s="260"/>
      <c r="D4" s="260"/>
      <c r="E4" s="261"/>
      <c r="G4" s="262" t="s">
        <v>200</v>
      </c>
      <c r="H4" s="263"/>
      <c r="I4" s="263"/>
      <c r="J4" s="263"/>
      <c r="K4" s="264"/>
      <c r="L4" s="2"/>
      <c r="M4" s="2"/>
    </row>
    <row r="5" spans="1:13" x14ac:dyDescent="0.25">
      <c r="A5" s="8" t="s">
        <v>201</v>
      </c>
      <c r="B5" s="265" t="s">
        <v>202</v>
      </c>
      <c r="C5" s="260"/>
      <c r="D5" s="260"/>
      <c r="E5" s="261"/>
      <c r="G5" s="8" t="s">
        <v>201</v>
      </c>
      <c r="H5" s="266" t="s">
        <v>202</v>
      </c>
      <c r="I5" s="267"/>
      <c r="J5" s="267"/>
      <c r="K5" s="268"/>
      <c r="L5" s="2"/>
      <c r="M5" s="2"/>
    </row>
    <row r="6" spans="1:13" x14ac:dyDescent="0.25">
      <c r="A6" s="8" t="s">
        <v>203</v>
      </c>
      <c r="B6" s="265" t="s">
        <v>204</v>
      </c>
      <c r="C6" s="260"/>
      <c r="D6" s="260"/>
      <c r="E6" s="261"/>
      <c r="G6" s="8" t="s">
        <v>203</v>
      </c>
      <c r="H6" s="265" t="s">
        <v>204</v>
      </c>
      <c r="I6" s="260"/>
      <c r="J6" s="260"/>
      <c r="K6" s="261"/>
      <c r="L6" s="2"/>
      <c r="M6" s="2"/>
    </row>
    <row r="7" spans="1:13" x14ac:dyDescent="0.25">
      <c r="A7" s="6" t="s">
        <v>205</v>
      </c>
      <c r="B7" s="269" t="s">
        <v>206</v>
      </c>
      <c r="C7" s="270"/>
      <c r="D7" s="270"/>
      <c r="E7" s="271"/>
      <c r="G7" s="6" t="s">
        <v>205</v>
      </c>
      <c r="H7" s="269" t="s">
        <v>206</v>
      </c>
      <c r="I7" s="270"/>
      <c r="J7" s="270"/>
      <c r="K7" s="271"/>
      <c r="L7" s="2"/>
      <c r="M7" s="2"/>
    </row>
    <row r="8" spans="1:13" x14ac:dyDescent="0.25">
      <c r="A8" s="6" t="s">
        <v>207</v>
      </c>
      <c r="B8" s="265" t="s">
        <v>172</v>
      </c>
      <c r="C8" s="260"/>
      <c r="D8" s="260"/>
      <c r="E8" s="261"/>
      <c r="G8" s="6" t="s">
        <v>207</v>
      </c>
      <c r="H8" s="265" t="s">
        <v>172</v>
      </c>
      <c r="I8" s="260"/>
      <c r="J8" s="260"/>
      <c r="K8" s="261"/>
      <c r="L8" s="2"/>
      <c r="M8" s="2"/>
    </row>
    <row r="9" spans="1:13" x14ac:dyDescent="0.25">
      <c r="A9" s="6" t="s">
        <v>208</v>
      </c>
      <c r="B9" s="263" t="s">
        <v>209</v>
      </c>
      <c r="C9" s="263"/>
      <c r="D9" s="263"/>
      <c r="E9" s="264"/>
      <c r="G9" s="6" t="s">
        <v>208</v>
      </c>
      <c r="H9" s="263" t="s">
        <v>209</v>
      </c>
      <c r="I9" s="263"/>
      <c r="J9" s="263"/>
      <c r="K9" s="264"/>
      <c r="L9" s="2"/>
      <c r="M9" s="2"/>
    </row>
    <row r="10" spans="1:13" x14ac:dyDescent="0.25">
      <c r="A10" s="6" t="s">
        <v>210</v>
      </c>
      <c r="B10" s="272" t="s">
        <v>211</v>
      </c>
      <c r="C10" s="273"/>
      <c r="D10" s="273"/>
      <c r="E10" s="274"/>
      <c r="G10" s="6" t="s">
        <v>210</v>
      </c>
      <c r="H10" s="272" t="s">
        <v>212</v>
      </c>
      <c r="I10" s="273"/>
      <c r="J10" s="273"/>
      <c r="K10" s="274"/>
      <c r="L10" s="2"/>
      <c r="M10" s="2"/>
    </row>
    <row r="11" spans="1:13" x14ac:dyDescent="0.25">
      <c r="A11" s="292" t="s">
        <v>213</v>
      </c>
      <c r="B11" s="7" t="s">
        <v>214</v>
      </c>
      <c r="C11" s="7" t="s">
        <v>215</v>
      </c>
      <c r="D11" s="7" t="s">
        <v>216</v>
      </c>
      <c r="E11" s="9" t="s">
        <v>217</v>
      </c>
      <c r="G11" s="292" t="s">
        <v>213</v>
      </c>
      <c r="H11" s="7" t="s">
        <v>214</v>
      </c>
      <c r="I11" s="7" t="s">
        <v>215</v>
      </c>
      <c r="J11" s="7" t="s">
        <v>216</v>
      </c>
      <c r="K11" s="9" t="s">
        <v>217</v>
      </c>
      <c r="L11" s="2"/>
      <c r="M11" s="2"/>
    </row>
    <row r="12" spans="1:13" x14ac:dyDescent="0.25">
      <c r="A12" s="293"/>
      <c r="B12" s="10">
        <v>0</v>
      </c>
      <c r="C12" s="11">
        <v>0.8</v>
      </c>
      <c r="D12" s="7">
        <f t="shared" ref="D12:D16" si="0">100-E12</f>
        <v>80</v>
      </c>
      <c r="E12" s="9">
        <v>20</v>
      </c>
      <c r="G12" s="293"/>
      <c r="H12" s="10">
        <v>0</v>
      </c>
      <c r="I12" s="11">
        <v>0.8</v>
      </c>
      <c r="J12" s="7">
        <f t="shared" ref="J12:J17" si="1">100-K12</f>
        <v>90</v>
      </c>
      <c r="K12" s="9">
        <v>10</v>
      </c>
      <c r="L12" s="2"/>
      <c r="M12" s="2"/>
    </row>
    <row r="13" spans="1:13" x14ac:dyDescent="0.25">
      <c r="A13" s="293"/>
      <c r="B13" s="10">
        <v>0.9</v>
      </c>
      <c r="C13" s="11">
        <v>0.8</v>
      </c>
      <c r="D13" s="7">
        <f t="shared" si="0"/>
        <v>5</v>
      </c>
      <c r="E13" s="9">
        <v>95</v>
      </c>
      <c r="G13" s="293"/>
      <c r="H13" s="10">
        <v>0.1</v>
      </c>
      <c r="I13" s="11">
        <v>0.8</v>
      </c>
      <c r="J13" s="7">
        <v>90</v>
      </c>
      <c r="K13" s="9">
        <v>10</v>
      </c>
      <c r="L13" s="2"/>
      <c r="M13" s="2"/>
    </row>
    <row r="14" spans="1:13" x14ac:dyDescent="0.25">
      <c r="A14" s="293"/>
      <c r="B14" s="10">
        <v>1.2</v>
      </c>
      <c r="C14" s="11">
        <v>0.8</v>
      </c>
      <c r="D14" s="7">
        <f t="shared" si="0"/>
        <v>5</v>
      </c>
      <c r="E14" s="9">
        <v>95</v>
      </c>
      <c r="G14" s="293"/>
      <c r="H14" s="10">
        <v>0.9</v>
      </c>
      <c r="I14" s="11">
        <v>0.8</v>
      </c>
      <c r="J14" s="7">
        <f t="shared" si="1"/>
        <v>5</v>
      </c>
      <c r="K14" s="9">
        <v>95</v>
      </c>
      <c r="L14" s="2"/>
      <c r="M14" s="2"/>
    </row>
    <row r="15" spans="1:13" x14ac:dyDescent="0.25">
      <c r="A15" s="293"/>
      <c r="B15" s="10">
        <v>1.21</v>
      </c>
      <c r="C15" s="11">
        <v>0.8</v>
      </c>
      <c r="D15" s="7">
        <f t="shared" si="0"/>
        <v>80</v>
      </c>
      <c r="E15" s="9">
        <v>20</v>
      </c>
      <c r="G15" s="293"/>
      <c r="H15" s="10">
        <v>1.2</v>
      </c>
      <c r="I15" s="11">
        <v>0.8</v>
      </c>
      <c r="J15" s="7">
        <f t="shared" si="1"/>
        <v>5</v>
      </c>
      <c r="K15" s="9">
        <v>95</v>
      </c>
      <c r="L15" s="2"/>
      <c r="M15" s="2"/>
    </row>
    <row r="16" spans="1:13" x14ac:dyDescent="0.25">
      <c r="A16" s="293"/>
      <c r="B16" s="10">
        <v>1.5</v>
      </c>
      <c r="C16" s="11">
        <v>0.8</v>
      </c>
      <c r="D16" s="7">
        <f t="shared" si="0"/>
        <v>80</v>
      </c>
      <c r="E16" s="9">
        <v>20</v>
      </c>
      <c r="G16" s="293"/>
      <c r="H16" s="10">
        <v>1.2</v>
      </c>
      <c r="I16" s="11">
        <v>0.8</v>
      </c>
      <c r="J16" s="7">
        <f t="shared" si="1"/>
        <v>90</v>
      </c>
      <c r="K16" s="9">
        <v>10</v>
      </c>
      <c r="L16" s="2"/>
      <c r="M16" s="2"/>
    </row>
    <row r="17" spans="1:13" x14ac:dyDescent="0.25">
      <c r="A17" s="259" t="s">
        <v>218</v>
      </c>
      <c r="B17" s="260"/>
      <c r="C17" s="260"/>
      <c r="D17" s="260"/>
      <c r="E17" s="261"/>
      <c r="G17" s="293"/>
      <c r="H17" s="10">
        <v>1.5</v>
      </c>
      <c r="I17" s="11">
        <v>0.8</v>
      </c>
      <c r="J17" s="7">
        <f t="shared" si="1"/>
        <v>90</v>
      </c>
      <c r="K17" s="9">
        <v>10</v>
      </c>
    </row>
    <row r="18" spans="1:13" ht="15.75" x14ac:dyDescent="0.25">
      <c r="A18" s="6" t="s">
        <v>219</v>
      </c>
      <c r="B18" s="275" t="s">
        <v>220</v>
      </c>
      <c r="C18" s="276"/>
      <c r="D18" s="276"/>
      <c r="E18" s="277"/>
      <c r="G18" s="262" t="s">
        <v>218</v>
      </c>
      <c r="H18" s="263"/>
      <c r="I18" s="263"/>
      <c r="J18" s="263"/>
      <c r="K18" s="264"/>
      <c r="L18" s="2"/>
      <c r="M18" s="2"/>
    </row>
    <row r="19" spans="1:13" ht="15.75" x14ac:dyDescent="0.25">
      <c r="A19" s="6" t="s">
        <v>221</v>
      </c>
      <c r="B19" s="265" t="s">
        <v>222</v>
      </c>
      <c r="C19" s="260"/>
      <c r="D19" s="260"/>
      <c r="E19" s="261"/>
      <c r="G19" s="6" t="s">
        <v>219</v>
      </c>
      <c r="H19" s="275" t="s">
        <v>220</v>
      </c>
      <c r="I19" s="276"/>
      <c r="J19" s="276"/>
      <c r="K19" s="277"/>
      <c r="L19" s="2"/>
      <c r="M19" s="2"/>
    </row>
    <row r="20" spans="1:13" x14ac:dyDescent="0.25">
      <c r="A20" s="6" t="s">
        <v>223</v>
      </c>
      <c r="B20" s="265" t="s">
        <v>224</v>
      </c>
      <c r="C20" s="260"/>
      <c r="D20" s="260"/>
      <c r="E20" s="261"/>
      <c r="G20" s="6" t="s">
        <v>221</v>
      </c>
      <c r="H20" s="265" t="s">
        <v>222</v>
      </c>
      <c r="I20" s="260"/>
      <c r="J20" s="260"/>
      <c r="K20" s="261"/>
      <c r="L20" s="2"/>
      <c r="M20" s="2"/>
    </row>
    <row r="21" spans="1:13" x14ac:dyDescent="0.25">
      <c r="A21" s="6" t="s">
        <v>225</v>
      </c>
      <c r="B21" s="265" t="s">
        <v>226</v>
      </c>
      <c r="C21" s="260"/>
      <c r="D21" s="260"/>
      <c r="E21" s="261"/>
      <c r="G21" s="6" t="s">
        <v>223</v>
      </c>
      <c r="H21" s="265" t="s">
        <v>224</v>
      </c>
      <c r="I21" s="260"/>
      <c r="J21" s="260"/>
      <c r="K21" s="261"/>
      <c r="L21" s="2"/>
      <c r="M21" s="2"/>
    </row>
    <row r="22" spans="1:13" x14ac:dyDescent="0.25">
      <c r="A22" s="6" t="s">
        <v>227</v>
      </c>
      <c r="B22" s="265" t="s">
        <v>228</v>
      </c>
      <c r="C22" s="278"/>
      <c r="D22" s="7" t="s">
        <v>229</v>
      </c>
      <c r="E22" s="9" t="s">
        <v>230</v>
      </c>
      <c r="G22" s="6" t="s">
        <v>225</v>
      </c>
      <c r="H22" s="265" t="s">
        <v>231</v>
      </c>
      <c r="I22" s="260"/>
      <c r="J22" s="260"/>
      <c r="K22" s="261"/>
      <c r="L22" s="2"/>
      <c r="M22" s="2"/>
    </row>
    <row r="23" spans="1:13" x14ac:dyDescent="0.25">
      <c r="A23" s="12" t="s">
        <v>199</v>
      </c>
      <c r="B23" s="265" t="s">
        <v>232</v>
      </c>
      <c r="C23" s="278"/>
      <c r="D23" s="7">
        <v>-93</v>
      </c>
      <c r="E23" s="9">
        <v>-37</v>
      </c>
      <c r="G23" s="6" t="s">
        <v>227</v>
      </c>
      <c r="H23" s="265" t="s">
        <v>228</v>
      </c>
      <c r="I23" s="278"/>
      <c r="J23" s="7" t="s">
        <v>229</v>
      </c>
      <c r="K23" s="9" t="s">
        <v>230</v>
      </c>
      <c r="L23" s="2"/>
      <c r="M23" s="2"/>
    </row>
    <row r="24" spans="1:13" x14ac:dyDescent="0.25">
      <c r="A24" s="13" t="s">
        <v>172</v>
      </c>
      <c r="B24" s="279" t="s">
        <v>233</v>
      </c>
      <c r="C24" s="280"/>
      <c r="D24" s="14">
        <v>-51</v>
      </c>
      <c r="E24" s="15">
        <v>-22</v>
      </c>
      <c r="G24" s="12" t="s">
        <v>110</v>
      </c>
      <c r="H24" s="265" t="s">
        <v>234</v>
      </c>
      <c r="I24" s="278"/>
      <c r="J24" s="7">
        <v>65</v>
      </c>
      <c r="K24" s="9">
        <v>36</v>
      </c>
      <c r="L24" s="2"/>
      <c r="M24" s="2"/>
    </row>
    <row r="25" spans="1:13" x14ac:dyDescent="0.25">
      <c r="A25" s="16"/>
      <c r="B25" s="281"/>
      <c r="C25" s="281"/>
      <c r="D25" s="16"/>
      <c r="E25" s="16"/>
      <c r="G25" s="13" t="s">
        <v>172</v>
      </c>
      <c r="H25" s="279" t="s">
        <v>235</v>
      </c>
      <c r="I25" s="280"/>
      <c r="J25" s="14">
        <v>52</v>
      </c>
      <c r="K25" s="15">
        <v>25</v>
      </c>
      <c r="L25" s="17"/>
      <c r="M25" s="17"/>
    </row>
    <row r="26" spans="1:13" x14ac:dyDescent="0.25">
      <c r="G26" s="17"/>
      <c r="H26" s="17"/>
      <c r="I26" s="17"/>
      <c r="J26" s="17"/>
      <c r="K26" s="17"/>
      <c r="L26" s="17"/>
      <c r="M26" s="17"/>
    </row>
    <row r="27" spans="1:13" x14ac:dyDescent="0.25">
      <c r="G27" s="2"/>
      <c r="H27" s="2"/>
      <c r="I27" s="2"/>
      <c r="J27" s="2"/>
      <c r="K27" s="2"/>
      <c r="L27" s="2"/>
      <c r="M27" s="2"/>
    </row>
    <row r="28" spans="1:13" x14ac:dyDescent="0.25">
      <c r="B28" s="1"/>
      <c r="C28" s="1"/>
      <c r="D28" s="1"/>
      <c r="E28" s="1"/>
      <c r="F28" s="3"/>
      <c r="G28" s="3"/>
    </row>
    <row r="29" spans="1:13" x14ac:dyDescent="0.25">
      <c r="A29" s="253" t="s">
        <v>236</v>
      </c>
      <c r="B29" s="253"/>
      <c r="C29" s="253"/>
      <c r="D29" s="253"/>
      <c r="E29" s="253"/>
      <c r="F29" s="253"/>
      <c r="G29" s="282" t="s">
        <v>237</v>
      </c>
      <c r="H29" s="282"/>
      <c r="I29" s="282"/>
      <c r="J29" s="282"/>
      <c r="K29" s="282"/>
      <c r="L29" s="282"/>
    </row>
    <row r="30" spans="1:13" x14ac:dyDescent="0.25">
      <c r="A30" s="5" t="s">
        <v>21</v>
      </c>
      <c r="B30" s="257" t="s">
        <v>112</v>
      </c>
      <c r="C30" s="257"/>
      <c r="D30" s="257"/>
      <c r="E30" s="258"/>
      <c r="G30" s="18" t="s">
        <v>21</v>
      </c>
      <c r="H30" s="283" t="s">
        <v>238</v>
      </c>
      <c r="I30" s="283"/>
      <c r="J30" s="283"/>
      <c r="K30" s="284"/>
      <c r="L30" s="24"/>
    </row>
    <row r="31" spans="1:13" x14ac:dyDescent="0.25">
      <c r="A31" s="262" t="s">
        <v>200</v>
      </c>
      <c r="B31" s="263"/>
      <c r="C31" s="263"/>
      <c r="D31" s="263"/>
      <c r="E31" s="264"/>
      <c r="G31" s="231" t="s">
        <v>200</v>
      </c>
      <c r="H31" s="242"/>
      <c r="I31" s="242"/>
      <c r="J31" s="242"/>
      <c r="K31" s="285"/>
      <c r="L31" s="24"/>
    </row>
    <row r="32" spans="1:13" x14ac:dyDescent="0.25">
      <c r="A32" s="8" t="s">
        <v>201</v>
      </c>
      <c r="B32" s="266" t="s">
        <v>202</v>
      </c>
      <c r="C32" s="267"/>
      <c r="D32" s="267"/>
      <c r="E32" s="268"/>
      <c r="G32" s="21" t="s">
        <v>201</v>
      </c>
      <c r="H32" s="286" t="s">
        <v>202</v>
      </c>
      <c r="I32" s="287"/>
      <c r="J32" s="287"/>
      <c r="K32" s="288"/>
      <c r="L32" s="24"/>
    </row>
    <row r="33" spans="1:12" x14ac:dyDescent="0.25">
      <c r="A33" s="8" t="s">
        <v>203</v>
      </c>
      <c r="B33" s="265" t="s">
        <v>204</v>
      </c>
      <c r="C33" s="260"/>
      <c r="D33" s="260"/>
      <c r="E33" s="261"/>
      <c r="G33" s="21" t="s">
        <v>203</v>
      </c>
      <c r="H33" s="269" t="s">
        <v>204</v>
      </c>
      <c r="I33" s="270"/>
      <c r="J33" s="270"/>
      <c r="K33" s="271"/>
      <c r="L33" s="24"/>
    </row>
    <row r="34" spans="1:12" x14ac:dyDescent="0.25">
      <c r="A34" s="6" t="s">
        <v>205</v>
      </c>
      <c r="B34" s="265" t="s">
        <v>239</v>
      </c>
      <c r="C34" s="260"/>
      <c r="D34" s="260"/>
      <c r="E34" s="261"/>
      <c r="G34" s="19" t="s">
        <v>205</v>
      </c>
      <c r="H34" s="265" t="s">
        <v>239</v>
      </c>
      <c r="I34" s="260"/>
      <c r="J34" s="260"/>
      <c r="K34" s="261"/>
      <c r="L34" s="24"/>
    </row>
    <row r="35" spans="1:12" x14ac:dyDescent="0.25">
      <c r="A35" s="6" t="s">
        <v>207</v>
      </c>
      <c r="B35" s="265" t="s">
        <v>172</v>
      </c>
      <c r="C35" s="260"/>
      <c r="D35" s="260"/>
      <c r="E35" s="261"/>
      <c r="G35" s="19" t="s">
        <v>207</v>
      </c>
      <c r="H35" s="269" t="s">
        <v>172</v>
      </c>
      <c r="I35" s="270"/>
      <c r="J35" s="270"/>
      <c r="K35" s="271"/>
      <c r="L35" s="24"/>
    </row>
    <row r="36" spans="1:12" x14ac:dyDescent="0.25">
      <c r="A36" s="6" t="s">
        <v>208</v>
      </c>
      <c r="B36" s="263" t="s">
        <v>209</v>
      </c>
      <c r="C36" s="263"/>
      <c r="D36" s="263"/>
      <c r="E36" s="264"/>
      <c r="G36" s="19" t="s">
        <v>208</v>
      </c>
      <c r="H36" s="269" t="s">
        <v>209</v>
      </c>
      <c r="I36" s="270"/>
      <c r="J36" s="270"/>
      <c r="K36" s="271"/>
      <c r="L36" s="24"/>
    </row>
    <row r="37" spans="1:12" x14ac:dyDescent="0.25">
      <c r="A37" s="6" t="s">
        <v>210</v>
      </c>
      <c r="B37" s="272" t="s">
        <v>211</v>
      </c>
      <c r="C37" s="273"/>
      <c r="D37" s="273"/>
      <c r="E37" s="274"/>
      <c r="G37" s="19" t="s">
        <v>210</v>
      </c>
      <c r="H37" s="272" t="s">
        <v>240</v>
      </c>
      <c r="I37" s="273"/>
      <c r="J37" s="273"/>
      <c r="K37" s="274"/>
      <c r="L37" s="24"/>
    </row>
    <row r="38" spans="1:12" x14ac:dyDescent="0.25">
      <c r="A38" s="292" t="s">
        <v>213</v>
      </c>
      <c r="B38" s="7" t="s">
        <v>214</v>
      </c>
      <c r="C38" s="7" t="s">
        <v>215</v>
      </c>
      <c r="D38" s="7" t="s">
        <v>216</v>
      </c>
      <c r="E38" s="9" t="s">
        <v>217</v>
      </c>
      <c r="G38" s="294" t="s">
        <v>213</v>
      </c>
      <c r="H38" s="20" t="s">
        <v>214</v>
      </c>
      <c r="I38" s="20" t="s">
        <v>215</v>
      </c>
      <c r="J38" s="20" t="s">
        <v>216</v>
      </c>
      <c r="K38" s="25" t="s">
        <v>217</v>
      </c>
      <c r="L38" s="24"/>
    </row>
    <row r="39" spans="1:12" x14ac:dyDescent="0.25">
      <c r="A39" s="293"/>
      <c r="B39" s="10">
        <v>0</v>
      </c>
      <c r="C39" s="11">
        <v>0.8</v>
      </c>
      <c r="D39" s="7">
        <v>75</v>
      </c>
      <c r="E39" s="9">
        <v>25</v>
      </c>
      <c r="G39" s="295"/>
      <c r="H39" s="20">
        <v>0</v>
      </c>
      <c r="I39" s="20">
        <v>0.7</v>
      </c>
      <c r="J39" s="26">
        <f t="shared" ref="J39:J42" si="2">100-K39</f>
        <v>75</v>
      </c>
      <c r="K39" s="27">
        <v>25</v>
      </c>
      <c r="L39" s="24"/>
    </row>
    <row r="40" spans="1:12" x14ac:dyDescent="0.25">
      <c r="A40" s="293"/>
      <c r="B40" s="10">
        <v>0.8</v>
      </c>
      <c r="C40" s="11">
        <v>0.8</v>
      </c>
      <c r="D40" s="7">
        <v>65</v>
      </c>
      <c r="E40" s="9">
        <v>35</v>
      </c>
      <c r="G40" s="295"/>
      <c r="H40" s="20">
        <v>0.2</v>
      </c>
      <c r="I40" s="20">
        <f t="shared" ref="I40:I45" si="3">I39</f>
        <v>0.7</v>
      </c>
      <c r="J40" s="26">
        <v>85</v>
      </c>
      <c r="K40" s="27">
        <v>25</v>
      </c>
      <c r="L40" s="24"/>
    </row>
    <row r="41" spans="1:12" x14ac:dyDescent="0.25">
      <c r="A41" s="293"/>
      <c r="B41" s="10">
        <v>1.3</v>
      </c>
      <c r="C41" s="11">
        <v>0.8</v>
      </c>
      <c r="D41" s="7">
        <v>5</v>
      </c>
      <c r="E41" s="9">
        <v>95</v>
      </c>
      <c r="G41" s="295"/>
      <c r="H41" s="20">
        <v>1.2</v>
      </c>
      <c r="I41" s="20">
        <f t="shared" si="3"/>
        <v>0.7</v>
      </c>
      <c r="J41" s="26">
        <f t="shared" si="2"/>
        <v>60</v>
      </c>
      <c r="K41" s="27">
        <v>40</v>
      </c>
      <c r="L41" s="24"/>
    </row>
    <row r="42" spans="1:12" x14ac:dyDescent="0.25">
      <c r="A42" s="293"/>
      <c r="B42" s="10">
        <v>1.5</v>
      </c>
      <c r="C42" s="11">
        <v>0.8</v>
      </c>
      <c r="D42" s="7">
        <v>5</v>
      </c>
      <c r="E42" s="9">
        <v>95</v>
      </c>
      <c r="G42" s="295"/>
      <c r="H42" s="20">
        <v>1.6</v>
      </c>
      <c r="I42" s="20">
        <f t="shared" si="3"/>
        <v>0.7</v>
      </c>
      <c r="J42" s="26">
        <f t="shared" si="2"/>
        <v>5</v>
      </c>
      <c r="K42" s="27">
        <v>95</v>
      </c>
      <c r="L42" s="24"/>
    </row>
    <row r="43" spans="1:12" x14ac:dyDescent="0.25">
      <c r="A43" s="293"/>
      <c r="B43" s="10">
        <v>1.51</v>
      </c>
      <c r="C43" s="11">
        <v>0.8</v>
      </c>
      <c r="D43" s="7">
        <v>75</v>
      </c>
      <c r="E43" s="9">
        <v>25</v>
      </c>
      <c r="G43" s="295"/>
      <c r="H43" s="20">
        <v>1.9</v>
      </c>
      <c r="I43" s="20">
        <f t="shared" si="3"/>
        <v>0.7</v>
      </c>
      <c r="J43" s="26">
        <v>5</v>
      </c>
      <c r="K43" s="27">
        <v>95</v>
      </c>
      <c r="L43" s="24"/>
    </row>
    <row r="44" spans="1:12" x14ac:dyDescent="0.25">
      <c r="A44" s="293"/>
      <c r="B44" s="10">
        <v>1.7</v>
      </c>
      <c r="C44" s="11">
        <v>0.8</v>
      </c>
      <c r="D44" s="7">
        <v>75</v>
      </c>
      <c r="E44" s="9">
        <v>25</v>
      </c>
      <c r="G44" s="295"/>
      <c r="H44" s="20">
        <v>1.91</v>
      </c>
      <c r="I44" s="20">
        <f t="shared" si="3"/>
        <v>0.7</v>
      </c>
      <c r="J44" s="26">
        <f>100-K44</f>
        <v>75</v>
      </c>
      <c r="K44" s="27">
        <v>25</v>
      </c>
      <c r="L44" s="24"/>
    </row>
    <row r="45" spans="1:12" x14ac:dyDescent="0.25">
      <c r="A45" s="262" t="s">
        <v>218</v>
      </c>
      <c r="B45" s="263"/>
      <c r="C45" s="263"/>
      <c r="D45" s="263"/>
      <c r="E45" s="264"/>
      <c r="G45" s="295"/>
      <c r="H45" s="20">
        <v>2.5</v>
      </c>
      <c r="I45" s="20">
        <f t="shared" si="3"/>
        <v>0.7</v>
      </c>
      <c r="J45" s="26">
        <f>100-K45</f>
        <v>75</v>
      </c>
      <c r="K45" s="27">
        <v>25</v>
      </c>
      <c r="L45" s="24"/>
    </row>
    <row r="46" spans="1:12" x14ac:dyDescent="0.25">
      <c r="A46" s="6" t="s">
        <v>219</v>
      </c>
      <c r="B46" s="265" t="s">
        <v>241</v>
      </c>
      <c r="C46" s="260"/>
      <c r="D46" s="260"/>
      <c r="E46" s="261"/>
      <c r="G46" s="231" t="s">
        <v>218</v>
      </c>
      <c r="H46" s="242"/>
      <c r="I46" s="242"/>
      <c r="J46" s="242"/>
      <c r="K46" s="285"/>
      <c r="L46" s="24"/>
    </row>
    <row r="47" spans="1:12" ht="15.75" x14ac:dyDescent="0.25">
      <c r="A47" s="6" t="s">
        <v>221</v>
      </c>
      <c r="B47" s="265" t="s">
        <v>222</v>
      </c>
      <c r="C47" s="260"/>
      <c r="D47" s="260"/>
      <c r="E47" s="261"/>
      <c r="G47" s="19" t="s">
        <v>219</v>
      </c>
      <c r="H47" s="275" t="s">
        <v>220</v>
      </c>
      <c r="I47" s="276"/>
      <c r="J47" s="276"/>
      <c r="K47" s="277"/>
      <c r="L47" s="24"/>
    </row>
    <row r="48" spans="1:12" x14ac:dyDescent="0.25">
      <c r="A48" s="6" t="s">
        <v>223</v>
      </c>
      <c r="B48" s="265" t="s">
        <v>224</v>
      </c>
      <c r="C48" s="260"/>
      <c r="D48" s="260"/>
      <c r="E48" s="261"/>
      <c r="G48" s="19" t="s">
        <v>221</v>
      </c>
      <c r="H48" s="269" t="s">
        <v>222</v>
      </c>
      <c r="I48" s="270"/>
      <c r="J48" s="270"/>
      <c r="K48" s="271"/>
      <c r="L48" s="24"/>
    </row>
    <row r="49" spans="1:12" x14ac:dyDescent="0.25">
      <c r="A49" s="6" t="s">
        <v>225</v>
      </c>
      <c r="B49" s="265" t="s">
        <v>231</v>
      </c>
      <c r="C49" s="260"/>
      <c r="D49" s="260"/>
      <c r="E49" s="261"/>
      <c r="G49" s="19" t="s">
        <v>223</v>
      </c>
      <c r="H49" s="269" t="s">
        <v>224</v>
      </c>
      <c r="I49" s="270"/>
      <c r="J49" s="270"/>
      <c r="K49" s="271"/>
      <c r="L49" s="24"/>
    </row>
    <row r="50" spans="1:12" x14ac:dyDescent="0.25">
      <c r="A50" s="6" t="s">
        <v>227</v>
      </c>
      <c r="B50" s="265" t="s">
        <v>228</v>
      </c>
      <c r="C50" s="278"/>
      <c r="D50" s="7" t="s">
        <v>229</v>
      </c>
      <c r="E50" s="9" t="s">
        <v>230</v>
      </c>
      <c r="G50" s="19" t="s">
        <v>242</v>
      </c>
      <c r="H50" s="269" t="s">
        <v>231</v>
      </c>
      <c r="I50" s="270"/>
      <c r="J50" s="270"/>
      <c r="K50" s="271"/>
      <c r="L50" s="24"/>
    </row>
    <row r="51" spans="1:12" x14ac:dyDescent="0.25">
      <c r="A51" s="12" t="s">
        <v>112</v>
      </c>
      <c r="B51" s="265" t="s">
        <v>243</v>
      </c>
      <c r="C51" s="278"/>
      <c r="D51" s="7">
        <v>95</v>
      </c>
      <c r="E51" s="9">
        <v>35</v>
      </c>
      <c r="G51" s="19" t="s">
        <v>227</v>
      </c>
      <c r="H51" s="269" t="s">
        <v>228</v>
      </c>
      <c r="I51" s="289"/>
      <c r="J51" s="20" t="s">
        <v>229</v>
      </c>
      <c r="K51" s="25" t="s">
        <v>230</v>
      </c>
      <c r="L51" s="24"/>
    </row>
    <row r="52" spans="1:12" x14ac:dyDescent="0.25">
      <c r="A52" s="13" t="s">
        <v>172</v>
      </c>
      <c r="B52" s="279" t="s">
        <v>235</v>
      </c>
      <c r="C52" s="280"/>
      <c r="D52" s="14">
        <v>52</v>
      </c>
      <c r="E52" s="15">
        <v>25</v>
      </c>
      <c r="G52" s="22" t="str">
        <f>H30</f>
        <v>6ß-hydroxytesterone</v>
      </c>
      <c r="H52" s="269" t="s">
        <v>244</v>
      </c>
      <c r="I52" s="289"/>
      <c r="J52" s="20">
        <v>55</v>
      </c>
      <c r="K52" s="25">
        <v>15</v>
      </c>
      <c r="L52" s="24"/>
    </row>
    <row r="53" spans="1:12" x14ac:dyDescent="0.25">
      <c r="G53" s="23" t="s">
        <v>172</v>
      </c>
      <c r="H53" s="290" t="s">
        <v>235</v>
      </c>
      <c r="I53" s="291"/>
      <c r="J53" s="28">
        <v>52</v>
      </c>
      <c r="K53" s="29">
        <v>25</v>
      </c>
    </row>
    <row r="54" spans="1:12" x14ac:dyDescent="0.25">
      <c r="G54" s="24"/>
      <c r="H54" s="24"/>
      <c r="I54" s="24"/>
      <c r="J54" s="24"/>
      <c r="K54" s="24"/>
      <c r="L54" s="24"/>
    </row>
  </sheetData>
  <mergeCells count="74">
    <mergeCell ref="H53:I53"/>
    <mergeCell ref="A11:A16"/>
    <mergeCell ref="A38:A44"/>
    <mergeCell ref="G11:G17"/>
    <mergeCell ref="G38:G45"/>
    <mergeCell ref="B50:C50"/>
    <mergeCell ref="H50:K50"/>
    <mergeCell ref="B51:C51"/>
    <mergeCell ref="H51:I51"/>
    <mergeCell ref="B52:C52"/>
    <mergeCell ref="H52:I52"/>
    <mergeCell ref="B47:E47"/>
    <mergeCell ref="H47:K47"/>
    <mergeCell ref="B48:E48"/>
    <mergeCell ref="H48:K48"/>
    <mergeCell ref="B49:E49"/>
    <mergeCell ref="H49:K49"/>
    <mergeCell ref="B37:E37"/>
    <mergeCell ref="H37:K37"/>
    <mergeCell ref="A45:E45"/>
    <mergeCell ref="B46:E46"/>
    <mergeCell ref="G46:K46"/>
    <mergeCell ref="B34:E34"/>
    <mergeCell ref="H34:K34"/>
    <mergeCell ref="B35:E35"/>
    <mergeCell ref="H35:K35"/>
    <mergeCell ref="B36:E36"/>
    <mergeCell ref="H36:K36"/>
    <mergeCell ref="A31:E31"/>
    <mergeCell ref="G31:K31"/>
    <mergeCell ref="B32:E32"/>
    <mergeCell ref="H32:K32"/>
    <mergeCell ref="B33:E33"/>
    <mergeCell ref="H33:K33"/>
    <mergeCell ref="B25:C25"/>
    <mergeCell ref="H25:I25"/>
    <mergeCell ref="A29:F29"/>
    <mergeCell ref="G29:L29"/>
    <mergeCell ref="B30:E30"/>
    <mergeCell ref="H30:K30"/>
    <mergeCell ref="B22:C22"/>
    <mergeCell ref="H22:K22"/>
    <mergeCell ref="B23:C23"/>
    <mergeCell ref="H23:I23"/>
    <mergeCell ref="B24:C24"/>
    <mergeCell ref="H24:I24"/>
    <mergeCell ref="B19:E19"/>
    <mergeCell ref="H19:K19"/>
    <mergeCell ref="B20:E20"/>
    <mergeCell ref="H20:K20"/>
    <mergeCell ref="B21:E21"/>
    <mergeCell ref="H21:K21"/>
    <mergeCell ref="B10:E10"/>
    <mergeCell ref="H10:K10"/>
    <mergeCell ref="A17:E17"/>
    <mergeCell ref="B18:E18"/>
    <mergeCell ref="G18:K18"/>
    <mergeCell ref="B7:E7"/>
    <mergeCell ref="H7:K7"/>
    <mergeCell ref="B8:E8"/>
    <mergeCell ref="H8:K8"/>
    <mergeCell ref="B9:E9"/>
    <mergeCell ref="H9:K9"/>
    <mergeCell ref="A4:E4"/>
    <mergeCell ref="G4:K4"/>
    <mergeCell ref="B5:E5"/>
    <mergeCell ref="H5:K5"/>
    <mergeCell ref="B6:E6"/>
    <mergeCell ref="H6:K6"/>
    <mergeCell ref="A1:F1"/>
    <mergeCell ref="A2:C2"/>
    <mergeCell ref="G2:M2"/>
    <mergeCell ref="B3:E3"/>
    <mergeCell ref="H3:K3"/>
  </mergeCells>
  <phoneticPr fontId="26" type="noConversion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>
    <arrUserId title="Sign_1_1_1_1_1_1" rangeCreator="" othersAccessPermission="edit"/>
  </rangeList>
  <rangeList sheetStid="2" master=""/>
  <rangeList sheetStid="4" master=""/>
  <rangeList sheetStid="5" master=""/>
  <rangeList sheetStid="9" master=""/>
  <rangeList sheetStid="6" master="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Signature</vt:lpstr>
      <vt:lpstr>Summary</vt:lpstr>
      <vt:lpstr>Materials</vt:lpstr>
      <vt:lpstr>Study Design</vt:lpstr>
      <vt:lpstr>Data</vt:lpstr>
      <vt:lpstr>Bioanalytical Method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2015-06-05T18:19:00Z</dcterms:created>
  <dcterms:modified xsi:type="dcterms:W3CDTF">2024-06-20T05:50:06Z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25E2254A654E41C1BC7D27970E41AED9</vt:lpwstr>
  </property>
  <property fmtid="{D5CDD505-2E9C-101B-9397-08002B2CF9AE}" pid="3" name="KSOProductBuildVer">
    <vt:lpwstr>2052-12.1.0.16929</vt:lpwstr>
  </property>
</Properties>
</file>