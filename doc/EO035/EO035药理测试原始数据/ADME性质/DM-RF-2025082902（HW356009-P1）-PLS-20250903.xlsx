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Users\User\Desktop\"/>
    </mc:Choice>
  </mc:AlternateContent>
  <bookViews>
    <workbookView xWindow="0" yWindow="0" windowWidth="27945" windowHeight="12525" tabRatio="639"/>
  </bookViews>
  <sheets>
    <sheet name="Signature" sheetId="1" r:id="rId1"/>
    <sheet name="Summary" sheetId="2" r:id="rId2"/>
    <sheet name="Materials" sheetId="3" r:id="rId3"/>
    <sheet name="Study Design" sheetId="6" r:id="rId4"/>
    <sheet name="Graph" sheetId="11" r:id="rId5"/>
    <sheet name="Raw Data" sheetId="7" r:id="rId6"/>
    <sheet name="Bioanalytical Method " sheetId="5" r:id="rId7"/>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9" i="5" l="1"/>
  <c r="E42" i="5"/>
  <c r="D42" i="5"/>
  <c r="K41" i="5"/>
  <c r="J41" i="5"/>
  <c r="E41" i="5"/>
  <c r="D41" i="5"/>
  <c r="K40" i="5"/>
  <c r="J40" i="5"/>
  <c r="E40" i="5"/>
  <c r="D40" i="5"/>
  <c r="K39" i="5"/>
  <c r="J39" i="5"/>
  <c r="E39" i="5"/>
  <c r="D39" i="5"/>
  <c r="K38" i="5"/>
  <c r="J38" i="5"/>
  <c r="K37" i="5"/>
  <c r="E37" i="5"/>
  <c r="K16" i="5"/>
  <c r="J16" i="5"/>
  <c r="E16" i="5"/>
  <c r="D16" i="5"/>
  <c r="K15" i="5"/>
  <c r="J15" i="5"/>
  <c r="E15" i="5"/>
  <c r="D15" i="5"/>
  <c r="K14" i="5"/>
  <c r="J14" i="5"/>
  <c r="E14" i="5"/>
  <c r="D14" i="5"/>
  <c r="K13" i="5"/>
  <c r="J13" i="5"/>
  <c r="E13" i="5"/>
  <c r="D13" i="5"/>
  <c r="K12" i="5"/>
  <c r="E12" i="5"/>
  <c r="H63" i="11"/>
  <c r="G63" i="11"/>
  <c r="F63" i="11"/>
  <c r="H62" i="11"/>
  <c r="G62" i="11"/>
  <c r="F62" i="11"/>
  <c r="H61" i="11"/>
  <c r="G61" i="11"/>
  <c r="F61" i="11"/>
  <c r="H60" i="11"/>
  <c r="G60" i="11"/>
  <c r="F60" i="11"/>
  <c r="G59" i="11"/>
  <c r="F59" i="11"/>
  <c r="G58" i="11"/>
  <c r="F58" i="11"/>
  <c r="H57" i="11"/>
  <c r="G57" i="11"/>
  <c r="F57" i="11"/>
  <c r="H56" i="11"/>
  <c r="G56" i="11"/>
  <c r="F56" i="11"/>
  <c r="H55" i="11"/>
  <c r="G55" i="11"/>
  <c r="F55" i="11"/>
  <c r="H54" i="11"/>
  <c r="G54" i="11"/>
  <c r="F54" i="11"/>
  <c r="H53" i="11"/>
  <c r="G53" i="11"/>
  <c r="F53" i="11"/>
  <c r="H52" i="11"/>
  <c r="G52" i="11"/>
  <c r="F52" i="11"/>
  <c r="H51" i="11"/>
  <c r="G51" i="11"/>
  <c r="F51" i="11"/>
  <c r="H50" i="11"/>
  <c r="G50" i="11"/>
  <c r="F50" i="11"/>
  <c r="G49" i="11"/>
  <c r="F49" i="11"/>
  <c r="G48" i="11"/>
  <c r="F48" i="11"/>
  <c r="G47" i="11"/>
  <c r="F47" i="11"/>
  <c r="G46" i="11"/>
  <c r="F46" i="11"/>
  <c r="H45" i="11"/>
  <c r="G45" i="11"/>
  <c r="F45" i="11"/>
  <c r="H44" i="11"/>
  <c r="G44" i="11"/>
  <c r="F44" i="11"/>
  <c r="H43" i="11"/>
  <c r="G43" i="11"/>
  <c r="F43" i="11"/>
  <c r="H42" i="11"/>
  <c r="G42" i="11"/>
  <c r="F42" i="11"/>
  <c r="H41" i="11"/>
  <c r="G41" i="11"/>
  <c r="F41" i="11"/>
  <c r="H40" i="11"/>
  <c r="G40" i="11"/>
  <c r="F40" i="11"/>
  <c r="H39" i="11"/>
  <c r="G39" i="11"/>
  <c r="F39" i="11"/>
  <c r="H38" i="11"/>
  <c r="G38" i="11"/>
  <c r="F38" i="11"/>
  <c r="H37" i="11"/>
  <c r="G37" i="11"/>
  <c r="F37" i="11"/>
  <c r="H36" i="11"/>
  <c r="G36" i="11"/>
  <c r="F36" i="11"/>
  <c r="H35" i="11"/>
  <c r="G35" i="11"/>
  <c r="F35" i="11"/>
  <c r="G34" i="11"/>
  <c r="F34" i="11"/>
  <c r="H33" i="11"/>
  <c r="G33" i="11"/>
  <c r="F33" i="11"/>
  <c r="H32" i="11"/>
  <c r="G32" i="11"/>
  <c r="F32" i="11"/>
  <c r="H31" i="11"/>
  <c r="G31" i="11"/>
  <c r="F31" i="11"/>
  <c r="H30" i="11"/>
  <c r="G30" i="11"/>
  <c r="F30" i="11"/>
  <c r="H29" i="11"/>
  <c r="G29" i="11"/>
  <c r="F29" i="11"/>
  <c r="H28" i="11"/>
  <c r="G28" i="11"/>
  <c r="F28" i="11"/>
  <c r="H27" i="11"/>
  <c r="G27" i="11"/>
  <c r="F27" i="11"/>
  <c r="H26" i="11"/>
  <c r="G26" i="11"/>
  <c r="F26" i="11"/>
  <c r="H25" i="11"/>
  <c r="G25" i="11"/>
  <c r="F25" i="11"/>
  <c r="H24" i="11"/>
  <c r="G24" i="11"/>
  <c r="F24" i="11"/>
  <c r="H23" i="11"/>
  <c r="G23" i="11"/>
  <c r="F23" i="11"/>
  <c r="H22" i="11"/>
  <c r="G22" i="11"/>
  <c r="F22" i="11"/>
  <c r="H21" i="11"/>
  <c r="G21" i="11"/>
  <c r="F21" i="11"/>
  <c r="H20" i="11"/>
  <c r="G20" i="11"/>
  <c r="F20" i="11"/>
  <c r="H19" i="11"/>
  <c r="G19" i="11"/>
  <c r="F19" i="11"/>
  <c r="H18" i="11"/>
  <c r="G18" i="11"/>
  <c r="F18" i="11"/>
  <c r="H17" i="11"/>
  <c r="G17" i="11"/>
  <c r="F17" i="11"/>
  <c r="H16" i="11"/>
  <c r="G16" i="11"/>
  <c r="F16" i="11"/>
  <c r="H15" i="11"/>
  <c r="G15" i="11"/>
  <c r="F15" i="11"/>
  <c r="H14" i="11"/>
  <c r="G14" i="11"/>
  <c r="F14" i="11"/>
  <c r="H13" i="11"/>
  <c r="G13" i="11"/>
  <c r="F13" i="11"/>
  <c r="H12" i="11"/>
  <c r="G12" i="11"/>
  <c r="F12" i="11"/>
  <c r="H11" i="11"/>
  <c r="G11" i="11"/>
  <c r="F11" i="11"/>
  <c r="H10" i="11"/>
  <c r="G10" i="11"/>
  <c r="F10" i="11"/>
  <c r="H9" i="11"/>
  <c r="G9" i="11"/>
  <c r="F9" i="11"/>
  <c r="H8" i="11"/>
  <c r="G8" i="11"/>
  <c r="F8" i="11"/>
  <c r="H7" i="11"/>
  <c r="G7" i="11"/>
  <c r="F7" i="11"/>
  <c r="H6" i="11"/>
  <c r="G6" i="11"/>
  <c r="F6" i="11"/>
  <c r="H5" i="11"/>
  <c r="G5" i="11"/>
  <c r="F5" i="11"/>
  <c r="H4" i="11"/>
  <c r="G4" i="11"/>
  <c r="F4" i="11"/>
  <c r="J15" i="2"/>
  <c r="J14" i="2"/>
  <c r="J13" i="2"/>
  <c r="J12" i="2"/>
  <c r="J11" i="2"/>
  <c r="J10" i="2"/>
  <c r="J9" i="2"/>
</calcChain>
</file>

<file path=xl/sharedStrings.xml><?xml version="1.0" encoding="utf-8"?>
<sst xmlns="http://schemas.openxmlformats.org/spreadsheetml/2006/main" count="1810" uniqueCount="675">
  <si>
    <t>Study Report</t>
  </si>
  <si>
    <t>Report Name</t>
  </si>
  <si>
    <t>Stability of  HW356009-P1 in  Human, Mouse, Rat, Dog, Monkey Plasma</t>
  </si>
  <si>
    <t>Study Number</t>
  </si>
  <si>
    <t>D-ZJU-20240702</t>
  </si>
  <si>
    <t>Report Number</t>
  </si>
  <si>
    <r>
      <t>ADME-</t>
    </r>
    <r>
      <rPr>
        <sz val="11"/>
        <rFont val="宋体"/>
        <charset val="134"/>
      </rPr>
      <t>人福医药</t>
    </r>
    <r>
      <rPr>
        <sz val="11"/>
        <rFont val="Times New Roman"/>
        <family val="1"/>
      </rPr>
      <t>-PLS-20250903</t>
    </r>
  </si>
  <si>
    <t>Sponsor Name</t>
  </si>
  <si>
    <t>人福医药</t>
  </si>
  <si>
    <t>Submitted by</t>
  </si>
  <si>
    <t>Yu Sun</t>
  </si>
  <si>
    <t>Study Start Date</t>
  </si>
  <si>
    <t>Report Submission Date</t>
  </si>
  <si>
    <t>Study Director</t>
  </si>
  <si>
    <t>Jie Shao</t>
  </si>
  <si>
    <t>Assay Scientist</t>
  </si>
  <si>
    <t>QC for Report</t>
  </si>
  <si>
    <t>Report Approval</t>
  </si>
  <si>
    <t>Data Summary</t>
  </si>
  <si>
    <r>
      <rPr>
        <sz val="11"/>
        <rFont val="Times New Roman"/>
        <family val="1"/>
      </rPr>
      <t>T</t>
    </r>
    <r>
      <rPr>
        <vertAlign val="subscript"/>
        <sz val="11"/>
        <rFont val="Times New Roman"/>
        <family val="1"/>
      </rPr>
      <t>1/2</t>
    </r>
    <r>
      <rPr>
        <sz val="11"/>
        <rFont val="Times New Roman"/>
        <family val="1"/>
      </rPr>
      <t xml:space="preserve"> = -(0.693/k) (k is the rate constant from a plot of ln [concentration] vs. incubation time)</t>
    </r>
  </si>
  <si>
    <t>Table 1. Remaining percentage and metabolic stability of test compound and control compound in plasma</t>
  </si>
  <si>
    <t>Compound ID</t>
  </si>
  <si>
    <t>Species</t>
  </si>
  <si>
    <t>Percent Remaining (%)(Mean, n=2)</t>
  </si>
  <si>
    <t xml:space="preserve"> -k</t>
  </si>
  <si>
    <r>
      <rPr>
        <b/>
        <sz val="12"/>
        <color indexed="8"/>
        <rFont val="Times New Roman"/>
        <family val="1"/>
      </rPr>
      <t>T</t>
    </r>
    <r>
      <rPr>
        <b/>
        <vertAlign val="subscript"/>
        <sz val="12"/>
        <color rgb="FF000000"/>
        <rFont val="Times New Roman"/>
        <family val="1"/>
      </rPr>
      <t>1/2</t>
    </r>
    <r>
      <rPr>
        <b/>
        <sz val="12"/>
        <color indexed="8"/>
        <rFont val="Times New Roman"/>
        <family val="1"/>
      </rPr>
      <t xml:space="preserve">  (minute)</t>
    </r>
  </si>
  <si>
    <t>0 min</t>
  </si>
  <si>
    <t>5 min</t>
  </si>
  <si>
    <t>15 min</t>
  </si>
  <si>
    <t>30 min</t>
  </si>
  <si>
    <t>60 min</t>
  </si>
  <si>
    <t>120 min</t>
  </si>
  <si>
    <t>HW356009-P1</t>
  </si>
  <si>
    <t>Human</t>
  </si>
  <si>
    <t>∞</t>
  </si>
  <si>
    <t>Mouse</t>
  </si>
  <si>
    <t>Rat</t>
  </si>
  <si>
    <t>Monkey</t>
  </si>
  <si>
    <t>Dog</t>
  </si>
  <si>
    <t>Propantheline bromide</t>
  </si>
  <si>
    <t>Enalapril</t>
  </si>
  <si>
    <t>Bisacodyl</t>
  </si>
  <si>
    <t>Note: The rules on data processing were listed in the study design.</t>
  </si>
  <si>
    <t>Materials</t>
  </si>
  <si>
    <t>1.Test  compound information is listed in Table 2.</t>
  </si>
  <si>
    <t>Table 2. Compound information</t>
  </si>
  <si>
    <t>Lot No.</t>
  </si>
  <si>
    <t>MW (g/mol)</t>
  </si>
  <si>
    <t>FW (g/mol)</t>
  </si>
  <si>
    <t>Purity</t>
  </si>
  <si>
    <t>HWH817-YBC-035-4-54-2</t>
  </si>
  <si>
    <t>2.The plasma was stored at -80°C prior to use, and the plasma information is listed in Table 3.</t>
  </si>
  <si>
    <t>Table 3. Plasma information</t>
  </si>
  <si>
    <t>Vendor</t>
  </si>
  <si>
    <t>Cat. No.</t>
  </si>
  <si>
    <t xml:space="preserve">Strain &amp; Gender </t>
  </si>
  <si>
    <t>Charles River</t>
  </si>
  <si>
    <t>11201011</t>
  </si>
  <si>
    <t>Pooled,  Male</t>
  </si>
  <si>
    <t>11101011</t>
  </si>
  <si>
    <t>IPHASE</t>
  </si>
  <si>
    <t>0184C1.11</t>
  </si>
  <si>
    <t>Pooled, Mixed Gender</t>
  </si>
  <si>
    <t>032B21.11</t>
  </si>
  <si>
    <t>Pooled, Male</t>
  </si>
  <si>
    <t xml:space="preserve"> SHQY</t>
  </si>
  <si>
    <t>TRP03-100E2</t>
  </si>
  <si>
    <t>Study Design</t>
  </si>
  <si>
    <t>1. Add blank plasma to each incubation plate. Add control compound or test compound working  solutions to the incubation plates.The final concentration of test cmpound was 1 μM and control compound was 1 μM.</t>
  </si>
  <si>
    <t>2. All reaction plates containing mixtures of compound and plasma were incubated at 37°C in water bath.</t>
  </si>
  <si>
    <r>
      <rPr>
        <sz val="11"/>
        <rFont val="Times New Roman"/>
        <family val="1"/>
      </rPr>
      <t>3. Aliquots of 50 µL were taken from the reaction solution at 0, 5, 15, 30, 60 and 120 minutes. The reaction was stopped by the addition of 500  μL of cold acetonitrile/methanol(v:v=50:50) with IS (50 ng/mL labetalol, 50 ng/mL tolbutamide). Samples were centrifuged at 4000 rpm for 10 minutes. Aliquot of 50 µL of the supernatant was mixed with 150 µL of ultra-pure H</t>
    </r>
    <r>
      <rPr>
        <vertAlign val="subscript"/>
        <sz val="11"/>
        <rFont val="Times New Roman"/>
        <family val="1"/>
      </rPr>
      <t>2</t>
    </r>
    <r>
      <rPr>
        <sz val="11"/>
        <rFont val="Times New Roman"/>
        <family val="1"/>
      </rPr>
      <t>O and then used for LC-MS/MS analysis.</t>
    </r>
  </si>
  <si>
    <t>4. Data Analysis</t>
  </si>
  <si>
    <t>The % remaining of test compound after incubation in plasma was calculated using following equation:</t>
  </si>
  <si>
    <r>
      <rPr>
        <sz val="10"/>
        <rFont val="Times New Roman"/>
        <family val="1"/>
      </rPr>
      <t>% Remaining= 100 x (PAR  at appointed incubation time / PAR at T</t>
    </r>
    <r>
      <rPr>
        <vertAlign val="subscript"/>
        <sz val="10"/>
        <rFont val="Times New Roman"/>
        <family val="1"/>
      </rPr>
      <t>0</t>
    </r>
    <r>
      <rPr>
        <sz val="10"/>
        <rFont val="Times New Roman"/>
        <family val="1"/>
      </rPr>
      <t xml:space="preserve"> time)</t>
    </r>
  </si>
  <si>
    <t>where PAR is the peak area ratio of analyte versus internal standard (IS)</t>
  </si>
  <si>
    <t>The appointed incubation time points are  T0 (0 min), Tn (n=0, 5, 15, 30, 60, 120 min)</t>
  </si>
  <si>
    <t>All calculations were carried out using Microsoft Excel.</t>
  </si>
  <si>
    <t xml:space="preserve">The slope value, k, was determined by linear regression of the natural logarithm of the remaining percentage of the parent drug vs. incubation time curve. </t>
  </si>
  <si>
    <r>
      <rPr>
        <sz val="11"/>
        <rFont val="Times New Roman"/>
        <family val="1"/>
      </rPr>
      <t>The in vitro half-life (in vitro t</t>
    </r>
    <r>
      <rPr>
        <vertAlign val="subscript"/>
        <sz val="11"/>
        <rFont val="Times New Roman"/>
        <family val="1"/>
      </rPr>
      <t>1/2</t>
    </r>
    <r>
      <rPr>
        <sz val="11"/>
        <rFont val="Times New Roman"/>
        <family val="1"/>
      </rPr>
      <t>) was determined from the slope value:</t>
    </r>
  </si>
  <si>
    <t>Table 5: Raw data of test compound and control compound in plasma</t>
  </si>
  <si>
    <t>Cpd</t>
  </si>
  <si>
    <t>Time(min)</t>
  </si>
  <si>
    <t>Area Ratio 1</t>
  </si>
  <si>
    <t>Area Ratio 2</t>
  </si>
  <si>
    <t>Mean</t>
  </si>
  <si>
    <t>Percent Remaining (%)</t>
  </si>
  <si>
    <t>Ln(Percent Remaining)</t>
  </si>
  <si>
    <t>NA</t>
  </si>
  <si>
    <t>Peak Name: Tolbutamide</t>
  </si>
  <si>
    <t>Use as Internal Standard</t>
  </si>
  <si>
    <t>Q1/Q3 Masses: 271.10/155.00 Da</t>
  </si>
  <si>
    <t>Peak Name: HW356009-P1</t>
  </si>
  <si>
    <t>Internal Standard: Tolbutamide</t>
  </si>
  <si>
    <t>Q1/Q3 Masses: 604.30/411.20 Da</t>
  </si>
  <si>
    <t>Fit</t>
  </si>
  <si>
    <t>Linear</t>
  </si>
  <si>
    <t>Weighting</t>
  </si>
  <si>
    <t>None</t>
  </si>
  <si>
    <t>Iterate</t>
  </si>
  <si>
    <t>No</t>
  </si>
  <si>
    <t>Error</t>
  </si>
  <si>
    <t>At least 2 points are required to calculate regression.</t>
  </si>
  <si>
    <t>Use Area</t>
  </si>
  <si>
    <t>Sample Name</t>
  </si>
  <si>
    <t>Sample Type</t>
  </si>
  <si>
    <t>Sample Comment</t>
  </si>
  <si>
    <t>File Name</t>
  </si>
  <si>
    <t>Analyte Peak Name</t>
  </si>
  <si>
    <t>Analyte Peak Area (counts)</t>
  </si>
  <si>
    <t>Analyte Peak Height (cps)</t>
  </si>
  <si>
    <t>Analyte Retention Time (min)</t>
  </si>
  <si>
    <t>IS Peak Name</t>
  </si>
  <si>
    <t>IS Peak Area (counts)</t>
  </si>
  <si>
    <t>IS Peak Height (cps)</t>
  </si>
  <si>
    <t>IS Retention Time (min)</t>
  </si>
  <si>
    <t>Area Ratio</t>
  </si>
  <si>
    <t>Record Modified</t>
  </si>
  <si>
    <t>BLK</t>
  </si>
  <si>
    <t>Blank</t>
  </si>
  <si>
    <t>HW356009-P1-20250902-PLS\SA.wiff</t>
  </si>
  <si>
    <t>0.00e+000</t>
  </si>
  <si>
    <t>Tolbutamide</t>
  </si>
  <si>
    <t>5.10e+005</t>
  </si>
  <si>
    <t>1.95e+005</t>
  </si>
  <si>
    <t>5.16e+005</t>
  </si>
  <si>
    <t>2.08e+005</t>
  </si>
  <si>
    <t>HW356009-P1-HT120</t>
  </si>
  <si>
    <t>Unknown</t>
  </si>
  <si>
    <t>2.85e+005</t>
  </si>
  <si>
    <t>1.25e+005</t>
  </si>
  <si>
    <t>5.61e+005</t>
  </si>
  <si>
    <t>2.32e+005</t>
  </si>
  <si>
    <t>5.09e-001</t>
  </si>
  <si>
    <t>2.80e+005</t>
  </si>
  <si>
    <t>1.18e+005</t>
  </si>
  <si>
    <t>5.66e+005</t>
  </si>
  <si>
    <t>2.40e+005</t>
  </si>
  <si>
    <t>4.94e-001</t>
  </si>
  <si>
    <t>HW356009-P1-HT60</t>
  </si>
  <si>
    <t>2.68e+005</t>
  </si>
  <si>
    <t>1.16e+005</t>
  </si>
  <si>
    <t>5.39e+005</t>
  </si>
  <si>
    <t>2.27e+005</t>
  </si>
  <si>
    <t>4.97e-001</t>
  </si>
  <si>
    <t>2.42e+005</t>
  </si>
  <si>
    <t>1.06e+005</t>
  </si>
  <si>
    <t>5.42e+005</t>
  </si>
  <si>
    <t>2.37e+005</t>
  </si>
  <si>
    <t>4.47e-001</t>
  </si>
  <si>
    <t>HW356009-P1-HT30</t>
  </si>
  <si>
    <t>2.59e+005</t>
  </si>
  <si>
    <t>1.10e+005</t>
  </si>
  <si>
    <t>5.68e+005</t>
  </si>
  <si>
    <t>2.38e+005</t>
  </si>
  <si>
    <t>4.57e-001</t>
  </si>
  <si>
    <t>1.11e+005</t>
  </si>
  <si>
    <t>5.53e+005</t>
  </si>
  <si>
    <t>2.28e+005</t>
  </si>
  <si>
    <t>4.69e-001</t>
  </si>
  <si>
    <t>HW356009-P1-HT15</t>
  </si>
  <si>
    <t>2.61e+005</t>
  </si>
  <si>
    <t>1.15e+005</t>
  </si>
  <si>
    <t>5.52e+005</t>
  </si>
  <si>
    <t>4.73e-001</t>
  </si>
  <si>
    <t>2.57e+005</t>
  </si>
  <si>
    <t>1.09e+005</t>
  </si>
  <si>
    <t>5.27e+005</t>
  </si>
  <si>
    <t>2.21e+005</t>
  </si>
  <si>
    <t>4.88e-001</t>
  </si>
  <si>
    <t>HW356009-P1-HT5</t>
  </si>
  <si>
    <t>5.23e+005</t>
  </si>
  <si>
    <t>2.18e+005</t>
  </si>
  <si>
    <t>4.98e-001</t>
  </si>
  <si>
    <t>1.20e+005</t>
  </si>
  <si>
    <t>5.44e+005</t>
  </si>
  <si>
    <t>2.30e+005</t>
  </si>
  <si>
    <t>5.15e-001</t>
  </si>
  <si>
    <t>HW356009-P1-HT0</t>
  </si>
  <si>
    <t>5.55e+005</t>
  </si>
  <si>
    <t>2.25e+005</t>
  </si>
  <si>
    <t>2.74e+005</t>
  </si>
  <si>
    <t>5.75e+005</t>
  </si>
  <si>
    <t>2.35e+005</t>
  </si>
  <si>
    <t>4.77e-001</t>
  </si>
  <si>
    <t>5.07e+005</t>
  </si>
  <si>
    <t>2.11e+005</t>
  </si>
  <si>
    <t>5.03e+005</t>
  </si>
  <si>
    <t>2.10e+005</t>
  </si>
  <si>
    <t>HW356009-P1-MT120</t>
  </si>
  <si>
    <t>9.84e+004</t>
  </si>
  <si>
    <t>2.16e+005</t>
  </si>
  <si>
    <t>4.31e-001</t>
  </si>
  <si>
    <t>2.19e+005</t>
  </si>
  <si>
    <t>9.65e+004</t>
  </si>
  <si>
    <t>4.99e+005</t>
  </si>
  <si>
    <t>2.02e+005</t>
  </si>
  <si>
    <t>4.39e-001</t>
  </si>
  <si>
    <t>HW356009-P1-MT60</t>
  </si>
  <si>
    <t>2.05e+005</t>
  </si>
  <si>
    <t>8.71e+004</t>
  </si>
  <si>
    <t>4.91e+005</t>
  </si>
  <si>
    <t>2.12e+005</t>
  </si>
  <si>
    <t>4.18e-001</t>
  </si>
  <si>
    <t>1.97e+005</t>
  </si>
  <si>
    <t>8.52e+004</t>
  </si>
  <si>
    <t>4.80e+005</t>
  </si>
  <si>
    <t>1.96e+005</t>
  </si>
  <si>
    <t>4.10e-001</t>
  </si>
  <si>
    <t>HW356009-P1-MT30</t>
  </si>
  <si>
    <t>2.04e+005</t>
  </si>
  <si>
    <t>8.81e+004</t>
  </si>
  <si>
    <t>4.76e+005</t>
  </si>
  <si>
    <t>1.98e+005</t>
  </si>
  <si>
    <t>4.29e-001</t>
  </si>
  <si>
    <t>1.99e+005</t>
  </si>
  <si>
    <t>8.51e+004</t>
  </si>
  <si>
    <t>4.65e+005</t>
  </si>
  <si>
    <t>4.28e-001</t>
  </si>
  <si>
    <t>HW356009-P1-MT15</t>
  </si>
  <si>
    <t>8.41e+004</t>
  </si>
  <si>
    <t>1.91e+005</t>
  </si>
  <si>
    <t>4.20e-001</t>
  </si>
  <si>
    <t>1.90e+005</t>
  </si>
  <si>
    <t>8.35e+004</t>
  </si>
  <si>
    <t>4.46e+005</t>
  </si>
  <si>
    <t>4.26e-001</t>
  </si>
  <si>
    <t>HW356009-P1-MT5</t>
  </si>
  <si>
    <t>8.31e+004</t>
  </si>
  <si>
    <t>4.87e+005</t>
  </si>
  <si>
    <t>4.03e-001</t>
  </si>
  <si>
    <t>1.86e+005</t>
  </si>
  <si>
    <t>8.12e+004</t>
  </si>
  <si>
    <t>4.39e+005</t>
  </si>
  <si>
    <t>4.24e-001</t>
  </si>
  <si>
    <t>HW356009-P1-MT0</t>
  </si>
  <si>
    <t>9.29e+004</t>
  </si>
  <si>
    <t>4.93e+005</t>
  </si>
  <si>
    <t>4.48e-001</t>
  </si>
  <si>
    <t>2.23e+005</t>
  </si>
  <si>
    <t>9.36e+004</t>
  </si>
  <si>
    <t>4.52e-001</t>
  </si>
  <si>
    <t>4.77e+005</t>
  </si>
  <si>
    <t>HW356009-P1-RT120</t>
  </si>
  <si>
    <t>1.85e+005</t>
  </si>
  <si>
    <t>8.06e+004</t>
  </si>
  <si>
    <t>4.75e+005</t>
  </si>
  <si>
    <t>3.90e-001</t>
  </si>
  <si>
    <t>1.88e+005</t>
  </si>
  <si>
    <t>8.17e+004</t>
  </si>
  <si>
    <t>4.82e+005</t>
  </si>
  <si>
    <t>3.91e-001</t>
  </si>
  <si>
    <t>HW356009-P1-RT60</t>
  </si>
  <si>
    <t>1.80e+005</t>
  </si>
  <si>
    <t>7.73e+004</t>
  </si>
  <si>
    <t>4.88e+005</t>
  </si>
  <si>
    <t>3.69e-001</t>
  </si>
  <si>
    <t>1.77e+005</t>
  </si>
  <si>
    <t>7.70e+004</t>
  </si>
  <si>
    <t>4.70e+005</t>
  </si>
  <si>
    <t>3.77e-001</t>
  </si>
  <si>
    <t>HW356009-P1-RT30</t>
  </si>
  <si>
    <t>4.63e+005</t>
  </si>
  <si>
    <t>1.93e+005</t>
  </si>
  <si>
    <t>3.89e-001</t>
  </si>
  <si>
    <t>1.82e+005</t>
  </si>
  <si>
    <t>7.85e+004</t>
  </si>
  <si>
    <t>2.01e+005</t>
  </si>
  <si>
    <t>3.81e-001</t>
  </si>
  <si>
    <t>HW356009-P1-RT15</t>
  </si>
  <si>
    <t>1.78e+005</t>
  </si>
  <si>
    <t>7.77e+004</t>
  </si>
  <si>
    <t>4.53e+005</t>
  </si>
  <si>
    <t>1.92e+005</t>
  </si>
  <si>
    <t>3.92e-001</t>
  </si>
  <si>
    <t>1.75e+005</t>
  </si>
  <si>
    <t>7.51e+004</t>
  </si>
  <si>
    <t>4.60e+005</t>
  </si>
  <si>
    <t>3.80e-001</t>
  </si>
  <si>
    <t>HW356009-P1-RT5</t>
  </si>
  <si>
    <t>1.72e+005</t>
  </si>
  <si>
    <t>7.31e+004</t>
  </si>
  <si>
    <t>4.68e+005</t>
  </si>
  <si>
    <t>2.00e+005</t>
  </si>
  <si>
    <t>3.68e-001</t>
  </si>
  <si>
    <t>1.74e+005</t>
  </si>
  <si>
    <t>7.61e+004</t>
  </si>
  <si>
    <t>4.59e+005</t>
  </si>
  <si>
    <t>HW356009-P1-RT0</t>
  </si>
  <si>
    <t>1.01e+005</t>
  </si>
  <si>
    <t>4.46e+004</t>
  </si>
  <si>
    <t>2.73e+005</t>
  </si>
  <si>
    <t>1.17e+005</t>
  </si>
  <si>
    <t>8.64e+004</t>
  </si>
  <si>
    <t>3.70e+004</t>
  </si>
  <si>
    <t>2.36e+005</t>
  </si>
  <si>
    <t>9.98e+004</t>
  </si>
  <si>
    <t>3.66e-001</t>
  </si>
  <si>
    <t>4.85e+005</t>
  </si>
  <si>
    <t>2.03e+005</t>
  </si>
  <si>
    <t>HW356009-P1-DT120</t>
  </si>
  <si>
    <t>2.43e+005</t>
  </si>
  <si>
    <t>1.03e+005</t>
  </si>
  <si>
    <t>5.25e+005</t>
  </si>
  <si>
    <t>2.15e+005</t>
  </si>
  <si>
    <t>4.64e-001</t>
  </si>
  <si>
    <t>2.49e+005</t>
  </si>
  <si>
    <t>1.08e+005</t>
  </si>
  <si>
    <t>5.50e+005</t>
  </si>
  <si>
    <t>2.17e+005</t>
  </si>
  <si>
    <t>4.53e-001</t>
  </si>
  <si>
    <t>HW356009-P1-DT60</t>
  </si>
  <si>
    <t>2.34e+005</t>
  </si>
  <si>
    <t>5.60e+005</t>
  </si>
  <si>
    <t>2.44e+005</t>
  </si>
  <si>
    <t>1.05e+005</t>
  </si>
  <si>
    <t>5.08e+005</t>
  </si>
  <si>
    <t>4.80e-001</t>
  </si>
  <si>
    <t>HW356009-P1-DT30</t>
  </si>
  <si>
    <t>2.48e+005</t>
  </si>
  <si>
    <t>5.11e+005</t>
  </si>
  <si>
    <t>2.09e+005</t>
  </si>
  <si>
    <t>4.85e-001</t>
  </si>
  <si>
    <t>2.72e+005</t>
  </si>
  <si>
    <t>1.14e+005</t>
  </si>
  <si>
    <t>5.36e+005</t>
  </si>
  <si>
    <t>5.07e-001</t>
  </si>
  <si>
    <t>HW356009-P1-DT15</t>
  </si>
  <si>
    <t>2.52e+005</t>
  </si>
  <si>
    <t>1.07e+005</t>
  </si>
  <si>
    <t>5.17e+005</t>
  </si>
  <si>
    <t>2.14e+005</t>
  </si>
  <si>
    <t>4.86e-001</t>
  </si>
  <si>
    <t>5.18e+005</t>
  </si>
  <si>
    <t>HW356009-P1-DT5</t>
  </si>
  <si>
    <t>2.33e+005</t>
  </si>
  <si>
    <t>4.44e-001</t>
  </si>
  <si>
    <t>4.89e-001</t>
  </si>
  <si>
    <t>HW356009-P1-DT0</t>
  </si>
  <si>
    <t>2.39e+005</t>
  </si>
  <si>
    <t>5.28e+005</t>
  </si>
  <si>
    <t>2.45e+005</t>
  </si>
  <si>
    <t>4.65e-001</t>
  </si>
  <si>
    <t>5.33e+005</t>
  </si>
  <si>
    <t>5.06e+005</t>
  </si>
  <si>
    <t>HW356009-P1-MKT120</t>
  </si>
  <si>
    <t>5.21e+005</t>
  </si>
  <si>
    <t>4.66e-001</t>
  </si>
  <si>
    <t>5.12e+005</t>
  </si>
  <si>
    <t>HW356009-P1-MKT60</t>
  </si>
  <si>
    <t>1.00e+005</t>
  </si>
  <si>
    <t>5.02e+005</t>
  </si>
  <si>
    <t>4.62e-001</t>
  </si>
  <si>
    <t>2.29e+005</t>
  </si>
  <si>
    <t>9.96e+004</t>
  </si>
  <si>
    <t>2.13e+005</t>
  </si>
  <si>
    <t>4.36e-001</t>
  </si>
  <si>
    <t>HW356009-P1-MKT30</t>
  </si>
  <si>
    <t>2.63e+005</t>
  </si>
  <si>
    <t>1.12e+005</t>
  </si>
  <si>
    <t>5.35e+005</t>
  </si>
  <si>
    <t>4.93e-001</t>
  </si>
  <si>
    <t>HW356009-P1-MKT15</t>
  </si>
  <si>
    <t>2.50e+005</t>
  </si>
  <si>
    <t>4.78e-001</t>
  </si>
  <si>
    <t>5.31e+005</t>
  </si>
  <si>
    <t>4.92e-001</t>
  </si>
  <si>
    <t>HW356009-P1-MKT5</t>
  </si>
  <si>
    <t>2.71e+005</t>
  </si>
  <si>
    <t>2.26e+005</t>
  </si>
  <si>
    <t>4.90e-001</t>
  </si>
  <si>
    <t>5.77e+005</t>
  </si>
  <si>
    <t>HW356009-P1-MKT0</t>
  </si>
  <si>
    <t>1.13e+005</t>
  </si>
  <si>
    <t>5.63e+005</t>
  </si>
  <si>
    <t>4.67e-001</t>
  </si>
  <si>
    <t>2.58e+005</t>
  </si>
  <si>
    <t>5.62e+005</t>
  </si>
  <si>
    <t>4.60e-001</t>
  </si>
  <si>
    <t>Peak Name: Bsiacodyl</t>
  </si>
  <si>
    <t>Q1/Q3 Masses: 362.00/226.10 Da</t>
  </si>
  <si>
    <t>HW356009-P1-20250902-PLS\sa.wiff</t>
  </si>
  <si>
    <t>Bsiacodyl</t>
  </si>
  <si>
    <t>4.82e+004</t>
  </si>
  <si>
    <t>2.66e+004</t>
  </si>
  <si>
    <t>4.76e+004</t>
  </si>
  <si>
    <t>2.64e+004</t>
  </si>
  <si>
    <t>Bisacodyl-D-T120</t>
  </si>
  <si>
    <t>4.66e+004</t>
  </si>
  <si>
    <t>2.52e+004</t>
  </si>
  <si>
    <t>4.85e+004</t>
  </si>
  <si>
    <t>2.67e+004</t>
  </si>
  <si>
    <t>Bisacodyl-D-T60</t>
  </si>
  <si>
    <t>4.81e+004</t>
  </si>
  <si>
    <t>2.62e+004</t>
  </si>
  <si>
    <t>4.94e+004</t>
  </si>
  <si>
    <t>2.71e+004</t>
  </si>
  <si>
    <t>Bisacodyl-D-T30</t>
  </si>
  <si>
    <t>2.71e+003</t>
  </si>
  <si>
    <t>1.45e+003</t>
  </si>
  <si>
    <t>4.64e+004</t>
  </si>
  <si>
    <t>2.54e+004</t>
  </si>
  <si>
    <t>5.85e-002</t>
  </si>
  <si>
    <t>3.05e+003</t>
  </si>
  <si>
    <t>1.75e+003</t>
  </si>
  <si>
    <t>2.63e+004</t>
  </si>
  <si>
    <t>6.34e-002</t>
  </si>
  <si>
    <t>Bisacodyl-D-T15</t>
  </si>
  <si>
    <t>2.29e+004</t>
  </si>
  <si>
    <t>1.23e+004</t>
  </si>
  <si>
    <t>2.60e+004</t>
  </si>
  <si>
    <t>4.82e-001</t>
  </si>
  <si>
    <t>2.16e+004</t>
  </si>
  <si>
    <t>1.15e+004</t>
  </si>
  <si>
    <t>4.91e+004</t>
  </si>
  <si>
    <t>4.40e-001</t>
  </si>
  <si>
    <t>Bisacodyl-D-T5</t>
  </si>
  <si>
    <t>7.80e+004</t>
  </si>
  <si>
    <t>4.18e+004</t>
  </si>
  <si>
    <t>4.92e+004</t>
  </si>
  <si>
    <t>1.59e+000</t>
  </si>
  <si>
    <t>7.63e+004</t>
  </si>
  <si>
    <t>4.13e+004</t>
  </si>
  <si>
    <t>2.70e+004</t>
  </si>
  <si>
    <t>1.54e+000</t>
  </si>
  <si>
    <t>Bisacodyl-D-T0</t>
  </si>
  <si>
    <t>5.95e+004</t>
  </si>
  <si>
    <t>2.68e+004</t>
  </si>
  <si>
    <t>2.24e+000</t>
  </si>
  <si>
    <t>5.79e+004</t>
  </si>
  <si>
    <t>4.95e+004</t>
  </si>
  <si>
    <t>2.72e+004</t>
  </si>
  <si>
    <t>2.17e+000</t>
  </si>
  <si>
    <t>5.29e+004</t>
  </si>
  <si>
    <t>2.88e+004</t>
  </si>
  <si>
    <t>5.03e+004</t>
  </si>
  <si>
    <t>2.76e+004</t>
  </si>
  <si>
    <t>Bisacodyl-MK-T120</t>
  </si>
  <si>
    <t>2.78e+004</t>
  </si>
  <si>
    <t>Bisacodyl-MK-T60</t>
  </si>
  <si>
    <t>5.14e+004</t>
  </si>
  <si>
    <t>2.85e+004</t>
  </si>
  <si>
    <t>5.15e+004</t>
  </si>
  <si>
    <t>2.82e+004</t>
  </si>
  <si>
    <t>Bisacodyl-MK-T30</t>
  </si>
  <si>
    <t>5.16e+004</t>
  </si>
  <si>
    <t>2.83e+004</t>
  </si>
  <si>
    <t>Bisacodyl-MK-T15</t>
  </si>
  <si>
    <t>5.32e+004</t>
  </si>
  <si>
    <t>2.92e+004</t>
  </si>
  <si>
    <t>5.04e+004</t>
  </si>
  <si>
    <t>2.75e+004</t>
  </si>
  <si>
    <t>Bisacodyl-MK-T5</t>
  </si>
  <si>
    <t>2.03e+004</t>
  </si>
  <si>
    <t>1.09e+004</t>
  </si>
  <si>
    <t>5.23e+004</t>
  </si>
  <si>
    <t>1.96e+004</t>
  </si>
  <si>
    <t>1.07e+004</t>
  </si>
  <si>
    <t>Bisacodyl-MK-T0</t>
  </si>
  <si>
    <t>5.59e+004</t>
  </si>
  <si>
    <t>5.11e+004</t>
  </si>
  <si>
    <t>2.81e+004</t>
  </si>
  <si>
    <t>2.07e+000</t>
  </si>
  <si>
    <t>5.69e+004</t>
  </si>
  <si>
    <t>4.98e+004</t>
  </si>
  <si>
    <t>2.73e+004</t>
  </si>
  <si>
    <t>2.12e+000</t>
  </si>
  <si>
    <t>Peak Name: Enalapril</t>
  </si>
  <si>
    <t>Q1/Q3 Masses: 377.20/234.10 Da</t>
  </si>
  <si>
    <t>7.68e+004</t>
  </si>
  <si>
    <t>5.10e+004</t>
  </si>
  <si>
    <t>7.72e+004</t>
  </si>
  <si>
    <t>5.19e+004</t>
  </si>
  <si>
    <t>Enalapril-R-T120</t>
  </si>
  <si>
    <t>7.52e+004</t>
  </si>
  <si>
    <t>5.02e+004</t>
  </si>
  <si>
    <t>7.46e+004</t>
  </si>
  <si>
    <t>4.96e+004</t>
  </si>
  <si>
    <t>Enalapril-R-T60</t>
  </si>
  <si>
    <t>8.63e+003</t>
  </si>
  <si>
    <t>4.23e+003</t>
  </si>
  <si>
    <t>1.15e-001</t>
  </si>
  <si>
    <t>9.73e+003</t>
  </si>
  <si>
    <t>4.52e+003</t>
  </si>
  <si>
    <t>7.15e+004</t>
  </si>
  <si>
    <t>1.36e-001</t>
  </si>
  <si>
    <t>Enalapril-R-T30</t>
  </si>
  <si>
    <t>5.81e+004</t>
  </si>
  <si>
    <t>7.29e+004</t>
  </si>
  <si>
    <t>4.88e+004</t>
  </si>
  <si>
    <t>7.97e-001</t>
  </si>
  <si>
    <t>6.08e+004</t>
  </si>
  <si>
    <t>2.79e+004</t>
  </si>
  <si>
    <t>7.42e+004</t>
  </si>
  <si>
    <t>8.20e-001</t>
  </si>
  <si>
    <t>Enalapril-R-T15</t>
  </si>
  <si>
    <t>1.43e+005</t>
  </si>
  <si>
    <t>6.59e+004</t>
  </si>
  <si>
    <t>7.55e+004</t>
  </si>
  <si>
    <t>5.00e+004</t>
  </si>
  <si>
    <t>1.90e+000</t>
  </si>
  <si>
    <t>1.48e+005</t>
  </si>
  <si>
    <t>6.99e+004</t>
  </si>
  <si>
    <t>2.00e+000</t>
  </si>
  <si>
    <t>Enalapril-R-T5</t>
  </si>
  <si>
    <t>2.47e+005</t>
  </si>
  <si>
    <t>7.36e+004</t>
  </si>
  <si>
    <t>4.84e+004</t>
  </si>
  <si>
    <t>3.36e+000</t>
  </si>
  <si>
    <t>1.22e+005</t>
  </si>
  <si>
    <t>7.41e+004</t>
  </si>
  <si>
    <t>4.93e+004</t>
  </si>
  <si>
    <t>3.49e+000</t>
  </si>
  <si>
    <t>Enalapril-R-T0</t>
  </si>
  <si>
    <t>3.03e+005</t>
  </si>
  <si>
    <t>1.41e+005</t>
  </si>
  <si>
    <t>7.25e+004</t>
  </si>
  <si>
    <t>4.72e+004</t>
  </si>
  <si>
    <t>4.18e+000</t>
  </si>
  <si>
    <t>2.75e+005</t>
  </si>
  <si>
    <t>1.28e+005</t>
  </si>
  <si>
    <t>6.45e+004</t>
  </si>
  <si>
    <t>4.30e+004</t>
  </si>
  <si>
    <t>4.26e+000</t>
  </si>
  <si>
    <t>Peak Name: Propantheline</t>
  </si>
  <si>
    <t>Q1/Q3 Masses: 368.20/181.10 Da</t>
  </si>
  <si>
    <t>Propantheline</t>
  </si>
  <si>
    <t>1.71e+005</t>
  </si>
  <si>
    <t>7.91e+004</t>
  </si>
  <si>
    <t>8.09e+004</t>
  </si>
  <si>
    <t>Propantheline-H-T120</t>
  </si>
  <si>
    <t>2.35e+003</t>
  </si>
  <si>
    <t>1.14e+003</t>
  </si>
  <si>
    <t>1.64e+005</t>
  </si>
  <si>
    <t>1.44e-002</t>
  </si>
  <si>
    <t>1.74e+003</t>
  </si>
  <si>
    <t>8.34e+002</t>
  </si>
  <si>
    <t>1.57e+005</t>
  </si>
  <si>
    <t>7.44e+004</t>
  </si>
  <si>
    <t>1.11e-002</t>
  </si>
  <si>
    <t>Propantheline-H-T60</t>
  </si>
  <si>
    <t>3.18e+004</t>
  </si>
  <si>
    <t>1.51e+004</t>
  </si>
  <si>
    <t>1.62e+005</t>
  </si>
  <si>
    <t>7.60e+004</t>
  </si>
  <si>
    <t>1.97e-001</t>
  </si>
  <si>
    <t>2.87e+004</t>
  </si>
  <si>
    <t>1.39e+004</t>
  </si>
  <si>
    <t>1.59e+005</t>
  </si>
  <si>
    <t>7.57e+004</t>
  </si>
  <si>
    <t>1.81e-001</t>
  </si>
  <si>
    <t>Propantheline-H-T30</t>
  </si>
  <si>
    <t>2.24e+005</t>
  </si>
  <si>
    <t>1.61e+005</t>
  </si>
  <si>
    <t>7.66e+004</t>
  </si>
  <si>
    <t>1.38e+000</t>
  </si>
  <si>
    <t>1.66e+005</t>
  </si>
  <si>
    <t>7.89e+004</t>
  </si>
  <si>
    <t>1.30e+000</t>
  </si>
  <si>
    <t>Propantheline-H-T15</t>
  </si>
  <si>
    <t>6.11e+005</t>
  </si>
  <si>
    <t>2.90e+005</t>
  </si>
  <si>
    <t>3.85e+000</t>
  </si>
  <si>
    <t>6.01e+005</t>
  </si>
  <si>
    <t>1.53e+005</t>
  </si>
  <si>
    <t>3.92e+000</t>
  </si>
  <si>
    <t>Propantheline-H-T5</t>
  </si>
  <si>
    <t>1.13e+006</t>
  </si>
  <si>
    <t>7.27e+004</t>
  </si>
  <si>
    <t>7.40e+000</t>
  </si>
  <si>
    <t>1.05e+006</t>
  </si>
  <si>
    <t>4.96e+005</t>
  </si>
  <si>
    <t>1.49e+005</t>
  </si>
  <si>
    <t>7.06e+004</t>
  </si>
  <si>
    <t>7.03e+000</t>
  </si>
  <si>
    <t>Propantheline-H-T0</t>
  </si>
  <si>
    <t>1.38e+006</t>
  </si>
  <si>
    <t>6.54e+005</t>
  </si>
  <si>
    <t>1.54e+005</t>
  </si>
  <si>
    <t>8.94e+000</t>
  </si>
  <si>
    <t>1.37e+006</t>
  </si>
  <si>
    <t>6.45e+005</t>
  </si>
  <si>
    <t>8.96e+000</t>
  </si>
  <si>
    <t>1.73e+005</t>
  </si>
  <si>
    <t>8.15e+004</t>
  </si>
  <si>
    <t>1.60e+005</t>
  </si>
  <si>
    <t>Propantheline-M-T120</t>
  </si>
  <si>
    <t>2.42e+004</t>
  </si>
  <si>
    <t>3.20e-001</t>
  </si>
  <si>
    <t>4.50e+004</t>
  </si>
  <si>
    <t>1.65e+005</t>
  </si>
  <si>
    <t>2.73e-001</t>
  </si>
  <si>
    <t>Propantheline-M-T60</t>
  </si>
  <si>
    <t>1.04e+005</t>
  </si>
  <si>
    <t>7.69e+004</t>
  </si>
  <si>
    <t>1.31e+000</t>
  </si>
  <si>
    <t>9.58e+004</t>
  </si>
  <si>
    <t>1.23e+000</t>
  </si>
  <si>
    <t>Propantheline-M-T30</t>
  </si>
  <si>
    <t>5.04e+005</t>
  </si>
  <si>
    <t>1.63e+005</t>
  </si>
  <si>
    <t>7.54e+004</t>
  </si>
  <si>
    <t>3.10e+000</t>
  </si>
  <si>
    <t>1.68e+005</t>
  </si>
  <si>
    <t>2.88e+000</t>
  </si>
  <si>
    <t>Propantheline-M-T15</t>
  </si>
  <si>
    <t>8.40e+005</t>
  </si>
  <si>
    <t>3.98e+005</t>
  </si>
  <si>
    <t>5.12e+000</t>
  </si>
  <si>
    <t>8.50e+005</t>
  </si>
  <si>
    <t>4.04e+005</t>
  </si>
  <si>
    <t>7.48e+004</t>
  </si>
  <si>
    <t>5.25e+000</t>
  </si>
  <si>
    <t>Propantheline-M-T5</t>
  </si>
  <si>
    <t>1.15e+006</t>
  </si>
  <si>
    <t>5.40e+005</t>
  </si>
  <si>
    <t>7.49e+004</t>
  </si>
  <si>
    <t>7.16e+000</t>
  </si>
  <si>
    <t>1.18e+006</t>
  </si>
  <si>
    <t>1.67e+005</t>
  </si>
  <si>
    <t>7.75e+004</t>
  </si>
  <si>
    <t>7.05e+000</t>
  </si>
  <si>
    <t>Propantheline-M-T0</t>
  </si>
  <si>
    <t>1.31e+006</t>
  </si>
  <si>
    <t>6.12e+005</t>
  </si>
  <si>
    <t>7.50e+004</t>
  </si>
  <si>
    <t>8.13e+000</t>
  </si>
  <si>
    <t>1.46e+006</t>
  </si>
  <si>
    <t>6.96e+005</t>
  </si>
  <si>
    <t>7.74e+004</t>
  </si>
  <si>
    <t>8.75e+000</t>
  </si>
  <si>
    <t>Bioanalytical Method</t>
  </si>
  <si>
    <t>Compound</t>
  </si>
  <si>
    <t>LC Methods</t>
  </si>
  <si>
    <t>Mobile phase A</t>
  </si>
  <si>
    <t>0.1% Formic Acid in Water</t>
  </si>
  <si>
    <t>Mobile phase B</t>
  </si>
  <si>
    <t>Acetonitrile</t>
  </si>
  <si>
    <t>Column</t>
  </si>
  <si>
    <t>XBridge BEH C18 2.5μm 2.1*50mm</t>
  </si>
  <si>
    <t>Internal standard</t>
  </si>
  <si>
    <t>LC system</t>
  </si>
  <si>
    <t>ExionLC</t>
  </si>
  <si>
    <t>Autosampler</t>
  </si>
  <si>
    <t>Injection Volume</t>
  </si>
  <si>
    <t xml:space="preserve">1 µL </t>
  </si>
  <si>
    <t>Gradient conditions</t>
  </si>
  <si>
    <r>
      <rPr>
        <sz val="14"/>
        <rFont val="Times New Roman"/>
        <family val="1"/>
      </rPr>
      <t xml:space="preserve">Time </t>
    </r>
    <r>
      <rPr>
        <sz val="12"/>
        <rFont val="Times New Roman"/>
        <family val="1"/>
      </rPr>
      <t>(min)</t>
    </r>
  </si>
  <si>
    <r>
      <rPr>
        <sz val="14"/>
        <rFont val="Times New Roman"/>
        <family val="1"/>
      </rPr>
      <t xml:space="preserve">Flow </t>
    </r>
    <r>
      <rPr>
        <sz val="12"/>
        <rFont val="Times New Roman"/>
        <family val="1"/>
      </rPr>
      <t>(mL/min)</t>
    </r>
  </si>
  <si>
    <t>A(%)</t>
  </si>
  <si>
    <t>B(%)</t>
  </si>
  <si>
    <t>MS Methods</t>
  </si>
  <si>
    <t>MS</t>
  </si>
  <si>
    <t>Triple Quad 5500+</t>
  </si>
  <si>
    <t>Ionization model</t>
  </si>
  <si>
    <t>ESI</t>
  </si>
  <si>
    <t>Scan type</t>
  </si>
  <si>
    <t>MRM</t>
  </si>
  <si>
    <t>Polarity</t>
  </si>
  <si>
    <t>Positive</t>
  </si>
  <si>
    <t>Name</t>
  </si>
  <si>
    <t>Ion pair(m/z)</t>
  </si>
  <si>
    <t>Retention Time(min)</t>
  </si>
  <si>
    <t>DP(eV)</t>
  </si>
  <si>
    <t>CE(eV)</t>
  </si>
  <si>
    <t>368.2/181.1</t>
  </si>
  <si>
    <t xml:space="preserve"> 362.00/184.10</t>
  </si>
  <si>
    <t>271.1/155.0</t>
  </si>
  <si>
    <t xml:space="preserve"> Synergi 4 µm Fusion-RP 80Å , 2 mm *50 mm</t>
  </si>
  <si>
    <t>Shimadzu LC30AD</t>
  </si>
  <si>
    <t>Shimadzu SIL30AC</t>
  </si>
  <si>
    <t>8 µL</t>
  </si>
  <si>
    <t>API 4000</t>
  </si>
  <si>
    <t>Negative</t>
  </si>
  <si>
    <t xml:space="preserve"> 377.20/234.10</t>
  </si>
  <si>
    <t>604.30/411.20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</si>
</sst>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43" formatCode="_ * #,##0.00_ ;_ * \-#,##0.00_ ;_ * &quot;-&quot;??_ ;_ @_ "/>
    <numFmt numFmtId="178" formatCode="0.00_ "/>
    <numFmt numFmtId="179" formatCode="0.000_ "/>
    <numFmt numFmtId="180" formatCode="0.00_);[Red]\(0.00\)"/>
    <numFmt numFmtId="181" formatCode="#,##0.00_ "/>
    <numFmt numFmtId="182" formatCode="0.000_);[Red]\(0.000\)"/>
    <numFmt numFmtId="183" formatCode="0.0000_ "/>
    <numFmt numFmtId="184" formatCode="0.0_);[Red]\(0.0\)"/>
    <numFmt numFmtId="185" formatCode="0_ "/>
    <numFmt numFmtId="186" formatCode="0.0_ "/>
    <numFmt numFmtId="187" formatCode="0.0000_);[Red]\(0.0000\)"/>
    <numFmt numFmtId="188" formatCode="0.0"/>
    <numFmt numFmtId="189" formatCode="0.0000000_ "/>
    <numFmt numFmtId="190" formatCode="0.000000_ "/>
    <numFmt numFmtId="191" formatCode="0_);[Red]\(0\)"/>
    <numFmt numFmtId="192" formatCode="yyyy/mm/dd"/>
  </numFmts>
  <fonts count="34" x14ac:knownFonts="1">
    <font>
      <sz val="11"/>
      <color theme="1"/>
      <name val="宋体"/>
      <charset val="134"/>
      <scheme val="minor"/>
    </font>
    <font>
      <sz val="11"/>
      <color rgb="FF000000"/>
      <name val="Times New Roman"/>
      <family val="1"/>
    </font>
    <font>
      <sz val="11"/>
      <name val="Times New Roman"/>
      <family val="1"/>
    </font>
    <font>
      <b/>
      <sz val="15"/>
      <name val="Times New Roman"/>
      <family val="1"/>
    </font>
    <font>
      <sz val="14"/>
      <name val="Times New Roman"/>
      <family val="1"/>
    </font>
    <font>
      <sz val="12"/>
      <name val="Times New Roman"/>
      <family val="1"/>
    </font>
    <font>
      <sz val="12"/>
      <color indexed="8"/>
      <name val="Times New Roman"/>
      <family val="1"/>
    </font>
    <font>
      <sz val="11"/>
      <color theme="1"/>
      <name val="Times New Roman"/>
      <family val="1"/>
    </font>
    <font>
      <b/>
      <sz val="11"/>
      <name val="Times New Roman"/>
      <family val="1"/>
    </font>
    <font>
      <sz val="10"/>
      <name val="Times New Roman"/>
      <family val="1"/>
    </font>
    <font>
      <b/>
      <sz val="10"/>
      <name val="Times New Roman"/>
      <family val="1"/>
    </font>
    <font>
      <sz val="11"/>
      <color rgb="FF000000"/>
      <name val="等线"/>
      <charset val="134"/>
    </font>
    <font>
      <vertAlign val="superscript"/>
      <sz val="10"/>
      <color theme="1"/>
      <name val="Times New Roman"/>
      <family val="1"/>
    </font>
    <font>
      <b/>
      <sz val="11"/>
      <color theme="1"/>
      <name val="Times New Roman"/>
      <family val="1"/>
    </font>
    <font>
      <sz val="11"/>
      <color indexed="8"/>
      <name val="Times New Roman"/>
      <family val="1"/>
    </font>
    <font>
      <b/>
      <sz val="11"/>
      <color indexed="8"/>
      <name val="Times New Roman"/>
      <family val="1"/>
    </font>
    <font>
      <b/>
      <sz val="12"/>
      <color indexed="8"/>
      <name val="Times New Roman"/>
      <family val="1"/>
    </font>
    <font>
      <b/>
      <sz val="12"/>
      <color rgb="FF000000"/>
      <name val="Times New Roman"/>
      <family val="1"/>
    </font>
    <font>
      <sz val="12"/>
      <color rgb="FF000000"/>
      <name val="Times New Roman"/>
      <family val="1"/>
    </font>
    <font>
      <sz val="10"/>
      <color rgb="FF000000"/>
      <name val="Times New Roman"/>
      <family val="1"/>
    </font>
    <font>
      <b/>
      <sz val="15"/>
      <color rgb="FF000000"/>
      <name val="Times New Roman"/>
      <family val="1"/>
    </font>
    <font>
      <b/>
      <sz val="11"/>
      <color rgb="FF000000"/>
      <name val="Times New Roman"/>
      <family val="1"/>
    </font>
    <font>
      <sz val="11"/>
      <color rgb="FF000000"/>
      <name val="宋体"/>
      <charset val="134"/>
    </font>
    <font>
      <sz val="11"/>
      <color theme="1"/>
      <name val="宋体"/>
      <charset val="134"/>
      <scheme val="minor"/>
    </font>
    <font>
      <sz val="12"/>
      <name val="宋体"/>
      <charset val="134"/>
    </font>
    <font>
      <sz val="10"/>
      <color indexed="8"/>
      <name val="Arial"/>
      <family val="2"/>
    </font>
    <font>
      <sz val="12"/>
      <color theme="1"/>
      <name val="宋体"/>
      <charset val="134"/>
      <scheme val="minor"/>
    </font>
    <font>
      <sz val="11"/>
      <color indexed="8"/>
      <name val="宋体"/>
      <charset val="134"/>
    </font>
    <font>
      <sz val="11"/>
      <name val="宋体"/>
      <charset val="134"/>
    </font>
    <font>
      <vertAlign val="subscript"/>
      <sz val="11"/>
      <name val="Times New Roman"/>
      <family val="1"/>
    </font>
    <font>
      <vertAlign val="subscript"/>
      <sz val="10"/>
      <name val="Times New Roman"/>
      <family val="1"/>
    </font>
    <font>
      <b/>
      <vertAlign val="subscript"/>
      <sz val="12"/>
      <color rgb="FF000000"/>
      <name val="Times New Roman"/>
      <family val="1"/>
    </font>
    <font>
      <sz val="9"/>
      <name val="宋体"/>
      <charset val="134"/>
      <scheme val="minor"/>
    </font>
    <font>
      <sz val="9"/>
      <name val="宋体"/>
      <family val="3"/>
      <charset val="134"/>
      <scheme val="minor"/>
    </font>
  </fonts>
  <fills count="4">
    <fill>
      <patternFill patternType="none"/>
    </fill>
    <fill>
      <patternFill patternType="gray125"/>
    </fill>
    <fill>
      <patternFill patternType="solid">
        <fgColor indexed="9"/>
        <bgColor indexed="64"/>
      </patternFill>
    </fill>
    <fill>
      <patternFill patternType="solid">
        <fgColor rgb="FFFFFFFF"/>
        <bgColor rgb="FF000000"/>
      </patternFill>
    </fill>
  </fills>
  <borders count="29">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auto="1"/>
      </right>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bottom/>
      <diagonal/>
    </border>
    <border>
      <left style="thin">
        <color auto="1"/>
      </left>
      <right style="thin">
        <color auto="1"/>
      </right>
      <top/>
      <bottom style="medium">
        <color auto="1"/>
      </bottom>
      <diagonal/>
    </border>
  </borders>
  <cellStyleXfs count="39">
    <xf numFmtId="0" fontId="0" fillId="0" borderId="0"/>
    <xf numFmtId="9" fontId="23" fillId="0" borderId="0" applyFont="0" applyFill="0" applyBorder="0" applyAlignment="0" applyProtection="0">
      <alignment vertical="center"/>
    </xf>
    <xf numFmtId="0" fontId="24" fillId="0" borderId="0">
      <alignment vertical="top"/>
    </xf>
    <xf numFmtId="0" fontId="23" fillId="0" borderId="0">
      <alignment vertical="center"/>
    </xf>
    <xf numFmtId="0" fontId="25" fillId="0" borderId="0">
      <alignment vertical="top"/>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xf numFmtId="0" fontId="26" fillId="0" borderId="0"/>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xf numFmtId="0" fontId="23" fillId="0" borderId="0">
      <alignment vertical="center"/>
    </xf>
    <xf numFmtId="0" fontId="23" fillId="0" borderId="0"/>
    <xf numFmtId="0" fontId="23" fillId="0" borderId="0">
      <alignment vertical="center"/>
    </xf>
    <xf numFmtId="0" fontId="27"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4" fillId="0" borderId="0"/>
    <xf numFmtId="0" fontId="24" fillId="0" borderId="0"/>
    <xf numFmtId="0" fontId="23" fillId="0" borderId="0">
      <alignment vertical="center"/>
    </xf>
    <xf numFmtId="0" fontId="23" fillId="0" borderId="0">
      <alignment vertical="center"/>
    </xf>
    <xf numFmtId="0" fontId="23" fillId="0" borderId="0">
      <alignment vertical="center"/>
    </xf>
    <xf numFmtId="0" fontId="24" fillId="0" borderId="0"/>
    <xf numFmtId="0" fontId="24" fillId="0" borderId="0">
      <alignment vertical="top"/>
    </xf>
    <xf numFmtId="0" fontId="25" fillId="0" borderId="0">
      <alignment vertical="top"/>
    </xf>
  </cellStyleXfs>
  <cellXfs count="214">
    <xf numFmtId="0" fontId="0" fillId="0" borderId="0" xfId="0"/>
    <xf numFmtId="0" fontId="1" fillId="0" borderId="0" xfId="0" applyFont="1" applyFill="1" applyBorder="1"/>
    <xf numFmtId="0" fontId="2" fillId="0" borderId="0" xfId="0" applyFont="1" applyFill="1" applyBorder="1" applyAlignment="1">
      <alignment vertical="center"/>
    </xf>
    <xf numFmtId="0" fontId="4" fillId="0" borderId="1"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178" fontId="5" fillId="0" borderId="5" xfId="0" applyNumberFormat="1" applyFont="1" applyBorder="1" applyAlignment="1">
      <alignment horizontal="center" vertical="center"/>
    </xf>
    <xf numFmtId="179" fontId="5" fillId="0" borderId="5" xfId="0" applyNumberFormat="1" applyFont="1" applyBorder="1" applyAlignment="1">
      <alignment horizontal="center" vertical="center"/>
    </xf>
    <xf numFmtId="0" fontId="5" fillId="0" borderId="4" xfId="0" applyFont="1" applyBorder="1" applyAlignment="1">
      <alignment horizontal="center" vertical="center" wrapText="1"/>
    </xf>
    <xf numFmtId="0" fontId="5" fillId="0" borderId="20" xfId="0" applyFont="1" applyBorder="1" applyAlignment="1">
      <alignment horizontal="center" vertical="center"/>
    </xf>
    <xf numFmtId="0" fontId="5" fillId="0" borderId="21" xfId="0" applyFont="1" applyBorder="1" applyAlignment="1">
      <alignment horizontal="center" vertical="center"/>
    </xf>
    <xf numFmtId="178" fontId="5" fillId="0" borderId="21" xfId="0" applyNumberFormat="1" applyFont="1" applyBorder="1" applyAlignment="1">
      <alignment horizontal="center" vertical="center"/>
    </xf>
    <xf numFmtId="0" fontId="5" fillId="0" borderId="22" xfId="0" applyFont="1" applyBorder="1" applyAlignment="1">
      <alignment horizontal="center" vertical="center"/>
    </xf>
    <xf numFmtId="180" fontId="6" fillId="0" borderId="4" xfId="29" applyNumberFormat="1" applyFont="1" applyFill="1" applyBorder="1" applyAlignment="1">
      <alignment horizontal="center" vertical="center"/>
    </xf>
    <xf numFmtId="181" fontId="5" fillId="0" borderId="5" xfId="1" applyNumberFormat="1" applyFont="1" applyBorder="1" applyAlignment="1">
      <alignment horizontal="center" vertical="center"/>
    </xf>
    <xf numFmtId="0" fontId="5" fillId="0" borderId="5" xfId="0" applyFont="1" applyFill="1" applyBorder="1" applyAlignment="1">
      <alignment horizontal="center" vertical="center"/>
    </xf>
    <xf numFmtId="0" fontId="5" fillId="0" borderId="6" xfId="0" applyFont="1" applyFill="1" applyBorder="1" applyAlignment="1">
      <alignment horizontal="center" vertical="center"/>
    </xf>
    <xf numFmtId="0" fontId="4" fillId="0" borderId="0" xfId="0" applyFont="1" applyBorder="1" applyAlignment="1">
      <alignment horizontal="center" vertical="center"/>
    </xf>
    <xf numFmtId="0" fontId="5" fillId="0" borderId="0" xfId="0" applyFont="1" applyBorder="1" applyAlignment="1">
      <alignment horizontal="center" vertical="center"/>
    </xf>
    <xf numFmtId="178" fontId="5" fillId="0" borderId="0" xfId="0" applyNumberFormat="1" applyFont="1" applyBorder="1" applyAlignment="1">
      <alignment horizontal="center" vertical="center"/>
    </xf>
    <xf numFmtId="179" fontId="5" fillId="0" borderId="0" xfId="0" applyNumberFormat="1" applyFont="1" applyBorder="1" applyAlignment="1">
      <alignment horizontal="center" vertical="center"/>
    </xf>
    <xf numFmtId="0" fontId="5" fillId="0" borderId="0" xfId="0" applyFont="1" applyBorder="1" applyAlignment="1">
      <alignment horizontal="center" vertical="center" wrapText="1"/>
    </xf>
    <xf numFmtId="0" fontId="7" fillId="0" borderId="0" xfId="0" applyFont="1" applyFill="1" applyAlignment="1">
      <alignment vertical="center"/>
    </xf>
    <xf numFmtId="180" fontId="7" fillId="0" borderId="0" xfId="0" applyNumberFormat="1" applyFont="1" applyFill="1" applyAlignment="1">
      <alignment vertical="center"/>
    </xf>
    <xf numFmtId="0" fontId="7" fillId="0" borderId="0" xfId="0" applyFont="1" applyFill="1" applyAlignment="1">
      <alignment vertical="center"/>
    </xf>
    <xf numFmtId="180" fontId="7" fillId="0" borderId="0" xfId="0" applyNumberFormat="1" applyFont="1" applyFill="1" applyAlignment="1">
      <alignment vertical="center"/>
    </xf>
    <xf numFmtId="0" fontId="0" fillId="0" borderId="0" xfId="0" applyFill="1" applyAlignment="1">
      <alignment vertical="center"/>
    </xf>
    <xf numFmtId="180" fontId="0" fillId="0" borderId="0" xfId="0" applyNumberFormat="1" applyFill="1" applyAlignment="1">
      <alignment vertical="center"/>
    </xf>
    <xf numFmtId="0" fontId="8" fillId="2" borderId="0" xfId="0" applyFont="1" applyFill="1" applyAlignment="1">
      <alignment vertical="center"/>
    </xf>
    <xf numFmtId="0" fontId="9" fillId="0" borderId="0" xfId="0" applyFont="1" applyAlignment="1">
      <alignment horizontal="left" vertical="center"/>
    </xf>
    <xf numFmtId="11" fontId="9" fillId="0" borderId="0" xfId="0" applyNumberFormat="1" applyFont="1" applyAlignment="1">
      <alignment horizontal="left" vertical="center"/>
    </xf>
    <xf numFmtId="180" fontId="9" fillId="0" borderId="0" xfId="0" applyNumberFormat="1" applyFont="1" applyAlignment="1">
      <alignment horizontal="left" vertical="center"/>
    </xf>
    <xf numFmtId="0" fontId="2" fillId="2" borderId="5" xfId="0" applyFont="1" applyFill="1" applyBorder="1" applyAlignment="1">
      <alignment horizontal="center" vertical="center"/>
    </xf>
    <xf numFmtId="11" fontId="9" fillId="2" borderId="5" xfId="0" applyNumberFormat="1" applyFont="1" applyFill="1" applyBorder="1" applyAlignment="1">
      <alignment horizontal="center" vertical="center"/>
    </xf>
    <xf numFmtId="182" fontId="9" fillId="0" borderId="5" xfId="0" applyNumberFormat="1" applyFont="1" applyBorder="1" applyAlignment="1">
      <alignment horizontal="center" vertical="center"/>
    </xf>
    <xf numFmtId="181" fontId="9" fillId="0" borderId="5" xfId="0" applyNumberFormat="1" applyFont="1" applyBorder="1" applyAlignment="1">
      <alignment horizontal="center" vertical="center"/>
    </xf>
    <xf numFmtId="180" fontId="9" fillId="0" borderId="6" xfId="0" applyNumberFormat="1" applyFont="1" applyBorder="1" applyAlignment="1">
      <alignment horizontal="center" vertical="center"/>
    </xf>
    <xf numFmtId="43" fontId="9" fillId="0" borderId="6" xfId="0" applyNumberFormat="1" applyFont="1" applyBorder="1" applyAlignment="1">
      <alignment horizontal="center" vertical="center"/>
    </xf>
    <xf numFmtId="181" fontId="9" fillId="0" borderId="6" xfId="0" applyNumberFormat="1" applyFont="1" applyBorder="1" applyAlignment="1">
      <alignment horizontal="center" vertical="center"/>
    </xf>
    <xf numFmtId="0" fontId="2" fillId="2" borderId="21" xfId="0" applyFont="1" applyFill="1" applyBorder="1" applyAlignment="1">
      <alignment horizontal="center" vertical="center"/>
    </xf>
    <xf numFmtId="11" fontId="9" fillId="2" borderId="21" xfId="0" applyNumberFormat="1" applyFont="1" applyFill="1" applyBorder="1" applyAlignment="1">
      <alignment horizontal="center" vertical="center"/>
    </xf>
    <xf numFmtId="182" fontId="9" fillId="0" borderId="21" xfId="0" applyNumberFormat="1" applyFont="1" applyBorder="1" applyAlignment="1">
      <alignment horizontal="center" vertical="center"/>
    </xf>
    <xf numFmtId="181" fontId="9" fillId="0" borderId="21" xfId="0" applyNumberFormat="1" applyFont="1" applyBorder="1" applyAlignment="1">
      <alignment horizontal="center" vertical="center"/>
    </xf>
    <xf numFmtId="180" fontId="9" fillId="0" borderId="22" xfId="0" applyNumberFormat="1" applyFont="1" applyBorder="1" applyAlignment="1">
      <alignment horizontal="center" vertical="center"/>
    </xf>
    <xf numFmtId="11" fontId="11" fillId="0" borderId="0" xfId="0" applyNumberFormat="1" applyFont="1" applyAlignment="1">
      <alignment vertical="center"/>
    </xf>
    <xf numFmtId="0" fontId="9" fillId="0" borderId="0" xfId="38" applyFont="1" applyFill="1" applyProtection="1">
      <alignment vertical="top"/>
      <protection locked="0"/>
    </xf>
    <xf numFmtId="0" fontId="5" fillId="0" borderId="0" xfId="37" applyFont="1" applyFill="1">
      <alignment vertical="top"/>
    </xf>
    <xf numFmtId="0" fontId="2" fillId="0" borderId="0" xfId="23" applyFont="1">
      <alignment vertical="center"/>
    </xf>
    <xf numFmtId="0" fontId="2" fillId="0" borderId="0" xfId="23" applyFont="1" applyAlignment="1">
      <alignment vertical="center" wrapText="1"/>
    </xf>
    <xf numFmtId="0" fontId="2" fillId="0" borderId="0" xfId="23" applyFont="1" applyAlignment="1">
      <alignment vertical="center"/>
    </xf>
    <xf numFmtId="0" fontId="9" fillId="0" borderId="0" xfId="0" applyFont="1" applyFill="1" applyAlignment="1">
      <alignment horizontal="left" vertical="center"/>
    </xf>
    <xf numFmtId="0" fontId="9" fillId="0" borderId="0" xfId="0" applyFont="1" applyFill="1" applyAlignment="1">
      <alignment vertical="center"/>
    </xf>
    <xf numFmtId="0" fontId="5" fillId="0" borderId="0" xfId="37" applyFont="1" applyFill="1" applyAlignment="1">
      <alignment vertical="center"/>
    </xf>
    <xf numFmtId="0" fontId="7" fillId="0" borderId="0" xfId="0" applyFont="1"/>
    <xf numFmtId="0" fontId="7" fillId="0" borderId="0" xfId="0" applyFont="1" applyAlignment="1">
      <alignment vertical="center"/>
    </xf>
    <xf numFmtId="0" fontId="8" fillId="0" borderId="0" xfId="23" applyFont="1" applyAlignment="1">
      <alignment vertical="center" wrapText="1"/>
    </xf>
    <xf numFmtId="0" fontId="8" fillId="0" borderId="1" xfId="23" applyFont="1" applyFill="1" applyBorder="1" applyAlignment="1">
      <alignment horizontal="center" vertical="center" wrapText="1"/>
    </xf>
    <xf numFmtId="0" fontId="13" fillId="0" borderId="2" xfId="11" applyFont="1" applyBorder="1" applyAlignment="1">
      <alignment horizontal="center" vertical="center"/>
    </xf>
    <xf numFmtId="0" fontId="13" fillId="0" borderId="3" xfId="11" applyFont="1" applyBorder="1" applyAlignment="1">
      <alignment horizontal="center" vertical="center"/>
    </xf>
    <xf numFmtId="180" fontId="7" fillId="0" borderId="20" xfId="11" applyNumberFormat="1" applyFont="1" applyFill="1" applyBorder="1" applyAlignment="1">
      <alignment horizontal="center" vertical="center"/>
    </xf>
    <xf numFmtId="0" fontId="7" fillId="0" borderId="21" xfId="1" applyNumberFormat="1" applyFont="1" applyFill="1" applyBorder="1" applyAlignment="1">
      <alignment horizontal="center" vertical="center"/>
    </xf>
    <xf numFmtId="183" fontId="7" fillId="0" borderId="21" xfId="1" applyNumberFormat="1" applyFont="1" applyFill="1" applyBorder="1" applyAlignment="1">
      <alignment horizontal="center" vertical="center"/>
    </xf>
    <xf numFmtId="10" fontId="7" fillId="0" borderId="22" xfId="1" applyNumberFormat="1" applyFont="1" applyFill="1" applyBorder="1" applyAlignment="1">
      <alignment horizontal="center" vertical="center"/>
    </xf>
    <xf numFmtId="0" fontId="7" fillId="0" borderId="0" xfId="0" applyFont="1" applyBorder="1" applyAlignment="1">
      <alignment vertical="center"/>
    </xf>
    <xf numFmtId="0" fontId="13" fillId="0" borderId="1" xfId="33" applyFont="1" applyFill="1" applyBorder="1" applyAlignment="1">
      <alignment horizontal="center" vertical="center" wrapText="1"/>
    </xf>
    <xf numFmtId="0" fontId="13" fillId="0" borderId="2" xfId="23" applyFont="1" applyFill="1" applyBorder="1" applyAlignment="1">
      <alignment horizontal="center" vertical="center" wrapText="1"/>
    </xf>
    <xf numFmtId="0" fontId="13" fillId="0" borderId="2" xfId="33" applyFont="1" applyFill="1" applyBorder="1" applyAlignment="1">
      <alignment horizontal="center" vertical="center" wrapText="1"/>
    </xf>
    <xf numFmtId="0" fontId="13" fillId="0" borderId="3" xfId="23" applyFont="1" applyFill="1" applyBorder="1" applyAlignment="1">
      <alignment horizontal="center" vertical="center" wrapText="1"/>
    </xf>
    <xf numFmtId="0" fontId="1" fillId="0" borderId="4" xfId="33" applyFont="1" applyFill="1" applyBorder="1" applyAlignment="1">
      <alignment horizontal="center" vertical="center" wrapText="1"/>
    </xf>
    <xf numFmtId="0" fontId="1" fillId="0" borderId="5" xfId="24" applyFont="1" applyFill="1" applyBorder="1" applyAlignment="1">
      <alignment horizontal="center" vertical="center" wrapText="1"/>
    </xf>
    <xf numFmtId="49" fontId="1" fillId="0" borderId="5" xfId="33" applyNumberFormat="1" applyFont="1" applyFill="1" applyBorder="1" applyAlignment="1">
      <alignment horizontal="center" vertical="center" wrapText="1"/>
    </xf>
    <xf numFmtId="0" fontId="1" fillId="0" borderId="6" xfId="24" applyFont="1" applyFill="1" applyBorder="1" applyAlignment="1">
      <alignment horizontal="center" vertical="center" wrapText="1"/>
    </xf>
    <xf numFmtId="0" fontId="1" fillId="0" borderId="20" xfId="33" applyFont="1" applyFill="1" applyBorder="1" applyAlignment="1">
      <alignment horizontal="center" vertical="center" wrapText="1"/>
    </xf>
    <xf numFmtId="0" fontId="1" fillId="0" borderId="21" xfId="24" applyFont="1" applyFill="1" applyBorder="1" applyAlignment="1">
      <alignment horizontal="center" vertical="center" wrapText="1"/>
    </xf>
    <xf numFmtId="49" fontId="1" fillId="0" borderId="21" xfId="33" applyNumberFormat="1" applyFont="1" applyFill="1" applyBorder="1" applyAlignment="1">
      <alignment horizontal="center" vertical="center" wrapText="1"/>
    </xf>
    <xf numFmtId="0" fontId="1" fillId="0" borderId="22" xfId="24" applyFont="1" applyFill="1" applyBorder="1" applyAlignment="1">
      <alignment horizontal="center" vertical="center" wrapText="1"/>
    </xf>
    <xf numFmtId="0" fontId="14" fillId="0" borderId="0" xfId="29" applyFont="1" applyFill="1" applyAlignment="1">
      <alignment horizontal="center" vertical="center"/>
    </xf>
    <xf numFmtId="0" fontId="15" fillId="0" borderId="0" xfId="29" applyFont="1" applyFill="1" applyBorder="1" applyAlignment="1">
      <alignment horizontal="left" vertical="center"/>
    </xf>
    <xf numFmtId="0" fontId="2" fillId="0" borderId="0" xfId="0" applyFont="1" applyFill="1" applyBorder="1" applyAlignment="1">
      <alignment horizontal="left" vertical="center" wrapText="1"/>
    </xf>
    <xf numFmtId="0" fontId="17" fillId="0" borderId="5" xfId="36" applyFont="1" applyFill="1" applyBorder="1" applyAlignment="1">
      <alignment horizontal="center" vertical="center" wrapText="1"/>
    </xf>
    <xf numFmtId="184" fontId="17" fillId="0" borderId="5" xfId="36" applyNumberFormat="1" applyFont="1" applyFill="1" applyBorder="1" applyAlignment="1">
      <alignment horizontal="center" vertical="center" wrapText="1"/>
    </xf>
    <xf numFmtId="180" fontId="17" fillId="0" borderId="5" xfId="36" applyNumberFormat="1" applyFont="1" applyFill="1" applyBorder="1" applyAlignment="1">
      <alignment horizontal="center" vertical="center" wrapText="1"/>
    </xf>
    <xf numFmtId="0" fontId="6" fillId="0" borderId="23" xfId="36" applyFont="1" applyFill="1" applyBorder="1" applyAlignment="1">
      <alignment horizontal="center" vertical="center"/>
    </xf>
    <xf numFmtId="185" fontId="18" fillId="0" borderId="5" xfId="36" applyNumberFormat="1" applyFont="1" applyFill="1" applyBorder="1" applyAlignment="1">
      <alignment horizontal="center" vertical="center" wrapText="1"/>
    </xf>
    <xf numFmtId="186" fontId="18" fillId="0" borderId="5" xfId="36" applyNumberFormat="1" applyFont="1" applyFill="1" applyBorder="1" applyAlignment="1">
      <alignment horizontal="center" vertical="center" wrapText="1"/>
    </xf>
    <xf numFmtId="0" fontId="6" fillId="0" borderId="5" xfId="36" applyFont="1" applyFill="1" applyBorder="1" applyAlignment="1">
      <alignment horizontal="center" vertical="center"/>
    </xf>
    <xf numFmtId="0" fontId="6" fillId="0" borderId="4" xfId="36" applyFont="1" applyFill="1" applyBorder="1" applyAlignment="1">
      <alignment horizontal="center" vertical="center"/>
    </xf>
    <xf numFmtId="0" fontId="6" fillId="0" borderId="25" xfId="36" applyFont="1" applyFill="1" applyBorder="1" applyAlignment="1">
      <alignment horizontal="center" vertical="center"/>
    </xf>
    <xf numFmtId="178" fontId="18" fillId="0" borderId="5" xfId="36" applyNumberFormat="1" applyFont="1" applyFill="1" applyBorder="1" applyAlignment="1">
      <alignment horizontal="center" vertical="center" wrapText="1"/>
    </xf>
    <xf numFmtId="179" fontId="18" fillId="0" borderId="5" xfId="36" applyNumberFormat="1" applyFont="1" applyFill="1" applyBorder="1" applyAlignment="1">
      <alignment horizontal="center" vertical="center" wrapText="1"/>
    </xf>
    <xf numFmtId="0" fontId="6" fillId="0" borderId="20" xfId="36" applyFont="1" applyFill="1" applyBorder="1" applyAlignment="1">
      <alignment horizontal="center" vertical="center"/>
    </xf>
    <xf numFmtId="0" fontId="6" fillId="0" borderId="28" xfId="36" applyFont="1" applyFill="1" applyBorder="1" applyAlignment="1">
      <alignment horizontal="center" vertical="center"/>
    </xf>
    <xf numFmtId="185" fontId="18" fillId="0" borderId="21" xfId="36" applyNumberFormat="1" applyFont="1" applyFill="1" applyBorder="1" applyAlignment="1">
      <alignment horizontal="center" vertical="center" wrapText="1"/>
    </xf>
    <xf numFmtId="186" fontId="18" fillId="0" borderId="21" xfId="36" applyNumberFormat="1" applyFont="1" applyFill="1" applyBorder="1" applyAlignment="1">
      <alignment horizontal="center" vertical="center" wrapText="1"/>
    </xf>
    <xf numFmtId="178" fontId="18" fillId="0" borderId="21" xfId="36" applyNumberFormat="1" applyFont="1" applyFill="1" applyBorder="1" applyAlignment="1">
      <alignment horizontal="center" vertical="center" wrapText="1"/>
    </xf>
    <xf numFmtId="0" fontId="14" fillId="0" borderId="0" xfId="29" applyFont="1" applyFill="1" applyBorder="1" applyAlignment="1">
      <alignment horizontal="left" vertical="center" wrapText="1"/>
    </xf>
    <xf numFmtId="0" fontId="14" fillId="0" borderId="0" xfId="29" applyFont="1" applyFill="1" applyAlignment="1">
      <alignment vertical="top" wrapText="1"/>
    </xf>
    <xf numFmtId="11" fontId="0" fillId="0" borderId="0" xfId="0" applyNumberFormat="1" applyAlignment="1">
      <alignment vertical="center"/>
    </xf>
    <xf numFmtId="187" fontId="9" fillId="0" borderId="0" xfId="0" applyNumberFormat="1" applyFont="1" applyBorder="1" applyAlignment="1">
      <alignment horizontal="left" vertical="center"/>
    </xf>
    <xf numFmtId="187" fontId="19" fillId="0" borderId="0" xfId="0" applyNumberFormat="1" applyFont="1" applyAlignment="1">
      <alignment vertical="center"/>
    </xf>
    <xf numFmtId="180" fontId="9" fillId="0" borderId="0" xfId="0" applyNumberFormat="1" applyFont="1" applyBorder="1" applyAlignment="1">
      <alignment horizontal="center" vertical="center"/>
    </xf>
    <xf numFmtId="180" fontId="14" fillId="0" borderId="0" xfId="29" applyNumberFormat="1" applyFont="1" applyFill="1" applyAlignment="1">
      <alignment horizontal="center" vertical="center"/>
    </xf>
    <xf numFmtId="11" fontId="19" fillId="0" borderId="0" xfId="0" applyNumberFormat="1" applyFont="1" applyBorder="1" applyAlignment="1">
      <alignment vertical="center"/>
    </xf>
    <xf numFmtId="0" fontId="15" fillId="0" borderId="0" xfId="29" applyFont="1" applyFill="1" applyBorder="1" applyAlignment="1">
      <alignment vertical="center"/>
    </xf>
    <xf numFmtId="188" fontId="14" fillId="0" borderId="0" xfId="29" applyNumberFormat="1" applyFont="1" applyFill="1" applyAlignment="1">
      <alignment horizontal="center" vertical="center"/>
    </xf>
    <xf numFmtId="189" fontId="6" fillId="0" borderId="5" xfId="29" applyNumberFormat="1" applyFont="1" applyFill="1" applyBorder="1" applyAlignment="1">
      <alignment horizontal="center" vertical="center"/>
    </xf>
    <xf numFmtId="184" fontId="6" fillId="0" borderId="6" xfId="29" applyNumberFormat="1" applyFont="1" applyFill="1" applyBorder="1" applyAlignment="1">
      <alignment horizontal="center" vertical="center"/>
    </xf>
    <xf numFmtId="190" fontId="6" fillId="0" borderId="5" xfId="29" applyNumberFormat="1" applyFont="1" applyFill="1" applyBorder="1" applyAlignment="1">
      <alignment horizontal="center" vertical="center"/>
    </xf>
    <xf numFmtId="191" fontId="6" fillId="0" borderId="6" xfId="29" applyNumberFormat="1" applyFont="1" applyFill="1" applyBorder="1" applyAlignment="1">
      <alignment horizontal="center" vertical="center"/>
    </xf>
    <xf numFmtId="0" fontId="6" fillId="0" borderId="5" xfId="29" applyFont="1" applyFill="1" applyBorder="1" applyAlignment="1">
      <alignment horizontal="center" vertical="center"/>
    </xf>
    <xf numFmtId="183" fontId="6" fillId="0" borderId="5" xfId="29" applyNumberFormat="1" applyFont="1" applyFill="1" applyBorder="1" applyAlignment="1">
      <alignment horizontal="center" vertical="center"/>
    </xf>
    <xf numFmtId="179" fontId="6" fillId="0" borderId="5" xfId="29" applyNumberFormat="1" applyFont="1" applyFill="1" applyBorder="1" applyAlignment="1">
      <alignment horizontal="center" vertical="center"/>
    </xf>
    <xf numFmtId="180" fontId="6" fillId="0" borderId="6" xfId="29" applyNumberFormat="1" applyFont="1" applyFill="1" applyBorder="1" applyAlignment="1">
      <alignment horizontal="center" vertical="center"/>
    </xf>
    <xf numFmtId="179" fontId="6" fillId="0" borderId="21" xfId="29" applyNumberFormat="1" applyFont="1" applyFill="1" applyBorder="1" applyAlignment="1">
      <alignment horizontal="center" vertical="center"/>
    </xf>
    <xf numFmtId="181" fontId="6" fillId="0" borderId="22" xfId="29" applyNumberFormat="1" applyFont="1" applyFill="1" applyBorder="1" applyAlignment="1">
      <alignment horizontal="center" vertical="center"/>
    </xf>
    <xf numFmtId="11" fontId="0" fillId="0" borderId="0" xfId="0" applyNumberFormat="1" applyBorder="1"/>
    <xf numFmtId="0" fontId="1" fillId="0" borderId="0" xfId="23" applyFont="1" applyFill="1" applyBorder="1" applyAlignment="1">
      <alignment horizontal="left" vertical="center"/>
    </xf>
    <xf numFmtId="0" fontId="7" fillId="0" borderId="0" xfId="26" applyFont="1" applyAlignment="1">
      <alignment vertical="center"/>
    </xf>
    <xf numFmtId="0" fontId="21" fillId="0" borderId="5" xfId="14" applyFont="1" applyFill="1" applyBorder="1" applyAlignment="1">
      <alignment horizontal="left" vertical="center" wrapText="1"/>
    </xf>
    <xf numFmtId="0" fontId="2" fillId="0" borderId="5" xfId="0" applyFont="1" applyFill="1" applyBorder="1" applyAlignment="1">
      <alignment horizontal="left" vertical="center" wrapText="1"/>
    </xf>
    <xf numFmtId="0" fontId="2" fillId="0" borderId="5" xfId="14" applyFont="1" applyFill="1" applyBorder="1" applyAlignment="1">
      <alignment horizontal="left" vertical="center" wrapText="1"/>
    </xf>
    <xf numFmtId="0" fontId="22" fillId="0" borderId="5" xfId="15" applyFont="1" applyFill="1" applyBorder="1" applyAlignment="1">
      <alignment horizontal="left" vertical="center" wrapText="1"/>
    </xf>
    <xf numFmtId="0" fontId="2" fillId="0" borderId="5" xfId="31" applyFont="1" applyFill="1" applyBorder="1" applyAlignment="1">
      <alignment horizontal="left" vertical="center"/>
    </xf>
    <xf numFmtId="14" fontId="2" fillId="0" borderId="5" xfId="14" applyNumberFormat="1" applyFont="1" applyFill="1" applyBorder="1" applyAlignment="1">
      <alignment horizontal="left" vertical="center" wrapText="1"/>
    </xf>
    <xf numFmtId="0" fontId="2" fillId="3" borderId="5" xfId="31" applyFont="1" applyFill="1" applyBorder="1" applyAlignment="1">
      <alignment horizontal="left" vertical="center"/>
    </xf>
    <xf numFmtId="192" fontId="2" fillId="0" borderId="5" xfId="0" applyNumberFormat="1" applyFont="1" applyBorder="1" applyAlignment="1">
      <alignment horizontal="left" vertical="center" wrapText="1"/>
    </xf>
    <xf numFmtId="0" fontId="2" fillId="0" borderId="5" xfId="14" applyFont="1" applyBorder="1" applyAlignment="1">
      <alignment horizontal="left" vertical="center" wrapText="1"/>
    </xf>
    <xf numFmtId="0" fontId="1" fillId="0" borderId="0" xfId="23" applyFont="1" applyFill="1" applyBorder="1" applyAlignment="1">
      <alignment horizontal="left" vertical="top" wrapText="1"/>
    </xf>
    <xf numFmtId="192" fontId="2" fillId="0" borderId="0" xfId="0" applyNumberFormat="1" applyFont="1" applyFill="1" applyBorder="1" applyAlignment="1">
      <alignment horizontal="center" vertical="top" wrapText="1"/>
    </xf>
    <xf numFmtId="0" fontId="7" fillId="0" borderId="0" xfId="0" quotePrefix="1" applyFont="1" applyFill="1" applyAlignment="1">
      <alignment vertical="center"/>
    </xf>
    <xf numFmtId="0" fontId="20" fillId="0" borderId="9" xfId="14" applyFont="1" applyFill="1" applyBorder="1" applyAlignment="1">
      <alignment horizontal="center" vertical="center" wrapText="1"/>
    </xf>
    <xf numFmtId="0" fontId="15" fillId="0" borderId="0" xfId="29" applyFont="1" applyFill="1" applyBorder="1" applyAlignment="1">
      <alignment horizontal="left" vertical="center"/>
    </xf>
    <xf numFmtId="0" fontId="2" fillId="0" borderId="0" xfId="0" applyFont="1" applyFill="1" applyBorder="1" applyAlignment="1">
      <alignment horizontal="left" vertical="center" wrapText="1"/>
    </xf>
    <xf numFmtId="0" fontId="15" fillId="0" borderId="0" xfId="29" applyFont="1" applyFill="1" applyBorder="1" applyAlignment="1">
      <alignment horizontal="left" vertical="center" wrapText="1"/>
    </xf>
    <xf numFmtId="0" fontId="17" fillId="0" borderId="2" xfId="36" applyFont="1" applyFill="1" applyBorder="1" applyAlignment="1">
      <alignment horizontal="center" vertical="center" wrapText="1"/>
    </xf>
    <xf numFmtId="0" fontId="14" fillId="0" borderId="0" xfId="29" applyFont="1" applyFill="1" applyBorder="1" applyAlignment="1">
      <alignment horizontal="left" vertical="center" wrapText="1"/>
    </xf>
    <xf numFmtId="0" fontId="16" fillId="0" borderId="1" xfId="36" applyFont="1" applyFill="1" applyBorder="1" applyAlignment="1">
      <alignment horizontal="center" vertical="center"/>
    </xf>
    <xf numFmtId="0" fontId="16" fillId="0" borderId="4" xfId="36" applyFont="1" applyFill="1" applyBorder="1" applyAlignment="1">
      <alignment horizontal="center" vertical="center"/>
    </xf>
    <xf numFmtId="49" fontId="6" fillId="0" borderId="18" xfId="36" applyNumberFormat="1" applyFont="1" applyFill="1" applyBorder="1" applyAlignment="1">
      <alignment horizontal="center" vertical="center"/>
    </xf>
    <xf numFmtId="49" fontId="6" fillId="0" borderId="19" xfId="36" applyNumberFormat="1" applyFont="1" applyFill="1" applyBorder="1" applyAlignment="1">
      <alignment horizontal="center" vertical="center"/>
    </xf>
    <xf numFmtId="49" fontId="6" fillId="0" borderId="7" xfId="36" applyNumberFormat="1" applyFont="1" applyFill="1" applyBorder="1" applyAlignment="1">
      <alignment horizontal="center" vertical="center"/>
    </xf>
    <xf numFmtId="0" fontId="16" fillId="0" borderId="2" xfId="36" applyFont="1" applyFill="1" applyBorder="1" applyAlignment="1">
      <alignment horizontal="center" vertical="center"/>
    </xf>
    <xf numFmtId="0" fontId="16" fillId="0" borderId="5" xfId="36" applyFont="1" applyFill="1" applyBorder="1" applyAlignment="1">
      <alignment horizontal="center" vertical="center"/>
    </xf>
    <xf numFmtId="0" fontId="16" fillId="0" borderId="2" xfId="29" applyFont="1" applyFill="1" applyBorder="1" applyAlignment="1">
      <alignment horizontal="center" vertical="center"/>
    </xf>
    <xf numFmtId="0" fontId="16" fillId="0" borderId="5" xfId="29" applyFont="1" applyFill="1" applyBorder="1" applyAlignment="1">
      <alignment horizontal="center" vertical="center"/>
    </xf>
    <xf numFmtId="0" fontId="16" fillId="0" borderId="3" xfId="29" applyFont="1" applyFill="1" applyBorder="1" applyAlignment="1">
      <alignment horizontal="center" vertical="center"/>
    </xf>
    <xf numFmtId="0" fontId="16" fillId="0" borderId="6" xfId="29" applyFont="1" applyFill="1" applyBorder="1" applyAlignment="1">
      <alignment horizontal="center" vertical="center"/>
    </xf>
    <xf numFmtId="0" fontId="8" fillId="0" borderId="0" xfId="23" applyFont="1" applyAlignment="1">
      <alignment horizontal="left" vertical="center" wrapText="1"/>
    </xf>
    <xf numFmtId="0" fontId="2" fillId="0" borderId="0" xfId="23" applyFont="1" applyAlignment="1">
      <alignment horizontal="left" vertical="center" wrapText="1"/>
    </xf>
    <xf numFmtId="0" fontId="8" fillId="0" borderId="0" xfId="33" applyFont="1" applyBorder="1" applyAlignment="1">
      <alignment horizontal="center" vertical="center" wrapText="1"/>
    </xf>
    <xf numFmtId="0" fontId="8" fillId="0" borderId="0" xfId="23" applyFont="1" applyBorder="1" applyAlignment="1">
      <alignment horizontal="center" vertical="center" wrapText="1"/>
    </xf>
    <xf numFmtId="0" fontId="3" fillId="0" borderId="0" xfId="23" applyFont="1" applyAlignment="1">
      <alignment horizontal="left" vertical="center" wrapText="1"/>
    </xf>
    <xf numFmtId="0" fontId="2" fillId="0" borderId="0" xfId="23" applyFont="1" applyAlignment="1">
      <alignment horizontal="center" vertical="center" wrapText="1"/>
    </xf>
    <xf numFmtId="0" fontId="12" fillId="0" borderId="0" xfId="0" applyFont="1" applyFill="1" applyAlignment="1">
      <alignment vertical="center"/>
    </xf>
    <xf numFmtId="0" fontId="10" fillId="0" borderId="1" xfId="0" applyFont="1" applyBorder="1" applyAlignment="1">
      <alignment horizontal="center" vertical="center"/>
    </xf>
    <xf numFmtId="0" fontId="10" fillId="0" borderId="4" xfId="0" applyFont="1" applyBorder="1" applyAlignment="1">
      <alignment horizontal="center" vertical="center"/>
    </xf>
    <xf numFmtId="49" fontId="9" fillId="0" borderId="4" xfId="0" applyNumberFormat="1" applyFont="1" applyBorder="1" applyAlignment="1">
      <alignment horizontal="center" vertical="center"/>
    </xf>
    <xf numFmtId="0" fontId="9" fillId="0" borderId="4" xfId="0" applyFont="1" applyBorder="1" applyAlignment="1">
      <alignment horizontal="center" vertical="center"/>
    </xf>
    <xf numFmtId="0" fontId="9" fillId="0" borderId="20" xfId="0" applyFont="1" applyBorder="1" applyAlignment="1">
      <alignment horizontal="center" vertical="center"/>
    </xf>
    <xf numFmtId="0" fontId="10" fillId="0" borderId="2" xfId="0" applyFont="1" applyBorder="1" applyAlignment="1">
      <alignment horizontal="center" vertical="center"/>
    </xf>
    <xf numFmtId="0" fontId="10" fillId="0" borderId="5" xfId="0" applyFont="1" applyBorder="1" applyAlignment="1">
      <alignment horizontal="center" vertical="center"/>
    </xf>
    <xf numFmtId="0" fontId="2" fillId="2" borderId="23"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25" xfId="0" applyFont="1" applyFill="1" applyBorder="1" applyAlignment="1">
      <alignment horizontal="center" vertical="center"/>
    </xf>
    <xf numFmtId="0" fontId="2" fillId="2" borderId="28" xfId="0" applyFont="1" applyFill="1" applyBorder="1" applyAlignment="1">
      <alignment horizontal="center" vertical="center"/>
    </xf>
    <xf numFmtId="180" fontId="10" fillId="0" borderId="2" xfId="0" applyNumberFormat="1" applyFont="1" applyBorder="1" applyAlignment="1">
      <alignment horizontal="center" vertical="center" wrapText="1"/>
    </xf>
    <xf numFmtId="180" fontId="10" fillId="0" borderId="5" xfId="0" applyNumberFormat="1" applyFont="1" applyBorder="1" applyAlignment="1">
      <alignment horizontal="center" vertical="center" wrapText="1"/>
    </xf>
    <xf numFmtId="180" fontId="10" fillId="0" borderId="3" xfId="0" applyNumberFormat="1" applyFont="1" applyBorder="1" applyAlignment="1">
      <alignment horizontal="center" vertical="center" wrapText="1"/>
    </xf>
    <xf numFmtId="180" fontId="10" fillId="0" borderId="6" xfId="0" applyNumberFormat="1" applyFont="1" applyBorder="1" applyAlignment="1">
      <alignment horizontal="center" vertical="center" wrapText="1"/>
    </xf>
    <xf numFmtId="0" fontId="3" fillId="0" borderId="0" xfId="0" applyFont="1" applyFill="1" applyBorder="1" applyAlignment="1">
      <alignment horizontal="left" vertical="center" wrapText="1"/>
    </xf>
    <xf numFmtId="3"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3" fontId="5" fillId="0" borderId="2"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1" xfId="0" applyFont="1" applyFill="1" applyBorder="1" applyAlignment="1">
      <alignment horizontal="center" vertical="center"/>
    </xf>
    <xf numFmtId="0" fontId="5" fillId="0" borderId="12" xfId="0" applyFont="1" applyFill="1" applyBorder="1" applyAlignment="1">
      <alignment horizontal="center" vertical="center"/>
    </xf>
    <xf numFmtId="0" fontId="5" fillId="0" borderId="13" xfId="0" applyFont="1" applyFill="1" applyBorder="1" applyAlignment="1">
      <alignment horizontal="center" vertical="center"/>
    </xf>
    <xf numFmtId="49" fontId="5" fillId="0" borderId="0" xfId="0" applyNumberFormat="1" applyFont="1" applyBorder="1" applyAlignment="1">
      <alignment horizontal="center" vertical="center"/>
    </xf>
    <xf numFmtId="0" fontId="4" fillId="0" borderId="0" xfId="0" applyFont="1" applyBorder="1" applyAlignment="1">
      <alignment horizontal="center" vertical="center"/>
    </xf>
    <xf numFmtId="0" fontId="5" fillId="0" borderId="0" xfId="0" applyFont="1" applyBorder="1" applyAlignment="1">
      <alignment horizontal="center" vertical="center"/>
    </xf>
    <xf numFmtId="0" fontId="5" fillId="0" borderId="0" xfId="0" applyFont="1" applyFill="1" applyBorder="1" applyAlignment="1">
      <alignment horizontal="center" vertical="center"/>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0" xfId="0" applyFont="1" applyBorder="1" applyAlignment="1">
      <alignment horizontal="center" vertical="center" wrapText="1"/>
    </xf>
    <xf numFmtId="178" fontId="5" fillId="0" borderId="23" xfId="0" applyNumberFormat="1" applyFont="1" applyBorder="1" applyAlignment="1">
      <alignment horizontal="center" vertical="center"/>
    </xf>
    <xf numFmtId="178" fontId="5" fillId="0" borderId="25" xfId="0" applyNumberFormat="1" applyFont="1" applyBorder="1" applyAlignment="1">
      <alignment horizontal="center" vertical="center"/>
    </xf>
    <xf numFmtId="179" fontId="5" fillId="0" borderId="23" xfId="0" applyNumberFormat="1" applyFont="1" applyBorder="1" applyAlignment="1">
      <alignment horizontal="center" vertical="center"/>
    </xf>
    <xf numFmtId="179" fontId="5" fillId="0" borderId="25" xfId="0" applyNumberFormat="1" applyFont="1" applyBorder="1" applyAlignment="1">
      <alignment horizontal="center" vertical="center"/>
    </xf>
    <xf numFmtId="0" fontId="5" fillId="0" borderId="23" xfId="0" applyFont="1" applyBorder="1" applyAlignment="1">
      <alignment horizontal="center" vertical="center"/>
    </xf>
    <xf numFmtId="0" fontId="5" fillId="0" borderId="25" xfId="0" applyFont="1" applyBorder="1" applyAlignment="1">
      <alignment horizontal="center" vertical="center"/>
    </xf>
    <xf numFmtId="0" fontId="5" fillId="0" borderId="24" xfId="0" applyFont="1" applyBorder="1" applyAlignment="1">
      <alignment horizontal="center" vertical="center"/>
    </xf>
    <xf numFmtId="0" fontId="5" fillId="0" borderId="26" xfId="0" applyFont="1" applyBorder="1" applyAlignment="1">
      <alignment horizontal="center" vertical="center"/>
    </xf>
  </cellXfs>
  <cellStyles count="39">
    <cellStyle name="Normal 10" xfId="2"/>
    <cellStyle name="Normal 31" xfId="3"/>
    <cellStyle name="Style 1" xfId="4"/>
    <cellStyle name="百分比" xfId="1" builtinId="5"/>
    <cellStyle name="常规" xfId="0" builtinId="0"/>
    <cellStyle name="常规 11" xfId="5"/>
    <cellStyle name="常规 11 2" xfId="6"/>
    <cellStyle name="常规 11 3" xfId="7"/>
    <cellStyle name="常规 12" xfId="8"/>
    <cellStyle name="常规 12 2" xfId="9"/>
    <cellStyle name="常规 12 3" xfId="10"/>
    <cellStyle name="常规 16" xfId="11"/>
    <cellStyle name="常规 2" xfId="12"/>
    <cellStyle name="常规 2 10 4" xfId="13"/>
    <cellStyle name="常规 2 2" xfId="14"/>
    <cellStyle name="常规 2 2 2" xfId="15"/>
    <cellStyle name="常规 2 3" xfId="16"/>
    <cellStyle name="常规 2 3 9" xfId="17"/>
    <cellStyle name="常规 20" xfId="18"/>
    <cellStyle name="常规 20 2" xfId="19"/>
    <cellStyle name="常规 21" xfId="20"/>
    <cellStyle name="常规 21 2" xfId="21"/>
    <cellStyle name="常规 25" xfId="22"/>
    <cellStyle name="常规 3 2 2" xfId="23"/>
    <cellStyle name="常规 3 2 2 2" xfId="24"/>
    <cellStyle name="常规 3 2 2 2 2" xfId="25"/>
    <cellStyle name="常规 4 2 2 2" xfId="26"/>
    <cellStyle name="常规 4 2 2 2 2" xfId="27"/>
    <cellStyle name="常规 4 2 2 2 3" xfId="28"/>
    <cellStyle name="常规 4 4" xfId="29"/>
    <cellStyle name="常规 4 4 2" xfId="30"/>
    <cellStyle name="常规 5" xfId="31"/>
    <cellStyle name="常规 6 2" xfId="32"/>
    <cellStyle name="常规 7" xfId="33"/>
    <cellStyle name="常规 7 2" xfId="34"/>
    <cellStyle name="常规 7 3" xfId="35"/>
    <cellStyle name="常规_ADME-KWK-LM-W020" xfId="36"/>
    <cellStyle name="常规_GSK-20101124-PPB report 2010-Dec-12 (3)" xfId="37"/>
    <cellStyle name="常规_副本bioanalysis record template" xfId="38"/>
  </cellStyles>
  <dxfs count="1">
    <dxf>
      <font>
        <color rgb="FF9C0006"/>
      </font>
      <fill>
        <patternFill patternType="solid">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0</xdr:row>
      <xdr:rowOff>0</xdr:rowOff>
    </xdr:from>
    <xdr:to>
      <xdr:col>0</xdr:col>
      <xdr:colOff>619125</xdr:colOff>
      <xdr:row>1</xdr:row>
      <xdr:rowOff>43815</xdr:rowOff>
    </xdr:to>
    <xdr:pic>
      <xdr:nvPicPr>
        <xdr:cNvPr id="4" name="图片 3" descr="logo-01"/>
        <xdr:cNvPicPr/>
      </xdr:nvPicPr>
      <xdr:blipFill>
        <a:blip xmlns:r="http://schemas.openxmlformats.org/officeDocument/2006/relationships" r:embed="rId1"/>
        <a:srcRect/>
        <a:stretch>
          <a:fillRect/>
        </a:stretch>
      </xdr:blipFill>
      <xdr:spPr>
        <a:xfrm>
          <a:off x="152400" y="0"/>
          <a:ext cx="466725" cy="52768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504825</xdr:colOff>
      <xdr:row>12</xdr:row>
      <xdr:rowOff>47627</xdr:rowOff>
    </xdr:from>
    <xdr:to>
      <xdr:col>2</xdr:col>
      <xdr:colOff>573496</xdr:colOff>
      <xdr:row>12</xdr:row>
      <xdr:rowOff>323850</xdr:rowOff>
    </xdr:to>
    <xdr:pic>
      <xdr:nvPicPr>
        <xdr:cNvPr id="2" name="图片 1" descr="未命名"/>
        <xdr:cNvPicPr>
          <a:picLocks noChangeAspect="1" noChangeArrowheads="1"/>
        </xdr:cNvPicPr>
      </xdr:nvPicPr>
      <xdr:blipFill>
        <a:blip xmlns:r="http://schemas.openxmlformats.org/officeDocument/2006/relationships" r:embed="rId1" cstate="print"/>
        <a:srcRect/>
        <a:stretch>
          <a:fillRect/>
        </a:stretch>
      </xdr:blipFill>
      <xdr:spPr>
        <a:xfrm>
          <a:off x="2494280" y="3800475"/>
          <a:ext cx="2058035" cy="27622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57150</xdr:colOff>
      <xdr:row>3</xdr:row>
      <xdr:rowOff>95250</xdr:rowOff>
    </xdr:from>
    <xdr:to>
      <xdr:col>12</xdr:col>
      <xdr:colOff>419100</xdr:colOff>
      <xdr:row>15</xdr:row>
      <xdr:rowOff>85725</xdr:rowOff>
    </xdr:to>
    <xdr:pic>
      <xdr:nvPicPr>
        <xdr:cNvPr id="2" name="图片 1"/>
        <xdr:cNvPicPr>
          <a:picLocks noChangeAspect="1"/>
        </xdr:cNvPicPr>
      </xdr:nvPicPr>
      <xdr:blipFill>
        <a:blip xmlns:r="http://schemas.openxmlformats.org/officeDocument/2006/relationships" r:embed="rId1"/>
        <a:stretch>
          <a:fillRect/>
        </a:stretch>
      </xdr:blipFill>
      <xdr:spPr>
        <a:xfrm>
          <a:off x="8836025" y="838200"/>
          <a:ext cx="3943350" cy="2276475"/>
        </a:xfrm>
        <a:prstGeom prst="rect">
          <a:avLst/>
        </a:prstGeom>
        <a:noFill/>
        <a:ln w="9525">
          <a:noFill/>
        </a:ln>
      </xdr:spPr>
    </xdr:pic>
    <xdr:clientData/>
  </xdr:twoCellAnchor>
  <xdr:twoCellAnchor editAs="oneCell">
    <xdr:from>
      <xdr:col>12</xdr:col>
      <xdr:colOff>717550</xdr:colOff>
      <xdr:row>2</xdr:row>
      <xdr:rowOff>219075</xdr:rowOff>
    </xdr:from>
    <xdr:to>
      <xdr:col>16</xdr:col>
      <xdr:colOff>781050</xdr:colOff>
      <xdr:row>16</xdr:row>
      <xdr:rowOff>0</xdr:rowOff>
    </xdr:to>
    <xdr:pic>
      <xdr:nvPicPr>
        <xdr:cNvPr id="4" name="图片 3"/>
        <xdr:cNvPicPr>
          <a:picLocks noChangeAspect="1"/>
        </xdr:cNvPicPr>
      </xdr:nvPicPr>
      <xdr:blipFill>
        <a:blip xmlns:r="http://schemas.openxmlformats.org/officeDocument/2006/relationships" r:embed="rId2"/>
        <a:stretch>
          <a:fillRect/>
        </a:stretch>
      </xdr:blipFill>
      <xdr:spPr>
        <a:xfrm>
          <a:off x="13077825" y="657225"/>
          <a:ext cx="3924300" cy="2562225"/>
        </a:xfrm>
        <a:prstGeom prst="rect">
          <a:avLst/>
        </a:prstGeom>
        <a:noFill/>
        <a:ln w="9525">
          <a:noFill/>
        </a:ln>
      </xdr:spPr>
    </xdr:pic>
    <xdr:clientData/>
  </xdr:twoCellAnchor>
  <xdr:twoCellAnchor editAs="oneCell">
    <xdr:from>
      <xdr:col>8</xdr:col>
      <xdr:colOff>95250</xdr:colOff>
      <xdr:row>17</xdr:row>
      <xdr:rowOff>95250</xdr:rowOff>
    </xdr:from>
    <xdr:to>
      <xdr:col>12</xdr:col>
      <xdr:colOff>514350</xdr:colOff>
      <xdr:row>29</xdr:row>
      <xdr:rowOff>57150</xdr:rowOff>
    </xdr:to>
    <xdr:pic>
      <xdr:nvPicPr>
        <xdr:cNvPr id="5" name="图片 4"/>
        <xdr:cNvPicPr>
          <a:picLocks noChangeAspect="1"/>
        </xdr:cNvPicPr>
      </xdr:nvPicPr>
      <xdr:blipFill>
        <a:blip xmlns:r="http://schemas.openxmlformats.org/officeDocument/2006/relationships" r:embed="rId3"/>
        <a:stretch>
          <a:fillRect/>
        </a:stretch>
      </xdr:blipFill>
      <xdr:spPr>
        <a:xfrm>
          <a:off x="8874125" y="3505200"/>
          <a:ext cx="4000500" cy="2247900"/>
        </a:xfrm>
        <a:prstGeom prst="rect">
          <a:avLst/>
        </a:prstGeom>
        <a:noFill/>
        <a:ln w="9525">
          <a:noFill/>
        </a:ln>
      </xdr:spPr>
    </xdr:pic>
    <xdr:clientData/>
  </xdr:twoCellAnchor>
  <xdr:twoCellAnchor editAs="oneCell">
    <xdr:from>
      <xdr:col>12</xdr:col>
      <xdr:colOff>755650</xdr:colOff>
      <xdr:row>16</xdr:row>
      <xdr:rowOff>66675</xdr:rowOff>
    </xdr:from>
    <xdr:to>
      <xdr:col>16</xdr:col>
      <xdr:colOff>781050</xdr:colOff>
      <xdr:row>30</xdr:row>
      <xdr:rowOff>28575</xdr:rowOff>
    </xdr:to>
    <xdr:pic>
      <xdr:nvPicPr>
        <xdr:cNvPr id="7" name="图片 6"/>
        <xdr:cNvPicPr>
          <a:picLocks noChangeAspect="1"/>
        </xdr:cNvPicPr>
      </xdr:nvPicPr>
      <xdr:blipFill>
        <a:blip xmlns:r="http://schemas.openxmlformats.org/officeDocument/2006/relationships" r:embed="rId4"/>
        <a:stretch>
          <a:fillRect/>
        </a:stretch>
      </xdr:blipFill>
      <xdr:spPr>
        <a:xfrm>
          <a:off x="13115925" y="3286125"/>
          <a:ext cx="3886200" cy="2628900"/>
        </a:xfrm>
        <a:prstGeom prst="rect">
          <a:avLst/>
        </a:prstGeom>
        <a:noFill/>
        <a:ln w="9525">
          <a:noFill/>
        </a:ln>
      </xdr:spPr>
    </xdr:pic>
    <xdr:clientData/>
  </xdr:twoCellAnchor>
  <xdr:twoCellAnchor editAs="oneCell">
    <xdr:from>
      <xdr:col>7</xdr:col>
      <xdr:colOff>933450</xdr:colOff>
      <xdr:row>29</xdr:row>
      <xdr:rowOff>171450</xdr:rowOff>
    </xdr:from>
    <xdr:to>
      <xdr:col>12</xdr:col>
      <xdr:colOff>314325</xdr:colOff>
      <xdr:row>41</xdr:row>
      <xdr:rowOff>66675</xdr:rowOff>
    </xdr:to>
    <xdr:pic>
      <xdr:nvPicPr>
        <xdr:cNvPr id="8" name="图片 7"/>
        <xdr:cNvPicPr>
          <a:picLocks noChangeAspect="1"/>
        </xdr:cNvPicPr>
      </xdr:nvPicPr>
      <xdr:blipFill>
        <a:blip xmlns:r="http://schemas.openxmlformats.org/officeDocument/2006/relationships" r:embed="rId5"/>
        <a:stretch>
          <a:fillRect/>
        </a:stretch>
      </xdr:blipFill>
      <xdr:spPr>
        <a:xfrm>
          <a:off x="8721725" y="5867400"/>
          <a:ext cx="3952875" cy="2181225"/>
        </a:xfrm>
        <a:prstGeom prst="rect">
          <a:avLst/>
        </a:prstGeom>
        <a:noFill/>
        <a:ln w="9525">
          <a:noFill/>
        </a:ln>
      </xdr:spPr>
    </xdr:pic>
    <xdr:clientData/>
  </xdr:twoCellAnchor>
  <xdr:twoCellAnchor editAs="oneCell">
    <xdr:from>
      <xdr:col>12</xdr:col>
      <xdr:colOff>555625</xdr:colOff>
      <xdr:row>30</xdr:row>
      <xdr:rowOff>76200</xdr:rowOff>
    </xdr:from>
    <xdr:to>
      <xdr:col>17</xdr:col>
      <xdr:colOff>368300</xdr:colOff>
      <xdr:row>44</xdr:row>
      <xdr:rowOff>142875</xdr:rowOff>
    </xdr:to>
    <xdr:pic>
      <xdr:nvPicPr>
        <xdr:cNvPr id="9" name="图片 8"/>
        <xdr:cNvPicPr>
          <a:picLocks noChangeAspect="1"/>
        </xdr:cNvPicPr>
      </xdr:nvPicPr>
      <xdr:blipFill>
        <a:blip xmlns:r="http://schemas.openxmlformats.org/officeDocument/2006/relationships" r:embed="rId6"/>
        <a:stretch>
          <a:fillRect/>
        </a:stretch>
      </xdr:blipFill>
      <xdr:spPr>
        <a:xfrm>
          <a:off x="12915900" y="5962650"/>
          <a:ext cx="4638675" cy="2733675"/>
        </a:xfrm>
        <a:prstGeom prst="rect">
          <a:avLst/>
        </a:prstGeom>
        <a:noFill/>
        <a:ln w="9525">
          <a:noFill/>
        </a:ln>
      </xdr:spPr>
    </xdr:pic>
    <xdr:clientData/>
  </xdr:twoCellAnchor>
  <xdr:twoCellAnchor editAs="oneCell">
    <xdr:from>
      <xdr:col>8</xdr:col>
      <xdr:colOff>95250</xdr:colOff>
      <xdr:row>58</xdr:row>
      <xdr:rowOff>123825</xdr:rowOff>
    </xdr:from>
    <xdr:to>
      <xdr:col>12</xdr:col>
      <xdr:colOff>847725</xdr:colOff>
      <xdr:row>72</xdr:row>
      <xdr:rowOff>19050</xdr:rowOff>
    </xdr:to>
    <xdr:pic>
      <xdr:nvPicPr>
        <xdr:cNvPr id="10" name="图片 9"/>
        <xdr:cNvPicPr>
          <a:picLocks noChangeAspect="1"/>
        </xdr:cNvPicPr>
      </xdr:nvPicPr>
      <xdr:blipFill>
        <a:blip xmlns:r="http://schemas.openxmlformats.org/officeDocument/2006/relationships" r:embed="rId7"/>
        <a:stretch>
          <a:fillRect/>
        </a:stretch>
      </xdr:blipFill>
      <xdr:spPr>
        <a:xfrm>
          <a:off x="8874125" y="11344275"/>
          <a:ext cx="4333875" cy="2400300"/>
        </a:xfrm>
        <a:prstGeom prst="rect">
          <a:avLst/>
        </a:prstGeom>
        <a:noFill/>
        <a:ln w="9525">
          <a:noFill/>
        </a:ln>
      </xdr:spPr>
    </xdr:pic>
    <xdr:clientData/>
  </xdr:twoCellAnchor>
  <xdr:twoCellAnchor editAs="oneCell">
    <xdr:from>
      <xdr:col>13</xdr:col>
      <xdr:colOff>79375</xdr:colOff>
      <xdr:row>58</xdr:row>
      <xdr:rowOff>76200</xdr:rowOff>
    </xdr:from>
    <xdr:to>
      <xdr:col>17</xdr:col>
      <xdr:colOff>552450</xdr:colOff>
      <xdr:row>73</xdr:row>
      <xdr:rowOff>123825</xdr:rowOff>
    </xdr:to>
    <xdr:pic>
      <xdr:nvPicPr>
        <xdr:cNvPr id="11" name="图片 10"/>
        <xdr:cNvPicPr>
          <a:picLocks noChangeAspect="1"/>
        </xdr:cNvPicPr>
      </xdr:nvPicPr>
      <xdr:blipFill>
        <a:blip xmlns:r="http://schemas.openxmlformats.org/officeDocument/2006/relationships" r:embed="rId8"/>
        <a:stretch>
          <a:fillRect/>
        </a:stretch>
      </xdr:blipFill>
      <xdr:spPr>
        <a:xfrm>
          <a:off x="13404850" y="11296650"/>
          <a:ext cx="4333875" cy="2724150"/>
        </a:xfrm>
        <a:prstGeom prst="rect">
          <a:avLst/>
        </a:prstGeom>
        <a:noFill/>
        <a:ln w="9525">
          <a:noFill/>
        </a:ln>
      </xdr:spPr>
    </xdr:pic>
    <xdr:clientData/>
  </xdr:twoCellAnchor>
  <xdr:twoCellAnchor editAs="oneCell">
    <xdr:from>
      <xdr:col>8</xdr:col>
      <xdr:colOff>9525</xdr:colOff>
      <xdr:row>46</xdr:row>
      <xdr:rowOff>28575</xdr:rowOff>
    </xdr:from>
    <xdr:to>
      <xdr:col>12</xdr:col>
      <xdr:colOff>361950</xdr:colOff>
      <xdr:row>57</xdr:row>
      <xdr:rowOff>66675</xdr:rowOff>
    </xdr:to>
    <xdr:pic>
      <xdr:nvPicPr>
        <xdr:cNvPr id="12" name="图片 11"/>
        <xdr:cNvPicPr>
          <a:picLocks noChangeAspect="1"/>
        </xdr:cNvPicPr>
      </xdr:nvPicPr>
      <xdr:blipFill>
        <a:blip xmlns:r="http://schemas.openxmlformats.org/officeDocument/2006/relationships" r:embed="rId9"/>
        <a:stretch>
          <a:fillRect/>
        </a:stretch>
      </xdr:blipFill>
      <xdr:spPr>
        <a:xfrm>
          <a:off x="8788400" y="8963025"/>
          <a:ext cx="3933825" cy="2133600"/>
        </a:xfrm>
        <a:prstGeom prst="rect">
          <a:avLst/>
        </a:prstGeom>
        <a:noFill/>
        <a:ln w="9525">
          <a:noFill/>
        </a:ln>
      </xdr:spPr>
    </xdr:pic>
    <xdr:clientData/>
  </xdr:twoCellAnchor>
  <xdr:twoCellAnchor editAs="oneCell">
    <xdr:from>
      <xdr:col>12</xdr:col>
      <xdr:colOff>727075</xdr:colOff>
      <xdr:row>45</xdr:row>
      <xdr:rowOff>19050</xdr:rowOff>
    </xdr:from>
    <xdr:to>
      <xdr:col>16</xdr:col>
      <xdr:colOff>762000</xdr:colOff>
      <xdr:row>58</xdr:row>
      <xdr:rowOff>28575</xdr:rowOff>
    </xdr:to>
    <xdr:pic>
      <xdr:nvPicPr>
        <xdr:cNvPr id="13" name="图片 12"/>
        <xdr:cNvPicPr>
          <a:picLocks noChangeAspect="1"/>
        </xdr:cNvPicPr>
      </xdr:nvPicPr>
      <xdr:blipFill>
        <a:blip xmlns:r="http://schemas.openxmlformats.org/officeDocument/2006/relationships" r:embed="rId10"/>
        <a:stretch>
          <a:fillRect/>
        </a:stretch>
      </xdr:blipFill>
      <xdr:spPr>
        <a:xfrm>
          <a:off x="13087350" y="8763000"/>
          <a:ext cx="3895725" cy="2486025"/>
        </a:xfrm>
        <a:prstGeom prst="rect">
          <a:avLst/>
        </a:prstGeom>
        <a:noFill/>
        <a:ln w="9525">
          <a:noFill/>
        </a:ln>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0</xdr:colOff>
      <xdr:row>1</xdr:row>
      <xdr:rowOff>0</xdr:rowOff>
    </xdr:from>
    <xdr:ext cx="0" cy="172227"/>
    <xdr:sp macro="" textlink="">
      <xdr:nvSpPr>
        <xdr:cNvPr id="2" name="TextBox 1"/>
        <xdr:cNvSpPr txBox="1"/>
      </xdr:nvSpPr>
      <xdr:spPr>
        <a:xfrm>
          <a:off x="2099310" y="5829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1</xdr:row>
      <xdr:rowOff>0</xdr:rowOff>
    </xdr:from>
    <xdr:ext cx="0" cy="172227"/>
    <xdr:sp macro="" textlink="">
      <xdr:nvSpPr>
        <xdr:cNvPr id="3" name="TextBox 1"/>
        <xdr:cNvSpPr txBox="1"/>
      </xdr:nvSpPr>
      <xdr:spPr>
        <a:xfrm>
          <a:off x="8812530" y="5829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1</xdr:row>
      <xdr:rowOff>0</xdr:rowOff>
    </xdr:from>
    <xdr:ext cx="0" cy="172227"/>
    <xdr:sp macro="" textlink="">
      <xdr:nvSpPr>
        <xdr:cNvPr id="4" name="TextBox 1"/>
        <xdr:cNvSpPr txBox="1"/>
      </xdr:nvSpPr>
      <xdr:spPr>
        <a:xfrm>
          <a:off x="8812530" y="5829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1</xdr:row>
      <xdr:rowOff>0</xdr:rowOff>
    </xdr:from>
    <xdr:ext cx="0" cy="172227"/>
    <xdr:sp macro="" textlink="">
      <xdr:nvSpPr>
        <xdr:cNvPr id="5" name="TextBox 1"/>
        <xdr:cNvSpPr txBox="1"/>
      </xdr:nvSpPr>
      <xdr:spPr>
        <a:xfrm>
          <a:off x="2099310" y="5829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1</xdr:row>
      <xdr:rowOff>0</xdr:rowOff>
    </xdr:from>
    <xdr:ext cx="0" cy="172227"/>
    <xdr:sp macro="" textlink="">
      <xdr:nvSpPr>
        <xdr:cNvPr id="6" name="TextBox 1"/>
        <xdr:cNvSpPr txBox="1"/>
      </xdr:nvSpPr>
      <xdr:spPr>
        <a:xfrm>
          <a:off x="2099310" y="5829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1</xdr:row>
      <xdr:rowOff>0</xdr:rowOff>
    </xdr:from>
    <xdr:ext cx="0" cy="172227"/>
    <xdr:sp macro="" textlink="">
      <xdr:nvSpPr>
        <xdr:cNvPr id="7" name="TextBox 1"/>
        <xdr:cNvSpPr txBox="1"/>
      </xdr:nvSpPr>
      <xdr:spPr>
        <a:xfrm>
          <a:off x="8812530" y="5829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1</xdr:row>
      <xdr:rowOff>0</xdr:rowOff>
    </xdr:from>
    <xdr:ext cx="0" cy="172227"/>
    <xdr:sp macro="" textlink="">
      <xdr:nvSpPr>
        <xdr:cNvPr id="8" name="TextBox 1"/>
        <xdr:cNvSpPr txBox="1"/>
      </xdr:nvSpPr>
      <xdr:spPr>
        <a:xfrm>
          <a:off x="8812530" y="5829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1</xdr:row>
      <xdr:rowOff>0</xdr:rowOff>
    </xdr:from>
    <xdr:ext cx="0" cy="172227"/>
    <xdr:sp macro="" textlink="">
      <xdr:nvSpPr>
        <xdr:cNvPr id="9" name="TextBox 1"/>
        <xdr:cNvSpPr txBox="1"/>
      </xdr:nvSpPr>
      <xdr:spPr>
        <a:xfrm>
          <a:off x="8812530" y="5829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1</xdr:row>
      <xdr:rowOff>0</xdr:rowOff>
    </xdr:from>
    <xdr:ext cx="0" cy="172227"/>
    <xdr:sp macro="" textlink="">
      <xdr:nvSpPr>
        <xdr:cNvPr id="10" name="TextBox 1"/>
        <xdr:cNvSpPr txBox="1"/>
      </xdr:nvSpPr>
      <xdr:spPr>
        <a:xfrm>
          <a:off x="8812530" y="5829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2</xdr:col>
      <xdr:colOff>0</xdr:colOff>
      <xdr:row>25</xdr:row>
      <xdr:rowOff>0</xdr:rowOff>
    </xdr:from>
    <xdr:ext cx="0" cy="172227"/>
    <xdr:sp macro="" textlink="">
      <xdr:nvSpPr>
        <xdr:cNvPr id="11" name="TextBox 1"/>
        <xdr:cNvSpPr txBox="1"/>
      </xdr:nvSpPr>
      <xdr:spPr>
        <a:xfrm>
          <a:off x="2099310" y="60598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25</xdr:row>
      <xdr:rowOff>0</xdr:rowOff>
    </xdr:from>
    <xdr:ext cx="0" cy="172227"/>
    <xdr:sp macro="" textlink="">
      <xdr:nvSpPr>
        <xdr:cNvPr id="12" name="TextBox 1"/>
        <xdr:cNvSpPr txBox="1"/>
      </xdr:nvSpPr>
      <xdr:spPr>
        <a:xfrm>
          <a:off x="2099310" y="60598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25</xdr:row>
      <xdr:rowOff>0</xdr:rowOff>
    </xdr:from>
    <xdr:ext cx="0" cy="172227"/>
    <xdr:sp macro="" textlink="">
      <xdr:nvSpPr>
        <xdr:cNvPr id="13" name="TextBox 1"/>
        <xdr:cNvSpPr txBox="1"/>
      </xdr:nvSpPr>
      <xdr:spPr>
        <a:xfrm>
          <a:off x="2099310" y="60598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macro="" textlink="">
      <xdr:nvSpPr>
        <xdr:cNvPr id="14" name="TextBox 1"/>
        <xdr:cNvSpPr txBox="1"/>
      </xdr:nvSpPr>
      <xdr:spPr>
        <a:xfrm>
          <a:off x="8812530" y="60598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macro="" textlink="">
      <xdr:nvSpPr>
        <xdr:cNvPr id="15" name="TextBox 1"/>
        <xdr:cNvSpPr txBox="1"/>
      </xdr:nvSpPr>
      <xdr:spPr>
        <a:xfrm>
          <a:off x="8812530" y="60598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25</xdr:row>
      <xdr:rowOff>0</xdr:rowOff>
    </xdr:from>
    <xdr:ext cx="0" cy="172227"/>
    <xdr:sp macro="" textlink="">
      <xdr:nvSpPr>
        <xdr:cNvPr id="16" name="TextBox 1"/>
        <xdr:cNvSpPr txBox="1"/>
      </xdr:nvSpPr>
      <xdr:spPr>
        <a:xfrm>
          <a:off x="8812530" y="60598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macro="" textlink="">
      <xdr:nvSpPr>
        <xdr:cNvPr id="17" name="TextBox 1"/>
        <xdr:cNvSpPr txBox="1"/>
      </xdr:nvSpPr>
      <xdr:spPr>
        <a:xfrm>
          <a:off x="2099310" y="62503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macro="" textlink="">
      <xdr:nvSpPr>
        <xdr:cNvPr id="18" name="TextBox 1"/>
        <xdr:cNvSpPr txBox="1"/>
      </xdr:nvSpPr>
      <xdr:spPr>
        <a:xfrm>
          <a:off x="2099310" y="62503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macro="" textlink="">
      <xdr:nvSpPr>
        <xdr:cNvPr id="19" name="TextBox 1"/>
        <xdr:cNvSpPr txBox="1"/>
      </xdr:nvSpPr>
      <xdr:spPr>
        <a:xfrm>
          <a:off x="2099310" y="62503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20" name="TextBox 1"/>
        <xdr:cNvSpPr txBox="1"/>
      </xdr:nvSpPr>
      <xdr:spPr>
        <a:xfrm>
          <a:off x="8812530" y="64884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21" name="TextBox 1"/>
        <xdr:cNvSpPr txBox="1"/>
      </xdr:nvSpPr>
      <xdr:spPr>
        <a:xfrm>
          <a:off x="8812530" y="64884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22" name="TextBox 1"/>
        <xdr:cNvSpPr txBox="1"/>
      </xdr:nvSpPr>
      <xdr:spPr>
        <a:xfrm>
          <a:off x="8812530" y="64884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47</xdr:row>
      <xdr:rowOff>128587</xdr:rowOff>
    </xdr:from>
    <xdr:ext cx="0" cy="402732"/>
    <xdr:sp macro="" textlink="">
      <xdr:nvSpPr>
        <xdr:cNvPr id="23" name="TextBox 1"/>
        <xdr:cNvSpPr txBox="1"/>
      </xdr:nvSpPr>
      <xdr:spPr>
        <a:xfrm>
          <a:off x="2099310" y="11188700"/>
          <a:ext cx="0" cy="402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44</xdr:row>
      <xdr:rowOff>0</xdr:rowOff>
    </xdr:from>
    <xdr:ext cx="0" cy="172227"/>
    <xdr:sp macro="" textlink="">
      <xdr:nvSpPr>
        <xdr:cNvPr id="24" name="TextBox 1"/>
        <xdr:cNvSpPr txBox="1"/>
      </xdr:nvSpPr>
      <xdr:spPr>
        <a:xfrm>
          <a:off x="2099310" y="103460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44</xdr:row>
      <xdr:rowOff>0</xdr:rowOff>
    </xdr:from>
    <xdr:ext cx="0" cy="172227"/>
    <xdr:sp macro="" textlink="">
      <xdr:nvSpPr>
        <xdr:cNvPr id="25" name="TextBox 1"/>
        <xdr:cNvSpPr txBox="1"/>
      </xdr:nvSpPr>
      <xdr:spPr>
        <a:xfrm>
          <a:off x="2099310" y="103460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macro="" textlink="">
      <xdr:nvSpPr>
        <xdr:cNvPr id="26" name="TextBox 7"/>
        <xdr:cNvSpPr txBox="1"/>
      </xdr:nvSpPr>
      <xdr:spPr>
        <a:xfrm>
          <a:off x="2099310" y="62503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macro="" textlink="">
      <xdr:nvSpPr>
        <xdr:cNvPr id="27" name="TextBox 1"/>
        <xdr:cNvSpPr txBox="1"/>
      </xdr:nvSpPr>
      <xdr:spPr>
        <a:xfrm>
          <a:off x="2099310" y="62503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macro="" textlink="">
      <xdr:nvSpPr>
        <xdr:cNvPr id="28" name="TextBox 1"/>
        <xdr:cNvSpPr txBox="1"/>
      </xdr:nvSpPr>
      <xdr:spPr>
        <a:xfrm>
          <a:off x="2099310" y="62503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8</xdr:col>
      <xdr:colOff>0</xdr:colOff>
      <xdr:row>1</xdr:row>
      <xdr:rowOff>0</xdr:rowOff>
    </xdr:from>
    <xdr:ext cx="0" cy="172227"/>
    <xdr:sp macro="" textlink="">
      <xdr:nvSpPr>
        <xdr:cNvPr id="29" name="TextBox 1"/>
        <xdr:cNvSpPr txBox="1"/>
      </xdr:nvSpPr>
      <xdr:spPr>
        <a:xfrm>
          <a:off x="10251440" y="5829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8</xdr:col>
      <xdr:colOff>0</xdr:colOff>
      <xdr:row>1</xdr:row>
      <xdr:rowOff>0</xdr:rowOff>
    </xdr:from>
    <xdr:ext cx="0" cy="172227"/>
    <xdr:sp macro="" textlink="">
      <xdr:nvSpPr>
        <xdr:cNvPr id="30" name="TextBox 1"/>
        <xdr:cNvSpPr txBox="1"/>
      </xdr:nvSpPr>
      <xdr:spPr>
        <a:xfrm>
          <a:off x="10251440" y="5829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8</xdr:col>
      <xdr:colOff>0</xdr:colOff>
      <xdr:row>1</xdr:row>
      <xdr:rowOff>0</xdr:rowOff>
    </xdr:from>
    <xdr:ext cx="0" cy="172227"/>
    <xdr:sp macro="" textlink="">
      <xdr:nvSpPr>
        <xdr:cNvPr id="31" name="TextBox 1"/>
        <xdr:cNvSpPr txBox="1"/>
      </xdr:nvSpPr>
      <xdr:spPr>
        <a:xfrm>
          <a:off x="10251440" y="5829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8</xdr:col>
      <xdr:colOff>0</xdr:colOff>
      <xdr:row>26</xdr:row>
      <xdr:rowOff>0</xdr:rowOff>
    </xdr:from>
    <xdr:ext cx="0" cy="172227"/>
    <xdr:sp macro="" textlink="">
      <xdr:nvSpPr>
        <xdr:cNvPr id="32" name="TextBox 1"/>
        <xdr:cNvSpPr txBox="1"/>
      </xdr:nvSpPr>
      <xdr:spPr>
        <a:xfrm>
          <a:off x="10251440" y="62503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8</xdr:col>
      <xdr:colOff>0</xdr:colOff>
      <xdr:row>26</xdr:row>
      <xdr:rowOff>0</xdr:rowOff>
    </xdr:from>
    <xdr:ext cx="0" cy="172227"/>
    <xdr:sp macro="" textlink="">
      <xdr:nvSpPr>
        <xdr:cNvPr id="33" name="TextBox 1"/>
        <xdr:cNvSpPr txBox="1"/>
      </xdr:nvSpPr>
      <xdr:spPr>
        <a:xfrm>
          <a:off x="10251440" y="62503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8</xdr:col>
      <xdr:colOff>0</xdr:colOff>
      <xdr:row>26</xdr:row>
      <xdr:rowOff>0</xdr:rowOff>
    </xdr:from>
    <xdr:ext cx="0" cy="172227"/>
    <xdr:sp macro="" textlink="">
      <xdr:nvSpPr>
        <xdr:cNvPr id="34" name="TextBox 1"/>
        <xdr:cNvSpPr txBox="1"/>
      </xdr:nvSpPr>
      <xdr:spPr>
        <a:xfrm>
          <a:off x="10251440" y="62503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5"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4132"/>
    <xdr:sp macro="" textlink="">
      <xdr:nvSpPr>
        <xdr:cNvPr id="38" name="TextBox 1"/>
        <xdr:cNvSpPr txBox="1"/>
      </xdr:nvSpPr>
      <xdr:spPr>
        <a:xfrm>
          <a:off x="2099310" y="11508105"/>
          <a:ext cx="0" cy="173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4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41" name="TextBox 7"/>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42"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4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44"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45"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4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4132"/>
    <xdr:sp macro="" textlink="">
      <xdr:nvSpPr>
        <xdr:cNvPr id="47" name="TextBox 1"/>
        <xdr:cNvSpPr txBox="1"/>
      </xdr:nvSpPr>
      <xdr:spPr>
        <a:xfrm>
          <a:off x="2099310" y="11508105"/>
          <a:ext cx="0" cy="173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48"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4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50" name="TextBox 7"/>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5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52"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48</xdr:row>
      <xdr:rowOff>128587</xdr:rowOff>
    </xdr:from>
    <xdr:ext cx="0" cy="425592"/>
    <xdr:sp macro="" textlink="">
      <xdr:nvSpPr>
        <xdr:cNvPr id="53" name="TextBox 1"/>
        <xdr:cNvSpPr txBox="1"/>
      </xdr:nvSpPr>
      <xdr:spPr>
        <a:xfrm>
          <a:off x="2099310" y="11426825"/>
          <a:ext cx="0" cy="425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50</xdr:row>
      <xdr:rowOff>0</xdr:rowOff>
    </xdr:from>
    <xdr:ext cx="0" cy="172227"/>
    <xdr:sp macro="" textlink="">
      <xdr:nvSpPr>
        <xdr:cNvPr id="54" name="TextBox 1"/>
        <xdr:cNvSpPr txBox="1"/>
      </xdr:nvSpPr>
      <xdr:spPr>
        <a:xfrm>
          <a:off x="2099310" y="117176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50</xdr:row>
      <xdr:rowOff>0</xdr:rowOff>
    </xdr:from>
    <xdr:ext cx="0" cy="172227"/>
    <xdr:sp macro="" textlink="">
      <xdr:nvSpPr>
        <xdr:cNvPr id="55" name="TextBox 1"/>
        <xdr:cNvSpPr txBox="1"/>
      </xdr:nvSpPr>
      <xdr:spPr>
        <a:xfrm>
          <a:off x="2099310" y="117176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50</xdr:row>
      <xdr:rowOff>0</xdr:rowOff>
    </xdr:from>
    <xdr:ext cx="0" cy="172227"/>
    <xdr:sp macro="" textlink="">
      <xdr:nvSpPr>
        <xdr:cNvPr id="56" name="TextBox 1"/>
        <xdr:cNvSpPr txBox="1"/>
      </xdr:nvSpPr>
      <xdr:spPr>
        <a:xfrm>
          <a:off x="2099310" y="117176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71</xdr:row>
      <xdr:rowOff>128587</xdr:rowOff>
    </xdr:from>
    <xdr:ext cx="0" cy="402732"/>
    <xdr:sp macro="" textlink="">
      <xdr:nvSpPr>
        <xdr:cNvPr id="57" name="TextBox 1"/>
        <xdr:cNvSpPr txBox="1"/>
      </xdr:nvSpPr>
      <xdr:spPr>
        <a:xfrm>
          <a:off x="2099310" y="16656050"/>
          <a:ext cx="0" cy="4025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68</xdr:row>
      <xdr:rowOff>0</xdr:rowOff>
    </xdr:from>
    <xdr:ext cx="0" cy="172227"/>
    <xdr:sp macro="" textlink="">
      <xdr:nvSpPr>
        <xdr:cNvPr id="58" name="TextBox 1"/>
        <xdr:cNvSpPr txBox="1"/>
      </xdr:nvSpPr>
      <xdr:spPr>
        <a:xfrm>
          <a:off x="2099310" y="158134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68</xdr:row>
      <xdr:rowOff>0</xdr:rowOff>
    </xdr:from>
    <xdr:ext cx="0" cy="172227"/>
    <xdr:sp macro="" textlink="">
      <xdr:nvSpPr>
        <xdr:cNvPr id="59" name="TextBox 1"/>
        <xdr:cNvSpPr txBox="1"/>
      </xdr:nvSpPr>
      <xdr:spPr>
        <a:xfrm>
          <a:off x="2099310" y="158134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50</xdr:row>
      <xdr:rowOff>0</xdr:rowOff>
    </xdr:from>
    <xdr:ext cx="0" cy="172227"/>
    <xdr:sp macro="" textlink="">
      <xdr:nvSpPr>
        <xdr:cNvPr id="60" name="TextBox 7"/>
        <xdr:cNvSpPr txBox="1"/>
      </xdr:nvSpPr>
      <xdr:spPr>
        <a:xfrm>
          <a:off x="2099310" y="117176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50</xdr:row>
      <xdr:rowOff>0</xdr:rowOff>
    </xdr:from>
    <xdr:ext cx="0" cy="172227"/>
    <xdr:sp macro="" textlink="">
      <xdr:nvSpPr>
        <xdr:cNvPr id="61" name="TextBox 1"/>
        <xdr:cNvSpPr txBox="1"/>
      </xdr:nvSpPr>
      <xdr:spPr>
        <a:xfrm>
          <a:off x="2099310" y="117176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50</xdr:row>
      <xdr:rowOff>0</xdr:rowOff>
    </xdr:from>
    <xdr:ext cx="0" cy="172227"/>
    <xdr:sp macro="" textlink="">
      <xdr:nvSpPr>
        <xdr:cNvPr id="62" name="TextBox 1"/>
        <xdr:cNvSpPr txBox="1"/>
      </xdr:nvSpPr>
      <xdr:spPr>
        <a:xfrm>
          <a:off x="2099310" y="117176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47</xdr:row>
      <xdr:rowOff>128587</xdr:rowOff>
    </xdr:from>
    <xdr:ext cx="0" cy="181752"/>
    <xdr:sp macro="" textlink="">
      <xdr:nvSpPr>
        <xdr:cNvPr id="63" name="TextBox 10"/>
        <xdr:cNvSpPr txBox="1"/>
      </xdr:nvSpPr>
      <xdr:spPr>
        <a:xfrm>
          <a:off x="2099310" y="11188700"/>
          <a:ext cx="0" cy="18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44</xdr:row>
      <xdr:rowOff>0</xdr:rowOff>
    </xdr:from>
    <xdr:ext cx="0" cy="172227"/>
    <xdr:sp macro="" textlink="">
      <xdr:nvSpPr>
        <xdr:cNvPr id="64" name="TextBox 1"/>
        <xdr:cNvSpPr txBox="1"/>
      </xdr:nvSpPr>
      <xdr:spPr>
        <a:xfrm>
          <a:off x="2099310" y="103460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44</xdr:row>
      <xdr:rowOff>0</xdr:rowOff>
    </xdr:from>
    <xdr:ext cx="0" cy="172227"/>
    <xdr:sp macro="" textlink="">
      <xdr:nvSpPr>
        <xdr:cNvPr id="65" name="TextBox 1"/>
        <xdr:cNvSpPr txBox="1"/>
      </xdr:nvSpPr>
      <xdr:spPr>
        <a:xfrm>
          <a:off x="2099310" y="103460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macro="" textlink="">
      <xdr:nvSpPr>
        <xdr:cNvPr id="66" name="TextBox 13"/>
        <xdr:cNvSpPr txBox="1"/>
      </xdr:nvSpPr>
      <xdr:spPr>
        <a:xfrm>
          <a:off x="2099310" y="62503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macro="" textlink="">
      <xdr:nvSpPr>
        <xdr:cNvPr id="67" name="TextBox 1"/>
        <xdr:cNvSpPr txBox="1"/>
      </xdr:nvSpPr>
      <xdr:spPr>
        <a:xfrm>
          <a:off x="2099310" y="62503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macro="" textlink="">
      <xdr:nvSpPr>
        <xdr:cNvPr id="68" name="TextBox 1"/>
        <xdr:cNvSpPr txBox="1"/>
      </xdr:nvSpPr>
      <xdr:spPr>
        <a:xfrm>
          <a:off x="2099310" y="62503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6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7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7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72"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73" name="TextBox 7"/>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74"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75"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7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7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78"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79" name="TextBox 7"/>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8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8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82"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8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84"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85"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8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8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88"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8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9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91"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92"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9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94"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95"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9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9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98"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9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0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01"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02"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0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04"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05"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0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0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08"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0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1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1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12"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1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14"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15"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1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1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18"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1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2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2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22"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2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24" name="TextBox 7"/>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25"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2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2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28"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29" name="TextBox 7"/>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3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3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32"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3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34"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35"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3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3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38"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39"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4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4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42"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4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44"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45"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46"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4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48"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49"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5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5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52"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53"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54"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55"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56"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5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58"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5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46</xdr:row>
      <xdr:rowOff>128587</xdr:rowOff>
    </xdr:from>
    <xdr:ext cx="0" cy="181752"/>
    <xdr:sp macro="" textlink="">
      <xdr:nvSpPr>
        <xdr:cNvPr id="160" name="TextBox 7"/>
        <xdr:cNvSpPr txBox="1"/>
      </xdr:nvSpPr>
      <xdr:spPr>
        <a:xfrm>
          <a:off x="2099310" y="10950575"/>
          <a:ext cx="0" cy="18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43</xdr:row>
      <xdr:rowOff>0</xdr:rowOff>
    </xdr:from>
    <xdr:ext cx="0" cy="172227"/>
    <xdr:sp macro="" textlink="">
      <xdr:nvSpPr>
        <xdr:cNvPr id="161" name="TextBox 1"/>
        <xdr:cNvSpPr txBox="1"/>
      </xdr:nvSpPr>
      <xdr:spPr>
        <a:xfrm>
          <a:off x="2099310" y="101079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43</xdr:row>
      <xdr:rowOff>0</xdr:rowOff>
    </xdr:from>
    <xdr:ext cx="0" cy="172227"/>
    <xdr:sp macro="" textlink="">
      <xdr:nvSpPr>
        <xdr:cNvPr id="162" name="TextBox 1"/>
        <xdr:cNvSpPr txBox="1"/>
      </xdr:nvSpPr>
      <xdr:spPr>
        <a:xfrm>
          <a:off x="2099310" y="101079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6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45</xdr:row>
      <xdr:rowOff>0</xdr:rowOff>
    </xdr:from>
    <xdr:ext cx="0" cy="172227"/>
    <xdr:sp macro="" textlink="">
      <xdr:nvSpPr>
        <xdr:cNvPr id="164" name="TextBox 1"/>
        <xdr:cNvSpPr txBox="1"/>
      </xdr:nvSpPr>
      <xdr:spPr>
        <a:xfrm>
          <a:off x="2099310" y="105841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45</xdr:row>
      <xdr:rowOff>0</xdr:rowOff>
    </xdr:from>
    <xdr:ext cx="0" cy="172227"/>
    <xdr:sp macro="" textlink="">
      <xdr:nvSpPr>
        <xdr:cNvPr id="165" name="TextBox 1"/>
        <xdr:cNvSpPr txBox="1"/>
      </xdr:nvSpPr>
      <xdr:spPr>
        <a:xfrm>
          <a:off x="2099310" y="105841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macro="" textlink="">
      <xdr:nvSpPr>
        <xdr:cNvPr id="166" name="TextBox 7"/>
        <xdr:cNvSpPr txBox="1"/>
      </xdr:nvSpPr>
      <xdr:spPr>
        <a:xfrm>
          <a:off x="2099310" y="62503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macro="" textlink="">
      <xdr:nvSpPr>
        <xdr:cNvPr id="167" name="TextBox 1"/>
        <xdr:cNvSpPr txBox="1"/>
      </xdr:nvSpPr>
      <xdr:spPr>
        <a:xfrm>
          <a:off x="2099310" y="62503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macro="" textlink="">
      <xdr:nvSpPr>
        <xdr:cNvPr id="168" name="TextBox 1"/>
        <xdr:cNvSpPr txBox="1"/>
      </xdr:nvSpPr>
      <xdr:spPr>
        <a:xfrm>
          <a:off x="2099310" y="62503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69"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7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7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72"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7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74"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75"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7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7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78"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7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8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81"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82"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8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84"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85"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86"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8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88"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89"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9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9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92"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9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94"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95"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9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9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98"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19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0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0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47</xdr:row>
      <xdr:rowOff>128587</xdr:rowOff>
    </xdr:from>
    <xdr:ext cx="0" cy="181752"/>
    <xdr:sp macro="" textlink="">
      <xdr:nvSpPr>
        <xdr:cNvPr id="202" name="TextBox 10"/>
        <xdr:cNvSpPr txBox="1"/>
      </xdr:nvSpPr>
      <xdr:spPr>
        <a:xfrm>
          <a:off x="2099310" y="11188700"/>
          <a:ext cx="0" cy="18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44</xdr:row>
      <xdr:rowOff>0</xdr:rowOff>
    </xdr:from>
    <xdr:ext cx="0" cy="172227"/>
    <xdr:sp macro="" textlink="">
      <xdr:nvSpPr>
        <xdr:cNvPr id="203" name="TextBox 1"/>
        <xdr:cNvSpPr txBox="1"/>
      </xdr:nvSpPr>
      <xdr:spPr>
        <a:xfrm>
          <a:off x="2099310" y="103460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44</xdr:row>
      <xdr:rowOff>0</xdr:rowOff>
    </xdr:from>
    <xdr:ext cx="0" cy="172227"/>
    <xdr:sp macro="" textlink="">
      <xdr:nvSpPr>
        <xdr:cNvPr id="204" name="TextBox 1"/>
        <xdr:cNvSpPr txBox="1"/>
      </xdr:nvSpPr>
      <xdr:spPr>
        <a:xfrm>
          <a:off x="2099310" y="1034605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macro="" textlink="">
      <xdr:nvSpPr>
        <xdr:cNvPr id="205" name="TextBox 13"/>
        <xdr:cNvSpPr txBox="1"/>
      </xdr:nvSpPr>
      <xdr:spPr>
        <a:xfrm>
          <a:off x="2099310" y="62503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macro="" textlink="">
      <xdr:nvSpPr>
        <xdr:cNvPr id="206" name="TextBox 1"/>
        <xdr:cNvSpPr txBox="1"/>
      </xdr:nvSpPr>
      <xdr:spPr>
        <a:xfrm>
          <a:off x="2099310" y="62503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macro="" textlink="">
      <xdr:nvSpPr>
        <xdr:cNvPr id="207" name="TextBox 1"/>
        <xdr:cNvSpPr txBox="1"/>
      </xdr:nvSpPr>
      <xdr:spPr>
        <a:xfrm>
          <a:off x="2099310" y="62503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46</xdr:row>
      <xdr:rowOff>128587</xdr:rowOff>
    </xdr:from>
    <xdr:ext cx="0" cy="181752"/>
    <xdr:sp macro="" textlink="">
      <xdr:nvSpPr>
        <xdr:cNvPr id="208" name="TextBox 7"/>
        <xdr:cNvSpPr txBox="1"/>
      </xdr:nvSpPr>
      <xdr:spPr>
        <a:xfrm>
          <a:off x="2099310" y="10950575"/>
          <a:ext cx="0" cy="18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43</xdr:row>
      <xdr:rowOff>0</xdr:rowOff>
    </xdr:from>
    <xdr:ext cx="0" cy="172227"/>
    <xdr:sp macro="" textlink="">
      <xdr:nvSpPr>
        <xdr:cNvPr id="209" name="TextBox 1"/>
        <xdr:cNvSpPr txBox="1"/>
      </xdr:nvSpPr>
      <xdr:spPr>
        <a:xfrm>
          <a:off x="2099310" y="101079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43</xdr:row>
      <xdr:rowOff>0</xdr:rowOff>
    </xdr:from>
    <xdr:ext cx="0" cy="172227"/>
    <xdr:sp macro="" textlink="">
      <xdr:nvSpPr>
        <xdr:cNvPr id="210" name="TextBox 1"/>
        <xdr:cNvSpPr txBox="1"/>
      </xdr:nvSpPr>
      <xdr:spPr>
        <a:xfrm>
          <a:off x="2099310" y="1010793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1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45</xdr:row>
      <xdr:rowOff>0</xdr:rowOff>
    </xdr:from>
    <xdr:ext cx="0" cy="172227"/>
    <xdr:sp macro="" textlink="">
      <xdr:nvSpPr>
        <xdr:cNvPr id="212" name="TextBox 1"/>
        <xdr:cNvSpPr txBox="1"/>
      </xdr:nvSpPr>
      <xdr:spPr>
        <a:xfrm>
          <a:off x="2099310" y="105841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45</xdr:row>
      <xdr:rowOff>0</xdr:rowOff>
    </xdr:from>
    <xdr:ext cx="0" cy="172227"/>
    <xdr:sp macro="" textlink="">
      <xdr:nvSpPr>
        <xdr:cNvPr id="213" name="TextBox 1"/>
        <xdr:cNvSpPr txBox="1"/>
      </xdr:nvSpPr>
      <xdr:spPr>
        <a:xfrm>
          <a:off x="2099310" y="1058418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macro="" textlink="">
      <xdr:nvSpPr>
        <xdr:cNvPr id="214" name="TextBox 7"/>
        <xdr:cNvSpPr txBox="1"/>
      </xdr:nvSpPr>
      <xdr:spPr>
        <a:xfrm>
          <a:off x="2099310" y="62503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macro="" textlink="">
      <xdr:nvSpPr>
        <xdr:cNvPr id="215" name="TextBox 1"/>
        <xdr:cNvSpPr txBox="1"/>
      </xdr:nvSpPr>
      <xdr:spPr>
        <a:xfrm>
          <a:off x="2099310" y="62503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26</xdr:row>
      <xdr:rowOff>0</xdr:rowOff>
    </xdr:from>
    <xdr:ext cx="0" cy="172227"/>
    <xdr:sp macro="" textlink="">
      <xdr:nvSpPr>
        <xdr:cNvPr id="216" name="TextBox 1"/>
        <xdr:cNvSpPr txBox="1"/>
      </xdr:nvSpPr>
      <xdr:spPr>
        <a:xfrm>
          <a:off x="2099310" y="62503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17"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18"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1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20"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2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22"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2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24"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25"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26"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2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28"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29"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3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3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32"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3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34"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35"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3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37"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38"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3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4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4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42"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43"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44"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45"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46"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4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48"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4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48</xdr:row>
      <xdr:rowOff>128587</xdr:rowOff>
    </xdr:from>
    <xdr:ext cx="0" cy="181752"/>
    <xdr:sp macro="" textlink="">
      <xdr:nvSpPr>
        <xdr:cNvPr id="250" name="TextBox 10"/>
        <xdr:cNvSpPr txBox="1"/>
      </xdr:nvSpPr>
      <xdr:spPr>
        <a:xfrm>
          <a:off x="2099310" y="11426825"/>
          <a:ext cx="0" cy="18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5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52"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5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54"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55"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5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5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58"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5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6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61"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62"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6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64"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65"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6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6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68"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69"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7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7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72"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7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74"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75"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7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7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78"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7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8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81"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82"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8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84"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48</xdr:row>
      <xdr:rowOff>128587</xdr:rowOff>
    </xdr:from>
    <xdr:ext cx="0" cy="181752"/>
    <xdr:sp macro="" textlink="">
      <xdr:nvSpPr>
        <xdr:cNvPr id="285" name="TextBox 10"/>
        <xdr:cNvSpPr txBox="1"/>
      </xdr:nvSpPr>
      <xdr:spPr>
        <a:xfrm>
          <a:off x="2099310" y="11426825"/>
          <a:ext cx="0" cy="18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8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87"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88"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8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90"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9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92"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9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94"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95"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96"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9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98"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299"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0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0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02"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0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04"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05"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0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07"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08"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0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1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1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12"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13"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14"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15"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16"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1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18"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1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2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21"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22"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2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24"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25"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2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2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28"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2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30"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3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32"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33"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34"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35"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3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3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38"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3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4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41"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42"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4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44"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45"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4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47"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48"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4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50"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5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52"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5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54"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55"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5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5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58"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5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6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6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62"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6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64"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65"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6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67"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68"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6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7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71"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72"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7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74"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75"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7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7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78"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79"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80"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81" name="TextBox 10"/>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82"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83"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84" name="TextBox 13"/>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85"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86"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2</xdr:col>
      <xdr:colOff>0</xdr:colOff>
      <xdr:row>49</xdr:row>
      <xdr:rowOff>0</xdr:rowOff>
    </xdr:from>
    <xdr:ext cx="0" cy="172227"/>
    <xdr:sp macro="" textlink="">
      <xdr:nvSpPr>
        <xdr:cNvPr id="387" name="TextBox 1"/>
        <xdr:cNvSpPr txBox="1"/>
      </xdr:nvSpPr>
      <xdr:spPr>
        <a:xfrm>
          <a:off x="2099310" y="1150810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showGridLines="0" tabSelected="1" zoomScale="110" zoomScaleNormal="110" workbookViewId="0">
      <selection activeCell="F9" sqref="F9"/>
    </sheetView>
  </sheetViews>
  <sheetFormatPr defaultColWidth="9" defaultRowHeight="15" x14ac:dyDescent="0.15"/>
  <cols>
    <col min="1" max="1" width="38.375" style="119" customWidth="1"/>
    <col min="2" max="2" width="49" style="119" customWidth="1"/>
    <col min="3" max="16384" width="9" style="120"/>
  </cols>
  <sheetData>
    <row r="1" spans="1:2" ht="38.1" customHeight="1" x14ac:dyDescent="0.15">
      <c r="A1" s="133" t="s">
        <v>0</v>
      </c>
      <c r="B1" s="133"/>
    </row>
    <row r="2" spans="1:2" ht="47.45" customHeight="1" x14ac:dyDescent="0.15">
      <c r="A2" s="121" t="s">
        <v>1</v>
      </c>
      <c r="B2" s="122" t="s">
        <v>2</v>
      </c>
    </row>
    <row r="3" spans="1:2" ht="38.1" customHeight="1" x14ac:dyDescent="0.15">
      <c r="A3" s="121" t="s">
        <v>3</v>
      </c>
      <c r="B3" s="123" t="s">
        <v>4</v>
      </c>
    </row>
    <row r="4" spans="1:2" ht="38.1" customHeight="1" x14ac:dyDescent="0.15">
      <c r="A4" s="121" t="s">
        <v>5</v>
      </c>
      <c r="B4" s="123" t="s">
        <v>6</v>
      </c>
    </row>
    <row r="5" spans="1:2" ht="38.1" customHeight="1" x14ac:dyDescent="0.15">
      <c r="A5" s="121" t="s">
        <v>7</v>
      </c>
      <c r="B5" s="124" t="s">
        <v>8</v>
      </c>
    </row>
    <row r="6" spans="1:2" ht="38.1" customHeight="1" x14ac:dyDescent="0.15">
      <c r="A6" s="121" t="s">
        <v>9</v>
      </c>
      <c r="B6" s="125" t="s">
        <v>10</v>
      </c>
    </row>
    <row r="7" spans="1:2" ht="38.1" customHeight="1" x14ac:dyDescent="0.15">
      <c r="A7" s="121" t="s">
        <v>11</v>
      </c>
      <c r="B7" s="126">
        <v>45902</v>
      </c>
    </row>
    <row r="8" spans="1:2" ht="25.9" customHeight="1" x14ac:dyDescent="0.15">
      <c r="A8" s="121" t="s">
        <v>12</v>
      </c>
      <c r="B8" s="126">
        <v>45904</v>
      </c>
    </row>
    <row r="9" spans="1:2" ht="25.9" customHeight="1" x14ac:dyDescent="0.15">
      <c r="A9" s="121" t="s">
        <v>13</v>
      </c>
      <c r="B9" s="127" t="s">
        <v>14</v>
      </c>
    </row>
    <row r="10" spans="1:2" ht="27.6" customHeight="1" x14ac:dyDescent="0.15">
      <c r="A10" s="121" t="s">
        <v>15</v>
      </c>
      <c r="B10" s="128" t="s">
        <v>10</v>
      </c>
    </row>
    <row r="11" spans="1:2" ht="27" customHeight="1" x14ac:dyDescent="0.15">
      <c r="A11" s="121" t="s">
        <v>16</v>
      </c>
      <c r="B11" s="127" t="s">
        <v>14</v>
      </c>
    </row>
    <row r="12" spans="1:2" ht="45" customHeight="1" x14ac:dyDescent="0.15">
      <c r="A12" s="121" t="s">
        <v>17</v>
      </c>
      <c r="B12" s="129" t="s">
        <v>14</v>
      </c>
    </row>
    <row r="13" spans="1:2" x14ac:dyDescent="0.15">
      <c r="A13" s="130"/>
      <c r="B13" s="130"/>
    </row>
    <row r="14" spans="1:2" x14ac:dyDescent="0.15">
      <c r="A14" s="130"/>
      <c r="B14" s="130"/>
    </row>
    <row r="15" spans="1:2" x14ac:dyDescent="0.15">
      <c r="A15" s="130"/>
      <c r="B15" s="130"/>
    </row>
    <row r="16" spans="1:2" x14ac:dyDescent="0.15">
      <c r="A16" s="130"/>
      <c r="B16" s="130"/>
    </row>
    <row r="17" spans="1:2" x14ac:dyDescent="0.15">
      <c r="A17" s="130"/>
      <c r="B17" s="130"/>
    </row>
    <row r="22" spans="1:2" x14ac:dyDescent="0.15">
      <c r="B22" s="131"/>
    </row>
    <row r="23" spans="1:2" x14ac:dyDescent="0.15">
      <c r="B23" s="131"/>
    </row>
    <row r="24" spans="1:2" x14ac:dyDescent="0.15">
      <c r="B24" s="131"/>
    </row>
    <row r="25" spans="1:2" x14ac:dyDescent="0.15">
      <c r="B25" s="131"/>
    </row>
    <row r="26" spans="1:2" x14ac:dyDescent="0.15">
      <c r="B26" s="131"/>
    </row>
  </sheetData>
  <protectedRanges>
    <protectedRange sqref="B8 B7" name="Sign_1_1_1_1_1_1_2"/>
  </protectedRanges>
  <mergeCells count="1">
    <mergeCell ref="A1:B1"/>
  </mergeCells>
  <phoneticPr fontId="32"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2"/>
  <sheetViews>
    <sheetView showGridLines="0" workbookViewId="0">
      <selection activeCell="E25" sqref="E25"/>
    </sheetView>
  </sheetViews>
  <sheetFormatPr defaultColWidth="9" defaultRowHeight="15" x14ac:dyDescent="0.15"/>
  <cols>
    <col min="1" max="1" width="22.125" style="79" customWidth="1"/>
    <col min="2" max="8" width="13.125" style="79" customWidth="1"/>
    <col min="9" max="9" width="11.25" style="79" customWidth="1"/>
    <col min="10" max="10" width="13.625" style="79" customWidth="1"/>
    <col min="11" max="11" width="10.375" style="79" customWidth="1"/>
    <col min="12" max="16384" width="9" style="79"/>
  </cols>
  <sheetData>
    <row r="1" spans="1:13" ht="20.25" customHeight="1" x14ac:dyDescent="0.15">
      <c r="A1" s="134" t="s">
        <v>18</v>
      </c>
      <c r="B1" s="134"/>
      <c r="C1" s="134"/>
      <c r="D1" s="134"/>
      <c r="E1" s="134"/>
      <c r="F1" s="134"/>
      <c r="G1" s="134"/>
      <c r="H1" s="80"/>
      <c r="I1" s="80"/>
      <c r="J1" s="106"/>
      <c r="L1" s="107"/>
    </row>
    <row r="2" spans="1:13" x14ac:dyDescent="0.15">
      <c r="A2" s="135" t="s">
        <v>19</v>
      </c>
      <c r="B2" s="135"/>
      <c r="C2" s="135"/>
      <c r="D2" s="135"/>
      <c r="E2" s="135"/>
      <c r="F2" s="135"/>
      <c r="G2" s="135"/>
      <c r="H2" s="81"/>
      <c r="I2" s="81"/>
      <c r="J2" s="2"/>
      <c r="L2" s="107"/>
    </row>
    <row r="3" spans="1:13" ht="33.950000000000003" customHeight="1" x14ac:dyDescent="0.15">
      <c r="A3" s="136" t="s">
        <v>20</v>
      </c>
      <c r="B3" s="136"/>
      <c r="C3" s="136"/>
      <c r="D3" s="136"/>
      <c r="E3" s="136"/>
      <c r="F3" s="136"/>
      <c r="G3" s="136"/>
      <c r="H3" s="136"/>
      <c r="I3" s="136"/>
      <c r="J3" s="136"/>
      <c r="K3" s="107"/>
      <c r="L3" s="107"/>
    </row>
    <row r="4" spans="1:13" ht="29.1" customHeight="1" x14ac:dyDescent="0.15">
      <c r="A4" s="139" t="s">
        <v>21</v>
      </c>
      <c r="B4" s="144" t="s">
        <v>22</v>
      </c>
      <c r="C4" s="137" t="s">
        <v>23</v>
      </c>
      <c r="D4" s="137"/>
      <c r="E4" s="137"/>
      <c r="F4" s="137"/>
      <c r="G4" s="137"/>
      <c r="H4" s="137"/>
      <c r="I4" s="146" t="s">
        <v>24</v>
      </c>
      <c r="J4" s="148" t="s">
        <v>25</v>
      </c>
      <c r="K4" s="107"/>
      <c r="L4" s="107"/>
    </row>
    <row r="5" spans="1:13" ht="21" customHeight="1" x14ac:dyDescent="0.15">
      <c r="A5" s="140"/>
      <c r="B5" s="145"/>
      <c r="C5" s="82" t="s">
        <v>26</v>
      </c>
      <c r="D5" s="83" t="s">
        <v>27</v>
      </c>
      <c r="E5" s="83" t="s">
        <v>28</v>
      </c>
      <c r="F5" s="84" t="s">
        <v>29</v>
      </c>
      <c r="G5" s="83" t="s">
        <v>30</v>
      </c>
      <c r="H5" s="84" t="s">
        <v>31</v>
      </c>
      <c r="I5" s="147"/>
      <c r="J5" s="149"/>
      <c r="K5" s="107"/>
      <c r="L5" s="107"/>
    </row>
    <row r="6" spans="1:13" ht="21" customHeight="1" x14ac:dyDescent="0.15">
      <c r="A6" s="141" t="s">
        <v>32</v>
      </c>
      <c r="B6" s="85" t="s">
        <v>33</v>
      </c>
      <c r="C6" s="86">
        <v>100</v>
      </c>
      <c r="D6" s="86">
        <v>107.08245243128999</v>
      </c>
      <c r="E6" s="86">
        <v>101.585623678647</v>
      </c>
      <c r="F6" s="87">
        <v>97.885835095137395</v>
      </c>
      <c r="G6" s="87">
        <v>99.7885835095137</v>
      </c>
      <c r="H6" s="86">
        <v>106.025369978858</v>
      </c>
      <c r="I6" s="108">
        <v>-2.0000000000000001E-4</v>
      </c>
      <c r="J6" s="109" t="s">
        <v>34</v>
      </c>
      <c r="K6" s="107"/>
      <c r="L6" s="107"/>
    </row>
    <row r="7" spans="1:13" ht="21" customHeight="1" x14ac:dyDescent="0.15">
      <c r="A7" s="142"/>
      <c r="B7" s="85" t="s">
        <v>35</v>
      </c>
      <c r="C7" s="86">
        <v>100</v>
      </c>
      <c r="D7" s="87">
        <v>91.8888888888889</v>
      </c>
      <c r="E7" s="87">
        <v>94</v>
      </c>
      <c r="F7" s="87">
        <v>95.2222222222222</v>
      </c>
      <c r="G7" s="87">
        <v>92</v>
      </c>
      <c r="H7" s="87">
        <v>96.6666666666667</v>
      </c>
      <c r="I7" s="110">
        <v>-9.0000000000000002E-6</v>
      </c>
      <c r="J7" s="109" t="s">
        <v>34</v>
      </c>
      <c r="K7" s="107"/>
      <c r="L7" s="107"/>
      <c r="M7" s="107"/>
    </row>
    <row r="8" spans="1:13" ht="21" customHeight="1" x14ac:dyDescent="0.15">
      <c r="A8" s="142"/>
      <c r="B8" s="85" t="s">
        <v>36</v>
      </c>
      <c r="C8" s="86">
        <v>100</v>
      </c>
      <c r="D8" s="86">
        <v>101.76870748299299</v>
      </c>
      <c r="E8" s="86">
        <v>105.034013605442</v>
      </c>
      <c r="F8" s="86">
        <v>104.761904761905</v>
      </c>
      <c r="G8" s="86">
        <v>101.496598639456</v>
      </c>
      <c r="H8" s="86">
        <v>106.258503401361</v>
      </c>
      <c r="I8" s="108">
        <v>-2.9999999999999997E-4</v>
      </c>
      <c r="J8" s="109" t="s">
        <v>34</v>
      </c>
      <c r="K8" s="107"/>
      <c r="L8" s="107"/>
      <c r="M8" s="107"/>
    </row>
    <row r="9" spans="1:13" ht="21" customHeight="1" x14ac:dyDescent="0.15">
      <c r="A9" s="142"/>
      <c r="B9" s="85" t="s">
        <v>37</v>
      </c>
      <c r="C9" s="86">
        <v>100</v>
      </c>
      <c r="D9" s="86">
        <v>102.912621359223</v>
      </c>
      <c r="E9" s="86">
        <v>104.638619201726</v>
      </c>
      <c r="F9" s="86">
        <v>105.60949298813399</v>
      </c>
      <c r="G9" s="87">
        <v>96.871628910463897</v>
      </c>
      <c r="H9" s="86">
        <v>100.86299892125101</v>
      </c>
      <c r="I9" s="110">
        <v>2.0000000000000001E-4</v>
      </c>
      <c r="J9" s="111">
        <f t="shared" ref="J9:J15" si="0">0.693/I9</f>
        <v>3465</v>
      </c>
      <c r="K9" s="107"/>
      <c r="L9" s="107"/>
      <c r="M9" s="107"/>
    </row>
    <row r="10" spans="1:13" ht="21" customHeight="1" x14ac:dyDescent="0.15">
      <c r="A10" s="143"/>
      <c r="B10" s="88" t="s">
        <v>38</v>
      </c>
      <c r="C10" s="86">
        <v>100</v>
      </c>
      <c r="D10" s="86">
        <v>101.744820065431</v>
      </c>
      <c r="E10" s="86">
        <v>105.997818974918</v>
      </c>
      <c r="F10" s="86">
        <v>108.17884405670701</v>
      </c>
      <c r="G10" s="87">
        <v>97.928026172301003</v>
      </c>
      <c r="H10" s="86">
        <v>100</v>
      </c>
      <c r="I10" s="110">
        <v>2.9999999999999997E-4</v>
      </c>
      <c r="J10" s="111">
        <f t="shared" si="0"/>
        <v>2310</v>
      </c>
      <c r="K10" s="107"/>
      <c r="L10" s="107"/>
      <c r="M10" s="107"/>
    </row>
    <row r="11" spans="1:13" ht="21" customHeight="1" x14ac:dyDescent="0.15">
      <c r="A11" s="89" t="s">
        <v>39</v>
      </c>
      <c r="B11" s="90" t="s">
        <v>33</v>
      </c>
      <c r="C11" s="86">
        <v>100</v>
      </c>
      <c r="D11" s="87">
        <v>80.614525139664806</v>
      </c>
      <c r="E11" s="87">
        <v>43.407821229050299</v>
      </c>
      <c r="F11" s="87">
        <v>14.972067039106101</v>
      </c>
      <c r="G11" s="91">
        <v>2.11173184357542</v>
      </c>
      <c r="H11" s="92">
        <v>0.14245810055865901</v>
      </c>
      <c r="I11" s="112">
        <v>6.54E-2</v>
      </c>
      <c r="J11" s="109">
        <f t="shared" si="0"/>
        <v>10.5963302752294</v>
      </c>
      <c r="K11" s="107"/>
      <c r="L11" s="107"/>
      <c r="M11" s="107"/>
    </row>
    <row r="12" spans="1:13" ht="21" customHeight="1" x14ac:dyDescent="0.15">
      <c r="A12" s="89" t="s">
        <v>39</v>
      </c>
      <c r="B12" s="90" t="s">
        <v>35</v>
      </c>
      <c r="C12" s="86">
        <v>100</v>
      </c>
      <c r="D12" s="87">
        <v>84.182464454976298</v>
      </c>
      <c r="E12" s="87">
        <v>61.433649289099499</v>
      </c>
      <c r="F12" s="87">
        <v>35.4265402843602</v>
      </c>
      <c r="G12" s="87">
        <v>15.047393364928899</v>
      </c>
      <c r="H12" s="91">
        <v>3.5130331753554498</v>
      </c>
      <c r="I12" s="113">
        <v>2.7900000000000001E-2</v>
      </c>
      <c r="J12" s="109">
        <f t="shared" si="0"/>
        <v>24.838709677419399</v>
      </c>
      <c r="K12" s="107"/>
      <c r="L12" s="107"/>
      <c r="M12" s="107"/>
    </row>
    <row r="13" spans="1:13" ht="21" customHeight="1" x14ac:dyDescent="0.15">
      <c r="A13" s="89" t="s">
        <v>40</v>
      </c>
      <c r="B13" s="90" t="s">
        <v>36</v>
      </c>
      <c r="C13" s="86">
        <v>100</v>
      </c>
      <c r="D13" s="87">
        <v>81.161137440758296</v>
      </c>
      <c r="E13" s="87">
        <v>46.208530805687197</v>
      </c>
      <c r="F13" s="87">
        <v>19.158767772511901</v>
      </c>
      <c r="G13" s="91">
        <v>2.9739336492891</v>
      </c>
      <c r="H13" s="91">
        <v>0</v>
      </c>
      <c r="I13" s="112">
        <v>5.9200000000000003E-2</v>
      </c>
      <c r="J13" s="109">
        <f t="shared" si="0"/>
        <v>11.7060810810811</v>
      </c>
      <c r="K13" s="107"/>
      <c r="L13" s="107"/>
      <c r="M13" s="107"/>
    </row>
    <row r="14" spans="1:13" ht="21" customHeight="1" x14ac:dyDescent="0.15">
      <c r="A14" s="89" t="s">
        <v>41</v>
      </c>
      <c r="B14" s="90" t="s">
        <v>37</v>
      </c>
      <c r="C14" s="86">
        <v>100</v>
      </c>
      <c r="D14" s="87">
        <v>18.377088305489298</v>
      </c>
      <c r="E14" s="91">
        <v>0</v>
      </c>
      <c r="F14" s="91">
        <v>0</v>
      </c>
      <c r="G14" s="91">
        <v>0</v>
      </c>
      <c r="H14" s="91">
        <v>0</v>
      </c>
      <c r="I14" s="114">
        <v>0.33879999999999999</v>
      </c>
      <c r="J14" s="115">
        <f t="shared" si="0"/>
        <v>2.0454545454545499</v>
      </c>
      <c r="K14" s="107"/>
      <c r="L14" s="107"/>
      <c r="M14" s="107"/>
    </row>
    <row r="15" spans="1:13" ht="21" customHeight="1" x14ac:dyDescent="0.15">
      <c r="A15" s="93" t="s">
        <v>41</v>
      </c>
      <c r="B15" s="94" t="s">
        <v>38</v>
      </c>
      <c r="C15" s="95">
        <v>100</v>
      </c>
      <c r="D15" s="96">
        <v>70.975056689342395</v>
      </c>
      <c r="E15" s="96">
        <v>20.907029478458</v>
      </c>
      <c r="F15" s="97">
        <v>2.76417233560091</v>
      </c>
      <c r="G15" s="97">
        <v>0</v>
      </c>
      <c r="H15" s="97">
        <v>0</v>
      </c>
      <c r="I15" s="116">
        <v>0.1222</v>
      </c>
      <c r="J15" s="117">
        <f t="shared" si="0"/>
        <v>5.6710310965630102</v>
      </c>
      <c r="K15" s="107"/>
      <c r="M15" s="107"/>
    </row>
    <row r="16" spans="1:13" x14ac:dyDescent="0.15">
      <c r="A16" s="138" t="s">
        <v>42</v>
      </c>
      <c r="B16" s="138"/>
      <c r="C16" s="138"/>
      <c r="D16" s="138"/>
      <c r="E16" s="138"/>
      <c r="F16" s="99"/>
      <c r="G16" s="99"/>
      <c r="H16" s="99"/>
      <c r="I16" s="99"/>
      <c r="J16" s="99"/>
      <c r="M16" s="107"/>
    </row>
    <row r="17" spans="1:13" x14ac:dyDescent="0.15">
      <c r="A17" s="98"/>
      <c r="B17" s="98"/>
      <c r="C17" s="98"/>
      <c r="D17" s="98"/>
      <c r="E17" s="98"/>
      <c r="M17" s="107"/>
    </row>
    <row r="18" spans="1:13" x14ac:dyDescent="0.15">
      <c r="F18" s="100"/>
      <c r="G18" s="100"/>
      <c r="H18" s="100"/>
      <c r="I18" s="100"/>
      <c r="J18" s="102"/>
      <c r="M18" s="107"/>
    </row>
    <row r="19" spans="1:13" x14ac:dyDescent="0.15">
      <c r="C19" s="47"/>
      <c r="D19" s="101"/>
      <c r="K19" s="47"/>
    </row>
    <row r="20" spans="1:13" x14ac:dyDescent="0.15">
      <c r="C20" s="47"/>
      <c r="K20" s="101"/>
    </row>
    <row r="21" spans="1:13" x14ac:dyDescent="0.15">
      <c r="B21" s="100"/>
      <c r="C21" s="47"/>
      <c r="E21" s="47"/>
      <c r="F21" s="47"/>
      <c r="G21" s="47"/>
      <c r="H21" s="102"/>
      <c r="I21" s="102"/>
      <c r="K21" s="103"/>
      <c r="L21" s="102"/>
    </row>
    <row r="22" spans="1:13" x14ac:dyDescent="0.15">
      <c r="B22" s="100"/>
      <c r="C22" s="47"/>
      <c r="E22" s="47"/>
      <c r="F22" s="47"/>
      <c r="G22" s="47"/>
      <c r="H22" s="102"/>
      <c r="I22" s="102"/>
      <c r="K22" s="118"/>
      <c r="L22" s="100"/>
    </row>
    <row r="23" spans="1:13" x14ac:dyDescent="0.15">
      <c r="B23" s="100"/>
      <c r="C23" s="47"/>
      <c r="D23" s="101"/>
      <c r="E23" s="103"/>
      <c r="F23" s="100"/>
      <c r="G23" s="100"/>
      <c r="H23" s="104"/>
      <c r="J23" s="104"/>
      <c r="K23" s="104"/>
      <c r="L23" s="105"/>
    </row>
    <row r="24" spans="1:13" x14ac:dyDescent="0.15">
      <c r="B24" s="102"/>
      <c r="C24" s="102"/>
      <c r="D24" s="100"/>
      <c r="E24" s="105"/>
      <c r="F24" s="103"/>
      <c r="J24" s="103"/>
      <c r="K24" s="103"/>
      <c r="L24" s="103"/>
    </row>
    <row r="25" spans="1:13" x14ac:dyDescent="0.15">
      <c r="C25" s="102"/>
      <c r="D25" s="100"/>
      <c r="E25" s="105"/>
      <c r="F25" s="103"/>
    </row>
    <row r="26" spans="1:13" x14ac:dyDescent="0.15">
      <c r="D26" s="104"/>
      <c r="G26" s="104"/>
      <c r="H26" s="104"/>
      <c r="I26" s="104"/>
    </row>
    <row r="28" spans="1:13" x14ac:dyDescent="0.15">
      <c r="D28" s="104"/>
      <c r="F28" s="104"/>
      <c r="G28" s="104"/>
      <c r="H28" s="104"/>
      <c r="I28" s="104"/>
      <c r="J28" s="104"/>
    </row>
    <row r="29" spans="1:13" x14ac:dyDescent="0.15">
      <c r="D29" s="104"/>
    </row>
    <row r="30" spans="1:13" x14ac:dyDescent="0.15">
      <c r="D30" s="104"/>
    </row>
    <row r="31" spans="1:13" x14ac:dyDescent="0.15">
      <c r="D31" s="104"/>
    </row>
    <row r="32" spans="1:13" x14ac:dyDescent="0.15">
      <c r="D32" s="104"/>
    </row>
  </sheetData>
  <mergeCells count="10">
    <mergeCell ref="A1:G1"/>
    <mergeCell ref="A2:G2"/>
    <mergeCell ref="A3:J3"/>
    <mergeCell ref="C4:H4"/>
    <mergeCell ref="A16:E16"/>
    <mergeCell ref="A4:A5"/>
    <mergeCell ref="A6:A10"/>
    <mergeCell ref="B4:B5"/>
    <mergeCell ref="I4:I5"/>
    <mergeCell ref="J4:J5"/>
  </mergeCells>
  <phoneticPr fontId="3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workbookViewId="0">
      <selection activeCell="F24" sqref="F24"/>
    </sheetView>
  </sheetViews>
  <sheetFormatPr defaultColWidth="9" defaultRowHeight="15" x14ac:dyDescent="0.15"/>
  <cols>
    <col min="1" max="2" width="21.125" style="57" customWidth="1"/>
    <col min="3" max="4" width="18.125" style="57" customWidth="1"/>
    <col min="5" max="5" width="23.625" style="57" customWidth="1"/>
    <col min="6" max="6" width="14.25" style="57" customWidth="1"/>
    <col min="7" max="16384" width="9" style="57"/>
  </cols>
  <sheetData>
    <row r="1" spans="1:6" x14ac:dyDescent="0.15">
      <c r="A1" s="150" t="s">
        <v>43</v>
      </c>
      <c r="B1" s="150"/>
      <c r="C1" s="150"/>
      <c r="D1" s="150"/>
      <c r="E1" s="150"/>
      <c r="F1" s="58"/>
    </row>
    <row r="2" spans="1:6" ht="15" customHeight="1" x14ac:dyDescent="0.15">
      <c r="A2" s="151" t="s">
        <v>44</v>
      </c>
      <c r="B2" s="151"/>
      <c r="C2" s="151"/>
      <c r="D2" s="151"/>
      <c r="E2" s="151"/>
      <c r="F2" s="50"/>
    </row>
    <row r="3" spans="1:6" ht="16.5" customHeight="1" x14ac:dyDescent="0.15">
      <c r="A3" s="152" t="s">
        <v>45</v>
      </c>
      <c r="B3" s="152"/>
      <c r="C3" s="152"/>
      <c r="D3" s="152"/>
      <c r="E3" s="152"/>
    </row>
    <row r="4" spans="1:6" x14ac:dyDescent="0.15">
      <c r="A4" s="59" t="s">
        <v>21</v>
      </c>
      <c r="B4" s="60" t="s">
        <v>46</v>
      </c>
      <c r="C4" s="60" t="s">
        <v>47</v>
      </c>
      <c r="D4" s="60" t="s">
        <v>48</v>
      </c>
      <c r="E4" s="61" t="s">
        <v>49</v>
      </c>
    </row>
    <row r="5" spans="1:6" x14ac:dyDescent="0.15">
      <c r="A5" s="62" t="s">
        <v>32</v>
      </c>
      <c r="B5" s="63" t="s">
        <v>50</v>
      </c>
      <c r="C5" s="64">
        <v>603.63</v>
      </c>
      <c r="D5" s="64">
        <v>603.63</v>
      </c>
      <c r="E5" s="65">
        <v>0.9748</v>
      </c>
    </row>
    <row r="6" spans="1:6" x14ac:dyDescent="0.15">
      <c r="A6" s="66"/>
      <c r="B6" s="66"/>
    </row>
    <row r="7" spans="1:6" x14ac:dyDescent="0.15">
      <c r="A7" s="151" t="s">
        <v>51</v>
      </c>
      <c r="B7" s="151"/>
      <c r="C7" s="151"/>
      <c r="D7" s="151"/>
      <c r="E7" s="151"/>
      <c r="F7" s="50"/>
    </row>
    <row r="8" spans="1:6" x14ac:dyDescent="0.15">
      <c r="A8" s="153" t="s">
        <v>52</v>
      </c>
      <c r="B8" s="153"/>
      <c r="C8" s="153"/>
      <c r="D8" s="153"/>
      <c r="E8" s="153"/>
      <c r="F8" s="50"/>
    </row>
    <row r="9" spans="1:6" s="56" customFormat="1" x14ac:dyDescent="0.25">
      <c r="A9" s="67" t="s">
        <v>22</v>
      </c>
      <c r="B9" s="68" t="s">
        <v>53</v>
      </c>
      <c r="C9" s="69" t="s">
        <v>54</v>
      </c>
      <c r="D9" s="70" t="s">
        <v>55</v>
      </c>
    </row>
    <row r="10" spans="1:6" s="56" customFormat="1" x14ac:dyDescent="0.25">
      <c r="A10" s="71" t="s">
        <v>35</v>
      </c>
      <c r="B10" s="72" t="s">
        <v>56</v>
      </c>
      <c r="C10" s="73" t="s">
        <v>57</v>
      </c>
      <c r="D10" s="74" t="s">
        <v>58</v>
      </c>
    </row>
    <row r="11" spans="1:6" s="56" customFormat="1" x14ac:dyDescent="0.25">
      <c r="A11" s="71" t="s">
        <v>36</v>
      </c>
      <c r="B11" s="72" t="s">
        <v>56</v>
      </c>
      <c r="C11" s="73" t="s">
        <v>59</v>
      </c>
      <c r="D11" s="74" t="s">
        <v>58</v>
      </c>
    </row>
    <row r="12" spans="1:6" s="56" customFormat="1" x14ac:dyDescent="0.25">
      <c r="A12" s="71" t="s">
        <v>38</v>
      </c>
      <c r="B12" s="72" t="s">
        <v>60</v>
      </c>
      <c r="C12" s="73" t="s">
        <v>61</v>
      </c>
      <c r="D12" s="74" t="s">
        <v>62</v>
      </c>
    </row>
    <row r="13" spans="1:6" s="56" customFormat="1" x14ac:dyDescent="0.25">
      <c r="A13" s="71" t="s">
        <v>37</v>
      </c>
      <c r="B13" s="72" t="s">
        <v>60</v>
      </c>
      <c r="C13" s="73" t="s">
        <v>63</v>
      </c>
      <c r="D13" s="74" t="s">
        <v>64</v>
      </c>
    </row>
    <row r="14" spans="1:6" s="56" customFormat="1" ht="15.95" customHeight="1" x14ac:dyDescent="0.25">
      <c r="A14" s="75" t="s">
        <v>33</v>
      </c>
      <c r="B14" s="76" t="s">
        <v>65</v>
      </c>
      <c r="C14" s="77" t="s">
        <v>66</v>
      </c>
      <c r="D14" s="78" t="s">
        <v>62</v>
      </c>
    </row>
    <row r="15" spans="1:6" ht="23.45" customHeight="1" x14ac:dyDescent="0.15"/>
  </sheetData>
  <mergeCells count="5">
    <mergeCell ref="A1:E1"/>
    <mergeCell ref="A2:E2"/>
    <mergeCell ref="A3:E3"/>
    <mergeCell ref="A7:E7"/>
    <mergeCell ref="A8:E8"/>
  </mergeCells>
  <phoneticPr fontId="33" type="noConversion"/>
  <conditionalFormatting sqref="A5">
    <cfRule type="duplicateValues" dxfId="0" priority="3"/>
  </conditionalFormatting>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workbookViewId="0">
      <selection activeCell="D25" sqref="D25"/>
    </sheetView>
  </sheetViews>
  <sheetFormatPr defaultColWidth="9" defaultRowHeight="15" x14ac:dyDescent="0.15"/>
  <cols>
    <col min="1" max="3" width="26.125" style="51" customWidth="1"/>
    <col min="4" max="4" width="48" style="51" customWidth="1"/>
    <col min="5" max="5" width="13.625" style="51" customWidth="1"/>
    <col min="6" max="16384" width="9" style="51"/>
  </cols>
  <sheetData>
    <row r="1" spans="1:16" ht="19.5" x14ac:dyDescent="0.15">
      <c r="A1" s="154" t="s">
        <v>67</v>
      </c>
      <c r="B1" s="154"/>
      <c r="C1" s="154"/>
      <c r="D1" s="154"/>
    </row>
    <row r="2" spans="1:16" ht="48" customHeight="1" x14ac:dyDescent="0.15">
      <c r="A2" s="151" t="s">
        <v>68</v>
      </c>
      <c r="B2" s="151"/>
      <c r="C2" s="151"/>
      <c r="D2" s="151"/>
    </row>
    <row r="3" spans="1:16" ht="26.1" customHeight="1" x14ac:dyDescent="0.15">
      <c r="A3" s="52" t="s">
        <v>69</v>
      </c>
      <c r="B3" s="52"/>
      <c r="C3" s="52"/>
      <c r="D3" s="52"/>
    </row>
    <row r="4" spans="1:16" ht="60" customHeight="1" x14ac:dyDescent="0.15">
      <c r="A4" s="151" t="s">
        <v>70</v>
      </c>
      <c r="B4" s="151"/>
      <c r="C4" s="151"/>
      <c r="D4" s="151"/>
    </row>
    <row r="5" spans="1:16" x14ac:dyDescent="0.15">
      <c r="A5" s="151" t="s">
        <v>71</v>
      </c>
      <c r="B5" s="151"/>
      <c r="C5" s="151"/>
      <c r="D5" s="151"/>
    </row>
    <row r="6" spans="1:16" s="48" customFormat="1" ht="15.75" x14ac:dyDescent="0.15">
      <c r="A6" s="53" t="s">
        <v>72</v>
      </c>
      <c r="B6" s="54"/>
      <c r="C6" s="54"/>
      <c r="D6" s="54"/>
      <c r="E6" s="54"/>
      <c r="F6" s="54"/>
      <c r="G6" s="54"/>
      <c r="J6" s="55"/>
      <c r="K6" s="55"/>
      <c r="L6" s="55"/>
      <c r="M6" s="55"/>
      <c r="N6" s="55"/>
      <c r="O6" s="55"/>
      <c r="P6" s="55"/>
    </row>
    <row r="7" spans="1:16" s="48" customFormat="1" ht="15.75" x14ac:dyDescent="0.15">
      <c r="A7" s="53" t="s">
        <v>73</v>
      </c>
      <c r="B7" s="54"/>
      <c r="C7" s="54"/>
      <c r="D7" s="54"/>
      <c r="E7" s="54"/>
      <c r="F7" s="54"/>
      <c r="G7" s="54"/>
      <c r="J7" s="55"/>
      <c r="K7" s="55"/>
      <c r="L7" s="55"/>
      <c r="M7" s="55"/>
      <c r="N7" s="55"/>
      <c r="O7" s="55"/>
      <c r="P7" s="55"/>
    </row>
    <row r="8" spans="1:16" s="49" customFormat="1" ht="15.75" x14ac:dyDescent="0.15">
      <c r="A8" s="53" t="s">
        <v>74</v>
      </c>
      <c r="B8" s="54"/>
      <c r="C8" s="54"/>
      <c r="D8" s="54"/>
      <c r="E8" s="54"/>
      <c r="F8" s="54"/>
      <c r="G8" s="54"/>
      <c r="J8" s="55"/>
      <c r="K8" s="55"/>
      <c r="L8" s="55"/>
      <c r="M8" s="55"/>
      <c r="N8" s="55"/>
      <c r="O8" s="55"/>
      <c r="P8" s="55"/>
    </row>
    <row r="9" spans="1:16" s="49" customFormat="1" ht="15.75" x14ac:dyDescent="0.15">
      <c r="A9" s="53" t="s">
        <v>75</v>
      </c>
      <c r="B9" s="54"/>
      <c r="C9" s="54"/>
      <c r="D9" s="54"/>
      <c r="E9" s="54"/>
      <c r="F9" s="54"/>
      <c r="G9" s="54"/>
      <c r="J9" s="55"/>
      <c r="K9" s="55"/>
      <c r="L9" s="55"/>
      <c r="M9" s="55"/>
      <c r="N9" s="55"/>
      <c r="O9" s="55"/>
      <c r="P9" s="55"/>
    </row>
    <row r="10" spans="1:16" s="49" customFormat="1" ht="15.75" x14ac:dyDescent="0.15">
      <c r="A10" s="151" t="s">
        <v>76</v>
      </c>
      <c r="B10" s="151"/>
      <c r="C10" s="151"/>
      <c r="D10" s="151"/>
      <c r="E10" s="51"/>
      <c r="F10" s="51"/>
      <c r="G10" s="51"/>
      <c r="J10" s="51"/>
      <c r="K10" s="51"/>
      <c r="L10" s="51"/>
      <c r="M10" s="51"/>
      <c r="N10" s="51"/>
      <c r="O10" s="51"/>
      <c r="P10" s="51"/>
    </row>
    <row r="11" spans="1:16" ht="27.95" customHeight="1" x14ac:dyDescent="0.15">
      <c r="A11" s="151" t="s">
        <v>77</v>
      </c>
      <c r="B11" s="151"/>
      <c r="C11" s="151"/>
      <c r="D11" s="151"/>
    </row>
    <row r="12" spans="1:16" ht="19.5" customHeight="1" x14ac:dyDescent="0.15">
      <c r="A12" s="151" t="s">
        <v>78</v>
      </c>
      <c r="B12" s="151"/>
      <c r="C12" s="151"/>
      <c r="D12" s="151"/>
    </row>
    <row r="13" spans="1:16" ht="26.25" customHeight="1" x14ac:dyDescent="0.15">
      <c r="A13" s="155"/>
      <c r="B13" s="155"/>
      <c r="C13" s="155"/>
      <c r="D13" s="155"/>
    </row>
    <row r="14" spans="1:16" ht="14.1" customHeight="1" x14ac:dyDescent="0.15">
      <c r="A14" s="151"/>
      <c r="B14" s="151"/>
      <c r="C14" s="151"/>
      <c r="D14" s="151"/>
    </row>
    <row r="16" spans="1:16" x14ac:dyDescent="0.15">
      <c r="A16" s="151"/>
      <c r="B16" s="151"/>
      <c r="C16" s="151"/>
      <c r="D16" s="151"/>
    </row>
    <row r="19" spans="1:6" ht="15" customHeight="1" x14ac:dyDescent="0.15"/>
    <row r="20" spans="1:6" s="50" customFormat="1" ht="15.75" x14ac:dyDescent="0.15">
      <c r="A20" s="156"/>
      <c r="B20" s="156"/>
      <c r="C20" s="156"/>
      <c r="D20" s="156"/>
      <c r="E20" s="156"/>
      <c r="F20" s="51"/>
    </row>
  </sheetData>
  <mergeCells count="11">
    <mergeCell ref="A20:E20"/>
    <mergeCell ref="A11:D11"/>
    <mergeCell ref="A12:D12"/>
    <mergeCell ref="A13:D13"/>
    <mergeCell ref="A14:D14"/>
    <mergeCell ref="A16:D16"/>
    <mergeCell ref="A1:D1"/>
    <mergeCell ref="A2:D2"/>
    <mergeCell ref="A4:D4"/>
    <mergeCell ref="A5:D5"/>
    <mergeCell ref="A10:D10"/>
  </mergeCells>
  <phoneticPr fontId="33" type="noConversion"/>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3"/>
  <sheetViews>
    <sheetView workbookViewId="0">
      <pane ySplit="3" topLeftCell="A4" activePane="bottomLeft" state="frozen"/>
      <selection pane="bottomLeft" activeCell="E34" sqref="E34"/>
    </sheetView>
  </sheetViews>
  <sheetFormatPr defaultColWidth="9" defaultRowHeight="13.5" x14ac:dyDescent="0.15"/>
  <cols>
    <col min="1" max="1" width="21" customWidth="1"/>
    <col min="2" max="2" width="16" customWidth="1"/>
    <col min="3" max="3" width="11.5" customWidth="1"/>
    <col min="4" max="4" width="14.375" customWidth="1"/>
    <col min="5" max="5" width="13.375" customWidth="1"/>
    <col min="6" max="6" width="12.25" customWidth="1"/>
    <col min="7" max="7" width="13.875" customWidth="1"/>
    <col min="8" max="8" width="13" customWidth="1"/>
    <col min="10" max="18" width="12.625"/>
  </cols>
  <sheetData>
    <row r="1" spans="1:10" ht="21" customHeight="1" x14ac:dyDescent="0.15">
      <c r="A1" s="31" t="s">
        <v>79</v>
      </c>
      <c r="B1" s="32"/>
      <c r="C1" s="32"/>
      <c r="D1" s="32"/>
      <c r="E1" s="32"/>
      <c r="F1" s="33"/>
      <c r="G1" s="33"/>
      <c r="H1" s="34"/>
    </row>
    <row r="2" spans="1:10" x14ac:dyDescent="0.15">
      <c r="A2" s="157" t="s">
        <v>80</v>
      </c>
      <c r="B2" s="162" t="s">
        <v>22</v>
      </c>
      <c r="C2" s="162" t="s">
        <v>81</v>
      </c>
      <c r="D2" s="168" t="s">
        <v>82</v>
      </c>
      <c r="E2" s="168" t="s">
        <v>83</v>
      </c>
      <c r="F2" s="168" t="s">
        <v>84</v>
      </c>
      <c r="G2" s="168" t="s">
        <v>85</v>
      </c>
      <c r="H2" s="170" t="s">
        <v>86</v>
      </c>
    </row>
    <row r="3" spans="1:10" ht="24" customHeight="1" x14ac:dyDescent="0.15">
      <c r="A3" s="158"/>
      <c r="B3" s="163"/>
      <c r="C3" s="163"/>
      <c r="D3" s="169"/>
      <c r="E3" s="169"/>
      <c r="F3" s="169"/>
      <c r="G3" s="169"/>
      <c r="H3" s="171"/>
    </row>
    <row r="4" spans="1:10" ht="15" x14ac:dyDescent="0.15">
      <c r="A4" s="159" t="s">
        <v>32</v>
      </c>
      <c r="B4" s="164" t="s">
        <v>33</v>
      </c>
      <c r="C4" s="35">
        <v>120</v>
      </c>
      <c r="D4" s="36">
        <v>0.50900000000000001</v>
      </c>
      <c r="E4" s="36">
        <v>0.49399999999999999</v>
      </c>
      <c r="F4" s="37">
        <f t="shared" ref="F4:F9" si="0">AVERAGE(D4:E4)</f>
        <v>0.50149999999999995</v>
      </c>
      <c r="G4" s="38">
        <f t="shared" ref="G4:G9" si="1">F4/F$9*100</f>
        <v>106.025369978858</v>
      </c>
      <c r="H4" s="39">
        <f t="shared" ref="H4:H9" si="2">LN(G4)</f>
        <v>4.6636784048981497</v>
      </c>
    </row>
    <row r="5" spans="1:10" ht="15" x14ac:dyDescent="0.15">
      <c r="A5" s="159"/>
      <c r="B5" s="165"/>
      <c r="C5" s="35">
        <v>60</v>
      </c>
      <c r="D5" s="36">
        <v>0.497</v>
      </c>
      <c r="E5" s="36">
        <v>0.44700000000000001</v>
      </c>
      <c r="F5" s="37">
        <f t="shared" si="0"/>
        <v>0.47199999999999998</v>
      </c>
      <c r="G5" s="38">
        <f t="shared" si="1"/>
        <v>99.7885835095137</v>
      </c>
      <c r="H5" s="39">
        <f t="shared" si="2"/>
        <v>4.6030537830817098</v>
      </c>
    </row>
    <row r="6" spans="1:10" ht="15" x14ac:dyDescent="0.15">
      <c r="A6" s="159"/>
      <c r="B6" s="165"/>
      <c r="C6" s="35">
        <v>30</v>
      </c>
      <c r="D6" s="36">
        <v>0.45700000000000002</v>
      </c>
      <c r="E6" s="36">
        <v>0.46899999999999997</v>
      </c>
      <c r="F6" s="37">
        <f t="shared" si="0"/>
        <v>0.46300000000000002</v>
      </c>
      <c r="G6" s="38">
        <f t="shared" si="1"/>
        <v>97.885835095137395</v>
      </c>
      <c r="H6" s="39">
        <f t="shared" si="2"/>
        <v>4.5838018515823897</v>
      </c>
    </row>
    <row r="7" spans="1:10" ht="15" x14ac:dyDescent="0.15">
      <c r="A7" s="159"/>
      <c r="B7" s="165"/>
      <c r="C7" s="35">
        <v>15</v>
      </c>
      <c r="D7" s="36">
        <v>0.47299999999999998</v>
      </c>
      <c r="E7" s="36">
        <v>0.48799999999999999</v>
      </c>
      <c r="F7" s="37">
        <f t="shared" si="0"/>
        <v>0.48049999999999998</v>
      </c>
      <c r="G7" s="38">
        <f t="shared" si="1"/>
        <v>101.585623678647</v>
      </c>
      <c r="H7" s="39">
        <f t="shared" si="2"/>
        <v>4.6209020259065099</v>
      </c>
      <c r="J7" s="47"/>
    </row>
    <row r="8" spans="1:10" ht="15" x14ac:dyDescent="0.15">
      <c r="A8" s="159"/>
      <c r="B8" s="165"/>
      <c r="C8" s="35">
        <v>5</v>
      </c>
      <c r="D8" s="36">
        <v>0.498</v>
      </c>
      <c r="E8" s="36">
        <v>0.51500000000000001</v>
      </c>
      <c r="F8" s="37">
        <f t="shared" si="0"/>
        <v>0.50649999999999995</v>
      </c>
      <c r="G8" s="38">
        <f t="shared" si="1"/>
        <v>107.08245243128999</v>
      </c>
      <c r="H8" s="39">
        <f t="shared" si="2"/>
        <v>4.6735991211848997</v>
      </c>
      <c r="J8" s="47"/>
    </row>
    <row r="9" spans="1:10" ht="15" x14ac:dyDescent="0.15">
      <c r="A9" s="159"/>
      <c r="B9" s="165"/>
      <c r="C9" s="35">
        <v>0</v>
      </c>
      <c r="D9" s="36">
        <v>0.46899999999999997</v>
      </c>
      <c r="E9" s="36">
        <v>0.47699999999999998</v>
      </c>
      <c r="F9" s="37">
        <f t="shared" si="0"/>
        <v>0.47299999999999998</v>
      </c>
      <c r="G9" s="38">
        <f t="shared" si="1"/>
        <v>100</v>
      </c>
      <c r="H9" s="39">
        <f t="shared" si="2"/>
        <v>4.60517018598809</v>
      </c>
    </row>
    <row r="10" spans="1:10" ht="15" x14ac:dyDescent="0.15">
      <c r="A10" s="160" t="s">
        <v>39</v>
      </c>
      <c r="B10" s="165"/>
      <c r="C10" s="35">
        <v>120</v>
      </c>
      <c r="D10" s="36">
        <v>1.44E-2</v>
      </c>
      <c r="E10" s="36">
        <v>1.11E-2</v>
      </c>
      <c r="F10" s="37">
        <f>AVERAGE(D10:E10)</f>
        <v>1.2749999999999999E-2</v>
      </c>
      <c r="G10" s="38">
        <f t="shared" ref="G10:G15" si="3">F10/F$15*100</f>
        <v>0.14245810055865901</v>
      </c>
      <c r="H10" s="40">
        <f>LN(G10)</f>
        <v>-1.9487073536763699</v>
      </c>
    </row>
    <row r="11" spans="1:10" ht="15" x14ac:dyDescent="0.15">
      <c r="A11" s="160"/>
      <c r="B11" s="165"/>
      <c r="C11" s="35">
        <v>60</v>
      </c>
      <c r="D11" s="36">
        <v>0.19700000000000001</v>
      </c>
      <c r="E11" s="36">
        <v>0.18099999999999999</v>
      </c>
      <c r="F11" s="37">
        <f t="shared" ref="F11:F21" si="4">AVERAGE(D11:E11)</f>
        <v>0.189</v>
      </c>
      <c r="G11" s="38">
        <f t="shared" si="3"/>
        <v>2.11173184357542</v>
      </c>
      <c r="H11" s="39">
        <f t="shared" ref="H11:H21" si="5">LN(G11)</f>
        <v>0.74750838977883305</v>
      </c>
      <c r="J11" s="47"/>
    </row>
    <row r="12" spans="1:10" ht="15" x14ac:dyDescent="0.15">
      <c r="A12" s="160"/>
      <c r="B12" s="165"/>
      <c r="C12" s="35">
        <v>30</v>
      </c>
      <c r="D12" s="36">
        <v>1.38</v>
      </c>
      <c r="E12" s="36">
        <v>1.3</v>
      </c>
      <c r="F12" s="37">
        <f t="shared" si="4"/>
        <v>1.34</v>
      </c>
      <c r="G12" s="38">
        <f t="shared" si="3"/>
        <v>14.972067039106101</v>
      </c>
      <c r="H12" s="39">
        <f t="shared" si="5"/>
        <v>2.7061862676641502</v>
      </c>
      <c r="J12" s="47"/>
    </row>
    <row r="13" spans="1:10" ht="15" x14ac:dyDescent="0.15">
      <c r="A13" s="160"/>
      <c r="B13" s="165"/>
      <c r="C13" s="35">
        <v>15</v>
      </c>
      <c r="D13" s="36">
        <v>3.85</v>
      </c>
      <c r="E13" s="36">
        <v>3.92</v>
      </c>
      <c r="F13" s="37">
        <f t="shared" si="4"/>
        <v>3.8849999999999998</v>
      </c>
      <c r="G13" s="38">
        <f t="shared" si="3"/>
        <v>43.407821229050299</v>
      </c>
      <c r="H13" s="39">
        <f t="shared" si="5"/>
        <v>3.7706396375209401</v>
      </c>
    </row>
    <row r="14" spans="1:10" ht="15" x14ac:dyDescent="0.15">
      <c r="A14" s="160"/>
      <c r="B14" s="165"/>
      <c r="C14" s="35">
        <v>5</v>
      </c>
      <c r="D14" s="36">
        <v>7.4</v>
      </c>
      <c r="E14" s="36">
        <v>7.03</v>
      </c>
      <c r="F14" s="37">
        <f t="shared" si="4"/>
        <v>7.2149999999999999</v>
      </c>
      <c r="G14" s="38">
        <f t="shared" si="3"/>
        <v>80.614525139664806</v>
      </c>
      <c r="H14" s="39">
        <f t="shared" si="5"/>
        <v>4.3896788459271603</v>
      </c>
    </row>
    <row r="15" spans="1:10" ht="15" x14ac:dyDescent="0.15">
      <c r="A15" s="160"/>
      <c r="B15" s="166"/>
      <c r="C15" s="35">
        <v>0</v>
      </c>
      <c r="D15" s="36">
        <v>8.94</v>
      </c>
      <c r="E15" s="36">
        <v>8.9600000000000009</v>
      </c>
      <c r="F15" s="37">
        <f t="shared" si="4"/>
        <v>8.9499999999999993</v>
      </c>
      <c r="G15" s="38">
        <f t="shared" si="3"/>
        <v>100</v>
      </c>
      <c r="H15" s="39">
        <f t="shared" si="5"/>
        <v>4.60517018598809</v>
      </c>
    </row>
    <row r="16" spans="1:10" ht="15" x14ac:dyDescent="0.15">
      <c r="A16" s="159" t="s">
        <v>32</v>
      </c>
      <c r="B16" s="164" t="s">
        <v>35</v>
      </c>
      <c r="C16" s="35">
        <v>120</v>
      </c>
      <c r="D16" s="36">
        <v>0.43099999999999999</v>
      </c>
      <c r="E16" s="36">
        <v>0.439</v>
      </c>
      <c r="F16" s="37">
        <f t="shared" si="4"/>
        <v>0.435</v>
      </c>
      <c r="G16" s="38">
        <f t="shared" ref="G16:G21" si="6">F16/F$21*100</f>
        <v>96.6666666666667</v>
      </c>
      <c r="H16" s="41">
        <f t="shared" si="5"/>
        <v>4.5712686343124096</v>
      </c>
    </row>
    <row r="17" spans="1:11" ht="15" x14ac:dyDescent="0.15">
      <c r="A17" s="159"/>
      <c r="B17" s="165"/>
      <c r="C17" s="35">
        <v>60</v>
      </c>
      <c r="D17" s="36">
        <v>0.41799999999999998</v>
      </c>
      <c r="E17" s="36">
        <v>0.41</v>
      </c>
      <c r="F17" s="37">
        <f t="shared" si="4"/>
        <v>0.41399999999999998</v>
      </c>
      <c r="G17" s="38">
        <f t="shared" si="6"/>
        <v>92</v>
      </c>
      <c r="H17" s="39">
        <f t="shared" si="5"/>
        <v>4.5217885770490396</v>
      </c>
    </row>
    <row r="18" spans="1:11" ht="15" x14ac:dyDescent="0.15">
      <c r="A18" s="159"/>
      <c r="B18" s="165"/>
      <c r="C18" s="35">
        <v>30</v>
      </c>
      <c r="D18" s="36">
        <v>0.42899999999999999</v>
      </c>
      <c r="E18" s="36">
        <v>0.42799999999999999</v>
      </c>
      <c r="F18" s="37">
        <f t="shared" si="4"/>
        <v>0.42849999999999999</v>
      </c>
      <c r="G18" s="38">
        <f t="shared" si="6"/>
        <v>95.2222222222222</v>
      </c>
      <c r="H18" s="39">
        <f t="shared" si="5"/>
        <v>4.55621334126156</v>
      </c>
    </row>
    <row r="19" spans="1:11" ht="15" x14ac:dyDescent="0.15">
      <c r="A19" s="159"/>
      <c r="B19" s="165"/>
      <c r="C19" s="35">
        <v>15</v>
      </c>
      <c r="D19" s="36">
        <v>0.42</v>
      </c>
      <c r="E19" s="36">
        <v>0.42599999999999999</v>
      </c>
      <c r="F19" s="37">
        <f t="shared" si="4"/>
        <v>0.42299999999999999</v>
      </c>
      <c r="G19" s="38">
        <f t="shared" si="6"/>
        <v>94</v>
      </c>
      <c r="H19" s="39">
        <f t="shared" si="5"/>
        <v>4.5432947822700003</v>
      </c>
    </row>
    <row r="20" spans="1:11" ht="15" x14ac:dyDescent="0.15">
      <c r="A20" s="159"/>
      <c r="B20" s="165"/>
      <c r="C20" s="35">
        <v>5</v>
      </c>
      <c r="D20" s="36">
        <v>0.40300000000000002</v>
      </c>
      <c r="E20" s="36">
        <v>0.42399999999999999</v>
      </c>
      <c r="F20" s="37">
        <f t="shared" si="4"/>
        <v>0.41349999999999998</v>
      </c>
      <c r="G20" s="38">
        <f t="shared" si="6"/>
        <v>91.8888888888889</v>
      </c>
      <c r="H20" s="39">
        <f t="shared" si="5"/>
        <v>4.5205801176874703</v>
      </c>
    </row>
    <row r="21" spans="1:11" ht="15" x14ac:dyDescent="0.15">
      <c r="A21" s="159"/>
      <c r="B21" s="165"/>
      <c r="C21" s="35">
        <v>0</v>
      </c>
      <c r="D21" s="36">
        <v>0.44800000000000001</v>
      </c>
      <c r="E21" s="36">
        <v>0.45200000000000001</v>
      </c>
      <c r="F21" s="37">
        <f t="shared" si="4"/>
        <v>0.45</v>
      </c>
      <c r="G21" s="38">
        <f t="shared" si="6"/>
        <v>100</v>
      </c>
      <c r="H21" s="39">
        <f t="shared" si="5"/>
        <v>4.60517018598809</v>
      </c>
    </row>
    <row r="22" spans="1:11" ht="15" x14ac:dyDescent="0.15">
      <c r="A22" s="160" t="s">
        <v>39</v>
      </c>
      <c r="B22" s="165"/>
      <c r="C22" s="35">
        <v>120</v>
      </c>
      <c r="D22" s="36">
        <v>0.32</v>
      </c>
      <c r="E22" s="36">
        <v>0.27300000000000002</v>
      </c>
      <c r="F22" s="37">
        <f>AVERAGE(D22:E22)</f>
        <v>0.29649999999999999</v>
      </c>
      <c r="G22" s="38">
        <f t="shared" ref="G22:G27" si="7">F22/F$27*100</f>
        <v>3.5130331753554498</v>
      </c>
      <c r="H22" s="39">
        <f>LN(G22)</f>
        <v>1.25647981683587</v>
      </c>
      <c r="K22" s="29"/>
    </row>
    <row r="23" spans="1:11" ht="15" x14ac:dyDescent="0.15">
      <c r="A23" s="160"/>
      <c r="B23" s="165"/>
      <c r="C23" s="35">
        <v>60</v>
      </c>
      <c r="D23" s="36">
        <v>1.31</v>
      </c>
      <c r="E23" s="36">
        <v>1.23</v>
      </c>
      <c r="F23" s="37">
        <f t="shared" ref="F23:F33" si="8">AVERAGE(D23:E23)</f>
        <v>1.27</v>
      </c>
      <c r="G23" s="38">
        <f t="shared" si="7"/>
        <v>15.047393364928899</v>
      </c>
      <c r="H23" s="39">
        <f>LN(G23)</f>
        <v>2.7112047778507198</v>
      </c>
      <c r="K23" s="29"/>
    </row>
    <row r="24" spans="1:11" ht="15" x14ac:dyDescent="0.15">
      <c r="A24" s="160"/>
      <c r="B24" s="165"/>
      <c r="C24" s="35">
        <v>30</v>
      </c>
      <c r="D24" s="36">
        <v>3.1</v>
      </c>
      <c r="E24" s="36">
        <v>2.88</v>
      </c>
      <c r="F24" s="37">
        <f t="shared" si="8"/>
        <v>2.99</v>
      </c>
      <c r="G24" s="38">
        <f t="shared" si="7"/>
        <v>35.4265402843602</v>
      </c>
      <c r="H24" s="39">
        <f>LN(G24)</f>
        <v>3.5674612647828199</v>
      </c>
      <c r="K24" s="29"/>
    </row>
    <row r="25" spans="1:11" ht="15" x14ac:dyDescent="0.15">
      <c r="A25" s="160"/>
      <c r="B25" s="165"/>
      <c r="C25" s="35">
        <v>15</v>
      </c>
      <c r="D25" s="36">
        <v>5.12</v>
      </c>
      <c r="E25" s="36">
        <v>5.25</v>
      </c>
      <c r="F25" s="37">
        <f t="shared" si="8"/>
        <v>5.1849999999999996</v>
      </c>
      <c r="G25" s="38">
        <f t="shared" si="7"/>
        <v>61.433649289099499</v>
      </c>
      <c r="H25" s="39">
        <f>LN(G25)</f>
        <v>4.11795771906172</v>
      </c>
      <c r="K25" s="29"/>
    </row>
    <row r="26" spans="1:11" ht="15" x14ac:dyDescent="0.15">
      <c r="A26" s="160"/>
      <c r="B26" s="165"/>
      <c r="C26" s="35">
        <v>5</v>
      </c>
      <c r="D26" s="36">
        <v>7.16</v>
      </c>
      <c r="E26" s="36">
        <v>7.05</v>
      </c>
      <c r="F26" s="37">
        <f t="shared" si="8"/>
        <v>7.1050000000000004</v>
      </c>
      <c r="G26" s="38">
        <f t="shared" si="7"/>
        <v>84.182464454976298</v>
      </c>
      <c r="H26" s="39">
        <f t="shared" ref="H26:H33" si="9">LN(G26)</f>
        <v>4.4329866389292896</v>
      </c>
      <c r="K26" s="29"/>
    </row>
    <row r="27" spans="1:11" ht="15" x14ac:dyDescent="0.15">
      <c r="A27" s="160"/>
      <c r="B27" s="166"/>
      <c r="C27" s="35">
        <v>0</v>
      </c>
      <c r="D27" s="36">
        <v>8.1300000000000008</v>
      </c>
      <c r="E27" s="36">
        <v>8.75</v>
      </c>
      <c r="F27" s="37">
        <f t="shared" si="8"/>
        <v>8.44</v>
      </c>
      <c r="G27" s="38">
        <f t="shared" si="7"/>
        <v>100</v>
      </c>
      <c r="H27" s="39">
        <f t="shared" si="9"/>
        <v>4.60517018598809</v>
      </c>
    </row>
    <row r="28" spans="1:11" ht="15" x14ac:dyDescent="0.15">
      <c r="A28" s="159" t="s">
        <v>32</v>
      </c>
      <c r="B28" s="164" t="s">
        <v>36</v>
      </c>
      <c r="C28" s="35">
        <v>120</v>
      </c>
      <c r="D28" s="36">
        <v>0.39</v>
      </c>
      <c r="E28" s="36">
        <v>0.39100000000000001</v>
      </c>
      <c r="F28" s="37">
        <f t="shared" si="8"/>
        <v>0.39050000000000001</v>
      </c>
      <c r="G28" s="38">
        <f t="shared" ref="G28:G33" si="10">F28/F$33*100</f>
        <v>106.258503401361</v>
      </c>
      <c r="H28" s="39">
        <f t="shared" si="9"/>
        <v>4.6658748366149396</v>
      </c>
    </row>
    <row r="29" spans="1:11" ht="15" x14ac:dyDescent="0.15">
      <c r="A29" s="159"/>
      <c r="B29" s="165"/>
      <c r="C29" s="35">
        <v>60</v>
      </c>
      <c r="D29" s="36">
        <v>0.36899999999999999</v>
      </c>
      <c r="E29" s="36">
        <v>0.377</v>
      </c>
      <c r="F29" s="37">
        <f t="shared" si="8"/>
        <v>0.373</v>
      </c>
      <c r="G29" s="38">
        <f t="shared" si="10"/>
        <v>101.496598639456</v>
      </c>
      <c r="H29" s="39">
        <f t="shared" si="9"/>
        <v>4.6200252869790202</v>
      </c>
      <c r="K29" s="29"/>
    </row>
    <row r="30" spans="1:11" ht="15" x14ac:dyDescent="0.15">
      <c r="A30" s="159"/>
      <c r="B30" s="165"/>
      <c r="C30" s="35">
        <v>30</v>
      </c>
      <c r="D30" s="36">
        <v>0.38900000000000001</v>
      </c>
      <c r="E30" s="36">
        <v>0.38100000000000001</v>
      </c>
      <c r="F30" s="37">
        <f t="shared" si="8"/>
        <v>0.38500000000000001</v>
      </c>
      <c r="G30" s="38">
        <f t="shared" si="10"/>
        <v>104.761904761905</v>
      </c>
      <c r="H30" s="39">
        <f t="shared" si="9"/>
        <v>4.65169020162298</v>
      </c>
    </row>
    <row r="31" spans="1:11" ht="15" x14ac:dyDescent="0.15">
      <c r="A31" s="159"/>
      <c r="B31" s="165"/>
      <c r="C31" s="35">
        <v>15</v>
      </c>
      <c r="D31" s="36">
        <v>0.39200000000000002</v>
      </c>
      <c r="E31" s="36">
        <v>0.38</v>
      </c>
      <c r="F31" s="37">
        <f t="shared" si="8"/>
        <v>0.38600000000000001</v>
      </c>
      <c r="G31" s="38">
        <f t="shared" si="10"/>
        <v>105.034013605442</v>
      </c>
      <c r="H31" s="39">
        <f t="shared" si="9"/>
        <v>4.6542842368000299</v>
      </c>
    </row>
    <row r="32" spans="1:11" ht="15" x14ac:dyDescent="0.15">
      <c r="A32" s="159"/>
      <c r="B32" s="165"/>
      <c r="C32" s="35">
        <v>5</v>
      </c>
      <c r="D32" s="36">
        <v>0.36799999999999999</v>
      </c>
      <c r="E32" s="36">
        <v>0.38</v>
      </c>
      <c r="F32" s="37">
        <f t="shared" si="8"/>
        <v>0.374</v>
      </c>
      <c r="G32" s="38">
        <f t="shared" si="10"/>
        <v>101.76870748299299</v>
      </c>
      <c r="H32" s="39">
        <f t="shared" si="9"/>
        <v>4.6227026647497302</v>
      </c>
    </row>
    <row r="33" spans="1:8" ht="15" x14ac:dyDescent="0.15">
      <c r="A33" s="159"/>
      <c r="B33" s="165"/>
      <c r="C33" s="35">
        <v>0</v>
      </c>
      <c r="D33" s="36">
        <v>0.36899999999999999</v>
      </c>
      <c r="E33" s="36">
        <v>0.36599999999999999</v>
      </c>
      <c r="F33" s="37">
        <f t="shared" si="8"/>
        <v>0.36749999999999999</v>
      </c>
      <c r="G33" s="38">
        <f t="shared" si="10"/>
        <v>100</v>
      </c>
      <c r="H33" s="39">
        <f t="shared" si="9"/>
        <v>4.60517018598809</v>
      </c>
    </row>
    <row r="34" spans="1:8" ht="15" x14ac:dyDescent="0.15">
      <c r="A34" s="160" t="s">
        <v>40</v>
      </c>
      <c r="B34" s="165"/>
      <c r="C34" s="35">
        <v>120</v>
      </c>
      <c r="D34" s="36">
        <v>0</v>
      </c>
      <c r="E34" s="36">
        <v>0</v>
      </c>
      <c r="F34" s="37">
        <f>AVERAGE(D34:E34)</f>
        <v>0</v>
      </c>
      <c r="G34" s="38">
        <f t="shared" ref="G34:G39" si="11">F34/F$39*100</f>
        <v>0</v>
      </c>
      <c r="H34" s="39" t="s">
        <v>87</v>
      </c>
    </row>
    <row r="35" spans="1:8" ht="15" x14ac:dyDescent="0.15">
      <c r="A35" s="160"/>
      <c r="B35" s="165"/>
      <c r="C35" s="35">
        <v>60</v>
      </c>
      <c r="D35" s="36">
        <v>0.115</v>
      </c>
      <c r="E35" s="36">
        <v>0.13600000000000001</v>
      </c>
      <c r="F35" s="37">
        <f t="shared" ref="F35:F45" si="12">AVERAGE(D35:E35)</f>
        <v>0.1255</v>
      </c>
      <c r="G35" s="38">
        <f t="shared" si="11"/>
        <v>2.9739336492891</v>
      </c>
      <c r="H35" s="39">
        <f t="shared" ref="H35:H51" si="13">LN(G35)</f>
        <v>1.0898855375298699</v>
      </c>
    </row>
    <row r="36" spans="1:8" ht="15" x14ac:dyDescent="0.15">
      <c r="A36" s="160"/>
      <c r="B36" s="165"/>
      <c r="C36" s="35">
        <v>30</v>
      </c>
      <c r="D36" s="36">
        <v>0.79700000000000004</v>
      </c>
      <c r="E36" s="36">
        <v>0.82</v>
      </c>
      <c r="F36" s="37">
        <f t="shared" si="12"/>
        <v>0.8085</v>
      </c>
      <c r="G36" s="38">
        <f t="shared" si="11"/>
        <v>19.158767772511901</v>
      </c>
      <c r="H36" s="39">
        <f t="shared" si="13"/>
        <v>2.9527604579752</v>
      </c>
    </row>
    <row r="37" spans="1:8" ht="15" x14ac:dyDescent="0.15">
      <c r="A37" s="160"/>
      <c r="B37" s="165"/>
      <c r="C37" s="35">
        <v>15</v>
      </c>
      <c r="D37" s="36">
        <v>1.9</v>
      </c>
      <c r="E37" s="36">
        <v>2</v>
      </c>
      <c r="F37" s="37">
        <f t="shared" si="12"/>
        <v>1.95</v>
      </c>
      <c r="G37" s="38">
        <f t="shared" si="11"/>
        <v>46.208530805687197</v>
      </c>
      <c r="H37" s="39">
        <f t="shared" si="13"/>
        <v>3.8331644305158301</v>
      </c>
    </row>
    <row r="38" spans="1:8" ht="15" x14ac:dyDescent="0.15">
      <c r="A38" s="160"/>
      <c r="B38" s="165"/>
      <c r="C38" s="35">
        <v>5</v>
      </c>
      <c r="D38" s="36">
        <v>3.36</v>
      </c>
      <c r="E38" s="36">
        <v>3.49</v>
      </c>
      <c r="F38" s="37">
        <f t="shared" si="12"/>
        <v>3.4249999999999998</v>
      </c>
      <c r="G38" s="38">
        <f t="shared" si="11"/>
        <v>81.161137440758296</v>
      </c>
      <c r="H38" s="39">
        <f t="shared" si="13"/>
        <v>4.3964365296543599</v>
      </c>
    </row>
    <row r="39" spans="1:8" ht="15" x14ac:dyDescent="0.15">
      <c r="A39" s="160"/>
      <c r="B39" s="166"/>
      <c r="C39" s="35">
        <v>0</v>
      </c>
      <c r="D39" s="36">
        <v>4.18</v>
      </c>
      <c r="E39" s="36">
        <v>4.26</v>
      </c>
      <c r="F39" s="37">
        <f t="shared" si="12"/>
        <v>4.22</v>
      </c>
      <c r="G39" s="38">
        <f t="shared" si="11"/>
        <v>100</v>
      </c>
      <c r="H39" s="39">
        <f t="shared" si="13"/>
        <v>4.60517018598809</v>
      </c>
    </row>
    <row r="40" spans="1:8" ht="15" x14ac:dyDescent="0.15">
      <c r="A40" s="159" t="s">
        <v>32</v>
      </c>
      <c r="B40" s="164" t="s">
        <v>37</v>
      </c>
      <c r="C40" s="35">
        <v>120</v>
      </c>
      <c r="D40" s="36">
        <v>0.46600000000000003</v>
      </c>
      <c r="E40" s="36">
        <v>0.46899999999999997</v>
      </c>
      <c r="F40" s="37">
        <f t="shared" si="12"/>
        <v>0.46750000000000003</v>
      </c>
      <c r="G40" s="38">
        <f t="shared" ref="G40:G45" si="14">F40/F$45*100</f>
        <v>100.86299892125101</v>
      </c>
      <c r="H40" s="39">
        <f t="shared" si="13"/>
        <v>4.6137631497109197</v>
      </c>
    </row>
    <row r="41" spans="1:8" ht="15" x14ac:dyDescent="0.15">
      <c r="A41" s="159"/>
      <c r="B41" s="165"/>
      <c r="C41" s="35">
        <v>60</v>
      </c>
      <c r="D41" s="36">
        <v>0.46200000000000002</v>
      </c>
      <c r="E41" s="36">
        <v>0.436</v>
      </c>
      <c r="F41" s="37">
        <f t="shared" si="12"/>
        <v>0.44900000000000001</v>
      </c>
      <c r="G41" s="38">
        <f t="shared" si="14"/>
        <v>96.871628910463897</v>
      </c>
      <c r="H41" s="39">
        <f t="shared" si="13"/>
        <v>4.5733866887244403</v>
      </c>
    </row>
    <row r="42" spans="1:8" ht="15" x14ac:dyDescent="0.15">
      <c r="A42" s="159"/>
      <c r="B42" s="165"/>
      <c r="C42" s="35">
        <v>30</v>
      </c>
      <c r="D42" s="36">
        <v>0.49299999999999999</v>
      </c>
      <c r="E42" s="36">
        <v>0.48599999999999999</v>
      </c>
      <c r="F42" s="37">
        <f t="shared" si="12"/>
        <v>0.48949999999999999</v>
      </c>
      <c r="G42" s="38">
        <f t="shared" si="14"/>
        <v>105.60949298813399</v>
      </c>
      <c r="H42" s="39">
        <f t="shared" si="13"/>
        <v>4.6597482629527498</v>
      </c>
    </row>
    <row r="43" spans="1:8" ht="15" x14ac:dyDescent="0.15">
      <c r="A43" s="159"/>
      <c r="B43" s="165"/>
      <c r="C43" s="35">
        <v>15</v>
      </c>
      <c r="D43" s="36">
        <v>0.47799999999999998</v>
      </c>
      <c r="E43" s="36">
        <v>0.49199999999999999</v>
      </c>
      <c r="F43" s="37">
        <f t="shared" si="12"/>
        <v>0.48499999999999999</v>
      </c>
      <c r="G43" s="38">
        <f t="shared" si="14"/>
        <v>104.638619201726</v>
      </c>
      <c r="H43" s="39">
        <f t="shared" si="13"/>
        <v>4.6505126919196602</v>
      </c>
    </row>
    <row r="44" spans="1:8" ht="15" x14ac:dyDescent="0.15">
      <c r="A44" s="159"/>
      <c r="B44" s="165"/>
      <c r="C44" s="35">
        <v>5</v>
      </c>
      <c r="D44" s="36">
        <v>0.49</v>
      </c>
      <c r="E44" s="36">
        <v>0.46400000000000002</v>
      </c>
      <c r="F44" s="37">
        <f t="shared" si="12"/>
        <v>0.47699999999999998</v>
      </c>
      <c r="G44" s="38">
        <f t="shared" si="14"/>
        <v>102.912621359223</v>
      </c>
      <c r="H44" s="39">
        <f t="shared" si="13"/>
        <v>4.6338802918705202</v>
      </c>
    </row>
    <row r="45" spans="1:8" ht="15" x14ac:dyDescent="0.15">
      <c r="A45" s="159"/>
      <c r="B45" s="165"/>
      <c r="C45" s="35">
        <v>0</v>
      </c>
      <c r="D45" s="36">
        <v>0.46700000000000003</v>
      </c>
      <c r="E45" s="36">
        <v>0.46</v>
      </c>
      <c r="F45" s="37">
        <f t="shared" si="12"/>
        <v>0.46350000000000002</v>
      </c>
      <c r="G45" s="38">
        <f t="shared" si="14"/>
        <v>100</v>
      </c>
      <c r="H45" s="39">
        <f t="shared" si="13"/>
        <v>4.60517018598809</v>
      </c>
    </row>
    <row r="46" spans="1:8" ht="15" x14ac:dyDescent="0.15">
      <c r="A46" s="160" t="s">
        <v>41</v>
      </c>
      <c r="B46" s="165"/>
      <c r="C46" s="35">
        <v>120</v>
      </c>
      <c r="D46" s="36">
        <v>0</v>
      </c>
      <c r="E46" s="36">
        <v>0</v>
      </c>
      <c r="F46" s="37">
        <f t="shared" ref="F46:F57" si="15">AVERAGE(D46:E46)</f>
        <v>0</v>
      </c>
      <c r="G46" s="38">
        <f t="shared" ref="G46:G51" si="16">F46/F$51*100</f>
        <v>0</v>
      </c>
      <c r="H46" s="39" t="s">
        <v>87</v>
      </c>
    </row>
    <row r="47" spans="1:8" ht="15" x14ac:dyDescent="0.15">
      <c r="A47" s="160"/>
      <c r="B47" s="165"/>
      <c r="C47" s="35">
        <v>60</v>
      </c>
      <c r="D47" s="36">
        <v>0</v>
      </c>
      <c r="E47" s="36">
        <v>0</v>
      </c>
      <c r="F47" s="37">
        <f t="shared" si="15"/>
        <v>0</v>
      </c>
      <c r="G47" s="38">
        <f t="shared" si="16"/>
        <v>0</v>
      </c>
      <c r="H47" s="39" t="s">
        <v>87</v>
      </c>
    </row>
    <row r="48" spans="1:8" ht="15" x14ac:dyDescent="0.15">
      <c r="A48" s="160"/>
      <c r="B48" s="165"/>
      <c r="C48" s="35">
        <v>30</v>
      </c>
      <c r="D48" s="36">
        <v>0</v>
      </c>
      <c r="E48" s="36">
        <v>0</v>
      </c>
      <c r="F48" s="37">
        <f t="shared" si="15"/>
        <v>0</v>
      </c>
      <c r="G48" s="38">
        <f t="shared" si="16"/>
        <v>0</v>
      </c>
      <c r="H48" s="39" t="s">
        <v>87</v>
      </c>
    </row>
    <row r="49" spans="1:8" ht="15" x14ac:dyDescent="0.15">
      <c r="A49" s="160"/>
      <c r="B49" s="165"/>
      <c r="C49" s="35">
        <v>15</v>
      </c>
      <c r="D49" s="36">
        <v>0</v>
      </c>
      <c r="E49" s="36">
        <v>0</v>
      </c>
      <c r="F49" s="37">
        <f t="shared" si="15"/>
        <v>0</v>
      </c>
      <c r="G49" s="38">
        <f t="shared" si="16"/>
        <v>0</v>
      </c>
      <c r="H49" s="39" t="s">
        <v>87</v>
      </c>
    </row>
    <row r="50" spans="1:8" ht="15" x14ac:dyDescent="0.15">
      <c r="A50" s="160"/>
      <c r="B50" s="165"/>
      <c r="C50" s="35">
        <v>5</v>
      </c>
      <c r="D50" s="36">
        <v>0.38900000000000001</v>
      </c>
      <c r="E50" s="36">
        <v>0.38100000000000001</v>
      </c>
      <c r="F50" s="37">
        <f t="shared" si="15"/>
        <v>0.38500000000000001</v>
      </c>
      <c r="G50" s="38">
        <f t="shared" si="16"/>
        <v>18.377088305489298</v>
      </c>
      <c r="H50" s="39">
        <f t="shared" si="13"/>
        <v>2.9111046879196398</v>
      </c>
    </row>
    <row r="51" spans="1:8" ht="15" x14ac:dyDescent="0.15">
      <c r="A51" s="160"/>
      <c r="B51" s="166"/>
      <c r="C51" s="35">
        <v>0</v>
      </c>
      <c r="D51" s="36">
        <v>2.0699999999999998</v>
      </c>
      <c r="E51" s="36">
        <v>2.12</v>
      </c>
      <c r="F51" s="37">
        <f t="shared" si="15"/>
        <v>2.0950000000000002</v>
      </c>
      <c r="G51" s="38">
        <f t="shared" si="16"/>
        <v>100</v>
      </c>
      <c r="H51" s="39">
        <f t="shared" si="13"/>
        <v>4.60517018598809</v>
      </c>
    </row>
    <row r="52" spans="1:8" ht="15" x14ac:dyDescent="0.15">
      <c r="A52" s="159" t="s">
        <v>32</v>
      </c>
      <c r="B52" s="164" t="s">
        <v>38</v>
      </c>
      <c r="C52" s="35">
        <v>120</v>
      </c>
      <c r="D52" s="36">
        <v>0.46400000000000002</v>
      </c>
      <c r="E52" s="36">
        <v>0.45300000000000001</v>
      </c>
      <c r="F52" s="37">
        <f t="shared" si="15"/>
        <v>0.45850000000000002</v>
      </c>
      <c r="G52" s="38">
        <f t="shared" ref="G52:G57" si="17">F52/F$57*100</f>
        <v>100</v>
      </c>
      <c r="H52" s="39">
        <f t="shared" ref="H52:H57" si="18">LN(G52)</f>
        <v>4.60517018598809</v>
      </c>
    </row>
    <row r="53" spans="1:8" ht="15" x14ac:dyDescent="0.15">
      <c r="A53" s="159"/>
      <c r="B53" s="165"/>
      <c r="C53" s="35">
        <v>60</v>
      </c>
      <c r="D53" s="36">
        <v>0.41799999999999998</v>
      </c>
      <c r="E53" s="36">
        <v>0.48</v>
      </c>
      <c r="F53" s="37">
        <f t="shared" si="15"/>
        <v>0.44900000000000001</v>
      </c>
      <c r="G53" s="38">
        <f t="shared" si="17"/>
        <v>97.928026172301003</v>
      </c>
      <c r="H53" s="39">
        <f t="shared" si="18"/>
        <v>4.5842327820338298</v>
      </c>
    </row>
    <row r="54" spans="1:8" ht="15" x14ac:dyDescent="0.15">
      <c r="A54" s="159"/>
      <c r="B54" s="165"/>
      <c r="C54" s="35">
        <v>30</v>
      </c>
      <c r="D54" s="36">
        <v>0.48499999999999999</v>
      </c>
      <c r="E54" s="36">
        <v>0.50700000000000001</v>
      </c>
      <c r="F54" s="37">
        <f t="shared" si="15"/>
        <v>0.496</v>
      </c>
      <c r="G54" s="38">
        <f t="shared" si="17"/>
        <v>108.17884405670701</v>
      </c>
      <c r="H54" s="39">
        <f t="shared" si="18"/>
        <v>4.6837858210165004</v>
      </c>
    </row>
    <row r="55" spans="1:8" ht="15" x14ac:dyDescent="0.15">
      <c r="A55" s="159"/>
      <c r="B55" s="165"/>
      <c r="C55" s="35">
        <v>15</v>
      </c>
      <c r="D55" s="36">
        <v>0.48599999999999999</v>
      </c>
      <c r="E55" s="36">
        <v>0.48599999999999999</v>
      </c>
      <c r="F55" s="37">
        <f t="shared" si="15"/>
        <v>0.48599999999999999</v>
      </c>
      <c r="G55" s="38">
        <f t="shared" si="17"/>
        <v>105.997818974918</v>
      </c>
      <c r="H55" s="39">
        <f t="shared" si="18"/>
        <v>4.6634185181920698</v>
      </c>
    </row>
    <row r="56" spans="1:8" ht="15" x14ac:dyDescent="0.15">
      <c r="A56" s="159"/>
      <c r="B56" s="165"/>
      <c r="C56" s="35">
        <v>5</v>
      </c>
      <c r="D56" s="36">
        <v>0.44400000000000001</v>
      </c>
      <c r="E56" s="36">
        <v>0.48899999999999999</v>
      </c>
      <c r="F56" s="37">
        <f t="shared" si="15"/>
        <v>0.46650000000000003</v>
      </c>
      <c r="G56" s="38">
        <f t="shared" si="17"/>
        <v>101.744820065431</v>
      </c>
      <c r="H56" s="39">
        <f t="shared" si="18"/>
        <v>4.6224679145789702</v>
      </c>
    </row>
    <row r="57" spans="1:8" ht="15" x14ac:dyDescent="0.15">
      <c r="A57" s="159"/>
      <c r="B57" s="165"/>
      <c r="C57" s="35">
        <v>0</v>
      </c>
      <c r="D57" s="36">
        <v>0.45200000000000001</v>
      </c>
      <c r="E57" s="36">
        <v>0.46500000000000002</v>
      </c>
      <c r="F57" s="37">
        <f t="shared" si="15"/>
        <v>0.45850000000000002</v>
      </c>
      <c r="G57" s="38">
        <f t="shared" si="17"/>
        <v>100</v>
      </c>
      <c r="H57" s="39">
        <f t="shared" si="18"/>
        <v>4.60517018598809</v>
      </c>
    </row>
    <row r="58" spans="1:8" ht="15" x14ac:dyDescent="0.15">
      <c r="A58" s="160" t="s">
        <v>41</v>
      </c>
      <c r="B58" s="165"/>
      <c r="C58" s="35">
        <v>120</v>
      </c>
      <c r="D58" s="36">
        <v>0</v>
      </c>
      <c r="E58" s="36">
        <v>0</v>
      </c>
      <c r="F58" s="37">
        <f t="shared" ref="F58:F63" si="19">AVERAGE(D58:E58)</f>
        <v>0</v>
      </c>
      <c r="G58" s="38">
        <f>F58/F$63*100</f>
        <v>0</v>
      </c>
      <c r="H58" s="39" t="s">
        <v>87</v>
      </c>
    </row>
    <row r="59" spans="1:8" ht="15" x14ac:dyDescent="0.15">
      <c r="A59" s="160"/>
      <c r="B59" s="165"/>
      <c r="C59" s="35">
        <v>60</v>
      </c>
      <c r="D59" s="36">
        <v>0</v>
      </c>
      <c r="E59" s="36">
        <v>0</v>
      </c>
      <c r="F59" s="37">
        <f t="shared" si="19"/>
        <v>0</v>
      </c>
      <c r="G59" s="38">
        <f>F59/F$63*100</f>
        <v>0</v>
      </c>
      <c r="H59" s="39" t="s">
        <v>87</v>
      </c>
    </row>
    <row r="60" spans="1:8" ht="15" x14ac:dyDescent="0.15">
      <c r="A60" s="160"/>
      <c r="B60" s="165"/>
      <c r="C60" s="35">
        <v>30</v>
      </c>
      <c r="D60" s="36">
        <v>5.8500000000000003E-2</v>
      </c>
      <c r="E60" s="36">
        <v>6.3399999999999998E-2</v>
      </c>
      <c r="F60" s="37">
        <f t="shared" si="19"/>
        <v>6.0949999999999997E-2</v>
      </c>
      <c r="G60" s="38">
        <f t="shared" ref="G60:G63" si="20">F60/F$63*100</f>
        <v>2.76417233560091</v>
      </c>
      <c r="H60" s="39">
        <f>LN(G60)</f>
        <v>1.0167412540344301</v>
      </c>
    </row>
    <row r="61" spans="1:8" ht="15" x14ac:dyDescent="0.15">
      <c r="A61" s="160"/>
      <c r="B61" s="165"/>
      <c r="C61" s="35">
        <v>15</v>
      </c>
      <c r="D61" s="36">
        <v>0.48199999999999998</v>
      </c>
      <c r="E61" s="36">
        <v>0.44</v>
      </c>
      <c r="F61" s="37">
        <f t="shared" si="19"/>
        <v>0.46100000000000002</v>
      </c>
      <c r="G61" s="38">
        <f t="shared" si="20"/>
        <v>20.907029478458</v>
      </c>
      <c r="H61" s="39">
        <f>LN(G61)</f>
        <v>3.0400854411037899</v>
      </c>
    </row>
    <row r="62" spans="1:8" ht="15" x14ac:dyDescent="0.15">
      <c r="A62" s="160"/>
      <c r="B62" s="165"/>
      <c r="C62" s="35">
        <v>5</v>
      </c>
      <c r="D62" s="36">
        <v>1.59</v>
      </c>
      <c r="E62" s="36">
        <v>1.54</v>
      </c>
      <c r="F62" s="37">
        <f t="shared" si="19"/>
        <v>1.5649999999999999</v>
      </c>
      <c r="G62" s="38">
        <f t="shared" si="20"/>
        <v>70.975056689342395</v>
      </c>
      <c r="H62" s="39">
        <f>LN(G62)</f>
        <v>4.2623285010813996</v>
      </c>
    </row>
    <row r="63" spans="1:8" ht="15" x14ac:dyDescent="0.15">
      <c r="A63" s="161"/>
      <c r="B63" s="167"/>
      <c r="C63" s="42">
        <v>0</v>
      </c>
      <c r="D63" s="43">
        <v>2.2400000000000002</v>
      </c>
      <c r="E63" s="43">
        <v>2.17</v>
      </c>
      <c r="F63" s="44">
        <f t="shared" si="19"/>
        <v>2.2050000000000001</v>
      </c>
      <c r="G63" s="45">
        <f t="shared" si="20"/>
        <v>100</v>
      </c>
      <c r="H63" s="46">
        <f>LN(G63)</f>
        <v>4.60517018598809</v>
      </c>
    </row>
  </sheetData>
  <mergeCells count="23">
    <mergeCell ref="H2:H3"/>
    <mergeCell ref="C2:C3"/>
    <mergeCell ref="D2:D3"/>
    <mergeCell ref="E2:E3"/>
    <mergeCell ref="F2:F3"/>
    <mergeCell ref="G2:G3"/>
    <mergeCell ref="A58:A63"/>
    <mergeCell ref="B2:B3"/>
    <mergeCell ref="B4:B15"/>
    <mergeCell ref="B16:B27"/>
    <mergeCell ref="B28:B39"/>
    <mergeCell ref="B40:B51"/>
    <mergeCell ref="B52:B63"/>
    <mergeCell ref="A28:A33"/>
    <mergeCell ref="A34:A39"/>
    <mergeCell ref="A40:A45"/>
    <mergeCell ref="A46:A51"/>
    <mergeCell ref="A52:A57"/>
    <mergeCell ref="A2:A3"/>
    <mergeCell ref="A4:A9"/>
    <mergeCell ref="A10:A15"/>
    <mergeCell ref="A16:A21"/>
    <mergeCell ref="A22:A27"/>
  </mergeCells>
  <phoneticPr fontId="33" type="noConversion"/>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3"/>
  <sheetViews>
    <sheetView topLeftCell="A94" workbookViewId="0">
      <selection activeCell="J139" sqref="J139"/>
    </sheetView>
  </sheetViews>
  <sheetFormatPr defaultColWidth="9" defaultRowHeight="15" x14ac:dyDescent="0.15"/>
  <cols>
    <col min="1" max="1" width="18.375" style="25" customWidth="1"/>
    <col min="2" max="7" width="9" style="25"/>
    <col min="8" max="8" width="9" style="26"/>
    <col min="9" max="11" width="9" style="25"/>
    <col min="12" max="12" width="9" style="26"/>
    <col min="13" max="16384" width="9" style="25"/>
  </cols>
  <sheetData>
    <row r="1" spans="1:14" x14ac:dyDescent="0.15">
      <c r="A1" s="27" t="s">
        <v>88</v>
      </c>
    </row>
    <row r="2" spans="1:14" x14ac:dyDescent="0.15">
      <c r="A2" s="27" t="s">
        <v>89</v>
      </c>
    </row>
    <row r="3" spans="1:14" x14ac:dyDescent="0.15">
      <c r="A3" s="27" t="s">
        <v>90</v>
      </c>
    </row>
    <row r="5" spans="1:14" x14ac:dyDescent="0.15">
      <c r="A5" s="27" t="s">
        <v>91</v>
      </c>
    </row>
    <row r="6" spans="1:14" x14ac:dyDescent="0.15">
      <c r="A6" s="27" t="s">
        <v>92</v>
      </c>
    </row>
    <row r="7" spans="1:14" x14ac:dyDescent="0.15">
      <c r="A7" s="27" t="s">
        <v>93</v>
      </c>
    </row>
    <row r="9" spans="1:14" x14ac:dyDescent="0.15">
      <c r="A9" s="27" t="s">
        <v>94</v>
      </c>
      <c r="B9" s="27" t="s">
        <v>95</v>
      </c>
      <c r="C9" s="27" t="s">
        <v>96</v>
      </c>
      <c r="D9" s="27" t="s">
        <v>97</v>
      </c>
      <c r="E9" s="27" t="s">
        <v>98</v>
      </c>
      <c r="F9" s="27" t="s">
        <v>99</v>
      </c>
    </row>
    <row r="10" spans="1:14" x14ac:dyDescent="0.15">
      <c r="A10" s="27" t="s">
        <v>100</v>
      </c>
      <c r="B10" s="27" t="s">
        <v>101</v>
      </c>
    </row>
    <row r="11" spans="1:14" x14ac:dyDescent="0.15">
      <c r="A11" s="27" t="s">
        <v>102</v>
      </c>
    </row>
    <row r="15" spans="1:14" x14ac:dyDescent="0.15">
      <c r="A15" s="27" t="s">
        <v>103</v>
      </c>
      <c r="B15" s="27" t="s">
        <v>104</v>
      </c>
      <c r="C15" s="27" t="s">
        <v>105</v>
      </c>
      <c r="D15" s="27" t="s">
        <v>106</v>
      </c>
      <c r="E15" s="27" t="s">
        <v>107</v>
      </c>
      <c r="F15" s="27" t="s">
        <v>108</v>
      </c>
      <c r="G15" s="27" t="s">
        <v>109</v>
      </c>
      <c r="H15" s="28" t="s">
        <v>110</v>
      </c>
      <c r="I15" s="27" t="s">
        <v>111</v>
      </c>
      <c r="J15" s="27" t="s">
        <v>112</v>
      </c>
      <c r="K15" s="27" t="s">
        <v>113</v>
      </c>
      <c r="L15" s="28" t="s">
        <v>114</v>
      </c>
      <c r="M15" s="27" t="s">
        <v>115</v>
      </c>
      <c r="N15" s="27" t="s">
        <v>116</v>
      </c>
    </row>
    <row r="16" spans="1:14" x14ac:dyDescent="0.15">
      <c r="A16" s="27" t="s">
        <v>117</v>
      </c>
      <c r="B16" s="27" t="s">
        <v>118</v>
      </c>
      <c r="D16" s="27" t="s">
        <v>119</v>
      </c>
      <c r="E16" s="27" t="s">
        <v>32</v>
      </c>
      <c r="F16" s="132" t="s">
        <v>120</v>
      </c>
      <c r="G16" s="132" t="s">
        <v>120</v>
      </c>
      <c r="H16" s="26">
        <v>0</v>
      </c>
      <c r="I16" s="27" t="s">
        <v>121</v>
      </c>
      <c r="J16" s="132" t="s">
        <v>122</v>
      </c>
      <c r="K16" s="132" t="s">
        <v>123</v>
      </c>
      <c r="L16" s="26">
        <v>0.68100000000000005</v>
      </c>
      <c r="M16" s="132" t="s">
        <v>120</v>
      </c>
      <c r="N16" s="25">
        <v>0</v>
      </c>
    </row>
    <row r="17" spans="1:14" x14ac:dyDescent="0.15">
      <c r="A17" s="27" t="s">
        <v>117</v>
      </c>
      <c r="B17" s="27" t="s">
        <v>118</v>
      </c>
      <c r="D17" s="27" t="s">
        <v>119</v>
      </c>
      <c r="E17" s="27" t="s">
        <v>32</v>
      </c>
      <c r="F17" s="132" t="s">
        <v>120</v>
      </c>
      <c r="G17" s="132" t="s">
        <v>120</v>
      </c>
      <c r="H17" s="26">
        <v>0</v>
      </c>
      <c r="I17" s="27" t="s">
        <v>121</v>
      </c>
      <c r="J17" s="132" t="s">
        <v>124</v>
      </c>
      <c r="K17" s="132" t="s">
        <v>125</v>
      </c>
      <c r="L17" s="26">
        <v>0.69799999999999995</v>
      </c>
      <c r="M17" s="132" t="s">
        <v>120</v>
      </c>
      <c r="N17" s="25">
        <v>0</v>
      </c>
    </row>
    <row r="18" spans="1:14" x14ac:dyDescent="0.15">
      <c r="A18" s="27" t="s">
        <v>126</v>
      </c>
      <c r="B18" s="27" t="s">
        <v>127</v>
      </c>
      <c r="D18" s="27" t="s">
        <v>119</v>
      </c>
      <c r="E18" s="27" t="s">
        <v>32</v>
      </c>
      <c r="F18" s="132" t="s">
        <v>128</v>
      </c>
      <c r="G18" s="132" t="s">
        <v>129</v>
      </c>
      <c r="H18" s="26">
        <v>0.83</v>
      </c>
      <c r="I18" s="27" t="s">
        <v>121</v>
      </c>
      <c r="J18" s="132" t="s">
        <v>130</v>
      </c>
      <c r="K18" s="132" t="s">
        <v>131</v>
      </c>
      <c r="L18" s="26">
        <v>0.71199999999999997</v>
      </c>
      <c r="M18" s="132" t="s">
        <v>132</v>
      </c>
      <c r="N18" s="25">
        <v>0</v>
      </c>
    </row>
    <row r="19" spans="1:14" x14ac:dyDescent="0.15">
      <c r="A19" s="27" t="s">
        <v>126</v>
      </c>
      <c r="B19" s="27" t="s">
        <v>127</v>
      </c>
      <c r="D19" s="27" t="s">
        <v>119</v>
      </c>
      <c r="E19" s="27" t="s">
        <v>32</v>
      </c>
      <c r="F19" s="132" t="s">
        <v>133</v>
      </c>
      <c r="G19" s="132" t="s">
        <v>134</v>
      </c>
      <c r="H19" s="26">
        <v>0.81</v>
      </c>
      <c r="I19" s="27" t="s">
        <v>121</v>
      </c>
      <c r="J19" s="132" t="s">
        <v>135</v>
      </c>
      <c r="K19" s="132" t="s">
        <v>136</v>
      </c>
      <c r="L19" s="26">
        <v>0.69599999999999995</v>
      </c>
      <c r="M19" s="132" t="s">
        <v>137</v>
      </c>
      <c r="N19" s="25">
        <v>0</v>
      </c>
    </row>
    <row r="20" spans="1:14" x14ac:dyDescent="0.15">
      <c r="A20" s="27" t="s">
        <v>138</v>
      </c>
      <c r="B20" s="27" t="s">
        <v>127</v>
      </c>
      <c r="D20" s="27" t="s">
        <v>119</v>
      </c>
      <c r="E20" s="27" t="s">
        <v>32</v>
      </c>
      <c r="F20" s="132" t="s">
        <v>139</v>
      </c>
      <c r="G20" s="132" t="s">
        <v>140</v>
      </c>
      <c r="H20" s="26">
        <v>0.82499999999999996</v>
      </c>
      <c r="I20" s="27" t="s">
        <v>121</v>
      </c>
      <c r="J20" s="132" t="s">
        <v>141</v>
      </c>
      <c r="K20" s="132" t="s">
        <v>142</v>
      </c>
      <c r="L20" s="26">
        <v>0.70399999999999996</v>
      </c>
      <c r="M20" s="132" t="s">
        <v>143</v>
      </c>
      <c r="N20" s="25">
        <v>0</v>
      </c>
    </row>
    <row r="21" spans="1:14" x14ac:dyDescent="0.15">
      <c r="A21" s="27" t="s">
        <v>138</v>
      </c>
      <c r="B21" s="27" t="s">
        <v>127</v>
      </c>
      <c r="D21" s="27" t="s">
        <v>119</v>
      </c>
      <c r="E21" s="27" t="s">
        <v>32</v>
      </c>
      <c r="F21" s="132" t="s">
        <v>144</v>
      </c>
      <c r="G21" s="132" t="s">
        <v>145</v>
      </c>
      <c r="H21" s="26">
        <v>0.81799999999999995</v>
      </c>
      <c r="I21" s="27" t="s">
        <v>121</v>
      </c>
      <c r="J21" s="132" t="s">
        <v>146</v>
      </c>
      <c r="K21" s="132" t="s">
        <v>147</v>
      </c>
      <c r="L21" s="26">
        <v>0.70299999999999996</v>
      </c>
      <c r="M21" s="132" t="s">
        <v>148</v>
      </c>
      <c r="N21" s="25">
        <v>0</v>
      </c>
    </row>
    <row r="22" spans="1:14" x14ac:dyDescent="0.15">
      <c r="A22" s="27" t="s">
        <v>149</v>
      </c>
      <c r="B22" s="27" t="s">
        <v>127</v>
      </c>
      <c r="D22" s="27" t="s">
        <v>119</v>
      </c>
      <c r="E22" s="27" t="s">
        <v>32</v>
      </c>
      <c r="F22" s="132" t="s">
        <v>150</v>
      </c>
      <c r="G22" s="132" t="s">
        <v>151</v>
      </c>
      <c r="H22" s="26">
        <v>0.82499999999999996</v>
      </c>
      <c r="I22" s="27" t="s">
        <v>121</v>
      </c>
      <c r="J22" s="132" t="s">
        <v>152</v>
      </c>
      <c r="K22" s="132" t="s">
        <v>153</v>
      </c>
      <c r="L22" s="26">
        <v>0.69699999999999995</v>
      </c>
      <c r="M22" s="132" t="s">
        <v>154</v>
      </c>
      <c r="N22" s="25">
        <v>0</v>
      </c>
    </row>
    <row r="23" spans="1:14" x14ac:dyDescent="0.15">
      <c r="A23" s="27" t="s">
        <v>149</v>
      </c>
      <c r="B23" s="27" t="s">
        <v>127</v>
      </c>
      <c r="D23" s="27" t="s">
        <v>119</v>
      </c>
      <c r="E23" s="27" t="s">
        <v>32</v>
      </c>
      <c r="F23" s="132" t="s">
        <v>150</v>
      </c>
      <c r="G23" s="132" t="s">
        <v>155</v>
      </c>
      <c r="H23" s="26">
        <v>0.83299999999999996</v>
      </c>
      <c r="I23" s="27" t="s">
        <v>121</v>
      </c>
      <c r="J23" s="132" t="s">
        <v>156</v>
      </c>
      <c r="K23" s="132" t="s">
        <v>157</v>
      </c>
      <c r="L23" s="26">
        <v>0.70699999999999996</v>
      </c>
      <c r="M23" s="132" t="s">
        <v>158</v>
      </c>
      <c r="N23" s="25">
        <v>0</v>
      </c>
    </row>
    <row r="24" spans="1:14" x14ac:dyDescent="0.15">
      <c r="A24" s="27" t="s">
        <v>159</v>
      </c>
      <c r="B24" s="27" t="s">
        <v>127</v>
      </c>
      <c r="D24" s="27" t="s">
        <v>119</v>
      </c>
      <c r="E24" s="27" t="s">
        <v>32</v>
      </c>
      <c r="F24" s="132" t="s">
        <v>160</v>
      </c>
      <c r="G24" s="132" t="s">
        <v>161</v>
      </c>
      <c r="H24" s="26">
        <v>0.82499999999999996</v>
      </c>
      <c r="I24" s="27" t="s">
        <v>121</v>
      </c>
      <c r="J24" s="132" t="s">
        <v>162</v>
      </c>
      <c r="K24" s="132" t="s">
        <v>153</v>
      </c>
      <c r="L24" s="26">
        <v>0.71099999999999997</v>
      </c>
      <c r="M24" s="132" t="s">
        <v>163</v>
      </c>
      <c r="N24" s="25">
        <v>0</v>
      </c>
    </row>
    <row r="25" spans="1:14" x14ac:dyDescent="0.15">
      <c r="A25" s="27" t="s">
        <v>159</v>
      </c>
      <c r="B25" s="27" t="s">
        <v>127</v>
      </c>
      <c r="D25" s="27" t="s">
        <v>119</v>
      </c>
      <c r="E25" s="27" t="s">
        <v>32</v>
      </c>
      <c r="F25" s="132" t="s">
        <v>164</v>
      </c>
      <c r="G25" s="132" t="s">
        <v>165</v>
      </c>
      <c r="H25" s="26">
        <v>0.81399999999999995</v>
      </c>
      <c r="I25" s="27" t="s">
        <v>121</v>
      </c>
      <c r="J25" s="132" t="s">
        <v>166</v>
      </c>
      <c r="K25" s="132" t="s">
        <v>167</v>
      </c>
      <c r="L25" s="26">
        <v>0.69499999999999995</v>
      </c>
      <c r="M25" s="132" t="s">
        <v>168</v>
      </c>
      <c r="N25" s="25">
        <v>0</v>
      </c>
    </row>
    <row r="26" spans="1:14" x14ac:dyDescent="0.15">
      <c r="A26" s="27" t="s">
        <v>169</v>
      </c>
      <c r="B26" s="27" t="s">
        <v>127</v>
      </c>
      <c r="D26" s="27" t="s">
        <v>119</v>
      </c>
      <c r="E26" s="27" t="s">
        <v>32</v>
      </c>
      <c r="F26" s="132" t="s">
        <v>160</v>
      </c>
      <c r="G26" s="132" t="s">
        <v>155</v>
      </c>
      <c r="H26" s="26">
        <v>0.82299999999999995</v>
      </c>
      <c r="I26" s="27" t="s">
        <v>121</v>
      </c>
      <c r="J26" s="132" t="s">
        <v>170</v>
      </c>
      <c r="K26" s="132" t="s">
        <v>171</v>
      </c>
      <c r="L26" s="26">
        <v>0.70299999999999996</v>
      </c>
      <c r="M26" s="132" t="s">
        <v>172</v>
      </c>
      <c r="N26" s="25">
        <v>0</v>
      </c>
    </row>
    <row r="27" spans="1:14" x14ac:dyDescent="0.15">
      <c r="A27" s="27" t="s">
        <v>169</v>
      </c>
      <c r="B27" s="27" t="s">
        <v>127</v>
      </c>
      <c r="D27" s="27" t="s">
        <v>119</v>
      </c>
      <c r="E27" s="27" t="s">
        <v>32</v>
      </c>
      <c r="F27" s="132" t="s">
        <v>133</v>
      </c>
      <c r="G27" s="132" t="s">
        <v>173</v>
      </c>
      <c r="H27" s="26">
        <v>0.80400000000000005</v>
      </c>
      <c r="I27" s="27" t="s">
        <v>121</v>
      </c>
      <c r="J27" s="132" t="s">
        <v>174</v>
      </c>
      <c r="K27" s="132" t="s">
        <v>175</v>
      </c>
      <c r="L27" s="26">
        <v>0.68799999999999994</v>
      </c>
      <c r="M27" s="132" t="s">
        <v>176</v>
      </c>
      <c r="N27" s="25">
        <v>0</v>
      </c>
    </row>
    <row r="28" spans="1:14" x14ac:dyDescent="0.15">
      <c r="A28" s="27" t="s">
        <v>177</v>
      </c>
      <c r="B28" s="27" t="s">
        <v>127</v>
      </c>
      <c r="D28" s="27" t="s">
        <v>119</v>
      </c>
      <c r="E28" s="27" t="s">
        <v>32</v>
      </c>
      <c r="F28" s="132" t="s">
        <v>160</v>
      </c>
      <c r="G28" s="132" t="s">
        <v>155</v>
      </c>
      <c r="H28" s="26">
        <v>0.82</v>
      </c>
      <c r="I28" s="27" t="s">
        <v>121</v>
      </c>
      <c r="J28" s="132" t="s">
        <v>178</v>
      </c>
      <c r="K28" s="132" t="s">
        <v>179</v>
      </c>
      <c r="L28" s="26">
        <v>0.69199999999999995</v>
      </c>
      <c r="M28" s="132" t="s">
        <v>158</v>
      </c>
      <c r="N28" s="25">
        <v>0</v>
      </c>
    </row>
    <row r="29" spans="1:14" x14ac:dyDescent="0.15">
      <c r="A29" s="27" t="s">
        <v>177</v>
      </c>
      <c r="B29" s="27" t="s">
        <v>127</v>
      </c>
      <c r="D29" s="27" t="s">
        <v>119</v>
      </c>
      <c r="E29" s="27" t="s">
        <v>32</v>
      </c>
      <c r="F29" s="132" t="s">
        <v>180</v>
      </c>
      <c r="G29" s="132" t="s">
        <v>161</v>
      </c>
      <c r="H29" s="26">
        <v>0.82799999999999996</v>
      </c>
      <c r="I29" s="27" t="s">
        <v>121</v>
      </c>
      <c r="J29" s="132" t="s">
        <v>181</v>
      </c>
      <c r="K29" s="132" t="s">
        <v>182</v>
      </c>
      <c r="L29" s="26">
        <v>0.70399999999999996</v>
      </c>
      <c r="M29" s="132" t="s">
        <v>183</v>
      </c>
      <c r="N29" s="25">
        <v>0</v>
      </c>
    </row>
    <row r="30" spans="1:14" x14ac:dyDescent="0.15">
      <c r="A30" s="27" t="s">
        <v>117</v>
      </c>
      <c r="B30" s="27" t="s">
        <v>118</v>
      </c>
      <c r="D30" s="27" t="s">
        <v>119</v>
      </c>
      <c r="E30" s="27" t="s">
        <v>32</v>
      </c>
      <c r="F30" s="132" t="s">
        <v>120</v>
      </c>
      <c r="G30" s="132" t="s">
        <v>120</v>
      </c>
      <c r="H30" s="26">
        <v>0</v>
      </c>
      <c r="I30" s="27" t="s">
        <v>121</v>
      </c>
      <c r="J30" s="132" t="s">
        <v>184</v>
      </c>
      <c r="K30" s="132" t="s">
        <v>185</v>
      </c>
      <c r="L30" s="26">
        <v>0.71399999999999997</v>
      </c>
      <c r="M30" s="132" t="s">
        <v>120</v>
      </c>
      <c r="N30" s="25">
        <v>0</v>
      </c>
    </row>
    <row r="31" spans="1:14" x14ac:dyDescent="0.15">
      <c r="A31" s="27" t="s">
        <v>117</v>
      </c>
      <c r="B31" s="27" t="s">
        <v>118</v>
      </c>
      <c r="D31" s="27" t="s">
        <v>119</v>
      </c>
      <c r="E31" s="27" t="s">
        <v>32</v>
      </c>
      <c r="F31" s="132" t="s">
        <v>120</v>
      </c>
      <c r="G31" s="132" t="s">
        <v>120</v>
      </c>
      <c r="H31" s="26">
        <v>0</v>
      </c>
      <c r="I31" s="27" t="s">
        <v>121</v>
      </c>
      <c r="J31" s="132" t="s">
        <v>186</v>
      </c>
      <c r="K31" s="132" t="s">
        <v>187</v>
      </c>
      <c r="L31" s="26">
        <v>0.70299999999999996</v>
      </c>
      <c r="M31" s="132" t="s">
        <v>120</v>
      </c>
      <c r="N31" s="25">
        <v>0</v>
      </c>
    </row>
    <row r="32" spans="1:14" x14ac:dyDescent="0.15">
      <c r="A32" s="27" t="s">
        <v>188</v>
      </c>
      <c r="B32" s="27" t="s">
        <v>127</v>
      </c>
      <c r="D32" s="27" t="s">
        <v>119</v>
      </c>
      <c r="E32" s="27" t="s">
        <v>32</v>
      </c>
      <c r="F32" s="132" t="s">
        <v>142</v>
      </c>
      <c r="G32" s="132" t="s">
        <v>189</v>
      </c>
      <c r="H32" s="26">
        <v>0.82199999999999995</v>
      </c>
      <c r="I32" s="27" t="s">
        <v>121</v>
      </c>
      <c r="J32" s="132" t="s">
        <v>166</v>
      </c>
      <c r="K32" s="132" t="s">
        <v>190</v>
      </c>
      <c r="L32" s="26">
        <v>0.69399999999999995</v>
      </c>
      <c r="M32" s="132" t="s">
        <v>191</v>
      </c>
      <c r="N32" s="25">
        <v>0</v>
      </c>
    </row>
    <row r="33" spans="1:14" x14ac:dyDescent="0.15">
      <c r="A33" s="27" t="s">
        <v>188</v>
      </c>
      <c r="B33" s="27" t="s">
        <v>127</v>
      </c>
      <c r="D33" s="27" t="s">
        <v>119</v>
      </c>
      <c r="E33" s="27" t="s">
        <v>32</v>
      </c>
      <c r="F33" s="132" t="s">
        <v>192</v>
      </c>
      <c r="G33" s="132" t="s">
        <v>193</v>
      </c>
      <c r="H33" s="26">
        <v>0.82599999999999996</v>
      </c>
      <c r="I33" s="27" t="s">
        <v>121</v>
      </c>
      <c r="J33" s="132" t="s">
        <v>194</v>
      </c>
      <c r="K33" s="132" t="s">
        <v>195</v>
      </c>
      <c r="L33" s="26">
        <v>0.70899999999999996</v>
      </c>
      <c r="M33" s="132" t="s">
        <v>196</v>
      </c>
      <c r="N33" s="25">
        <v>0</v>
      </c>
    </row>
    <row r="34" spans="1:14" x14ac:dyDescent="0.15">
      <c r="A34" s="27" t="s">
        <v>197</v>
      </c>
      <c r="B34" s="27" t="s">
        <v>127</v>
      </c>
      <c r="D34" s="27" t="s">
        <v>119</v>
      </c>
      <c r="E34" s="27" t="s">
        <v>32</v>
      </c>
      <c r="F34" s="132" t="s">
        <v>198</v>
      </c>
      <c r="G34" s="132" t="s">
        <v>199</v>
      </c>
      <c r="H34" s="26">
        <v>0.81599999999999995</v>
      </c>
      <c r="I34" s="27" t="s">
        <v>121</v>
      </c>
      <c r="J34" s="132" t="s">
        <v>200</v>
      </c>
      <c r="K34" s="132" t="s">
        <v>201</v>
      </c>
      <c r="L34" s="26">
        <v>0.69399999999999995</v>
      </c>
      <c r="M34" s="132" t="s">
        <v>202</v>
      </c>
      <c r="N34" s="25">
        <v>0</v>
      </c>
    </row>
    <row r="35" spans="1:14" x14ac:dyDescent="0.15">
      <c r="A35" s="27" t="s">
        <v>197</v>
      </c>
      <c r="B35" s="27" t="s">
        <v>127</v>
      </c>
      <c r="D35" s="27" t="s">
        <v>119</v>
      </c>
      <c r="E35" s="27" t="s">
        <v>32</v>
      </c>
      <c r="F35" s="132" t="s">
        <v>203</v>
      </c>
      <c r="G35" s="132" t="s">
        <v>204</v>
      </c>
      <c r="H35" s="26">
        <v>0.82699999999999996</v>
      </c>
      <c r="I35" s="27" t="s">
        <v>121</v>
      </c>
      <c r="J35" s="132" t="s">
        <v>205</v>
      </c>
      <c r="K35" s="132" t="s">
        <v>206</v>
      </c>
      <c r="L35" s="26">
        <v>0.7</v>
      </c>
      <c r="M35" s="132" t="s">
        <v>207</v>
      </c>
      <c r="N35" s="25">
        <v>0</v>
      </c>
    </row>
    <row r="36" spans="1:14" x14ac:dyDescent="0.15">
      <c r="A36" s="27" t="s">
        <v>208</v>
      </c>
      <c r="B36" s="27" t="s">
        <v>127</v>
      </c>
      <c r="D36" s="27" t="s">
        <v>119</v>
      </c>
      <c r="E36" s="27" t="s">
        <v>32</v>
      </c>
      <c r="F36" s="132" t="s">
        <v>209</v>
      </c>
      <c r="G36" s="132" t="s">
        <v>210</v>
      </c>
      <c r="H36" s="26">
        <v>0.82</v>
      </c>
      <c r="I36" s="27" t="s">
        <v>121</v>
      </c>
      <c r="J36" s="132" t="s">
        <v>211</v>
      </c>
      <c r="K36" s="132" t="s">
        <v>212</v>
      </c>
      <c r="L36" s="26">
        <v>0.7</v>
      </c>
      <c r="M36" s="132" t="s">
        <v>213</v>
      </c>
      <c r="N36" s="25">
        <v>0</v>
      </c>
    </row>
    <row r="37" spans="1:14" x14ac:dyDescent="0.15">
      <c r="A37" s="27" t="s">
        <v>208</v>
      </c>
      <c r="B37" s="27" t="s">
        <v>127</v>
      </c>
      <c r="D37" s="27" t="s">
        <v>119</v>
      </c>
      <c r="E37" s="27" t="s">
        <v>32</v>
      </c>
      <c r="F37" s="132" t="s">
        <v>214</v>
      </c>
      <c r="G37" s="132" t="s">
        <v>215</v>
      </c>
      <c r="H37" s="26">
        <v>0.81</v>
      </c>
      <c r="I37" s="27" t="s">
        <v>121</v>
      </c>
      <c r="J37" s="132" t="s">
        <v>216</v>
      </c>
      <c r="K37" s="132" t="s">
        <v>206</v>
      </c>
      <c r="L37" s="26">
        <v>0.69399999999999995</v>
      </c>
      <c r="M37" s="132" t="s">
        <v>217</v>
      </c>
      <c r="N37" s="25">
        <v>0</v>
      </c>
    </row>
    <row r="38" spans="1:14" x14ac:dyDescent="0.15">
      <c r="A38" s="27" t="s">
        <v>218</v>
      </c>
      <c r="B38" s="27" t="s">
        <v>127</v>
      </c>
      <c r="D38" s="27" t="s">
        <v>119</v>
      </c>
      <c r="E38" s="27" t="s">
        <v>32</v>
      </c>
      <c r="F38" s="132" t="s">
        <v>123</v>
      </c>
      <c r="G38" s="132" t="s">
        <v>219</v>
      </c>
      <c r="H38" s="26">
        <v>0.82399999999999995</v>
      </c>
      <c r="I38" s="27" t="s">
        <v>121</v>
      </c>
      <c r="J38" s="132" t="s">
        <v>216</v>
      </c>
      <c r="K38" s="132" t="s">
        <v>220</v>
      </c>
      <c r="L38" s="26">
        <v>0.7</v>
      </c>
      <c r="M38" s="132" t="s">
        <v>221</v>
      </c>
      <c r="N38" s="25">
        <v>0</v>
      </c>
    </row>
    <row r="39" spans="1:14" x14ac:dyDescent="0.15">
      <c r="A39" s="27" t="s">
        <v>218</v>
      </c>
      <c r="B39" s="27" t="s">
        <v>127</v>
      </c>
      <c r="D39" s="27" t="s">
        <v>119</v>
      </c>
      <c r="E39" s="27" t="s">
        <v>32</v>
      </c>
      <c r="F39" s="132" t="s">
        <v>222</v>
      </c>
      <c r="G39" s="132" t="s">
        <v>223</v>
      </c>
      <c r="H39" s="26">
        <v>0.80100000000000005</v>
      </c>
      <c r="I39" s="27" t="s">
        <v>121</v>
      </c>
      <c r="J39" s="132" t="s">
        <v>224</v>
      </c>
      <c r="K39" s="132" t="s">
        <v>123</v>
      </c>
      <c r="L39" s="26">
        <v>0.69099999999999995</v>
      </c>
      <c r="M39" s="132" t="s">
        <v>225</v>
      </c>
      <c r="N39" s="25">
        <v>0</v>
      </c>
    </row>
    <row r="40" spans="1:14" x14ac:dyDescent="0.15">
      <c r="A40" s="27" t="s">
        <v>226</v>
      </c>
      <c r="B40" s="27" t="s">
        <v>127</v>
      </c>
      <c r="D40" s="27" t="s">
        <v>119</v>
      </c>
      <c r="E40" s="27" t="s">
        <v>32</v>
      </c>
      <c r="F40" s="132" t="s">
        <v>206</v>
      </c>
      <c r="G40" s="132" t="s">
        <v>227</v>
      </c>
      <c r="H40" s="26">
        <v>0.82399999999999995</v>
      </c>
      <c r="I40" s="27" t="s">
        <v>121</v>
      </c>
      <c r="J40" s="132" t="s">
        <v>228</v>
      </c>
      <c r="K40" s="132" t="s">
        <v>214</v>
      </c>
      <c r="L40" s="26">
        <v>0.69</v>
      </c>
      <c r="M40" s="132" t="s">
        <v>229</v>
      </c>
      <c r="N40" s="25">
        <v>0</v>
      </c>
    </row>
    <row r="41" spans="1:14" x14ac:dyDescent="0.15">
      <c r="A41" s="27" t="s">
        <v>226</v>
      </c>
      <c r="B41" s="27" t="s">
        <v>127</v>
      </c>
      <c r="D41" s="27" t="s">
        <v>119</v>
      </c>
      <c r="E41" s="27" t="s">
        <v>32</v>
      </c>
      <c r="F41" s="132" t="s">
        <v>230</v>
      </c>
      <c r="G41" s="132" t="s">
        <v>231</v>
      </c>
      <c r="H41" s="26">
        <v>0.82799999999999996</v>
      </c>
      <c r="I41" s="27" t="s">
        <v>121</v>
      </c>
      <c r="J41" s="132" t="s">
        <v>232</v>
      </c>
      <c r="K41" s="132" t="s">
        <v>222</v>
      </c>
      <c r="L41" s="26">
        <v>0.72099999999999997</v>
      </c>
      <c r="M41" s="132" t="s">
        <v>233</v>
      </c>
      <c r="N41" s="25">
        <v>0</v>
      </c>
    </row>
    <row r="42" spans="1:14" x14ac:dyDescent="0.15">
      <c r="A42" s="27" t="s">
        <v>234</v>
      </c>
      <c r="B42" s="27" t="s">
        <v>127</v>
      </c>
      <c r="D42" s="27" t="s">
        <v>119</v>
      </c>
      <c r="E42" s="27" t="s">
        <v>32</v>
      </c>
      <c r="F42" s="132" t="s">
        <v>167</v>
      </c>
      <c r="G42" s="132" t="s">
        <v>235</v>
      </c>
      <c r="H42" s="26">
        <v>0.82199999999999995</v>
      </c>
      <c r="I42" s="27" t="s">
        <v>121</v>
      </c>
      <c r="J42" s="132" t="s">
        <v>236</v>
      </c>
      <c r="K42" s="132" t="s">
        <v>198</v>
      </c>
      <c r="L42" s="26">
        <v>0.69399999999999995</v>
      </c>
      <c r="M42" s="132" t="s">
        <v>237</v>
      </c>
      <c r="N42" s="25">
        <v>0</v>
      </c>
    </row>
    <row r="43" spans="1:14" x14ac:dyDescent="0.15">
      <c r="A43" s="27" t="s">
        <v>234</v>
      </c>
      <c r="B43" s="27" t="s">
        <v>127</v>
      </c>
      <c r="D43" s="27" t="s">
        <v>119</v>
      </c>
      <c r="E43" s="27" t="s">
        <v>32</v>
      </c>
      <c r="F43" s="132" t="s">
        <v>238</v>
      </c>
      <c r="G43" s="132" t="s">
        <v>239</v>
      </c>
      <c r="H43" s="26">
        <v>0.81599999999999995</v>
      </c>
      <c r="I43" s="27" t="s">
        <v>121</v>
      </c>
      <c r="J43" s="132" t="s">
        <v>236</v>
      </c>
      <c r="K43" s="132" t="s">
        <v>187</v>
      </c>
      <c r="L43" s="26">
        <v>0.68899999999999995</v>
      </c>
      <c r="M43" s="132" t="s">
        <v>240</v>
      </c>
      <c r="N43" s="25">
        <v>0</v>
      </c>
    </row>
    <row r="44" spans="1:14" x14ac:dyDescent="0.15">
      <c r="A44" s="27" t="s">
        <v>117</v>
      </c>
      <c r="B44" s="27" t="s">
        <v>118</v>
      </c>
      <c r="D44" s="27" t="s">
        <v>119</v>
      </c>
      <c r="E44" s="27" t="s">
        <v>32</v>
      </c>
      <c r="F44" s="132" t="s">
        <v>120</v>
      </c>
      <c r="G44" s="132" t="s">
        <v>120</v>
      </c>
      <c r="H44" s="26">
        <v>0</v>
      </c>
      <c r="I44" s="27" t="s">
        <v>121</v>
      </c>
      <c r="J44" s="132" t="s">
        <v>228</v>
      </c>
      <c r="K44" s="132" t="s">
        <v>195</v>
      </c>
      <c r="L44" s="26">
        <v>0.69899999999999995</v>
      </c>
      <c r="M44" s="132" t="s">
        <v>120</v>
      </c>
      <c r="N44" s="25">
        <v>0</v>
      </c>
    </row>
    <row r="45" spans="1:14" x14ac:dyDescent="0.15">
      <c r="A45" s="27" t="s">
        <v>117</v>
      </c>
      <c r="B45" s="27" t="s">
        <v>118</v>
      </c>
      <c r="D45" s="27" t="s">
        <v>119</v>
      </c>
      <c r="E45" s="27" t="s">
        <v>32</v>
      </c>
      <c r="F45" s="132" t="s">
        <v>120</v>
      </c>
      <c r="G45" s="132" t="s">
        <v>120</v>
      </c>
      <c r="H45" s="26">
        <v>0</v>
      </c>
      <c r="I45" s="27" t="s">
        <v>121</v>
      </c>
      <c r="J45" s="132" t="s">
        <v>241</v>
      </c>
      <c r="K45" s="132" t="s">
        <v>212</v>
      </c>
      <c r="L45" s="26">
        <v>0.68600000000000005</v>
      </c>
      <c r="M45" s="132" t="s">
        <v>120</v>
      </c>
      <c r="N45" s="25">
        <v>0</v>
      </c>
    </row>
    <row r="46" spans="1:14" x14ac:dyDescent="0.15">
      <c r="A46" s="27" t="s">
        <v>242</v>
      </c>
      <c r="B46" s="27" t="s">
        <v>127</v>
      </c>
      <c r="D46" s="27" t="s">
        <v>119</v>
      </c>
      <c r="E46" s="27" t="s">
        <v>32</v>
      </c>
      <c r="F46" s="132" t="s">
        <v>243</v>
      </c>
      <c r="G46" s="132" t="s">
        <v>244</v>
      </c>
      <c r="H46" s="26">
        <v>0.82799999999999996</v>
      </c>
      <c r="I46" s="27" t="s">
        <v>121</v>
      </c>
      <c r="J46" s="132" t="s">
        <v>245</v>
      </c>
      <c r="K46" s="132" t="s">
        <v>206</v>
      </c>
      <c r="L46" s="26">
        <v>0.70799999999999996</v>
      </c>
      <c r="M46" s="132" t="s">
        <v>246</v>
      </c>
      <c r="N46" s="25">
        <v>0</v>
      </c>
    </row>
    <row r="47" spans="1:14" x14ac:dyDescent="0.15">
      <c r="A47" s="27" t="s">
        <v>242</v>
      </c>
      <c r="B47" s="27" t="s">
        <v>127</v>
      </c>
      <c r="D47" s="27" t="s">
        <v>119</v>
      </c>
      <c r="E47" s="27" t="s">
        <v>32</v>
      </c>
      <c r="F47" s="132" t="s">
        <v>247</v>
      </c>
      <c r="G47" s="132" t="s">
        <v>248</v>
      </c>
      <c r="H47" s="26">
        <v>0.82399999999999995</v>
      </c>
      <c r="I47" s="27" t="s">
        <v>121</v>
      </c>
      <c r="J47" s="132" t="s">
        <v>249</v>
      </c>
      <c r="K47" s="132" t="s">
        <v>212</v>
      </c>
      <c r="L47" s="26">
        <v>0.69899999999999995</v>
      </c>
      <c r="M47" s="132" t="s">
        <v>250</v>
      </c>
      <c r="N47" s="25">
        <v>0</v>
      </c>
    </row>
    <row r="48" spans="1:14" x14ac:dyDescent="0.15">
      <c r="A48" s="27" t="s">
        <v>251</v>
      </c>
      <c r="B48" s="27" t="s">
        <v>127</v>
      </c>
      <c r="D48" s="27" t="s">
        <v>119</v>
      </c>
      <c r="E48" s="27" t="s">
        <v>32</v>
      </c>
      <c r="F48" s="132" t="s">
        <v>252</v>
      </c>
      <c r="G48" s="132" t="s">
        <v>253</v>
      </c>
      <c r="H48" s="26">
        <v>0.82699999999999996</v>
      </c>
      <c r="I48" s="27" t="s">
        <v>121</v>
      </c>
      <c r="J48" s="132" t="s">
        <v>254</v>
      </c>
      <c r="K48" s="132" t="s">
        <v>198</v>
      </c>
      <c r="L48" s="26">
        <v>0.70699999999999996</v>
      </c>
      <c r="M48" s="132" t="s">
        <v>255</v>
      </c>
      <c r="N48" s="25">
        <v>0</v>
      </c>
    </row>
    <row r="49" spans="1:14" x14ac:dyDescent="0.15">
      <c r="A49" s="27" t="s">
        <v>251</v>
      </c>
      <c r="B49" s="27" t="s">
        <v>127</v>
      </c>
      <c r="D49" s="27" t="s">
        <v>119</v>
      </c>
      <c r="E49" s="27" t="s">
        <v>32</v>
      </c>
      <c r="F49" s="132" t="s">
        <v>256</v>
      </c>
      <c r="G49" s="132" t="s">
        <v>257</v>
      </c>
      <c r="H49" s="26">
        <v>0.82699999999999996</v>
      </c>
      <c r="I49" s="27" t="s">
        <v>121</v>
      </c>
      <c r="J49" s="132" t="s">
        <v>258</v>
      </c>
      <c r="K49" s="132" t="s">
        <v>123</v>
      </c>
      <c r="L49" s="26">
        <v>0.70699999999999996</v>
      </c>
      <c r="M49" s="132" t="s">
        <v>259</v>
      </c>
      <c r="N49" s="25">
        <v>0</v>
      </c>
    </row>
    <row r="50" spans="1:14" x14ac:dyDescent="0.15">
      <c r="A50" s="27" t="s">
        <v>260</v>
      </c>
      <c r="B50" s="27" t="s">
        <v>127</v>
      </c>
      <c r="D50" s="27" t="s">
        <v>119</v>
      </c>
      <c r="E50" s="27" t="s">
        <v>32</v>
      </c>
      <c r="F50" s="132" t="s">
        <v>252</v>
      </c>
      <c r="G50" s="132" t="s">
        <v>253</v>
      </c>
      <c r="H50" s="26">
        <v>0.82</v>
      </c>
      <c r="I50" s="27" t="s">
        <v>121</v>
      </c>
      <c r="J50" s="132" t="s">
        <v>261</v>
      </c>
      <c r="K50" s="132" t="s">
        <v>262</v>
      </c>
      <c r="L50" s="26">
        <v>0.70399999999999996</v>
      </c>
      <c r="M50" s="132" t="s">
        <v>263</v>
      </c>
      <c r="N50" s="25">
        <v>0</v>
      </c>
    </row>
    <row r="51" spans="1:14" x14ac:dyDescent="0.15">
      <c r="A51" s="27" t="s">
        <v>260</v>
      </c>
      <c r="B51" s="27" t="s">
        <v>127</v>
      </c>
      <c r="D51" s="27" t="s">
        <v>119</v>
      </c>
      <c r="E51" s="27" t="s">
        <v>32</v>
      </c>
      <c r="F51" s="132" t="s">
        <v>264</v>
      </c>
      <c r="G51" s="132" t="s">
        <v>265</v>
      </c>
      <c r="H51" s="26">
        <v>0.82899999999999996</v>
      </c>
      <c r="I51" s="27" t="s">
        <v>121</v>
      </c>
      <c r="J51" s="132" t="s">
        <v>241</v>
      </c>
      <c r="K51" s="132" t="s">
        <v>266</v>
      </c>
      <c r="L51" s="26">
        <v>0.71099999999999997</v>
      </c>
      <c r="M51" s="132" t="s">
        <v>267</v>
      </c>
      <c r="N51" s="25">
        <v>0</v>
      </c>
    </row>
    <row r="52" spans="1:14" x14ac:dyDescent="0.15">
      <c r="A52" s="27" t="s">
        <v>268</v>
      </c>
      <c r="B52" s="27" t="s">
        <v>127</v>
      </c>
      <c r="D52" s="27" t="s">
        <v>119</v>
      </c>
      <c r="E52" s="27" t="s">
        <v>32</v>
      </c>
      <c r="F52" s="132" t="s">
        <v>269</v>
      </c>
      <c r="G52" s="132" t="s">
        <v>270</v>
      </c>
      <c r="H52" s="26">
        <v>0.81200000000000006</v>
      </c>
      <c r="I52" s="27" t="s">
        <v>121</v>
      </c>
      <c r="J52" s="132" t="s">
        <v>271</v>
      </c>
      <c r="K52" s="132" t="s">
        <v>272</v>
      </c>
      <c r="L52" s="26">
        <v>0.7</v>
      </c>
      <c r="M52" s="132" t="s">
        <v>273</v>
      </c>
      <c r="N52" s="25">
        <v>0</v>
      </c>
    </row>
    <row r="53" spans="1:14" x14ac:dyDescent="0.15">
      <c r="A53" s="27" t="s">
        <v>268</v>
      </c>
      <c r="B53" s="27" t="s">
        <v>127</v>
      </c>
      <c r="D53" s="27" t="s">
        <v>119</v>
      </c>
      <c r="E53" s="27" t="s">
        <v>32</v>
      </c>
      <c r="F53" s="132" t="s">
        <v>274</v>
      </c>
      <c r="G53" s="132" t="s">
        <v>275</v>
      </c>
      <c r="H53" s="26">
        <v>0.82699999999999996</v>
      </c>
      <c r="I53" s="27" t="s">
        <v>121</v>
      </c>
      <c r="J53" s="132" t="s">
        <v>276</v>
      </c>
      <c r="K53" s="132" t="s">
        <v>222</v>
      </c>
      <c r="L53" s="26">
        <v>0.70599999999999996</v>
      </c>
      <c r="M53" s="132" t="s">
        <v>277</v>
      </c>
      <c r="N53" s="25">
        <v>0</v>
      </c>
    </row>
    <row r="54" spans="1:14" x14ac:dyDescent="0.15">
      <c r="A54" s="27" t="s">
        <v>278</v>
      </c>
      <c r="B54" s="27" t="s">
        <v>127</v>
      </c>
      <c r="D54" s="27" t="s">
        <v>119</v>
      </c>
      <c r="E54" s="27" t="s">
        <v>32</v>
      </c>
      <c r="F54" s="132" t="s">
        <v>279</v>
      </c>
      <c r="G54" s="132" t="s">
        <v>280</v>
      </c>
      <c r="H54" s="26">
        <v>0.81699999999999995</v>
      </c>
      <c r="I54" s="27" t="s">
        <v>121</v>
      </c>
      <c r="J54" s="132" t="s">
        <v>281</v>
      </c>
      <c r="K54" s="132" t="s">
        <v>282</v>
      </c>
      <c r="L54" s="26">
        <v>0.69899999999999995</v>
      </c>
      <c r="M54" s="132" t="s">
        <v>283</v>
      </c>
      <c r="N54" s="25">
        <v>0</v>
      </c>
    </row>
    <row r="55" spans="1:14" x14ac:dyDescent="0.15">
      <c r="A55" s="27" t="s">
        <v>278</v>
      </c>
      <c r="B55" s="27" t="s">
        <v>127</v>
      </c>
      <c r="D55" s="27" t="s">
        <v>119</v>
      </c>
      <c r="E55" s="27" t="s">
        <v>32</v>
      </c>
      <c r="F55" s="132" t="s">
        <v>284</v>
      </c>
      <c r="G55" s="132" t="s">
        <v>285</v>
      </c>
      <c r="H55" s="26">
        <v>0.81699999999999995</v>
      </c>
      <c r="I55" s="27" t="s">
        <v>121</v>
      </c>
      <c r="J55" s="132" t="s">
        <v>286</v>
      </c>
      <c r="K55" s="132" t="s">
        <v>272</v>
      </c>
      <c r="L55" s="26">
        <v>0.7</v>
      </c>
      <c r="M55" s="132" t="s">
        <v>277</v>
      </c>
      <c r="N55" s="25">
        <v>0</v>
      </c>
    </row>
    <row r="56" spans="1:14" x14ac:dyDescent="0.15">
      <c r="A56" s="27" t="s">
        <v>287</v>
      </c>
      <c r="B56" s="27" t="s">
        <v>127</v>
      </c>
      <c r="D56" s="27" t="s">
        <v>119</v>
      </c>
      <c r="E56" s="27" t="s">
        <v>32</v>
      </c>
      <c r="F56" s="132" t="s">
        <v>288</v>
      </c>
      <c r="G56" s="132" t="s">
        <v>289</v>
      </c>
      <c r="H56" s="26">
        <v>0.81499999999999995</v>
      </c>
      <c r="I56" s="27" t="s">
        <v>121</v>
      </c>
      <c r="J56" s="132" t="s">
        <v>290</v>
      </c>
      <c r="K56" s="132" t="s">
        <v>291</v>
      </c>
      <c r="L56" s="26">
        <v>0.69499999999999995</v>
      </c>
      <c r="M56" s="132" t="s">
        <v>255</v>
      </c>
      <c r="N56" s="25">
        <v>0</v>
      </c>
    </row>
    <row r="57" spans="1:14" x14ac:dyDescent="0.15">
      <c r="A57" s="27" t="s">
        <v>287</v>
      </c>
      <c r="B57" s="27" t="s">
        <v>127</v>
      </c>
      <c r="D57" s="27" t="s">
        <v>119</v>
      </c>
      <c r="E57" s="27" t="s">
        <v>32</v>
      </c>
      <c r="F57" s="132" t="s">
        <v>292</v>
      </c>
      <c r="G57" s="132" t="s">
        <v>293</v>
      </c>
      <c r="H57" s="26">
        <v>0.82799999999999996</v>
      </c>
      <c r="I57" s="27" t="s">
        <v>121</v>
      </c>
      <c r="J57" s="132" t="s">
        <v>294</v>
      </c>
      <c r="K57" s="132" t="s">
        <v>295</v>
      </c>
      <c r="L57" s="26">
        <v>0.70599999999999996</v>
      </c>
      <c r="M57" s="132" t="s">
        <v>296</v>
      </c>
      <c r="N57" s="25">
        <v>0</v>
      </c>
    </row>
    <row r="58" spans="1:14" x14ac:dyDescent="0.15">
      <c r="A58" s="27" t="s">
        <v>117</v>
      </c>
      <c r="B58" s="27" t="s">
        <v>118</v>
      </c>
      <c r="D58" s="27" t="s">
        <v>119</v>
      </c>
      <c r="E58" s="27" t="s">
        <v>32</v>
      </c>
      <c r="F58" s="132" t="s">
        <v>120</v>
      </c>
      <c r="G58" s="132" t="s">
        <v>120</v>
      </c>
      <c r="H58" s="26">
        <v>0</v>
      </c>
      <c r="I58" s="27" t="s">
        <v>121</v>
      </c>
      <c r="J58" s="132" t="s">
        <v>297</v>
      </c>
      <c r="K58" s="132" t="s">
        <v>298</v>
      </c>
      <c r="L58" s="26">
        <v>0.69499999999999995</v>
      </c>
      <c r="M58" s="132" t="s">
        <v>120</v>
      </c>
      <c r="N58" s="25">
        <v>0</v>
      </c>
    </row>
    <row r="59" spans="1:14" x14ac:dyDescent="0.15">
      <c r="A59" s="27" t="s">
        <v>117</v>
      </c>
      <c r="B59" s="27" t="s">
        <v>118</v>
      </c>
      <c r="D59" s="27" t="s">
        <v>119</v>
      </c>
      <c r="E59" s="27" t="s">
        <v>32</v>
      </c>
      <c r="F59" s="132" t="s">
        <v>120</v>
      </c>
      <c r="G59" s="132" t="s">
        <v>120</v>
      </c>
      <c r="H59" s="26">
        <v>0</v>
      </c>
      <c r="I59" s="27" t="s">
        <v>121</v>
      </c>
      <c r="J59" s="132" t="s">
        <v>241</v>
      </c>
      <c r="K59" s="132" t="s">
        <v>212</v>
      </c>
      <c r="L59" s="26">
        <v>0.70399999999999996</v>
      </c>
      <c r="M59" s="132" t="s">
        <v>120</v>
      </c>
      <c r="N59" s="25">
        <v>0</v>
      </c>
    </row>
    <row r="60" spans="1:14" x14ac:dyDescent="0.15">
      <c r="A60" s="27" t="s">
        <v>299</v>
      </c>
      <c r="B60" s="27" t="s">
        <v>127</v>
      </c>
      <c r="D60" s="27" t="s">
        <v>119</v>
      </c>
      <c r="E60" s="27" t="s">
        <v>32</v>
      </c>
      <c r="F60" s="132" t="s">
        <v>300</v>
      </c>
      <c r="G60" s="132" t="s">
        <v>301</v>
      </c>
      <c r="H60" s="26">
        <v>0.82099999999999995</v>
      </c>
      <c r="I60" s="27" t="s">
        <v>121</v>
      </c>
      <c r="J60" s="132" t="s">
        <v>302</v>
      </c>
      <c r="K60" s="132" t="s">
        <v>303</v>
      </c>
      <c r="L60" s="26">
        <v>0.69099999999999995</v>
      </c>
      <c r="M60" s="132" t="s">
        <v>304</v>
      </c>
      <c r="N60" s="25">
        <v>0</v>
      </c>
    </row>
    <row r="61" spans="1:14" x14ac:dyDescent="0.15">
      <c r="A61" s="27" t="s">
        <v>299</v>
      </c>
      <c r="B61" s="27" t="s">
        <v>127</v>
      </c>
      <c r="D61" s="27" t="s">
        <v>119</v>
      </c>
      <c r="E61" s="27" t="s">
        <v>32</v>
      </c>
      <c r="F61" s="132" t="s">
        <v>305</v>
      </c>
      <c r="G61" s="132" t="s">
        <v>306</v>
      </c>
      <c r="H61" s="26">
        <v>0.83299999999999996</v>
      </c>
      <c r="I61" s="27" t="s">
        <v>121</v>
      </c>
      <c r="J61" s="132" t="s">
        <v>307</v>
      </c>
      <c r="K61" s="132" t="s">
        <v>308</v>
      </c>
      <c r="L61" s="26">
        <v>0.7</v>
      </c>
      <c r="M61" s="132" t="s">
        <v>309</v>
      </c>
      <c r="N61" s="25">
        <v>0</v>
      </c>
    </row>
    <row r="62" spans="1:14" x14ac:dyDescent="0.15">
      <c r="A62" s="27" t="s">
        <v>310</v>
      </c>
      <c r="B62" s="27" t="s">
        <v>127</v>
      </c>
      <c r="D62" s="27" t="s">
        <v>119</v>
      </c>
      <c r="E62" s="27" t="s">
        <v>32</v>
      </c>
      <c r="F62" s="132" t="s">
        <v>311</v>
      </c>
      <c r="G62" s="132" t="s">
        <v>288</v>
      </c>
      <c r="H62" s="26">
        <v>0.83299999999999996</v>
      </c>
      <c r="I62" s="27" t="s">
        <v>121</v>
      </c>
      <c r="J62" s="132" t="s">
        <v>312</v>
      </c>
      <c r="K62" s="132" t="s">
        <v>185</v>
      </c>
      <c r="L62" s="26">
        <v>0.68799999999999994</v>
      </c>
      <c r="M62" s="132" t="s">
        <v>202</v>
      </c>
      <c r="N62" s="25">
        <v>0</v>
      </c>
    </row>
    <row r="63" spans="1:14" x14ac:dyDescent="0.15">
      <c r="A63" s="27" t="s">
        <v>310</v>
      </c>
      <c r="B63" s="27" t="s">
        <v>127</v>
      </c>
      <c r="D63" s="27" t="s">
        <v>119</v>
      </c>
      <c r="E63" s="27" t="s">
        <v>32</v>
      </c>
      <c r="F63" s="132" t="s">
        <v>313</v>
      </c>
      <c r="G63" s="132" t="s">
        <v>314</v>
      </c>
      <c r="H63" s="26">
        <v>0.81599999999999995</v>
      </c>
      <c r="I63" s="27" t="s">
        <v>121</v>
      </c>
      <c r="J63" s="132" t="s">
        <v>315</v>
      </c>
      <c r="K63" s="132" t="s">
        <v>187</v>
      </c>
      <c r="L63" s="26">
        <v>0.68799999999999994</v>
      </c>
      <c r="M63" s="132" t="s">
        <v>316</v>
      </c>
      <c r="N63" s="25">
        <v>0</v>
      </c>
    </row>
    <row r="64" spans="1:14" x14ac:dyDescent="0.15">
      <c r="A64" s="27" t="s">
        <v>317</v>
      </c>
      <c r="B64" s="27" t="s">
        <v>127</v>
      </c>
      <c r="D64" s="27" t="s">
        <v>119</v>
      </c>
      <c r="E64" s="27" t="s">
        <v>32</v>
      </c>
      <c r="F64" s="132" t="s">
        <v>318</v>
      </c>
      <c r="G64" s="132" t="s">
        <v>314</v>
      </c>
      <c r="H64" s="26">
        <v>0.82199999999999995</v>
      </c>
      <c r="I64" s="27" t="s">
        <v>121</v>
      </c>
      <c r="J64" s="132" t="s">
        <v>319</v>
      </c>
      <c r="K64" s="132" t="s">
        <v>320</v>
      </c>
      <c r="L64" s="26">
        <v>0.69399999999999995</v>
      </c>
      <c r="M64" s="132" t="s">
        <v>321</v>
      </c>
      <c r="N64" s="25">
        <v>0</v>
      </c>
    </row>
    <row r="65" spans="1:14" x14ac:dyDescent="0.15">
      <c r="A65" s="27" t="s">
        <v>317</v>
      </c>
      <c r="B65" s="27" t="s">
        <v>127</v>
      </c>
      <c r="D65" s="27" t="s">
        <v>119</v>
      </c>
      <c r="E65" s="27" t="s">
        <v>32</v>
      </c>
      <c r="F65" s="132" t="s">
        <v>322</v>
      </c>
      <c r="G65" s="132" t="s">
        <v>323</v>
      </c>
      <c r="H65" s="26">
        <v>0.80800000000000005</v>
      </c>
      <c r="I65" s="27" t="s">
        <v>121</v>
      </c>
      <c r="J65" s="132" t="s">
        <v>324</v>
      </c>
      <c r="K65" s="132" t="s">
        <v>179</v>
      </c>
      <c r="L65" s="26">
        <v>0.68600000000000005</v>
      </c>
      <c r="M65" s="132" t="s">
        <v>325</v>
      </c>
      <c r="N65" s="25">
        <v>0</v>
      </c>
    </row>
    <row r="66" spans="1:14" x14ac:dyDescent="0.15">
      <c r="A66" s="27" t="s">
        <v>326</v>
      </c>
      <c r="B66" s="27" t="s">
        <v>127</v>
      </c>
      <c r="D66" s="27" t="s">
        <v>119</v>
      </c>
      <c r="E66" s="27" t="s">
        <v>32</v>
      </c>
      <c r="F66" s="132" t="s">
        <v>327</v>
      </c>
      <c r="G66" s="132" t="s">
        <v>328</v>
      </c>
      <c r="H66" s="26">
        <v>0.81100000000000005</v>
      </c>
      <c r="I66" s="27" t="s">
        <v>121</v>
      </c>
      <c r="J66" s="132" t="s">
        <v>329</v>
      </c>
      <c r="K66" s="132" t="s">
        <v>330</v>
      </c>
      <c r="L66" s="26">
        <v>0.68500000000000005</v>
      </c>
      <c r="M66" s="132" t="s">
        <v>331</v>
      </c>
      <c r="N66" s="25">
        <v>0</v>
      </c>
    </row>
    <row r="67" spans="1:14" x14ac:dyDescent="0.15">
      <c r="A67" s="27" t="s">
        <v>326</v>
      </c>
      <c r="B67" s="27" t="s">
        <v>127</v>
      </c>
      <c r="D67" s="27" t="s">
        <v>119</v>
      </c>
      <c r="E67" s="27" t="s">
        <v>32</v>
      </c>
      <c r="F67" s="132" t="s">
        <v>327</v>
      </c>
      <c r="G67" s="132" t="s">
        <v>328</v>
      </c>
      <c r="H67" s="26">
        <v>0.81699999999999995</v>
      </c>
      <c r="I67" s="27" t="s">
        <v>121</v>
      </c>
      <c r="J67" s="132" t="s">
        <v>332</v>
      </c>
      <c r="K67" s="132" t="s">
        <v>201</v>
      </c>
      <c r="L67" s="26">
        <v>0.68600000000000005</v>
      </c>
      <c r="M67" s="132" t="s">
        <v>331</v>
      </c>
      <c r="N67" s="25">
        <v>0</v>
      </c>
    </row>
    <row r="68" spans="1:14" x14ac:dyDescent="0.15">
      <c r="A68" s="27" t="s">
        <v>333</v>
      </c>
      <c r="B68" s="27" t="s">
        <v>127</v>
      </c>
      <c r="D68" s="27" t="s">
        <v>119</v>
      </c>
      <c r="E68" s="27" t="s">
        <v>32</v>
      </c>
      <c r="F68" s="132" t="s">
        <v>334</v>
      </c>
      <c r="G68" s="132" t="s">
        <v>288</v>
      </c>
      <c r="H68" s="26">
        <v>0.82599999999999996</v>
      </c>
      <c r="I68" s="27" t="s">
        <v>121</v>
      </c>
      <c r="J68" s="132" t="s">
        <v>302</v>
      </c>
      <c r="K68" s="132" t="s">
        <v>171</v>
      </c>
      <c r="L68" s="26">
        <v>0.7</v>
      </c>
      <c r="M68" s="132" t="s">
        <v>335</v>
      </c>
      <c r="N68" s="25">
        <v>0</v>
      </c>
    </row>
    <row r="69" spans="1:14" x14ac:dyDescent="0.15">
      <c r="A69" s="27" t="s">
        <v>333</v>
      </c>
      <c r="B69" s="27" t="s">
        <v>127</v>
      </c>
      <c r="D69" s="27" t="s">
        <v>119</v>
      </c>
      <c r="E69" s="27" t="s">
        <v>32</v>
      </c>
      <c r="F69" s="132" t="s">
        <v>327</v>
      </c>
      <c r="G69" s="132" t="s">
        <v>306</v>
      </c>
      <c r="H69" s="26">
        <v>0.81499999999999995</v>
      </c>
      <c r="I69" s="27" t="s">
        <v>121</v>
      </c>
      <c r="J69" s="132" t="s">
        <v>124</v>
      </c>
      <c r="K69" s="132" t="s">
        <v>303</v>
      </c>
      <c r="L69" s="26">
        <v>0.69399999999999995</v>
      </c>
      <c r="M69" s="132" t="s">
        <v>336</v>
      </c>
      <c r="N69" s="25">
        <v>0</v>
      </c>
    </row>
    <row r="70" spans="1:14" x14ac:dyDescent="0.15">
      <c r="A70" s="27" t="s">
        <v>337</v>
      </c>
      <c r="B70" s="27" t="s">
        <v>127</v>
      </c>
      <c r="D70" s="27" t="s">
        <v>119</v>
      </c>
      <c r="E70" s="27" t="s">
        <v>32</v>
      </c>
      <c r="F70" s="132" t="s">
        <v>338</v>
      </c>
      <c r="G70" s="132" t="s">
        <v>301</v>
      </c>
      <c r="H70" s="26">
        <v>0.81799999999999995</v>
      </c>
      <c r="I70" s="27" t="s">
        <v>121</v>
      </c>
      <c r="J70" s="132" t="s">
        <v>339</v>
      </c>
      <c r="K70" s="132" t="s">
        <v>192</v>
      </c>
      <c r="L70" s="26">
        <v>0.69</v>
      </c>
      <c r="M70" s="132" t="s">
        <v>240</v>
      </c>
      <c r="N70" s="25">
        <v>0</v>
      </c>
    </row>
    <row r="71" spans="1:14" x14ac:dyDescent="0.15">
      <c r="A71" s="27" t="s">
        <v>337</v>
      </c>
      <c r="B71" s="27" t="s">
        <v>127</v>
      </c>
      <c r="D71" s="27" t="s">
        <v>119</v>
      </c>
      <c r="E71" s="27" t="s">
        <v>32</v>
      </c>
      <c r="F71" s="132" t="s">
        <v>340</v>
      </c>
      <c r="G71" s="132" t="s">
        <v>314</v>
      </c>
      <c r="H71" s="26">
        <v>0.81799999999999995</v>
      </c>
      <c r="I71" s="27" t="s">
        <v>121</v>
      </c>
      <c r="J71" s="132" t="s">
        <v>166</v>
      </c>
      <c r="K71" s="132" t="s">
        <v>308</v>
      </c>
      <c r="L71" s="26">
        <v>0.69399999999999995</v>
      </c>
      <c r="M71" s="132" t="s">
        <v>341</v>
      </c>
      <c r="N71" s="25">
        <v>0</v>
      </c>
    </row>
    <row r="72" spans="1:14" x14ac:dyDescent="0.15">
      <c r="A72" s="27" t="s">
        <v>117</v>
      </c>
      <c r="B72" s="27" t="s">
        <v>118</v>
      </c>
      <c r="D72" s="27" t="s">
        <v>119</v>
      </c>
      <c r="E72" s="27" t="s">
        <v>32</v>
      </c>
      <c r="F72" s="132" t="s">
        <v>120</v>
      </c>
      <c r="G72" s="132" t="s">
        <v>120</v>
      </c>
      <c r="H72" s="26">
        <v>0</v>
      </c>
      <c r="I72" s="27" t="s">
        <v>121</v>
      </c>
      <c r="J72" s="132" t="s">
        <v>342</v>
      </c>
      <c r="K72" s="132" t="s">
        <v>179</v>
      </c>
      <c r="L72" s="26">
        <v>0.68700000000000006</v>
      </c>
      <c r="M72" s="132" t="s">
        <v>120</v>
      </c>
      <c r="N72" s="25">
        <v>0</v>
      </c>
    </row>
    <row r="73" spans="1:14" x14ac:dyDescent="0.15">
      <c r="A73" s="27" t="s">
        <v>117</v>
      </c>
      <c r="B73" s="27" t="s">
        <v>118</v>
      </c>
      <c r="D73" s="27" t="s">
        <v>119</v>
      </c>
      <c r="E73" s="27" t="s">
        <v>32</v>
      </c>
      <c r="F73" s="132" t="s">
        <v>120</v>
      </c>
      <c r="G73" s="132" t="s">
        <v>120</v>
      </c>
      <c r="H73" s="26">
        <v>0</v>
      </c>
      <c r="I73" s="27" t="s">
        <v>121</v>
      </c>
      <c r="J73" s="132" t="s">
        <v>343</v>
      </c>
      <c r="K73" s="132" t="s">
        <v>320</v>
      </c>
      <c r="L73" s="26">
        <v>0.69499999999999995</v>
      </c>
      <c r="M73" s="132" t="s">
        <v>120</v>
      </c>
      <c r="N73" s="25">
        <v>0</v>
      </c>
    </row>
    <row r="74" spans="1:14" x14ac:dyDescent="0.15">
      <c r="A74" s="27" t="s">
        <v>344</v>
      </c>
      <c r="B74" s="27" t="s">
        <v>127</v>
      </c>
      <c r="D74" s="27" t="s">
        <v>119</v>
      </c>
      <c r="E74" s="27" t="s">
        <v>32</v>
      </c>
      <c r="F74" s="132" t="s">
        <v>300</v>
      </c>
      <c r="G74" s="132" t="s">
        <v>145</v>
      </c>
      <c r="H74" s="26">
        <v>0.82199999999999995</v>
      </c>
      <c r="I74" s="27" t="s">
        <v>121</v>
      </c>
      <c r="J74" s="132" t="s">
        <v>345</v>
      </c>
      <c r="K74" s="132" t="s">
        <v>171</v>
      </c>
      <c r="L74" s="26">
        <v>0.69799999999999995</v>
      </c>
      <c r="M74" s="132" t="s">
        <v>346</v>
      </c>
      <c r="N74" s="25">
        <v>0</v>
      </c>
    </row>
    <row r="75" spans="1:14" x14ac:dyDescent="0.15">
      <c r="A75" s="27" t="s">
        <v>344</v>
      </c>
      <c r="B75" s="27" t="s">
        <v>127</v>
      </c>
      <c r="D75" s="27" t="s">
        <v>119</v>
      </c>
      <c r="E75" s="27" t="s">
        <v>32</v>
      </c>
      <c r="F75" s="132" t="s">
        <v>136</v>
      </c>
      <c r="G75" s="132" t="s">
        <v>301</v>
      </c>
      <c r="H75" s="26">
        <v>0.81899999999999995</v>
      </c>
      <c r="I75" s="27" t="s">
        <v>121</v>
      </c>
      <c r="J75" s="132" t="s">
        <v>347</v>
      </c>
      <c r="K75" s="132" t="s">
        <v>201</v>
      </c>
      <c r="L75" s="26">
        <v>0.68899999999999995</v>
      </c>
      <c r="M75" s="132" t="s">
        <v>158</v>
      </c>
      <c r="N75" s="25">
        <v>0</v>
      </c>
    </row>
    <row r="76" spans="1:14" x14ac:dyDescent="0.15">
      <c r="A76" s="27" t="s">
        <v>348</v>
      </c>
      <c r="B76" s="27" t="s">
        <v>127</v>
      </c>
      <c r="D76" s="27" t="s">
        <v>119</v>
      </c>
      <c r="E76" s="27" t="s">
        <v>32</v>
      </c>
      <c r="F76" s="132" t="s">
        <v>131</v>
      </c>
      <c r="G76" s="132" t="s">
        <v>349</v>
      </c>
      <c r="H76" s="26">
        <v>0.81200000000000006</v>
      </c>
      <c r="I76" s="27" t="s">
        <v>121</v>
      </c>
      <c r="J76" s="132" t="s">
        <v>350</v>
      </c>
      <c r="K76" s="132" t="s">
        <v>125</v>
      </c>
      <c r="L76" s="26">
        <v>0.68300000000000005</v>
      </c>
      <c r="M76" s="132" t="s">
        <v>351</v>
      </c>
      <c r="N76" s="25">
        <v>0</v>
      </c>
    </row>
    <row r="77" spans="1:14" x14ac:dyDescent="0.15">
      <c r="A77" s="27" t="s">
        <v>348</v>
      </c>
      <c r="B77" s="27" t="s">
        <v>127</v>
      </c>
      <c r="D77" s="27" t="s">
        <v>119</v>
      </c>
      <c r="E77" s="27" t="s">
        <v>32</v>
      </c>
      <c r="F77" s="132" t="s">
        <v>352</v>
      </c>
      <c r="G77" s="132" t="s">
        <v>353</v>
      </c>
      <c r="H77" s="26">
        <v>0.82099999999999995</v>
      </c>
      <c r="I77" s="27" t="s">
        <v>121</v>
      </c>
      <c r="J77" s="132" t="s">
        <v>302</v>
      </c>
      <c r="K77" s="132" t="s">
        <v>354</v>
      </c>
      <c r="L77" s="26">
        <v>0.68600000000000005</v>
      </c>
      <c r="M77" s="132" t="s">
        <v>355</v>
      </c>
      <c r="N77" s="25">
        <v>0</v>
      </c>
    </row>
    <row r="78" spans="1:14" x14ac:dyDescent="0.15">
      <c r="A78" s="27" t="s">
        <v>356</v>
      </c>
      <c r="B78" s="27" t="s">
        <v>127</v>
      </c>
      <c r="D78" s="27" t="s">
        <v>119</v>
      </c>
      <c r="E78" s="27" t="s">
        <v>32</v>
      </c>
      <c r="F78" s="132" t="s">
        <v>357</v>
      </c>
      <c r="G78" s="132" t="s">
        <v>358</v>
      </c>
      <c r="H78" s="26">
        <v>0.82699999999999996</v>
      </c>
      <c r="I78" s="27" t="s">
        <v>121</v>
      </c>
      <c r="J78" s="132" t="s">
        <v>359</v>
      </c>
      <c r="K78" s="132" t="s">
        <v>192</v>
      </c>
      <c r="L78" s="26">
        <v>0.69299999999999995</v>
      </c>
      <c r="M78" s="132" t="s">
        <v>360</v>
      </c>
      <c r="N78" s="25">
        <v>0</v>
      </c>
    </row>
    <row r="79" spans="1:14" x14ac:dyDescent="0.15">
      <c r="A79" s="27" t="s">
        <v>356</v>
      </c>
      <c r="B79" s="27" t="s">
        <v>127</v>
      </c>
      <c r="D79" s="27" t="s">
        <v>119</v>
      </c>
      <c r="E79" s="27" t="s">
        <v>32</v>
      </c>
      <c r="F79" s="132" t="s">
        <v>164</v>
      </c>
      <c r="G79" s="132" t="s">
        <v>165</v>
      </c>
      <c r="H79" s="26">
        <v>0.82099999999999995</v>
      </c>
      <c r="I79" s="27" t="s">
        <v>121</v>
      </c>
      <c r="J79" s="132" t="s">
        <v>339</v>
      </c>
      <c r="K79" s="132" t="s">
        <v>354</v>
      </c>
      <c r="L79" s="26">
        <v>0.69799999999999995</v>
      </c>
      <c r="M79" s="132" t="s">
        <v>331</v>
      </c>
      <c r="N79" s="25">
        <v>0</v>
      </c>
    </row>
    <row r="80" spans="1:14" x14ac:dyDescent="0.15">
      <c r="A80" s="27" t="s">
        <v>361</v>
      </c>
      <c r="B80" s="27" t="s">
        <v>127</v>
      </c>
      <c r="D80" s="27" t="s">
        <v>119</v>
      </c>
      <c r="E80" s="27" t="s">
        <v>32</v>
      </c>
      <c r="F80" s="132" t="s">
        <v>362</v>
      </c>
      <c r="G80" s="132" t="s">
        <v>328</v>
      </c>
      <c r="H80" s="26">
        <v>0.83</v>
      </c>
      <c r="I80" s="27" t="s">
        <v>121</v>
      </c>
      <c r="J80" s="132" t="s">
        <v>170</v>
      </c>
      <c r="K80" s="132" t="s">
        <v>167</v>
      </c>
      <c r="L80" s="26">
        <v>0.71699999999999997</v>
      </c>
      <c r="M80" s="132" t="s">
        <v>363</v>
      </c>
      <c r="N80" s="25">
        <v>0</v>
      </c>
    </row>
    <row r="81" spans="1:14" x14ac:dyDescent="0.15">
      <c r="A81" s="27" t="s">
        <v>361</v>
      </c>
      <c r="B81" s="27" t="s">
        <v>127</v>
      </c>
      <c r="D81" s="27" t="s">
        <v>119</v>
      </c>
      <c r="E81" s="27" t="s">
        <v>32</v>
      </c>
      <c r="F81" s="132" t="s">
        <v>160</v>
      </c>
      <c r="G81" s="132" t="s">
        <v>155</v>
      </c>
      <c r="H81" s="26">
        <v>0.8</v>
      </c>
      <c r="I81" s="27" t="s">
        <v>121</v>
      </c>
      <c r="J81" s="132" t="s">
        <v>364</v>
      </c>
      <c r="K81" s="132" t="s">
        <v>179</v>
      </c>
      <c r="L81" s="26">
        <v>0.68</v>
      </c>
      <c r="M81" s="132" t="s">
        <v>365</v>
      </c>
      <c r="N81" s="25">
        <v>0</v>
      </c>
    </row>
    <row r="82" spans="1:14" x14ac:dyDescent="0.15">
      <c r="A82" s="27" t="s">
        <v>366</v>
      </c>
      <c r="B82" s="27" t="s">
        <v>127</v>
      </c>
      <c r="D82" s="27" t="s">
        <v>119</v>
      </c>
      <c r="E82" s="27" t="s">
        <v>32</v>
      </c>
      <c r="F82" s="132" t="s">
        <v>367</v>
      </c>
      <c r="G82" s="132" t="s">
        <v>140</v>
      </c>
      <c r="H82" s="26">
        <v>0.82299999999999995</v>
      </c>
      <c r="I82" s="27" t="s">
        <v>121</v>
      </c>
      <c r="J82" s="132" t="s">
        <v>162</v>
      </c>
      <c r="K82" s="132" t="s">
        <v>368</v>
      </c>
      <c r="L82" s="26">
        <v>0.69199999999999995</v>
      </c>
      <c r="M82" s="132" t="s">
        <v>369</v>
      </c>
      <c r="N82" s="25">
        <v>0</v>
      </c>
    </row>
    <row r="83" spans="1:14" x14ac:dyDescent="0.15">
      <c r="A83" s="27" t="s">
        <v>366</v>
      </c>
      <c r="B83" s="27" t="s">
        <v>127</v>
      </c>
      <c r="D83" s="27" t="s">
        <v>119</v>
      </c>
      <c r="E83" s="27" t="s">
        <v>32</v>
      </c>
      <c r="F83" s="132" t="s">
        <v>139</v>
      </c>
      <c r="G83" s="132" t="s">
        <v>161</v>
      </c>
      <c r="H83" s="26">
        <v>0.85</v>
      </c>
      <c r="I83" s="27" t="s">
        <v>121</v>
      </c>
      <c r="J83" s="132" t="s">
        <v>370</v>
      </c>
      <c r="K83" s="132" t="s">
        <v>179</v>
      </c>
      <c r="L83" s="26">
        <v>0.71399999999999997</v>
      </c>
      <c r="M83" s="132" t="s">
        <v>304</v>
      </c>
      <c r="N83" s="25">
        <v>0</v>
      </c>
    </row>
    <row r="84" spans="1:14" x14ac:dyDescent="0.15">
      <c r="A84" s="27" t="s">
        <v>371</v>
      </c>
      <c r="B84" s="27" t="s">
        <v>127</v>
      </c>
      <c r="D84" s="27" t="s">
        <v>119</v>
      </c>
      <c r="E84" s="27" t="s">
        <v>32</v>
      </c>
      <c r="F84" s="132" t="s">
        <v>357</v>
      </c>
      <c r="G84" s="132" t="s">
        <v>372</v>
      </c>
      <c r="H84" s="26">
        <v>0.82</v>
      </c>
      <c r="I84" s="27" t="s">
        <v>121</v>
      </c>
      <c r="J84" s="132" t="s">
        <v>373</v>
      </c>
      <c r="K84" s="132" t="s">
        <v>311</v>
      </c>
      <c r="L84" s="26">
        <v>0.70099999999999996</v>
      </c>
      <c r="M84" s="132" t="s">
        <v>374</v>
      </c>
      <c r="N84" s="25">
        <v>0</v>
      </c>
    </row>
    <row r="85" spans="1:14" x14ac:dyDescent="0.15">
      <c r="A85" s="27" t="s">
        <v>371</v>
      </c>
      <c r="B85" s="27" t="s">
        <v>127</v>
      </c>
      <c r="D85" s="27" t="s">
        <v>119</v>
      </c>
      <c r="E85" s="27" t="s">
        <v>32</v>
      </c>
      <c r="F85" s="132" t="s">
        <v>375</v>
      </c>
      <c r="G85" s="132" t="s">
        <v>372</v>
      </c>
      <c r="H85" s="26">
        <v>0.82799999999999996</v>
      </c>
      <c r="I85" s="27" t="s">
        <v>121</v>
      </c>
      <c r="J85" s="132" t="s">
        <v>376</v>
      </c>
      <c r="K85" s="132" t="s">
        <v>338</v>
      </c>
      <c r="L85" s="26">
        <v>0.71499999999999997</v>
      </c>
      <c r="M85" s="132" t="s">
        <v>377</v>
      </c>
      <c r="N85" s="25">
        <v>0</v>
      </c>
    </row>
    <row r="87" spans="1:14" x14ac:dyDescent="0.15">
      <c r="A87" s="27" t="s">
        <v>88</v>
      </c>
    </row>
    <row r="88" spans="1:14" x14ac:dyDescent="0.15">
      <c r="A88" s="27" t="s">
        <v>89</v>
      </c>
    </row>
    <row r="89" spans="1:14" x14ac:dyDescent="0.15">
      <c r="A89" s="27" t="s">
        <v>90</v>
      </c>
    </row>
    <row r="91" spans="1:14" x14ac:dyDescent="0.15">
      <c r="A91" s="27" t="s">
        <v>378</v>
      </c>
    </row>
    <row r="92" spans="1:14" x14ac:dyDescent="0.15">
      <c r="A92" s="27" t="s">
        <v>92</v>
      </c>
    </row>
    <row r="93" spans="1:14" x14ac:dyDescent="0.15">
      <c r="A93" s="27" t="s">
        <v>379</v>
      </c>
    </row>
    <row r="95" spans="1:14" x14ac:dyDescent="0.15">
      <c r="A95" s="27" t="s">
        <v>94</v>
      </c>
      <c r="B95" s="27" t="s">
        <v>95</v>
      </c>
      <c r="C95" s="27" t="s">
        <v>96</v>
      </c>
      <c r="D95" s="27" t="s">
        <v>97</v>
      </c>
      <c r="E95" s="27" t="s">
        <v>98</v>
      </c>
      <c r="F95" s="27" t="s">
        <v>99</v>
      </c>
    </row>
    <row r="96" spans="1:14" x14ac:dyDescent="0.15">
      <c r="A96" s="27" t="s">
        <v>100</v>
      </c>
      <c r="B96" s="27" t="s">
        <v>101</v>
      </c>
    </row>
    <row r="97" spans="1:14" x14ac:dyDescent="0.15">
      <c r="A97" s="27" t="s">
        <v>102</v>
      </c>
    </row>
    <row r="101" spans="1:14" x14ac:dyDescent="0.15">
      <c r="A101" s="27" t="s">
        <v>103</v>
      </c>
      <c r="B101" s="27" t="s">
        <v>104</v>
      </c>
      <c r="C101" s="27" t="s">
        <v>105</v>
      </c>
      <c r="D101" s="27" t="s">
        <v>106</v>
      </c>
      <c r="E101" s="27" t="s">
        <v>107</v>
      </c>
      <c r="F101" s="27" t="s">
        <v>108</v>
      </c>
      <c r="G101" s="27" t="s">
        <v>109</v>
      </c>
      <c r="H101" s="28" t="s">
        <v>110</v>
      </c>
      <c r="I101" s="27" t="s">
        <v>111</v>
      </c>
      <c r="J101" s="27" t="s">
        <v>112</v>
      </c>
      <c r="K101" s="27" t="s">
        <v>113</v>
      </c>
      <c r="L101" s="28" t="s">
        <v>114</v>
      </c>
      <c r="M101" s="27" t="s">
        <v>115</v>
      </c>
      <c r="N101" s="27" t="s">
        <v>116</v>
      </c>
    </row>
    <row r="102" spans="1:14" x14ac:dyDescent="0.15">
      <c r="A102" s="27" t="s">
        <v>117</v>
      </c>
      <c r="B102" s="27" t="s">
        <v>118</v>
      </c>
      <c r="D102" s="27" t="s">
        <v>380</v>
      </c>
      <c r="E102" s="27" t="s">
        <v>381</v>
      </c>
      <c r="F102" s="132" t="s">
        <v>120</v>
      </c>
      <c r="G102" s="132" t="s">
        <v>120</v>
      </c>
      <c r="H102" s="26">
        <v>0</v>
      </c>
      <c r="I102" s="27" t="s">
        <v>121</v>
      </c>
      <c r="J102" s="132" t="s">
        <v>382</v>
      </c>
      <c r="K102" s="132" t="s">
        <v>383</v>
      </c>
      <c r="L102" s="26">
        <v>0.84499999999999997</v>
      </c>
      <c r="M102" s="132" t="s">
        <v>120</v>
      </c>
      <c r="N102" s="25">
        <v>0</v>
      </c>
    </row>
    <row r="103" spans="1:14" x14ac:dyDescent="0.15">
      <c r="A103" s="27" t="s">
        <v>117</v>
      </c>
      <c r="B103" s="27" t="s">
        <v>118</v>
      </c>
      <c r="D103" s="27" t="s">
        <v>380</v>
      </c>
      <c r="E103" s="27" t="s">
        <v>381</v>
      </c>
      <c r="F103" s="132" t="s">
        <v>120</v>
      </c>
      <c r="G103" s="132" t="s">
        <v>120</v>
      </c>
      <c r="H103" s="26">
        <v>0</v>
      </c>
      <c r="I103" s="27" t="s">
        <v>121</v>
      </c>
      <c r="J103" s="132" t="s">
        <v>384</v>
      </c>
      <c r="K103" s="132" t="s">
        <v>385</v>
      </c>
      <c r="L103" s="26">
        <v>0.82799999999999996</v>
      </c>
      <c r="M103" s="132" t="s">
        <v>120</v>
      </c>
      <c r="N103" s="25">
        <v>0</v>
      </c>
    </row>
    <row r="104" spans="1:14" x14ac:dyDescent="0.15">
      <c r="A104" s="27" t="s">
        <v>386</v>
      </c>
      <c r="B104" s="27" t="s">
        <v>127</v>
      </c>
      <c r="D104" s="27" t="s">
        <v>380</v>
      </c>
      <c r="E104" s="27" t="s">
        <v>381</v>
      </c>
      <c r="F104" s="132" t="s">
        <v>120</v>
      </c>
      <c r="G104" s="132" t="s">
        <v>120</v>
      </c>
      <c r="H104" s="26">
        <v>0</v>
      </c>
      <c r="I104" s="27" t="s">
        <v>121</v>
      </c>
      <c r="J104" s="132" t="s">
        <v>387</v>
      </c>
      <c r="K104" s="132" t="s">
        <v>388</v>
      </c>
      <c r="L104" s="26">
        <v>0.83899999999999997</v>
      </c>
      <c r="M104" s="132" t="s">
        <v>120</v>
      </c>
      <c r="N104" s="25">
        <v>0</v>
      </c>
    </row>
    <row r="105" spans="1:14" x14ac:dyDescent="0.15">
      <c r="A105" s="27" t="s">
        <v>386</v>
      </c>
      <c r="B105" s="27" t="s">
        <v>127</v>
      </c>
      <c r="D105" s="27" t="s">
        <v>380</v>
      </c>
      <c r="E105" s="27" t="s">
        <v>381</v>
      </c>
      <c r="F105" s="132" t="s">
        <v>120</v>
      </c>
      <c r="G105" s="132" t="s">
        <v>120</v>
      </c>
      <c r="H105" s="26">
        <v>0</v>
      </c>
      <c r="I105" s="27" t="s">
        <v>121</v>
      </c>
      <c r="J105" s="132" t="s">
        <v>389</v>
      </c>
      <c r="K105" s="132" t="s">
        <v>390</v>
      </c>
      <c r="L105" s="26">
        <v>0.83599999999999997</v>
      </c>
      <c r="M105" s="132" t="s">
        <v>120</v>
      </c>
      <c r="N105" s="25">
        <v>0</v>
      </c>
    </row>
    <row r="106" spans="1:14" x14ac:dyDescent="0.15">
      <c r="A106" s="27" t="s">
        <v>391</v>
      </c>
      <c r="B106" s="27" t="s">
        <v>127</v>
      </c>
      <c r="D106" s="27" t="s">
        <v>380</v>
      </c>
      <c r="E106" s="27" t="s">
        <v>381</v>
      </c>
      <c r="F106" s="132" t="s">
        <v>120</v>
      </c>
      <c r="G106" s="132" t="s">
        <v>120</v>
      </c>
      <c r="H106" s="26">
        <v>0</v>
      </c>
      <c r="I106" s="27" t="s">
        <v>121</v>
      </c>
      <c r="J106" s="132" t="s">
        <v>392</v>
      </c>
      <c r="K106" s="132" t="s">
        <v>393</v>
      </c>
      <c r="L106" s="26">
        <v>0.83399999999999996</v>
      </c>
      <c r="M106" s="132" t="s">
        <v>120</v>
      </c>
      <c r="N106" s="25">
        <v>0</v>
      </c>
    </row>
    <row r="107" spans="1:14" x14ac:dyDescent="0.15">
      <c r="A107" s="27" t="s">
        <v>391</v>
      </c>
      <c r="B107" s="27" t="s">
        <v>127</v>
      </c>
      <c r="D107" s="27" t="s">
        <v>380</v>
      </c>
      <c r="E107" s="27" t="s">
        <v>381</v>
      </c>
      <c r="F107" s="132" t="s">
        <v>120</v>
      </c>
      <c r="G107" s="132" t="s">
        <v>120</v>
      </c>
      <c r="H107" s="26">
        <v>0</v>
      </c>
      <c r="I107" s="27" t="s">
        <v>121</v>
      </c>
      <c r="J107" s="132" t="s">
        <v>394</v>
      </c>
      <c r="K107" s="132" t="s">
        <v>395</v>
      </c>
      <c r="L107" s="26">
        <v>0.83799999999999997</v>
      </c>
      <c r="M107" s="132" t="s">
        <v>120</v>
      </c>
      <c r="N107" s="25">
        <v>0</v>
      </c>
    </row>
    <row r="108" spans="1:14" x14ac:dyDescent="0.15">
      <c r="A108" s="27" t="s">
        <v>396</v>
      </c>
      <c r="B108" s="27" t="s">
        <v>127</v>
      </c>
      <c r="D108" s="27" t="s">
        <v>380</v>
      </c>
      <c r="E108" s="27" t="s">
        <v>381</v>
      </c>
      <c r="F108" s="132" t="s">
        <v>397</v>
      </c>
      <c r="G108" s="132" t="s">
        <v>398</v>
      </c>
      <c r="H108" s="26">
        <v>0.83</v>
      </c>
      <c r="I108" s="27" t="s">
        <v>121</v>
      </c>
      <c r="J108" s="132" t="s">
        <v>399</v>
      </c>
      <c r="K108" s="132" t="s">
        <v>400</v>
      </c>
      <c r="L108" s="26">
        <v>0.83599999999999997</v>
      </c>
      <c r="M108" s="132" t="s">
        <v>401</v>
      </c>
      <c r="N108" s="25">
        <v>0</v>
      </c>
    </row>
    <row r="109" spans="1:14" x14ac:dyDescent="0.15">
      <c r="A109" s="27" t="s">
        <v>396</v>
      </c>
      <c r="B109" s="27" t="s">
        <v>127</v>
      </c>
      <c r="D109" s="27" t="s">
        <v>380</v>
      </c>
      <c r="E109" s="27" t="s">
        <v>381</v>
      </c>
      <c r="F109" s="132" t="s">
        <v>402</v>
      </c>
      <c r="G109" s="132" t="s">
        <v>403</v>
      </c>
      <c r="H109" s="26">
        <v>0.83299999999999996</v>
      </c>
      <c r="I109" s="27" t="s">
        <v>121</v>
      </c>
      <c r="J109" s="132" t="s">
        <v>392</v>
      </c>
      <c r="K109" s="132" t="s">
        <v>404</v>
      </c>
      <c r="L109" s="26">
        <v>0.83699999999999997</v>
      </c>
      <c r="M109" s="132" t="s">
        <v>405</v>
      </c>
      <c r="N109" s="25">
        <v>0</v>
      </c>
    </row>
    <row r="110" spans="1:14" x14ac:dyDescent="0.15">
      <c r="A110" s="27" t="s">
        <v>406</v>
      </c>
      <c r="B110" s="27" t="s">
        <v>127</v>
      </c>
      <c r="D110" s="27" t="s">
        <v>380</v>
      </c>
      <c r="E110" s="27" t="s">
        <v>381</v>
      </c>
      <c r="F110" s="132" t="s">
        <v>407</v>
      </c>
      <c r="G110" s="132" t="s">
        <v>408</v>
      </c>
      <c r="H110" s="26">
        <v>0.83099999999999996</v>
      </c>
      <c r="I110" s="27" t="s">
        <v>121</v>
      </c>
      <c r="J110" s="132" t="s">
        <v>384</v>
      </c>
      <c r="K110" s="132" t="s">
        <v>409</v>
      </c>
      <c r="L110" s="26">
        <v>0.83699999999999997</v>
      </c>
      <c r="M110" s="132" t="s">
        <v>410</v>
      </c>
      <c r="N110" s="25">
        <v>0</v>
      </c>
    </row>
    <row r="111" spans="1:14" x14ac:dyDescent="0.15">
      <c r="A111" s="27" t="s">
        <v>406</v>
      </c>
      <c r="B111" s="27" t="s">
        <v>127</v>
      </c>
      <c r="D111" s="27" t="s">
        <v>380</v>
      </c>
      <c r="E111" s="27" t="s">
        <v>381</v>
      </c>
      <c r="F111" s="132" t="s">
        <v>411</v>
      </c>
      <c r="G111" s="132" t="s">
        <v>412</v>
      </c>
      <c r="H111" s="26">
        <v>0.82699999999999996</v>
      </c>
      <c r="I111" s="27" t="s">
        <v>121</v>
      </c>
      <c r="J111" s="132" t="s">
        <v>413</v>
      </c>
      <c r="K111" s="132" t="s">
        <v>383</v>
      </c>
      <c r="L111" s="26">
        <v>0.83199999999999996</v>
      </c>
      <c r="M111" s="132" t="s">
        <v>414</v>
      </c>
      <c r="N111" s="25">
        <v>0</v>
      </c>
    </row>
    <row r="112" spans="1:14" x14ac:dyDescent="0.15">
      <c r="A112" s="27" t="s">
        <v>415</v>
      </c>
      <c r="B112" s="27" t="s">
        <v>127</v>
      </c>
      <c r="D112" s="27" t="s">
        <v>380</v>
      </c>
      <c r="E112" s="27" t="s">
        <v>381</v>
      </c>
      <c r="F112" s="132" t="s">
        <v>416</v>
      </c>
      <c r="G112" s="132" t="s">
        <v>417</v>
      </c>
      <c r="H112" s="26">
        <v>0.83099999999999996</v>
      </c>
      <c r="I112" s="27" t="s">
        <v>121</v>
      </c>
      <c r="J112" s="132" t="s">
        <v>418</v>
      </c>
      <c r="K112" s="132" t="s">
        <v>390</v>
      </c>
      <c r="L112" s="26">
        <v>0.83699999999999997</v>
      </c>
      <c r="M112" s="132" t="s">
        <v>419</v>
      </c>
      <c r="N112" s="25">
        <v>0</v>
      </c>
    </row>
    <row r="113" spans="1:14" x14ac:dyDescent="0.15">
      <c r="A113" s="27" t="s">
        <v>415</v>
      </c>
      <c r="B113" s="27" t="s">
        <v>127</v>
      </c>
      <c r="D113" s="27" t="s">
        <v>380</v>
      </c>
      <c r="E113" s="27" t="s">
        <v>381</v>
      </c>
      <c r="F113" s="132" t="s">
        <v>420</v>
      </c>
      <c r="G113" s="132" t="s">
        <v>421</v>
      </c>
      <c r="H113" s="26">
        <v>0.83099999999999996</v>
      </c>
      <c r="I113" s="27" t="s">
        <v>121</v>
      </c>
      <c r="J113" s="132" t="s">
        <v>394</v>
      </c>
      <c r="K113" s="132" t="s">
        <v>422</v>
      </c>
      <c r="L113" s="26">
        <v>0.83699999999999997</v>
      </c>
      <c r="M113" s="132" t="s">
        <v>423</v>
      </c>
      <c r="N113" s="25">
        <v>0</v>
      </c>
    </row>
    <row r="114" spans="1:14" x14ac:dyDescent="0.15">
      <c r="A114" s="27" t="s">
        <v>424</v>
      </c>
      <c r="B114" s="27" t="s">
        <v>127</v>
      </c>
      <c r="D114" s="27" t="s">
        <v>380</v>
      </c>
      <c r="E114" s="27" t="s">
        <v>381</v>
      </c>
      <c r="F114" s="132" t="s">
        <v>151</v>
      </c>
      <c r="G114" s="132" t="s">
        <v>425</v>
      </c>
      <c r="H114" s="26">
        <v>0.82799999999999996</v>
      </c>
      <c r="I114" s="27" t="s">
        <v>121</v>
      </c>
      <c r="J114" s="132" t="s">
        <v>413</v>
      </c>
      <c r="K114" s="132" t="s">
        <v>426</v>
      </c>
      <c r="L114" s="26">
        <v>0.83399999999999996</v>
      </c>
      <c r="M114" s="132" t="s">
        <v>427</v>
      </c>
      <c r="N114" s="25">
        <v>0</v>
      </c>
    </row>
    <row r="115" spans="1:14" x14ac:dyDescent="0.15">
      <c r="A115" s="27" t="s">
        <v>424</v>
      </c>
      <c r="B115" s="27" t="s">
        <v>127</v>
      </c>
      <c r="D115" s="27" t="s">
        <v>380</v>
      </c>
      <c r="E115" s="27" t="s">
        <v>381</v>
      </c>
      <c r="F115" s="132" t="s">
        <v>328</v>
      </c>
      <c r="G115" s="132" t="s">
        <v>428</v>
      </c>
      <c r="H115" s="26">
        <v>0.82899999999999996</v>
      </c>
      <c r="I115" s="27" t="s">
        <v>121</v>
      </c>
      <c r="J115" s="132" t="s">
        <v>429</v>
      </c>
      <c r="K115" s="132" t="s">
        <v>430</v>
      </c>
      <c r="L115" s="26">
        <v>0.83399999999999996</v>
      </c>
      <c r="M115" s="132" t="s">
        <v>431</v>
      </c>
      <c r="N115" s="25">
        <v>0</v>
      </c>
    </row>
    <row r="116" spans="1:14" x14ac:dyDescent="0.15">
      <c r="A116" s="27" t="s">
        <v>117</v>
      </c>
      <c r="B116" s="27" t="s">
        <v>118</v>
      </c>
      <c r="D116" s="27" t="s">
        <v>380</v>
      </c>
      <c r="E116" s="27" t="s">
        <v>381</v>
      </c>
      <c r="F116" s="132" t="s">
        <v>120</v>
      </c>
      <c r="G116" s="132" t="s">
        <v>120</v>
      </c>
      <c r="H116" s="26">
        <v>0</v>
      </c>
      <c r="I116" s="27" t="s">
        <v>121</v>
      </c>
      <c r="J116" s="132" t="s">
        <v>432</v>
      </c>
      <c r="K116" s="132" t="s">
        <v>433</v>
      </c>
      <c r="L116" s="26">
        <v>0.83</v>
      </c>
      <c r="M116" s="132" t="s">
        <v>120</v>
      </c>
      <c r="N116" s="25">
        <v>0</v>
      </c>
    </row>
    <row r="117" spans="1:14" x14ac:dyDescent="0.15">
      <c r="A117" s="27" t="s">
        <v>117</v>
      </c>
      <c r="B117" s="27" t="s">
        <v>118</v>
      </c>
      <c r="D117" s="27" t="s">
        <v>380</v>
      </c>
      <c r="E117" s="27" t="s">
        <v>381</v>
      </c>
      <c r="F117" s="132" t="s">
        <v>120</v>
      </c>
      <c r="G117" s="132" t="s">
        <v>120</v>
      </c>
      <c r="H117" s="26">
        <v>0</v>
      </c>
      <c r="I117" s="27" t="s">
        <v>121</v>
      </c>
      <c r="J117" s="132" t="s">
        <v>434</v>
      </c>
      <c r="K117" s="132" t="s">
        <v>435</v>
      </c>
      <c r="L117" s="26">
        <v>0.83599999999999997</v>
      </c>
      <c r="M117" s="132" t="s">
        <v>120</v>
      </c>
      <c r="N117" s="25">
        <v>0</v>
      </c>
    </row>
    <row r="118" spans="1:14" x14ac:dyDescent="0.15">
      <c r="A118" s="27" t="s">
        <v>436</v>
      </c>
      <c r="B118" s="27" t="s">
        <v>127</v>
      </c>
      <c r="D118" s="27" t="s">
        <v>380</v>
      </c>
      <c r="E118" s="27" t="s">
        <v>381</v>
      </c>
      <c r="F118" s="132" t="s">
        <v>120</v>
      </c>
      <c r="G118" s="132" t="s">
        <v>120</v>
      </c>
      <c r="H118" s="26">
        <v>0</v>
      </c>
      <c r="I118" s="27" t="s">
        <v>121</v>
      </c>
      <c r="J118" s="132" t="s">
        <v>434</v>
      </c>
      <c r="K118" s="132" t="s">
        <v>437</v>
      </c>
      <c r="L118" s="26">
        <v>0.83899999999999997</v>
      </c>
      <c r="M118" s="132" t="s">
        <v>120</v>
      </c>
      <c r="N118" s="25">
        <v>0</v>
      </c>
    </row>
    <row r="119" spans="1:14" x14ac:dyDescent="0.15">
      <c r="A119" s="27" t="s">
        <v>436</v>
      </c>
      <c r="B119" s="27" t="s">
        <v>127</v>
      </c>
      <c r="D119" s="27" t="s">
        <v>380</v>
      </c>
      <c r="E119" s="27" t="s">
        <v>381</v>
      </c>
      <c r="F119" s="132" t="s">
        <v>120</v>
      </c>
      <c r="G119" s="132" t="s">
        <v>120</v>
      </c>
      <c r="H119" s="26">
        <v>0</v>
      </c>
      <c r="I119" s="27" t="s">
        <v>121</v>
      </c>
      <c r="J119" s="132" t="s">
        <v>413</v>
      </c>
      <c r="K119" s="132" t="s">
        <v>422</v>
      </c>
      <c r="L119" s="26">
        <v>0.83</v>
      </c>
      <c r="M119" s="132" t="s">
        <v>120</v>
      </c>
      <c r="N119" s="25">
        <v>0</v>
      </c>
    </row>
    <row r="120" spans="1:14" x14ac:dyDescent="0.15">
      <c r="A120" s="27" t="s">
        <v>438</v>
      </c>
      <c r="B120" s="27" t="s">
        <v>127</v>
      </c>
      <c r="D120" s="27" t="s">
        <v>380</v>
      </c>
      <c r="E120" s="27" t="s">
        <v>381</v>
      </c>
      <c r="F120" s="132" t="s">
        <v>120</v>
      </c>
      <c r="G120" s="132" t="s">
        <v>120</v>
      </c>
      <c r="H120" s="26">
        <v>0</v>
      </c>
      <c r="I120" s="27" t="s">
        <v>121</v>
      </c>
      <c r="J120" s="132" t="s">
        <v>439</v>
      </c>
      <c r="K120" s="132" t="s">
        <v>440</v>
      </c>
      <c r="L120" s="26">
        <v>0.83899999999999997</v>
      </c>
      <c r="M120" s="132" t="s">
        <v>120</v>
      </c>
      <c r="N120" s="25">
        <v>0</v>
      </c>
    </row>
    <row r="121" spans="1:14" x14ac:dyDescent="0.15">
      <c r="A121" s="27" t="s">
        <v>438</v>
      </c>
      <c r="B121" s="27" t="s">
        <v>127</v>
      </c>
      <c r="D121" s="27" t="s">
        <v>380</v>
      </c>
      <c r="E121" s="27" t="s">
        <v>381</v>
      </c>
      <c r="F121" s="132" t="s">
        <v>120</v>
      </c>
      <c r="G121" s="132" t="s">
        <v>120</v>
      </c>
      <c r="H121" s="26">
        <v>0</v>
      </c>
      <c r="I121" s="27" t="s">
        <v>121</v>
      </c>
      <c r="J121" s="132" t="s">
        <v>441</v>
      </c>
      <c r="K121" s="132" t="s">
        <v>442</v>
      </c>
      <c r="L121" s="26">
        <v>0.83799999999999997</v>
      </c>
      <c r="M121" s="132" t="s">
        <v>120</v>
      </c>
      <c r="N121" s="25">
        <v>0</v>
      </c>
    </row>
    <row r="122" spans="1:14" x14ac:dyDescent="0.15">
      <c r="A122" s="27" t="s">
        <v>443</v>
      </c>
      <c r="B122" s="27" t="s">
        <v>127</v>
      </c>
      <c r="D122" s="27" t="s">
        <v>380</v>
      </c>
      <c r="E122" s="27" t="s">
        <v>381</v>
      </c>
      <c r="F122" s="132" t="s">
        <v>120</v>
      </c>
      <c r="G122" s="132" t="s">
        <v>120</v>
      </c>
      <c r="H122" s="26">
        <v>0</v>
      </c>
      <c r="I122" s="27" t="s">
        <v>121</v>
      </c>
      <c r="J122" s="132" t="s">
        <v>441</v>
      </c>
      <c r="K122" s="132" t="s">
        <v>440</v>
      </c>
      <c r="L122" s="26">
        <v>0.84299999999999997</v>
      </c>
      <c r="M122" s="132" t="s">
        <v>120</v>
      </c>
      <c r="N122" s="25">
        <v>0</v>
      </c>
    </row>
    <row r="123" spans="1:14" x14ac:dyDescent="0.15">
      <c r="A123" s="27" t="s">
        <v>443</v>
      </c>
      <c r="B123" s="27" t="s">
        <v>127</v>
      </c>
      <c r="D123" s="27" t="s">
        <v>380</v>
      </c>
      <c r="E123" s="27" t="s">
        <v>381</v>
      </c>
      <c r="F123" s="132" t="s">
        <v>120</v>
      </c>
      <c r="G123" s="132" t="s">
        <v>120</v>
      </c>
      <c r="H123" s="26">
        <v>0</v>
      </c>
      <c r="I123" s="27" t="s">
        <v>121</v>
      </c>
      <c r="J123" s="132" t="s">
        <v>444</v>
      </c>
      <c r="K123" s="132" t="s">
        <v>445</v>
      </c>
      <c r="L123" s="26">
        <v>0.84099999999999997</v>
      </c>
      <c r="M123" s="132" t="s">
        <v>120</v>
      </c>
      <c r="N123" s="25">
        <v>0</v>
      </c>
    </row>
    <row r="124" spans="1:14" x14ac:dyDescent="0.15">
      <c r="A124" s="27" t="s">
        <v>446</v>
      </c>
      <c r="B124" s="27" t="s">
        <v>127</v>
      </c>
      <c r="D124" s="27" t="s">
        <v>380</v>
      </c>
      <c r="E124" s="27" t="s">
        <v>381</v>
      </c>
      <c r="F124" s="132" t="s">
        <v>120</v>
      </c>
      <c r="G124" s="132" t="s">
        <v>120</v>
      </c>
      <c r="H124" s="26">
        <v>0</v>
      </c>
      <c r="I124" s="27" t="s">
        <v>121</v>
      </c>
      <c r="J124" s="132" t="s">
        <v>447</v>
      </c>
      <c r="K124" s="132" t="s">
        <v>448</v>
      </c>
      <c r="L124" s="26">
        <v>0.83799999999999997</v>
      </c>
      <c r="M124" s="132" t="s">
        <v>120</v>
      </c>
      <c r="N124" s="25">
        <v>0</v>
      </c>
    </row>
    <row r="125" spans="1:14" x14ac:dyDescent="0.15">
      <c r="A125" s="27" t="s">
        <v>446</v>
      </c>
      <c r="B125" s="27" t="s">
        <v>127</v>
      </c>
      <c r="D125" s="27" t="s">
        <v>380</v>
      </c>
      <c r="E125" s="27" t="s">
        <v>381</v>
      </c>
      <c r="F125" s="132" t="s">
        <v>120</v>
      </c>
      <c r="G125" s="132" t="s">
        <v>120</v>
      </c>
      <c r="H125" s="26">
        <v>0</v>
      </c>
      <c r="I125" s="27" t="s">
        <v>121</v>
      </c>
      <c r="J125" s="132" t="s">
        <v>449</v>
      </c>
      <c r="K125" s="132" t="s">
        <v>450</v>
      </c>
      <c r="L125" s="26">
        <v>0.84099999999999997</v>
      </c>
      <c r="M125" s="132" t="s">
        <v>120</v>
      </c>
      <c r="N125" s="25">
        <v>0</v>
      </c>
    </row>
    <row r="126" spans="1:14" x14ac:dyDescent="0.15">
      <c r="A126" s="27" t="s">
        <v>451</v>
      </c>
      <c r="B126" s="27" t="s">
        <v>127</v>
      </c>
      <c r="D126" s="27" t="s">
        <v>380</v>
      </c>
      <c r="E126" s="27" t="s">
        <v>381</v>
      </c>
      <c r="F126" s="132" t="s">
        <v>452</v>
      </c>
      <c r="G126" s="132" t="s">
        <v>453</v>
      </c>
      <c r="H126" s="26">
        <v>0.83699999999999997</v>
      </c>
      <c r="I126" s="27" t="s">
        <v>121</v>
      </c>
      <c r="J126" s="132" t="s">
        <v>454</v>
      </c>
      <c r="K126" s="132" t="s">
        <v>433</v>
      </c>
      <c r="L126" s="26">
        <v>0.84299999999999997</v>
      </c>
      <c r="M126" s="132" t="s">
        <v>263</v>
      </c>
      <c r="N126" s="25">
        <v>0</v>
      </c>
    </row>
    <row r="127" spans="1:14" x14ac:dyDescent="0.15">
      <c r="A127" s="27" t="s">
        <v>451</v>
      </c>
      <c r="B127" s="27" t="s">
        <v>127</v>
      </c>
      <c r="D127" s="27" t="s">
        <v>380</v>
      </c>
      <c r="E127" s="27" t="s">
        <v>381</v>
      </c>
      <c r="F127" s="132" t="s">
        <v>455</v>
      </c>
      <c r="G127" s="132" t="s">
        <v>456</v>
      </c>
      <c r="H127" s="26">
        <v>0.83599999999999997</v>
      </c>
      <c r="I127" s="27" t="s">
        <v>121</v>
      </c>
      <c r="J127" s="132" t="s">
        <v>441</v>
      </c>
      <c r="K127" s="132" t="s">
        <v>442</v>
      </c>
      <c r="L127" s="26">
        <v>0.84099999999999997</v>
      </c>
      <c r="M127" s="132" t="s">
        <v>267</v>
      </c>
      <c r="N127" s="25">
        <v>0</v>
      </c>
    </row>
    <row r="128" spans="1:14" x14ac:dyDescent="0.15">
      <c r="A128" s="27" t="s">
        <v>457</v>
      </c>
      <c r="B128" s="27" t="s">
        <v>127</v>
      </c>
      <c r="D128" s="27" t="s">
        <v>380</v>
      </c>
      <c r="E128" s="27" t="s">
        <v>381</v>
      </c>
      <c r="F128" s="132" t="s">
        <v>145</v>
      </c>
      <c r="G128" s="132" t="s">
        <v>458</v>
      </c>
      <c r="H128" s="26">
        <v>0.83399999999999996</v>
      </c>
      <c r="I128" s="27" t="s">
        <v>121</v>
      </c>
      <c r="J128" s="132" t="s">
        <v>459</v>
      </c>
      <c r="K128" s="132" t="s">
        <v>460</v>
      </c>
      <c r="L128" s="26">
        <v>0.83799999999999997</v>
      </c>
      <c r="M128" s="132" t="s">
        <v>461</v>
      </c>
      <c r="N128" s="25">
        <v>0</v>
      </c>
    </row>
    <row r="129" spans="1:14" x14ac:dyDescent="0.15">
      <c r="A129" s="27" t="s">
        <v>457</v>
      </c>
      <c r="B129" s="27" t="s">
        <v>127</v>
      </c>
      <c r="D129" s="27" t="s">
        <v>380</v>
      </c>
      <c r="E129" s="27" t="s">
        <v>381</v>
      </c>
      <c r="F129" s="132" t="s">
        <v>145</v>
      </c>
      <c r="G129" s="132" t="s">
        <v>462</v>
      </c>
      <c r="H129" s="26">
        <v>0.83699999999999997</v>
      </c>
      <c r="I129" s="27" t="s">
        <v>121</v>
      </c>
      <c r="J129" s="132" t="s">
        <v>463</v>
      </c>
      <c r="K129" s="132" t="s">
        <v>464</v>
      </c>
      <c r="L129" s="26">
        <v>0.84199999999999997</v>
      </c>
      <c r="M129" s="132" t="s">
        <v>465</v>
      </c>
      <c r="N129" s="25">
        <v>0</v>
      </c>
    </row>
    <row r="135" spans="1:14" x14ac:dyDescent="0.15">
      <c r="A135" s="27" t="s">
        <v>88</v>
      </c>
    </row>
    <row r="136" spans="1:14" x14ac:dyDescent="0.15">
      <c r="A136" s="27" t="s">
        <v>89</v>
      </c>
    </row>
    <row r="137" spans="1:14" x14ac:dyDescent="0.15">
      <c r="A137" s="27" t="s">
        <v>90</v>
      </c>
    </row>
    <row r="139" spans="1:14" x14ac:dyDescent="0.15">
      <c r="A139" s="27" t="s">
        <v>466</v>
      </c>
    </row>
    <row r="140" spans="1:14" x14ac:dyDescent="0.15">
      <c r="A140" s="27" t="s">
        <v>92</v>
      </c>
    </row>
    <row r="141" spans="1:14" x14ac:dyDescent="0.15">
      <c r="A141" s="27" t="s">
        <v>467</v>
      </c>
    </row>
    <row r="143" spans="1:14" x14ac:dyDescent="0.15">
      <c r="A143" s="27" t="s">
        <v>94</v>
      </c>
      <c r="B143" s="27" t="s">
        <v>95</v>
      </c>
      <c r="C143" s="27" t="s">
        <v>96</v>
      </c>
      <c r="D143" s="27" t="s">
        <v>97</v>
      </c>
      <c r="E143" s="27" t="s">
        <v>98</v>
      </c>
      <c r="F143" s="27" t="s">
        <v>99</v>
      </c>
    </row>
    <row r="144" spans="1:14" x14ac:dyDescent="0.15">
      <c r="A144" s="27" t="s">
        <v>100</v>
      </c>
      <c r="B144" s="27" t="s">
        <v>101</v>
      </c>
    </row>
    <row r="145" spans="1:14" x14ac:dyDescent="0.15">
      <c r="A145" s="27" t="s">
        <v>102</v>
      </c>
    </row>
    <row r="149" spans="1:14" x14ac:dyDescent="0.15">
      <c r="A149" s="27" t="s">
        <v>103</v>
      </c>
      <c r="B149" s="27" t="s">
        <v>104</v>
      </c>
      <c r="C149" s="27" t="s">
        <v>105</v>
      </c>
      <c r="D149" s="27" t="s">
        <v>106</v>
      </c>
      <c r="E149" s="27" t="s">
        <v>107</v>
      </c>
      <c r="F149" s="27" t="s">
        <v>108</v>
      </c>
      <c r="G149" s="27" t="s">
        <v>109</v>
      </c>
      <c r="H149" s="28" t="s">
        <v>110</v>
      </c>
      <c r="I149" s="27" t="s">
        <v>111</v>
      </c>
      <c r="J149" s="27" t="s">
        <v>112</v>
      </c>
      <c r="K149" s="27" t="s">
        <v>113</v>
      </c>
      <c r="L149" s="28" t="s">
        <v>114</v>
      </c>
      <c r="M149" s="27" t="s">
        <v>115</v>
      </c>
      <c r="N149" s="27" t="s">
        <v>116</v>
      </c>
    </row>
    <row r="150" spans="1:14" x14ac:dyDescent="0.15">
      <c r="A150" s="27" t="s">
        <v>117</v>
      </c>
      <c r="B150" s="27" t="s">
        <v>118</v>
      </c>
      <c r="D150" s="27" t="s">
        <v>380</v>
      </c>
      <c r="E150" s="27" t="s">
        <v>40</v>
      </c>
      <c r="F150" s="132" t="s">
        <v>120</v>
      </c>
      <c r="G150" s="132" t="s">
        <v>120</v>
      </c>
      <c r="H150" s="26">
        <v>0</v>
      </c>
      <c r="I150" s="27" t="s">
        <v>121</v>
      </c>
      <c r="J150" s="132" t="s">
        <v>468</v>
      </c>
      <c r="K150" s="132" t="s">
        <v>469</v>
      </c>
      <c r="L150" s="26">
        <v>0.91</v>
      </c>
      <c r="M150" s="132" t="s">
        <v>120</v>
      </c>
      <c r="N150" s="25">
        <v>0</v>
      </c>
    </row>
    <row r="151" spans="1:14" x14ac:dyDescent="0.15">
      <c r="A151" s="27" t="s">
        <v>117</v>
      </c>
      <c r="B151" s="27" t="s">
        <v>118</v>
      </c>
      <c r="D151" s="27" t="s">
        <v>380</v>
      </c>
      <c r="E151" s="27" t="s">
        <v>40</v>
      </c>
      <c r="F151" s="132" t="s">
        <v>120</v>
      </c>
      <c r="G151" s="132" t="s">
        <v>120</v>
      </c>
      <c r="H151" s="26">
        <v>0</v>
      </c>
      <c r="I151" s="27" t="s">
        <v>121</v>
      </c>
      <c r="J151" s="132" t="s">
        <v>470</v>
      </c>
      <c r="K151" s="132" t="s">
        <v>471</v>
      </c>
      <c r="L151" s="26">
        <v>0.91800000000000004</v>
      </c>
      <c r="M151" s="132" t="s">
        <v>120</v>
      </c>
      <c r="N151" s="25">
        <v>0</v>
      </c>
    </row>
    <row r="152" spans="1:14" x14ac:dyDescent="0.15">
      <c r="A152" s="27" t="s">
        <v>472</v>
      </c>
      <c r="B152" s="27" t="s">
        <v>127</v>
      </c>
      <c r="D152" s="27" t="s">
        <v>380</v>
      </c>
      <c r="E152" s="27" t="s">
        <v>40</v>
      </c>
      <c r="F152" s="132" t="s">
        <v>120</v>
      </c>
      <c r="G152" s="132" t="s">
        <v>120</v>
      </c>
      <c r="H152" s="26">
        <v>0</v>
      </c>
      <c r="I152" s="27" t="s">
        <v>121</v>
      </c>
      <c r="J152" s="132" t="s">
        <v>473</v>
      </c>
      <c r="K152" s="132" t="s">
        <v>474</v>
      </c>
      <c r="L152" s="26">
        <v>0.90800000000000003</v>
      </c>
      <c r="M152" s="132" t="s">
        <v>120</v>
      </c>
      <c r="N152" s="25">
        <v>0</v>
      </c>
    </row>
    <row r="153" spans="1:14" x14ac:dyDescent="0.15">
      <c r="A153" s="27" t="s">
        <v>472</v>
      </c>
      <c r="B153" s="27" t="s">
        <v>127</v>
      </c>
      <c r="D153" s="27" t="s">
        <v>380</v>
      </c>
      <c r="E153" s="27" t="s">
        <v>40</v>
      </c>
      <c r="F153" s="132" t="s">
        <v>120</v>
      </c>
      <c r="G153" s="132" t="s">
        <v>120</v>
      </c>
      <c r="H153" s="26">
        <v>0</v>
      </c>
      <c r="I153" s="27" t="s">
        <v>121</v>
      </c>
      <c r="J153" s="132" t="s">
        <v>475</v>
      </c>
      <c r="K153" s="132" t="s">
        <v>476</v>
      </c>
      <c r="L153" s="26">
        <v>0.90900000000000003</v>
      </c>
      <c r="M153" s="132" t="s">
        <v>120</v>
      </c>
      <c r="N153" s="25">
        <v>0</v>
      </c>
    </row>
    <row r="154" spans="1:14" x14ac:dyDescent="0.15">
      <c r="A154" s="27" t="s">
        <v>477</v>
      </c>
      <c r="B154" s="27" t="s">
        <v>127</v>
      </c>
      <c r="D154" s="27" t="s">
        <v>380</v>
      </c>
      <c r="E154" s="27" t="s">
        <v>40</v>
      </c>
      <c r="F154" s="132" t="s">
        <v>478</v>
      </c>
      <c r="G154" s="132" t="s">
        <v>479</v>
      </c>
      <c r="H154" s="26">
        <v>0.73699999999999999</v>
      </c>
      <c r="I154" s="27" t="s">
        <v>121</v>
      </c>
      <c r="J154" s="132" t="s">
        <v>275</v>
      </c>
      <c r="K154" s="132" t="s">
        <v>474</v>
      </c>
      <c r="L154" s="26">
        <v>0.91500000000000004</v>
      </c>
      <c r="M154" s="132" t="s">
        <v>480</v>
      </c>
      <c r="N154" s="25">
        <v>0</v>
      </c>
    </row>
    <row r="155" spans="1:14" x14ac:dyDescent="0.15">
      <c r="A155" s="27" t="s">
        <v>477</v>
      </c>
      <c r="B155" s="27" t="s">
        <v>127</v>
      </c>
      <c r="D155" s="27" t="s">
        <v>380</v>
      </c>
      <c r="E155" s="27" t="s">
        <v>40</v>
      </c>
      <c r="F155" s="132" t="s">
        <v>481</v>
      </c>
      <c r="G155" s="132" t="s">
        <v>482</v>
      </c>
      <c r="H155" s="26">
        <v>0.73899999999999999</v>
      </c>
      <c r="I155" s="27" t="s">
        <v>121</v>
      </c>
      <c r="J155" s="132" t="s">
        <v>483</v>
      </c>
      <c r="K155" s="132" t="s">
        <v>384</v>
      </c>
      <c r="L155" s="26">
        <v>0.91600000000000004</v>
      </c>
      <c r="M155" s="132" t="s">
        <v>484</v>
      </c>
      <c r="N155" s="25">
        <v>0</v>
      </c>
    </row>
    <row r="156" spans="1:14" x14ac:dyDescent="0.15">
      <c r="A156" s="27" t="s">
        <v>485</v>
      </c>
      <c r="B156" s="27" t="s">
        <v>127</v>
      </c>
      <c r="D156" s="27" t="s">
        <v>380</v>
      </c>
      <c r="E156" s="27" t="s">
        <v>40</v>
      </c>
      <c r="F156" s="132" t="s">
        <v>486</v>
      </c>
      <c r="G156" s="132" t="s">
        <v>442</v>
      </c>
      <c r="H156" s="26">
        <v>0.74399999999999999</v>
      </c>
      <c r="I156" s="27" t="s">
        <v>121</v>
      </c>
      <c r="J156" s="132" t="s">
        <v>487</v>
      </c>
      <c r="K156" s="132" t="s">
        <v>488</v>
      </c>
      <c r="L156" s="26">
        <v>0.91600000000000004</v>
      </c>
      <c r="M156" s="132" t="s">
        <v>489</v>
      </c>
      <c r="N156" s="25">
        <v>0</v>
      </c>
    </row>
    <row r="157" spans="1:14" x14ac:dyDescent="0.15">
      <c r="A157" s="27" t="s">
        <v>485</v>
      </c>
      <c r="B157" s="27" t="s">
        <v>127</v>
      </c>
      <c r="D157" s="27" t="s">
        <v>380</v>
      </c>
      <c r="E157" s="27" t="s">
        <v>40</v>
      </c>
      <c r="F157" s="132" t="s">
        <v>490</v>
      </c>
      <c r="G157" s="132" t="s">
        <v>491</v>
      </c>
      <c r="H157" s="26">
        <v>0.73299999999999998</v>
      </c>
      <c r="I157" s="27" t="s">
        <v>121</v>
      </c>
      <c r="J157" s="132" t="s">
        <v>492</v>
      </c>
      <c r="K157" s="132" t="s">
        <v>463</v>
      </c>
      <c r="L157" s="26">
        <v>0.91100000000000003</v>
      </c>
      <c r="M157" s="132" t="s">
        <v>493</v>
      </c>
      <c r="N157" s="25">
        <v>0</v>
      </c>
    </row>
    <row r="158" spans="1:14" x14ac:dyDescent="0.15">
      <c r="A158" s="27" t="s">
        <v>494</v>
      </c>
      <c r="B158" s="27" t="s">
        <v>127</v>
      </c>
      <c r="D158" s="27" t="s">
        <v>380</v>
      </c>
      <c r="E158" s="27" t="s">
        <v>40</v>
      </c>
      <c r="F158" s="132" t="s">
        <v>495</v>
      </c>
      <c r="G158" s="132" t="s">
        <v>496</v>
      </c>
      <c r="H158" s="26">
        <v>0.73599999999999999</v>
      </c>
      <c r="I158" s="27" t="s">
        <v>121</v>
      </c>
      <c r="J158" s="132" t="s">
        <v>497</v>
      </c>
      <c r="K158" s="132" t="s">
        <v>498</v>
      </c>
      <c r="L158" s="26">
        <v>0.91400000000000003</v>
      </c>
      <c r="M158" s="132" t="s">
        <v>499</v>
      </c>
      <c r="N158" s="25">
        <v>0</v>
      </c>
    </row>
    <row r="159" spans="1:14" x14ac:dyDescent="0.15">
      <c r="A159" s="27" t="s">
        <v>494</v>
      </c>
      <c r="B159" s="27" t="s">
        <v>127</v>
      </c>
      <c r="D159" s="27" t="s">
        <v>380</v>
      </c>
      <c r="E159" s="27" t="s">
        <v>40</v>
      </c>
      <c r="F159" s="132" t="s">
        <v>500</v>
      </c>
      <c r="G159" s="132" t="s">
        <v>501</v>
      </c>
      <c r="H159" s="26">
        <v>0.73899999999999999</v>
      </c>
      <c r="I159" s="27" t="s">
        <v>121</v>
      </c>
      <c r="J159" s="132" t="s">
        <v>492</v>
      </c>
      <c r="K159" s="132" t="s">
        <v>418</v>
      </c>
      <c r="L159" s="26">
        <v>0.91400000000000003</v>
      </c>
      <c r="M159" s="132" t="s">
        <v>502</v>
      </c>
      <c r="N159" s="25">
        <v>0</v>
      </c>
    </row>
    <row r="160" spans="1:14" x14ac:dyDescent="0.15">
      <c r="A160" s="27" t="s">
        <v>503</v>
      </c>
      <c r="B160" s="27" t="s">
        <v>127</v>
      </c>
      <c r="D160" s="27" t="s">
        <v>380</v>
      </c>
      <c r="E160" s="27" t="s">
        <v>40</v>
      </c>
      <c r="F160" s="132" t="s">
        <v>504</v>
      </c>
      <c r="G160" s="132" t="s">
        <v>140</v>
      </c>
      <c r="H160" s="26">
        <v>0.74099999999999999</v>
      </c>
      <c r="I160" s="27" t="s">
        <v>121</v>
      </c>
      <c r="J160" s="132" t="s">
        <v>505</v>
      </c>
      <c r="K160" s="132" t="s">
        <v>506</v>
      </c>
      <c r="L160" s="26">
        <v>0.91500000000000004</v>
      </c>
      <c r="M160" s="132" t="s">
        <v>507</v>
      </c>
      <c r="N160" s="25">
        <v>0</v>
      </c>
    </row>
    <row r="161" spans="1:14" x14ac:dyDescent="0.15">
      <c r="A161" s="27" t="s">
        <v>503</v>
      </c>
      <c r="B161" s="27" t="s">
        <v>127</v>
      </c>
      <c r="D161" s="27" t="s">
        <v>380</v>
      </c>
      <c r="E161" s="27" t="s">
        <v>40</v>
      </c>
      <c r="F161" s="132" t="s">
        <v>150</v>
      </c>
      <c r="G161" s="132" t="s">
        <v>508</v>
      </c>
      <c r="H161" s="26">
        <v>0.73799999999999999</v>
      </c>
      <c r="I161" s="27" t="s">
        <v>121</v>
      </c>
      <c r="J161" s="132" t="s">
        <v>509</v>
      </c>
      <c r="K161" s="132" t="s">
        <v>510</v>
      </c>
      <c r="L161" s="26">
        <v>0.91400000000000003</v>
      </c>
      <c r="M161" s="132" t="s">
        <v>511</v>
      </c>
      <c r="N161" s="25">
        <v>0</v>
      </c>
    </row>
    <row r="162" spans="1:14" x14ac:dyDescent="0.15">
      <c r="A162" s="27" t="s">
        <v>512</v>
      </c>
      <c r="B162" s="27" t="s">
        <v>127</v>
      </c>
      <c r="D162" s="27" t="s">
        <v>380</v>
      </c>
      <c r="E162" s="27" t="s">
        <v>40</v>
      </c>
      <c r="F162" s="132" t="s">
        <v>513</v>
      </c>
      <c r="G162" s="132" t="s">
        <v>514</v>
      </c>
      <c r="H162" s="26">
        <v>0.73899999999999999</v>
      </c>
      <c r="I162" s="27" t="s">
        <v>121</v>
      </c>
      <c r="J162" s="132" t="s">
        <v>515</v>
      </c>
      <c r="K162" s="132" t="s">
        <v>516</v>
      </c>
      <c r="L162" s="26">
        <v>0.91600000000000004</v>
      </c>
      <c r="M162" s="132" t="s">
        <v>517</v>
      </c>
      <c r="N162" s="25">
        <v>0</v>
      </c>
    </row>
    <row r="163" spans="1:14" x14ac:dyDescent="0.15">
      <c r="A163" s="27" t="s">
        <v>512</v>
      </c>
      <c r="B163" s="27" t="s">
        <v>127</v>
      </c>
      <c r="D163" s="27" t="s">
        <v>380</v>
      </c>
      <c r="E163" s="27" t="s">
        <v>40</v>
      </c>
      <c r="F163" s="132" t="s">
        <v>518</v>
      </c>
      <c r="G163" s="132" t="s">
        <v>519</v>
      </c>
      <c r="H163" s="26">
        <v>0.73799999999999999</v>
      </c>
      <c r="I163" s="27" t="s">
        <v>121</v>
      </c>
      <c r="J163" s="132" t="s">
        <v>520</v>
      </c>
      <c r="K163" s="132" t="s">
        <v>521</v>
      </c>
      <c r="L163" s="26">
        <v>0.91400000000000003</v>
      </c>
      <c r="M163" s="132" t="s">
        <v>522</v>
      </c>
      <c r="N163" s="25">
        <v>0</v>
      </c>
    </row>
    <row r="166" spans="1:14" x14ac:dyDescent="0.15">
      <c r="A166" s="27" t="s">
        <v>88</v>
      </c>
    </row>
    <row r="167" spans="1:14" x14ac:dyDescent="0.15">
      <c r="A167" s="27" t="s">
        <v>89</v>
      </c>
    </row>
    <row r="168" spans="1:14" x14ac:dyDescent="0.15">
      <c r="A168" s="27" t="s">
        <v>90</v>
      </c>
    </row>
    <row r="170" spans="1:14" x14ac:dyDescent="0.15">
      <c r="A170" s="27" t="s">
        <v>523</v>
      </c>
    </row>
    <row r="171" spans="1:14" x14ac:dyDescent="0.15">
      <c r="A171" s="27" t="s">
        <v>92</v>
      </c>
    </row>
    <row r="172" spans="1:14" x14ac:dyDescent="0.15">
      <c r="A172" s="27" t="s">
        <v>524</v>
      </c>
    </row>
    <row r="174" spans="1:14" x14ac:dyDescent="0.15">
      <c r="A174" s="27" t="s">
        <v>94</v>
      </c>
      <c r="B174" s="27" t="s">
        <v>95</v>
      </c>
      <c r="C174" s="27" t="s">
        <v>96</v>
      </c>
      <c r="D174" s="27" t="s">
        <v>97</v>
      </c>
      <c r="E174" s="27" t="s">
        <v>98</v>
      </c>
      <c r="F174" s="27" t="s">
        <v>99</v>
      </c>
    </row>
    <row r="175" spans="1:14" x14ac:dyDescent="0.15">
      <c r="A175" s="27" t="s">
        <v>100</v>
      </c>
      <c r="B175" s="27" t="s">
        <v>101</v>
      </c>
    </row>
    <row r="176" spans="1:14" x14ac:dyDescent="0.15">
      <c r="A176" s="27" t="s">
        <v>102</v>
      </c>
    </row>
    <row r="180" spans="1:14" x14ac:dyDescent="0.15">
      <c r="A180" s="27" t="s">
        <v>103</v>
      </c>
      <c r="B180" s="27" t="s">
        <v>104</v>
      </c>
      <c r="C180" s="27" t="s">
        <v>105</v>
      </c>
      <c r="D180" s="27" t="s">
        <v>106</v>
      </c>
      <c r="E180" s="27" t="s">
        <v>107</v>
      </c>
      <c r="F180" s="27" t="s">
        <v>108</v>
      </c>
      <c r="G180" s="27" t="s">
        <v>109</v>
      </c>
      <c r="H180" s="28" t="s">
        <v>110</v>
      </c>
      <c r="I180" s="27" t="s">
        <v>111</v>
      </c>
      <c r="J180" s="27" t="s">
        <v>112</v>
      </c>
      <c r="K180" s="27" t="s">
        <v>113</v>
      </c>
      <c r="L180" s="28" t="s">
        <v>114</v>
      </c>
      <c r="M180" s="27" t="s">
        <v>115</v>
      </c>
      <c r="N180" s="27" t="s">
        <v>116</v>
      </c>
    </row>
    <row r="181" spans="1:14" x14ac:dyDescent="0.15">
      <c r="A181" s="27" t="s">
        <v>117</v>
      </c>
      <c r="B181" s="27" t="s">
        <v>118</v>
      </c>
      <c r="D181" s="27" t="s">
        <v>380</v>
      </c>
      <c r="E181" s="27" t="s">
        <v>525</v>
      </c>
      <c r="F181" s="132" t="s">
        <v>120</v>
      </c>
      <c r="G181" s="132" t="s">
        <v>120</v>
      </c>
      <c r="H181" s="26">
        <v>0</v>
      </c>
      <c r="I181" s="27" t="s">
        <v>121</v>
      </c>
      <c r="J181" s="132" t="s">
        <v>526</v>
      </c>
      <c r="K181" s="132" t="s">
        <v>527</v>
      </c>
      <c r="L181" s="26">
        <v>0.91100000000000003</v>
      </c>
      <c r="M181" s="132" t="s">
        <v>120</v>
      </c>
      <c r="N181" s="25">
        <v>0</v>
      </c>
    </row>
    <row r="182" spans="1:14" x14ac:dyDescent="0.15">
      <c r="A182" s="27" t="s">
        <v>117</v>
      </c>
      <c r="B182" s="27" t="s">
        <v>118</v>
      </c>
      <c r="D182" s="27" t="s">
        <v>380</v>
      </c>
      <c r="E182" s="27" t="s">
        <v>525</v>
      </c>
      <c r="F182" s="132" t="s">
        <v>120</v>
      </c>
      <c r="G182" s="132" t="s">
        <v>120</v>
      </c>
      <c r="H182" s="26">
        <v>0</v>
      </c>
      <c r="I182" s="27" t="s">
        <v>121</v>
      </c>
      <c r="J182" s="132" t="s">
        <v>526</v>
      </c>
      <c r="K182" s="132" t="s">
        <v>528</v>
      </c>
      <c r="L182" s="26">
        <v>0.91500000000000004</v>
      </c>
      <c r="M182" s="132" t="s">
        <v>120</v>
      </c>
      <c r="N182" s="25">
        <v>0</v>
      </c>
    </row>
    <row r="183" spans="1:14" x14ac:dyDescent="0.15">
      <c r="A183" s="27" t="s">
        <v>529</v>
      </c>
      <c r="B183" s="27" t="s">
        <v>127</v>
      </c>
      <c r="D183" s="27" t="s">
        <v>380</v>
      </c>
      <c r="E183" s="27" t="s">
        <v>525</v>
      </c>
      <c r="F183" s="132" t="s">
        <v>530</v>
      </c>
      <c r="G183" s="132" t="s">
        <v>531</v>
      </c>
      <c r="H183" s="26">
        <v>0.81899999999999995</v>
      </c>
      <c r="I183" s="27" t="s">
        <v>121</v>
      </c>
      <c r="J183" s="132" t="s">
        <v>532</v>
      </c>
      <c r="K183" s="132" t="s">
        <v>416</v>
      </c>
      <c r="L183" s="26">
        <v>0.92</v>
      </c>
      <c r="M183" s="132" t="s">
        <v>533</v>
      </c>
      <c r="N183" s="25">
        <v>0</v>
      </c>
    </row>
    <row r="184" spans="1:14" x14ac:dyDescent="0.15">
      <c r="A184" s="27" t="s">
        <v>529</v>
      </c>
      <c r="B184" s="27" t="s">
        <v>127</v>
      </c>
      <c r="D184" s="27" t="s">
        <v>380</v>
      </c>
      <c r="E184" s="27" t="s">
        <v>525</v>
      </c>
      <c r="F184" s="132" t="s">
        <v>534</v>
      </c>
      <c r="G184" s="132" t="s">
        <v>535</v>
      </c>
      <c r="H184" s="26">
        <v>0.81499999999999995</v>
      </c>
      <c r="I184" s="27" t="s">
        <v>121</v>
      </c>
      <c r="J184" s="132" t="s">
        <v>536</v>
      </c>
      <c r="K184" s="132" t="s">
        <v>537</v>
      </c>
      <c r="L184" s="26">
        <v>0.91600000000000004</v>
      </c>
      <c r="M184" s="132" t="s">
        <v>538</v>
      </c>
      <c r="N184" s="25">
        <v>0</v>
      </c>
    </row>
    <row r="185" spans="1:14" x14ac:dyDescent="0.15">
      <c r="A185" s="27" t="s">
        <v>539</v>
      </c>
      <c r="B185" s="27" t="s">
        <v>127</v>
      </c>
      <c r="D185" s="27" t="s">
        <v>380</v>
      </c>
      <c r="E185" s="27" t="s">
        <v>525</v>
      </c>
      <c r="F185" s="132" t="s">
        <v>540</v>
      </c>
      <c r="G185" s="132" t="s">
        <v>541</v>
      </c>
      <c r="H185" s="26">
        <v>0.81699999999999995</v>
      </c>
      <c r="I185" s="27" t="s">
        <v>121</v>
      </c>
      <c r="J185" s="132" t="s">
        <v>542</v>
      </c>
      <c r="K185" s="132" t="s">
        <v>543</v>
      </c>
      <c r="L185" s="26">
        <v>0.91800000000000004</v>
      </c>
      <c r="M185" s="132" t="s">
        <v>544</v>
      </c>
      <c r="N185" s="25">
        <v>0</v>
      </c>
    </row>
    <row r="186" spans="1:14" x14ac:dyDescent="0.15">
      <c r="A186" s="27" t="s">
        <v>539</v>
      </c>
      <c r="B186" s="27" t="s">
        <v>127</v>
      </c>
      <c r="D186" s="27" t="s">
        <v>380</v>
      </c>
      <c r="E186" s="27" t="s">
        <v>525</v>
      </c>
      <c r="F186" s="132" t="s">
        <v>545</v>
      </c>
      <c r="G186" s="132" t="s">
        <v>546</v>
      </c>
      <c r="H186" s="26">
        <v>0.82</v>
      </c>
      <c r="I186" s="27" t="s">
        <v>121</v>
      </c>
      <c r="J186" s="132" t="s">
        <v>547</v>
      </c>
      <c r="K186" s="132" t="s">
        <v>548</v>
      </c>
      <c r="L186" s="26">
        <v>0.91800000000000004</v>
      </c>
      <c r="M186" s="132" t="s">
        <v>549</v>
      </c>
      <c r="N186" s="25">
        <v>0</v>
      </c>
    </row>
    <row r="187" spans="1:14" x14ac:dyDescent="0.15">
      <c r="A187" s="27" t="s">
        <v>550</v>
      </c>
      <c r="B187" s="27" t="s">
        <v>127</v>
      </c>
      <c r="D187" s="27" t="s">
        <v>380</v>
      </c>
      <c r="E187" s="27" t="s">
        <v>525</v>
      </c>
      <c r="F187" s="132" t="s">
        <v>551</v>
      </c>
      <c r="G187" s="132" t="s">
        <v>145</v>
      </c>
      <c r="H187" s="26">
        <v>0.82</v>
      </c>
      <c r="I187" s="27" t="s">
        <v>121</v>
      </c>
      <c r="J187" s="132" t="s">
        <v>552</v>
      </c>
      <c r="K187" s="132" t="s">
        <v>553</v>
      </c>
      <c r="L187" s="26">
        <v>0.91700000000000004</v>
      </c>
      <c r="M187" s="132" t="s">
        <v>554</v>
      </c>
      <c r="N187" s="25">
        <v>0</v>
      </c>
    </row>
    <row r="188" spans="1:14" x14ac:dyDescent="0.15">
      <c r="A188" s="27" t="s">
        <v>550</v>
      </c>
      <c r="B188" s="27" t="s">
        <v>127</v>
      </c>
      <c r="D188" s="27" t="s">
        <v>380</v>
      </c>
      <c r="E188" s="27" t="s">
        <v>525</v>
      </c>
      <c r="F188" s="132" t="s">
        <v>190</v>
      </c>
      <c r="G188" s="132" t="s">
        <v>288</v>
      </c>
      <c r="H188" s="26">
        <v>0.82799999999999996</v>
      </c>
      <c r="I188" s="27" t="s">
        <v>121</v>
      </c>
      <c r="J188" s="132" t="s">
        <v>555</v>
      </c>
      <c r="K188" s="132" t="s">
        <v>556</v>
      </c>
      <c r="L188" s="26">
        <v>0.92700000000000005</v>
      </c>
      <c r="M188" s="132" t="s">
        <v>557</v>
      </c>
      <c r="N188" s="25">
        <v>0</v>
      </c>
    </row>
    <row r="189" spans="1:14" x14ac:dyDescent="0.15">
      <c r="A189" s="27" t="s">
        <v>558</v>
      </c>
      <c r="B189" s="27" t="s">
        <v>127</v>
      </c>
      <c r="D189" s="27" t="s">
        <v>380</v>
      </c>
      <c r="E189" s="27" t="s">
        <v>525</v>
      </c>
      <c r="F189" s="132" t="s">
        <v>559</v>
      </c>
      <c r="G189" s="132" t="s">
        <v>560</v>
      </c>
      <c r="H189" s="26">
        <v>0.82199999999999995</v>
      </c>
      <c r="I189" s="27" t="s">
        <v>121</v>
      </c>
      <c r="J189" s="132" t="s">
        <v>547</v>
      </c>
      <c r="K189" s="132" t="s">
        <v>275</v>
      </c>
      <c r="L189" s="26">
        <v>0.91900000000000004</v>
      </c>
      <c r="M189" s="132" t="s">
        <v>561</v>
      </c>
      <c r="N189" s="25">
        <v>0</v>
      </c>
    </row>
    <row r="190" spans="1:14" x14ac:dyDescent="0.15">
      <c r="A190" s="27" t="s">
        <v>558</v>
      </c>
      <c r="B190" s="27" t="s">
        <v>127</v>
      </c>
      <c r="D190" s="27" t="s">
        <v>380</v>
      </c>
      <c r="E190" s="27" t="s">
        <v>525</v>
      </c>
      <c r="F190" s="132" t="s">
        <v>562</v>
      </c>
      <c r="G190" s="132" t="s">
        <v>128</v>
      </c>
      <c r="H190" s="26">
        <v>0.82299999999999995</v>
      </c>
      <c r="I190" s="27" t="s">
        <v>121</v>
      </c>
      <c r="J190" s="132" t="s">
        <v>563</v>
      </c>
      <c r="K190" s="132" t="s">
        <v>505</v>
      </c>
      <c r="L190" s="26">
        <v>0.92200000000000004</v>
      </c>
      <c r="M190" s="132" t="s">
        <v>564</v>
      </c>
      <c r="N190" s="25">
        <v>0</v>
      </c>
    </row>
    <row r="191" spans="1:14" x14ac:dyDescent="0.15">
      <c r="A191" s="27" t="s">
        <v>565</v>
      </c>
      <c r="B191" s="27" t="s">
        <v>127</v>
      </c>
      <c r="D191" s="27" t="s">
        <v>380</v>
      </c>
      <c r="E191" s="27" t="s">
        <v>525</v>
      </c>
      <c r="F191" s="132" t="s">
        <v>566</v>
      </c>
      <c r="G191" s="132" t="s">
        <v>359</v>
      </c>
      <c r="H191" s="26">
        <v>0.82299999999999995</v>
      </c>
      <c r="I191" s="27" t="s">
        <v>121</v>
      </c>
      <c r="J191" s="132" t="s">
        <v>563</v>
      </c>
      <c r="K191" s="132" t="s">
        <v>567</v>
      </c>
      <c r="L191" s="26">
        <v>0.92200000000000004</v>
      </c>
      <c r="M191" s="132" t="s">
        <v>568</v>
      </c>
      <c r="N191" s="25">
        <v>0</v>
      </c>
    </row>
    <row r="192" spans="1:14" x14ac:dyDescent="0.15">
      <c r="A192" s="27" t="s">
        <v>565</v>
      </c>
      <c r="B192" s="27" t="s">
        <v>127</v>
      </c>
      <c r="D192" s="27" t="s">
        <v>380</v>
      </c>
      <c r="E192" s="27" t="s">
        <v>525</v>
      </c>
      <c r="F192" s="132" t="s">
        <v>569</v>
      </c>
      <c r="G192" s="132" t="s">
        <v>570</v>
      </c>
      <c r="H192" s="26">
        <v>0.82099999999999995</v>
      </c>
      <c r="I192" s="27" t="s">
        <v>121</v>
      </c>
      <c r="J192" s="132" t="s">
        <v>571</v>
      </c>
      <c r="K192" s="132" t="s">
        <v>572</v>
      </c>
      <c r="L192" s="26">
        <v>0.92</v>
      </c>
      <c r="M192" s="132" t="s">
        <v>573</v>
      </c>
      <c r="N192" s="25">
        <v>0</v>
      </c>
    </row>
    <row r="193" spans="1:14" x14ac:dyDescent="0.15">
      <c r="A193" s="27" t="s">
        <v>574</v>
      </c>
      <c r="B193" s="27" t="s">
        <v>127</v>
      </c>
      <c r="D193" s="27" t="s">
        <v>380</v>
      </c>
      <c r="E193" s="27" t="s">
        <v>525</v>
      </c>
      <c r="F193" s="132" t="s">
        <v>575</v>
      </c>
      <c r="G193" s="132" t="s">
        <v>576</v>
      </c>
      <c r="H193" s="26">
        <v>0.81499999999999995</v>
      </c>
      <c r="I193" s="27" t="s">
        <v>121</v>
      </c>
      <c r="J193" s="132" t="s">
        <v>577</v>
      </c>
      <c r="K193" s="132" t="s">
        <v>483</v>
      </c>
      <c r="L193" s="26">
        <v>0.91400000000000003</v>
      </c>
      <c r="M193" s="132" t="s">
        <v>578</v>
      </c>
      <c r="N193" s="25">
        <v>0</v>
      </c>
    </row>
    <row r="194" spans="1:14" x14ac:dyDescent="0.15">
      <c r="A194" s="27" t="s">
        <v>574</v>
      </c>
      <c r="B194" s="27" t="s">
        <v>127</v>
      </c>
      <c r="D194" s="27" t="s">
        <v>380</v>
      </c>
      <c r="E194" s="27" t="s">
        <v>525</v>
      </c>
      <c r="F194" s="132" t="s">
        <v>579</v>
      </c>
      <c r="G194" s="132" t="s">
        <v>580</v>
      </c>
      <c r="H194" s="26">
        <v>0.81799999999999995</v>
      </c>
      <c r="I194" s="27" t="s">
        <v>121</v>
      </c>
      <c r="J194" s="132" t="s">
        <v>563</v>
      </c>
      <c r="K194" s="132" t="s">
        <v>515</v>
      </c>
      <c r="L194" s="26">
        <v>0.91800000000000004</v>
      </c>
      <c r="M194" s="132" t="s">
        <v>581</v>
      </c>
      <c r="N194" s="25">
        <v>0</v>
      </c>
    </row>
    <row r="195" spans="1:14" x14ac:dyDescent="0.15">
      <c r="A195" s="27" t="s">
        <v>117</v>
      </c>
      <c r="B195" s="27" t="s">
        <v>118</v>
      </c>
      <c r="D195" s="27" t="s">
        <v>380</v>
      </c>
      <c r="E195" s="27" t="s">
        <v>525</v>
      </c>
      <c r="F195" s="132" t="s">
        <v>120</v>
      </c>
      <c r="G195" s="132" t="s">
        <v>120</v>
      </c>
      <c r="H195" s="26">
        <v>0</v>
      </c>
      <c r="I195" s="27" t="s">
        <v>121</v>
      </c>
      <c r="J195" s="132" t="s">
        <v>582</v>
      </c>
      <c r="K195" s="132" t="s">
        <v>583</v>
      </c>
      <c r="L195" s="26">
        <v>0.92</v>
      </c>
      <c r="M195" s="132" t="s">
        <v>120</v>
      </c>
      <c r="N195" s="25">
        <v>0</v>
      </c>
    </row>
    <row r="196" spans="1:14" x14ac:dyDescent="0.15">
      <c r="A196" s="27" t="s">
        <v>117</v>
      </c>
      <c r="B196" s="27" t="s">
        <v>118</v>
      </c>
      <c r="D196" s="27" t="s">
        <v>380</v>
      </c>
      <c r="E196" s="27" t="s">
        <v>525</v>
      </c>
      <c r="F196" s="132" t="s">
        <v>120</v>
      </c>
      <c r="G196" s="132" t="s">
        <v>120</v>
      </c>
      <c r="H196" s="26">
        <v>0</v>
      </c>
      <c r="I196" s="27" t="s">
        <v>121</v>
      </c>
      <c r="J196" s="132" t="s">
        <v>584</v>
      </c>
      <c r="K196" s="132" t="s">
        <v>475</v>
      </c>
      <c r="L196" s="26">
        <v>0.92</v>
      </c>
      <c r="M196" s="132" t="s">
        <v>120</v>
      </c>
      <c r="N196" s="25">
        <v>0</v>
      </c>
    </row>
    <row r="197" spans="1:14" x14ac:dyDescent="0.15">
      <c r="A197" s="27" t="s">
        <v>585</v>
      </c>
      <c r="B197" s="27" t="s">
        <v>127</v>
      </c>
      <c r="D197" s="27" t="s">
        <v>380</v>
      </c>
      <c r="E197" s="27" t="s">
        <v>525</v>
      </c>
      <c r="F197" s="132" t="s">
        <v>439</v>
      </c>
      <c r="G197" s="132" t="s">
        <v>586</v>
      </c>
      <c r="H197" s="26">
        <v>0.80700000000000005</v>
      </c>
      <c r="I197" s="27" t="s">
        <v>121</v>
      </c>
      <c r="J197" s="132" t="s">
        <v>552</v>
      </c>
      <c r="K197" s="132" t="s">
        <v>492</v>
      </c>
      <c r="L197" s="26">
        <v>0.90700000000000003</v>
      </c>
      <c r="M197" s="132" t="s">
        <v>587</v>
      </c>
      <c r="N197" s="25">
        <v>0</v>
      </c>
    </row>
    <row r="198" spans="1:14" x14ac:dyDescent="0.15">
      <c r="A198" s="27" t="s">
        <v>585</v>
      </c>
      <c r="B198" s="27" t="s">
        <v>127</v>
      </c>
      <c r="D198" s="27" t="s">
        <v>380</v>
      </c>
      <c r="E198" s="27" t="s">
        <v>525</v>
      </c>
      <c r="F198" s="132" t="s">
        <v>588</v>
      </c>
      <c r="G198" s="132" t="s">
        <v>411</v>
      </c>
      <c r="H198" s="26">
        <v>0.80800000000000005</v>
      </c>
      <c r="I198" s="27" t="s">
        <v>121</v>
      </c>
      <c r="J198" s="132" t="s">
        <v>589</v>
      </c>
      <c r="K198" s="132" t="s">
        <v>470</v>
      </c>
      <c r="L198" s="26">
        <v>0.90900000000000003</v>
      </c>
      <c r="M198" s="132" t="s">
        <v>590</v>
      </c>
      <c r="N198" s="25">
        <v>0</v>
      </c>
    </row>
    <row r="199" spans="1:14" x14ac:dyDescent="0.15">
      <c r="A199" s="27" t="s">
        <v>591</v>
      </c>
      <c r="B199" s="27" t="s">
        <v>127</v>
      </c>
      <c r="D199" s="27" t="s">
        <v>380</v>
      </c>
      <c r="E199" s="27" t="s">
        <v>525</v>
      </c>
      <c r="F199" s="132" t="s">
        <v>171</v>
      </c>
      <c r="G199" s="132" t="s">
        <v>592</v>
      </c>
      <c r="H199" s="26">
        <v>0.81499999999999995</v>
      </c>
      <c r="I199" s="27" t="s">
        <v>121</v>
      </c>
      <c r="J199" s="132" t="s">
        <v>555</v>
      </c>
      <c r="K199" s="132" t="s">
        <v>593</v>
      </c>
      <c r="L199" s="26">
        <v>0.91600000000000004</v>
      </c>
      <c r="M199" s="132" t="s">
        <v>594</v>
      </c>
      <c r="N199" s="25">
        <v>0</v>
      </c>
    </row>
    <row r="200" spans="1:14" x14ac:dyDescent="0.15">
      <c r="A200" s="27" t="s">
        <v>591</v>
      </c>
      <c r="B200" s="27" t="s">
        <v>127</v>
      </c>
      <c r="D200" s="27" t="s">
        <v>380</v>
      </c>
      <c r="E200" s="27" t="s">
        <v>525</v>
      </c>
      <c r="F200" s="132" t="s">
        <v>198</v>
      </c>
      <c r="G200" s="132" t="s">
        <v>595</v>
      </c>
      <c r="H200" s="26">
        <v>0.81499999999999995</v>
      </c>
      <c r="I200" s="27" t="s">
        <v>121</v>
      </c>
      <c r="J200" s="132" t="s">
        <v>555</v>
      </c>
      <c r="K200" s="132" t="s">
        <v>270</v>
      </c>
      <c r="L200" s="26">
        <v>0.91600000000000004</v>
      </c>
      <c r="M200" s="132" t="s">
        <v>596</v>
      </c>
      <c r="N200" s="25">
        <v>0</v>
      </c>
    </row>
    <row r="201" spans="1:14" x14ac:dyDescent="0.15">
      <c r="A201" s="27" t="s">
        <v>597</v>
      </c>
      <c r="B201" s="27" t="s">
        <v>127</v>
      </c>
      <c r="D201" s="27" t="s">
        <v>380</v>
      </c>
      <c r="E201" s="27" t="s">
        <v>525</v>
      </c>
      <c r="F201" s="132" t="s">
        <v>598</v>
      </c>
      <c r="G201" s="132" t="s">
        <v>153</v>
      </c>
      <c r="H201" s="26">
        <v>0.81200000000000006</v>
      </c>
      <c r="I201" s="27" t="s">
        <v>121</v>
      </c>
      <c r="J201" s="132" t="s">
        <v>599</v>
      </c>
      <c r="K201" s="132" t="s">
        <v>600</v>
      </c>
      <c r="L201" s="26">
        <v>0.91400000000000003</v>
      </c>
      <c r="M201" s="132" t="s">
        <v>601</v>
      </c>
      <c r="N201" s="25">
        <v>0</v>
      </c>
    </row>
    <row r="202" spans="1:14" x14ac:dyDescent="0.15">
      <c r="A202" s="27" t="s">
        <v>597</v>
      </c>
      <c r="B202" s="27" t="s">
        <v>127</v>
      </c>
      <c r="D202" s="27" t="s">
        <v>380</v>
      </c>
      <c r="E202" s="27" t="s">
        <v>525</v>
      </c>
      <c r="F202" s="132" t="s">
        <v>297</v>
      </c>
      <c r="G202" s="132" t="s">
        <v>142</v>
      </c>
      <c r="H202" s="26">
        <v>0.80900000000000005</v>
      </c>
      <c r="I202" s="27" t="s">
        <v>121</v>
      </c>
      <c r="J202" s="132" t="s">
        <v>602</v>
      </c>
      <c r="K202" s="132" t="s">
        <v>265</v>
      </c>
      <c r="L202" s="26">
        <v>0.91100000000000003</v>
      </c>
      <c r="M202" s="132" t="s">
        <v>603</v>
      </c>
      <c r="N202" s="25">
        <v>0</v>
      </c>
    </row>
    <row r="203" spans="1:14" x14ac:dyDescent="0.15">
      <c r="A203" s="27" t="s">
        <v>604</v>
      </c>
      <c r="B203" s="27" t="s">
        <v>127</v>
      </c>
      <c r="D203" s="27" t="s">
        <v>380</v>
      </c>
      <c r="E203" s="27" t="s">
        <v>525</v>
      </c>
      <c r="F203" s="132" t="s">
        <v>605</v>
      </c>
      <c r="G203" s="132" t="s">
        <v>606</v>
      </c>
      <c r="H203" s="26">
        <v>0.81200000000000006</v>
      </c>
      <c r="I203" s="27" t="s">
        <v>121</v>
      </c>
      <c r="J203" s="132" t="s">
        <v>532</v>
      </c>
      <c r="K203" s="132" t="s">
        <v>497</v>
      </c>
      <c r="L203" s="26">
        <v>0.91300000000000003</v>
      </c>
      <c r="M203" s="132" t="s">
        <v>607</v>
      </c>
      <c r="N203" s="25">
        <v>0</v>
      </c>
    </row>
    <row r="204" spans="1:14" x14ac:dyDescent="0.15">
      <c r="A204" s="27" t="s">
        <v>604</v>
      </c>
      <c r="B204" s="27" t="s">
        <v>127</v>
      </c>
      <c r="D204" s="27" t="s">
        <v>380</v>
      </c>
      <c r="E204" s="27" t="s">
        <v>525</v>
      </c>
      <c r="F204" s="132" t="s">
        <v>608</v>
      </c>
      <c r="G204" s="132" t="s">
        <v>609</v>
      </c>
      <c r="H204" s="26">
        <v>0.81499999999999995</v>
      </c>
      <c r="I204" s="27" t="s">
        <v>121</v>
      </c>
      <c r="J204" s="132" t="s">
        <v>542</v>
      </c>
      <c r="K204" s="132" t="s">
        <v>610</v>
      </c>
      <c r="L204" s="26">
        <v>0.91600000000000004</v>
      </c>
      <c r="M204" s="132" t="s">
        <v>611</v>
      </c>
      <c r="N204" s="25">
        <v>0</v>
      </c>
    </row>
    <row r="205" spans="1:14" x14ac:dyDescent="0.15">
      <c r="A205" s="27" t="s">
        <v>612</v>
      </c>
      <c r="B205" s="27" t="s">
        <v>127</v>
      </c>
      <c r="D205" s="27" t="s">
        <v>380</v>
      </c>
      <c r="E205" s="27" t="s">
        <v>525</v>
      </c>
      <c r="F205" s="132" t="s">
        <v>613</v>
      </c>
      <c r="G205" s="132" t="s">
        <v>614</v>
      </c>
      <c r="H205" s="26">
        <v>0.81899999999999995</v>
      </c>
      <c r="I205" s="27" t="s">
        <v>121</v>
      </c>
      <c r="J205" s="132" t="s">
        <v>552</v>
      </c>
      <c r="K205" s="132" t="s">
        <v>615</v>
      </c>
      <c r="L205" s="26">
        <v>0.92</v>
      </c>
      <c r="M205" s="132" t="s">
        <v>616</v>
      </c>
      <c r="N205" s="25">
        <v>0</v>
      </c>
    </row>
    <row r="206" spans="1:14" x14ac:dyDescent="0.15">
      <c r="A206" s="27" t="s">
        <v>612</v>
      </c>
      <c r="B206" s="27" t="s">
        <v>127</v>
      </c>
      <c r="D206" s="27" t="s">
        <v>380</v>
      </c>
      <c r="E206" s="27" t="s">
        <v>525</v>
      </c>
      <c r="F206" s="132" t="s">
        <v>617</v>
      </c>
      <c r="G206" s="132" t="s">
        <v>156</v>
      </c>
      <c r="H206" s="26">
        <v>0.80900000000000005</v>
      </c>
      <c r="I206" s="27" t="s">
        <v>121</v>
      </c>
      <c r="J206" s="132" t="s">
        <v>618</v>
      </c>
      <c r="K206" s="132" t="s">
        <v>619</v>
      </c>
      <c r="L206" s="26">
        <v>0.91</v>
      </c>
      <c r="M206" s="132" t="s">
        <v>620</v>
      </c>
      <c r="N206" s="25">
        <v>0</v>
      </c>
    </row>
    <row r="207" spans="1:14" x14ac:dyDescent="0.15">
      <c r="A207" s="27" t="s">
        <v>621</v>
      </c>
      <c r="B207" s="27" t="s">
        <v>127</v>
      </c>
      <c r="D207" s="27" t="s">
        <v>380</v>
      </c>
      <c r="E207" s="27" t="s">
        <v>525</v>
      </c>
      <c r="F207" s="132" t="s">
        <v>622</v>
      </c>
      <c r="G207" s="132" t="s">
        <v>623</v>
      </c>
      <c r="H207" s="26">
        <v>0.81</v>
      </c>
      <c r="I207" s="27" t="s">
        <v>121</v>
      </c>
      <c r="J207" s="132" t="s">
        <v>552</v>
      </c>
      <c r="K207" s="132" t="s">
        <v>624</v>
      </c>
      <c r="L207" s="26">
        <v>0.91100000000000003</v>
      </c>
      <c r="M207" s="132" t="s">
        <v>625</v>
      </c>
      <c r="N207" s="25">
        <v>0</v>
      </c>
    </row>
    <row r="208" spans="1:14" x14ac:dyDescent="0.15">
      <c r="A208" s="27" t="s">
        <v>621</v>
      </c>
      <c r="B208" s="27" t="s">
        <v>127</v>
      </c>
      <c r="D208" s="27" t="s">
        <v>380</v>
      </c>
      <c r="E208" s="27" t="s">
        <v>525</v>
      </c>
      <c r="F208" s="132" t="s">
        <v>626</v>
      </c>
      <c r="G208" s="132" t="s">
        <v>627</v>
      </c>
      <c r="H208" s="26">
        <v>0.81399999999999995</v>
      </c>
      <c r="I208" s="27" t="s">
        <v>121</v>
      </c>
      <c r="J208" s="132" t="s">
        <v>618</v>
      </c>
      <c r="K208" s="132" t="s">
        <v>628</v>
      </c>
      <c r="L208" s="26">
        <v>0.91600000000000004</v>
      </c>
      <c r="M208" s="132" t="s">
        <v>629</v>
      </c>
      <c r="N208" s="25">
        <v>0</v>
      </c>
    </row>
    <row r="209" spans="1:14" x14ac:dyDescent="0.15">
      <c r="A209" s="29"/>
      <c r="B209" s="29"/>
      <c r="D209" s="29"/>
      <c r="E209" s="29"/>
      <c r="F209" s="29"/>
      <c r="G209" s="29"/>
      <c r="H209" s="30"/>
      <c r="I209" s="29"/>
      <c r="J209" s="29"/>
      <c r="K209" s="29"/>
      <c r="L209" s="30"/>
      <c r="M209" s="29"/>
      <c r="N209" s="29"/>
    </row>
    <row r="210" spans="1:14" x14ac:dyDescent="0.15">
      <c r="A210" s="29"/>
      <c r="B210" s="29"/>
      <c r="D210" s="29"/>
      <c r="E210" s="29"/>
      <c r="F210" s="29"/>
      <c r="G210" s="29"/>
      <c r="H210" s="30"/>
      <c r="I210" s="29"/>
      <c r="J210" s="29"/>
      <c r="K210" s="29"/>
      <c r="L210" s="30"/>
      <c r="M210" s="29"/>
      <c r="N210" s="29"/>
    </row>
    <row r="211" spans="1:14" x14ac:dyDescent="0.15">
      <c r="A211" s="29"/>
      <c r="B211" s="29"/>
      <c r="D211" s="29"/>
      <c r="E211" s="29"/>
      <c r="F211" s="29"/>
      <c r="G211" s="29"/>
      <c r="H211" s="30"/>
      <c r="I211" s="29"/>
      <c r="J211" s="29"/>
      <c r="K211" s="29"/>
      <c r="L211" s="30"/>
      <c r="M211" s="29"/>
      <c r="N211" s="29"/>
    </row>
    <row r="212" spans="1:14" x14ac:dyDescent="0.15">
      <c r="A212" s="29"/>
      <c r="B212" s="29"/>
      <c r="D212" s="29"/>
      <c r="E212" s="29"/>
      <c r="F212" s="29"/>
      <c r="G212" s="29"/>
      <c r="H212" s="30"/>
      <c r="I212" s="29"/>
      <c r="J212" s="29"/>
      <c r="K212" s="29"/>
      <c r="L212" s="30"/>
      <c r="M212" s="29"/>
      <c r="N212" s="29"/>
    </row>
    <row r="213" spans="1:14" x14ac:dyDescent="0.15">
      <c r="A213" s="29"/>
      <c r="B213" s="29"/>
      <c r="D213" s="29"/>
      <c r="E213" s="29"/>
      <c r="F213" s="29"/>
      <c r="G213" s="29"/>
      <c r="H213" s="30"/>
      <c r="I213" s="29"/>
      <c r="J213" s="29"/>
      <c r="K213" s="29"/>
      <c r="L213" s="30"/>
      <c r="M213" s="29"/>
      <c r="N213" s="29"/>
    </row>
    <row r="214" spans="1:14" x14ac:dyDescent="0.15">
      <c r="A214" s="29"/>
      <c r="B214" s="29"/>
      <c r="D214" s="29"/>
      <c r="E214" s="29"/>
      <c r="F214" s="29"/>
      <c r="G214" s="29"/>
      <c r="H214" s="30"/>
      <c r="I214" s="29"/>
      <c r="J214" s="29"/>
      <c r="K214" s="29"/>
      <c r="L214" s="30"/>
      <c r="M214" s="29"/>
      <c r="N214" s="29"/>
    </row>
    <row r="218" spans="1:14" x14ac:dyDescent="0.15">
      <c r="A218" s="29"/>
    </row>
    <row r="219" spans="1:14" x14ac:dyDescent="0.15">
      <c r="A219" s="29"/>
    </row>
    <row r="220" spans="1:14" x14ac:dyDescent="0.15">
      <c r="A220" s="29"/>
    </row>
    <row r="222" spans="1:14" x14ac:dyDescent="0.15">
      <c r="A222" s="29"/>
    </row>
    <row r="223" spans="1:14" x14ac:dyDescent="0.15">
      <c r="A223" s="29"/>
    </row>
    <row r="224" spans="1:14" x14ac:dyDescent="0.15">
      <c r="A224" s="29"/>
    </row>
    <row r="226" spans="1:14" x14ac:dyDescent="0.15">
      <c r="A226" s="29"/>
      <c r="B226" s="29"/>
      <c r="C226" s="29"/>
      <c r="D226" s="29"/>
      <c r="E226" s="29"/>
      <c r="F226" s="29"/>
    </row>
    <row r="227" spans="1:14" x14ac:dyDescent="0.15">
      <c r="A227" s="29"/>
      <c r="B227" s="29"/>
    </row>
    <row r="228" spans="1:14" x14ac:dyDescent="0.15">
      <c r="A228" s="29"/>
    </row>
    <row r="232" spans="1:14" x14ac:dyDescent="0.15">
      <c r="A232" s="29"/>
      <c r="B232" s="29"/>
      <c r="C232" s="29"/>
      <c r="D232" s="29"/>
      <c r="E232" s="29"/>
      <c r="F232" s="29"/>
      <c r="G232" s="29"/>
      <c r="H232" s="30"/>
      <c r="I232" s="29"/>
      <c r="J232" s="29"/>
      <c r="K232" s="29"/>
      <c r="L232" s="30"/>
      <c r="M232" s="29"/>
      <c r="N232" s="29"/>
    </row>
    <row r="233" spans="1:14" x14ac:dyDescent="0.15">
      <c r="A233" s="29"/>
      <c r="B233" s="29"/>
      <c r="D233" s="29"/>
      <c r="E233" s="29"/>
      <c r="F233" s="29"/>
      <c r="G233" s="29"/>
      <c r="H233" s="30"/>
      <c r="I233" s="29"/>
      <c r="J233" s="29"/>
      <c r="K233" s="29"/>
      <c r="L233" s="30"/>
      <c r="M233" s="29"/>
      <c r="N233" s="29"/>
    </row>
    <row r="234" spans="1:14" x14ac:dyDescent="0.15">
      <c r="A234" s="29"/>
      <c r="B234" s="29"/>
      <c r="D234" s="29"/>
      <c r="E234" s="29"/>
      <c r="F234" s="29"/>
      <c r="G234" s="29"/>
      <c r="H234" s="30"/>
      <c r="I234" s="29"/>
      <c r="J234" s="29"/>
      <c r="K234" s="29"/>
      <c r="L234" s="30"/>
      <c r="M234" s="29"/>
      <c r="N234" s="29"/>
    </row>
    <row r="235" spans="1:14" x14ac:dyDescent="0.15">
      <c r="A235" s="29"/>
      <c r="B235" s="29"/>
      <c r="D235" s="29"/>
      <c r="E235" s="29"/>
      <c r="F235" s="29"/>
      <c r="G235" s="29"/>
      <c r="H235" s="30"/>
      <c r="I235" s="29"/>
      <c r="J235" s="29"/>
      <c r="K235" s="29"/>
      <c r="L235" s="30"/>
      <c r="M235" s="29"/>
      <c r="N235" s="29"/>
    </row>
    <row r="236" spans="1:14" x14ac:dyDescent="0.15">
      <c r="A236" s="29"/>
      <c r="B236" s="29"/>
      <c r="D236" s="29"/>
      <c r="E236" s="29"/>
      <c r="F236" s="29"/>
      <c r="G236" s="29"/>
      <c r="H236" s="30"/>
      <c r="I236" s="29"/>
      <c r="J236" s="29"/>
      <c r="K236" s="29"/>
      <c r="L236" s="30"/>
      <c r="M236" s="29"/>
      <c r="N236" s="29"/>
    </row>
    <row r="237" spans="1:14" x14ac:dyDescent="0.15">
      <c r="A237" s="29"/>
      <c r="B237" s="29"/>
      <c r="D237" s="29"/>
      <c r="E237" s="29"/>
      <c r="F237" s="29"/>
      <c r="G237" s="29"/>
      <c r="H237" s="30"/>
      <c r="I237" s="29"/>
      <c r="J237" s="29"/>
      <c r="K237" s="29"/>
      <c r="L237" s="30"/>
      <c r="M237" s="29"/>
      <c r="N237" s="29"/>
    </row>
    <row r="238" spans="1:14" x14ac:dyDescent="0.15">
      <c r="A238" s="29"/>
      <c r="B238" s="29"/>
      <c r="D238" s="29"/>
      <c r="E238" s="29"/>
      <c r="F238" s="29"/>
      <c r="G238" s="29"/>
      <c r="H238" s="30"/>
      <c r="I238" s="29"/>
      <c r="J238" s="29"/>
      <c r="K238" s="29"/>
      <c r="L238" s="30"/>
      <c r="M238" s="29"/>
      <c r="N238" s="29"/>
    </row>
    <row r="239" spans="1:14" x14ac:dyDescent="0.15">
      <c r="A239" s="29"/>
      <c r="B239" s="29"/>
      <c r="D239" s="29"/>
      <c r="E239" s="29"/>
      <c r="F239" s="29"/>
      <c r="G239" s="29"/>
      <c r="H239" s="30"/>
      <c r="I239" s="29"/>
      <c r="J239" s="29"/>
      <c r="K239" s="29"/>
      <c r="L239" s="30"/>
      <c r="M239" s="29"/>
      <c r="N239" s="29"/>
    </row>
    <row r="240" spans="1:14" x14ac:dyDescent="0.15">
      <c r="A240" s="29"/>
      <c r="B240" s="29"/>
      <c r="D240" s="29"/>
      <c r="E240" s="29"/>
      <c r="F240" s="29"/>
      <c r="G240" s="29"/>
      <c r="H240" s="30"/>
      <c r="I240" s="29"/>
      <c r="J240" s="29"/>
      <c r="K240" s="29"/>
      <c r="L240" s="30"/>
      <c r="M240" s="29"/>
      <c r="N240" s="29"/>
    </row>
    <row r="241" spans="1:14" x14ac:dyDescent="0.15">
      <c r="A241" s="29"/>
      <c r="B241" s="29"/>
      <c r="D241" s="29"/>
      <c r="E241" s="29"/>
      <c r="F241" s="29"/>
      <c r="G241" s="29"/>
      <c r="H241" s="30"/>
      <c r="I241" s="29"/>
      <c r="J241" s="29"/>
      <c r="K241" s="29"/>
      <c r="L241" s="30"/>
      <c r="M241" s="29"/>
      <c r="N241" s="29"/>
    </row>
    <row r="242" spans="1:14" x14ac:dyDescent="0.15">
      <c r="A242" s="29"/>
      <c r="B242" s="29"/>
      <c r="D242" s="29"/>
      <c r="E242" s="29"/>
      <c r="F242" s="29"/>
      <c r="G242" s="29"/>
      <c r="H242" s="30"/>
      <c r="I242" s="29"/>
      <c r="J242" s="29"/>
      <c r="K242" s="29"/>
      <c r="L242" s="30"/>
      <c r="M242" s="29"/>
      <c r="N242" s="29"/>
    </row>
    <row r="243" spans="1:14" x14ac:dyDescent="0.15">
      <c r="A243" s="29"/>
      <c r="B243" s="29"/>
      <c r="D243" s="29"/>
      <c r="E243" s="29"/>
      <c r="F243" s="29"/>
      <c r="G243" s="29"/>
      <c r="H243" s="30"/>
      <c r="I243" s="29"/>
      <c r="J243" s="29"/>
      <c r="K243" s="29"/>
      <c r="L243" s="30"/>
      <c r="M243" s="29"/>
      <c r="N243" s="29"/>
    </row>
    <row r="244" spans="1:14" x14ac:dyDescent="0.15">
      <c r="A244" s="29"/>
      <c r="B244" s="29"/>
      <c r="D244" s="29"/>
      <c r="E244" s="29"/>
      <c r="F244" s="29"/>
      <c r="G244" s="29"/>
      <c r="H244" s="30"/>
      <c r="I244" s="29"/>
      <c r="J244" s="29"/>
      <c r="K244" s="29"/>
      <c r="L244" s="30"/>
      <c r="M244" s="29"/>
      <c r="N244" s="29"/>
    </row>
    <row r="245" spans="1:14" x14ac:dyDescent="0.15">
      <c r="A245" s="29"/>
      <c r="B245" s="29"/>
      <c r="D245" s="29"/>
      <c r="E245" s="29"/>
      <c r="F245" s="29"/>
      <c r="G245" s="29"/>
      <c r="H245" s="30"/>
      <c r="I245" s="29"/>
      <c r="J245" s="29"/>
      <c r="K245" s="29"/>
      <c r="L245" s="30"/>
      <c r="M245" s="29"/>
      <c r="N245" s="29"/>
    </row>
    <row r="246" spans="1:14" x14ac:dyDescent="0.15">
      <c r="A246" s="29"/>
      <c r="B246" s="29"/>
      <c r="D246" s="29"/>
      <c r="E246" s="29"/>
      <c r="F246" s="29"/>
      <c r="G246" s="29"/>
      <c r="H246" s="30"/>
      <c r="I246" s="29"/>
      <c r="J246" s="29"/>
      <c r="K246" s="29"/>
      <c r="L246" s="30"/>
      <c r="M246" s="29"/>
      <c r="N246" s="29"/>
    </row>
    <row r="247" spans="1:14" x14ac:dyDescent="0.15">
      <c r="A247" s="29"/>
      <c r="B247" s="29"/>
      <c r="D247" s="29"/>
      <c r="E247" s="29"/>
      <c r="F247" s="29"/>
      <c r="G247" s="29"/>
      <c r="H247" s="30"/>
      <c r="I247" s="29"/>
      <c r="J247" s="29"/>
      <c r="K247" s="29"/>
      <c r="L247" s="30"/>
      <c r="M247" s="29"/>
      <c r="N247" s="29"/>
    </row>
    <row r="250" spans="1:14" x14ac:dyDescent="0.15">
      <c r="A250" s="29"/>
    </row>
    <row r="251" spans="1:14" x14ac:dyDescent="0.15">
      <c r="A251" s="29"/>
    </row>
    <row r="252" spans="1:14" x14ac:dyDescent="0.15">
      <c r="A252" s="29"/>
    </row>
    <row r="254" spans="1:14" x14ac:dyDescent="0.15">
      <c r="A254" s="29"/>
    </row>
    <row r="255" spans="1:14" x14ac:dyDescent="0.15">
      <c r="A255" s="29"/>
    </row>
    <row r="256" spans="1:14" x14ac:dyDescent="0.15">
      <c r="A256" s="29"/>
    </row>
    <row r="258" spans="1:14" x14ac:dyDescent="0.15">
      <c r="A258" s="29"/>
      <c r="B258" s="29"/>
      <c r="C258" s="29"/>
      <c r="D258" s="29"/>
      <c r="E258" s="29"/>
      <c r="F258" s="29"/>
    </row>
    <row r="259" spans="1:14" x14ac:dyDescent="0.15">
      <c r="A259" s="29"/>
      <c r="B259" s="29"/>
    </row>
    <row r="260" spans="1:14" x14ac:dyDescent="0.15">
      <c r="A260" s="29"/>
    </row>
    <row r="264" spans="1:14" x14ac:dyDescent="0.15">
      <c r="A264" s="29"/>
      <c r="B264" s="29"/>
      <c r="C264" s="29"/>
      <c r="D264" s="29"/>
      <c r="E264" s="29"/>
      <c r="F264" s="29"/>
      <c r="G264" s="29"/>
      <c r="H264" s="30"/>
      <c r="I264" s="29"/>
      <c r="J264" s="29"/>
      <c r="K264" s="29"/>
      <c r="L264" s="30"/>
      <c r="M264" s="29"/>
      <c r="N264" s="29"/>
    </row>
    <row r="265" spans="1:14" x14ac:dyDescent="0.15">
      <c r="A265" s="29"/>
      <c r="B265" s="29"/>
      <c r="D265" s="29"/>
      <c r="E265" s="29"/>
      <c r="F265" s="29"/>
      <c r="G265" s="29"/>
      <c r="H265" s="30"/>
      <c r="I265" s="29"/>
      <c r="J265" s="29"/>
      <c r="K265" s="29"/>
      <c r="L265" s="30"/>
      <c r="M265" s="29"/>
      <c r="N265" s="29"/>
    </row>
    <row r="266" spans="1:14" x14ac:dyDescent="0.15">
      <c r="A266" s="29"/>
      <c r="B266" s="29"/>
      <c r="D266" s="29"/>
      <c r="E266" s="29"/>
      <c r="F266" s="29"/>
      <c r="G266" s="29"/>
      <c r="H266" s="30"/>
      <c r="I266" s="29"/>
      <c r="J266" s="29"/>
      <c r="K266" s="29"/>
      <c r="L266" s="30"/>
      <c r="M266" s="29"/>
      <c r="N266" s="29"/>
    </row>
    <row r="267" spans="1:14" x14ac:dyDescent="0.15">
      <c r="A267" s="29"/>
      <c r="B267" s="29"/>
      <c r="D267" s="29"/>
      <c r="E267" s="29"/>
      <c r="F267" s="29"/>
      <c r="G267" s="29"/>
      <c r="H267" s="30"/>
      <c r="I267" s="29"/>
      <c r="J267" s="29"/>
      <c r="K267" s="29"/>
      <c r="L267" s="30"/>
      <c r="M267" s="29"/>
      <c r="N267" s="29"/>
    </row>
    <row r="268" spans="1:14" x14ac:dyDescent="0.15">
      <c r="A268" s="29"/>
      <c r="B268" s="29"/>
      <c r="D268" s="29"/>
      <c r="E268" s="29"/>
      <c r="F268" s="29"/>
      <c r="G268" s="29"/>
      <c r="H268" s="30"/>
      <c r="I268" s="29"/>
      <c r="J268" s="29"/>
      <c r="K268" s="29"/>
      <c r="L268" s="30"/>
      <c r="M268" s="29"/>
      <c r="N268" s="29"/>
    </row>
    <row r="269" spans="1:14" x14ac:dyDescent="0.15">
      <c r="A269" s="29"/>
      <c r="B269" s="29"/>
      <c r="D269" s="29"/>
      <c r="E269" s="29"/>
      <c r="F269" s="29"/>
      <c r="G269" s="29"/>
      <c r="H269" s="30"/>
      <c r="I269" s="29"/>
      <c r="J269" s="29"/>
      <c r="K269" s="29"/>
      <c r="L269" s="30"/>
      <c r="M269" s="29"/>
      <c r="N269" s="29"/>
    </row>
    <row r="270" spans="1:14" x14ac:dyDescent="0.15">
      <c r="A270" s="29"/>
      <c r="B270" s="29"/>
      <c r="D270" s="29"/>
      <c r="E270" s="29"/>
      <c r="F270" s="29"/>
      <c r="G270" s="29"/>
      <c r="H270" s="30"/>
      <c r="I270" s="29"/>
      <c r="J270" s="29"/>
      <c r="K270" s="29"/>
      <c r="L270" s="30"/>
      <c r="M270" s="29"/>
      <c r="N270" s="29"/>
    </row>
    <row r="271" spans="1:14" x14ac:dyDescent="0.15">
      <c r="A271" s="29"/>
      <c r="B271" s="29"/>
      <c r="D271" s="29"/>
      <c r="E271" s="29"/>
      <c r="F271" s="29"/>
      <c r="G271" s="29"/>
      <c r="H271" s="30"/>
      <c r="I271" s="29"/>
      <c r="J271" s="29"/>
      <c r="K271" s="29"/>
      <c r="L271" s="30"/>
      <c r="M271" s="29"/>
      <c r="N271" s="29"/>
    </row>
    <row r="272" spans="1:14" x14ac:dyDescent="0.15">
      <c r="A272" s="29"/>
      <c r="B272" s="29"/>
      <c r="D272" s="29"/>
      <c r="E272" s="29"/>
      <c r="F272" s="29"/>
      <c r="G272" s="29"/>
      <c r="H272" s="30"/>
      <c r="I272" s="29"/>
      <c r="J272" s="29"/>
      <c r="K272" s="29"/>
      <c r="L272" s="30"/>
      <c r="M272" s="29"/>
      <c r="N272" s="29"/>
    </row>
    <row r="273" spans="1:14" x14ac:dyDescent="0.15">
      <c r="A273" s="29"/>
      <c r="B273" s="29"/>
      <c r="D273" s="29"/>
      <c r="E273" s="29"/>
      <c r="F273" s="29"/>
      <c r="G273" s="29"/>
      <c r="H273" s="30"/>
      <c r="I273" s="29"/>
      <c r="J273" s="29"/>
      <c r="K273" s="29"/>
      <c r="L273" s="30"/>
      <c r="M273" s="29"/>
      <c r="N273" s="29"/>
    </row>
    <row r="274" spans="1:14" x14ac:dyDescent="0.15">
      <c r="A274" s="29"/>
      <c r="B274" s="29"/>
      <c r="D274" s="29"/>
      <c r="E274" s="29"/>
      <c r="F274" s="29"/>
      <c r="G274" s="29"/>
      <c r="H274" s="30"/>
      <c r="I274" s="29"/>
      <c r="J274" s="29"/>
      <c r="K274" s="29"/>
      <c r="L274" s="30"/>
      <c r="M274" s="29"/>
      <c r="N274" s="29"/>
    </row>
    <row r="275" spans="1:14" x14ac:dyDescent="0.15">
      <c r="A275" s="29"/>
      <c r="B275" s="29"/>
      <c r="D275" s="29"/>
      <c r="E275" s="29"/>
      <c r="F275" s="29"/>
      <c r="G275" s="29"/>
      <c r="H275" s="30"/>
      <c r="I275" s="29"/>
      <c r="J275" s="29"/>
      <c r="K275" s="29"/>
      <c r="L275" s="30"/>
      <c r="M275" s="29"/>
      <c r="N275" s="29"/>
    </row>
    <row r="276" spans="1:14" x14ac:dyDescent="0.15">
      <c r="A276" s="29"/>
      <c r="B276" s="29"/>
      <c r="D276" s="29"/>
      <c r="E276" s="29"/>
      <c r="F276" s="29"/>
      <c r="G276" s="29"/>
      <c r="H276" s="30"/>
      <c r="I276" s="29"/>
      <c r="J276" s="29"/>
      <c r="K276" s="29"/>
      <c r="L276" s="30"/>
      <c r="M276" s="29"/>
      <c r="N276" s="29"/>
    </row>
    <row r="277" spans="1:14" x14ac:dyDescent="0.15">
      <c r="A277" s="29"/>
      <c r="B277" s="29"/>
      <c r="D277" s="29"/>
      <c r="E277" s="29"/>
      <c r="F277" s="29"/>
      <c r="G277" s="29"/>
      <c r="H277" s="30"/>
      <c r="I277" s="29"/>
      <c r="J277" s="29"/>
      <c r="K277" s="29"/>
      <c r="L277" s="30"/>
      <c r="M277" s="29"/>
      <c r="N277" s="29"/>
    </row>
    <row r="278" spans="1:14" x14ac:dyDescent="0.15">
      <c r="A278" s="29"/>
      <c r="B278" s="29"/>
      <c r="D278" s="29"/>
      <c r="E278" s="29"/>
      <c r="F278" s="29"/>
      <c r="G278" s="29"/>
      <c r="H278" s="30"/>
      <c r="I278" s="29"/>
      <c r="J278" s="29"/>
      <c r="K278" s="29"/>
      <c r="L278" s="30"/>
      <c r="M278" s="29"/>
      <c r="N278" s="29"/>
    </row>
    <row r="279" spans="1:14" x14ac:dyDescent="0.15">
      <c r="A279" s="29"/>
      <c r="B279" s="29"/>
      <c r="D279" s="29"/>
      <c r="E279" s="29"/>
      <c r="F279" s="29"/>
      <c r="G279" s="29"/>
      <c r="H279" s="30"/>
      <c r="I279" s="29"/>
      <c r="J279" s="29"/>
      <c r="K279" s="29"/>
      <c r="L279" s="30"/>
      <c r="M279" s="29"/>
      <c r="N279" s="29"/>
    </row>
    <row r="280" spans="1:14" x14ac:dyDescent="0.15">
      <c r="A280" s="29"/>
      <c r="B280" s="29"/>
      <c r="D280" s="29"/>
      <c r="E280" s="29"/>
      <c r="F280" s="29"/>
      <c r="G280" s="29"/>
      <c r="H280" s="30"/>
      <c r="I280" s="29"/>
      <c r="J280" s="29"/>
      <c r="K280" s="29"/>
      <c r="L280" s="30"/>
      <c r="M280" s="29"/>
      <c r="N280" s="29"/>
    </row>
    <row r="281" spans="1:14" x14ac:dyDescent="0.15">
      <c r="A281" s="29"/>
      <c r="B281" s="29"/>
      <c r="D281" s="29"/>
      <c r="E281" s="29"/>
      <c r="F281" s="29"/>
      <c r="G281" s="29"/>
      <c r="H281" s="30"/>
      <c r="I281" s="29"/>
      <c r="J281" s="29"/>
      <c r="K281" s="29"/>
      <c r="L281" s="30"/>
      <c r="M281" s="29"/>
      <c r="N281" s="29"/>
    </row>
    <row r="282" spans="1:14" x14ac:dyDescent="0.15">
      <c r="A282" s="29"/>
      <c r="B282" s="29"/>
      <c r="D282" s="29"/>
      <c r="E282" s="29"/>
      <c r="F282" s="29"/>
      <c r="G282" s="29"/>
      <c r="H282" s="30"/>
      <c r="I282" s="29"/>
      <c r="J282" s="29"/>
      <c r="K282" s="29"/>
      <c r="L282" s="30"/>
      <c r="M282" s="29"/>
      <c r="N282" s="29"/>
    </row>
    <row r="283" spans="1:14" x14ac:dyDescent="0.15">
      <c r="A283" s="29"/>
      <c r="B283" s="29"/>
      <c r="D283" s="29"/>
      <c r="E283" s="29"/>
      <c r="F283" s="29"/>
      <c r="G283" s="29"/>
      <c r="H283" s="30"/>
      <c r="I283" s="29"/>
      <c r="J283" s="29"/>
      <c r="K283" s="29"/>
      <c r="L283" s="30"/>
      <c r="M283" s="29"/>
      <c r="N283" s="29"/>
    </row>
    <row r="284" spans="1:14" x14ac:dyDescent="0.15">
      <c r="A284" s="29"/>
      <c r="B284" s="29"/>
      <c r="D284" s="29"/>
      <c r="E284" s="29"/>
      <c r="F284" s="29"/>
      <c r="G284" s="29"/>
      <c r="H284" s="30"/>
      <c r="I284" s="29"/>
      <c r="J284" s="29"/>
      <c r="K284" s="29"/>
      <c r="L284" s="30"/>
      <c r="M284" s="29"/>
      <c r="N284" s="29"/>
    </row>
    <row r="285" spans="1:14" x14ac:dyDescent="0.15">
      <c r="A285" s="29"/>
      <c r="B285" s="29"/>
      <c r="D285" s="29"/>
      <c r="E285" s="29"/>
      <c r="F285" s="29"/>
      <c r="G285" s="29"/>
      <c r="H285" s="30"/>
      <c r="I285" s="29"/>
      <c r="J285" s="29"/>
      <c r="K285" s="29"/>
      <c r="L285" s="30"/>
      <c r="M285" s="29"/>
      <c r="N285" s="29"/>
    </row>
    <row r="286" spans="1:14" x14ac:dyDescent="0.15">
      <c r="A286" s="29"/>
      <c r="B286" s="29"/>
      <c r="D286" s="29"/>
      <c r="E286" s="29"/>
      <c r="F286" s="29"/>
      <c r="G286" s="29"/>
      <c r="H286" s="30"/>
      <c r="I286" s="29"/>
      <c r="J286" s="29"/>
      <c r="K286" s="29"/>
      <c r="L286" s="30"/>
      <c r="M286" s="29"/>
      <c r="N286" s="29"/>
    </row>
    <row r="287" spans="1:14" x14ac:dyDescent="0.15">
      <c r="A287" s="29"/>
      <c r="B287" s="29"/>
      <c r="D287" s="29"/>
      <c r="E287" s="29"/>
      <c r="F287" s="29"/>
      <c r="G287" s="29"/>
      <c r="H287" s="30"/>
      <c r="I287" s="29"/>
      <c r="J287" s="29"/>
      <c r="K287" s="29"/>
      <c r="L287" s="30"/>
      <c r="M287" s="29"/>
      <c r="N287" s="29"/>
    </row>
    <row r="288" spans="1:14" x14ac:dyDescent="0.15">
      <c r="A288" s="29"/>
      <c r="B288" s="29"/>
      <c r="D288" s="29"/>
      <c r="E288" s="29"/>
      <c r="F288" s="29"/>
      <c r="G288" s="29"/>
      <c r="H288" s="30"/>
      <c r="I288" s="29"/>
      <c r="J288" s="29"/>
      <c r="K288" s="29"/>
      <c r="L288" s="30"/>
      <c r="M288" s="29"/>
      <c r="N288" s="29"/>
    </row>
    <row r="289" spans="1:14" x14ac:dyDescent="0.15">
      <c r="A289" s="29"/>
      <c r="B289" s="29"/>
      <c r="D289" s="29"/>
      <c r="E289" s="29"/>
      <c r="F289" s="29"/>
      <c r="G289" s="29"/>
      <c r="H289" s="30"/>
      <c r="I289" s="29"/>
      <c r="J289" s="29"/>
      <c r="K289" s="29"/>
      <c r="L289" s="30"/>
      <c r="M289" s="29"/>
      <c r="N289" s="29"/>
    </row>
    <row r="290" spans="1:14" x14ac:dyDescent="0.15">
      <c r="A290" s="29"/>
      <c r="B290" s="29"/>
      <c r="D290" s="29"/>
      <c r="E290" s="29"/>
      <c r="F290" s="29"/>
      <c r="G290" s="29"/>
      <c r="H290" s="30"/>
      <c r="I290" s="29"/>
      <c r="J290" s="29"/>
      <c r="K290" s="29"/>
      <c r="L290" s="30"/>
      <c r="M290" s="29"/>
      <c r="N290" s="29"/>
    </row>
    <row r="291" spans="1:14" x14ac:dyDescent="0.15">
      <c r="A291" s="29"/>
      <c r="B291" s="29"/>
      <c r="D291" s="29"/>
      <c r="E291" s="29"/>
      <c r="F291" s="29"/>
      <c r="G291" s="29"/>
      <c r="H291" s="30"/>
      <c r="I291" s="29"/>
      <c r="J291" s="29"/>
      <c r="K291" s="29"/>
      <c r="L291" s="30"/>
      <c r="M291" s="29"/>
      <c r="N291" s="29"/>
    </row>
    <row r="292" spans="1:14" x14ac:dyDescent="0.15">
      <c r="A292" s="29"/>
      <c r="B292" s="29"/>
      <c r="D292" s="29"/>
      <c r="E292" s="29"/>
      <c r="F292" s="29"/>
      <c r="G292" s="29"/>
      <c r="H292" s="30"/>
      <c r="I292" s="29"/>
      <c r="J292" s="29"/>
      <c r="K292" s="29"/>
      <c r="L292" s="30"/>
      <c r="M292" s="29"/>
      <c r="N292" s="29"/>
    </row>
    <row r="293" spans="1:14" x14ac:dyDescent="0.15">
      <c r="A293" s="29"/>
      <c r="B293" s="29"/>
      <c r="D293" s="29"/>
      <c r="E293" s="29"/>
      <c r="F293" s="29"/>
      <c r="G293" s="29"/>
      <c r="H293" s="30"/>
      <c r="I293" s="29"/>
      <c r="J293" s="29"/>
      <c r="K293" s="29"/>
      <c r="L293" s="30"/>
      <c r="M293" s="29"/>
      <c r="N293" s="29"/>
    </row>
  </sheetData>
  <phoneticPr fontId="33"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224842"/>
  <sheetViews>
    <sheetView showGridLines="0" workbookViewId="0">
      <selection activeCell="F37" sqref="F37:F38"/>
    </sheetView>
  </sheetViews>
  <sheetFormatPr defaultColWidth="9" defaultRowHeight="15" x14ac:dyDescent="0.25"/>
  <cols>
    <col min="1" max="1" width="4.25" style="1" customWidth="1"/>
    <col min="2" max="2" width="23.375" style="2" customWidth="1"/>
    <col min="3" max="3" width="22.875" style="2" customWidth="1"/>
    <col min="4" max="4" width="24" style="2" customWidth="1"/>
    <col min="5" max="5" width="14.25" style="2" customWidth="1"/>
    <col min="6" max="6" width="17" style="2" customWidth="1"/>
    <col min="7" max="7" width="10" style="2" customWidth="1"/>
    <col min="8" max="8" width="18.875" style="1" customWidth="1"/>
    <col min="9" max="9" width="17.75" style="1" customWidth="1"/>
    <col min="10" max="10" width="17.875" style="1" customWidth="1"/>
    <col min="11" max="11" width="15.375" style="1" customWidth="1"/>
    <col min="12" max="12" width="12.25" style="1" customWidth="1"/>
    <col min="13" max="16384" width="9" style="1"/>
  </cols>
  <sheetData>
    <row r="1" spans="2:12" ht="45.95" customHeight="1" x14ac:dyDescent="0.25">
      <c r="B1" s="172" t="s">
        <v>630</v>
      </c>
      <c r="C1" s="172"/>
      <c r="D1" s="172"/>
      <c r="E1" s="172"/>
      <c r="F1" s="172"/>
      <c r="G1" s="172"/>
    </row>
    <row r="2" spans="2:12" ht="18.75" x14ac:dyDescent="0.25">
      <c r="B2" s="3" t="s">
        <v>631</v>
      </c>
      <c r="C2" s="173" t="s">
        <v>39</v>
      </c>
      <c r="D2" s="174"/>
      <c r="E2" s="174"/>
      <c r="F2" s="175"/>
      <c r="H2" s="3" t="s">
        <v>631</v>
      </c>
      <c r="I2" s="173" t="s">
        <v>41</v>
      </c>
      <c r="J2" s="174"/>
      <c r="K2" s="174"/>
      <c r="L2" s="175"/>
    </row>
    <row r="3" spans="2:12" ht="18.75" x14ac:dyDescent="0.25">
      <c r="B3" s="176" t="s">
        <v>632</v>
      </c>
      <c r="C3" s="177"/>
      <c r="D3" s="177"/>
      <c r="E3" s="177"/>
      <c r="F3" s="178"/>
      <c r="H3" s="176" t="s">
        <v>632</v>
      </c>
      <c r="I3" s="177"/>
      <c r="J3" s="177"/>
      <c r="K3" s="177"/>
      <c r="L3" s="178"/>
    </row>
    <row r="4" spans="2:12" ht="18.75" x14ac:dyDescent="0.25">
      <c r="B4" s="6" t="s">
        <v>633</v>
      </c>
      <c r="C4" s="179" t="s">
        <v>634</v>
      </c>
      <c r="D4" s="180"/>
      <c r="E4" s="180"/>
      <c r="F4" s="181"/>
      <c r="H4" s="6" t="s">
        <v>633</v>
      </c>
      <c r="I4" s="179" t="s">
        <v>634</v>
      </c>
      <c r="J4" s="180"/>
      <c r="K4" s="180"/>
      <c r="L4" s="181"/>
    </row>
    <row r="5" spans="2:12" ht="18.75" x14ac:dyDescent="0.25">
      <c r="B5" s="6" t="s">
        <v>635</v>
      </c>
      <c r="C5" s="182" t="s">
        <v>636</v>
      </c>
      <c r="D5" s="183"/>
      <c r="E5" s="183"/>
      <c r="F5" s="184"/>
      <c r="H5" s="6" t="s">
        <v>635</v>
      </c>
      <c r="I5" s="182" t="s">
        <v>636</v>
      </c>
      <c r="J5" s="183"/>
      <c r="K5" s="183"/>
      <c r="L5" s="184"/>
    </row>
    <row r="6" spans="2:12" ht="18.75" x14ac:dyDescent="0.25">
      <c r="B6" s="4" t="s">
        <v>637</v>
      </c>
      <c r="C6" s="182" t="s">
        <v>638</v>
      </c>
      <c r="D6" s="183"/>
      <c r="E6" s="183"/>
      <c r="F6" s="184"/>
      <c r="H6" s="4" t="s">
        <v>637</v>
      </c>
      <c r="I6" s="182" t="s">
        <v>638</v>
      </c>
      <c r="J6" s="183"/>
      <c r="K6" s="183"/>
      <c r="L6" s="184"/>
    </row>
    <row r="7" spans="2:12" ht="18.75" x14ac:dyDescent="0.25">
      <c r="B7" s="4" t="s">
        <v>639</v>
      </c>
      <c r="C7" s="182" t="s">
        <v>121</v>
      </c>
      <c r="D7" s="183"/>
      <c r="E7" s="183"/>
      <c r="F7" s="184"/>
      <c r="H7" s="4" t="s">
        <v>639</v>
      </c>
      <c r="I7" s="182" t="s">
        <v>121</v>
      </c>
      <c r="J7" s="183"/>
      <c r="K7" s="183"/>
      <c r="L7" s="184"/>
    </row>
    <row r="8" spans="2:12" ht="18.75" x14ac:dyDescent="0.25">
      <c r="B8" s="4" t="s">
        <v>640</v>
      </c>
      <c r="C8" s="182" t="s">
        <v>641</v>
      </c>
      <c r="D8" s="183"/>
      <c r="E8" s="183"/>
      <c r="F8" s="184"/>
      <c r="H8" s="4" t="s">
        <v>640</v>
      </c>
      <c r="I8" s="182" t="s">
        <v>641</v>
      </c>
      <c r="J8" s="183"/>
      <c r="K8" s="183"/>
      <c r="L8" s="184"/>
    </row>
    <row r="9" spans="2:12" ht="18.75" x14ac:dyDescent="0.25">
      <c r="B9" s="4" t="s">
        <v>642</v>
      </c>
      <c r="C9" s="185" t="s">
        <v>641</v>
      </c>
      <c r="D9" s="185"/>
      <c r="E9" s="185"/>
      <c r="F9" s="186"/>
      <c r="H9" s="4" t="s">
        <v>642</v>
      </c>
      <c r="I9" s="185" t="s">
        <v>641</v>
      </c>
      <c r="J9" s="185"/>
      <c r="K9" s="185"/>
      <c r="L9" s="186"/>
    </row>
    <row r="10" spans="2:12" ht="18.75" x14ac:dyDescent="0.25">
      <c r="B10" s="4" t="s">
        <v>643</v>
      </c>
      <c r="C10" s="187" t="s">
        <v>644</v>
      </c>
      <c r="D10" s="188"/>
      <c r="E10" s="188"/>
      <c r="F10" s="189"/>
      <c r="H10" s="4" t="s">
        <v>643</v>
      </c>
      <c r="I10" s="187" t="s">
        <v>644</v>
      </c>
      <c r="J10" s="188"/>
      <c r="K10" s="188"/>
      <c r="L10" s="189"/>
    </row>
    <row r="11" spans="2:12" ht="18.75" x14ac:dyDescent="0.25">
      <c r="B11" s="203" t="s">
        <v>645</v>
      </c>
      <c r="C11" s="5" t="s">
        <v>646</v>
      </c>
      <c r="D11" s="5" t="s">
        <v>647</v>
      </c>
      <c r="E11" s="7" t="s">
        <v>648</v>
      </c>
      <c r="F11" s="8" t="s">
        <v>649</v>
      </c>
      <c r="H11" s="203" t="s">
        <v>645</v>
      </c>
      <c r="I11" s="5" t="s">
        <v>646</v>
      </c>
      <c r="J11" s="5" t="s">
        <v>647</v>
      </c>
      <c r="K11" s="7" t="s">
        <v>648</v>
      </c>
      <c r="L11" s="8" t="s">
        <v>649</v>
      </c>
    </row>
    <row r="12" spans="2:12" ht="15.75" x14ac:dyDescent="0.25">
      <c r="B12" s="204"/>
      <c r="C12" s="9">
        <v>0</v>
      </c>
      <c r="D12" s="10">
        <v>0.6</v>
      </c>
      <c r="E12" s="7">
        <f t="shared" ref="E12:E16" si="0">100-F12</f>
        <v>80</v>
      </c>
      <c r="F12" s="8">
        <v>20</v>
      </c>
      <c r="H12" s="204"/>
      <c r="I12" s="9">
        <v>0</v>
      </c>
      <c r="J12" s="10">
        <v>0.6</v>
      </c>
      <c r="K12" s="7">
        <f t="shared" ref="K12:K16" si="1">100-L12</f>
        <v>70</v>
      </c>
      <c r="L12" s="8">
        <v>30</v>
      </c>
    </row>
    <row r="13" spans="2:12" ht="15.75" x14ac:dyDescent="0.25">
      <c r="B13" s="204"/>
      <c r="C13" s="9">
        <v>0.8</v>
      </c>
      <c r="D13" s="10">
        <f t="shared" ref="D13:D16" si="2">D12</f>
        <v>0.6</v>
      </c>
      <c r="E13" s="7">
        <f t="shared" si="0"/>
        <v>5</v>
      </c>
      <c r="F13" s="8">
        <v>95</v>
      </c>
      <c r="H13" s="204"/>
      <c r="I13" s="9">
        <v>0.8</v>
      </c>
      <c r="J13" s="10">
        <f t="shared" ref="J13:J16" si="3">J12</f>
        <v>0.6</v>
      </c>
      <c r="K13" s="7">
        <f t="shared" si="1"/>
        <v>5</v>
      </c>
      <c r="L13" s="8">
        <v>95</v>
      </c>
    </row>
    <row r="14" spans="2:12" ht="15.75" x14ac:dyDescent="0.25">
      <c r="B14" s="204"/>
      <c r="C14" s="9">
        <v>1.2</v>
      </c>
      <c r="D14" s="10">
        <f t="shared" si="2"/>
        <v>0.6</v>
      </c>
      <c r="E14" s="7">
        <f t="shared" si="0"/>
        <v>5</v>
      </c>
      <c r="F14" s="8">
        <v>95</v>
      </c>
      <c r="H14" s="204"/>
      <c r="I14" s="9">
        <v>1.2</v>
      </c>
      <c r="J14" s="10">
        <f t="shared" si="3"/>
        <v>0.6</v>
      </c>
      <c r="K14" s="7">
        <f t="shared" si="1"/>
        <v>5</v>
      </c>
      <c r="L14" s="8">
        <v>95</v>
      </c>
    </row>
    <row r="15" spans="2:12" ht="15.75" x14ac:dyDescent="0.25">
      <c r="B15" s="204"/>
      <c r="C15" s="9">
        <v>1.21</v>
      </c>
      <c r="D15" s="10">
        <f t="shared" si="2"/>
        <v>0.6</v>
      </c>
      <c r="E15" s="7">
        <f t="shared" si="0"/>
        <v>80</v>
      </c>
      <c r="F15" s="8">
        <v>20</v>
      </c>
      <c r="H15" s="204"/>
      <c r="I15" s="9">
        <v>1.21</v>
      </c>
      <c r="J15" s="10">
        <f t="shared" si="3"/>
        <v>0.6</v>
      </c>
      <c r="K15" s="7">
        <f t="shared" si="1"/>
        <v>70</v>
      </c>
      <c r="L15" s="8">
        <v>30</v>
      </c>
    </row>
    <row r="16" spans="2:12" ht="15.75" x14ac:dyDescent="0.25">
      <c r="B16" s="204"/>
      <c r="C16" s="9">
        <v>1.5</v>
      </c>
      <c r="D16" s="10">
        <f t="shared" si="2"/>
        <v>0.6</v>
      </c>
      <c r="E16" s="7">
        <f t="shared" si="0"/>
        <v>80</v>
      </c>
      <c r="F16" s="8">
        <v>20</v>
      </c>
      <c r="H16" s="204"/>
      <c r="I16" s="9">
        <v>1.5</v>
      </c>
      <c r="J16" s="10">
        <f t="shared" si="3"/>
        <v>0.6</v>
      </c>
      <c r="K16" s="7">
        <f t="shared" si="1"/>
        <v>70</v>
      </c>
      <c r="L16" s="8">
        <v>30</v>
      </c>
    </row>
    <row r="17" spans="2:12" ht="18.75" x14ac:dyDescent="0.25">
      <c r="B17" s="176" t="s">
        <v>650</v>
      </c>
      <c r="C17" s="177"/>
      <c r="D17" s="177"/>
      <c r="E17" s="177"/>
      <c r="F17" s="178"/>
      <c r="H17" s="176" t="s">
        <v>650</v>
      </c>
      <c r="I17" s="177"/>
      <c r="J17" s="177"/>
      <c r="K17" s="177"/>
      <c r="L17" s="178"/>
    </row>
    <row r="18" spans="2:12" ht="18.75" x14ac:dyDescent="0.25">
      <c r="B18" s="4" t="s">
        <v>651</v>
      </c>
      <c r="C18" s="182" t="s">
        <v>652</v>
      </c>
      <c r="D18" s="183"/>
      <c r="E18" s="183"/>
      <c r="F18" s="184"/>
      <c r="H18" s="4" t="s">
        <v>651</v>
      </c>
      <c r="I18" s="182" t="s">
        <v>652</v>
      </c>
      <c r="J18" s="183"/>
      <c r="K18" s="183"/>
      <c r="L18" s="184"/>
    </row>
    <row r="19" spans="2:12" ht="18.75" x14ac:dyDescent="0.25">
      <c r="B19" s="4" t="s">
        <v>653</v>
      </c>
      <c r="C19" s="182" t="s">
        <v>654</v>
      </c>
      <c r="D19" s="183"/>
      <c r="E19" s="183"/>
      <c r="F19" s="184"/>
      <c r="H19" s="4" t="s">
        <v>653</v>
      </c>
      <c r="I19" s="182" t="s">
        <v>654</v>
      </c>
      <c r="J19" s="183"/>
      <c r="K19" s="183"/>
      <c r="L19" s="184"/>
    </row>
    <row r="20" spans="2:12" ht="18.75" x14ac:dyDescent="0.25">
      <c r="B20" s="4" t="s">
        <v>655</v>
      </c>
      <c r="C20" s="182" t="s">
        <v>656</v>
      </c>
      <c r="D20" s="183"/>
      <c r="E20" s="183"/>
      <c r="F20" s="184"/>
      <c r="H20" s="4" t="s">
        <v>655</v>
      </c>
      <c r="I20" s="182" t="s">
        <v>656</v>
      </c>
      <c r="J20" s="183"/>
      <c r="K20" s="183"/>
      <c r="L20" s="184"/>
    </row>
    <row r="21" spans="2:12" ht="18.75" x14ac:dyDescent="0.25">
      <c r="B21" s="4" t="s">
        <v>657</v>
      </c>
      <c r="C21" s="182" t="s">
        <v>658</v>
      </c>
      <c r="D21" s="183"/>
      <c r="E21" s="183"/>
      <c r="F21" s="184"/>
      <c r="H21" s="4" t="s">
        <v>657</v>
      </c>
      <c r="I21" s="182" t="s">
        <v>658</v>
      </c>
      <c r="J21" s="183"/>
      <c r="K21" s="183"/>
      <c r="L21" s="184"/>
    </row>
    <row r="22" spans="2:12" ht="18.75" x14ac:dyDescent="0.25">
      <c r="B22" s="4" t="s">
        <v>659</v>
      </c>
      <c r="C22" s="7" t="s">
        <v>660</v>
      </c>
      <c r="D22" s="7" t="s">
        <v>661</v>
      </c>
      <c r="E22" s="7" t="s">
        <v>662</v>
      </c>
      <c r="F22" s="8" t="s">
        <v>663</v>
      </c>
      <c r="H22" s="4" t="s">
        <v>659</v>
      </c>
      <c r="I22" s="7" t="s">
        <v>660</v>
      </c>
      <c r="J22" s="7" t="s">
        <v>661</v>
      </c>
      <c r="K22" s="7" t="s">
        <v>662</v>
      </c>
      <c r="L22" s="8" t="s">
        <v>663</v>
      </c>
    </row>
    <row r="23" spans="2:12" ht="21" customHeight="1" x14ac:dyDescent="0.25">
      <c r="B23" s="11" t="s">
        <v>39</v>
      </c>
      <c r="C23" s="7" t="s">
        <v>664</v>
      </c>
      <c r="D23" s="9">
        <v>0.82</v>
      </c>
      <c r="E23" s="7">
        <v>96</v>
      </c>
      <c r="F23" s="8">
        <v>41</v>
      </c>
      <c r="H23" s="11" t="s">
        <v>41</v>
      </c>
      <c r="I23" s="7" t="s">
        <v>665</v>
      </c>
      <c r="J23" s="9">
        <v>0.83</v>
      </c>
      <c r="K23" s="7">
        <v>105</v>
      </c>
      <c r="L23" s="8">
        <v>37</v>
      </c>
    </row>
    <row r="24" spans="2:12" ht="15.75" x14ac:dyDescent="0.25">
      <c r="B24" s="12" t="s">
        <v>121</v>
      </c>
      <c r="C24" s="13" t="s">
        <v>666</v>
      </c>
      <c r="D24" s="14">
        <v>0.92</v>
      </c>
      <c r="E24" s="13">
        <v>52</v>
      </c>
      <c r="F24" s="15">
        <v>25</v>
      </c>
      <c r="H24" s="12" t="s">
        <v>121</v>
      </c>
      <c r="I24" s="13" t="s">
        <v>666</v>
      </c>
      <c r="J24" s="14">
        <v>0.84</v>
      </c>
      <c r="K24" s="13">
        <v>52</v>
      </c>
      <c r="L24" s="15">
        <v>25</v>
      </c>
    </row>
    <row r="27" spans="2:12" ht="18.75" x14ac:dyDescent="0.25">
      <c r="B27" s="3" t="s">
        <v>631</v>
      </c>
      <c r="C27" s="190" t="s">
        <v>32</v>
      </c>
      <c r="D27" s="191"/>
      <c r="E27" s="191"/>
      <c r="F27" s="192"/>
      <c r="H27" s="3" t="s">
        <v>631</v>
      </c>
      <c r="I27" s="173" t="s">
        <v>40</v>
      </c>
      <c r="J27" s="174"/>
      <c r="K27" s="174"/>
      <c r="L27" s="175"/>
    </row>
    <row r="28" spans="2:12" ht="18.75" x14ac:dyDescent="0.25">
      <c r="B28" s="176" t="s">
        <v>632</v>
      </c>
      <c r="C28" s="177"/>
      <c r="D28" s="177"/>
      <c r="E28" s="177"/>
      <c r="F28" s="178"/>
      <c r="H28" s="176" t="s">
        <v>632</v>
      </c>
      <c r="I28" s="177"/>
      <c r="J28" s="177"/>
      <c r="K28" s="177"/>
      <c r="L28" s="178"/>
    </row>
    <row r="29" spans="2:12" ht="18.75" x14ac:dyDescent="0.25">
      <c r="B29" s="6" t="s">
        <v>633</v>
      </c>
      <c r="C29" s="179" t="s">
        <v>634</v>
      </c>
      <c r="D29" s="180"/>
      <c r="E29" s="180"/>
      <c r="F29" s="181"/>
      <c r="H29" s="6" t="s">
        <v>633</v>
      </c>
      <c r="I29" s="179" t="s">
        <v>634</v>
      </c>
      <c r="J29" s="180"/>
      <c r="K29" s="180"/>
      <c r="L29" s="181"/>
    </row>
    <row r="30" spans="2:12" ht="18.75" x14ac:dyDescent="0.25">
      <c r="B30" s="6" t="s">
        <v>635</v>
      </c>
      <c r="C30" s="182" t="s">
        <v>636</v>
      </c>
      <c r="D30" s="183"/>
      <c r="E30" s="183"/>
      <c r="F30" s="184"/>
      <c r="H30" s="6" t="s">
        <v>635</v>
      </c>
      <c r="I30" s="182" t="s">
        <v>636</v>
      </c>
      <c r="J30" s="183"/>
      <c r="K30" s="183"/>
      <c r="L30" s="184"/>
    </row>
    <row r="31" spans="2:12" ht="18.75" x14ac:dyDescent="0.25">
      <c r="B31" s="4" t="s">
        <v>637</v>
      </c>
      <c r="C31" s="182" t="s">
        <v>667</v>
      </c>
      <c r="D31" s="183"/>
      <c r="E31" s="183"/>
      <c r="F31" s="184"/>
      <c r="H31" s="4" t="s">
        <v>637</v>
      </c>
      <c r="I31" s="182" t="s">
        <v>638</v>
      </c>
      <c r="J31" s="183"/>
      <c r="K31" s="183"/>
      <c r="L31" s="184"/>
    </row>
    <row r="32" spans="2:12" ht="18.75" x14ac:dyDescent="0.25">
      <c r="B32" s="4" t="s">
        <v>639</v>
      </c>
      <c r="C32" s="182" t="s">
        <v>121</v>
      </c>
      <c r="D32" s="183"/>
      <c r="E32" s="183"/>
      <c r="F32" s="184"/>
      <c r="H32" s="4" t="s">
        <v>639</v>
      </c>
      <c r="I32" s="182" t="s">
        <v>121</v>
      </c>
      <c r="J32" s="183"/>
      <c r="K32" s="183"/>
      <c r="L32" s="184"/>
    </row>
    <row r="33" spans="2:12" ht="18.75" x14ac:dyDescent="0.25">
      <c r="B33" s="4" t="s">
        <v>640</v>
      </c>
      <c r="C33" s="182" t="s">
        <v>668</v>
      </c>
      <c r="D33" s="183"/>
      <c r="E33" s="183"/>
      <c r="F33" s="184"/>
      <c r="H33" s="4" t="s">
        <v>640</v>
      </c>
      <c r="I33" s="182" t="s">
        <v>641</v>
      </c>
      <c r="J33" s="183"/>
      <c r="K33" s="183"/>
      <c r="L33" s="184"/>
    </row>
    <row r="34" spans="2:12" ht="18.75" x14ac:dyDescent="0.25">
      <c r="B34" s="4" t="s">
        <v>642</v>
      </c>
      <c r="C34" s="185" t="s">
        <v>669</v>
      </c>
      <c r="D34" s="185"/>
      <c r="E34" s="185"/>
      <c r="F34" s="186"/>
      <c r="H34" s="4" t="s">
        <v>642</v>
      </c>
      <c r="I34" s="185" t="s">
        <v>641</v>
      </c>
      <c r="J34" s="185"/>
      <c r="K34" s="185"/>
      <c r="L34" s="186"/>
    </row>
    <row r="35" spans="2:12" ht="18.75" x14ac:dyDescent="0.25">
      <c r="B35" s="4" t="s">
        <v>643</v>
      </c>
      <c r="C35" s="193" t="s">
        <v>670</v>
      </c>
      <c r="D35" s="194"/>
      <c r="E35" s="194"/>
      <c r="F35" s="195"/>
      <c r="H35" s="4" t="s">
        <v>643</v>
      </c>
      <c r="I35" s="187" t="s">
        <v>644</v>
      </c>
      <c r="J35" s="188"/>
      <c r="K35" s="188"/>
      <c r="L35" s="189"/>
    </row>
    <row r="36" spans="2:12" ht="18.75" x14ac:dyDescent="0.25">
      <c r="B36" s="203" t="s">
        <v>645</v>
      </c>
      <c r="C36" s="5" t="s">
        <v>646</v>
      </c>
      <c r="D36" s="5" t="s">
        <v>647</v>
      </c>
      <c r="E36" s="7" t="s">
        <v>648</v>
      </c>
      <c r="F36" s="8" t="s">
        <v>649</v>
      </c>
      <c r="H36" s="203" t="s">
        <v>645</v>
      </c>
      <c r="I36" s="5" t="s">
        <v>646</v>
      </c>
      <c r="J36" s="5" t="s">
        <v>647</v>
      </c>
      <c r="K36" s="7" t="s">
        <v>648</v>
      </c>
      <c r="L36" s="8" t="s">
        <v>649</v>
      </c>
    </row>
    <row r="37" spans="2:12" ht="15.75" x14ac:dyDescent="0.25">
      <c r="B37" s="204"/>
      <c r="C37" s="206">
        <v>0</v>
      </c>
      <c r="D37" s="208">
        <v>0.8</v>
      </c>
      <c r="E37" s="210">
        <f t="shared" ref="E37:E42" si="4">100-F37</f>
        <v>80</v>
      </c>
      <c r="F37" s="212">
        <v>20</v>
      </c>
      <c r="H37" s="204"/>
      <c r="I37" s="9">
        <v>0</v>
      </c>
      <c r="J37" s="10">
        <v>0.6</v>
      </c>
      <c r="K37" s="7">
        <f t="shared" ref="K37:K41" si="5">100-L37</f>
        <v>80</v>
      </c>
      <c r="L37" s="8">
        <v>20</v>
      </c>
    </row>
    <row r="38" spans="2:12" ht="15.75" x14ac:dyDescent="0.25">
      <c r="B38" s="204"/>
      <c r="C38" s="207"/>
      <c r="D38" s="209"/>
      <c r="E38" s="211"/>
      <c r="F38" s="213"/>
      <c r="H38" s="204"/>
      <c r="I38" s="9">
        <v>0.8</v>
      </c>
      <c r="J38" s="10">
        <f t="shared" ref="J38:J41" si="6">J37</f>
        <v>0.6</v>
      </c>
      <c r="K38" s="7">
        <f t="shared" si="5"/>
        <v>5</v>
      </c>
      <c r="L38" s="8">
        <v>95</v>
      </c>
    </row>
    <row r="39" spans="2:12" ht="15.75" x14ac:dyDescent="0.25">
      <c r="B39" s="204"/>
      <c r="C39" s="9">
        <v>0.9</v>
      </c>
      <c r="D39" s="10">
        <f>D37</f>
        <v>0.8</v>
      </c>
      <c r="E39" s="7">
        <f t="shared" si="4"/>
        <v>5</v>
      </c>
      <c r="F39" s="8">
        <v>95</v>
      </c>
      <c r="H39" s="204"/>
      <c r="I39" s="9">
        <v>1.2</v>
      </c>
      <c r="J39" s="10">
        <f t="shared" si="6"/>
        <v>0.6</v>
      </c>
      <c r="K39" s="7">
        <f t="shared" si="5"/>
        <v>5</v>
      </c>
      <c r="L39" s="8">
        <v>95</v>
      </c>
    </row>
    <row r="40" spans="2:12" ht="15.75" x14ac:dyDescent="0.25">
      <c r="B40" s="204"/>
      <c r="C40" s="9">
        <v>1.2</v>
      </c>
      <c r="D40" s="10">
        <f>D37</f>
        <v>0.8</v>
      </c>
      <c r="E40" s="7">
        <f t="shared" si="4"/>
        <v>5</v>
      </c>
      <c r="F40" s="8">
        <v>95</v>
      </c>
      <c r="H40" s="204"/>
      <c r="I40" s="9">
        <v>1.21</v>
      </c>
      <c r="J40" s="10">
        <f t="shared" si="6"/>
        <v>0.6</v>
      </c>
      <c r="K40" s="7">
        <f t="shared" si="5"/>
        <v>80</v>
      </c>
      <c r="L40" s="8">
        <v>20</v>
      </c>
    </row>
    <row r="41" spans="2:12" ht="15.75" x14ac:dyDescent="0.25">
      <c r="B41" s="204"/>
      <c r="C41" s="9">
        <v>1.21</v>
      </c>
      <c r="D41" s="10">
        <f>D37</f>
        <v>0.8</v>
      </c>
      <c r="E41" s="7">
        <f t="shared" si="4"/>
        <v>80</v>
      </c>
      <c r="F41" s="8">
        <v>20</v>
      </c>
      <c r="H41" s="204"/>
      <c r="I41" s="9">
        <v>1.5</v>
      </c>
      <c r="J41" s="10">
        <f t="shared" si="6"/>
        <v>0.6</v>
      </c>
      <c r="K41" s="7">
        <f t="shared" si="5"/>
        <v>80</v>
      </c>
      <c r="L41" s="8">
        <v>20</v>
      </c>
    </row>
    <row r="42" spans="2:12" ht="18.75" x14ac:dyDescent="0.25">
      <c r="B42" s="204"/>
      <c r="C42" s="9">
        <v>1.5</v>
      </c>
      <c r="D42" s="10">
        <f>D39</f>
        <v>0.8</v>
      </c>
      <c r="E42" s="7">
        <f t="shared" si="4"/>
        <v>80</v>
      </c>
      <c r="F42" s="8">
        <v>20</v>
      </c>
      <c r="H42" s="176" t="s">
        <v>650</v>
      </c>
      <c r="I42" s="177"/>
      <c r="J42" s="177"/>
      <c r="K42" s="177"/>
      <c r="L42" s="178"/>
    </row>
    <row r="43" spans="2:12" ht="18.75" x14ac:dyDescent="0.25">
      <c r="B43" s="176" t="s">
        <v>650</v>
      </c>
      <c r="C43" s="177"/>
      <c r="D43" s="177"/>
      <c r="E43" s="177"/>
      <c r="F43" s="178"/>
      <c r="H43" s="4" t="s">
        <v>651</v>
      </c>
      <c r="I43" s="182" t="s">
        <v>652</v>
      </c>
      <c r="J43" s="183"/>
      <c r="K43" s="183"/>
      <c r="L43" s="184"/>
    </row>
    <row r="44" spans="2:12" ht="18.75" x14ac:dyDescent="0.25">
      <c r="B44" s="4" t="s">
        <v>651</v>
      </c>
      <c r="C44" s="182" t="s">
        <v>671</v>
      </c>
      <c r="D44" s="183"/>
      <c r="E44" s="183"/>
      <c r="F44" s="184"/>
      <c r="H44" s="4" t="s">
        <v>653</v>
      </c>
      <c r="I44" s="182" t="s">
        <v>654</v>
      </c>
      <c r="J44" s="183"/>
      <c r="K44" s="183"/>
      <c r="L44" s="184"/>
    </row>
    <row r="45" spans="2:12" ht="18.75" x14ac:dyDescent="0.25">
      <c r="B45" s="4" t="s">
        <v>653</v>
      </c>
      <c r="C45" s="182" t="s">
        <v>654</v>
      </c>
      <c r="D45" s="183"/>
      <c r="E45" s="183"/>
      <c r="F45" s="184"/>
      <c r="H45" s="4" t="s">
        <v>655</v>
      </c>
      <c r="I45" s="182" t="s">
        <v>656</v>
      </c>
      <c r="J45" s="183"/>
      <c r="K45" s="183"/>
      <c r="L45" s="184"/>
    </row>
    <row r="46" spans="2:12" ht="18.75" x14ac:dyDescent="0.25">
      <c r="B46" s="4" t="s">
        <v>655</v>
      </c>
      <c r="C46" s="182" t="s">
        <v>656</v>
      </c>
      <c r="D46" s="183"/>
      <c r="E46" s="183"/>
      <c r="F46" s="184"/>
      <c r="H46" s="4" t="s">
        <v>657</v>
      </c>
      <c r="I46" s="182" t="s">
        <v>658</v>
      </c>
      <c r="J46" s="183"/>
      <c r="K46" s="183"/>
      <c r="L46" s="184"/>
    </row>
    <row r="47" spans="2:12" ht="18.75" x14ac:dyDescent="0.25">
      <c r="B47" s="4" t="s">
        <v>657</v>
      </c>
      <c r="C47" s="196" t="s">
        <v>672</v>
      </c>
      <c r="D47" s="197"/>
      <c r="E47" s="197"/>
      <c r="F47" s="198"/>
      <c r="H47" s="4" t="s">
        <v>659</v>
      </c>
      <c r="I47" s="7" t="s">
        <v>660</v>
      </c>
      <c r="J47" s="7" t="s">
        <v>661</v>
      </c>
      <c r="K47" s="7" t="s">
        <v>662</v>
      </c>
      <c r="L47" s="8" t="s">
        <v>663</v>
      </c>
    </row>
    <row r="48" spans="2:12" ht="18.75" x14ac:dyDescent="0.25">
      <c r="B48" s="4" t="s">
        <v>659</v>
      </c>
      <c r="C48" s="7" t="s">
        <v>660</v>
      </c>
      <c r="D48" s="7" t="s">
        <v>661</v>
      </c>
      <c r="E48" s="7" t="s">
        <v>662</v>
      </c>
      <c r="F48" s="8" t="s">
        <v>663</v>
      </c>
      <c r="H48" s="11" t="s">
        <v>40</v>
      </c>
      <c r="I48" s="7" t="s">
        <v>673</v>
      </c>
      <c r="J48" s="9">
        <v>0.74</v>
      </c>
      <c r="K48" s="7">
        <v>107</v>
      </c>
      <c r="L48" s="8">
        <v>23</v>
      </c>
    </row>
    <row r="49" spans="2:12" ht="15.75" x14ac:dyDescent="0.25">
      <c r="B49" s="16" t="str">
        <f>C27</f>
        <v>HW356009-P1</v>
      </c>
      <c r="C49" s="17" t="s">
        <v>674</v>
      </c>
      <c r="D49" s="9">
        <v>0.83</v>
      </c>
      <c r="E49" s="18">
        <v>130</v>
      </c>
      <c r="F49" s="19">
        <v>43</v>
      </c>
      <c r="H49" s="12" t="s">
        <v>121</v>
      </c>
      <c r="I49" s="13" t="s">
        <v>666</v>
      </c>
      <c r="J49" s="14">
        <v>0.92</v>
      </c>
      <c r="K49" s="13">
        <v>52</v>
      </c>
      <c r="L49" s="15">
        <v>25</v>
      </c>
    </row>
    <row r="50" spans="2:12" ht="15.75" x14ac:dyDescent="0.25">
      <c r="B50" s="12" t="s">
        <v>121</v>
      </c>
      <c r="C50" s="13" t="s">
        <v>666</v>
      </c>
      <c r="D50" s="14">
        <v>0.7</v>
      </c>
      <c r="E50" s="13">
        <v>52</v>
      </c>
      <c r="F50" s="15">
        <v>25</v>
      </c>
    </row>
    <row r="51" spans="2:12" ht="18.75" x14ac:dyDescent="0.25">
      <c r="B51" s="20"/>
      <c r="C51" s="199"/>
      <c r="D51" s="199"/>
      <c r="E51" s="199"/>
      <c r="F51" s="199"/>
    </row>
    <row r="52" spans="2:12" ht="18.75" x14ac:dyDescent="0.25">
      <c r="B52" s="200"/>
      <c r="C52" s="200"/>
      <c r="D52" s="200"/>
      <c r="E52" s="200"/>
      <c r="F52" s="200"/>
    </row>
    <row r="53" spans="2:12" ht="18.75" x14ac:dyDescent="0.25">
      <c r="B53" s="20"/>
      <c r="C53" s="201"/>
      <c r="D53" s="201"/>
      <c r="E53" s="201"/>
      <c r="F53" s="201"/>
    </row>
    <row r="54" spans="2:12" ht="18.75" x14ac:dyDescent="0.25">
      <c r="B54" s="20"/>
      <c r="C54" s="201"/>
      <c r="D54" s="201"/>
      <c r="E54" s="201"/>
      <c r="F54" s="201"/>
    </row>
    <row r="55" spans="2:12" ht="18.75" x14ac:dyDescent="0.25">
      <c r="B55" s="20"/>
      <c r="C55" s="201"/>
      <c r="D55" s="201"/>
      <c r="E55" s="201"/>
      <c r="F55" s="201"/>
    </row>
    <row r="56" spans="2:12" ht="18.75" x14ac:dyDescent="0.25">
      <c r="B56" s="20"/>
      <c r="C56" s="201"/>
      <c r="D56" s="201"/>
      <c r="E56" s="201"/>
      <c r="F56" s="201"/>
    </row>
    <row r="57" spans="2:12" ht="18.75" x14ac:dyDescent="0.25">
      <c r="B57" s="20"/>
      <c r="C57" s="201"/>
      <c r="D57" s="201"/>
      <c r="E57" s="201"/>
      <c r="F57" s="201"/>
    </row>
    <row r="58" spans="2:12" ht="18.75" x14ac:dyDescent="0.25">
      <c r="B58" s="20"/>
      <c r="C58" s="201"/>
      <c r="D58" s="201"/>
      <c r="E58" s="201"/>
      <c r="F58" s="201"/>
    </row>
    <row r="59" spans="2:12" ht="18.75" x14ac:dyDescent="0.25">
      <c r="B59" s="20"/>
      <c r="C59" s="201"/>
      <c r="D59" s="201"/>
      <c r="E59" s="201"/>
      <c r="F59" s="201"/>
    </row>
    <row r="60" spans="2:12" ht="18.75" x14ac:dyDescent="0.25">
      <c r="B60" s="205"/>
      <c r="C60" s="20"/>
      <c r="D60" s="20"/>
      <c r="E60" s="21"/>
      <c r="F60" s="21"/>
    </row>
    <row r="61" spans="2:12" ht="15.75" x14ac:dyDescent="0.25">
      <c r="B61" s="205"/>
      <c r="C61" s="22"/>
      <c r="D61" s="23"/>
      <c r="E61" s="21"/>
      <c r="F61" s="21"/>
    </row>
    <row r="62" spans="2:12" ht="15.75" x14ac:dyDescent="0.25">
      <c r="B62" s="205"/>
      <c r="C62" s="22"/>
      <c r="D62" s="23"/>
      <c r="E62" s="21"/>
      <c r="F62" s="21"/>
    </row>
    <row r="63" spans="2:12" ht="15.75" x14ac:dyDescent="0.25">
      <c r="B63" s="205"/>
      <c r="C63" s="22"/>
      <c r="D63" s="23"/>
      <c r="E63" s="21"/>
      <c r="F63" s="21"/>
    </row>
    <row r="64" spans="2:12" ht="15.75" x14ac:dyDescent="0.25">
      <c r="B64" s="205"/>
      <c r="C64" s="22"/>
      <c r="D64" s="23"/>
      <c r="E64" s="21"/>
      <c r="F64" s="21"/>
    </row>
    <row r="65" spans="2:6" ht="15.75" x14ac:dyDescent="0.25">
      <c r="B65" s="205"/>
      <c r="C65" s="22"/>
      <c r="D65" s="23"/>
      <c r="E65" s="21"/>
      <c r="F65" s="21"/>
    </row>
    <row r="66" spans="2:6" ht="18.75" x14ac:dyDescent="0.25">
      <c r="B66" s="200"/>
      <c r="C66" s="200"/>
      <c r="D66" s="200"/>
      <c r="E66" s="200"/>
      <c r="F66" s="200"/>
    </row>
    <row r="67" spans="2:6" ht="18.75" x14ac:dyDescent="0.25">
      <c r="B67" s="20"/>
      <c r="C67" s="201"/>
      <c r="D67" s="201"/>
      <c r="E67" s="201"/>
      <c r="F67" s="201"/>
    </row>
    <row r="68" spans="2:6" ht="18.75" x14ac:dyDescent="0.25">
      <c r="B68" s="20"/>
      <c r="C68" s="201"/>
      <c r="D68" s="201"/>
      <c r="E68" s="201"/>
      <c r="F68" s="201"/>
    </row>
    <row r="69" spans="2:6" ht="18.75" x14ac:dyDescent="0.25">
      <c r="B69" s="20"/>
      <c r="C69" s="201"/>
      <c r="D69" s="201"/>
      <c r="E69" s="201"/>
      <c r="F69" s="201"/>
    </row>
    <row r="70" spans="2:6" ht="18.75" x14ac:dyDescent="0.25">
      <c r="B70" s="20"/>
      <c r="C70" s="202"/>
      <c r="D70" s="202"/>
      <c r="E70" s="202"/>
      <c r="F70" s="202"/>
    </row>
    <row r="71" spans="2:6" ht="18.75" x14ac:dyDescent="0.25">
      <c r="B71" s="20"/>
      <c r="C71" s="21"/>
      <c r="D71" s="21"/>
      <c r="E71" s="21"/>
      <c r="F71" s="21"/>
    </row>
    <row r="72" spans="2:6" ht="15.75" x14ac:dyDescent="0.25">
      <c r="B72" s="24"/>
      <c r="C72" s="21"/>
      <c r="D72" s="22"/>
      <c r="E72" s="21"/>
      <c r="F72" s="21"/>
    </row>
    <row r="73" spans="2:6" ht="15.75" x14ac:dyDescent="0.25">
      <c r="B73" s="21"/>
      <c r="C73" s="21"/>
      <c r="D73" s="22"/>
      <c r="E73" s="21"/>
      <c r="F73" s="21"/>
    </row>
    <row r="224842" ht="13.35" customHeight="1" x14ac:dyDescent="0.25"/>
  </sheetData>
  <mergeCells count="80">
    <mergeCell ref="H36:H41"/>
    <mergeCell ref="C67:F67"/>
    <mergeCell ref="C68:F68"/>
    <mergeCell ref="C69:F69"/>
    <mergeCell ref="C70:F70"/>
    <mergeCell ref="B11:B16"/>
    <mergeCell ref="B36:B42"/>
    <mergeCell ref="B60:B65"/>
    <mergeCell ref="C37:C38"/>
    <mergeCell ref="D37:D38"/>
    <mergeCell ref="E37:E38"/>
    <mergeCell ref="F37:F38"/>
    <mergeCell ref="C56:F56"/>
    <mergeCell ref="C57:F57"/>
    <mergeCell ref="C58:F58"/>
    <mergeCell ref="C59:F59"/>
    <mergeCell ref="B66:F66"/>
    <mergeCell ref="C51:F51"/>
    <mergeCell ref="B52:F52"/>
    <mergeCell ref="C53:F53"/>
    <mergeCell ref="C54:F54"/>
    <mergeCell ref="C55:F55"/>
    <mergeCell ref="C45:F45"/>
    <mergeCell ref="I45:L45"/>
    <mergeCell ref="C46:F46"/>
    <mergeCell ref="I46:L46"/>
    <mergeCell ref="C47:F47"/>
    <mergeCell ref="H42:L42"/>
    <mergeCell ref="B43:F43"/>
    <mergeCell ref="I43:L43"/>
    <mergeCell ref="C44:F44"/>
    <mergeCell ref="I44:L44"/>
    <mergeCell ref="C33:F33"/>
    <mergeCell ref="I33:L33"/>
    <mergeCell ref="C34:F34"/>
    <mergeCell ref="I34:L34"/>
    <mergeCell ref="C35:F35"/>
    <mergeCell ref="I35:L35"/>
    <mergeCell ref="C30:F30"/>
    <mergeCell ref="I30:L30"/>
    <mergeCell ref="C31:F31"/>
    <mergeCell ref="I31:L31"/>
    <mergeCell ref="C32:F32"/>
    <mergeCell ref="I32:L32"/>
    <mergeCell ref="C27:F27"/>
    <mergeCell ref="I27:L27"/>
    <mergeCell ref="B28:F28"/>
    <mergeCell ref="H28:L28"/>
    <mergeCell ref="C29:F29"/>
    <mergeCell ref="I29:L29"/>
    <mergeCell ref="C19:F19"/>
    <mergeCell ref="I19:L19"/>
    <mergeCell ref="C20:F20"/>
    <mergeCell ref="I20:L20"/>
    <mergeCell ref="C21:F21"/>
    <mergeCell ref="I21:L21"/>
    <mergeCell ref="C10:F10"/>
    <mergeCell ref="I10:L10"/>
    <mergeCell ref="B17:F17"/>
    <mergeCell ref="H17:L17"/>
    <mergeCell ref="C18:F18"/>
    <mergeCell ref="I18:L18"/>
    <mergeCell ref="H11:H16"/>
    <mergeCell ref="C7:F7"/>
    <mergeCell ref="I7:L7"/>
    <mergeCell ref="C8:F8"/>
    <mergeCell ref="I8:L8"/>
    <mergeCell ref="C9:F9"/>
    <mergeCell ref="I9:L9"/>
    <mergeCell ref="C4:F4"/>
    <mergeCell ref="I4:L4"/>
    <mergeCell ref="C5:F5"/>
    <mergeCell ref="I5:L5"/>
    <mergeCell ref="C6:F6"/>
    <mergeCell ref="I6:L6"/>
    <mergeCell ref="B1:G1"/>
    <mergeCell ref="C2:F2"/>
    <mergeCell ref="I2:L2"/>
    <mergeCell ref="B3:F3"/>
    <mergeCell ref="H3:L3"/>
  </mergeCells>
  <phoneticPr fontId="33" type="noConversion"/>
  <pageMargins left="0.7" right="0.7" top="0.75" bottom="0.75" header="0.3" footer="0.3"/>
  <pageSetup paperSize="9" orientation="portrait" horizontalDpi="300" verticalDpi="30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Sign_1_1_1_1_1_1_2" rangeCreator="" othersAccessPermission="edit"/>
  </rangeList>
  <rangeList sheetStid="2" master="" otherUserPermission="visible"/>
  <rangeList sheetStid="3" master="" otherUserPermission="visible"/>
  <rangeList sheetStid="6" master="" otherUserPermission="visible"/>
  <rangeList sheetStid="11" master="" otherUserPermission="visible"/>
  <rangeList sheetStid="7" master="" otherUserPermission="visible"/>
  <rangeList sheetStid="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Signature</vt:lpstr>
      <vt:lpstr>Summary</vt:lpstr>
      <vt:lpstr>Materials</vt:lpstr>
      <vt:lpstr>Study Design</vt:lpstr>
      <vt:lpstr>Graph</vt:lpstr>
      <vt:lpstr>Raw Data</vt:lpstr>
      <vt:lpstr>Bioanalytical Method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2006-09-16T00:00:00Z</dcterms:created>
  <dcterms:modified xsi:type="dcterms:W3CDTF">2025-09-05T08:27:40Z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11B472E523C94529800E434F980274D3</vt:lpwstr>
  </property>
  <property fmtid="{D5CDD505-2E9C-101B-9397-08002B2CF9AE}" pid="3" name="KSOProductBuildVer">
    <vt:lpwstr>2052-12.1.0.22529</vt:lpwstr>
  </property>
</Properties>
</file>