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tabRatio="769" activeTab="1"/>
  </bookViews>
  <sheets>
    <sheet name="CoverPage" sheetId="57" r:id="rId1"/>
    <sheet name="Summary" sheetId="52" r:id="rId2"/>
    <sheet name="Processed" sheetId="54" r:id="rId3"/>
    <sheet name="Layout" sheetId="42" r:id="rId4"/>
    <sheet name="TEER" sheetId="43" r:id="rId5"/>
    <sheet name="Assay Outline" sheetId="53" r:id="rId6"/>
    <sheet name="Method" sheetId="58" r:id="rId7"/>
    <sheet name="Article(s) Raw Data" sheetId="55" r:id="rId8"/>
    <sheet name="Controls raw data" sheetId="47" r:id="rId9"/>
  </sheets>
  <definedNames>
    <definedName name="_xlnm.Print_Area" localSheetId="4">TEER!#REF!</definedName>
    <definedName name="Z_748CD066_2CBF_4852_A239_32CCC98217C5_.wvu.Cols" localSheetId="0" hidden="1">CoverPage!$I:$IV</definedName>
    <definedName name="Z_7AC3556B_23E3_4EC8_9ACD_6CF62A4EE103_.wvu.Cols" localSheetId="0" hidden="1">CoverPage!$I:$IV</definedName>
    <definedName name="Z_879CBF46_DC90_4A2A_8656_0F4412D7545D_.wvu.Cols" localSheetId="0" hidden="1">CoverPage!$I:$IV</definedName>
    <definedName name="Z_931F6C99_D806_45A0_B253_489543215844_.wvu.Cols" localSheetId="0" hidden="1">CoverPage!$I:$IV</definedName>
    <definedName name="Z_A31A0AF2_F597_47F3_A709_A314C5282F0B_.wvu.Cols" localSheetId="0" hidden="1">CoverPage!$I:$IV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<sst xmlns="http://schemas.openxmlformats.org/spreadsheetml/2006/main" count="1701" uniqueCount="314">
  <si>
    <r>
      <rPr>
        <b/>
        <sz val="18"/>
        <rFont val="Times New Roman"/>
        <charset val="134"/>
      </rPr>
      <t xml:space="preserve">3D BioOptima                                                </t>
    </r>
    <r>
      <rPr>
        <sz val="12"/>
        <rFont val="Times New Roman"/>
        <charset val="134"/>
      </rPr>
      <t xml:space="preserve">                                                                             </t>
    </r>
    <r>
      <rPr>
        <i/>
        <sz val="11"/>
        <rFont val="Times New Roman"/>
        <charset val="134"/>
      </rPr>
      <t xml:space="preserve"> Quality That Matters</t>
    </r>
  </si>
  <si>
    <t>实验标题</t>
  </si>
  <si>
    <r>
      <rPr>
        <sz val="12"/>
        <rFont val="宋体"/>
        <charset val="134"/>
      </rPr>
      <t>体外评估</t>
    </r>
    <r>
      <rPr>
        <sz val="12"/>
        <rFont val="Times New Roman"/>
        <charset val="134"/>
      </rPr>
      <t>HW356009-P1</t>
    </r>
    <r>
      <rPr>
        <sz val="12"/>
        <rFont val="微软雅黑"/>
        <charset val="134"/>
      </rPr>
      <t>在</t>
    </r>
    <r>
      <rPr>
        <sz val="12"/>
        <rFont val="Times New Roman"/>
        <charset val="134"/>
      </rPr>
      <t>Caco-2</t>
    </r>
    <r>
      <rPr>
        <sz val="12"/>
        <rFont val="微软雅黑"/>
        <charset val="134"/>
      </rPr>
      <t>细胞模型中的双向渗透性</t>
    </r>
  </si>
  <si>
    <t>实验方案编号</t>
  </si>
  <si>
    <t>3D_PN322881</t>
  </si>
  <si>
    <t xml:space="preserve"> </t>
  </si>
  <si>
    <t>课题编号</t>
  </si>
  <si>
    <t>3D_SN322438</t>
  </si>
  <si>
    <t>课题负责人</t>
  </si>
  <si>
    <t>杨德孝</t>
  </si>
  <si>
    <t>化合物</t>
  </si>
  <si>
    <t>HW356009-P1</t>
  </si>
  <si>
    <t>实验开始时间</t>
  </si>
  <si>
    <r>
      <rPr>
        <sz val="12"/>
        <rFont val="Times New Roman"/>
        <charset val="134"/>
      </rPr>
      <t>2025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09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03</t>
    </r>
    <r>
      <rPr>
        <sz val="12"/>
        <rFont val="宋体"/>
        <charset val="134"/>
      </rPr>
      <t>日</t>
    </r>
  </si>
  <si>
    <t>实验结束时间</t>
  </si>
  <si>
    <r>
      <rPr>
        <sz val="12"/>
        <rFont val="Times New Roman"/>
        <charset val="134"/>
      </rPr>
      <t>2025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09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08</t>
    </r>
    <r>
      <rPr>
        <sz val="12"/>
        <rFont val="宋体"/>
        <charset val="134"/>
      </rPr>
      <t>日</t>
    </r>
  </si>
  <si>
    <t>实验参与人员</t>
  </si>
  <si>
    <t>彭珊和许洁</t>
  </si>
  <si>
    <t>报告撰写</t>
  </si>
  <si>
    <t>钱晨艳</t>
  </si>
  <si>
    <t>数据质控</t>
  </si>
  <si>
    <t>程翠</t>
  </si>
  <si>
    <t>实验负责方</t>
  </si>
  <si>
    <r>
      <rPr>
        <sz val="12"/>
        <rFont val="宋体"/>
        <charset val="134"/>
      </rPr>
      <t>苏州圣苏新药开发有限公司
苏州市吴中区吴中大道</t>
    </r>
    <r>
      <rPr>
        <sz val="12"/>
        <rFont val="Times New Roman"/>
        <charset val="134"/>
      </rPr>
      <t>1338</t>
    </r>
    <r>
      <rPr>
        <sz val="12"/>
        <rFont val="宋体"/>
        <charset val="134"/>
      </rPr>
      <t>号</t>
    </r>
  </si>
  <si>
    <t>实验委托方</t>
  </si>
  <si>
    <r>
      <rPr>
        <sz val="12"/>
        <rFont val="宋体"/>
        <charset val="134"/>
      </rPr>
      <t>湖北生物医药产业技术研究院有限公司
武汉市东湖高新区高新大道</t>
    </r>
    <r>
      <rPr>
        <sz val="12"/>
        <rFont val="Times New Roman"/>
        <charset val="134"/>
      </rPr>
      <t>666</t>
    </r>
    <r>
      <rPr>
        <sz val="12"/>
        <rFont val="宋体"/>
        <charset val="134"/>
      </rPr>
      <t>号</t>
    </r>
    <r>
      <rPr>
        <sz val="12"/>
        <rFont val="Times New Roman"/>
        <charset val="134"/>
      </rPr>
      <t>C7</t>
    </r>
    <r>
      <rPr>
        <sz val="12"/>
        <rFont val="宋体"/>
        <charset val="134"/>
      </rPr>
      <t>栋</t>
    </r>
    <r>
      <rPr>
        <sz val="12"/>
        <rFont val="Times New Roman"/>
        <charset val="134"/>
      </rPr>
      <t>217</t>
    </r>
    <r>
      <rPr>
        <sz val="12"/>
        <rFont val="宋体"/>
        <charset val="134"/>
      </rPr>
      <t>室</t>
    </r>
  </si>
  <si>
    <t>保密</t>
  </si>
  <si>
    <r>
      <rPr>
        <b/>
        <sz val="12"/>
        <rFont val="Times New Roman"/>
        <charset val="134"/>
      </rPr>
      <t>Measurement of Monodirectional P</t>
    </r>
    <r>
      <rPr>
        <b/>
        <vertAlign val="subscript"/>
        <sz val="12"/>
        <rFont val="Times New Roman"/>
        <charset val="134"/>
      </rPr>
      <t>app</t>
    </r>
    <r>
      <rPr>
        <b/>
        <sz val="12"/>
        <rFont val="Times New Roman"/>
        <charset val="134"/>
      </rPr>
      <t xml:space="preserve"> of Controls</t>
    </r>
  </si>
  <si>
    <t>Parameters</t>
  </si>
  <si>
    <t>Type</t>
  </si>
  <si>
    <t>Evaluation criteria</t>
  </si>
  <si>
    <t>Compound</t>
  </si>
  <si>
    <t>Direction</t>
  </si>
  <si>
    <t>Recovery (%)</t>
  </si>
  <si>
    <r>
      <rPr>
        <b/>
        <sz val="11"/>
        <rFont val="Times New Roman"/>
        <charset val="134"/>
      </rPr>
      <t>P</t>
    </r>
    <r>
      <rPr>
        <b/>
        <vertAlign val="subscript"/>
        <sz val="11"/>
        <rFont val="Times New Roman"/>
        <charset val="134"/>
      </rPr>
      <t>app</t>
    </r>
    <r>
      <rPr>
        <b/>
        <sz val="11"/>
        <rFont val="Times New Roman"/>
        <charset val="134"/>
      </rPr>
      <t xml:space="preserve"> (cm/s</t>
    </r>
    <r>
      <rPr>
        <b/>
        <sz val="11"/>
        <rFont val="Symbol"/>
        <charset val="2"/>
      </rPr>
      <t>´</t>
    </r>
    <r>
      <rPr>
        <b/>
        <sz val="11"/>
        <rFont val="Times New Roman"/>
        <charset val="134"/>
      </rPr>
      <t>10</t>
    </r>
    <r>
      <rPr>
        <b/>
        <vertAlign val="superscript"/>
        <sz val="11"/>
        <rFont val="Times New Roman"/>
        <charset val="134"/>
      </rPr>
      <t>-6</t>
    </r>
    <r>
      <rPr>
        <b/>
        <sz val="11"/>
        <rFont val="Times New Roman"/>
        <charset val="134"/>
      </rPr>
      <t xml:space="preserve">)    </t>
    </r>
  </si>
  <si>
    <t>Efflux Ratio</t>
  </si>
  <si>
    <t>Stability(%)</t>
  </si>
  <si>
    <t>Permeability</t>
  </si>
  <si>
    <t>Low</t>
  </si>
  <si>
    <r>
      <rPr>
        <sz val="12"/>
        <rFont val="Times New Roman"/>
        <charset val="134"/>
      </rPr>
      <t>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test</t>
    </r>
    <r>
      <rPr>
        <sz val="12"/>
        <rFont val="Times New Roman"/>
        <charset val="134"/>
      </rPr>
      <t xml:space="preserve"> </t>
    </r>
    <r>
      <rPr>
        <sz val="9"/>
        <rFont val="Times New Roman"/>
        <charset val="134"/>
      </rPr>
      <t>Compound</t>
    </r>
    <r>
      <rPr>
        <sz val="12"/>
        <rFont val="Times New Roman"/>
        <charset val="134"/>
      </rPr>
      <t>&lt;Papp(A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Atenolol</t>
    </r>
    <r>
      <rPr>
        <sz val="12"/>
        <color rgb="FFFF0000"/>
        <rFont val="Times New Roman"/>
        <charset val="134"/>
      </rPr>
      <t xml:space="preserve">(0.257) </t>
    </r>
  </si>
  <si>
    <t>Digoxin (5 µM)</t>
  </si>
  <si>
    <t>A to B</t>
  </si>
  <si>
    <t>Medium</t>
  </si>
  <si>
    <r>
      <rPr>
        <sz val="12"/>
        <rFont val="Times New Roman"/>
        <charset val="134"/>
      </rPr>
      <t>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Atenolol</t>
    </r>
    <r>
      <rPr>
        <sz val="12"/>
        <color rgb="FFFF0000"/>
        <rFont val="Times New Roman"/>
        <charset val="134"/>
      </rPr>
      <t xml:space="preserve">(0.307) </t>
    </r>
    <r>
      <rPr>
        <sz val="12"/>
        <rFont val="Cambria Math"/>
        <charset val="134"/>
      </rPr>
      <t>≤</t>
    </r>
    <r>
      <rPr>
        <sz val="12"/>
        <rFont val="Times New Roman"/>
        <charset val="134"/>
      </rPr>
      <t xml:space="preserve"> 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test Compound</t>
    </r>
    <r>
      <rPr>
        <sz val="12"/>
        <rFont val="Cambria Math"/>
        <charset val="134"/>
      </rPr>
      <t>≤</t>
    </r>
    <r>
      <rPr>
        <sz val="12"/>
        <rFont val="Times New Roman"/>
        <charset val="134"/>
      </rPr>
      <t>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Minoxidil</t>
    </r>
    <r>
      <rPr>
        <sz val="12"/>
        <color rgb="FFFF0000"/>
        <rFont val="Times New Roman"/>
        <charset val="134"/>
      </rPr>
      <t xml:space="preserve"> (5.47)</t>
    </r>
  </si>
  <si>
    <t>B to A</t>
  </si>
  <si>
    <t>High</t>
  </si>
  <si>
    <r>
      <rPr>
        <sz val="12"/>
        <rFont val="Times New Roman"/>
        <charset val="134"/>
      </rPr>
      <t>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test Compound</t>
    </r>
    <r>
      <rPr>
        <sz val="12"/>
        <rFont val="Times New Roman"/>
        <charset val="134"/>
      </rPr>
      <t>&gt;Papp(A</t>
    </r>
    <r>
      <rPr>
        <sz val="12"/>
        <rFont val="宋体"/>
        <charset val="134"/>
      </rPr>
      <t>→</t>
    </r>
    <r>
      <rPr>
        <sz val="12"/>
        <rFont val="Times New Roman"/>
        <charset val="134"/>
      </rPr>
      <t>B)</t>
    </r>
    <r>
      <rPr>
        <sz val="9"/>
        <rFont val="Times New Roman"/>
        <charset val="134"/>
      </rPr>
      <t>Minoxidil</t>
    </r>
    <r>
      <rPr>
        <sz val="12"/>
        <color rgb="FFFF0000"/>
        <rFont val="Times New Roman"/>
        <charset val="134"/>
      </rPr>
      <t xml:space="preserve"> (5.47)</t>
    </r>
  </si>
  <si>
    <t>Minoxidil (5 µM)</t>
  </si>
  <si>
    <t>NA</t>
  </si>
  <si>
    <t>Efflux transporters</t>
  </si>
  <si>
    <t>Potential</t>
  </si>
  <si>
    <r>
      <rPr>
        <sz val="12"/>
        <rFont val="Times New Roman"/>
        <charset val="134"/>
      </rPr>
      <t xml:space="preserve">ER </t>
    </r>
    <r>
      <rPr>
        <sz val="12"/>
        <rFont val="宋体"/>
        <charset val="134"/>
      </rPr>
      <t>≥</t>
    </r>
    <r>
      <rPr>
        <sz val="12"/>
        <rFont val="Times New Roman"/>
        <charset val="134"/>
      </rPr>
      <t xml:space="preserve"> 2</t>
    </r>
  </si>
  <si>
    <t>Atenolol (5 µM)</t>
  </si>
  <si>
    <r>
      <rPr>
        <b/>
        <sz val="12"/>
        <rFont val="Times New Roman"/>
        <charset val="134"/>
      </rPr>
      <t>Measurement of Bi-directional P</t>
    </r>
    <r>
      <rPr>
        <b/>
        <vertAlign val="subscript"/>
        <sz val="12"/>
        <rFont val="Times New Roman"/>
        <charset val="134"/>
      </rPr>
      <t>app</t>
    </r>
    <r>
      <rPr>
        <b/>
        <sz val="12"/>
        <rFont val="Times New Roman"/>
        <charset val="134"/>
      </rPr>
      <t xml:space="preserve"> and Efflux Ratio of HW356009-P1</t>
    </r>
  </si>
  <si>
    <t>Conclusion</t>
  </si>
  <si>
    <t>HW356009-P1 was a high permeability compound and was not a substrate of efflux transporters.</t>
  </si>
  <si>
    <t>Sampling Side</t>
  </si>
  <si>
    <t>Time Point (min)</t>
  </si>
  <si>
    <t>Sample Name</t>
  </si>
  <si>
    <t>Sample</t>
  </si>
  <si>
    <t>Dilution Factor</t>
  </si>
  <si>
    <t>Analyte Peak Area</t>
  </si>
  <si>
    <t>IS Peak Area</t>
  </si>
  <si>
    <t>Area Ratio</t>
  </si>
  <si>
    <t>Mean Area Ratio</t>
  </si>
  <si>
    <r>
      <rPr>
        <b/>
        <sz val="10"/>
        <rFont val="Times New Roman"/>
        <charset val="134"/>
      </rPr>
      <t xml:space="preserve">    P</t>
    </r>
    <r>
      <rPr>
        <b/>
        <vertAlign val="subscript"/>
        <sz val="10"/>
        <rFont val="Times New Roman"/>
        <charset val="134"/>
      </rPr>
      <t xml:space="preserve">app
</t>
    </r>
    <r>
      <rPr>
        <b/>
        <sz val="10"/>
        <rFont val="Times New Roman"/>
        <charset val="134"/>
      </rPr>
      <t>(10</t>
    </r>
    <r>
      <rPr>
        <b/>
        <vertAlign val="superscript"/>
        <sz val="10"/>
        <rFont val="Times New Roman"/>
        <charset val="134"/>
      </rPr>
      <t>-6</t>
    </r>
    <r>
      <rPr>
        <b/>
        <sz val="10"/>
        <rFont val="Times New Roman"/>
        <charset val="134"/>
      </rPr>
      <t xml:space="preserve"> cm/s)    </t>
    </r>
  </si>
  <si>
    <r>
      <rPr>
        <b/>
        <sz val="10"/>
        <rFont val="Times New Roman"/>
        <charset val="134"/>
      </rPr>
      <t>Mean P</t>
    </r>
    <r>
      <rPr>
        <b/>
        <vertAlign val="subscript"/>
        <sz val="10"/>
        <rFont val="Times New Roman"/>
        <charset val="134"/>
      </rPr>
      <t>app</t>
    </r>
    <r>
      <rPr>
        <b/>
        <sz val="10"/>
        <rFont val="Times New Roman"/>
        <charset val="134"/>
      </rPr>
      <t xml:space="preserve"> (10</t>
    </r>
    <r>
      <rPr>
        <b/>
        <vertAlign val="superscript"/>
        <sz val="10"/>
        <rFont val="Times New Roman"/>
        <charset val="134"/>
      </rPr>
      <t>-6</t>
    </r>
    <r>
      <rPr>
        <b/>
        <sz val="10"/>
        <rFont val="Times New Roman"/>
        <charset val="134"/>
      </rPr>
      <t xml:space="preserve"> cm/s)    </t>
    </r>
  </si>
  <si>
    <t>Mean Recovery (%)</t>
  </si>
  <si>
    <t>Atenolol</t>
  </si>
  <si>
    <t xml:space="preserve">A to B
</t>
  </si>
  <si>
    <t>B</t>
  </si>
  <si>
    <t>Ate_A-B_B1</t>
  </si>
  <si>
    <t>B-120-1</t>
  </si>
  <si>
    <t>Ate_A-B_B2</t>
  </si>
  <si>
    <t>B-120-2</t>
  </si>
  <si>
    <t>A</t>
  </si>
  <si>
    <t>Ate_A-B_A1</t>
  </si>
  <si>
    <t>A-120-1</t>
  </si>
  <si>
    <t>Ate_A-B_A2</t>
  </si>
  <si>
    <t>A-120-2</t>
  </si>
  <si>
    <t>Donor TA0</t>
  </si>
  <si>
    <t>Ate_TA-1</t>
  </si>
  <si>
    <t>TA0-1</t>
  </si>
  <si>
    <t>Ate_TA-2</t>
  </si>
  <si>
    <t>TA0-2</t>
  </si>
  <si>
    <t>Sample name</t>
  </si>
  <si>
    <t>Remaining after 120 min Incubation (% )</t>
  </si>
  <si>
    <t>Mean (%)</t>
  </si>
  <si>
    <t>Stability</t>
  </si>
  <si>
    <t>Ate_T120-1</t>
  </si>
  <si>
    <t>T120-1</t>
  </si>
  <si>
    <t>Ate_T120-2</t>
  </si>
  <si>
    <t>T120-2</t>
  </si>
  <si>
    <t>Ate_T0-1</t>
  </si>
  <si>
    <t>T0-1</t>
  </si>
  <si>
    <t>Ate_T0-2</t>
  </si>
  <si>
    <t>T0-2</t>
  </si>
  <si>
    <t>Minoxidil</t>
  </si>
  <si>
    <t>Min_A-B_B1</t>
  </si>
  <si>
    <t>Min_A-B_B2</t>
  </si>
  <si>
    <t>Min_A-B_A1</t>
  </si>
  <si>
    <t>Min_A-B_A2</t>
  </si>
  <si>
    <t>Min_TA-1</t>
  </si>
  <si>
    <t>Min_TA-2</t>
  </si>
  <si>
    <t>Min_T120-1</t>
  </si>
  <si>
    <t>Min_T120-2</t>
  </si>
  <si>
    <t>Min_T0-1</t>
  </si>
  <si>
    <t>Min_T0-2</t>
  </si>
  <si>
    <t xml:space="preserve">Digoxin </t>
  </si>
  <si>
    <t>Dig_A-B_B1</t>
  </si>
  <si>
    <t>Dig_A-B_B2</t>
  </si>
  <si>
    <t>Dig_A-B_A1</t>
  </si>
  <si>
    <t>Dig_A-B_A2</t>
  </si>
  <si>
    <t>Dig_TA-1</t>
  </si>
  <si>
    <t>Dig_TA-2</t>
  </si>
  <si>
    <t xml:space="preserve">B to A
</t>
  </si>
  <si>
    <t>Dig_B-A_A1</t>
  </si>
  <si>
    <t>Dig_B-A_A2</t>
  </si>
  <si>
    <t>Dig_B-A_B1</t>
  </si>
  <si>
    <t>Dig_B-A_B2</t>
  </si>
  <si>
    <t>Donor TB0</t>
  </si>
  <si>
    <t>Dig_TB-1</t>
  </si>
  <si>
    <t>TB0-1</t>
  </si>
  <si>
    <t>Dig_TB-2</t>
  </si>
  <si>
    <t>TB0-2</t>
  </si>
  <si>
    <t>Dig_T120-1</t>
  </si>
  <si>
    <t>Dig_T120-2</t>
  </si>
  <si>
    <t>Dig_T0-1</t>
  </si>
  <si>
    <t>Dig_T0-2</t>
  </si>
  <si>
    <t>HW356009-P1_A-B_B1</t>
  </si>
  <si>
    <t>HW356009-P1_A-B_B2</t>
  </si>
  <si>
    <t>HW356009-P1_A-B_A1</t>
  </si>
  <si>
    <t>HW356009-P1_A-B_A2</t>
  </si>
  <si>
    <t>HW356009-P1_TA-1</t>
  </si>
  <si>
    <t>HW356009-P1_TA-2</t>
  </si>
  <si>
    <t>HW356009-P1_B-A_A1</t>
  </si>
  <si>
    <t>HW356009-P1_B-A_A2</t>
  </si>
  <si>
    <t>HW356009-P1_B-A_B1</t>
  </si>
  <si>
    <t>HW356009-P1_B-A_B2</t>
  </si>
  <si>
    <t>HW356009-P1_TB-1</t>
  </si>
  <si>
    <t>HW356009-P1_TB-2</t>
  </si>
  <si>
    <t>HW356009-P1_T120-1</t>
  </si>
  <si>
    <t>HW356009-P1_T120-2</t>
  </si>
  <si>
    <t>HW356009-P1_T0-1</t>
  </si>
  <si>
    <t>HW356009-P1_T0-2</t>
  </si>
  <si>
    <t>Layout For Plate *08-08-2025-P2</t>
  </si>
  <si>
    <t>HW356009-P1
A-B (2 µM)</t>
  </si>
  <si>
    <t>HW356009-P1
B-A (2 µM)</t>
  </si>
  <si>
    <t>Atenolol 
(5  µM)
A-B</t>
  </si>
  <si>
    <t>Digoxin
A-B (5 µM)</t>
  </si>
  <si>
    <t>Digoxin
B-A (5 µM)</t>
  </si>
  <si>
    <t>Minoxidil
 (5  µM)
A-B</t>
  </si>
  <si>
    <t>Before</t>
  </si>
  <si>
    <t>(Plate ID: 08-08-2025-P2)</t>
  </si>
  <si>
    <r>
      <rPr>
        <sz val="12"/>
        <rFont val="Times New Roman"/>
        <charset val="134"/>
      </rPr>
      <t>TEER (Ω·cm</t>
    </r>
    <r>
      <rPr>
        <vertAlign val="superscript"/>
        <sz val="12"/>
        <rFont val="Times New Roman"/>
        <charset val="134"/>
      </rPr>
      <t>2</t>
    </r>
    <r>
      <rPr>
        <sz val="12"/>
        <rFont val="Times New Roman"/>
        <charset val="134"/>
      </rPr>
      <t xml:space="preserve">) Before the Drug Transport Experiment </t>
    </r>
  </si>
  <si>
    <t>After</t>
  </si>
  <si>
    <r>
      <rPr>
        <sz val="12"/>
        <rFont val="Times New Roman"/>
        <charset val="134"/>
      </rPr>
      <t>TEER (Ω·cm</t>
    </r>
    <r>
      <rPr>
        <vertAlign val="superscript"/>
        <sz val="12"/>
        <rFont val="Times New Roman"/>
        <charset val="134"/>
      </rPr>
      <t>2</t>
    </r>
    <r>
      <rPr>
        <sz val="12"/>
        <rFont val="Times New Roman"/>
        <charset val="134"/>
      </rPr>
      <t>) After the Drug Transport Experiment</t>
    </r>
  </si>
  <si>
    <r>
      <rPr>
        <sz val="12"/>
        <rFont val="Times New Roman"/>
        <charset val="134"/>
      </rPr>
      <t xml:space="preserve">TEER should be </t>
    </r>
    <r>
      <rPr>
        <sz val="12"/>
        <rFont val="宋体"/>
        <charset val="134"/>
      </rPr>
      <t>≥</t>
    </r>
    <r>
      <rPr>
        <sz val="12"/>
        <rFont val="Times New Roman"/>
        <charset val="134"/>
      </rPr>
      <t xml:space="preserve"> 230 ohms•cm</t>
    </r>
    <r>
      <rPr>
        <vertAlign val="superscript"/>
        <sz val="12"/>
        <rFont val="Times New Roman"/>
        <charset val="134"/>
      </rPr>
      <t xml:space="preserve">2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</si>
  <si>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</t>
  </si>
  <si>
    <t>Cell Culture</t>
  </si>
  <si>
    <t>Cell Source</t>
  </si>
  <si>
    <t>CAS</t>
  </si>
  <si>
    <t>Cell Passage Number</t>
  </si>
  <si>
    <t>30~32</t>
  </si>
  <si>
    <t>Cell Seeding Density</t>
  </si>
  <si>
    <r>
      <rPr>
        <sz val="10"/>
        <rFont val="Times New Roman"/>
        <charset val="134"/>
      </rPr>
      <t>2.4 × 10</t>
    </r>
    <r>
      <rPr>
        <vertAlign val="superscript"/>
        <sz val="10"/>
        <rFont val="Times New Roman"/>
        <charset val="134"/>
      </rPr>
      <t>5</t>
    </r>
    <r>
      <rPr>
        <sz val="10"/>
        <rFont val="Times New Roman"/>
        <charset val="134"/>
      </rPr>
      <t xml:space="preserve"> cells/cm</t>
    </r>
    <r>
      <rPr>
        <vertAlign val="superscript"/>
        <sz val="10"/>
        <rFont val="Times New Roman"/>
        <charset val="134"/>
      </rPr>
      <t>2</t>
    </r>
  </si>
  <si>
    <r>
      <rPr>
        <sz val="12"/>
        <rFont val="宋体"/>
        <charset val="134"/>
      </rPr>
      <t>1.7 × 10</t>
    </r>
    <r>
      <rPr>
        <vertAlign val="superscript"/>
        <sz val="10"/>
        <rFont val="Times New Roman"/>
        <charset val="134"/>
      </rPr>
      <t>5</t>
    </r>
    <r>
      <rPr>
        <sz val="10"/>
        <rFont val="Times New Roman"/>
        <charset val="134"/>
      </rPr>
      <t xml:space="preserve"> cells/cm</t>
    </r>
    <r>
      <rPr>
        <vertAlign val="superscript"/>
        <sz val="10"/>
        <rFont val="Times New Roman"/>
        <charset val="134"/>
      </rPr>
      <t>2</t>
    </r>
  </si>
  <si>
    <t>Culture Time on the Membrane</t>
  </si>
  <si>
    <t>28 days</t>
  </si>
  <si>
    <t>19 days</t>
  </si>
  <si>
    <t>Criteria for TEER Value</t>
  </si>
  <si>
    <r>
      <rPr>
        <sz val="10"/>
        <rFont val="Times New Roman"/>
        <charset val="134"/>
      </rPr>
      <t>&gt; 230 Ω·cm</t>
    </r>
    <r>
      <rPr>
        <vertAlign val="superscript"/>
        <sz val="10"/>
        <rFont val="Times New Roman"/>
        <charset val="134"/>
      </rPr>
      <t>2</t>
    </r>
  </si>
  <si>
    <r>
      <rPr>
        <sz val="12"/>
        <rFont val="宋体"/>
        <charset val="134"/>
      </rPr>
      <t>&gt;150 Ω·cm</t>
    </r>
    <r>
      <rPr>
        <vertAlign val="superscript"/>
        <sz val="10"/>
        <rFont val="Times New Roman"/>
        <charset val="134"/>
      </rPr>
      <t>2</t>
    </r>
  </si>
  <si>
    <r>
      <rPr>
        <b/>
        <sz val="10"/>
        <rFont val="Times New Roman"/>
        <charset val="134"/>
      </rPr>
      <t>Assay Design For HW356009-P1 Bi-directional P</t>
    </r>
    <r>
      <rPr>
        <b/>
        <vertAlign val="subscript"/>
        <sz val="10"/>
        <rFont val="Times New Roman"/>
        <charset val="134"/>
      </rPr>
      <t>app</t>
    </r>
    <r>
      <rPr>
        <b/>
        <sz val="10"/>
        <rFont val="Times New Roman"/>
        <charset val="134"/>
      </rPr>
      <t xml:space="preserve"> and Efflux Ratio Measurement</t>
    </r>
  </si>
  <si>
    <t>Drug Transport Direction</t>
  </si>
  <si>
    <r>
      <rPr>
        <sz val="10"/>
        <rFont val="Times New Roman"/>
        <charset val="134"/>
      </rPr>
      <t>A</t>
    </r>
    <r>
      <rPr>
        <sz val="10"/>
        <rFont val="宋体"/>
        <charset val="134"/>
      </rPr>
      <t>→</t>
    </r>
    <r>
      <rPr>
        <sz val="10"/>
        <rFont val="Times New Roman"/>
        <charset val="134"/>
      </rPr>
      <t>B/B</t>
    </r>
    <r>
      <rPr>
        <sz val="10"/>
        <rFont val="宋体"/>
        <charset val="134"/>
      </rPr>
      <t>→</t>
    </r>
    <r>
      <rPr>
        <sz val="10"/>
        <rFont val="Times New Roman"/>
        <charset val="134"/>
      </rPr>
      <t>A</t>
    </r>
  </si>
  <si>
    <r>
      <rPr>
        <sz val="12"/>
        <rFont val="宋体"/>
        <charset val="134"/>
      </rPr>
      <t>A</t>
    </r>
    <r>
      <rPr>
        <sz val="10"/>
        <rFont val="宋体"/>
        <charset val="134"/>
      </rPr>
      <t>→</t>
    </r>
    <r>
      <rPr>
        <sz val="10"/>
        <rFont val="Times New Roman"/>
        <charset val="134"/>
      </rPr>
      <t>B/B</t>
    </r>
    <r>
      <rPr>
        <sz val="10"/>
        <rFont val="宋体"/>
        <charset val="134"/>
      </rPr>
      <t>→</t>
    </r>
    <r>
      <rPr>
        <sz val="10"/>
        <rFont val="Times New Roman"/>
        <charset val="134"/>
      </rPr>
      <t>A</t>
    </r>
  </si>
  <si>
    <t>Test Compound Concentration</t>
  </si>
  <si>
    <t>2 µM</t>
  </si>
  <si>
    <t>1 µM, 3 µM, 10 µM</t>
  </si>
  <si>
    <t>Incubation Time</t>
  </si>
  <si>
    <t>120 min</t>
  </si>
  <si>
    <t>Replicate</t>
  </si>
  <si>
    <t>n = 2</t>
  </si>
  <si>
    <t>2/plate, 2 plates</t>
  </si>
  <si>
    <t>Low Permeability Marker</t>
  </si>
  <si>
    <t>Antenolol (10 µM)</t>
  </si>
  <si>
    <t>High Permeability Marker</t>
  </si>
  <si>
    <t>Propranolol (10 µM)</t>
  </si>
  <si>
    <t>P-gp Expression Marker</t>
  </si>
  <si>
    <t>Digoxin (10 µM)</t>
  </si>
  <si>
    <t>Donor Buffer</t>
  </si>
  <si>
    <t>HBSS+1%BSA</t>
  </si>
  <si>
    <t>HBSS containing 0.002% Tween-80</t>
  </si>
  <si>
    <t>Receiver Buffer</t>
  </si>
  <si>
    <t>Compound Name</t>
  </si>
  <si>
    <t>Lot#</t>
  </si>
  <si>
    <t>HW033061-P2</t>
  </si>
  <si>
    <t>HWH817-YBC-035-4-54-2</t>
  </si>
  <si>
    <t>液相分析条件</t>
  </si>
  <si>
    <t>液相条件</t>
  </si>
  <si>
    <t>Time</t>
  </si>
  <si>
    <t>B%</t>
  </si>
  <si>
    <t>Instrument</t>
  </si>
  <si>
    <t>LC-MS/MS (Triple Quad 5500: LC-MS-MS-013)</t>
  </si>
  <si>
    <t>Phase A</t>
  </si>
  <si>
    <r>
      <rPr>
        <sz val="12"/>
        <rFont val="Times New Roman"/>
        <charset val="134"/>
      </rPr>
      <t>A</t>
    </r>
    <r>
      <rPr>
        <sz val="12"/>
        <rFont val="宋体"/>
        <charset val="134"/>
      </rPr>
      <t>：水（含</t>
    </r>
    <r>
      <rPr>
        <sz val="12"/>
        <rFont val="Times New Roman"/>
        <charset val="134"/>
      </rPr>
      <t>0.1%</t>
    </r>
    <r>
      <rPr>
        <sz val="12"/>
        <rFont val="宋体"/>
        <charset val="134"/>
      </rPr>
      <t>甲酸</t>
    </r>
    <r>
      <rPr>
        <sz val="12"/>
        <rFont val="宋体"/>
        <charset val="134"/>
      </rPr>
      <t>）</t>
    </r>
  </si>
  <si>
    <t>Phase B</t>
  </si>
  <si>
    <r>
      <rPr>
        <sz val="12"/>
        <rFont val="Times New Roman"/>
        <charset val="134"/>
      </rPr>
      <t>B</t>
    </r>
    <r>
      <rPr>
        <sz val="12"/>
        <rFont val="宋体"/>
        <charset val="134"/>
      </rPr>
      <t>：乙腈（含</t>
    </r>
    <r>
      <rPr>
        <sz val="12"/>
        <rFont val="Times New Roman"/>
        <charset val="134"/>
      </rPr>
      <t>0.1%</t>
    </r>
    <r>
      <rPr>
        <sz val="12"/>
        <rFont val="宋体"/>
        <charset val="134"/>
      </rPr>
      <t>甲酸）</t>
    </r>
  </si>
  <si>
    <t>stop</t>
  </si>
  <si>
    <t>Column</t>
  </si>
  <si>
    <r>
      <rPr>
        <sz val="12"/>
        <rFont val="Times New Roman"/>
        <charset val="134"/>
      </rPr>
      <t>Agilent ZORBAX XDB-C18 (5.0 µm, 50×2.1 mm)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50-481</t>
    </r>
    <r>
      <rPr>
        <sz val="12"/>
        <rFont val="宋体"/>
        <charset val="134"/>
      </rPr>
      <t>）</t>
    </r>
  </si>
  <si>
    <t>质谱条件</t>
  </si>
  <si>
    <t>名称</t>
  </si>
  <si>
    <t>Q1</t>
  </si>
  <si>
    <t>Q3</t>
  </si>
  <si>
    <t>DP</t>
  </si>
  <si>
    <t>EP</t>
  </si>
  <si>
    <t>CE</t>
  </si>
  <si>
    <t>CXP</t>
  </si>
  <si>
    <t>Glibenclamide</t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</si>
  <si>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</t>
    </r>
  </si>
  <si>
    <t>Analyte</t>
  </si>
  <si>
    <t>Sample Type</t>
  </si>
  <si>
    <t>Analyte Concentration (nM)</t>
  </si>
  <si>
    <t>Analyte Peak Area (counts)</t>
  </si>
  <si>
    <t>IS Peak Area (counts)</t>
  </si>
  <si>
    <t>Use Record</t>
  </si>
  <si>
    <t>Record Modified</t>
  </si>
  <si>
    <t>Calculated Concentration (nM)</t>
  </si>
  <si>
    <t>Accuracy (%)</t>
  </si>
  <si>
    <t>Vial Position</t>
  </si>
  <si>
    <t>Plate Position</t>
  </si>
  <si>
    <t>Acquisition Date</t>
  </si>
  <si>
    <t>Analyte Retention Time (min)</t>
  </si>
  <si>
    <t>IS Retention Time (min)</t>
  </si>
  <si>
    <t>Analyte Peak Name</t>
  </si>
  <si>
    <t>IS Peak Name</t>
  </si>
  <si>
    <t>Wash</t>
  </si>
  <si>
    <t>Unknown</t>
  </si>
  <si>
    <t>N/A</t>
  </si>
  <si>
    <t>9/4/2025 6:49:58 PM</t>
  </si>
  <si>
    <t>GLBN</t>
  </si>
  <si>
    <t>9/4/2025 6:53:31 PM</t>
  </si>
  <si>
    <t>9/4/2025 6:57:01 PM</t>
  </si>
  <si>
    <t>9/4/2025 7:00:38 PM</t>
  </si>
  <si>
    <t>9/4/2025 7:04:14 PM</t>
  </si>
  <si>
    <t>9/4/2025 7:07:47 PM</t>
  </si>
  <si>
    <t>9/4/2025 7:11:17 PM</t>
  </si>
  <si>
    <t>9/4/2025 7:14:53 PM</t>
  </si>
  <si>
    <t>9/4/2025 7:18:26 PM</t>
  </si>
  <si>
    <t>9/4/2025 7:21:58 PM</t>
  </si>
  <si>
    <t>9/4/2025 7:25:35 PM</t>
  </si>
  <si>
    <t>9/4/2025 7:29:11 PM</t>
  </si>
  <si>
    <t>9/4/2025 7:32:44 PM</t>
  </si>
  <si>
    <t>9/4/2025 7:36:18 PM</t>
  </si>
  <si>
    <t>9/4/2025 7:39:52 PM</t>
  </si>
  <si>
    <t>9/4/2025 7:43:25 PM</t>
  </si>
  <si>
    <t>9/4/2025 7:46:58 PM</t>
  </si>
  <si>
    <t>9/4/2025 7:50:32 PM</t>
  </si>
  <si>
    <t>9/4/2025 7:54:08 PM</t>
  </si>
  <si>
    <t>9/4/2025 7:57:44 PM</t>
  </si>
  <si>
    <t>9/4/2025 5:10:23 PM</t>
  </si>
  <si>
    <t>Atenolol-Gli</t>
  </si>
  <si>
    <t>9/4/2025 5:13:55 PM</t>
  </si>
  <si>
    <t>9/4/2025 5:17:28 PM</t>
  </si>
  <si>
    <t>9/4/2025 5:20:58 PM</t>
  </si>
  <si>
    <t>9/4/2025 5:24:34 PM</t>
  </si>
  <si>
    <t>9/4/2025 5:28:07 PM</t>
  </si>
  <si>
    <t>9/4/2025 5:31:42 PM</t>
  </si>
  <si>
    <t>9/4/2025 5:35:17 PM</t>
  </si>
  <si>
    <t>9/4/2025 5:38:50 PM</t>
  </si>
  <si>
    <t>9/4/2025 5:42:23 PM</t>
  </si>
  <si>
    <t>9/4/2025 5:45:56 PM</t>
  </si>
  <si>
    <t>9/4/2025 5:49:31 PM</t>
  </si>
  <si>
    <t>9/4/2025 5:53:07 PM</t>
  </si>
  <si>
    <t>9/4/2025 5:56:42 PM</t>
  </si>
  <si>
    <t>9/4/2025 6:00:16 PM</t>
  </si>
  <si>
    <t>Minoxidil-Gli</t>
  </si>
  <si>
    <t>9/4/2025 6:03:50 PM</t>
  </si>
  <si>
    <t>9/4/2025 6:07:21 PM</t>
  </si>
  <si>
    <t>9/4/2025 6:10:54 PM</t>
  </si>
  <si>
    <t>9/4/2025 6:14:26 PM</t>
  </si>
  <si>
    <t>9/4/2025 6:17:56 PM</t>
  </si>
  <si>
    <t>9/4/2025 6:21:28 PM</t>
  </si>
  <si>
    <t>9/4/2025 6:25:04 PM</t>
  </si>
  <si>
    <t>9/4/2025 6:28:37 PM</t>
  </si>
  <si>
    <t>9/4/2025 6:32:11 PM</t>
  </si>
  <si>
    <t>9/4/2025 6:35:45 PM</t>
  </si>
  <si>
    <t>9/4/2025 6:39:17 PM</t>
  </si>
  <si>
    <t>9/4/2025 6:42:51 PM</t>
  </si>
  <si>
    <t>9/4/2025 6:46:24 PM</t>
  </si>
  <si>
    <t>Digoxin</t>
  </si>
  <si>
    <t>9/4/2025 3:58:37 PM</t>
  </si>
  <si>
    <t>Digoxin-Gli</t>
  </si>
  <si>
    <t>9/4/2025 4:02:12 PM</t>
  </si>
  <si>
    <t>9/4/2025 4:05:46 PM</t>
  </si>
  <si>
    <t>9/4/2025 4:09:20 PM</t>
  </si>
  <si>
    <t>9/4/2025 4:12:54 PM</t>
  </si>
  <si>
    <t>9/4/2025 4:16:30 PM</t>
  </si>
  <si>
    <t>9/4/2025 4:20:05 PM</t>
  </si>
  <si>
    <t>9/4/2025 4:23:41 PM</t>
  </si>
  <si>
    <t>9/4/2025 4:27:15 PM</t>
  </si>
  <si>
    <t>9/4/2025 4:30:50 PM</t>
  </si>
  <si>
    <t>9/4/2025 4:34:25 PM</t>
  </si>
  <si>
    <t>9/4/2025 4:38:00 PM</t>
  </si>
  <si>
    <t>9/4/2025 4:41:37 PM</t>
  </si>
  <si>
    <t>9/4/2025 4:45:12 PM</t>
  </si>
  <si>
    <t>9/4/2025 4:48:47 PM</t>
  </si>
  <si>
    <t>9/4/2025 4:52:22 PM</t>
  </si>
  <si>
    <t>9/4/2025 4:55:58 PM</t>
  </si>
  <si>
    <t>9/4/2025 4:59:34 PM</t>
  </si>
  <si>
    <t>9/4/2025 5:03:12 PM</t>
  </si>
  <si>
    <t>9/4/2025 5:06:46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</si>
</sst>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_);[Red]\(0\)"/>
    <numFmt numFmtId="178" formatCode="0.00_ "/>
    <numFmt numFmtId="179" formatCode="0_ "/>
    <numFmt numFmtId="180" formatCode="0.0_ "/>
    <numFmt numFmtId="181" formatCode="0.0_);[Red]\(0.0\)"/>
    <numFmt numFmtId="182" formatCode="0.0"/>
    <numFmt numFmtId="183" formatCode="0.00000"/>
    <numFmt numFmtId="184" formatCode="0.000_ "/>
    <numFmt numFmtId="185" formatCode="0.0000_ "/>
    <numFmt numFmtId="186" formatCode="0.000000"/>
    <numFmt numFmtId="187" formatCode="0.0000"/>
  </numFmts>
  <fonts count="78">
    <font>
      <sz val="12"/>
      <name val="宋体"/>
      <charset val="134"/>
    </font>
    <font>
      <sz val="10"/>
      <color indexed="8"/>
      <name val="Times New Roman"/>
      <charset val="134"/>
    </font>
    <font>
      <b/>
      <sz val="10"/>
      <color indexed="8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4"/>
      <name val="Times New Roman"/>
      <charset val="134"/>
    </font>
    <font>
      <sz val="12"/>
      <color theme="1"/>
      <name val="Times New Roman"/>
      <charset val="134"/>
    </font>
    <font>
      <sz val="10.5"/>
      <name val="Times New Roman"/>
      <charset val="134"/>
    </font>
    <font>
      <sz val="10.5"/>
      <color rgb="FF000000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宋体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b/>
      <sz val="10.5"/>
      <name val="Times New Roman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indexed="10"/>
      <name val="Times New Roman"/>
      <charset val="134"/>
    </font>
    <font>
      <b/>
      <sz val="18"/>
      <color indexed="56"/>
      <name val="宋体"/>
      <charset val="134"/>
    </font>
    <font>
      <i/>
      <sz val="10"/>
      <color indexed="23"/>
      <name val="Times New Roman"/>
      <charset val="134"/>
    </font>
    <font>
      <b/>
      <sz val="15"/>
      <color indexed="56"/>
      <name val="Times New Roman"/>
      <charset val="134"/>
    </font>
    <font>
      <b/>
      <sz val="13"/>
      <color indexed="56"/>
      <name val="Times New Roman"/>
      <charset val="134"/>
    </font>
    <font>
      <b/>
      <sz val="11"/>
      <color indexed="56"/>
      <name val="Times New Roman"/>
      <charset val="134"/>
    </font>
    <font>
      <sz val="10"/>
      <color indexed="62"/>
      <name val="Times New Roman"/>
      <charset val="134"/>
    </font>
    <font>
      <b/>
      <sz val="10"/>
      <color indexed="63"/>
      <name val="Times New Roman"/>
      <charset val="134"/>
    </font>
    <font>
      <b/>
      <sz val="10"/>
      <color indexed="52"/>
      <name val="Times New Roman"/>
      <charset val="134"/>
    </font>
    <font>
      <b/>
      <sz val="10"/>
      <color indexed="9"/>
      <name val="Times New Roman"/>
      <charset val="134"/>
    </font>
    <font>
      <sz val="10"/>
      <color indexed="52"/>
      <name val="Times New Roman"/>
      <charset val="134"/>
    </font>
    <font>
      <sz val="10"/>
      <color indexed="17"/>
      <name val="Times New Roman"/>
      <charset val="134"/>
    </font>
    <font>
      <sz val="10"/>
      <color indexed="20"/>
      <name val="Times New Roman"/>
      <charset val="134"/>
    </font>
    <font>
      <sz val="10"/>
      <color indexed="60"/>
      <name val="Times New Roman"/>
      <charset val="134"/>
    </font>
    <font>
      <sz val="10"/>
      <color indexed="9"/>
      <name val="Times New Roman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sz val="10"/>
      <color indexed="8"/>
      <name val="Arial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indexed="20"/>
      <name val="宋体"/>
      <charset val="134"/>
    </font>
    <font>
      <sz val="8"/>
      <name val="Arial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indexed="17"/>
      <name val="宋体"/>
      <charset val="134"/>
    </font>
    <font>
      <b/>
      <vertAlign val="subscript"/>
      <sz val="12"/>
      <name val="Times New Roman"/>
      <charset val="134"/>
    </font>
    <font>
      <b/>
      <sz val="18"/>
      <name val="Times New Roman"/>
      <charset val="134"/>
    </font>
    <font>
      <i/>
      <sz val="11"/>
      <name val="Times New Roman"/>
      <charset val="134"/>
    </font>
    <font>
      <vertAlign val="superscript"/>
      <sz val="12"/>
      <name val="Times New Roman"/>
      <charset val="134"/>
    </font>
    <font>
      <sz val="12"/>
      <name val="微软雅黑"/>
      <charset val="134"/>
    </font>
    <font>
      <b/>
      <vertAlign val="subscript"/>
      <sz val="10"/>
      <name val="Times New Roman"/>
      <charset val="134"/>
    </font>
    <font>
      <b/>
      <vertAlign val="superscript"/>
      <sz val="10"/>
      <name val="Times New Roman"/>
      <charset val="134"/>
    </font>
    <font>
      <vertAlign val="superscript"/>
      <sz val="10"/>
      <name val="Times New Roman"/>
      <charset val="134"/>
    </font>
    <font>
      <sz val="9"/>
      <name val="Times New Roman"/>
      <charset val="134"/>
    </font>
    <font>
      <sz val="12"/>
      <name val="Cambria Math"/>
      <charset val="134"/>
    </font>
    <font>
      <sz val="10"/>
      <name val="宋体"/>
      <charset val="134"/>
    </font>
    <font>
      <b/>
      <vertAlign val="subscript"/>
      <sz val="11"/>
      <name val="Times New Roman"/>
      <charset val="134"/>
    </font>
    <font>
      <b/>
      <sz val="11"/>
      <name val="Symbol"/>
      <charset val="2"/>
    </font>
    <font>
      <b/>
      <vertAlign val="superscript"/>
      <sz val="11"/>
      <name val="Times New Roman"/>
      <charset val="134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42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49" applyNumberFormat="0" applyAlignment="0" applyProtection="0">
      <alignment vertical="center"/>
    </xf>
    <xf numFmtId="0" fontId="32" fillId="5" borderId="50" applyNumberFormat="0" applyAlignment="0" applyProtection="0">
      <alignment vertical="center"/>
    </xf>
    <xf numFmtId="0" fontId="33" fillId="5" borderId="49" applyNumberFormat="0" applyAlignment="0" applyProtection="0">
      <alignment vertical="center"/>
    </xf>
    <xf numFmtId="0" fontId="34" fillId="6" borderId="51" applyNumberFormat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2" fillId="0" borderId="5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2" fillId="0" borderId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8" borderId="0" applyNumberFormat="0" applyBorder="0" applyAlignment="0" applyProtection="0"/>
    <xf numFmtId="0" fontId="43" fillId="8" borderId="0" applyNumberFormat="0" applyBorder="0" applyAlignment="0" applyProtection="0"/>
    <xf numFmtId="0" fontId="44" fillId="5" borderId="49" applyNumberFormat="0" applyAlignment="0" applyProtection="0"/>
    <xf numFmtId="0" fontId="44" fillId="5" borderId="49" applyNumberFormat="0" applyAlignment="0" applyProtection="0"/>
    <xf numFmtId="0" fontId="45" fillId="6" borderId="51" applyNumberFormat="0" applyAlignment="0" applyProtection="0"/>
    <xf numFmtId="0" fontId="45" fillId="6" borderId="51" applyNumberFormat="0" applyAlignment="0" applyProtection="0"/>
    <xf numFmtId="0" fontId="46" fillId="0" borderId="0" applyNumberFormat="0" applyFill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8" fillId="0" borderId="46" applyNumberFormat="0" applyFill="0" applyAlignment="0" applyProtection="0"/>
    <xf numFmtId="0" fontId="49" fillId="0" borderId="47" applyNumberFormat="0" applyFill="0" applyAlignment="0" applyProtection="0"/>
    <xf numFmtId="0" fontId="50" fillId="0" borderId="48" applyNumberFormat="0" applyFill="0" applyAlignment="0" applyProtection="0"/>
    <xf numFmtId="0" fontId="50" fillId="0" borderId="0" applyNumberFormat="0" applyFill="0" applyBorder="0" applyAlignment="0" applyProtection="0"/>
    <xf numFmtId="0" fontId="51" fillId="4" borderId="49" applyNumberFormat="0" applyAlignment="0" applyProtection="0"/>
    <xf numFmtId="0" fontId="51" fillId="4" borderId="49" applyNumberFormat="0" applyAlignment="0" applyProtection="0"/>
    <xf numFmtId="0" fontId="52" fillId="0" borderId="52" applyNumberFormat="0" applyFill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42" fillId="0" borderId="0">
      <alignment vertical="top"/>
    </xf>
    <xf numFmtId="0" fontId="40" fillId="0" borderId="0">
      <alignment vertical="center"/>
    </xf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" fillId="3" borderId="45" applyNumberFormat="0" applyFont="0" applyAlignment="0" applyProtection="0"/>
    <xf numFmtId="0" fontId="54" fillId="5" borderId="50" applyNumberFormat="0" applyAlignment="0" applyProtection="0"/>
    <xf numFmtId="0" fontId="54" fillId="5" borderId="50" applyNumberFormat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7" fillId="0" borderId="53" applyNumberFormat="0" applyFill="0" applyAlignment="0" applyProtection="0"/>
    <xf numFmtId="0" fontId="58" fillId="0" borderId="0" applyNumberFormat="0" applyFill="0" applyBorder="0" applyAlignment="0" applyProtection="0"/>
    <xf numFmtId="9" fontId="4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0" borderId="0">
      <alignment vertical="top"/>
    </xf>
    <xf numFmtId="0" fontId="5" fillId="0" borderId="0"/>
    <xf numFmtId="0" fontId="5" fillId="0" borderId="0"/>
    <xf numFmtId="0" fontId="55" fillId="0" borderId="0">
      <alignment vertical="top"/>
    </xf>
    <xf numFmtId="0" fontId="55" fillId="0" borderId="0">
      <alignment vertical="top"/>
    </xf>
    <xf numFmtId="0" fontId="63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5" fillId="3" borderId="45" applyNumberFormat="0" applyFont="0" applyAlignment="0" applyProtection="0">
      <alignment vertical="center"/>
    </xf>
    <xf numFmtId="0" fontId="5" fillId="3" borderId="45" applyNumberFormat="0" applyFont="0" applyAlignment="0" applyProtection="0">
      <alignment vertical="center"/>
    </xf>
  </cellStyleXfs>
  <cellXfs count="319">
    <xf numFmtId="0" fontId="0" fillId="0" borderId="0" xfId="0">
      <alignment vertical="center"/>
    </xf>
    <xf numFmtId="0" fontId="1" fillId="2" borderId="0" xfId="167" applyFont="1" applyFill="1" applyAlignment="1">
      <alignment horizontal="center" vertical="center"/>
    </xf>
    <xf numFmtId="0" fontId="2" fillId="0" borderId="0" xfId="167" applyFont="1" applyAlignment="1">
      <alignment horizontal="center" vertical="center" wrapText="1"/>
    </xf>
    <xf numFmtId="0" fontId="1" fillId="0" borderId="0" xfId="167" applyFont="1" applyAlignment="1">
      <alignment horizontal="center" vertical="center"/>
    </xf>
    <xf numFmtId="1" fontId="1" fillId="0" borderId="0" xfId="167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0" xfId="167" applyFont="1" applyFill="1" applyAlignment="1">
      <alignment horizontal="center" vertical="center" wrapText="1"/>
    </xf>
    <xf numFmtId="1" fontId="1" fillId="2" borderId="0" xfId="167" applyNumberFormat="1" applyFont="1" applyFill="1" applyAlignment="1">
      <alignment horizontal="center" vertical="center"/>
    </xf>
    <xf numFmtId="0" fontId="2" fillId="0" borderId="1" xfId="167" applyFont="1" applyBorder="1" applyAlignment="1">
      <alignment horizontal="center" vertical="center" wrapText="1"/>
    </xf>
    <xf numFmtId="0" fontId="2" fillId="0" borderId="2" xfId="167" applyFont="1" applyBorder="1" applyAlignment="1">
      <alignment horizontal="center" vertical="center" wrapText="1"/>
    </xf>
    <xf numFmtId="0" fontId="2" fillId="0" borderId="3" xfId="167" applyFont="1" applyBorder="1" applyAlignment="1">
      <alignment horizontal="center" vertical="center" wrapText="1"/>
    </xf>
    <xf numFmtId="0" fontId="1" fillId="0" borderId="4" xfId="170" applyFont="1" applyBorder="1">
      <alignment vertical="center"/>
    </xf>
    <xf numFmtId="0" fontId="1" fillId="0" borderId="4" xfId="170" applyFont="1" applyBorder="1" applyAlignment="1">
      <alignment horizontal="center" vertical="center"/>
    </xf>
    <xf numFmtId="11" fontId="1" fillId="0" borderId="4" xfId="170" applyNumberFormat="1" applyFont="1" applyBorder="1" applyAlignment="1">
      <alignment horizontal="center" vertical="center"/>
    </xf>
    <xf numFmtId="0" fontId="2" fillId="0" borderId="5" xfId="167" applyFont="1" applyBorder="1" applyAlignment="1">
      <alignment horizontal="center" vertical="center" wrapText="1"/>
    </xf>
    <xf numFmtId="0" fontId="1" fillId="0" borderId="0" xfId="170" applyFont="1">
      <alignment vertical="center"/>
    </xf>
    <xf numFmtId="0" fontId="1" fillId="0" borderId="0" xfId="170" applyFont="1" applyAlignment="1">
      <alignment horizontal="center" vertical="center"/>
    </xf>
    <xf numFmtId="11" fontId="1" fillId="0" borderId="0" xfId="170" applyNumberFormat="1" applyFont="1" applyAlignment="1">
      <alignment horizontal="center" vertical="center"/>
    </xf>
    <xf numFmtId="0" fontId="2" fillId="0" borderId="6" xfId="167" applyFont="1" applyBorder="1" applyAlignment="1">
      <alignment horizontal="center" vertical="center" wrapText="1"/>
    </xf>
    <xf numFmtId="0" fontId="1" fillId="0" borderId="7" xfId="170" applyFont="1" applyBorder="1">
      <alignment vertical="center"/>
    </xf>
    <xf numFmtId="0" fontId="1" fillId="0" borderId="7" xfId="170" applyFont="1" applyBorder="1" applyAlignment="1">
      <alignment horizontal="center" vertical="center"/>
    </xf>
    <xf numFmtId="11" fontId="1" fillId="0" borderId="7" xfId="17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/>
    </xf>
    <xf numFmtId="0" fontId="2" fillId="0" borderId="8" xfId="167" applyFont="1" applyBorder="1" applyAlignment="1">
      <alignment horizontal="center" vertical="center" wrapText="1"/>
    </xf>
    <xf numFmtId="0" fontId="1" fillId="0" borderId="9" xfId="170" applyFont="1" applyBorder="1" applyAlignment="1">
      <alignment horizontal="center" vertical="center"/>
    </xf>
    <xf numFmtId="0" fontId="1" fillId="0" borderId="10" xfId="170" applyFont="1" applyBorder="1" applyAlignment="1">
      <alignment horizontal="center" vertical="center"/>
    </xf>
    <xf numFmtId="0" fontId="1" fillId="0" borderId="11" xfId="170" applyFont="1" applyBorder="1" applyAlignment="1">
      <alignment horizontal="center" vertical="center"/>
    </xf>
    <xf numFmtId="0" fontId="3" fillId="0" borderId="0" xfId="167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1" xfId="167" applyFont="1" applyBorder="1" applyAlignment="1">
      <alignment horizontal="center" vertical="center" wrapText="1"/>
    </xf>
    <xf numFmtId="0" fontId="3" fillId="0" borderId="2" xfId="167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11" fontId="4" fillId="0" borderId="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1" fontId="4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11" fontId="4" fillId="0" borderId="7" xfId="0" applyNumberFormat="1" applyFont="1" applyBorder="1" applyAlignment="1">
      <alignment horizontal="center" vertical="center"/>
    </xf>
    <xf numFmtId="0" fontId="3" fillId="0" borderId="8" xfId="167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wrapText="1"/>
    </xf>
    <xf numFmtId="0" fontId="6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78" fontId="9" fillId="0" borderId="0" xfId="324" applyNumberFormat="1" applyFont="1" applyAlignment="1">
      <alignment horizontal="center" vertical="center"/>
    </xf>
    <xf numFmtId="179" fontId="9" fillId="0" borderId="0" xfId="324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1332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8" fontId="9" fillId="0" borderId="7" xfId="324" applyNumberFormat="1" applyFont="1" applyBorder="1" applyAlignment="1">
      <alignment horizontal="center" vertical="center"/>
    </xf>
    <xf numFmtId="180" fontId="9" fillId="0" borderId="7" xfId="324" applyNumberFormat="1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wrapText="1"/>
    </xf>
    <xf numFmtId="0" fontId="7" fillId="0" borderId="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324" applyFont="1" applyAlignment="1">
      <alignment horizontal="center" vertical="center" wrapText="1"/>
    </xf>
    <xf numFmtId="180" fontId="9" fillId="0" borderId="0" xfId="324" applyNumberFormat="1" applyFont="1" applyAlignment="1">
      <alignment horizontal="center" vertical="center"/>
    </xf>
    <xf numFmtId="0" fontId="9" fillId="0" borderId="7" xfId="324" applyFont="1" applyBorder="1" applyAlignment="1">
      <alignment horizontal="center" vertical="center" wrapText="1"/>
    </xf>
    <xf numFmtId="179" fontId="9" fillId="0" borderId="7" xfId="324" applyNumberFormat="1" applyFont="1" applyBorder="1" applyAlignment="1">
      <alignment horizontal="center" vertical="center"/>
    </xf>
    <xf numFmtId="181" fontId="5" fillId="0" borderId="0" xfId="0" applyNumberFormat="1" applyFont="1" applyAlignment="1">
      <alignment wrapText="1"/>
    </xf>
    <xf numFmtId="0" fontId="4" fillId="0" borderId="0" xfId="1329" applyFont="1" applyAlignment="1">
      <alignment horizontal="center" vertical="center"/>
    </xf>
    <xf numFmtId="0" fontId="3" fillId="0" borderId="16" xfId="1329" applyFont="1" applyBorder="1" applyAlignment="1">
      <alignment horizontal="center" vertical="center"/>
    </xf>
    <xf numFmtId="0" fontId="3" fillId="0" borderId="17" xfId="1329" applyFont="1" applyBorder="1" applyAlignment="1">
      <alignment horizontal="center" vertical="center"/>
    </xf>
    <xf numFmtId="0" fontId="3" fillId="0" borderId="18" xfId="215" applyFont="1" applyBorder="1" applyAlignment="1">
      <alignment horizontal="center" vertical="center"/>
    </xf>
    <xf numFmtId="0" fontId="4" fillId="0" borderId="19" xfId="1329" applyFont="1" applyBorder="1" applyAlignment="1">
      <alignment horizontal="center" vertical="center"/>
    </xf>
    <xf numFmtId="0" fontId="5" fillId="0" borderId="20" xfId="215" applyFont="1" applyBorder="1" applyAlignment="1">
      <alignment horizontal="center" vertical="center"/>
    </xf>
    <xf numFmtId="0" fontId="4" fillId="0" borderId="20" xfId="1329" applyFont="1" applyBorder="1" applyAlignment="1">
      <alignment horizontal="center" vertical="center"/>
    </xf>
    <xf numFmtId="0" fontId="5" fillId="0" borderId="21" xfId="215" applyFont="1" applyBorder="1" applyAlignment="1">
      <alignment horizontal="center" vertical="center"/>
    </xf>
    <xf numFmtId="0" fontId="4" fillId="0" borderId="22" xfId="1329" applyFont="1" applyBorder="1" applyAlignment="1">
      <alignment horizontal="center" vertical="center"/>
    </xf>
    <xf numFmtId="0" fontId="5" fillId="0" borderId="23" xfId="215" applyFont="1" applyBorder="1" applyAlignment="1">
      <alignment horizontal="center" vertical="center"/>
    </xf>
    <xf numFmtId="0" fontId="4" fillId="0" borderId="23" xfId="1329" applyFont="1" applyBorder="1" applyAlignment="1">
      <alignment horizontal="center" vertical="center"/>
    </xf>
    <xf numFmtId="0" fontId="5" fillId="0" borderId="24" xfId="215" applyFont="1" applyBorder="1" applyAlignment="1">
      <alignment horizontal="center" vertical="center"/>
    </xf>
    <xf numFmtId="0" fontId="3" fillId="0" borderId="16" xfId="1329" applyFont="1" applyBorder="1" applyAlignment="1">
      <alignment horizontal="center" vertical="center" wrapText="1"/>
    </xf>
    <xf numFmtId="0" fontId="3" fillId="0" borderId="17" xfId="1329" applyFont="1" applyBorder="1" applyAlignment="1">
      <alignment horizontal="center" vertical="center" wrapText="1"/>
    </xf>
    <xf numFmtId="0" fontId="3" fillId="0" borderId="18" xfId="1329" applyFont="1" applyBorder="1" applyAlignment="1">
      <alignment horizontal="center" vertical="center" wrapText="1"/>
    </xf>
    <xf numFmtId="0" fontId="4" fillId="0" borderId="19" xfId="1330" applyFont="1" applyBorder="1" applyAlignment="1">
      <alignment horizontal="center" vertical="center"/>
    </xf>
    <xf numFmtId="0" fontId="5" fillId="0" borderId="20" xfId="241" applyFont="1" applyBorder="1" applyAlignment="1">
      <alignment horizontal="center" vertical="center"/>
    </xf>
    <xf numFmtId="0" fontId="4" fillId="0" borderId="20" xfId="1330" applyFont="1" applyBorder="1" applyAlignment="1">
      <alignment horizontal="center" vertical="center"/>
    </xf>
    <xf numFmtId="0" fontId="5" fillId="0" borderId="21" xfId="241" applyFont="1" applyBorder="1" applyAlignment="1">
      <alignment horizontal="center" vertical="center"/>
    </xf>
    <xf numFmtId="0" fontId="3" fillId="0" borderId="25" xfId="1329" applyFont="1" applyBorder="1" applyAlignment="1">
      <alignment horizontal="center" vertical="center"/>
    </xf>
    <xf numFmtId="0" fontId="3" fillId="0" borderId="26" xfId="1329" applyFont="1" applyBorder="1" applyAlignment="1">
      <alignment horizontal="center" vertical="center"/>
    </xf>
    <xf numFmtId="0" fontId="3" fillId="0" borderId="27" xfId="1329" applyFont="1" applyBorder="1" applyAlignment="1">
      <alignment horizontal="center" vertical="center"/>
    </xf>
    <xf numFmtId="0" fontId="3" fillId="0" borderId="28" xfId="1329" applyFont="1" applyBorder="1" applyAlignment="1">
      <alignment horizontal="center" vertical="center" wrapText="1"/>
    </xf>
    <xf numFmtId="0" fontId="3" fillId="0" borderId="26" xfId="1329" applyFont="1" applyBorder="1" applyAlignment="1">
      <alignment horizontal="center" vertical="center" wrapText="1"/>
    </xf>
    <xf numFmtId="0" fontId="3" fillId="0" borderId="29" xfId="1329" applyFont="1" applyBorder="1" applyAlignment="1">
      <alignment horizontal="center" vertical="center" wrapText="1"/>
    </xf>
    <xf numFmtId="0" fontId="4" fillId="0" borderId="30" xfId="1329" applyFont="1" applyBorder="1" applyAlignment="1">
      <alignment horizontal="center" vertical="center" wrapText="1"/>
    </xf>
    <xf numFmtId="0" fontId="4" fillId="0" borderId="31" xfId="1329" applyFont="1" applyBorder="1" applyAlignment="1">
      <alignment horizontal="center" vertical="center" wrapText="1"/>
    </xf>
    <xf numFmtId="0" fontId="4" fillId="0" borderId="32" xfId="1329" applyFont="1" applyBorder="1" applyAlignment="1">
      <alignment horizontal="center" vertical="center" wrapText="1"/>
    </xf>
    <xf numFmtId="0" fontId="4" fillId="0" borderId="33" xfId="1329" applyFont="1" applyBorder="1" applyAlignment="1">
      <alignment horizontal="center" vertical="center"/>
    </xf>
    <xf numFmtId="0" fontId="4" fillId="0" borderId="31" xfId="1329" applyFont="1" applyBorder="1" applyAlignment="1">
      <alignment horizontal="center" vertical="center"/>
    </xf>
    <xf numFmtId="0" fontId="4" fillId="0" borderId="34" xfId="1329" applyFont="1" applyBorder="1" applyAlignment="1">
      <alignment horizontal="center" vertical="center"/>
    </xf>
    <xf numFmtId="0" fontId="4" fillId="0" borderId="35" xfId="1329" applyFont="1" applyBorder="1" applyAlignment="1">
      <alignment horizontal="center" vertical="center" wrapText="1"/>
    </xf>
    <xf numFmtId="0" fontId="4" fillId="0" borderId="36" xfId="1329" applyFont="1" applyBorder="1" applyAlignment="1">
      <alignment horizontal="center" vertical="center" wrapText="1"/>
    </xf>
    <xf numFmtId="0" fontId="4" fillId="0" borderId="37" xfId="1329" applyFont="1" applyBorder="1" applyAlignment="1">
      <alignment horizontal="center" vertical="center" wrapText="1"/>
    </xf>
    <xf numFmtId="0" fontId="4" fillId="0" borderId="38" xfId="1329" applyFont="1" applyBorder="1" applyAlignment="1">
      <alignment horizontal="center" vertical="center"/>
    </xf>
    <xf numFmtId="0" fontId="4" fillId="0" borderId="36" xfId="1329" applyFont="1" applyBorder="1" applyAlignment="1">
      <alignment horizontal="center" vertical="center"/>
    </xf>
    <xf numFmtId="0" fontId="4" fillId="0" borderId="39" xfId="1329" applyFont="1" applyBorder="1" applyAlignment="1">
      <alignment horizontal="center" vertical="center"/>
    </xf>
    <xf numFmtId="0" fontId="4" fillId="0" borderId="4" xfId="1329" applyFont="1" applyBorder="1" applyAlignment="1">
      <alignment horizontal="center" vertical="center"/>
    </xf>
    <xf numFmtId="0" fontId="11" fillId="0" borderId="0" xfId="1328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7" fontId="9" fillId="2" borderId="0" xfId="1064" applyNumberFormat="1" applyFont="1" applyFill="1" applyAlignment="1">
      <alignment horizontal="center" vertical="center"/>
    </xf>
    <xf numFmtId="177" fontId="9" fillId="0" borderId="0" xfId="1064" applyNumberFormat="1" applyFont="1" applyAlignment="1">
      <alignment horizontal="center" vertical="center"/>
    </xf>
    <xf numFmtId="1" fontId="9" fillId="2" borderId="0" xfId="1064" applyNumberFormat="1" applyFont="1" applyFill="1" applyAlignment="1">
      <alignment horizontal="center" vertical="center"/>
    </xf>
    <xf numFmtId="177" fontId="9" fillId="0" borderId="0" xfId="1065" applyNumberFormat="1" applyFont="1" applyAlignment="1">
      <alignment horizontal="center" vertical="center"/>
    </xf>
    <xf numFmtId="177" fontId="9" fillId="0" borderId="0" xfId="1065" applyNumberFormat="1" applyFont="1" applyAlignment="1">
      <alignment horizontal="left" vertical="center"/>
    </xf>
    <xf numFmtId="1" fontId="9" fillId="0" borderId="0" xfId="1065" applyNumberFormat="1" applyFont="1" applyAlignment="1">
      <alignment horizontal="center" vertical="center"/>
    </xf>
    <xf numFmtId="177" fontId="9" fillId="0" borderId="16" xfId="1065" applyNumberFormat="1" applyFont="1" applyBorder="1" applyAlignment="1">
      <alignment horizontal="center" vertical="center"/>
    </xf>
    <xf numFmtId="1" fontId="9" fillId="0" borderId="17" xfId="1065" applyNumberFormat="1" applyFont="1" applyBorder="1" applyAlignment="1">
      <alignment horizontal="center" vertical="center"/>
    </xf>
    <xf numFmtId="1" fontId="9" fillId="0" borderId="18" xfId="1065" applyNumberFormat="1" applyFont="1" applyBorder="1" applyAlignment="1">
      <alignment horizontal="center" vertical="center"/>
    </xf>
    <xf numFmtId="1" fontId="9" fillId="0" borderId="19" xfId="1065" applyNumberFormat="1" applyFont="1" applyBorder="1" applyAlignment="1">
      <alignment horizontal="center" vertical="center"/>
    </xf>
    <xf numFmtId="1" fontId="9" fillId="0" borderId="20" xfId="1065" applyNumberFormat="1" applyFont="1" applyBorder="1" applyAlignment="1">
      <alignment horizontal="center" vertical="center"/>
    </xf>
    <xf numFmtId="1" fontId="9" fillId="0" borderId="21" xfId="1065" applyNumberFormat="1" applyFont="1" applyBorder="1" applyAlignment="1">
      <alignment horizontal="center" vertical="center"/>
    </xf>
    <xf numFmtId="182" fontId="9" fillId="0" borderId="19" xfId="1065" applyNumberFormat="1" applyFont="1" applyBorder="1" applyAlignment="1">
      <alignment horizontal="center" vertical="center"/>
    </xf>
    <xf numFmtId="182" fontId="9" fillId="0" borderId="20" xfId="1065" applyNumberFormat="1" applyFont="1" applyBorder="1" applyAlignment="1">
      <alignment horizontal="center" vertical="center"/>
    </xf>
    <xf numFmtId="182" fontId="9" fillId="0" borderId="22" xfId="1065" applyNumberFormat="1" applyFont="1" applyBorder="1" applyAlignment="1">
      <alignment horizontal="center" vertical="center"/>
    </xf>
    <xf numFmtId="182" fontId="9" fillId="0" borderId="23" xfId="1065" applyNumberFormat="1" applyFont="1" applyBorder="1" applyAlignment="1">
      <alignment horizontal="center" vertical="center"/>
    </xf>
    <xf numFmtId="1" fontId="9" fillId="0" borderId="23" xfId="1065" applyNumberFormat="1" applyFont="1" applyBorder="1" applyAlignment="1">
      <alignment horizontal="center" vertical="center"/>
    </xf>
    <xf numFmtId="1" fontId="9" fillId="0" borderId="24" xfId="1065" applyNumberFormat="1" applyFont="1" applyBorder="1" applyAlignment="1">
      <alignment horizontal="center" vertical="center"/>
    </xf>
    <xf numFmtId="1" fontId="14" fillId="0" borderId="0" xfId="1065" applyNumberFormat="1" applyFont="1" applyAlignment="1">
      <alignment horizontal="center" vertical="center"/>
    </xf>
    <xf numFmtId="1" fontId="9" fillId="0" borderId="0" xfId="1064" applyNumberFormat="1" applyFont="1" applyAlignment="1">
      <alignment horizontal="center" vertical="center"/>
    </xf>
    <xf numFmtId="0" fontId="4" fillId="2" borderId="0" xfId="167" applyFont="1" applyFill="1" applyAlignment="1">
      <alignment horizontal="center" vertical="center"/>
    </xf>
    <xf numFmtId="0" fontId="4" fillId="0" borderId="0" xfId="167" applyFont="1" applyAlignment="1">
      <alignment horizontal="center" vertical="center"/>
    </xf>
    <xf numFmtId="0" fontId="4" fillId="0" borderId="16" xfId="216" applyFont="1" applyBorder="1" applyAlignment="1">
      <alignment horizontal="center" vertical="center"/>
    </xf>
    <xf numFmtId="0" fontId="4" fillId="0" borderId="17" xfId="216" applyFont="1" applyBorder="1" applyAlignment="1">
      <alignment horizontal="center" vertical="center"/>
    </xf>
    <xf numFmtId="0" fontId="4" fillId="0" borderId="18" xfId="216" applyFont="1" applyBorder="1" applyAlignment="1">
      <alignment horizontal="center" vertical="center"/>
    </xf>
    <xf numFmtId="0" fontId="4" fillId="0" borderId="0" xfId="170" applyFont="1" applyAlignment="1">
      <alignment horizontal="center" vertical="center"/>
    </xf>
    <xf numFmtId="0" fontId="4" fillId="0" borderId="19" xfId="170" applyFont="1" applyBorder="1" applyAlignment="1">
      <alignment horizontal="center" vertical="center" wrapText="1"/>
    </xf>
    <xf numFmtId="0" fontId="4" fillId="0" borderId="20" xfId="170" applyFont="1" applyBorder="1" applyAlignment="1">
      <alignment horizontal="center" vertical="center" wrapText="1"/>
    </xf>
    <xf numFmtId="0" fontId="4" fillId="0" borderId="21" xfId="170" applyFont="1" applyBorder="1" applyAlignment="1">
      <alignment horizontal="center" vertical="center" wrapText="1"/>
    </xf>
    <xf numFmtId="0" fontId="4" fillId="0" borderId="30" xfId="170" applyFont="1" applyBorder="1" applyAlignment="1">
      <alignment horizontal="center" vertical="center" wrapText="1"/>
    </xf>
    <xf numFmtId="0" fontId="4" fillId="0" borderId="21" xfId="216" applyFont="1" applyBorder="1" applyAlignment="1">
      <alignment horizontal="center" vertical="center" wrapText="1"/>
    </xf>
    <xf numFmtId="0" fontId="4" fillId="0" borderId="30" xfId="216" applyFont="1" applyBorder="1" applyAlignment="1">
      <alignment horizontal="center" vertical="center" wrapText="1"/>
    </xf>
    <xf numFmtId="0" fontId="4" fillId="0" borderId="20" xfId="216" applyFont="1" applyBorder="1" applyAlignment="1">
      <alignment horizontal="center" vertical="center" wrapText="1"/>
    </xf>
    <xf numFmtId="0" fontId="4" fillId="0" borderId="35" xfId="216" applyFont="1" applyBorder="1" applyAlignment="1">
      <alignment horizontal="center" vertical="center" wrapText="1"/>
    </xf>
    <xf numFmtId="0" fontId="4" fillId="0" borderId="23" xfId="216" applyFont="1" applyBorder="1" applyAlignment="1">
      <alignment horizontal="center" vertical="center" wrapText="1"/>
    </xf>
    <xf numFmtId="0" fontId="4" fillId="0" borderId="24" xfId="216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9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79" fontId="4" fillId="2" borderId="0" xfId="0" applyNumberFormat="1" applyFont="1" applyFill="1" applyAlignment="1">
      <alignment horizontal="center" vertical="center"/>
    </xf>
    <xf numFmtId="11" fontId="4" fillId="2" borderId="7" xfId="0" applyNumberFormat="1" applyFont="1" applyFill="1" applyBorder="1" applyAlignment="1">
      <alignment horizontal="center" vertical="center"/>
    </xf>
    <xf numFmtId="0" fontId="3" fillId="0" borderId="7" xfId="167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179" fontId="4" fillId="0" borderId="15" xfId="0" applyNumberFormat="1" applyFont="1" applyBorder="1" applyAlignment="1">
      <alignment horizontal="center" vertical="center"/>
    </xf>
    <xf numFmtId="11" fontId="4" fillId="0" borderId="15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183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82" fontId="4" fillId="0" borderId="4" xfId="0" applyNumberFormat="1" applyFont="1" applyBorder="1" applyAlignment="1">
      <alignment horizontal="center" vertical="center"/>
    </xf>
    <xf numFmtId="180" fontId="4" fillId="0" borderId="4" xfId="0" applyNumberFormat="1" applyFont="1" applyBorder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1" fontId="4" fillId="0" borderId="0" xfId="0" applyNumberFormat="1" applyFont="1">
      <alignment vertical="center"/>
    </xf>
    <xf numFmtId="1" fontId="4" fillId="2" borderId="0" xfId="0" applyNumberFormat="1" applyFont="1" applyFill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86" fontId="4" fillId="0" borderId="4" xfId="0" applyNumberFormat="1" applyFont="1" applyBorder="1" applyAlignment="1">
      <alignment horizontal="center" vertical="center"/>
    </xf>
    <xf numFmtId="186" fontId="4" fillId="0" borderId="0" xfId="0" applyNumberFormat="1" applyFont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1" fontId="4" fillId="2" borderId="0" xfId="0" applyNumberFormat="1" applyFont="1" applyFill="1" applyAlignment="1">
      <alignment horizontal="center" vertical="center"/>
    </xf>
    <xf numFmtId="187" fontId="4" fillId="0" borderId="0" xfId="0" applyNumberFormat="1" applyFont="1" applyAlignment="1">
      <alignment horizontal="center" vertical="center"/>
    </xf>
    <xf numFmtId="187" fontId="4" fillId="0" borderId="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182" fontId="4" fillId="0" borderId="7" xfId="0" applyNumberFormat="1" applyFont="1" applyBorder="1" applyAlignment="1">
      <alignment horizontal="center" vertical="center"/>
    </xf>
    <xf numFmtId="0" fontId="15" fillId="0" borderId="0" xfId="170" applyFont="1">
      <alignment vertical="center"/>
    </xf>
    <xf numFmtId="0" fontId="5" fillId="0" borderId="0" xfId="170">
      <alignment vertical="center"/>
    </xf>
    <xf numFmtId="0" fontId="7" fillId="0" borderId="16" xfId="170" applyFont="1" applyBorder="1" applyAlignment="1">
      <alignment horizontal="center" vertical="center" wrapText="1"/>
    </xf>
    <xf numFmtId="0" fontId="7" fillId="0" borderId="17" xfId="170" applyFont="1" applyBorder="1" applyAlignment="1">
      <alignment horizontal="center" vertical="center" wrapText="1"/>
    </xf>
    <xf numFmtId="0" fontId="7" fillId="0" borderId="18" xfId="170" applyFont="1" applyBorder="1" applyAlignment="1">
      <alignment horizontal="center" vertical="center" wrapText="1"/>
    </xf>
    <xf numFmtId="0" fontId="7" fillId="0" borderId="19" xfId="170" applyFont="1" applyBorder="1" applyAlignment="1">
      <alignment horizontal="center" vertical="center" wrapText="1"/>
    </xf>
    <xf numFmtId="0" fontId="7" fillId="0" borderId="20" xfId="170" applyFont="1" applyBorder="1" applyAlignment="1">
      <alignment horizontal="center" vertical="center" wrapText="1"/>
    </xf>
    <xf numFmtId="0" fontId="7" fillId="0" borderId="21" xfId="170" applyFont="1" applyBorder="1" applyAlignment="1">
      <alignment horizontal="center" vertical="center" wrapText="1"/>
    </xf>
    <xf numFmtId="0" fontId="16" fillId="0" borderId="19" xfId="170" applyFont="1" applyBorder="1" applyAlignment="1">
      <alignment horizontal="center" vertical="center" wrapText="1"/>
    </xf>
    <xf numFmtId="0" fontId="16" fillId="0" borderId="20" xfId="170" applyFont="1" applyBorder="1" applyAlignment="1">
      <alignment horizontal="center" vertical="center" wrapText="1"/>
    </xf>
    <xf numFmtId="0" fontId="16" fillId="0" borderId="21" xfId="170" applyFont="1" applyBorder="1" applyAlignment="1">
      <alignment horizontal="center" vertical="center" wrapText="1"/>
    </xf>
    <xf numFmtId="1" fontId="5" fillId="0" borderId="0" xfId="170" applyNumberFormat="1">
      <alignment vertical="center"/>
    </xf>
    <xf numFmtId="0" fontId="17" fillId="0" borderId="19" xfId="170" applyFont="1" applyBorder="1" applyAlignment="1">
      <alignment horizontal="center" vertical="center" wrapText="1"/>
    </xf>
    <xf numFmtId="0" fontId="17" fillId="0" borderId="20" xfId="170" applyFont="1" applyBorder="1" applyAlignment="1">
      <alignment horizontal="center" vertical="center" wrapText="1"/>
    </xf>
    <xf numFmtId="1" fontId="17" fillId="0" borderId="20" xfId="170" applyNumberFormat="1" applyFont="1" applyBorder="1" applyAlignment="1">
      <alignment horizontal="center" vertical="center" wrapText="1"/>
    </xf>
    <xf numFmtId="176" fontId="17" fillId="0" borderId="20" xfId="170" applyNumberFormat="1" applyFont="1" applyBorder="1" applyAlignment="1">
      <alignment horizontal="center" vertical="center"/>
    </xf>
    <xf numFmtId="1" fontId="17" fillId="0" borderId="20" xfId="170" applyNumberFormat="1" applyFont="1" applyBorder="1" applyAlignment="1">
      <alignment horizontal="center" vertical="center"/>
    </xf>
    <xf numFmtId="1" fontId="17" fillId="0" borderId="21" xfId="170" applyNumberFormat="1" applyFont="1" applyBorder="1" applyAlignment="1">
      <alignment horizontal="center" vertical="center"/>
    </xf>
    <xf numFmtId="1" fontId="17" fillId="0" borderId="19" xfId="170" applyNumberFormat="1" applyFont="1" applyBorder="1" applyAlignment="1">
      <alignment horizontal="center" vertical="center" wrapText="1"/>
    </xf>
    <xf numFmtId="182" fontId="17" fillId="0" borderId="20" xfId="170" applyNumberFormat="1" applyFont="1" applyBorder="1" applyAlignment="1">
      <alignment horizontal="center" vertical="center"/>
    </xf>
    <xf numFmtId="2" fontId="17" fillId="0" borderId="20" xfId="170" applyNumberFormat="1" applyFont="1" applyBorder="1" applyAlignment="1">
      <alignment horizontal="center" vertical="center"/>
    </xf>
    <xf numFmtId="178" fontId="17" fillId="0" borderId="20" xfId="170" applyNumberFormat="1" applyFont="1" applyBorder="1" applyAlignment="1">
      <alignment horizontal="center" vertical="center"/>
    </xf>
    <xf numFmtId="0" fontId="17" fillId="0" borderId="22" xfId="170" applyFont="1" applyBorder="1" applyAlignment="1">
      <alignment horizontal="center" vertical="center" wrapText="1"/>
    </xf>
    <xf numFmtId="0" fontId="17" fillId="0" borderId="23" xfId="170" applyFont="1" applyBorder="1" applyAlignment="1">
      <alignment horizontal="center" vertical="center" wrapText="1"/>
    </xf>
    <xf numFmtId="182" fontId="17" fillId="0" borderId="23" xfId="170" applyNumberFormat="1" applyFont="1" applyBorder="1" applyAlignment="1">
      <alignment horizontal="center" vertical="center" wrapText="1"/>
    </xf>
    <xf numFmtId="176" fontId="17" fillId="0" borderId="23" xfId="170" applyNumberFormat="1" applyFont="1" applyBorder="1" applyAlignment="1">
      <alignment horizontal="center" vertical="center"/>
    </xf>
    <xf numFmtId="180" fontId="17" fillId="0" borderId="23" xfId="170" applyNumberFormat="1" applyFont="1" applyBorder="1" applyAlignment="1">
      <alignment horizontal="center" vertical="center"/>
    </xf>
    <xf numFmtId="1" fontId="17" fillId="0" borderId="24" xfId="170" applyNumberFormat="1" applyFont="1" applyBorder="1" applyAlignment="1">
      <alignment horizontal="center" vertical="center"/>
    </xf>
    <xf numFmtId="1" fontId="17" fillId="0" borderId="4" xfId="170" applyNumberFormat="1" applyFont="1" applyBorder="1" applyAlignment="1">
      <alignment horizontal="center" vertical="center" wrapText="1"/>
    </xf>
    <xf numFmtId="1" fontId="17" fillId="0" borderId="4" xfId="170" applyNumberFormat="1" applyFont="1" applyBorder="1" applyAlignment="1">
      <alignment horizontal="center" vertical="center"/>
    </xf>
    <xf numFmtId="1" fontId="18" fillId="0" borderId="0" xfId="170" applyNumberFormat="1" applyFont="1" applyAlignment="1">
      <alignment horizontal="center" vertical="center" wrapText="1"/>
    </xf>
    <xf numFmtId="1" fontId="18" fillId="0" borderId="0" xfId="170" applyNumberFormat="1" applyFont="1" applyAlignment="1">
      <alignment horizontal="center" vertical="center"/>
    </xf>
    <xf numFmtId="1" fontId="15" fillId="0" borderId="0" xfId="170" applyNumberFormat="1" applyFont="1">
      <alignment vertical="center"/>
    </xf>
    <xf numFmtId="1" fontId="7" fillId="0" borderId="17" xfId="170" applyNumberFormat="1" applyFont="1" applyBorder="1" applyAlignment="1">
      <alignment horizontal="center" vertical="center" wrapText="1"/>
    </xf>
    <xf numFmtId="1" fontId="7" fillId="0" borderId="18" xfId="170" applyNumberFormat="1" applyFont="1" applyBorder="1" applyAlignment="1">
      <alignment horizontal="center" vertical="center" wrapText="1"/>
    </xf>
    <xf numFmtId="1" fontId="7" fillId="0" borderId="19" xfId="170" applyNumberFormat="1" applyFont="1" applyBorder="1" applyAlignment="1">
      <alignment horizontal="center" vertical="center" wrapText="1"/>
    </xf>
    <xf numFmtId="1" fontId="7" fillId="0" borderId="20" xfId="170" applyNumberFormat="1" applyFont="1" applyBorder="1" applyAlignment="1">
      <alignment horizontal="center" vertical="center" wrapText="1"/>
    </xf>
    <xf numFmtId="1" fontId="7" fillId="0" borderId="21" xfId="170" applyNumberFormat="1" applyFont="1" applyBorder="1" applyAlignment="1">
      <alignment horizontal="center" vertical="center" wrapText="1"/>
    </xf>
    <xf numFmtId="182" fontId="17" fillId="0" borderId="20" xfId="170" applyNumberFormat="1" applyFont="1" applyBorder="1" applyAlignment="1">
      <alignment horizontal="center" vertical="center" wrapText="1"/>
    </xf>
    <xf numFmtId="1" fontId="17" fillId="0" borderId="40" xfId="170" applyNumberFormat="1" applyFont="1" applyBorder="1" applyAlignment="1">
      <alignment horizontal="center" vertical="center" wrapText="1"/>
    </xf>
    <xf numFmtId="0" fontId="17" fillId="0" borderId="41" xfId="170" applyFont="1" applyBorder="1" applyAlignment="1">
      <alignment horizontal="center" vertical="center" wrapText="1"/>
    </xf>
    <xf numFmtId="1" fontId="17" fillId="0" borderId="41" xfId="170" applyNumberFormat="1" applyFont="1" applyBorder="1" applyAlignment="1">
      <alignment horizontal="center" vertical="center" wrapText="1"/>
    </xf>
    <xf numFmtId="182" fontId="17" fillId="0" borderId="41" xfId="170" applyNumberFormat="1" applyFont="1" applyBorder="1" applyAlignment="1">
      <alignment horizontal="center" vertical="center"/>
    </xf>
    <xf numFmtId="1" fontId="17" fillId="0" borderId="41" xfId="170" applyNumberFormat="1" applyFont="1" applyBorder="1" applyAlignment="1">
      <alignment horizontal="center" vertical="center"/>
    </xf>
    <xf numFmtId="1" fontId="17" fillId="0" borderId="42" xfId="170" applyNumberFormat="1" applyFont="1" applyBorder="1" applyAlignment="1">
      <alignment horizontal="center" vertical="center"/>
    </xf>
    <xf numFmtId="182" fontId="17" fillId="0" borderId="21" xfId="170" applyNumberFormat="1" applyFont="1" applyBorder="1" applyAlignment="1">
      <alignment horizontal="center" vertical="center"/>
    </xf>
    <xf numFmtId="182" fontId="17" fillId="0" borderId="41" xfId="170" applyNumberFormat="1" applyFont="1" applyBorder="1" applyAlignment="1">
      <alignment horizontal="center" vertical="center" wrapText="1"/>
    </xf>
    <xf numFmtId="187" fontId="17" fillId="0" borderId="20" xfId="170" applyNumberFormat="1" applyFont="1" applyBorder="1" applyAlignment="1">
      <alignment horizontal="center" vertical="center"/>
    </xf>
    <xf numFmtId="0" fontId="17" fillId="0" borderId="43" xfId="170" applyFont="1" applyBorder="1" applyAlignment="1">
      <alignment horizontal="center" vertical="center" wrapText="1"/>
    </xf>
    <xf numFmtId="182" fontId="17" fillId="0" borderId="43" xfId="170" applyNumberFormat="1" applyFont="1" applyBorder="1" applyAlignment="1">
      <alignment horizontal="center" vertical="center" wrapText="1"/>
    </xf>
    <xf numFmtId="176" fontId="17" fillId="0" borderId="43" xfId="170" applyNumberFormat="1" applyFont="1" applyBorder="1" applyAlignment="1">
      <alignment horizontal="center" vertical="center"/>
    </xf>
    <xf numFmtId="1" fontId="17" fillId="0" borderId="43" xfId="170" applyNumberFormat="1" applyFont="1" applyBorder="1" applyAlignment="1">
      <alignment horizontal="center" vertical="center"/>
    </xf>
    <xf numFmtId="182" fontId="17" fillId="0" borderId="44" xfId="170" applyNumberFormat="1" applyFont="1" applyBorder="1" applyAlignment="1">
      <alignment horizontal="center" vertical="center"/>
    </xf>
    <xf numFmtId="2" fontId="17" fillId="0" borderId="41" xfId="170" applyNumberFormat="1" applyFont="1" applyBorder="1" applyAlignment="1">
      <alignment horizontal="center" vertical="center"/>
    </xf>
    <xf numFmtId="1" fontId="17" fillId="0" borderId="22" xfId="170" applyNumberFormat="1" applyFont="1" applyBorder="1" applyAlignment="1">
      <alignment horizontal="center" vertical="center" wrapText="1"/>
    </xf>
    <xf numFmtId="1" fontId="17" fillId="0" borderId="23" xfId="170" applyNumberFormat="1" applyFont="1" applyBorder="1" applyAlignment="1">
      <alignment horizontal="center" vertical="center" wrapText="1"/>
    </xf>
    <xf numFmtId="182" fontId="17" fillId="0" borderId="23" xfId="170" applyNumberFormat="1" applyFont="1" applyBorder="1" applyAlignment="1">
      <alignment horizontal="center" vertical="center"/>
    </xf>
    <xf numFmtId="1" fontId="17" fillId="0" borderId="23" xfId="170" applyNumberFormat="1" applyFont="1" applyBorder="1" applyAlignment="1">
      <alignment horizontal="center" vertical="center"/>
    </xf>
    <xf numFmtId="1" fontId="9" fillId="0" borderId="4" xfId="170" applyNumberFormat="1" applyFont="1" applyBorder="1">
      <alignment vertical="center"/>
    </xf>
    <xf numFmtId="1" fontId="5" fillId="0" borderId="4" xfId="170" applyNumberFormat="1" applyBorder="1">
      <alignment vertical="center"/>
    </xf>
    <xf numFmtId="1" fontId="7" fillId="0" borderId="0" xfId="170" applyNumberFormat="1" applyFont="1">
      <alignment vertical="center"/>
    </xf>
    <xf numFmtId="1" fontId="9" fillId="0" borderId="0" xfId="170" applyNumberFormat="1" applyFont="1">
      <alignment vertical="center"/>
    </xf>
    <xf numFmtId="0" fontId="9" fillId="0" borderId="0" xfId="170" applyFont="1">
      <alignment vertical="center"/>
    </xf>
    <xf numFmtId="1" fontId="7" fillId="0" borderId="16" xfId="170" applyNumberFormat="1" applyFont="1" applyBorder="1" applyAlignment="1">
      <alignment horizontal="center" vertical="center"/>
    </xf>
    <xf numFmtId="0" fontId="7" fillId="0" borderId="17" xfId="17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" fontId="7" fillId="0" borderId="19" xfId="170" applyNumberFormat="1" applyFont="1" applyBorder="1" applyAlignment="1">
      <alignment horizontal="center" vertical="center"/>
    </xf>
    <xf numFmtId="0" fontId="7" fillId="0" borderId="20" xfId="17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1" fontId="15" fillId="0" borderId="0" xfId="0" applyNumberFormat="1" applyFont="1">
      <alignment vertical="center"/>
    </xf>
    <xf numFmtId="1" fontId="12" fillId="0" borderId="0" xfId="0" applyNumberFormat="1" applyFont="1" applyAlignment="1">
      <alignment vertical="center" wrapText="1"/>
    </xf>
    <xf numFmtId="0" fontId="15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4" fillId="0" borderId="0" xfId="170" applyFont="1">
      <alignment vertical="center"/>
    </xf>
    <xf numFmtId="0" fontId="17" fillId="0" borderId="0" xfId="1328" applyFont="1" applyAlignment="1">
      <alignment vertical="center"/>
    </xf>
    <xf numFmtId="0" fontId="9" fillId="0" borderId="0" xfId="1328" applyFont="1" applyAlignment="1">
      <alignment vertical="center"/>
    </xf>
    <xf numFmtId="0" fontId="9" fillId="0" borderId="0" xfId="1327" applyFont="1" applyAlignment="1">
      <alignment horizontal="center" wrapText="1"/>
    </xf>
    <xf numFmtId="0" fontId="6" fillId="0" borderId="0" xfId="1328" applyFont="1" applyAlignment="1">
      <alignment horizontal="left" vertical="center"/>
    </xf>
    <xf numFmtId="0" fontId="20" fillId="0" borderId="0" xfId="1328" applyFont="1" applyAlignment="1">
      <alignment horizontal="left" vertical="center" wrapText="1"/>
    </xf>
    <xf numFmtId="0" fontId="9" fillId="0" borderId="0" xfId="1328" applyFont="1" applyAlignment="1">
      <alignment horizontal="left" vertical="center" wrapText="1"/>
    </xf>
    <xf numFmtId="0" fontId="9" fillId="0" borderId="0" xfId="1328" applyFont="1" applyAlignment="1">
      <alignment vertical="center" wrapText="1"/>
    </xf>
    <xf numFmtId="0" fontId="7" fillId="0" borderId="0" xfId="1328" applyFont="1" applyAlignment="1">
      <alignment horizontal="left" vertical="center"/>
    </xf>
    <xf numFmtId="0" fontId="9" fillId="0" borderId="0" xfId="1328" applyFont="1" applyAlignment="1">
      <alignment horizontal="left" vertical="center"/>
    </xf>
    <xf numFmtId="0" fontId="21" fillId="0" borderId="0" xfId="1328" applyFont="1" applyAlignment="1">
      <alignment horizontal="left" vertical="center"/>
    </xf>
    <xf numFmtId="0" fontId="14" fillId="0" borderId="0" xfId="1328" applyFont="1" applyAlignment="1">
      <alignment horizontal="left" vertical="center"/>
    </xf>
    <xf numFmtId="0" fontId="11" fillId="0" borderId="0" xfId="1328" applyFont="1" applyAlignment="1">
      <alignment horizontal="left" vertical="center" wrapText="1"/>
    </xf>
    <xf numFmtId="49" fontId="9" fillId="0" borderId="0" xfId="0" applyNumberFormat="1" applyFont="1">
      <alignment vertical="center"/>
    </xf>
    <xf numFmtId="0" fontId="21" fillId="0" borderId="0" xfId="1328" applyFont="1" applyAlignment="1">
      <alignment vertical="center"/>
    </xf>
    <xf numFmtId="0" fontId="7" fillId="0" borderId="0" xfId="1331" applyFont="1" applyAlignment="1">
      <alignment vertical="center"/>
    </xf>
    <xf numFmtId="0" fontId="9" fillId="0" borderId="0" xfId="1331" applyFont="1" applyAlignment="1">
      <alignment horizontal="left" vertical="center" wrapText="1"/>
    </xf>
    <xf numFmtId="0" fontId="5" fillId="0" borderId="0" xfId="1328" applyFont="1" applyAlignment="1">
      <alignment horizontal="center" vertical="center"/>
    </xf>
    <xf numFmtId="0" fontId="9" fillId="0" borderId="0" xfId="1328" applyFont="1" applyAlignment="1">
      <alignment horizontal="center" vertical="center"/>
    </xf>
  </cellXfs>
  <cellStyles count="134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1 2" xfId="50"/>
    <cellStyle name="20% - Accent2" xfId="51"/>
    <cellStyle name="20% - Accent2 2" xfId="52"/>
    <cellStyle name="20% - Accent3" xfId="53"/>
    <cellStyle name="20% - Accent3 2" xfId="54"/>
    <cellStyle name="20% - Accent4" xfId="55"/>
    <cellStyle name="20% - Accent4 2" xfId="56"/>
    <cellStyle name="20% - Accent5" xfId="57"/>
    <cellStyle name="20% - Accent5 2" xfId="58"/>
    <cellStyle name="20% - Accent6" xfId="59"/>
    <cellStyle name="20% - Accent6 2" xfId="60"/>
    <cellStyle name="40% - Accent1" xfId="61"/>
    <cellStyle name="40% - Accent1 2" xfId="62"/>
    <cellStyle name="40% - Accent2" xfId="63"/>
    <cellStyle name="40% - Accent2 2" xfId="64"/>
    <cellStyle name="40% - Accent3" xfId="65"/>
    <cellStyle name="40% - Accent3 2" xfId="66"/>
    <cellStyle name="40% - Accent4" xfId="67"/>
    <cellStyle name="40% - Accent4 2" xfId="68"/>
    <cellStyle name="40% - Accent5" xfId="69"/>
    <cellStyle name="40% - Accent5 2" xfId="70"/>
    <cellStyle name="40% - Accent6" xfId="71"/>
    <cellStyle name="40% - Accent6 2" xfId="72"/>
    <cellStyle name="60% - Accent1" xfId="73"/>
    <cellStyle name="60% - Accent1 2" xfId="74"/>
    <cellStyle name="60% - Accent2" xfId="75"/>
    <cellStyle name="60% - Accent2 2" xfId="76"/>
    <cellStyle name="60% - Accent3" xfId="77"/>
    <cellStyle name="60% - Accent3 2" xfId="78"/>
    <cellStyle name="60% - Accent4" xfId="79"/>
    <cellStyle name="60% - Accent4 2" xfId="80"/>
    <cellStyle name="60% - Accent5" xfId="81"/>
    <cellStyle name="60% - Accent5 2" xfId="82"/>
    <cellStyle name="60% - Accent6" xfId="83"/>
    <cellStyle name="60% - Accent6 2" xfId="84"/>
    <cellStyle name="9" xfId="85"/>
    <cellStyle name="Accent1" xfId="86"/>
    <cellStyle name="Accent1 2" xfId="87"/>
    <cellStyle name="Accent2" xfId="88"/>
    <cellStyle name="Accent2 2" xfId="89"/>
    <cellStyle name="Accent3" xfId="90"/>
    <cellStyle name="Accent3 2" xfId="91"/>
    <cellStyle name="Accent4" xfId="92"/>
    <cellStyle name="Accent4 2" xfId="93"/>
    <cellStyle name="Accent5" xfId="94"/>
    <cellStyle name="Accent5 2" xfId="95"/>
    <cellStyle name="Accent6" xfId="96"/>
    <cellStyle name="Accent6 2" xfId="97"/>
    <cellStyle name="Bad" xfId="98"/>
    <cellStyle name="Bad 2" xfId="99"/>
    <cellStyle name="Calculation" xfId="100"/>
    <cellStyle name="Calculation 2" xfId="101"/>
    <cellStyle name="Check Cell" xfId="102"/>
    <cellStyle name="Check Cell 2" xfId="103"/>
    <cellStyle name="Explanatory Text" xfId="104"/>
    <cellStyle name="Good" xfId="105"/>
    <cellStyle name="Good 2" xfId="106"/>
    <cellStyle name="Heading 1" xfId="107"/>
    <cellStyle name="Heading 2" xfId="108"/>
    <cellStyle name="Heading 3" xfId="109"/>
    <cellStyle name="Heading 4" xfId="110"/>
    <cellStyle name="Input" xfId="111"/>
    <cellStyle name="Input 2" xfId="112"/>
    <cellStyle name="Linked Cell" xfId="113"/>
    <cellStyle name="Neutral" xfId="114"/>
    <cellStyle name="Neutral 2" xfId="115"/>
    <cellStyle name="Normal 2" xfId="116"/>
    <cellStyle name="Normal_BGB-103 (maleate)_PPB_pretest_03192013" xfId="117"/>
    <cellStyle name="Note" xfId="118"/>
    <cellStyle name="Note 2" xfId="119"/>
    <cellStyle name="Note 2 2" xfId="120"/>
    <cellStyle name="Note 2 2 2" xfId="121"/>
    <cellStyle name="Note 2 3" xfId="122"/>
    <cellStyle name="Note 2 3 2" xfId="123"/>
    <cellStyle name="Note 2 4" xfId="124"/>
    <cellStyle name="Note 2 4 2" xfId="125"/>
    <cellStyle name="Note 2 5" xfId="126"/>
    <cellStyle name="Note 3" xfId="127"/>
    <cellStyle name="Note 3 2" xfId="128"/>
    <cellStyle name="Note 3 2 2" xfId="129"/>
    <cellStyle name="Note 3 3" xfId="130"/>
    <cellStyle name="Note 3 3 2" xfId="131"/>
    <cellStyle name="Note 3 4" xfId="132"/>
    <cellStyle name="Note 3 4 2" xfId="133"/>
    <cellStyle name="Note 3 5" xfId="134"/>
    <cellStyle name="Note 4" xfId="135"/>
    <cellStyle name="Note 4 2" xfId="136"/>
    <cellStyle name="Note 4 2 2" xfId="137"/>
    <cellStyle name="Note 4 3" xfId="138"/>
    <cellStyle name="Note 4 3 2" xfId="139"/>
    <cellStyle name="Note 4 4" xfId="140"/>
    <cellStyle name="Note 4 4 2" xfId="141"/>
    <cellStyle name="Note 4 5" xfId="142"/>
    <cellStyle name="Note 5" xfId="143"/>
    <cellStyle name="Note 5 2" xfId="144"/>
    <cellStyle name="Note 6" xfId="145"/>
    <cellStyle name="Note 6 2" xfId="146"/>
    <cellStyle name="Note 7" xfId="147"/>
    <cellStyle name="Note 7 2" xfId="148"/>
    <cellStyle name="Note 8" xfId="149"/>
    <cellStyle name="Note 9" xfId="150"/>
    <cellStyle name="Note_BGB-283-001 Caco-2_01-10-2012" xfId="151"/>
    <cellStyle name="Output" xfId="152"/>
    <cellStyle name="Output 2" xfId="153"/>
    <cellStyle name="Style 1" xfId="154"/>
    <cellStyle name="Title" xfId="155"/>
    <cellStyle name="Total" xfId="156"/>
    <cellStyle name="Warning Text" xfId="157"/>
    <cellStyle name="百分比 2" xfId="158"/>
    <cellStyle name="标题 5" xfId="159"/>
    <cellStyle name="标题 5 2" xfId="160"/>
    <cellStyle name="标题 6" xfId="161"/>
    <cellStyle name="标题 6 2" xfId="162"/>
    <cellStyle name="标题 7" xfId="163"/>
    <cellStyle name="标题 7 2" xfId="164"/>
    <cellStyle name="差_3D_SN016120_BGB-000001255-000-002_Plasma protein binding_03252013" xfId="165"/>
    <cellStyle name="差_BGB-103 (maleate)_PPB_pretest_03192013" xfId="166"/>
    <cellStyle name="常规 10 2" xfId="167"/>
    <cellStyle name="常规 10 2 2" xfId="168"/>
    <cellStyle name="常规 10 2 2 2" xfId="169"/>
    <cellStyle name="常规 10 2 2 2 2" xfId="170"/>
    <cellStyle name="常规 10 2 2 3" xfId="171"/>
    <cellStyle name="常规 10 2 2 3 2" xfId="172"/>
    <cellStyle name="常规 10 2 2 4" xfId="173"/>
    <cellStyle name="常规 10 2 2 4 2" xfId="174"/>
    <cellStyle name="常规 10 2 2 5" xfId="175"/>
    <cellStyle name="常规 10 2 2_Copy of 3D_SN016078_BGB-3111_Caco-2_02212014" xfId="176"/>
    <cellStyle name="常规 10 2 3" xfId="177"/>
    <cellStyle name="常规 10 2 3 2" xfId="178"/>
    <cellStyle name="常规 10 2 3 2 2" xfId="179"/>
    <cellStyle name="常规 10 2 3 3" xfId="180"/>
    <cellStyle name="常规 10 2 3 3 2" xfId="181"/>
    <cellStyle name="常规 10 2 3 4" xfId="182"/>
    <cellStyle name="常规 10 2 3 4 2" xfId="183"/>
    <cellStyle name="常规 10 2 3 5" xfId="184"/>
    <cellStyle name="常规 10 2 3_Copy of 3D_SN016078_BGB-3111_Caco-2_02212014" xfId="185"/>
    <cellStyle name="常规 10 2 4" xfId="186"/>
    <cellStyle name="常规 10 2 4 2" xfId="187"/>
    <cellStyle name="常规 10 2 4 2 2" xfId="188"/>
    <cellStyle name="常规 10 2 4 2 2 2" xfId="189"/>
    <cellStyle name="常规 10 2 4 2 3" xfId="190"/>
    <cellStyle name="常规 10 2 4 2 3 2" xfId="191"/>
    <cellStyle name="常规 10 2 4 2 4" xfId="192"/>
    <cellStyle name="常规 10 2 4 2 4 2" xfId="193"/>
    <cellStyle name="常规 10 2 4 2 5" xfId="194"/>
    <cellStyle name="常规 10 2 4 2_Copy of 3D_SN016078_BGB-3111_Caco-2_02212014" xfId="195"/>
    <cellStyle name="常规 10 2 4 3" xfId="196"/>
    <cellStyle name="常规 10 2 4 3 2" xfId="197"/>
    <cellStyle name="常规 10 2 4 4" xfId="198"/>
    <cellStyle name="常规 10 2 4 4 2" xfId="199"/>
    <cellStyle name="常规 10 2 4 5" xfId="200"/>
    <cellStyle name="常规 10 2 4 5 2" xfId="201"/>
    <cellStyle name="常规 10 2 4 6" xfId="202"/>
    <cellStyle name="常规 10 2 4 6 2" xfId="203"/>
    <cellStyle name="常规 10 2 4 7" xfId="204"/>
    <cellStyle name="常规 10 2 4_Copy of 3D_SN016078_BGB-3111_Caco-2_02212014" xfId="205"/>
    <cellStyle name="常规 10 2 5" xfId="206"/>
    <cellStyle name="常规 10 2 5 2" xfId="207"/>
    <cellStyle name="常规 10 2 6" xfId="208"/>
    <cellStyle name="常规 10 2 6 2" xfId="209"/>
    <cellStyle name="常规 10 2 7" xfId="210"/>
    <cellStyle name="常规 10 2 7 2" xfId="211"/>
    <cellStyle name="常规 10 2 7_Copy of 3D_SN016078_BGB-3111_Caco-2_02212014" xfId="212"/>
    <cellStyle name="常规 10 2 8" xfId="213"/>
    <cellStyle name="常规 10 2_Copy of 3D_SN016078_BGB-3111_Caco-2_02212014" xfId="214"/>
    <cellStyle name="常规 2" xfId="215"/>
    <cellStyle name="常规 2 10" xfId="216"/>
    <cellStyle name="常规 2 11" xfId="217"/>
    <cellStyle name="常规 2 2" xfId="218"/>
    <cellStyle name="常规 2 2 2" xfId="219"/>
    <cellStyle name="常规 2 2 2 2" xfId="220"/>
    <cellStyle name="常规 2 2 2 2 2" xfId="221"/>
    <cellStyle name="常规 2 2 2 3" xfId="222"/>
    <cellStyle name="常规 2 2 2_Copy of 3D_SN016078_BGB-3111_Caco-2_02212014" xfId="223"/>
    <cellStyle name="常规 2 2 3" xfId="224"/>
    <cellStyle name="常规 2 2 3 2" xfId="225"/>
    <cellStyle name="常规 2 2 4" xfId="226"/>
    <cellStyle name="常规 2 2 4 2" xfId="227"/>
    <cellStyle name="常规 2 2 5" xfId="228"/>
    <cellStyle name="常规 2 2 6" xfId="229"/>
    <cellStyle name="常规 2 2_Copy of 3D_SN016078_BGB-3111_Caco-2_02212014" xfId="230"/>
    <cellStyle name="常规 2 3" xfId="231"/>
    <cellStyle name="常规 2 3 2" xfId="232"/>
    <cellStyle name="常规 2 3 2 2" xfId="233"/>
    <cellStyle name="常规 2 3 3" xfId="234"/>
    <cellStyle name="常规 2 3 3 2" xfId="235"/>
    <cellStyle name="常规 2 3 4" xfId="236"/>
    <cellStyle name="常规 2 3 4 2" xfId="237"/>
    <cellStyle name="常规 2 3 5" xfId="238"/>
    <cellStyle name="常规 2 3 6" xfId="239"/>
    <cellStyle name="常规 2 3_Copy of 3D_SN016078_BGB-3111_Caco-2_02212014" xfId="240"/>
    <cellStyle name="常规 2 4" xfId="241"/>
    <cellStyle name="常规 2 4 2" xfId="242"/>
    <cellStyle name="常规 2 4 2 2" xfId="243"/>
    <cellStyle name="常规 2 4 2 2 2" xfId="244"/>
    <cellStyle name="常规 2 4 2 3" xfId="245"/>
    <cellStyle name="常规 2 4 2 3 2" xfId="246"/>
    <cellStyle name="常规 2 4 2 4" xfId="247"/>
    <cellStyle name="常规 2 4 2 4 2" xfId="248"/>
    <cellStyle name="常规 2 4 2 5" xfId="249"/>
    <cellStyle name="常规 2 4 2_Copy of 3D_SN016078_BGB-3111_Caco-2_02212014" xfId="250"/>
    <cellStyle name="常规 2 4 3" xfId="251"/>
    <cellStyle name="常规 2 4 3 2" xfId="252"/>
    <cellStyle name="常规 2 4 4" xfId="253"/>
    <cellStyle name="常规 2 4 4 2" xfId="254"/>
    <cellStyle name="常规 2 4 5" xfId="255"/>
    <cellStyle name="常规 2 4 5 2" xfId="256"/>
    <cellStyle name="常规 2 4 6" xfId="257"/>
    <cellStyle name="常规 2 4_Copy of 3D_SN016078_BGB-3111_Caco-2_02212014" xfId="258"/>
    <cellStyle name="常规 2 5" xfId="259"/>
    <cellStyle name="常规 2 5 2" xfId="260"/>
    <cellStyle name="常规 2 5 2 2" xfId="261"/>
    <cellStyle name="常规 2 5 2 2 2" xfId="262"/>
    <cellStyle name="常规 2 5 2 3" xfId="263"/>
    <cellStyle name="常规 2 5 2_Copy of 3D_SN016078_BGB-3111_Caco-2_02212014" xfId="264"/>
    <cellStyle name="常规 2 5 3" xfId="265"/>
    <cellStyle name="常规 2 5 3 2" xfId="266"/>
    <cellStyle name="常规 2 5 4" xfId="267"/>
    <cellStyle name="常规 2 5 4 2" xfId="268"/>
    <cellStyle name="常规 2 5 5" xfId="269"/>
    <cellStyle name="常规 2 5_Copy of 3D_SN016078_BGB-3111_Caco-2_02212014" xfId="270"/>
    <cellStyle name="常规 2 6" xfId="271"/>
    <cellStyle name="常规 2 6 2" xfId="272"/>
    <cellStyle name="常规 2 6 2 2" xfId="273"/>
    <cellStyle name="常规 2 6 2 2 2" xfId="274"/>
    <cellStyle name="常规 2 6 2 3" xfId="275"/>
    <cellStyle name="常规 2 6 2 3 2" xfId="276"/>
    <cellStyle name="常规 2 6 2 4" xfId="277"/>
    <cellStyle name="常规 2 6 2 4 2" xfId="278"/>
    <cellStyle name="常规 2 6 2 5" xfId="279"/>
    <cellStyle name="常规 2 6 2_Copy of 3D_SN016078_BGB-3111_Caco-2_02212014" xfId="280"/>
    <cellStyle name="常规 2 6 3" xfId="281"/>
    <cellStyle name="常规 2 6 3 2" xfId="282"/>
    <cellStyle name="常规 2 6 4" xfId="283"/>
    <cellStyle name="常规 2 6 4 2" xfId="284"/>
    <cellStyle name="常规 2 6 5" xfId="285"/>
    <cellStyle name="常规 2 6 5 2" xfId="286"/>
    <cellStyle name="常规 2 6 6" xfId="287"/>
    <cellStyle name="常规 2 6 6 2" xfId="288"/>
    <cellStyle name="常规 2 6 7" xfId="289"/>
    <cellStyle name="常规 2 6_Copy of 3D_SN016078_BGB-3111_Caco-2_02212014" xfId="290"/>
    <cellStyle name="常规 2 7" xfId="291"/>
    <cellStyle name="常规 2 7 2" xfId="292"/>
    <cellStyle name="常规 2 8" xfId="293"/>
    <cellStyle name="常规 2 8 2" xfId="294"/>
    <cellStyle name="常规 2 9" xfId="295"/>
    <cellStyle name="常规 2 9 2" xfId="296"/>
    <cellStyle name="常规 2_3D_PN016252_01202013" xfId="297"/>
    <cellStyle name="常规 3" xfId="298"/>
    <cellStyle name="常规 3 10" xfId="299"/>
    <cellStyle name="常规 3 10 2" xfId="300"/>
    <cellStyle name="常规 3 10 2 2" xfId="301"/>
    <cellStyle name="常规 3 10 3" xfId="302"/>
    <cellStyle name="常规 3 10 3 2" xfId="303"/>
    <cellStyle name="常规 3 10 4" xfId="304"/>
    <cellStyle name="常规 3 10 4 2" xfId="305"/>
    <cellStyle name="常规 3 10 5" xfId="306"/>
    <cellStyle name="常规 3 10_Copy of 3D_SN016078_BGB-3111_Caco-2_02212014" xfId="307"/>
    <cellStyle name="常规 3 11" xfId="308"/>
    <cellStyle name="常规 3 11 2" xfId="309"/>
    <cellStyle name="常规 3 11 2 2" xfId="310"/>
    <cellStyle name="常规 3 11 3" xfId="311"/>
    <cellStyle name="常规 3 11 3 2" xfId="312"/>
    <cellStyle name="常规 3 11 4" xfId="313"/>
    <cellStyle name="常规 3 11 4 2" xfId="314"/>
    <cellStyle name="常规 3 11 5" xfId="315"/>
    <cellStyle name="常规 3 11_Copy of 3D_SN016078_BGB-3111_Caco-2_02212014" xfId="316"/>
    <cellStyle name="常规 3 12" xfId="317"/>
    <cellStyle name="常规 3 12 2" xfId="318"/>
    <cellStyle name="常规 3 13" xfId="319"/>
    <cellStyle name="常规 3 13 2" xfId="320"/>
    <cellStyle name="常规 3 14" xfId="321"/>
    <cellStyle name="常规 3 14 2" xfId="322"/>
    <cellStyle name="常规 3 15" xfId="323"/>
    <cellStyle name="常规 3 16" xfId="324"/>
    <cellStyle name="常规 3 2" xfId="325"/>
    <cellStyle name="常规 3 2 2" xfId="326"/>
    <cellStyle name="常规 3 2 2 2" xfId="327"/>
    <cellStyle name="常规 3 2 2 2 2" xfId="328"/>
    <cellStyle name="常规 3 2 2 3" xfId="329"/>
    <cellStyle name="常规 3 2 2 3 2" xfId="330"/>
    <cellStyle name="常规 3 2 2 4" xfId="331"/>
    <cellStyle name="常规 3 2 2 4 2" xfId="332"/>
    <cellStyle name="常规 3 2 2 5" xfId="333"/>
    <cellStyle name="常规 3 2 2_Copy of 3D_SN016078_BGB-3111_Caco-2_02212014" xfId="334"/>
    <cellStyle name="常规 3 2 3" xfId="335"/>
    <cellStyle name="常规 3 2 3 2" xfId="336"/>
    <cellStyle name="常规 3 2 3 2 2" xfId="337"/>
    <cellStyle name="常规 3 2 3 3" xfId="338"/>
    <cellStyle name="常规 3 2 3 3 2" xfId="339"/>
    <cellStyle name="常规 3 2 3 4" xfId="340"/>
    <cellStyle name="常规 3 2 3 4 2" xfId="341"/>
    <cellStyle name="常规 3 2 3 5" xfId="342"/>
    <cellStyle name="常规 3 2 3_Copy of 3D_SN016078_BGB-3111_Caco-2_02212014" xfId="343"/>
    <cellStyle name="常规 3 2 4" xfId="344"/>
    <cellStyle name="常规 3 2 4 2" xfId="345"/>
    <cellStyle name="常规 3 2 5" xfId="346"/>
    <cellStyle name="常规 3 2 5 2" xfId="347"/>
    <cellStyle name="常规 3 2 6" xfId="348"/>
    <cellStyle name="常规 3 2 6 2" xfId="349"/>
    <cellStyle name="常规 3 2 7" xfId="350"/>
    <cellStyle name="常规 3 2_Copy of 3D_SN016078_BGB-3111_Caco-2_02212014" xfId="351"/>
    <cellStyle name="常规 3 3" xfId="352"/>
    <cellStyle name="常规 3 3 2" xfId="353"/>
    <cellStyle name="常规 3 3 2 2" xfId="354"/>
    <cellStyle name="常规 3 3 2 2 2" xfId="355"/>
    <cellStyle name="常规 3 3 2 3" xfId="356"/>
    <cellStyle name="常规 3 3 2 3 2" xfId="357"/>
    <cellStyle name="常规 3 3 2 4" xfId="358"/>
    <cellStyle name="常规 3 3 2 4 2" xfId="359"/>
    <cellStyle name="常规 3 3 2 5" xfId="360"/>
    <cellStyle name="常规 3 3 2_Copy of 3D_SN016078_BGB-3111_Caco-2_02212014" xfId="361"/>
    <cellStyle name="常规 3 3 3" xfId="362"/>
    <cellStyle name="常规 3 3 3 2" xfId="363"/>
    <cellStyle name="常规 3 3 3 2 2" xfId="364"/>
    <cellStyle name="常规 3 3 3 3" xfId="365"/>
    <cellStyle name="常规 3 3 3 3 2" xfId="366"/>
    <cellStyle name="常规 3 3 3 4" xfId="367"/>
    <cellStyle name="常规 3 3 3 4 2" xfId="368"/>
    <cellStyle name="常规 3 3 3 5" xfId="369"/>
    <cellStyle name="常规 3 3 3_Copy of 3D_SN016078_BGB-3111_Caco-2_02212014" xfId="370"/>
    <cellStyle name="常规 3 3 4" xfId="371"/>
    <cellStyle name="常规 3 3 4 2" xfId="372"/>
    <cellStyle name="常规 3 3 5" xfId="373"/>
    <cellStyle name="常规 3 3 5 2" xfId="374"/>
    <cellStyle name="常规 3 3 6" xfId="375"/>
    <cellStyle name="常规 3 3 6 2" xfId="376"/>
    <cellStyle name="常规 3 3 7" xfId="377"/>
    <cellStyle name="常规 3 3_Copy of 3D_SN016078_BGB-3111_Caco-2_02212014" xfId="378"/>
    <cellStyle name="常规 3 4" xfId="379"/>
    <cellStyle name="常规 3 4 2" xfId="380"/>
    <cellStyle name="常规 3 4 2 2" xfId="381"/>
    <cellStyle name="常规 3 4 2 2 2" xfId="382"/>
    <cellStyle name="常规 3 4 2 3" xfId="383"/>
    <cellStyle name="常规 3 4 2 3 2" xfId="384"/>
    <cellStyle name="常规 3 4 2 4" xfId="385"/>
    <cellStyle name="常规 3 4 2 4 2" xfId="386"/>
    <cellStyle name="常规 3 4 2 5" xfId="387"/>
    <cellStyle name="常规 3 4 2_Copy of 3D_SN016078_BGB-3111_Caco-2_02212014" xfId="388"/>
    <cellStyle name="常规 3 4 3" xfId="389"/>
    <cellStyle name="常规 3 4 3 2" xfId="390"/>
    <cellStyle name="常规 3 4 3 2 2" xfId="391"/>
    <cellStyle name="常规 3 4 3 3" xfId="392"/>
    <cellStyle name="常规 3 4 3 3 2" xfId="393"/>
    <cellStyle name="常规 3 4 3 4" xfId="394"/>
    <cellStyle name="常规 3 4 3 4 2" xfId="395"/>
    <cellStyle name="常规 3 4 3 5" xfId="396"/>
    <cellStyle name="常规 3 4 3_Copy of 3D_SN016078_BGB-3111_Caco-2_02212014" xfId="397"/>
    <cellStyle name="常规 3 4 4" xfId="398"/>
    <cellStyle name="常规 3 4 4 2" xfId="399"/>
    <cellStyle name="常规 3 4 5" xfId="400"/>
    <cellStyle name="常规 3 4 5 2" xfId="401"/>
    <cellStyle name="常规 3 4 6" xfId="402"/>
    <cellStyle name="常规 3 4 6 2" xfId="403"/>
    <cellStyle name="常规 3 4 7" xfId="404"/>
    <cellStyle name="常规 3 4_Copy of 3D_SN016078_BGB-3111_Caco-2_02212014" xfId="405"/>
    <cellStyle name="常规 3 5" xfId="406"/>
    <cellStyle name="常规 3 5 2" xfId="407"/>
    <cellStyle name="常规 3 5 2 2" xfId="408"/>
    <cellStyle name="常规 3 5 2 2 2" xfId="409"/>
    <cellStyle name="常规 3 5 2 3" xfId="410"/>
    <cellStyle name="常规 3 5 2 3 2" xfId="411"/>
    <cellStyle name="常规 3 5 2 4" xfId="412"/>
    <cellStyle name="常规 3 5 2 4 2" xfId="413"/>
    <cellStyle name="常规 3 5 2 5" xfId="414"/>
    <cellStyle name="常规 3 5 2_Copy of 3D_SN016078_BGB-3111_Caco-2_02212014" xfId="415"/>
    <cellStyle name="常规 3 5 3" xfId="416"/>
    <cellStyle name="常规 3 5 3 2" xfId="417"/>
    <cellStyle name="常规 3 5 3 2 2" xfId="418"/>
    <cellStyle name="常规 3 5 3 3" xfId="419"/>
    <cellStyle name="常规 3 5 3 3 2" xfId="420"/>
    <cellStyle name="常规 3 5 3 4" xfId="421"/>
    <cellStyle name="常规 3 5 3 4 2" xfId="422"/>
    <cellStyle name="常规 3 5 3 5" xfId="423"/>
    <cellStyle name="常规 3 5 3_Copy of 3D_SN016078_BGB-3111_Caco-2_02212014" xfId="424"/>
    <cellStyle name="常规 3 5 4" xfId="425"/>
    <cellStyle name="常规 3 5 4 2" xfId="426"/>
    <cellStyle name="常规 3 5 5" xfId="427"/>
    <cellStyle name="常规 3 5 5 2" xfId="428"/>
    <cellStyle name="常规 3 5 6" xfId="429"/>
    <cellStyle name="常规 3 5 6 2" xfId="430"/>
    <cellStyle name="常规 3 5 7" xfId="431"/>
    <cellStyle name="常规 3 5_Copy of 3D_SN016078_BGB-3111_Caco-2_02212014" xfId="432"/>
    <cellStyle name="常规 3 6" xfId="433"/>
    <cellStyle name="常规 3 6 2" xfId="434"/>
    <cellStyle name="常规 3 6 2 2" xfId="435"/>
    <cellStyle name="常规 3 6 2 2 2" xfId="436"/>
    <cellStyle name="常规 3 6 2 3" xfId="437"/>
    <cellStyle name="常规 3 6 2 3 2" xfId="438"/>
    <cellStyle name="常规 3 6 2 4" xfId="439"/>
    <cellStyle name="常规 3 6 2 4 2" xfId="440"/>
    <cellStyle name="常规 3 6 2 5" xfId="441"/>
    <cellStyle name="常规 3 6 2_Copy of 3D_SN016078_BGB-3111_Caco-2_02212014" xfId="442"/>
    <cellStyle name="常规 3 6 3" xfId="443"/>
    <cellStyle name="常规 3 6 3 2" xfId="444"/>
    <cellStyle name="常规 3 6 3 2 2" xfId="445"/>
    <cellStyle name="常规 3 6 3 3" xfId="446"/>
    <cellStyle name="常规 3 6 3 3 2" xfId="447"/>
    <cellStyle name="常规 3 6 3 4" xfId="448"/>
    <cellStyle name="常规 3 6 3 4 2" xfId="449"/>
    <cellStyle name="常规 3 6 3 5" xfId="450"/>
    <cellStyle name="常规 3 6 3_Copy of 3D_SN016078_BGB-3111_Caco-2_02212014" xfId="451"/>
    <cellStyle name="常规 3 6 4" xfId="452"/>
    <cellStyle name="常规 3 6 4 2" xfId="453"/>
    <cellStyle name="常规 3 6 5" xfId="454"/>
    <cellStyle name="常规 3 6 5 2" xfId="455"/>
    <cellStyle name="常规 3 6 6" xfId="456"/>
    <cellStyle name="常规 3 6 6 2" xfId="457"/>
    <cellStyle name="常规 3 6 7" xfId="458"/>
    <cellStyle name="常规 3 6_Copy of 3D_SN016078_BGB-3111_Caco-2_02212014" xfId="459"/>
    <cellStyle name="常规 3 7" xfId="460"/>
    <cellStyle name="常规 3 7 2" xfId="461"/>
    <cellStyle name="常规 3 7 2 2" xfId="462"/>
    <cellStyle name="常规 3 7 2 2 2" xfId="463"/>
    <cellStyle name="常规 3 7 2 3" xfId="464"/>
    <cellStyle name="常规 3 7 2 3 2" xfId="465"/>
    <cellStyle name="常规 3 7 2 4" xfId="466"/>
    <cellStyle name="常规 3 7 2 4 2" xfId="467"/>
    <cellStyle name="常规 3 7 2 5" xfId="468"/>
    <cellStyle name="常规 3 7 2_Copy of 3D_SN016078_BGB-3111_Caco-2_02212014" xfId="469"/>
    <cellStyle name="常规 3 7 3" xfId="470"/>
    <cellStyle name="常规 3 7 3 2" xfId="471"/>
    <cellStyle name="常规 3 7 3 2 2" xfId="472"/>
    <cellStyle name="常规 3 7 3 3" xfId="473"/>
    <cellStyle name="常规 3 7 3 3 2" xfId="474"/>
    <cellStyle name="常规 3 7 3 4" xfId="475"/>
    <cellStyle name="常规 3 7 3 4 2" xfId="476"/>
    <cellStyle name="常规 3 7 3 5" xfId="477"/>
    <cellStyle name="常规 3 7 3_Copy of 3D_SN016078_BGB-3111_Caco-2_02212014" xfId="478"/>
    <cellStyle name="常规 3 7 4" xfId="479"/>
    <cellStyle name="常规 3 7 4 2" xfId="480"/>
    <cellStyle name="常规 3 7 5" xfId="481"/>
    <cellStyle name="常规 3 7 5 2" xfId="482"/>
    <cellStyle name="常规 3 7 6" xfId="483"/>
    <cellStyle name="常规 3 7 6 2" xfId="484"/>
    <cellStyle name="常规 3 7 7" xfId="485"/>
    <cellStyle name="常规 3 7_Copy of 3D_SN016078_BGB-3111_Caco-2_02212014" xfId="486"/>
    <cellStyle name="常规 3 8" xfId="487"/>
    <cellStyle name="常规 3 8 2" xfId="488"/>
    <cellStyle name="常规 3 8 2 2" xfId="489"/>
    <cellStyle name="常规 3 8 2 2 2" xfId="490"/>
    <cellStyle name="常规 3 8 2 3" xfId="491"/>
    <cellStyle name="常规 3 8 2 3 2" xfId="492"/>
    <cellStyle name="常规 3 8 2 4" xfId="493"/>
    <cellStyle name="常规 3 8 2 4 2" xfId="494"/>
    <cellStyle name="常规 3 8 2 5" xfId="495"/>
    <cellStyle name="常规 3 8 2_Copy of 3D_SN016078_BGB-3111_Caco-2_02212014" xfId="496"/>
    <cellStyle name="常规 3 8 3" xfId="497"/>
    <cellStyle name="常规 3 8 3 2" xfId="498"/>
    <cellStyle name="常规 3 8 3 2 2" xfId="499"/>
    <cellStyle name="常规 3 8 3 3" xfId="500"/>
    <cellStyle name="常规 3 8 3 3 2" xfId="501"/>
    <cellStyle name="常规 3 8 3 4" xfId="502"/>
    <cellStyle name="常规 3 8 3 4 2" xfId="503"/>
    <cellStyle name="常规 3 8 3 5" xfId="504"/>
    <cellStyle name="常规 3 8 3_Copy of 3D_SN016078_BGB-3111_Caco-2_02212014" xfId="505"/>
    <cellStyle name="常规 3 8 4" xfId="506"/>
    <cellStyle name="常规 3 8 4 2" xfId="507"/>
    <cellStyle name="常规 3 8 5" xfId="508"/>
    <cellStyle name="常规 3 8 5 2" xfId="509"/>
    <cellStyle name="常规 3 8 6" xfId="510"/>
    <cellStyle name="常规 3 8 6 2" xfId="511"/>
    <cellStyle name="常规 3 8 7" xfId="512"/>
    <cellStyle name="常规 3 8_Copy of 3D_SN016078_BGB-3111_Caco-2_02212014" xfId="513"/>
    <cellStyle name="常规 3 9" xfId="514"/>
    <cellStyle name="常规 3 9 2" xfId="515"/>
    <cellStyle name="常规 3 9 2 2" xfId="516"/>
    <cellStyle name="常规 3 9 2 2 2" xfId="517"/>
    <cellStyle name="常规 3 9 2 3" xfId="518"/>
    <cellStyle name="常规 3 9 2 3 2" xfId="519"/>
    <cellStyle name="常规 3 9 2 4" xfId="520"/>
    <cellStyle name="常规 3 9 2 4 2" xfId="521"/>
    <cellStyle name="常规 3 9 2 5" xfId="522"/>
    <cellStyle name="常规 3 9 2_Copy of 3D_SN016078_BGB-3111_Caco-2_02212014" xfId="523"/>
    <cellStyle name="常规 3 9 3" xfId="524"/>
    <cellStyle name="常规 3 9 3 2" xfId="525"/>
    <cellStyle name="常规 3 9 3 2 2" xfId="526"/>
    <cellStyle name="常规 3 9 3 3" xfId="527"/>
    <cellStyle name="常规 3 9 3 3 2" xfId="528"/>
    <cellStyle name="常规 3 9 3 4" xfId="529"/>
    <cellStyle name="常规 3 9 3 4 2" xfId="530"/>
    <cellStyle name="常规 3 9 3 5" xfId="531"/>
    <cellStyle name="常规 3 9 3_Copy of 3D_SN016078_BGB-3111_Caco-2_02212014" xfId="532"/>
    <cellStyle name="常规 3 9 4" xfId="533"/>
    <cellStyle name="常规 3 9 4 2" xfId="534"/>
    <cellStyle name="常规 3 9 5" xfId="535"/>
    <cellStyle name="常规 3 9 5 2" xfId="536"/>
    <cellStyle name="常规 3 9 6" xfId="537"/>
    <cellStyle name="常规 3 9 6 2" xfId="538"/>
    <cellStyle name="常规 3 9 7" xfId="539"/>
    <cellStyle name="常规 3 9_Copy of 3D_SN016078_BGB-3111_Caco-2_02212014" xfId="540"/>
    <cellStyle name="常规 3_Copy of 3D_SN016078_BGB-3111_Caco-2_02212014" xfId="541"/>
    <cellStyle name="常规 4" xfId="542"/>
    <cellStyle name="常规 4 10" xfId="543"/>
    <cellStyle name="常规 4 10 2" xfId="544"/>
    <cellStyle name="常规 4 11" xfId="545"/>
    <cellStyle name="常规 4 11 2" xfId="546"/>
    <cellStyle name="常规 4 12" xfId="547"/>
    <cellStyle name="常规 4 12 2" xfId="548"/>
    <cellStyle name="常规 4 13" xfId="549"/>
    <cellStyle name="常规 4 2" xfId="550"/>
    <cellStyle name="常规 4 2 2" xfId="551"/>
    <cellStyle name="常规 4 2 2 2" xfId="552"/>
    <cellStyle name="常规 4 2 2 2 2" xfId="553"/>
    <cellStyle name="常规 4 2 2 3" xfId="554"/>
    <cellStyle name="常规 4 2 2 3 2" xfId="555"/>
    <cellStyle name="常规 4 2 2 4" xfId="556"/>
    <cellStyle name="常规 4 2 2 4 2" xfId="557"/>
    <cellStyle name="常规 4 2 2 5" xfId="558"/>
    <cellStyle name="常规 4 2 2_Copy of 3D_SN016078_BGB-3111_Caco-2_02212014" xfId="559"/>
    <cellStyle name="常规 4 2 3" xfId="560"/>
    <cellStyle name="常规 4 2 3 2" xfId="561"/>
    <cellStyle name="常规 4 2 3 2 2" xfId="562"/>
    <cellStyle name="常规 4 2 3 3" xfId="563"/>
    <cellStyle name="常规 4 2 3 3 2" xfId="564"/>
    <cellStyle name="常规 4 2 3 4" xfId="565"/>
    <cellStyle name="常规 4 2 3 4 2" xfId="566"/>
    <cellStyle name="常规 4 2 3 5" xfId="567"/>
    <cellStyle name="常规 4 2 3_Copy of 3D_SN016078_BGB-3111_Caco-2_02212014" xfId="568"/>
    <cellStyle name="常规 4 2 4" xfId="569"/>
    <cellStyle name="常规 4 2 4 2" xfId="570"/>
    <cellStyle name="常规 4 2 5" xfId="571"/>
    <cellStyle name="常规 4 2 5 2" xfId="572"/>
    <cellStyle name="常规 4 2 6" xfId="573"/>
    <cellStyle name="常规 4 2 6 2" xfId="574"/>
    <cellStyle name="常规 4 2 7" xfId="575"/>
    <cellStyle name="常规 4 2_Copy of 3D_SN016078_BGB-3111_Caco-2_02212014" xfId="576"/>
    <cellStyle name="常规 4 3" xfId="577"/>
    <cellStyle name="常规 4 3 2" xfId="578"/>
    <cellStyle name="常规 4 3 2 2" xfId="579"/>
    <cellStyle name="常规 4 3 2 2 2" xfId="580"/>
    <cellStyle name="常规 4 3 2 3" xfId="581"/>
    <cellStyle name="常规 4 3 2 3 2" xfId="582"/>
    <cellStyle name="常规 4 3 2 4" xfId="583"/>
    <cellStyle name="常规 4 3 2 4 2" xfId="584"/>
    <cellStyle name="常规 4 3 2 5" xfId="585"/>
    <cellStyle name="常规 4 3 2_Copy of 3D_SN016078_BGB-3111_Caco-2_02212014" xfId="586"/>
    <cellStyle name="常规 4 3 3" xfId="587"/>
    <cellStyle name="常规 4 3 3 2" xfId="588"/>
    <cellStyle name="常规 4 3 3 2 2" xfId="589"/>
    <cellStyle name="常规 4 3 3 3" xfId="590"/>
    <cellStyle name="常规 4 3 3 3 2" xfId="591"/>
    <cellStyle name="常规 4 3 3 4" xfId="592"/>
    <cellStyle name="常规 4 3 3 4 2" xfId="593"/>
    <cellStyle name="常规 4 3 3 5" xfId="594"/>
    <cellStyle name="常规 4 3 3_Copy of 3D_SN016078_BGB-3111_Caco-2_02212014" xfId="595"/>
    <cellStyle name="常规 4 3 4" xfId="596"/>
    <cellStyle name="常规 4 3 4 2" xfId="597"/>
    <cellStyle name="常规 4 3 5" xfId="598"/>
    <cellStyle name="常规 4 3 5 2" xfId="599"/>
    <cellStyle name="常规 4 3 6" xfId="600"/>
    <cellStyle name="常规 4 3 6 2" xfId="601"/>
    <cellStyle name="常规 4 3 7" xfId="602"/>
    <cellStyle name="常规 4 3_Copy of 3D_SN016078_BGB-3111_Caco-2_02212014" xfId="603"/>
    <cellStyle name="常规 4 4" xfId="604"/>
    <cellStyle name="常规 4 4 2" xfId="605"/>
    <cellStyle name="常规 4 4 2 2" xfId="606"/>
    <cellStyle name="常规 4 4 2 2 2" xfId="607"/>
    <cellStyle name="常规 4 4 2 3" xfId="608"/>
    <cellStyle name="常规 4 4 2 3 2" xfId="609"/>
    <cellStyle name="常规 4 4 2 4" xfId="610"/>
    <cellStyle name="常规 4 4 2 4 2" xfId="611"/>
    <cellStyle name="常规 4 4 2 5" xfId="612"/>
    <cellStyle name="常规 4 4 2_Copy of 3D_SN016078_BGB-3111_Caco-2_02212014" xfId="613"/>
    <cellStyle name="常规 4 4 3" xfId="614"/>
    <cellStyle name="常规 4 4 3 2" xfId="615"/>
    <cellStyle name="常规 4 4 3 2 2" xfId="616"/>
    <cellStyle name="常规 4 4 3 3" xfId="617"/>
    <cellStyle name="常规 4 4 3 3 2" xfId="618"/>
    <cellStyle name="常规 4 4 3 4" xfId="619"/>
    <cellStyle name="常规 4 4 3 4 2" xfId="620"/>
    <cellStyle name="常规 4 4 3 5" xfId="621"/>
    <cellStyle name="常规 4 4 3_Copy of 3D_SN016078_BGB-3111_Caco-2_02212014" xfId="622"/>
    <cellStyle name="常规 4 4 4" xfId="623"/>
    <cellStyle name="常规 4 4 4 2" xfId="624"/>
    <cellStyle name="常规 4 4 5" xfId="625"/>
    <cellStyle name="常规 4 4 5 2" xfId="626"/>
    <cellStyle name="常规 4 4 6" xfId="627"/>
    <cellStyle name="常规 4 4 6 2" xfId="628"/>
    <cellStyle name="常规 4 4 7" xfId="629"/>
    <cellStyle name="常规 4 4_Copy of 3D_SN016078_BGB-3111_Caco-2_02212014" xfId="630"/>
    <cellStyle name="常规 4 5" xfId="631"/>
    <cellStyle name="常规 4 5 2" xfId="632"/>
    <cellStyle name="常规 4 5 2 2" xfId="633"/>
    <cellStyle name="常规 4 5 2 2 2" xfId="634"/>
    <cellStyle name="常规 4 5 2 3" xfId="635"/>
    <cellStyle name="常规 4 5 2 3 2" xfId="636"/>
    <cellStyle name="常规 4 5 2 4" xfId="637"/>
    <cellStyle name="常规 4 5 2 4 2" xfId="638"/>
    <cellStyle name="常规 4 5 2 5" xfId="639"/>
    <cellStyle name="常规 4 5 2_Copy of 3D_SN016078_BGB-3111_Caco-2_02212014" xfId="640"/>
    <cellStyle name="常规 4 5 3" xfId="641"/>
    <cellStyle name="常规 4 5 3 2" xfId="642"/>
    <cellStyle name="常规 4 5 3 2 2" xfId="643"/>
    <cellStyle name="常规 4 5 3 3" xfId="644"/>
    <cellStyle name="常规 4 5 3 3 2" xfId="645"/>
    <cellStyle name="常规 4 5 3 4" xfId="646"/>
    <cellStyle name="常规 4 5 3 4 2" xfId="647"/>
    <cellStyle name="常规 4 5 3 5" xfId="648"/>
    <cellStyle name="常规 4 5 3_Copy of 3D_SN016078_BGB-3111_Caco-2_02212014" xfId="649"/>
    <cellStyle name="常规 4 5 4" xfId="650"/>
    <cellStyle name="常规 4 5 4 2" xfId="651"/>
    <cellStyle name="常规 4 5 5" xfId="652"/>
    <cellStyle name="常规 4 5 5 2" xfId="653"/>
    <cellStyle name="常规 4 5 6" xfId="654"/>
    <cellStyle name="常规 4 5 6 2" xfId="655"/>
    <cellStyle name="常规 4 5 7" xfId="656"/>
    <cellStyle name="常规 4 5_Copy of 3D_SN016078_BGB-3111_Caco-2_02212014" xfId="657"/>
    <cellStyle name="常规 4 6" xfId="658"/>
    <cellStyle name="常规 4 6 2" xfId="659"/>
    <cellStyle name="常规 4 6 2 2" xfId="660"/>
    <cellStyle name="常规 4 6 2 2 2" xfId="661"/>
    <cellStyle name="常规 4 6 2 3" xfId="662"/>
    <cellStyle name="常规 4 6 2 3 2" xfId="663"/>
    <cellStyle name="常规 4 6 2 4" xfId="664"/>
    <cellStyle name="常规 4 6 2 4 2" xfId="665"/>
    <cellStyle name="常规 4 6 2 5" xfId="666"/>
    <cellStyle name="常规 4 6 2_Copy of 3D_SN016078_BGB-3111_Caco-2_02212014" xfId="667"/>
    <cellStyle name="常规 4 6 3" xfId="668"/>
    <cellStyle name="常规 4 6 3 2" xfId="669"/>
    <cellStyle name="常规 4 6 3 2 2" xfId="670"/>
    <cellStyle name="常规 4 6 3 3" xfId="671"/>
    <cellStyle name="常规 4 6 3 3 2" xfId="672"/>
    <cellStyle name="常规 4 6 3 4" xfId="673"/>
    <cellStyle name="常规 4 6 3 4 2" xfId="674"/>
    <cellStyle name="常规 4 6 3 5" xfId="675"/>
    <cellStyle name="常规 4 6 3_Copy of 3D_SN016078_BGB-3111_Caco-2_02212014" xfId="676"/>
    <cellStyle name="常规 4 6 4" xfId="677"/>
    <cellStyle name="常规 4 6 4 2" xfId="678"/>
    <cellStyle name="常规 4 6 5" xfId="679"/>
    <cellStyle name="常规 4 6 5 2" xfId="680"/>
    <cellStyle name="常规 4 6 6" xfId="681"/>
    <cellStyle name="常规 4 6 6 2" xfId="682"/>
    <cellStyle name="常规 4 6 7" xfId="683"/>
    <cellStyle name="常规 4 6_Copy of 3D_SN016078_BGB-3111_Caco-2_02212014" xfId="684"/>
    <cellStyle name="常规 4 7" xfId="685"/>
    <cellStyle name="常规 4 7 2" xfId="686"/>
    <cellStyle name="常规 4 7 2 2" xfId="687"/>
    <cellStyle name="常规 4 7 2 2 2" xfId="688"/>
    <cellStyle name="常规 4 7 2 3" xfId="689"/>
    <cellStyle name="常规 4 7 2 3 2" xfId="690"/>
    <cellStyle name="常规 4 7 2 4" xfId="691"/>
    <cellStyle name="常规 4 7 2 4 2" xfId="692"/>
    <cellStyle name="常规 4 7 2 5" xfId="693"/>
    <cellStyle name="常规 4 7 2_Copy of 3D_SN016078_BGB-3111_Caco-2_02212014" xfId="694"/>
    <cellStyle name="常规 4 7 3" xfId="695"/>
    <cellStyle name="常规 4 7 3 2" xfId="696"/>
    <cellStyle name="常规 4 7 3 2 2" xfId="697"/>
    <cellStyle name="常规 4 7 3 3" xfId="698"/>
    <cellStyle name="常规 4 7 3 3 2" xfId="699"/>
    <cellStyle name="常规 4 7 3 4" xfId="700"/>
    <cellStyle name="常规 4 7 3 4 2" xfId="701"/>
    <cellStyle name="常规 4 7 3 5" xfId="702"/>
    <cellStyle name="常规 4 7 3_Copy of 3D_SN016078_BGB-3111_Caco-2_02212014" xfId="703"/>
    <cellStyle name="常规 4 7 4" xfId="704"/>
    <cellStyle name="常规 4 7 4 2" xfId="705"/>
    <cellStyle name="常规 4 7 5" xfId="706"/>
    <cellStyle name="常规 4 7 5 2" xfId="707"/>
    <cellStyle name="常规 4 7 6" xfId="708"/>
    <cellStyle name="常规 4 7 6 2" xfId="709"/>
    <cellStyle name="常规 4 7 7" xfId="710"/>
    <cellStyle name="常规 4 7_Copy of 3D_SN016078_BGB-3111_Caco-2_02212014" xfId="711"/>
    <cellStyle name="常规 4 8" xfId="712"/>
    <cellStyle name="常规 4 8 2" xfId="713"/>
    <cellStyle name="常规 4 8 2 2" xfId="714"/>
    <cellStyle name="常规 4 8 2 2 2" xfId="715"/>
    <cellStyle name="常规 4 8 2 3" xfId="716"/>
    <cellStyle name="常规 4 8 2 3 2" xfId="717"/>
    <cellStyle name="常规 4 8 2 4" xfId="718"/>
    <cellStyle name="常规 4 8 2 4 2" xfId="719"/>
    <cellStyle name="常规 4 8 2 5" xfId="720"/>
    <cellStyle name="常规 4 8 2_Copy of 3D_SN016078_BGB-3111_Caco-2_02212014" xfId="721"/>
    <cellStyle name="常规 4 8 3" xfId="722"/>
    <cellStyle name="常规 4 8 3 2" xfId="723"/>
    <cellStyle name="常规 4 8 3 2 2" xfId="724"/>
    <cellStyle name="常规 4 8 3 3" xfId="725"/>
    <cellStyle name="常规 4 8 3 3 2" xfId="726"/>
    <cellStyle name="常规 4 8 3 4" xfId="727"/>
    <cellStyle name="常规 4 8 3 4 2" xfId="728"/>
    <cellStyle name="常规 4 8 3 5" xfId="729"/>
    <cellStyle name="常规 4 8 3_Copy of 3D_SN016078_BGB-3111_Caco-2_02212014" xfId="730"/>
    <cellStyle name="常规 4 8 4" xfId="731"/>
    <cellStyle name="常规 4 8 4 2" xfId="732"/>
    <cellStyle name="常规 4 8 5" xfId="733"/>
    <cellStyle name="常规 4 8 5 2" xfId="734"/>
    <cellStyle name="常规 4 8 6" xfId="735"/>
    <cellStyle name="常规 4 8 6 2" xfId="736"/>
    <cellStyle name="常规 4 8 7" xfId="737"/>
    <cellStyle name="常规 4 8_Copy of 3D_SN016078_BGB-3111_Caco-2_02212014" xfId="738"/>
    <cellStyle name="常规 4 9" xfId="739"/>
    <cellStyle name="常规 4 9 2" xfId="740"/>
    <cellStyle name="常规 4 9 2 2" xfId="741"/>
    <cellStyle name="常规 4 9 3" xfId="742"/>
    <cellStyle name="常规 4 9 3 2" xfId="743"/>
    <cellStyle name="常规 4 9 4" xfId="744"/>
    <cellStyle name="常规 4 9 4 2" xfId="745"/>
    <cellStyle name="常规 4 9 5" xfId="746"/>
    <cellStyle name="常规 4 9_Copy of 3D_SN016078_BGB-3111_Caco-2_02212014" xfId="747"/>
    <cellStyle name="常规 4_Copy of 3D_SN016078_BGB-3111_Caco-2_02212014" xfId="748"/>
    <cellStyle name="常规 5" xfId="749"/>
    <cellStyle name="常规 5 10" xfId="750"/>
    <cellStyle name="常规 5 10 2" xfId="751"/>
    <cellStyle name="常规 5 11" xfId="752"/>
    <cellStyle name="常规 5 2" xfId="753"/>
    <cellStyle name="常规 5 2 2" xfId="754"/>
    <cellStyle name="常规 5 2 2 2" xfId="755"/>
    <cellStyle name="常规 5 2 2 2 2" xfId="756"/>
    <cellStyle name="常规 5 2 2 3" xfId="757"/>
    <cellStyle name="常规 5 2 2 3 2" xfId="758"/>
    <cellStyle name="常规 5 2 2 4" xfId="759"/>
    <cellStyle name="常规 5 2 2 4 2" xfId="760"/>
    <cellStyle name="常规 5 2 2 5" xfId="761"/>
    <cellStyle name="常规 5 2 2_Copy of 3D_SN016078_BGB-3111_Caco-2_02212014" xfId="762"/>
    <cellStyle name="常规 5 2 3" xfId="763"/>
    <cellStyle name="常规 5 2 3 2" xfId="764"/>
    <cellStyle name="常规 5 2 3 2 2" xfId="765"/>
    <cellStyle name="常规 5 2 3 3" xfId="766"/>
    <cellStyle name="常规 5 2 3 3 2" xfId="767"/>
    <cellStyle name="常规 5 2 3 4" xfId="768"/>
    <cellStyle name="常规 5 2 3 4 2" xfId="769"/>
    <cellStyle name="常规 5 2 3 5" xfId="770"/>
    <cellStyle name="常规 5 2 3_Copy of 3D_SN016078_BGB-3111_Caco-2_02212014" xfId="771"/>
    <cellStyle name="常规 5 2 4" xfId="772"/>
    <cellStyle name="常规 5 2 4 2" xfId="773"/>
    <cellStyle name="常规 5 2 5" xfId="774"/>
    <cellStyle name="常规 5 2 5 2" xfId="775"/>
    <cellStyle name="常规 5 2 6" xfId="776"/>
    <cellStyle name="常规 5 2 6 2" xfId="777"/>
    <cellStyle name="常规 5 2 7" xfId="778"/>
    <cellStyle name="常规 5 2_Copy of 3D_SN016078_BGB-3111_Caco-2_02212014" xfId="779"/>
    <cellStyle name="常规 5 3" xfId="780"/>
    <cellStyle name="常规 5 3 2" xfId="781"/>
    <cellStyle name="常规 5 3 2 2" xfId="782"/>
    <cellStyle name="常规 5 3 2 2 2" xfId="783"/>
    <cellStyle name="常规 5 3 2 3" xfId="784"/>
    <cellStyle name="常规 5 3 2 3 2" xfId="785"/>
    <cellStyle name="常规 5 3 2 4" xfId="786"/>
    <cellStyle name="常规 5 3 2 4 2" xfId="787"/>
    <cellStyle name="常规 5 3 2 5" xfId="788"/>
    <cellStyle name="常规 5 3 2_Copy of 3D_SN016078_BGB-3111_Caco-2_02212014" xfId="789"/>
    <cellStyle name="常规 5 3 3" xfId="790"/>
    <cellStyle name="常规 5 3 3 2" xfId="791"/>
    <cellStyle name="常规 5 3 3 2 2" xfId="792"/>
    <cellStyle name="常规 5 3 3 3" xfId="793"/>
    <cellStyle name="常规 5 3 3 3 2" xfId="794"/>
    <cellStyle name="常规 5 3 3 4" xfId="795"/>
    <cellStyle name="常规 5 3 3 4 2" xfId="796"/>
    <cellStyle name="常规 5 3 3 5" xfId="797"/>
    <cellStyle name="常规 5 3 3_Copy of 3D_SN016078_BGB-3111_Caco-2_02212014" xfId="798"/>
    <cellStyle name="常规 5 3 4" xfId="799"/>
    <cellStyle name="常规 5 3 4 2" xfId="800"/>
    <cellStyle name="常规 5 3 5" xfId="801"/>
    <cellStyle name="常规 5 3 5 2" xfId="802"/>
    <cellStyle name="常规 5 3 6" xfId="803"/>
    <cellStyle name="常规 5 3 6 2" xfId="804"/>
    <cellStyle name="常规 5 3 7" xfId="805"/>
    <cellStyle name="常规 5 3_Copy of 3D_SN016078_BGB-3111_Caco-2_02212014" xfId="806"/>
    <cellStyle name="常规 5 4" xfId="807"/>
    <cellStyle name="常规 5 4 2" xfId="808"/>
    <cellStyle name="常规 5 4 2 2" xfId="809"/>
    <cellStyle name="常规 5 4 2 2 2" xfId="810"/>
    <cellStyle name="常规 5 4 2 3" xfId="811"/>
    <cellStyle name="常规 5 4 2 3 2" xfId="812"/>
    <cellStyle name="常规 5 4 2 4" xfId="813"/>
    <cellStyle name="常规 5 4 2 4 2" xfId="814"/>
    <cellStyle name="常规 5 4 2 5" xfId="815"/>
    <cellStyle name="常规 5 4 2_Copy of 3D_SN016078_BGB-3111_Caco-2_02212014" xfId="816"/>
    <cellStyle name="常规 5 4 3" xfId="817"/>
    <cellStyle name="常规 5 4 3 2" xfId="818"/>
    <cellStyle name="常规 5 4 3 2 2" xfId="819"/>
    <cellStyle name="常规 5 4 3 3" xfId="820"/>
    <cellStyle name="常规 5 4 3 3 2" xfId="821"/>
    <cellStyle name="常规 5 4 3 4" xfId="822"/>
    <cellStyle name="常规 5 4 3 4 2" xfId="823"/>
    <cellStyle name="常规 5 4 3 5" xfId="824"/>
    <cellStyle name="常规 5 4 3_Copy of 3D_SN016078_BGB-3111_Caco-2_02212014" xfId="825"/>
    <cellStyle name="常规 5 4 4" xfId="826"/>
    <cellStyle name="常规 5 4 4 2" xfId="827"/>
    <cellStyle name="常规 5 4 5" xfId="828"/>
    <cellStyle name="常规 5 4 5 2" xfId="829"/>
    <cellStyle name="常规 5 4 6" xfId="830"/>
    <cellStyle name="常规 5 4 6 2" xfId="831"/>
    <cellStyle name="常规 5 4 7" xfId="832"/>
    <cellStyle name="常规 5 4_Copy of 3D_SN016078_BGB-3111_Caco-2_02212014" xfId="833"/>
    <cellStyle name="常规 5 5" xfId="834"/>
    <cellStyle name="常规 5 5 2" xfId="835"/>
    <cellStyle name="常规 5 5 2 2" xfId="836"/>
    <cellStyle name="常规 5 5 2 2 2" xfId="837"/>
    <cellStyle name="常规 5 5 2 3" xfId="838"/>
    <cellStyle name="常规 5 5 2 3 2" xfId="839"/>
    <cellStyle name="常规 5 5 2 4" xfId="840"/>
    <cellStyle name="常规 5 5 2 4 2" xfId="841"/>
    <cellStyle name="常规 5 5 2 5" xfId="842"/>
    <cellStyle name="常规 5 5 2_Copy of 3D_SN016078_BGB-3111_Caco-2_02212014" xfId="843"/>
    <cellStyle name="常规 5 5 3" xfId="844"/>
    <cellStyle name="常规 5 5 3 2" xfId="845"/>
    <cellStyle name="常规 5 5 3 2 2" xfId="846"/>
    <cellStyle name="常规 5 5 3 3" xfId="847"/>
    <cellStyle name="常规 5 5 3 3 2" xfId="848"/>
    <cellStyle name="常规 5 5 3 4" xfId="849"/>
    <cellStyle name="常规 5 5 3 4 2" xfId="850"/>
    <cellStyle name="常规 5 5 3 5" xfId="851"/>
    <cellStyle name="常规 5 5 3_Copy of 3D_SN016078_BGB-3111_Caco-2_02212014" xfId="852"/>
    <cellStyle name="常规 5 5 4" xfId="853"/>
    <cellStyle name="常规 5 5 4 2" xfId="854"/>
    <cellStyle name="常规 5 5 5" xfId="855"/>
    <cellStyle name="常规 5 5 5 2" xfId="856"/>
    <cellStyle name="常规 5 5 6" xfId="857"/>
    <cellStyle name="常规 5 5 6 2" xfId="858"/>
    <cellStyle name="常规 5 5 7" xfId="859"/>
    <cellStyle name="常规 5 5_Copy of 3D_SN016078_BGB-3111_Caco-2_02212014" xfId="860"/>
    <cellStyle name="常规 5 6" xfId="861"/>
    <cellStyle name="常规 5 6 2" xfId="862"/>
    <cellStyle name="常规 5 6 2 2" xfId="863"/>
    <cellStyle name="常规 5 6 2 2 2" xfId="864"/>
    <cellStyle name="常规 5 6 2 3" xfId="865"/>
    <cellStyle name="常规 5 6 2 3 2" xfId="866"/>
    <cellStyle name="常规 5 6 2 4" xfId="867"/>
    <cellStyle name="常规 5 6 2 4 2" xfId="868"/>
    <cellStyle name="常规 5 6 2 5" xfId="869"/>
    <cellStyle name="常规 5 6 2_Copy of 3D_SN016078_BGB-3111_Caco-2_02212014" xfId="870"/>
    <cellStyle name="常规 5 6 3" xfId="871"/>
    <cellStyle name="常规 5 6 3 2" xfId="872"/>
    <cellStyle name="常规 5 6 3 2 2" xfId="873"/>
    <cellStyle name="常规 5 6 3 3" xfId="874"/>
    <cellStyle name="常规 5 6 3 3 2" xfId="875"/>
    <cellStyle name="常规 5 6 3 4" xfId="876"/>
    <cellStyle name="常规 5 6 3 4 2" xfId="877"/>
    <cellStyle name="常规 5 6 3 5" xfId="878"/>
    <cellStyle name="常规 5 6 3_Copy of 3D_SN016078_BGB-3111_Caco-2_02212014" xfId="879"/>
    <cellStyle name="常规 5 6 4" xfId="880"/>
    <cellStyle name="常规 5 6 4 2" xfId="881"/>
    <cellStyle name="常规 5 6 5" xfId="882"/>
    <cellStyle name="常规 5 6 5 2" xfId="883"/>
    <cellStyle name="常规 5 6 6" xfId="884"/>
    <cellStyle name="常规 5 6 6 2" xfId="885"/>
    <cellStyle name="常规 5 6 7" xfId="886"/>
    <cellStyle name="常规 5 6_Copy of 3D_SN016078_BGB-3111_Caco-2_02212014" xfId="887"/>
    <cellStyle name="常规 5 7" xfId="888"/>
    <cellStyle name="常规 5 7 2" xfId="889"/>
    <cellStyle name="常规 5 7 2 2" xfId="890"/>
    <cellStyle name="常规 5 7 2 2 2" xfId="891"/>
    <cellStyle name="常规 5 7 2 3" xfId="892"/>
    <cellStyle name="常规 5 7 2 3 2" xfId="893"/>
    <cellStyle name="常规 5 7 2 4" xfId="894"/>
    <cellStyle name="常规 5 7 2 4 2" xfId="895"/>
    <cellStyle name="常规 5 7 2 5" xfId="896"/>
    <cellStyle name="常规 5 7 2_Copy of 3D_SN016078_BGB-3111_Caco-2_02212014" xfId="897"/>
    <cellStyle name="常规 5 7 3" xfId="898"/>
    <cellStyle name="常规 5 7 3 2" xfId="899"/>
    <cellStyle name="常规 5 7 3 2 2" xfId="900"/>
    <cellStyle name="常规 5 7 3 3" xfId="901"/>
    <cellStyle name="常规 5 7 3 3 2" xfId="902"/>
    <cellStyle name="常规 5 7 3 4" xfId="903"/>
    <cellStyle name="常规 5 7 3 4 2" xfId="904"/>
    <cellStyle name="常规 5 7 3 5" xfId="905"/>
    <cellStyle name="常规 5 7 3_Copy of 3D_SN016078_BGB-3111_Caco-2_02212014" xfId="906"/>
    <cellStyle name="常规 5 7 4" xfId="907"/>
    <cellStyle name="常规 5 7 4 2" xfId="908"/>
    <cellStyle name="常规 5 7 5" xfId="909"/>
    <cellStyle name="常规 5 7 5 2" xfId="910"/>
    <cellStyle name="常规 5 7 6" xfId="911"/>
    <cellStyle name="常规 5 7 6 2" xfId="912"/>
    <cellStyle name="常规 5 7 7" xfId="913"/>
    <cellStyle name="常规 5 7_Copy of 3D_SN016078_BGB-3111_Caco-2_02212014" xfId="914"/>
    <cellStyle name="常规 5 8" xfId="915"/>
    <cellStyle name="常规 5 8 2" xfId="916"/>
    <cellStyle name="常规 5 9" xfId="917"/>
    <cellStyle name="常规 5 9 2" xfId="918"/>
    <cellStyle name="常规 5_Copy of 3D_SN016078_BGB-3111_Caco-2_02212014" xfId="919"/>
    <cellStyle name="常规 6" xfId="920"/>
    <cellStyle name="常规 6 10" xfId="921"/>
    <cellStyle name="常规 6 2" xfId="922"/>
    <cellStyle name="常规 6 2 2" xfId="923"/>
    <cellStyle name="常规 6 2 2 2" xfId="924"/>
    <cellStyle name="常规 6 2 2 2 2" xfId="925"/>
    <cellStyle name="常规 6 2 2 3" xfId="926"/>
    <cellStyle name="常规 6 2 2 3 2" xfId="927"/>
    <cellStyle name="常规 6 2 2 4" xfId="928"/>
    <cellStyle name="常规 6 2 2 4 2" xfId="929"/>
    <cellStyle name="常规 6 2 2 5" xfId="930"/>
    <cellStyle name="常规 6 2 2_Copy of 3D_SN016078_BGB-3111_Caco-2_02212014" xfId="931"/>
    <cellStyle name="常规 6 2 3" xfId="932"/>
    <cellStyle name="常规 6 2 3 2" xfId="933"/>
    <cellStyle name="常规 6 2 3 2 2" xfId="934"/>
    <cellStyle name="常规 6 2 3 3" xfId="935"/>
    <cellStyle name="常规 6 2 3 3 2" xfId="936"/>
    <cellStyle name="常规 6 2 3 4" xfId="937"/>
    <cellStyle name="常规 6 2 3 4 2" xfId="938"/>
    <cellStyle name="常规 6 2 3 5" xfId="939"/>
    <cellStyle name="常规 6 2 3_Copy of 3D_SN016078_BGB-3111_Caco-2_02212014" xfId="940"/>
    <cellStyle name="常规 6 2 4" xfId="941"/>
    <cellStyle name="常规 6 2 4 2" xfId="942"/>
    <cellStyle name="常规 6 2 5" xfId="943"/>
    <cellStyle name="常规 6 2 5 2" xfId="944"/>
    <cellStyle name="常规 6 2 6" xfId="945"/>
    <cellStyle name="常规 6 2 6 2" xfId="946"/>
    <cellStyle name="常规 6 2 7" xfId="947"/>
    <cellStyle name="常规 6 2_Copy of 3D_SN016078_BGB-3111_Caco-2_02212014" xfId="948"/>
    <cellStyle name="常规 6 3" xfId="949"/>
    <cellStyle name="常规 6 3 2" xfId="950"/>
    <cellStyle name="常规 6 3 2 2" xfId="951"/>
    <cellStyle name="常规 6 3 2 2 2" xfId="952"/>
    <cellStyle name="常规 6 3 2 3" xfId="953"/>
    <cellStyle name="常规 6 3 2 3 2" xfId="954"/>
    <cellStyle name="常规 6 3 2 4" xfId="955"/>
    <cellStyle name="常规 6 3 2 4 2" xfId="956"/>
    <cellStyle name="常规 6 3 2 5" xfId="957"/>
    <cellStyle name="常规 6 3 2_Copy of 3D_SN016078_BGB-3111_Caco-2_02212014" xfId="958"/>
    <cellStyle name="常规 6 3 3" xfId="959"/>
    <cellStyle name="常规 6 3 3 2" xfId="960"/>
    <cellStyle name="常规 6 3 3 2 2" xfId="961"/>
    <cellStyle name="常规 6 3 3 3" xfId="962"/>
    <cellStyle name="常规 6 3 3 3 2" xfId="963"/>
    <cellStyle name="常规 6 3 3 4" xfId="964"/>
    <cellStyle name="常规 6 3 3 4 2" xfId="965"/>
    <cellStyle name="常规 6 3 3 5" xfId="966"/>
    <cellStyle name="常规 6 3 3_Copy of 3D_SN016078_BGB-3111_Caco-2_02212014" xfId="967"/>
    <cellStyle name="常规 6 3 4" xfId="968"/>
    <cellStyle name="常规 6 3 4 2" xfId="969"/>
    <cellStyle name="常规 6 3 5" xfId="970"/>
    <cellStyle name="常规 6 3 5 2" xfId="971"/>
    <cellStyle name="常规 6 3 6" xfId="972"/>
    <cellStyle name="常规 6 3 6 2" xfId="973"/>
    <cellStyle name="常规 6 3 7" xfId="974"/>
    <cellStyle name="常规 6 3_Copy of 3D_SN016078_BGB-3111_Caco-2_02212014" xfId="975"/>
    <cellStyle name="常规 6 4" xfId="976"/>
    <cellStyle name="常规 6 4 2" xfId="977"/>
    <cellStyle name="常规 6 4 2 2" xfId="978"/>
    <cellStyle name="常规 6 4 2 2 2" xfId="979"/>
    <cellStyle name="常规 6 4 2 3" xfId="980"/>
    <cellStyle name="常规 6 4 2 3 2" xfId="981"/>
    <cellStyle name="常规 6 4 2 4" xfId="982"/>
    <cellStyle name="常规 6 4 2 4 2" xfId="983"/>
    <cellStyle name="常规 6 4 2 5" xfId="984"/>
    <cellStyle name="常规 6 4 2_Copy of 3D_SN016078_BGB-3111_Caco-2_02212014" xfId="985"/>
    <cellStyle name="常规 6 4 3" xfId="986"/>
    <cellStyle name="常规 6 4 3 2" xfId="987"/>
    <cellStyle name="常规 6 4 3 2 2" xfId="988"/>
    <cellStyle name="常规 6 4 3 3" xfId="989"/>
    <cellStyle name="常规 6 4 3 3 2" xfId="990"/>
    <cellStyle name="常规 6 4 3 4" xfId="991"/>
    <cellStyle name="常规 6 4 3 4 2" xfId="992"/>
    <cellStyle name="常规 6 4 3 5" xfId="993"/>
    <cellStyle name="常规 6 4 3_Copy of 3D_SN016078_BGB-3111_Caco-2_02212014" xfId="994"/>
    <cellStyle name="常规 6 4 4" xfId="995"/>
    <cellStyle name="常规 6 4 4 2" xfId="996"/>
    <cellStyle name="常规 6 4 5" xfId="997"/>
    <cellStyle name="常规 6 4 5 2" xfId="998"/>
    <cellStyle name="常规 6 4 6" xfId="999"/>
    <cellStyle name="常规 6 4 6 2" xfId="1000"/>
    <cellStyle name="常规 6 4 7" xfId="1001"/>
    <cellStyle name="常规 6 4_Copy of 3D_SN016078_BGB-3111_Caco-2_02212014" xfId="1002"/>
    <cellStyle name="常规 6 5" xfId="1003"/>
    <cellStyle name="常规 6 5 2" xfId="1004"/>
    <cellStyle name="常规 6 5 2 2" xfId="1005"/>
    <cellStyle name="常规 6 5 2 2 2" xfId="1006"/>
    <cellStyle name="常规 6 5 2 3" xfId="1007"/>
    <cellStyle name="常规 6 5 2 3 2" xfId="1008"/>
    <cellStyle name="常规 6 5 2 4" xfId="1009"/>
    <cellStyle name="常规 6 5 2 4 2" xfId="1010"/>
    <cellStyle name="常规 6 5 2 5" xfId="1011"/>
    <cellStyle name="常规 6 5 2_Copy of 3D_SN016078_BGB-3111_Caco-2_02212014" xfId="1012"/>
    <cellStyle name="常规 6 5 3" xfId="1013"/>
    <cellStyle name="常规 6 5 3 2" xfId="1014"/>
    <cellStyle name="常规 6 5 3 2 2" xfId="1015"/>
    <cellStyle name="常规 6 5 3 3" xfId="1016"/>
    <cellStyle name="常规 6 5 3 3 2" xfId="1017"/>
    <cellStyle name="常规 6 5 3 4" xfId="1018"/>
    <cellStyle name="常规 6 5 3 4 2" xfId="1019"/>
    <cellStyle name="常规 6 5 3 5" xfId="1020"/>
    <cellStyle name="常规 6 5 3_Copy of 3D_SN016078_BGB-3111_Caco-2_02212014" xfId="1021"/>
    <cellStyle name="常规 6 5 4" xfId="1022"/>
    <cellStyle name="常规 6 5 4 2" xfId="1023"/>
    <cellStyle name="常规 6 5 5" xfId="1024"/>
    <cellStyle name="常规 6 5 5 2" xfId="1025"/>
    <cellStyle name="常规 6 5 6" xfId="1026"/>
    <cellStyle name="常规 6 5 6 2" xfId="1027"/>
    <cellStyle name="常规 6 5 7" xfId="1028"/>
    <cellStyle name="常规 6 5_Copy of 3D_SN016078_BGB-3111_Caco-2_02212014" xfId="1029"/>
    <cellStyle name="常规 6 6" xfId="1030"/>
    <cellStyle name="常规 6 6 2" xfId="1031"/>
    <cellStyle name="常规 6 6 2 2" xfId="1032"/>
    <cellStyle name="常规 6 6 2 2 2" xfId="1033"/>
    <cellStyle name="常规 6 6 2 3" xfId="1034"/>
    <cellStyle name="常规 6 6 2 3 2" xfId="1035"/>
    <cellStyle name="常规 6 6 2 4" xfId="1036"/>
    <cellStyle name="常规 6 6 2 4 2" xfId="1037"/>
    <cellStyle name="常规 6 6 2 5" xfId="1038"/>
    <cellStyle name="常规 6 6 2_Copy of 3D_SN016078_BGB-3111_Caco-2_02212014" xfId="1039"/>
    <cellStyle name="常规 6 6 3" xfId="1040"/>
    <cellStyle name="常规 6 6 3 2" xfId="1041"/>
    <cellStyle name="常规 6 6 3 2 2" xfId="1042"/>
    <cellStyle name="常规 6 6 3 3" xfId="1043"/>
    <cellStyle name="常规 6 6 3 3 2" xfId="1044"/>
    <cellStyle name="常规 6 6 3 4" xfId="1045"/>
    <cellStyle name="常规 6 6 3 4 2" xfId="1046"/>
    <cellStyle name="常规 6 6 3 5" xfId="1047"/>
    <cellStyle name="常规 6 6 3_Copy of 3D_SN016078_BGB-3111_Caco-2_02212014" xfId="1048"/>
    <cellStyle name="常规 6 6 4" xfId="1049"/>
    <cellStyle name="常规 6 6 4 2" xfId="1050"/>
    <cellStyle name="常规 6 6 5" xfId="1051"/>
    <cellStyle name="常规 6 6 5 2" xfId="1052"/>
    <cellStyle name="常规 6 6 6" xfId="1053"/>
    <cellStyle name="常规 6 6 6 2" xfId="1054"/>
    <cellStyle name="常规 6 6 7" xfId="1055"/>
    <cellStyle name="常规 6 6_Copy of 3D_SN016078_BGB-3111_Caco-2_02212014" xfId="1056"/>
    <cellStyle name="常规 6 7" xfId="1057"/>
    <cellStyle name="常规 6 7 2" xfId="1058"/>
    <cellStyle name="常规 6 8" xfId="1059"/>
    <cellStyle name="常规 6 8 2" xfId="1060"/>
    <cellStyle name="常规 6 9" xfId="1061"/>
    <cellStyle name="常规 6 9 2" xfId="1062"/>
    <cellStyle name="常规 6_Copy of 3D_SN016078_BGB-3111_Caco-2_02212014" xfId="1063"/>
    <cellStyle name="常规 7" xfId="1064"/>
    <cellStyle name="常规 7 10" xfId="1065"/>
    <cellStyle name="常规 7 2" xfId="1066"/>
    <cellStyle name="常规 7 2 2" xfId="1067"/>
    <cellStyle name="常规 7 2 2 2" xfId="1068"/>
    <cellStyle name="常规 7 2 2 2 2" xfId="1069"/>
    <cellStyle name="常规 7 2 2 3" xfId="1070"/>
    <cellStyle name="常规 7 2 2 3 2" xfId="1071"/>
    <cellStyle name="常规 7 2 2 4" xfId="1072"/>
    <cellStyle name="常规 7 2 2 4 2" xfId="1073"/>
    <cellStyle name="常规 7 2 2 5" xfId="1074"/>
    <cellStyle name="常规 7 2 2_Copy of 3D_SN016078_BGB-3111_Caco-2_02212014" xfId="1075"/>
    <cellStyle name="常规 7 2 3" xfId="1076"/>
    <cellStyle name="常规 7 2 3 2" xfId="1077"/>
    <cellStyle name="常规 7 2 3 2 2" xfId="1078"/>
    <cellStyle name="常规 7 2 3 3" xfId="1079"/>
    <cellStyle name="常规 7 2 3 3 2" xfId="1080"/>
    <cellStyle name="常规 7 2 3 4" xfId="1081"/>
    <cellStyle name="常规 7 2 3 4 2" xfId="1082"/>
    <cellStyle name="常规 7 2 3 5" xfId="1083"/>
    <cellStyle name="常规 7 2 3_Copy of 3D_SN016078_BGB-3111_Caco-2_02212014" xfId="1084"/>
    <cellStyle name="常规 7 2 4" xfId="1085"/>
    <cellStyle name="常规 7 2 4 2" xfId="1086"/>
    <cellStyle name="常规 7 2 5" xfId="1087"/>
    <cellStyle name="常规 7 2 5 2" xfId="1088"/>
    <cellStyle name="常规 7 2 6" xfId="1089"/>
    <cellStyle name="常规 7 2 6 2" xfId="1090"/>
    <cellStyle name="常规 7 2 7" xfId="1091"/>
    <cellStyle name="常规 7 2_Copy of 3D_SN016078_BGB-3111_Caco-2_02212014" xfId="1092"/>
    <cellStyle name="常规 7 3" xfId="1093"/>
    <cellStyle name="常规 7 3 2" xfId="1094"/>
    <cellStyle name="常规 7 3 2 2" xfId="1095"/>
    <cellStyle name="常规 7 3 2 2 2" xfId="1096"/>
    <cellStyle name="常规 7 3 2 3" xfId="1097"/>
    <cellStyle name="常规 7 3 2 3 2" xfId="1098"/>
    <cellStyle name="常规 7 3 2 4" xfId="1099"/>
    <cellStyle name="常规 7 3 2 4 2" xfId="1100"/>
    <cellStyle name="常规 7 3 2 5" xfId="1101"/>
    <cellStyle name="常规 7 3 2_Copy of 3D_SN016078_BGB-3111_Caco-2_02212014" xfId="1102"/>
    <cellStyle name="常规 7 3 3" xfId="1103"/>
    <cellStyle name="常规 7 3 3 2" xfId="1104"/>
    <cellStyle name="常规 7 3 3 2 2" xfId="1105"/>
    <cellStyle name="常规 7 3 3 3" xfId="1106"/>
    <cellStyle name="常规 7 3 3 3 2" xfId="1107"/>
    <cellStyle name="常规 7 3 3 4" xfId="1108"/>
    <cellStyle name="常规 7 3 3 4 2" xfId="1109"/>
    <cellStyle name="常规 7 3 3 5" xfId="1110"/>
    <cellStyle name="常规 7 3 3_Copy of 3D_SN016078_BGB-3111_Caco-2_02212014" xfId="1111"/>
    <cellStyle name="常规 7 3 4" xfId="1112"/>
    <cellStyle name="常规 7 3 4 2" xfId="1113"/>
    <cellStyle name="常规 7 3 5" xfId="1114"/>
    <cellStyle name="常规 7 3 5 2" xfId="1115"/>
    <cellStyle name="常规 7 3 6" xfId="1116"/>
    <cellStyle name="常规 7 3 6 2" xfId="1117"/>
    <cellStyle name="常规 7 3 7" xfId="1118"/>
    <cellStyle name="常规 7 3_Copy of 3D_SN016078_BGB-3111_Caco-2_02212014" xfId="1119"/>
    <cellStyle name="常规 7 4" xfId="1120"/>
    <cellStyle name="常规 7 4 2" xfId="1121"/>
    <cellStyle name="常规 7 4 2 2" xfId="1122"/>
    <cellStyle name="常规 7 4 2 2 2" xfId="1123"/>
    <cellStyle name="常规 7 4 2 3" xfId="1124"/>
    <cellStyle name="常规 7 4 2 3 2" xfId="1125"/>
    <cellStyle name="常规 7 4 2 4" xfId="1126"/>
    <cellStyle name="常规 7 4 2 4 2" xfId="1127"/>
    <cellStyle name="常规 7 4 2 5" xfId="1128"/>
    <cellStyle name="常规 7 4 2_Copy of 3D_SN016078_BGB-3111_Caco-2_02212014" xfId="1129"/>
    <cellStyle name="常规 7 4 3" xfId="1130"/>
    <cellStyle name="常规 7 4 3 2" xfId="1131"/>
    <cellStyle name="常规 7 4 3 2 2" xfId="1132"/>
    <cellStyle name="常规 7 4 3 3" xfId="1133"/>
    <cellStyle name="常规 7 4 3 3 2" xfId="1134"/>
    <cellStyle name="常规 7 4 3 4" xfId="1135"/>
    <cellStyle name="常规 7 4 3 4 2" xfId="1136"/>
    <cellStyle name="常规 7 4 3 5" xfId="1137"/>
    <cellStyle name="常规 7 4 3_Copy of 3D_SN016078_BGB-3111_Caco-2_02212014" xfId="1138"/>
    <cellStyle name="常规 7 4 4" xfId="1139"/>
    <cellStyle name="常规 7 4 4 2" xfId="1140"/>
    <cellStyle name="常规 7 4 5" xfId="1141"/>
    <cellStyle name="常规 7 4 5 2" xfId="1142"/>
    <cellStyle name="常规 7 4 6" xfId="1143"/>
    <cellStyle name="常规 7 4 6 2" xfId="1144"/>
    <cellStyle name="常规 7 4 7" xfId="1145"/>
    <cellStyle name="常规 7 4_Copy of 3D_SN016078_BGB-3111_Caco-2_02212014" xfId="1146"/>
    <cellStyle name="常规 7 5" xfId="1147"/>
    <cellStyle name="常规 7 5 2" xfId="1148"/>
    <cellStyle name="常规 7 5 2 2" xfId="1149"/>
    <cellStyle name="常规 7 5 2 2 2" xfId="1150"/>
    <cellStyle name="常规 7 5 2 3" xfId="1151"/>
    <cellStyle name="常规 7 5 2 3 2" xfId="1152"/>
    <cellStyle name="常规 7 5 2 4" xfId="1153"/>
    <cellStyle name="常规 7 5 2 4 2" xfId="1154"/>
    <cellStyle name="常规 7 5 2 5" xfId="1155"/>
    <cellStyle name="常规 7 5 2_Copy of 3D_SN016078_BGB-3111_Caco-2_02212014" xfId="1156"/>
    <cellStyle name="常规 7 5 3" xfId="1157"/>
    <cellStyle name="常规 7 5 3 2" xfId="1158"/>
    <cellStyle name="常规 7 5 3 2 2" xfId="1159"/>
    <cellStyle name="常规 7 5 3 3" xfId="1160"/>
    <cellStyle name="常规 7 5 3 3 2" xfId="1161"/>
    <cellStyle name="常规 7 5 3 4" xfId="1162"/>
    <cellStyle name="常规 7 5 3 4 2" xfId="1163"/>
    <cellStyle name="常规 7 5 3 5" xfId="1164"/>
    <cellStyle name="常规 7 5 3_Copy of 3D_SN016078_BGB-3111_Caco-2_02212014" xfId="1165"/>
    <cellStyle name="常规 7 5 4" xfId="1166"/>
    <cellStyle name="常规 7 5 4 2" xfId="1167"/>
    <cellStyle name="常规 7 5 5" xfId="1168"/>
    <cellStyle name="常规 7 5 5 2" xfId="1169"/>
    <cellStyle name="常规 7 5 6" xfId="1170"/>
    <cellStyle name="常规 7 5 6 2" xfId="1171"/>
    <cellStyle name="常规 7 5 7" xfId="1172"/>
    <cellStyle name="常规 7 5_Copy of 3D_SN016078_BGB-3111_Caco-2_02212014" xfId="1173"/>
    <cellStyle name="常规 7 6" xfId="1174"/>
    <cellStyle name="常规 7 6 2" xfId="1175"/>
    <cellStyle name="常规 7 6 2 2" xfId="1176"/>
    <cellStyle name="常规 7 6 3" xfId="1177"/>
    <cellStyle name="常规 7 6 3 2" xfId="1178"/>
    <cellStyle name="常规 7 6 4" xfId="1179"/>
    <cellStyle name="常规 7 6 4 2" xfId="1180"/>
    <cellStyle name="常规 7 6 5" xfId="1181"/>
    <cellStyle name="常规 7 6_Copy of 3D_SN016078_BGB-3111_Caco-2_02212014" xfId="1182"/>
    <cellStyle name="常规 7 7" xfId="1183"/>
    <cellStyle name="常规 7 7 2" xfId="1184"/>
    <cellStyle name="常规 7 8" xfId="1185"/>
    <cellStyle name="常规 7 8 2" xfId="1186"/>
    <cellStyle name="常规 7 9" xfId="1187"/>
    <cellStyle name="常规 7 9 2" xfId="1188"/>
    <cellStyle name="常规 7_Copy of 3D_SN016078_BGB-3111_Caco-2_02212014" xfId="1189"/>
    <cellStyle name="常规 8" xfId="1190"/>
    <cellStyle name="常规 8 2" xfId="1191"/>
    <cellStyle name="常规 8 2 2" xfId="1192"/>
    <cellStyle name="常规 8 2 2 2" xfId="1193"/>
    <cellStyle name="常规 8 2 2 2 2" xfId="1194"/>
    <cellStyle name="常规 8 2 2 3" xfId="1195"/>
    <cellStyle name="常规 8 2 2 3 2" xfId="1196"/>
    <cellStyle name="常规 8 2 2 4" xfId="1197"/>
    <cellStyle name="常规 8 2 2 4 2" xfId="1198"/>
    <cellStyle name="常规 8 2 2 5" xfId="1199"/>
    <cellStyle name="常规 8 2 2_Copy of 3D_SN016078_BGB-3111_Caco-2_02212014" xfId="1200"/>
    <cellStyle name="常规 8 2 3" xfId="1201"/>
    <cellStyle name="常规 8 2 3 2" xfId="1202"/>
    <cellStyle name="常规 8 2 3 2 2" xfId="1203"/>
    <cellStyle name="常规 8 2 3 3" xfId="1204"/>
    <cellStyle name="常规 8 2 3 3 2" xfId="1205"/>
    <cellStyle name="常规 8 2 3 4" xfId="1206"/>
    <cellStyle name="常规 8 2 3 4 2" xfId="1207"/>
    <cellStyle name="常规 8 2 3 5" xfId="1208"/>
    <cellStyle name="常规 8 2 3_Copy of 3D_SN016078_BGB-3111_Caco-2_02212014" xfId="1209"/>
    <cellStyle name="常规 8 2 4" xfId="1210"/>
    <cellStyle name="常规 8 2 4 2" xfId="1211"/>
    <cellStyle name="常规 8 2 5" xfId="1212"/>
    <cellStyle name="常规 8 2 5 2" xfId="1213"/>
    <cellStyle name="常规 8 2 6" xfId="1214"/>
    <cellStyle name="常规 8 2 6 2" xfId="1215"/>
    <cellStyle name="常规 8 2 7" xfId="1216"/>
    <cellStyle name="常规 8 2_Copy of 3D_SN016078_BGB-3111_Caco-2_02212014" xfId="1217"/>
    <cellStyle name="常规 8 3" xfId="1218"/>
    <cellStyle name="常规 8 3 2" xfId="1219"/>
    <cellStyle name="常规 8 3 2 2" xfId="1220"/>
    <cellStyle name="常规 8 3 2 2 2" xfId="1221"/>
    <cellStyle name="常规 8 3 2 3" xfId="1222"/>
    <cellStyle name="常规 8 3 2 3 2" xfId="1223"/>
    <cellStyle name="常规 8 3 2 4" xfId="1224"/>
    <cellStyle name="常规 8 3 2 4 2" xfId="1225"/>
    <cellStyle name="常规 8 3 2 5" xfId="1226"/>
    <cellStyle name="常规 8 3 2_Copy of 3D_SN016078_BGB-3111_Caco-2_02212014" xfId="1227"/>
    <cellStyle name="常规 8 3 3" xfId="1228"/>
    <cellStyle name="常规 8 3 3 2" xfId="1229"/>
    <cellStyle name="常规 8 3 3 2 2" xfId="1230"/>
    <cellStyle name="常规 8 3 3 3" xfId="1231"/>
    <cellStyle name="常规 8 3 3 3 2" xfId="1232"/>
    <cellStyle name="常规 8 3 3 4" xfId="1233"/>
    <cellStyle name="常规 8 3 3 4 2" xfId="1234"/>
    <cellStyle name="常规 8 3 3 5" xfId="1235"/>
    <cellStyle name="常规 8 3 3_Copy of 3D_SN016078_BGB-3111_Caco-2_02212014" xfId="1236"/>
    <cellStyle name="常规 8 3 4" xfId="1237"/>
    <cellStyle name="常规 8 3 4 2" xfId="1238"/>
    <cellStyle name="常规 8 3 5" xfId="1239"/>
    <cellStyle name="常规 8 3 5 2" xfId="1240"/>
    <cellStyle name="常规 8 3 6" xfId="1241"/>
    <cellStyle name="常规 8 3 6 2" xfId="1242"/>
    <cellStyle name="常规 8 3 7" xfId="1243"/>
    <cellStyle name="常规 8 3_Copy of 3D_SN016078_BGB-3111_Caco-2_02212014" xfId="1244"/>
    <cellStyle name="常规 8 4" xfId="1245"/>
    <cellStyle name="常规 8 4 2" xfId="1246"/>
    <cellStyle name="常规 8 4 2 2" xfId="1247"/>
    <cellStyle name="常规 8 4 2 2 2" xfId="1248"/>
    <cellStyle name="常规 8 4 2 3" xfId="1249"/>
    <cellStyle name="常规 8 4 2 3 2" xfId="1250"/>
    <cellStyle name="常规 8 4 2 4" xfId="1251"/>
    <cellStyle name="常规 8 4 2 4 2" xfId="1252"/>
    <cellStyle name="常规 8 4 2 5" xfId="1253"/>
    <cellStyle name="常规 8 4 2_Copy of 3D_SN016078_BGB-3111_Caco-2_02212014" xfId="1254"/>
    <cellStyle name="常规 8 4 3" xfId="1255"/>
    <cellStyle name="常规 8 4 3 2" xfId="1256"/>
    <cellStyle name="常规 8 4 3 2 2" xfId="1257"/>
    <cellStyle name="常规 8 4 3 3" xfId="1258"/>
    <cellStyle name="常规 8 4 3 3 2" xfId="1259"/>
    <cellStyle name="常规 8 4 3 4" xfId="1260"/>
    <cellStyle name="常规 8 4 3 4 2" xfId="1261"/>
    <cellStyle name="常规 8 4 3 5" xfId="1262"/>
    <cellStyle name="常规 8 4 3_Copy of 3D_SN016078_BGB-3111_Caco-2_02212014" xfId="1263"/>
    <cellStyle name="常规 8 4 4" xfId="1264"/>
    <cellStyle name="常规 8 4 4 2" xfId="1265"/>
    <cellStyle name="常规 8 4 5" xfId="1266"/>
    <cellStyle name="常规 8 4 5 2" xfId="1267"/>
    <cellStyle name="常规 8 4 6" xfId="1268"/>
    <cellStyle name="常规 8 4 6 2" xfId="1269"/>
    <cellStyle name="常规 8 4 7" xfId="1270"/>
    <cellStyle name="常规 8 4_Copy of 3D_SN016078_BGB-3111_Caco-2_02212014" xfId="1271"/>
    <cellStyle name="常规 9" xfId="1272"/>
    <cellStyle name="常规 9 2" xfId="1273"/>
    <cellStyle name="常规 9 2 2" xfId="1274"/>
    <cellStyle name="常规 9 2 2 2" xfId="1275"/>
    <cellStyle name="常规 9 2 2 2 2" xfId="1276"/>
    <cellStyle name="常规 9 2 2 3" xfId="1277"/>
    <cellStyle name="常规 9 2 2 3 2" xfId="1278"/>
    <cellStyle name="常规 9 2 2 4" xfId="1279"/>
    <cellStyle name="常规 9 2 2 4 2" xfId="1280"/>
    <cellStyle name="常规 9 2 2 5" xfId="1281"/>
    <cellStyle name="常规 9 2 2_Copy of 3D_SN016078_BGB-3111_Caco-2_02212014" xfId="1282"/>
    <cellStyle name="常规 9 2 3" xfId="1283"/>
    <cellStyle name="常规 9 2 3 2" xfId="1284"/>
    <cellStyle name="常规 9 2 3 2 2" xfId="1285"/>
    <cellStyle name="常规 9 2 3 3" xfId="1286"/>
    <cellStyle name="常规 9 2 3 3 2" xfId="1287"/>
    <cellStyle name="常规 9 2 3 4" xfId="1288"/>
    <cellStyle name="常规 9 2 3 4 2" xfId="1289"/>
    <cellStyle name="常规 9 2 3 5" xfId="1290"/>
    <cellStyle name="常规 9 2 3_Copy of 3D_SN016078_BGB-3111_Caco-2_02212014" xfId="1291"/>
    <cellStyle name="常规 9 2 4" xfId="1292"/>
    <cellStyle name="常规 9 2 4 2" xfId="1293"/>
    <cellStyle name="常规 9 2 5" xfId="1294"/>
    <cellStyle name="常规 9 2 5 2" xfId="1295"/>
    <cellStyle name="常规 9 2 6" xfId="1296"/>
    <cellStyle name="常规 9 2 6 2" xfId="1297"/>
    <cellStyle name="常规 9 2 7" xfId="1298"/>
    <cellStyle name="常规 9 2_Copy of 3D_SN016078_BGB-3111_Caco-2_02212014" xfId="1299"/>
    <cellStyle name="常规 9 3" xfId="1300"/>
    <cellStyle name="常规 9 3 2" xfId="1301"/>
    <cellStyle name="常规 9 3 2 2" xfId="1302"/>
    <cellStyle name="常规 9 3 2 2 2" xfId="1303"/>
    <cellStyle name="常规 9 3 2 3" xfId="1304"/>
    <cellStyle name="常规 9 3 2 3 2" xfId="1305"/>
    <cellStyle name="常规 9 3 2 4" xfId="1306"/>
    <cellStyle name="常规 9 3 2 4 2" xfId="1307"/>
    <cellStyle name="常规 9 3 2 5" xfId="1308"/>
    <cellStyle name="常规 9 3 2_Copy of 3D_SN016078_BGB-3111_Caco-2_02212014" xfId="1309"/>
    <cellStyle name="常规 9 3 3" xfId="1310"/>
    <cellStyle name="常规 9 3 3 2" xfId="1311"/>
    <cellStyle name="常规 9 3 3 2 2" xfId="1312"/>
    <cellStyle name="常规 9 3 3 3" xfId="1313"/>
    <cellStyle name="常规 9 3 3 3 2" xfId="1314"/>
    <cellStyle name="常规 9 3 3 4" xfId="1315"/>
    <cellStyle name="常规 9 3 3 4 2" xfId="1316"/>
    <cellStyle name="常规 9 3 3 5" xfId="1317"/>
    <cellStyle name="常规 9 3 3_Copy of 3D_SN016078_BGB-3111_Caco-2_02212014" xfId="1318"/>
    <cellStyle name="常规 9 3 4" xfId="1319"/>
    <cellStyle name="常规 9 3 4 2" xfId="1320"/>
    <cellStyle name="常规 9 3 5" xfId="1321"/>
    <cellStyle name="常规 9 3 5 2" xfId="1322"/>
    <cellStyle name="常规 9 3 6" xfId="1323"/>
    <cellStyle name="常规 9 3 6 2" xfId="1324"/>
    <cellStyle name="常规 9 3 7" xfId="1325"/>
    <cellStyle name="常规 9 3_Copy of 3D_SN016078_BGB-3111_Caco-2_02212014" xfId="1326"/>
    <cellStyle name="常规_3D_RN016022BGB-555 2" xfId="1327"/>
    <cellStyle name="常规_AZ_Microsome_Stability_final_report_23-Feb-2009" xfId="1328"/>
    <cellStyle name="常规_Caco-2_Pretest_Key parameters" xfId="1329"/>
    <cellStyle name="常规_Caco-2_Pretest_Key parameters 4" xfId="1330"/>
    <cellStyle name="常规_ITMN_Solubility assay for 4 cpds final report_17-Feb-2009 wf" xfId="1331"/>
    <cellStyle name="常规_副本bioanalysis record template" xfId="1332"/>
    <cellStyle name="好_3D_SN016120_BGB-000001255-000-002_Plasma protein binding_03252013" xfId="1333"/>
    <cellStyle name="好_BGB-103 (maleate)_PPB_pretest_03192013" xfId="1334"/>
    <cellStyle name="注释 2" xfId="1335"/>
    <cellStyle name="注释 2 2" xfId="1336"/>
    <cellStyle name="注释 3" xfId="1337"/>
    <cellStyle name="注释 3 2" xfId="1338"/>
    <cellStyle name="注释 4" xfId="1339"/>
    <cellStyle name="注释 4 2" xfId="1340"/>
    <cellStyle name="注释 5" xfId="1341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476250</xdr:colOff>
      <xdr:row>0</xdr:row>
      <xdr:rowOff>142875</xdr:rowOff>
    </xdr:from>
    <xdr:to>
      <xdr:col>3</xdr:col>
      <xdr:colOff>104775</xdr:colOff>
      <xdr:row>0</xdr:row>
      <xdr:rowOff>952500</xdr:rowOff>
    </xdr:to>
    <xdr:pic>
      <xdr:nvPicPr>
        <xdr:cNvPr id="2" name="Picture 186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305175" y="142875"/>
          <a:ext cx="74295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selection activeCell="A1" sqref="A1:H1"/>
    </sheetView>
  </sheetViews>
  <sheetFormatPr defaultColWidth="0" defaultRowHeight="15.5"/>
  <cols>
    <col min="1" max="1" width="22" style="302" customWidth="1"/>
    <col min="2" max="2" width="15.125" style="302" customWidth="1"/>
    <col min="3" max="3" width="14.625" style="302" customWidth="1"/>
    <col min="4" max="7" width="9" style="302" customWidth="1"/>
    <col min="8" max="8" width="12.25" style="302" customWidth="1"/>
    <col min="9" max="16384" width="9" style="302" hidden="1"/>
  </cols>
  <sheetData>
    <row r="1" s="301" customFormat="1" ht="114.75" customHeight="1" spans="1:8">
      <c r="A1" s="303" t="s">
        <v>0</v>
      </c>
      <c r="B1" s="303"/>
      <c r="C1" s="303"/>
      <c r="D1" s="303"/>
      <c r="E1" s="303"/>
      <c r="F1" s="303"/>
      <c r="G1" s="303"/>
      <c r="H1" s="303"/>
    </row>
    <row r="2" ht="46.9" customHeight="1" spans="1:9">
      <c r="A2" s="304" t="s">
        <v>1</v>
      </c>
      <c r="B2" s="305" t="s">
        <v>2</v>
      </c>
      <c r="C2" s="306"/>
      <c r="D2" s="306"/>
      <c r="E2" s="306"/>
      <c r="F2" s="306"/>
      <c r="G2" s="306"/>
      <c r="H2" s="307"/>
      <c r="I2" s="309"/>
    </row>
    <row r="3" ht="38.1" customHeight="1" spans="1:9">
      <c r="A3" s="308" t="s">
        <v>3</v>
      </c>
      <c r="B3" s="306" t="s">
        <v>4</v>
      </c>
      <c r="C3" s="306"/>
      <c r="D3" s="306"/>
      <c r="E3" s="306"/>
      <c r="F3" s="306"/>
      <c r="G3" s="306"/>
      <c r="H3" s="307" t="s">
        <v>5</v>
      </c>
      <c r="I3" s="309"/>
    </row>
    <row r="4" ht="38.1" customHeight="1" spans="1:5">
      <c r="A4" s="304" t="s">
        <v>6</v>
      </c>
      <c r="B4" s="309" t="s">
        <v>7</v>
      </c>
      <c r="C4" s="309"/>
      <c r="D4" s="309"/>
      <c r="E4" s="309"/>
    </row>
    <row r="5" ht="38.1" customHeight="1" spans="1:5">
      <c r="A5" s="308" t="s">
        <v>8</v>
      </c>
      <c r="B5" s="310" t="s">
        <v>9</v>
      </c>
      <c r="C5" s="311"/>
      <c r="D5" s="311"/>
      <c r="E5" s="309"/>
    </row>
    <row r="6" ht="54" customHeight="1" spans="1:7">
      <c r="A6" s="308" t="s">
        <v>10</v>
      </c>
      <c r="B6" s="312" t="s">
        <v>11</v>
      </c>
      <c r="C6" s="312"/>
      <c r="D6" s="312"/>
      <c r="E6" s="312"/>
      <c r="F6" s="312"/>
      <c r="G6" s="312"/>
    </row>
    <row r="7" ht="38.1" customHeight="1" spans="1:5">
      <c r="A7" s="308" t="s">
        <v>12</v>
      </c>
      <c r="B7" s="313" t="s">
        <v>13</v>
      </c>
      <c r="C7" s="311"/>
      <c r="D7" s="311"/>
      <c r="E7" s="309"/>
    </row>
    <row r="8" ht="38.1" customHeight="1" spans="1:5">
      <c r="A8" s="308" t="s">
        <v>14</v>
      </c>
      <c r="B8" s="313" t="s">
        <v>15</v>
      </c>
      <c r="C8" s="311"/>
      <c r="D8" s="311"/>
      <c r="E8" s="309"/>
    </row>
    <row r="9" ht="38.1" customHeight="1" spans="1:5">
      <c r="A9" s="308" t="s">
        <v>16</v>
      </c>
      <c r="B9" s="310" t="s">
        <v>17</v>
      </c>
      <c r="C9" s="311"/>
      <c r="D9" s="311"/>
      <c r="E9" s="309"/>
    </row>
    <row r="10" ht="38.1" customHeight="1" spans="1:5">
      <c r="A10" s="308" t="s">
        <v>18</v>
      </c>
      <c r="B10" s="314" t="s">
        <v>19</v>
      </c>
      <c r="C10" s="311"/>
      <c r="D10" s="311"/>
      <c r="E10" s="309"/>
    </row>
    <row r="11" ht="38.1" customHeight="1" spans="1:5">
      <c r="A11" s="308" t="s">
        <v>20</v>
      </c>
      <c r="B11" s="314" t="s">
        <v>21</v>
      </c>
      <c r="C11" s="311"/>
      <c r="D11" s="311"/>
      <c r="E11" s="309"/>
    </row>
    <row r="12" ht="38.1" customHeight="1" spans="1:8">
      <c r="A12" s="315" t="s">
        <v>22</v>
      </c>
      <c r="B12" s="316" t="s">
        <v>23</v>
      </c>
      <c r="C12" s="316"/>
      <c r="D12" s="316"/>
      <c r="E12" s="316"/>
      <c r="F12" s="316"/>
      <c r="G12" s="316"/>
      <c r="H12" s="316"/>
    </row>
    <row r="13" ht="50.45" customHeight="1" spans="1:8">
      <c r="A13" s="315" t="s">
        <v>24</v>
      </c>
      <c r="B13" s="316" t="s">
        <v>25</v>
      </c>
      <c r="C13" s="316"/>
      <c r="D13" s="316"/>
      <c r="E13" s="316"/>
      <c r="F13" s="316"/>
      <c r="G13" s="316"/>
      <c r="H13" s="316"/>
    </row>
    <row r="15" spans="2:4">
      <c r="B15" s="317" t="s">
        <v>26</v>
      </c>
      <c r="C15" s="318"/>
      <c r="D15" s="318"/>
    </row>
  </sheetData>
  <mergeCells count="6">
    <mergeCell ref="A1:H1"/>
    <mergeCell ref="B2:G2"/>
    <mergeCell ref="B6:G6"/>
    <mergeCell ref="B12:E12"/>
    <mergeCell ref="B13:F13"/>
    <mergeCell ref="B15:D15"/>
  </mergeCells>
  <pageMargins left="0.75" right="0.75" top="1" bottom="1" header="0.5" footer="0.5"/>
  <pageSetup paperSize="9" scale="82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7"/>
  <sheetViews>
    <sheetView tabSelected="1" workbookViewId="0">
      <selection activeCell="A1" sqref="A1"/>
    </sheetView>
  </sheetViews>
  <sheetFormatPr defaultColWidth="9" defaultRowHeight="16.5" customHeight="1"/>
  <cols>
    <col min="1" max="1" width="4.5" style="219" customWidth="1"/>
    <col min="2" max="2" width="23.375" style="219" customWidth="1"/>
    <col min="3" max="3" width="16.375" style="219" customWidth="1"/>
    <col min="4" max="4" width="14.5" style="219" customWidth="1"/>
    <col min="5" max="5" width="14.875" style="219" customWidth="1"/>
    <col min="6" max="6" width="18.375" style="219" customWidth="1"/>
    <col min="7" max="7" width="16.625" style="219" customWidth="1"/>
    <col min="8" max="8" width="3.75" style="219" customWidth="1"/>
    <col min="9" max="9" width="21.625" style="219" customWidth="1"/>
    <col min="10" max="10" width="9" style="219"/>
    <col min="11" max="11" width="16.25" style="219" customWidth="1"/>
    <col min="12" max="12" width="53.125" style="219" customWidth="1"/>
    <col min="13" max="16384" width="9" style="219"/>
  </cols>
  <sheetData>
    <row r="1" ht="16.25" spans="9:14">
      <c r="I1" s="280"/>
      <c r="J1" s="280"/>
      <c r="K1" s="280"/>
      <c r="L1" s="280"/>
      <c r="M1" s="280"/>
      <c r="N1" s="280"/>
    </row>
    <row r="2" ht="15" customHeight="1" spans="2:14">
      <c r="B2" s="220" t="s">
        <v>27</v>
      </c>
      <c r="C2" s="221"/>
      <c r="D2" s="221"/>
      <c r="E2" s="221"/>
      <c r="F2" s="221"/>
      <c r="G2" s="222"/>
      <c r="I2" s="281" t="s">
        <v>28</v>
      </c>
      <c r="J2" s="282" t="s">
        <v>29</v>
      </c>
      <c r="K2" s="283" t="s">
        <v>30</v>
      </c>
      <c r="L2" s="284"/>
      <c r="M2"/>
      <c r="N2"/>
    </row>
    <row r="3" ht="15" customHeight="1" spans="2:14">
      <c r="B3" s="223"/>
      <c r="C3" s="224"/>
      <c r="D3" s="224"/>
      <c r="E3" s="224"/>
      <c r="F3" s="224"/>
      <c r="G3" s="225"/>
      <c r="I3" s="285"/>
      <c r="J3" s="286"/>
      <c r="K3" s="287"/>
      <c r="L3" s="288"/>
      <c r="M3"/>
      <c r="N3"/>
    </row>
    <row r="4" ht="22.5" customHeight="1" spans="2:14">
      <c r="B4" s="226" t="s">
        <v>31</v>
      </c>
      <c r="C4" s="227" t="s">
        <v>32</v>
      </c>
      <c r="D4" s="227" t="s">
        <v>33</v>
      </c>
      <c r="E4" s="227" t="s">
        <v>34</v>
      </c>
      <c r="F4" s="227" t="s">
        <v>35</v>
      </c>
      <c r="G4" s="228" t="s">
        <v>36</v>
      </c>
      <c r="H4" s="229"/>
      <c r="I4" s="289" t="s">
        <v>37</v>
      </c>
      <c r="J4" s="290" t="s">
        <v>38</v>
      </c>
      <c r="K4" s="290" t="s">
        <v>39</v>
      </c>
      <c r="L4" s="291"/>
      <c r="M4"/>
      <c r="N4"/>
    </row>
    <row r="5" ht="37.5" customHeight="1" spans="2:14">
      <c r="B5" s="230" t="s">
        <v>40</v>
      </c>
      <c r="C5" s="231" t="s">
        <v>41</v>
      </c>
      <c r="D5" s="232">
        <f>Processed!O33</f>
        <v>102.777825364299</v>
      </c>
      <c r="E5" s="233">
        <f>Processed!M33</f>
        <v>0.256858391136624</v>
      </c>
      <c r="F5" s="234">
        <f>Processed!P33</f>
        <v>50.888210129392</v>
      </c>
      <c r="G5" s="235">
        <f>Processed!M47</f>
        <v>116.787467851298</v>
      </c>
      <c r="H5" s="229"/>
      <c r="I5" s="289"/>
      <c r="J5" s="290" t="s">
        <v>42</v>
      </c>
      <c r="K5" s="290" t="s">
        <v>43</v>
      </c>
      <c r="L5" s="291"/>
      <c r="M5"/>
      <c r="N5"/>
    </row>
    <row r="6" ht="31.5" customHeight="1" spans="2:14">
      <c r="B6" s="236"/>
      <c r="C6" s="231" t="s">
        <v>44</v>
      </c>
      <c r="D6" s="232">
        <f>Processed!O39</f>
        <v>106.671934009143</v>
      </c>
      <c r="E6" s="237">
        <f>Processed!M39</f>
        <v>13.0710637816581</v>
      </c>
      <c r="F6" s="234"/>
      <c r="G6" s="235"/>
      <c r="H6" s="229"/>
      <c r="I6" s="289"/>
      <c r="J6" s="290" t="s">
        <v>45</v>
      </c>
      <c r="K6" s="290" t="s">
        <v>46</v>
      </c>
      <c r="L6" s="291"/>
      <c r="M6"/>
      <c r="N6"/>
    </row>
    <row r="7" ht="21" customHeight="1" spans="2:14">
      <c r="B7" s="230" t="s">
        <v>47</v>
      </c>
      <c r="C7" s="231" t="s">
        <v>41</v>
      </c>
      <c r="D7" s="232">
        <f>Processed!O18</f>
        <v>102.929646164021</v>
      </c>
      <c r="E7" s="238">
        <f>Processed!M18</f>
        <v>5.47228513084995</v>
      </c>
      <c r="F7" s="239" t="s">
        <v>48</v>
      </c>
      <c r="G7" s="235">
        <f>Processed!M26</f>
        <v>109.798136645963</v>
      </c>
      <c r="H7" s="229"/>
      <c r="I7" s="292" t="s">
        <v>49</v>
      </c>
      <c r="J7" s="293" t="s">
        <v>50</v>
      </c>
      <c r="K7" s="293" t="s">
        <v>51</v>
      </c>
      <c r="L7" s="294"/>
      <c r="M7"/>
      <c r="N7"/>
    </row>
    <row r="8" ht="23.25" customHeight="1" spans="2:14">
      <c r="B8" s="240" t="s">
        <v>52</v>
      </c>
      <c r="C8" s="241" t="s">
        <v>41</v>
      </c>
      <c r="D8" s="242">
        <f>Processed!O3</f>
        <v>97.908561312456</v>
      </c>
      <c r="E8" s="243">
        <f>Processed!M3</f>
        <v>0.306513780189889</v>
      </c>
      <c r="F8" s="244" t="s">
        <v>48</v>
      </c>
      <c r="G8" s="245">
        <f>Processed!M11</f>
        <v>104.714098646879</v>
      </c>
      <c r="H8" s="229"/>
      <c r="I8" s="295"/>
      <c r="J8" s="295"/>
      <c r="K8" s="295"/>
      <c r="L8"/>
      <c r="M8"/>
      <c r="N8"/>
    </row>
    <row r="9" ht="15" customHeight="1" spans="2:14">
      <c r="B9" s="246"/>
      <c r="C9" s="246"/>
      <c r="D9" s="246"/>
      <c r="E9" s="247"/>
      <c r="F9" s="247"/>
      <c r="G9" s="247"/>
      <c r="H9" s="229"/>
      <c r="I9" s="295"/>
      <c r="J9" s="295"/>
      <c r="K9" s="295"/>
      <c r="L9"/>
      <c r="M9"/>
      <c r="N9"/>
    </row>
    <row r="10" s="218" customFormat="1" customHeight="1" spans="2:14">
      <c r="B10" s="248"/>
      <c r="C10" s="248"/>
      <c r="D10" s="248"/>
      <c r="E10" s="249"/>
      <c r="F10" s="249"/>
      <c r="G10" s="250"/>
      <c r="H10" s="250"/>
      <c r="I10" s="296"/>
      <c r="J10" s="296"/>
      <c r="K10" s="297"/>
      <c r="L10" s="298"/>
      <c r="M10" s="298"/>
      <c r="N10" s="298"/>
    </row>
    <row r="11" ht="25.9" customHeight="1" spans="2:14">
      <c r="B11" s="220" t="s">
        <v>53</v>
      </c>
      <c r="C11" s="251"/>
      <c r="D11" s="251"/>
      <c r="E11" s="251"/>
      <c r="F11" s="251"/>
      <c r="G11" s="252"/>
      <c r="H11" s="229"/>
      <c r="I11" s="279"/>
      <c r="J11" s="280"/>
      <c r="K11" s="299"/>
      <c r="L11" s="280"/>
      <c r="M11" s="280"/>
      <c r="N11" s="280"/>
    </row>
    <row r="12" ht="25.9" customHeight="1" spans="2:14">
      <c r="B12" s="253"/>
      <c r="C12" s="254"/>
      <c r="D12" s="254"/>
      <c r="E12" s="254"/>
      <c r="F12" s="254"/>
      <c r="G12" s="255"/>
      <c r="H12" s="229"/>
      <c r="I12" s="279"/>
      <c r="J12" s="280"/>
      <c r="K12" s="299"/>
      <c r="L12" s="280"/>
      <c r="M12" s="280"/>
      <c r="N12" s="280"/>
    </row>
    <row r="13" ht="22.5" customHeight="1" spans="2:14">
      <c r="B13" s="226" t="s">
        <v>31</v>
      </c>
      <c r="C13" s="227" t="s">
        <v>32</v>
      </c>
      <c r="D13" s="227" t="s">
        <v>33</v>
      </c>
      <c r="E13" s="227" t="s">
        <v>34</v>
      </c>
      <c r="F13" s="227" t="s">
        <v>35</v>
      </c>
      <c r="G13" s="228" t="s">
        <v>36</v>
      </c>
      <c r="H13" s="229"/>
      <c r="I13" s="279"/>
      <c r="J13" s="280"/>
      <c r="K13" s="299"/>
      <c r="L13" s="280"/>
      <c r="M13" s="280"/>
      <c r="N13" s="280"/>
    </row>
    <row r="14" ht="15" customHeight="1" spans="2:14">
      <c r="B14" s="230" t="str">
        <f>CONCATENATE('Assay Outline'!B21," (2 µM)")</f>
        <v>HW356009-P1 (2 µM)</v>
      </c>
      <c r="C14" s="231" t="s">
        <v>41</v>
      </c>
      <c r="D14" s="256">
        <f>Processed!O54</f>
        <v>87.9010866748398</v>
      </c>
      <c r="E14" s="237">
        <f>Processed!M54</f>
        <v>10.1451001038234</v>
      </c>
      <c r="F14" s="237">
        <f>Processed!P54</f>
        <v>1.91028273848997</v>
      </c>
      <c r="G14" s="235">
        <f>Processed!M68</f>
        <v>104.718259510508</v>
      </c>
      <c r="H14" s="229"/>
      <c r="I14" s="279"/>
      <c r="J14" s="280"/>
      <c r="K14" s="299"/>
      <c r="L14" s="280"/>
      <c r="M14" s="280"/>
      <c r="N14" s="280"/>
    </row>
    <row r="15" ht="15" customHeight="1" spans="2:14">
      <c r="B15" s="257"/>
      <c r="C15" s="258" t="s">
        <v>44</v>
      </c>
      <c r="D15" s="259">
        <f>Processed!O60</f>
        <v>113.570315494915</v>
      </c>
      <c r="E15" s="260">
        <f>Processed!M60</f>
        <v>19.3800096085867</v>
      </c>
      <c r="F15" s="261"/>
      <c r="G15" s="262"/>
      <c r="H15" s="229"/>
      <c r="I15" s="279"/>
      <c r="J15" s="280"/>
      <c r="K15" s="299"/>
      <c r="L15" s="280"/>
      <c r="M15" s="280"/>
      <c r="N15" s="280"/>
    </row>
    <row r="16" ht="15" hidden="1" customHeight="1" spans="2:14">
      <c r="B16" s="230" t="str">
        <f>CONCATENATE('Assay Outline'!B22," (1 µM)")</f>
        <v> (1 µM)</v>
      </c>
      <c r="C16" s="231" t="s">
        <v>41</v>
      </c>
      <c r="D16" s="256" t="e">
        <f>Processed!O75</f>
        <v>#N/A</v>
      </c>
      <c r="E16" s="233" t="e">
        <f>Processed!M75</f>
        <v>#N/A</v>
      </c>
      <c r="F16" s="234" t="e">
        <f>Processed!P75</f>
        <v>#N/A</v>
      </c>
      <c r="G16" s="263" t="e">
        <f>Processed!M89</f>
        <v>#N/A</v>
      </c>
      <c r="H16" s="229"/>
      <c r="I16" s="279"/>
      <c r="J16" s="280"/>
      <c r="K16" s="299"/>
      <c r="L16" s="280"/>
      <c r="M16" s="280"/>
      <c r="N16" s="280"/>
    </row>
    <row r="17" ht="15" hidden="1" customHeight="1" spans="2:14">
      <c r="B17" s="257"/>
      <c r="C17" s="258" t="s">
        <v>44</v>
      </c>
      <c r="D17" s="264" t="e">
        <f>Processed!O81</f>
        <v>#N/A</v>
      </c>
      <c r="E17" s="260" t="e">
        <f>Processed!M81</f>
        <v>#N/A</v>
      </c>
      <c r="F17" s="261"/>
      <c r="G17" s="262"/>
      <c r="H17" s="229"/>
      <c r="I17" s="279"/>
      <c r="J17" s="280"/>
      <c r="K17" s="299"/>
      <c r="L17" s="280"/>
      <c r="M17" s="280"/>
      <c r="N17" s="280"/>
    </row>
    <row r="18" ht="15" hidden="1" customHeight="1" spans="2:14">
      <c r="B18" s="230" t="str">
        <f>CONCATENATE('Assay Outline'!B23," (1 µM)")</f>
        <v> (1 µM)</v>
      </c>
      <c r="C18" s="231" t="s">
        <v>41</v>
      </c>
      <c r="D18" s="256" t="e">
        <f>Processed!O96</f>
        <v>#N/A</v>
      </c>
      <c r="E18" s="233" t="e">
        <f>Processed!M96</f>
        <v>#N/A</v>
      </c>
      <c r="F18" s="237" t="e">
        <f>Processed!P96</f>
        <v>#N/A</v>
      </c>
      <c r="G18" s="263" t="e">
        <f>Processed!M110</f>
        <v>#N/A</v>
      </c>
      <c r="H18" s="229"/>
      <c r="I18" s="279"/>
      <c r="J18" s="280"/>
      <c r="K18" s="299"/>
      <c r="L18" s="280"/>
      <c r="M18" s="280"/>
      <c r="N18" s="280"/>
    </row>
    <row r="19" ht="15" hidden="1" customHeight="1" spans="2:14">
      <c r="B19" s="257"/>
      <c r="C19" s="231" t="s">
        <v>44</v>
      </c>
      <c r="D19" s="256" t="e">
        <f>Processed!O102</f>
        <v>#N/A</v>
      </c>
      <c r="E19" s="238" t="e">
        <f>Processed!M102</f>
        <v>#N/A</v>
      </c>
      <c r="F19" s="234"/>
      <c r="G19" s="235"/>
      <c r="H19" s="229"/>
      <c r="I19" s="279"/>
      <c r="J19" s="280"/>
      <c r="K19" s="299"/>
      <c r="L19" s="280"/>
      <c r="M19" s="280"/>
      <c r="N19" s="280"/>
    </row>
    <row r="20" ht="15" hidden="1" customHeight="1" spans="2:14">
      <c r="B20" s="230" t="str">
        <f>CONCATENATE('Assay Outline'!B24," (10 µM)")</f>
        <v> (10 µM)</v>
      </c>
      <c r="C20" s="231" t="s">
        <v>41</v>
      </c>
      <c r="D20" s="256" t="e">
        <f>Processed!O117</f>
        <v>#N/A</v>
      </c>
      <c r="E20" s="233" t="e">
        <f>Processed!M117</f>
        <v>#N/A</v>
      </c>
      <c r="F20" s="234" t="e">
        <f>Processed!P117</f>
        <v>#N/A</v>
      </c>
      <c r="G20" s="263" t="e">
        <f>Processed!M131</f>
        <v>#N/A</v>
      </c>
      <c r="H20" s="229"/>
      <c r="I20" s="279"/>
      <c r="J20" s="280"/>
      <c r="K20" s="299"/>
      <c r="L20" s="280"/>
      <c r="M20" s="280"/>
      <c r="N20" s="280"/>
    </row>
    <row r="21" ht="15" hidden="1" customHeight="1" spans="2:14">
      <c r="B21" s="257"/>
      <c r="C21" s="231" t="s">
        <v>44</v>
      </c>
      <c r="D21" s="232" t="e">
        <f>Processed!O123</f>
        <v>#N/A</v>
      </c>
      <c r="E21" s="237" t="e">
        <f>Processed!M123</f>
        <v>#N/A</v>
      </c>
      <c r="F21" s="234"/>
      <c r="G21" s="235"/>
      <c r="H21" s="229"/>
      <c r="I21" s="279"/>
      <c r="J21" s="280"/>
      <c r="K21" s="299"/>
      <c r="L21" s="280"/>
      <c r="M21" s="280"/>
      <c r="N21" s="280"/>
    </row>
    <row r="22" ht="15" hidden="1" customHeight="1" spans="2:14">
      <c r="B22" s="230" t="str">
        <f>CONCATENATE('Assay Outline'!B25," (10 µM)")</f>
        <v> (10 µM)</v>
      </c>
      <c r="C22" s="231" t="s">
        <v>41</v>
      </c>
      <c r="D22" s="256" t="e">
        <f>Processed!O138</f>
        <v>#N/A</v>
      </c>
      <c r="E22" s="238" t="e">
        <f>Processed!M138</f>
        <v>#N/A</v>
      </c>
      <c r="F22" s="234" t="e">
        <f>Processed!P138</f>
        <v>#N/A</v>
      </c>
      <c r="G22" s="263" t="e">
        <f>Processed!M152</f>
        <v>#N/A</v>
      </c>
      <c r="H22" s="229"/>
      <c r="I22" s="279"/>
      <c r="J22" s="280"/>
      <c r="K22" s="299"/>
      <c r="L22" s="280"/>
      <c r="M22" s="280"/>
      <c r="N22" s="280"/>
    </row>
    <row r="23" ht="15" hidden="1" customHeight="1" spans="2:14">
      <c r="B23" s="257"/>
      <c r="C23" s="231" t="s">
        <v>44</v>
      </c>
      <c r="D23" s="256" t="e">
        <f>Processed!O144</f>
        <v>#N/A</v>
      </c>
      <c r="E23" s="237" t="e">
        <f>Processed!M144</f>
        <v>#N/A</v>
      </c>
      <c r="F23" s="234"/>
      <c r="G23" s="235"/>
      <c r="H23" s="229"/>
      <c r="I23" s="279"/>
      <c r="J23" s="280"/>
      <c r="K23" s="122"/>
      <c r="L23" s="280"/>
      <c r="M23" s="280"/>
      <c r="N23" s="280"/>
    </row>
    <row r="24" s="218" customFormat="1" ht="15" hidden="1" customHeight="1" spans="2:14">
      <c r="B24" s="230" t="str">
        <f>CONCATENATE('Assay Outline'!B26," (10 µM)")</f>
        <v> (10 µM)</v>
      </c>
      <c r="C24" s="231" t="s">
        <v>41</v>
      </c>
      <c r="D24" s="256" t="e">
        <f>Processed!O159</f>
        <v>#N/A</v>
      </c>
      <c r="E24" s="233" t="e">
        <f>Processed!M159</f>
        <v>#N/A</v>
      </c>
      <c r="F24" s="234" t="e">
        <f>Processed!P159</f>
        <v>#N/A</v>
      </c>
      <c r="G24" s="263" t="e">
        <f>Processed!M173</f>
        <v>#N/A</v>
      </c>
      <c r="H24" s="229"/>
      <c r="I24" s="279"/>
      <c r="J24" s="300"/>
      <c r="K24" s="300"/>
      <c r="L24" s="300"/>
      <c r="M24" s="300"/>
      <c r="N24" s="300"/>
    </row>
    <row r="25" s="218" customFormat="1" ht="15" hidden="1" customHeight="1" spans="2:14">
      <c r="B25" s="257"/>
      <c r="C25" s="231" t="s">
        <v>44</v>
      </c>
      <c r="D25" s="256" t="e">
        <f>Processed!O165</f>
        <v>#N/A</v>
      </c>
      <c r="E25" s="237" t="e">
        <f>Processed!M165</f>
        <v>#N/A</v>
      </c>
      <c r="F25" s="234"/>
      <c r="G25" s="235"/>
      <c r="H25" s="229"/>
      <c r="I25" s="279"/>
      <c r="J25" s="300"/>
      <c r="K25" s="300"/>
      <c r="L25" s="300"/>
      <c r="M25" s="300"/>
      <c r="N25" s="300"/>
    </row>
    <row r="26" s="218" customFormat="1" ht="15" hidden="1" customHeight="1" spans="2:14">
      <c r="B26" s="230" t="str">
        <f>CONCATENATE('Assay Outline'!B27," (10 µM)")</f>
        <v> (10 µM)</v>
      </c>
      <c r="C26" s="231" t="s">
        <v>41</v>
      </c>
      <c r="D26" s="256" t="e">
        <f>Processed!O180</f>
        <v>#N/A</v>
      </c>
      <c r="E26" s="265" t="e">
        <f>Processed!M180</f>
        <v>#N/A</v>
      </c>
      <c r="F26" s="234" t="e">
        <f>Processed!P180</f>
        <v>#N/A</v>
      </c>
      <c r="G26" s="263" t="e">
        <f>Processed!M194</f>
        <v>#N/A</v>
      </c>
      <c r="H26" s="229"/>
      <c r="I26" s="279"/>
      <c r="J26" s="300"/>
      <c r="K26" s="300"/>
      <c r="L26" s="300"/>
      <c r="M26" s="300"/>
      <c r="N26" s="300"/>
    </row>
    <row r="27" s="218" customFormat="1" ht="15" hidden="1" customHeight="1" spans="2:14">
      <c r="B27" s="257"/>
      <c r="C27" s="231" t="s">
        <v>44</v>
      </c>
      <c r="D27" s="256" t="e">
        <f>Processed!O186</f>
        <v>#N/A</v>
      </c>
      <c r="E27" s="238" t="e">
        <f>Processed!M186</f>
        <v>#N/A</v>
      </c>
      <c r="F27" s="234"/>
      <c r="G27" s="235"/>
      <c r="H27" s="229"/>
      <c r="I27" s="279"/>
      <c r="J27" s="300"/>
      <c r="K27" s="300"/>
      <c r="L27" s="300"/>
      <c r="M27" s="300"/>
      <c r="N27" s="300"/>
    </row>
    <row r="28" s="218" customFormat="1" ht="15" hidden="1" customHeight="1" spans="2:14">
      <c r="B28" s="230" t="str">
        <f>CONCATENATE('Assay Outline'!B28," (10 µM)")</f>
        <v> (10 µM)</v>
      </c>
      <c r="C28" s="231" t="s">
        <v>41</v>
      </c>
      <c r="D28" s="256" t="e">
        <f>Processed!O201</f>
        <v>#N/A</v>
      </c>
      <c r="E28" s="233" t="e">
        <f>Processed!M201</f>
        <v>#N/A</v>
      </c>
      <c r="F28" s="234" t="e">
        <f>Processed!P201</f>
        <v>#N/A</v>
      </c>
      <c r="G28" s="263" t="e">
        <f>Processed!M215</f>
        <v>#N/A</v>
      </c>
      <c r="H28" s="229"/>
      <c r="I28" s="279"/>
      <c r="J28" s="300"/>
      <c r="K28" s="300"/>
      <c r="L28" s="300"/>
      <c r="M28" s="300"/>
      <c r="N28" s="300"/>
    </row>
    <row r="29" s="218" customFormat="1" ht="15" hidden="1" customHeight="1" spans="2:14">
      <c r="B29" s="257"/>
      <c r="C29" s="231" t="s">
        <v>44</v>
      </c>
      <c r="D29" s="256" t="e">
        <f>Processed!O207</f>
        <v>#N/A</v>
      </c>
      <c r="E29" s="238" t="e">
        <f>Processed!M207</f>
        <v>#N/A</v>
      </c>
      <c r="F29" s="234"/>
      <c r="G29" s="235"/>
      <c r="H29" s="229"/>
      <c r="I29" s="279"/>
      <c r="J29" s="300"/>
      <c r="K29" s="300"/>
      <c r="L29" s="300"/>
      <c r="M29" s="300"/>
      <c r="N29" s="300"/>
    </row>
    <row r="30" s="218" customFormat="1" ht="15" hidden="1" customHeight="1" spans="2:14">
      <c r="B30" s="230" t="str">
        <f>CONCATENATE('Assay Outline'!B29," (10 µM)")</f>
        <v> (10 µM)</v>
      </c>
      <c r="C30" s="266" t="s">
        <v>41</v>
      </c>
      <c r="D30" s="267" t="e">
        <f>Processed!O222</f>
        <v>#N/A</v>
      </c>
      <c r="E30" s="268" t="e">
        <f>Processed!M222</f>
        <v>#N/A</v>
      </c>
      <c r="F30" s="269" t="e">
        <f>Processed!P222</f>
        <v>#N/A</v>
      </c>
      <c r="G30" s="270" t="e">
        <f>Processed!M236</f>
        <v>#N/A</v>
      </c>
      <c r="H30" s="229"/>
      <c r="I30" s="279"/>
      <c r="J30" s="300"/>
      <c r="K30" s="300"/>
      <c r="L30" s="300"/>
      <c r="M30" s="300"/>
      <c r="N30" s="300"/>
    </row>
    <row r="31" s="218" customFormat="1" ht="15" hidden="1" customHeight="1" spans="2:14">
      <c r="B31" s="257"/>
      <c r="C31" s="258" t="s">
        <v>44</v>
      </c>
      <c r="D31" s="259" t="e">
        <f>Processed!O228</f>
        <v>#N/A</v>
      </c>
      <c r="E31" s="271" t="e">
        <f>Processed!M228</f>
        <v>#N/A</v>
      </c>
      <c r="F31" s="261"/>
      <c r="G31" s="262"/>
      <c r="H31" s="229"/>
      <c r="I31" s="279"/>
      <c r="J31" s="300"/>
      <c r="K31" s="300"/>
      <c r="L31" s="300"/>
      <c r="M31" s="300"/>
      <c r="N31" s="300"/>
    </row>
    <row r="32" s="218" customFormat="1" ht="15" hidden="1" customHeight="1" spans="2:14">
      <c r="B32" s="230" t="str">
        <f>CONCATENATE('Assay Outline'!B30," (10 µM)")</f>
        <v> (10 µM)</v>
      </c>
      <c r="C32" s="231" t="s">
        <v>41</v>
      </c>
      <c r="D32" s="256" t="e">
        <f>Processed!O243</f>
        <v>#N/A</v>
      </c>
      <c r="E32" s="265" t="e">
        <f>Processed!M243</f>
        <v>#N/A</v>
      </c>
      <c r="F32" s="234" t="e">
        <f>Processed!P243</f>
        <v>#N/A</v>
      </c>
      <c r="G32" s="263" t="e">
        <f>Processed!M257</f>
        <v>#N/A</v>
      </c>
      <c r="H32" s="229"/>
      <c r="I32" s="279"/>
      <c r="J32" s="300"/>
      <c r="K32" s="300"/>
      <c r="L32" s="300"/>
      <c r="M32" s="300"/>
      <c r="N32" s="300"/>
    </row>
    <row r="33" s="218" customFormat="1" ht="15" hidden="1" customHeight="1" spans="2:14">
      <c r="B33" s="272"/>
      <c r="C33" s="241" t="s">
        <v>44</v>
      </c>
      <c r="D33" s="273" t="e">
        <f>Processed!O249</f>
        <v>#N/A</v>
      </c>
      <c r="E33" s="274" t="e">
        <f>Processed!M249</f>
        <v>#N/A</v>
      </c>
      <c r="F33" s="275"/>
      <c r="G33" s="245"/>
      <c r="H33" s="229"/>
      <c r="I33" s="279"/>
      <c r="J33" s="300"/>
      <c r="K33" s="300"/>
      <c r="L33" s="300"/>
      <c r="M33" s="300"/>
      <c r="N33" s="300"/>
    </row>
    <row r="34" customHeight="1" spans="2:9">
      <c r="B34" s="276"/>
      <c r="C34" s="277"/>
      <c r="D34" s="277"/>
      <c r="E34" s="277"/>
      <c r="F34" s="277"/>
      <c r="G34" s="277"/>
      <c r="H34" s="229"/>
      <c r="I34" s="229"/>
    </row>
    <row r="35" customHeight="1" spans="2:7">
      <c r="B35" s="278" t="s">
        <v>54</v>
      </c>
      <c r="C35" s="229"/>
      <c r="D35" s="229"/>
      <c r="E35" s="229"/>
      <c r="F35" s="229"/>
      <c r="G35" s="229"/>
    </row>
    <row r="36" customHeight="1" spans="2:7">
      <c r="B36" s="279" t="s">
        <v>55</v>
      </c>
      <c r="C36" s="229"/>
      <c r="D36" s="229"/>
      <c r="E36" s="229"/>
      <c r="F36" s="229"/>
      <c r="G36" s="229"/>
    </row>
    <row r="37" customHeight="1" spans="2:7">
      <c r="B37" s="229"/>
      <c r="C37" s="229"/>
      <c r="D37" s="229"/>
      <c r="E37" s="229"/>
      <c r="F37" s="229"/>
      <c r="G37" s="229"/>
    </row>
  </sheetData>
  <mergeCells count="43">
    <mergeCell ref="K4:L4"/>
    <mergeCell ref="K5:L5"/>
    <mergeCell ref="K6:L6"/>
    <mergeCell ref="K7:L7"/>
    <mergeCell ref="B5:B6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F5:F6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G5:G6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I2:I3"/>
    <mergeCell ref="I4:I6"/>
    <mergeCell ref="J2:J3"/>
    <mergeCell ref="K2:L3"/>
    <mergeCell ref="B2:G3"/>
    <mergeCell ref="B11:G12"/>
  </mergeCells>
  <pageMargins left="0.7" right="0.7" top="0.75" bottom="0.75" header="0.3" footer="0.3"/>
  <pageSetup paperSize="9" scale="9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8"/>
  <sheetViews>
    <sheetView topLeftCell="A17" workbookViewId="0">
      <selection activeCell="P69" sqref="P69"/>
    </sheetView>
  </sheetViews>
  <sheetFormatPr defaultColWidth="9" defaultRowHeight="15"/>
  <cols>
    <col min="1" max="1" width="15.75" style="163" customWidth="1"/>
    <col min="2" max="2" width="9.25" style="164" customWidth="1"/>
    <col min="3" max="4" width="8.625" style="164" customWidth="1"/>
    <col min="5" max="5" width="24.25" style="164" customWidth="1"/>
    <col min="6" max="6" width="9.875" style="164" customWidth="1"/>
    <col min="7" max="9" width="8.875" style="165" customWidth="1"/>
    <col min="10" max="10" width="9.5" style="164" customWidth="1"/>
    <col min="11" max="11" width="9.125" style="164" customWidth="1"/>
    <col min="12" max="12" width="13.25" style="164" customWidth="1"/>
    <col min="13" max="13" width="10" style="164" customWidth="1"/>
    <col min="14" max="14" width="9.625" style="164" customWidth="1"/>
    <col min="15" max="15" width="9.25" style="164" customWidth="1"/>
    <col min="16" max="16" width="7.25" style="164" customWidth="1"/>
    <col min="17" max="17" width="7.75" style="164" customWidth="1"/>
    <col min="18" max="18" width="9" style="164"/>
    <col min="19" max="19" width="11.25" style="164" customWidth="1"/>
    <col min="20" max="16384" width="9" style="164"/>
  </cols>
  <sheetData>
    <row r="1" s="160" customFormat="1" ht="15.75" spans="1:18">
      <c r="A1" s="166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</row>
    <row r="2" s="161" customFormat="1" ht="44.25" customHeight="1" spans="1:19">
      <c r="A2" s="168" t="s">
        <v>31</v>
      </c>
      <c r="B2" s="169" t="s">
        <v>32</v>
      </c>
      <c r="C2" s="170" t="s">
        <v>56</v>
      </c>
      <c r="D2" s="170" t="s">
        <v>57</v>
      </c>
      <c r="E2" s="170" t="s">
        <v>58</v>
      </c>
      <c r="F2" s="170" t="s">
        <v>59</v>
      </c>
      <c r="G2" s="171" t="s">
        <v>60</v>
      </c>
      <c r="H2" s="37" t="s">
        <v>61</v>
      </c>
      <c r="I2" s="37" t="s">
        <v>62</v>
      </c>
      <c r="J2" s="170" t="s">
        <v>63</v>
      </c>
      <c r="K2" s="170" t="s">
        <v>64</v>
      </c>
      <c r="L2" s="170" t="s">
        <v>65</v>
      </c>
      <c r="M2" s="170" t="s">
        <v>66</v>
      </c>
      <c r="N2" s="170" t="s">
        <v>33</v>
      </c>
      <c r="O2" s="170" t="s">
        <v>67</v>
      </c>
      <c r="P2" s="170" t="s">
        <v>35</v>
      </c>
      <c r="Q2" s="202"/>
      <c r="R2" s="202"/>
      <c r="S2" s="202"/>
    </row>
    <row r="3" s="33" customFormat="1" ht="12.75" customHeight="1" spans="1:19">
      <c r="A3" s="161" t="s">
        <v>68</v>
      </c>
      <c r="B3" s="172" t="s">
        <v>69</v>
      </c>
      <c r="C3" s="172" t="s">
        <v>70</v>
      </c>
      <c r="D3" s="173">
        <v>120</v>
      </c>
      <c r="E3" s="40" t="s">
        <v>71</v>
      </c>
      <c r="F3" s="40" t="s">
        <v>72</v>
      </c>
      <c r="G3" s="173">
        <f>VLOOKUP($E3,'Controls raw data'!$B$2:$L$797,4,0)</f>
        <v>1</v>
      </c>
      <c r="H3" s="41">
        <f>VLOOKUP($E3,'Controls raw data'!$B$2:$L$797,5,0)</f>
        <v>1800</v>
      </c>
      <c r="I3" s="41">
        <f>VLOOKUP($E3,'Controls raw data'!$B$2:$L$797,6,0)</f>
        <v>633000</v>
      </c>
      <c r="J3" s="190">
        <f>VLOOKUP($E3,'Controls raw data'!$B$2:$L$797,7,0)</f>
        <v>0.00285</v>
      </c>
      <c r="K3" s="190">
        <f>AVERAGE(J3:J4)</f>
        <v>0.002675</v>
      </c>
      <c r="L3" s="191">
        <f>J3*1.3*G3/120/60/0.33/(G7*J7)*1000000</f>
        <v>0.31823335394764</v>
      </c>
      <c r="M3" s="191">
        <f>AVERAGE(L3:L4)</f>
        <v>0.306513780189889</v>
      </c>
      <c r="N3" s="192">
        <f>(J3*1.3*G3+J5*0.2*G5)/(G7*0.2*J7)*100</f>
        <v>99.5617346938776</v>
      </c>
      <c r="O3" s="192">
        <f>AVERAGE(N3:N4)</f>
        <v>97.908561312456</v>
      </c>
      <c r="P3" s="193" t="s">
        <v>48</v>
      </c>
      <c r="Q3" s="195"/>
      <c r="R3" s="195"/>
      <c r="S3" s="195"/>
    </row>
    <row r="4" s="33" customFormat="1" ht="12.75" customHeight="1" spans="1:19">
      <c r="A4" s="161"/>
      <c r="B4" s="33"/>
      <c r="C4" s="174"/>
      <c r="D4" s="33"/>
      <c r="E4" s="33" t="s">
        <v>73</v>
      </c>
      <c r="F4" s="33" t="s">
        <v>74</v>
      </c>
      <c r="G4" s="175">
        <f>VLOOKUP($E4,'Controls raw data'!$B$2:$L$797,4,0)</f>
        <v>1</v>
      </c>
      <c r="H4" s="44">
        <f>VLOOKUP($E4,'Controls raw data'!$B$2:$L$797,5,0)</f>
        <v>1610</v>
      </c>
      <c r="I4" s="44">
        <f>VLOOKUP($E4,'Controls raw data'!$B$2:$L$797,6,0)</f>
        <v>643000</v>
      </c>
      <c r="J4" s="194">
        <f>VLOOKUP($E4,'Controls raw data'!$B$2:$L$797,7,0)</f>
        <v>0.0025</v>
      </c>
      <c r="K4" s="195"/>
      <c r="L4" s="35">
        <f>J4*1.3*G4/120/60/0.33/(G8*J8)*1000000</f>
        <v>0.294794206432137</v>
      </c>
      <c r="M4" s="195"/>
      <c r="N4" s="196">
        <f>(J4*1.3*G4+J6*0.2*G6)/(G8*0.2*J8)*100</f>
        <v>96.2553879310345</v>
      </c>
      <c r="O4" s="195"/>
      <c r="P4" s="195"/>
      <c r="Q4" s="195"/>
      <c r="R4" s="195"/>
      <c r="S4" s="195"/>
    </row>
    <row r="5" s="33" customFormat="1" ht="12.75" customHeight="1" spans="1:19">
      <c r="A5" s="161"/>
      <c r="B5" s="33"/>
      <c r="C5" s="174" t="s">
        <v>75</v>
      </c>
      <c r="D5" s="175">
        <v>120</v>
      </c>
      <c r="E5" s="33" t="s">
        <v>76</v>
      </c>
      <c r="F5" s="33" t="s">
        <v>77</v>
      </c>
      <c r="G5" s="175">
        <f>VLOOKUP($E5,'Controls raw data'!$B$2:$L$797,4,0)</f>
        <v>10</v>
      </c>
      <c r="H5" s="44">
        <f>VLOOKUP($E5,'Controls raw data'!$B$2:$L$797,5,0)</f>
        <v>303000</v>
      </c>
      <c r="I5" s="44">
        <f>VLOOKUP($E5,'Controls raw data'!$B$2:$L$797,6,0)</f>
        <v>623000</v>
      </c>
      <c r="J5" s="35">
        <f>VLOOKUP($E5,'Controls raw data'!$B$2:$L$797,7,0)</f>
        <v>0.486</v>
      </c>
      <c r="K5" s="35">
        <f>AVERAGE(J5:J6)</f>
        <v>0.4655</v>
      </c>
      <c r="L5" s="197" t="s">
        <v>48</v>
      </c>
      <c r="M5" s="197" t="s">
        <v>48</v>
      </c>
      <c r="N5" s="175" t="s">
        <v>48</v>
      </c>
      <c r="O5" s="198" t="s">
        <v>48</v>
      </c>
      <c r="P5" s="195"/>
      <c r="Q5" s="195"/>
      <c r="R5" s="195"/>
      <c r="S5" s="195"/>
    </row>
    <row r="6" s="33" customFormat="1" ht="12.75" customHeight="1" spans="1:19">
      <c r="A6" s="161"/>
      <c r="B6" s="33"/>
      <c r="C6" s="174"/>
      <c r="D6" s="33"/>
      <c r="E6" s="33" t="s">
        <v>78</v>
      </c>
      <c r="F6" s="33" t="s">
        <v>79</v>
      </c>
      <c r="G6" s="175">
        <f>VLOOKUP($E6,'Controls raw data'!$B$2:$L$797,4,0)</f>
        <v>10</v>
      </c>
      <c r="H6" s="44">
        <f>VLOOKUP($E6,'Controls raw data'!$B$2:$L$797,5,0)</f>
        <v>289000</v>
      </c>
      <c r="I6" s="44">
        <f>VLOOKUP($E6,'Controls raw data'!$B$2:$L$797,6,0)</f>
        <v>650000</v>
      </c>
      <c r="J6" s="35">
        <f>VLOOKUP($E6,'Controls raw data'!$B$2:$L$797,7,0)</f>
        <v>0.445</v>
      </c>
      <c r="K6" s="195"/>
      <c r="L6" s="195"/>
      <c r="M6" s="195"/>
      <c r="N6" s="195"/>
      <c r="O6" s="195"/>
      <c r="P6" s="195"/>
      <c r="Q6" s="195"/>
      <c r="R6" s="195"/>
      <c r="S6" s="195"/>
    </row>
    <row r="7" s="33" customFormat="1" ht="15.6" customHeight="1" spans="1:19">
      <c r="A7" s="161"/>
      <c r="B7" s="33" t="s">
        <v>80</v>
      </c>
      <c r="C7" s="174" t="s">
        <v>48</v>
      </c>
      <c r="D7" s="175">
        <v>0</v>
      </c>
      <c r="E7" s="33" t="s">
        <v>81</v>
      </c>
      <c r="F7" s="33" t="s">
        <v>82</v>
      </c>
      <c r="G7" s="175">
        <f>VLOOKUP($E7,'Controls raw data'!$B$2:$L$797,4,0)</f>
        <v>10</v>
      </c>
      <c r="H7" s="44">
        <f>VLOOKUP($E7,'Controls raw data'!$B$2:$L$797,5,0)</f>
        <v>314000</v>
      </c>
      <c r="I7" s="44">
        <f>VLOOKUP($E7,'Controls raw data'!$B$2:$L$797,6,0)</f>
        <v>641000</v>
      </c>
      <c r="J7" s="35">
        <f>VLOOKUP($E7,'Controls raw data'!$B$2:$L$797,7,0)</f>
        <v>0.49</v>
      </c>
      <c r="K7" s="35">
        <f>AVERAGE(J7:J8)</f>
        <v>0.477</v>
      </c>
      <c r="L7" s="199" t="s">
        <v>48</v>
      </c>
      <c r="M7" s="197" t="s">
        <v>48</v>
      </c>
      <c r="N7" s="175" t="s">
        <v>48</v>
      </c>
      <c r="O7" s="198" t="s">
        <v>48</v>
      </c>
      <c r="P7" s="195"/>
      <c r="Q7" s="195"/>
      <c r="R7" s="195"/>
      <c r="S7" s="195"/>
    </row>
    <row r="8" s="33" customFormat="1" ht="15.6" customHeight="1" spans="1:19">
      <c r="A8" s="176"/>
      <c r="B8" s="47"/>
      <c r="C8" s="177"/>
      <c r="D8" s="178"/>
      <c r="E8" s="47" t="s">
        <v>83</v>
      </c>
      <c r="F8" s="47" t="s">
        <v>84</v>
      </c>
      <c r="G8" s="178">
        <f>VLOOKUP($E8,'Controls raw data'!$B$2:$L$797,4,0)</f>
        <v>10</v>
      </c>
      <c r="H8" s="48">
        <f>VLOOKUP($E8,'Controls raw data'!$B$2:$L$797,5,0)</f>
        <v>292000</v>
      </c>
      <c r="I8" s="48">
        <f>VLOOKUP($E8,'Controls raw data'!$B$2:$L$797,6,0)</f>
        <v>629000</v>
      </c>
      <c r="J8" s="200">
        <f>VLOOKUP($E8,'Controls raw data'!$B$2:$L$797,7,0)</f>
        <v>0.464</v>
      </c>
      <c r="K8" s="201"/>
      <c r="L8" s="201"/>
      <c r="M8" s="201"/>
      <c r="N8" s="201"/>
      <c r="O8" s="201"/>
      <c r="P8" s="201"/>
      <c r="Q8" s="195"/>
      <c r="R8" s="195"/>
      <c r="S8" s="195"/>
    </row>
    <row r="9" s="33" customFormat="1" ht="12.75" customHeight="1" spans="1:19">
      <c r="A9" s="161"/>
      <c r="C9" s="174"/>
      <c r="D9" s="175"/>
      <c r="G9" s="175"/>
      <c r="H9" s="48"/>
      <c r="I9" s="48"/>
      <c r="J9" s="195"/>
      <c r="K9" s="195"/>
      <c r="L9" s="195"/>
      <c r="M9" s="195"/>
      <c r="N9" s="195"/>
      <c r="O9" s="195"/>
      <c r="P9" s="195"/>
      <c r="Q9" s="195"/>
      <c r="R9" s="195"/>
      <c r="S9" s="195"/>
    </row>
    <row r="10" s="161" customFormat="1" ht="44.25" customHeight="1" spans="1:19">
      <c r="A10" s="170" t="s">
        <v>31</v>
      </c>
      <c r="B10" s="179" t="s">
        <v>85</v>
      </c>
      <c r="C10" s="179"/>
      <c r="D10" s="170" t="s">
        <v>57</v>
      </c>
      <c r="E10" s="170" t="s">
        <v>58</v>
      </c>
      <c r="F10" s="170" t="s">
        <v>59</v>
      </c>
      <c r="G10" s="171" t="s">
        <v>60</v>
      </c>
      <c r="H10" s="37" t="s">
        <v>61</v>
      </c>
      <c r="I10" s="37" t="s">
        <v>62</v>
      </c>
      <c r="J10" s="170" t="s">
        <v>63</v>
      </c>
      <c r="K10" s="170" t="s">
        <v>64</v>
      </c>
      <c r="L10" s="170" t="s">
        <v>86</v>
      </c>
      <c r="M10" s="170" t="s">
        <v>87</v>
      </c>
      <c r="N10" s="202"/>
      <c r="O10" s="202"/>
      <c r="P10" s="202"/>
      <c r="Q10" s="195"/>
      <c r="R10" s="202"/>
      <c r="S10" s="202"/>
    </row>
    <row r="11" s="33" customFormat="1" ht="15.6" customHeight="1" spans="1:19">
      <c r="A11" s="170" t="s">
        <v>68</v>
      </c>
      <c r="B11" s="172" t="s">
        <v>88</v>
      </c>
      <c r="C11" s="172"/>
      <c r="D11" s="173">
        <v>120</v>
      </c>
      <c r="E11" s="40" t="s">
        <v>89</v>
      </c>
      <c r="F11" s="40" t="s">
        <v>90</v>
      </c>
      <c r="G11" s="173">
        <f>VLOOKUP($E11,'Controls raw data'!$B$2:$L$797,4,0)</f>
        <v>10</v>
      </c>
      <c r="H11" s="41">
        <f>VLOOKUP($E11,'Controls raw data'!$B$2:$L$797,5,0)</f>
        <v>307000</v>
      </c>
      <c r="I11" s="41">
        <f>VLOOKUP($E11,'Controls raw data'!$B$2:$L$797,6,0)</f>
        <v>632000</v>
      </c>
      <c r="J11" s="191">
        <f>VLOOKUP($E11,'Controls raw data'!$B$2:$L$797,7,0)</f>
        <v>0.486</v>
      </c>
      <c r="K11" s="191">
        <f>AVERAGE(J11:J12)</f>
        <v>0.5065</v>
      </c>
      <c r="L11" s="203">
        <f>J11*G11/(G13*J13)*100</f>
        <v>102.53164556962</v>
      </c>
      <c r="M11" s="203">
        <f>AVERAGE(L11:L12)</f>
        <v>104.714098646879</v>
      </c>
      <c r="N11" s="195"/>
      <c r="O11" s="204"/>
      <c r="P11" s="204"/>
      <c r="Q11" s="195"/>
      <c r="R11" s="195"/>
      <c r="S11" s="195"/>
    </row>
    <row r="12" s="33" customFormat="1" ht="15.6" customHeight="1" spans="1:19">
      <c r="A12" s="161"/>
      <c r="B12" s="174"/>
      <c r="C12" s="174"/>
      <c r="D12" s="33"/>
      <c r="E12" s="33" t="s">
        <v>91</v>
      </c>
      <c r="F12" s="33" t="s">
        <v>92</v>
      </c>
      <c r="G12" s="175">
        <f>VLOOKUP($E12,'Controls raw data'!$B$2:$L$797,4,0)</f>
        <v>10</v>
      </c>
      <c r="H12" s="44">
        <f>VLOOKUP($E12,'Controls raw data'!$B$2:$L$797,5,0)</f>
        <v>329000</v>
      </c>
      <c r="I12" s="44">
        <f>VLOOKUP($E12,'Controls raw data'!$B$2:$L$797,6,0)</f>
        <v>625000</v>
      </c>
      <c r="J12" s="35">
        <f>VLOOKUP($E12,'Controls raw data'!$B$2:$L$797,7,0)</f>
        <v>0.527</v>
      </c>
      <c r="K12" s="195"/>
      <c r="L12" s="195">
        <f>J12*G12/(G14*J14)*100</f>
        <v>106.896551724138</v>
      </c>
      <c r="M12" s="195"/>
      <c r="N12" s="195"/>
      <c r="O12" s="204"/>
      <c r="P12" s="204"/>
      <c r="Q12" s="195"/>
      <c r="R12" s="195"/>
      <c r="S12" s="195"/>
    </row>
    <row r="13" s="33" customFormat="1" ht="15.6" customHeight="1" spans="1:19">
      <c r="A13" s="161"/>
      <c r="B13" s="174"/>
      <c r="C13" s="174"/>
      <c r="D13" s="175">
        <v>0</v>
      </c>
      <c r="E13" s="33" t="s">
        <v>93</v>
      </c>
      <c r="F13" s="33" t="s">
        <v>94</v>
      </c>
      <c r="G13" s="175">
        <f>VLOOKUP($E13,'Controls raw data'!$B$2:$L$797,4,0)</f>
        <v>10</v>
      </c>
      <c r="H13" s="44">
        <f>VLOOKUP($E13,'Controls raw data'!$B$2:$L$797,5,0)</f>
        <v>302000</v>
      </c>
      <c r="I13" s="44">
        <f>VLOOKUP($E13,'Controls raw data'!$B$2:$L$797,6,0)</f>
        <v>637000</v>
      </c>
      <c r="J13" s="35">
        <f>VLOOKUP($E13,'Controls raw data'!$B$2:$L$797,7,0)</f>
        <v>0.474</v>
      </c>
      <c r="K13" s="35">
        <f>AVERAGE(J13:J14)</f>
        <v>0.4835</v>
      </c>
      <c r="L13" s="199" t="s">
        <v>48</v>
      </c>
      <c r="M13" s="197" t="s">
        <v>48</v>
      </c>
      <c r="N13" s="204"/>
      <c r="O13" s="204"/>
      <c r="P13" s="204"/>
      <c r="Q13" s="195"/>
      <c r="R13" s="195"/>
      <c r="S13" s="195"/>
    </row>
    <row r="14" s="33" customFormat="1" ht="15.6" customHeight="1" spans="1:19">
      <c r="A14" s="176"/>
      <c r="B14" s="177"/>
      <c r="C14" s="177"/>
      <c r="D14" s="178"/>
      <c r="E14" s="47" t="s">
        <v>95</v>
      </c>
      <c r="F14" s="47" t="s">
        <v>96</v>
      </c>
      <c r="G14" s="178">
        <f>VLOOKUP($E14,'Controls raw data'!$B$2:$L$797,4,0)</f>
        <v>10</v>
      </c>
      <c r="H14" s="48">
        <f>VLOOKUP($E14,'Controls raw data'!$B$2:$L$797,5,0)</f>
        <v>308000</v>
      </c>
      <c r="I14" s="48">
        <f>VLOOKUP($E14,'Controls raw data'!$B$2:$L$797,6,0)</f>
        <v>625000</v>
      </c>
      <c r="J14" s="200">
        <f>VLOOKUP($E14,'Controls raw data'!$B$2:$L$797,7,0)</f>
        <v>0.493</v>
      </c>
      <c r="K14" s="201"/>
      <c r="L14" s="201"/>
      <c r="M14" s="201"/>
      <c r="N14" s="204"/>
      <c r="O14" s="204"/>
      <c r="P14" s="204"/>
      <c r="Q14" s="195"/>
      <c r="R14" s="195"/>
      <c r="S14" s="195"/>
    </row>
    <row r="15" s="33" customFormat="1" ht="12.75" customHeight="1" spans="1:19">
      <c r="A15" s="161"/>
      <c r="B15" s="174"/>
      <c r="C15" s="174"/>
      <c r="D15" s="175"/>
      <c r="G15" s="175"/>
      <c r="H15" s="44"/>
      <c r="I15" s="44"/>
      <c r="J15" s="195"/>
      <c r="K15" s="195"/>
      <c r="L15" s="195"/>
      <c r="M15" s="195"/>
      <c r="N15" s="195"/>
      <c r="O15" s="195"/>
      <c r="P15" s="195"/>
      <c r="Q15" s="195"/>
      <c r="R15" s="195"/>
      <c r="S15" s="195"/>
    </row>
    <row r="16" s="162" customFormat="1" ht="12.75" customHeight="1" spans="1:19">
      <c r="A16" s="180"/>
      <c r="C16" s="181"/>
      <c r="D16" s="182"/>
      <c r="G16" s="182"/>
      <c r="H16" s="183"/>
      <c r="I16" s="183"/>
      <c r="J16" s="205"/>
      <c r="K16" s="205"/>
      <c r="L16" s="205"/>
      <c r="M16" s="205"/>
      <c r="N16" s="205"/>
      <c r="O16" s="205"/>
      <c r="P16" s="205"/>
      <c r="Q16" s="205"/>
      <c r="R16" s="205"/>
      <c r="S16" s="205"/>
    </row>
    <row r="17" s="161" customFormat="1" ht="44.25" customHeight="1" spans="1:19">
      <c r="A17" s="170" t="s">
        <v>31</v>
      </c>
      <c r="B17" s="169" t="s">
        <v>32</v>
      </c>
      <c r="C17" s="170" t="s">
        <v>56</v>
      </c>
      <c r="D17" s="170" t="s">
        <v>57</v>
      </c>
      <c r="E17" s="170" t="s">
        <v>58</v>
      </c>
      <c r="F17" s="170" t="s">
        <v>59</v>
      </c>
      <c r="G17" s="171" t="s">
        <v>60</v>
      </c>
      <c r="H17" s="37" t="s">
        <v>61</v>
      </c>
      <c r="I17" s="37" t="s">
        <v>62</v>
      </c>
      <c r="J17" s="170" t="s">
        <v>63</v>
      </c>
      <c r="K17" s="170" t="s">
        <v>64</v>
      </c>
      <c r="L17" s="170" t="s">
        <v>65</v>
      </c>
      <c r="M17" s="170" t="s">
        <v>66</v>
      </c>
      <c r="N17" s="170" t="s">
        <v>33</v>
      </c>
      <c r="O17" s="170" t="s">
        <v>67</v>
      </c>
      <c r="P17" s="170" t="s">
        <v>35</v>
      </c>
      <c r="Q17" s="202"/>
      <c r="R17" s="202"/>
      <c r="S17" s="202"/>
    </row>
    <row r="18" s="33" customFormat="1" ht="13.15" customHeight="1" spans="1:19">
      <c r="A18" s="170" t="s">
        <v>97</v>
      </c>
      <c r="B18" s="172" t="s">
        <v>69</v>
      </c>
      <c r="C18" s="172" t="s">
        <v>70</v>
      </c>
      <c r="D18" s="173">
        <v>120</v>
      </c>
      <c r="E18" s="40" t="s">
        <v>98</v>
      </c>
      <c r="F18" s="40" t="s">
        <v>72</v>
      </c>
      <c r="G18" s="173">
        <f>VLOOKUP($E18,'Controls raw data'!$B$2:$L$797,4,0)</f>
        <v>1</v>
      </c>
      <c r="H18" s="41">
        <f>VLOOKUP($E18,'Controls raw data'!$B$2:$L$797,5,0)</f>
        <v>33800</v>
      </c>
      <c r="I18" s="41">
        <f>VLOOKUP($E18,'Controls raw data'!$B$2:$L$797,6,0)</f>
        <v>305000</v>
      </c>
      <c r="J18" s="191">
        <f>VLOOKUP($E18,'Controls raw data'!$B$2:$L$797,7,0)</f>
        <v>0.111</v>
      </c>
      <c r="K18" s="191">
        <f>AVERAGE(J18:J19)</f>
        <v>0.11</v>
      </c>
      <c r="L18" s="206">
        <f>J18*1.3*G18/120/60/0.33/(G22*J22)*1000000</f>
        <v>5.42252886002886</v>
      </c>
      <c r="M18" s="206">
        <f>AVERAGE(L18:L19)</f>
        <v>5.47228513084995</v>
      </c>
      <c r="N18" s="192">
        <f>(J18*1.3*G18+J20*0.2*G20)/(G22*0.2*J22)*100</f>
        <v>99.2991071428571</v>
      </c>
      <c r="O18" s="203">
        <f>AVERAGE(N18:N19)</f>
        <v>102.929646164021</v>
      </c>
      <c r="P18" s="193" t="s">
        <v>48</v>
      </c>
      <c r="Q18" s="195"/>
      <c r="R18" s="195"/>
      <c r="S18" s="195"/>
    </row>
    <row r="19" s="33" customFormat="1" ht="12.75" customHeight="1" spans="1:19">
      <c r="A19" s="161"/>
      <c r="B19" s="33"/>
      <c r="C19" s="174"/>
      <c r="D19" s="33"/>
      <c r="E19" s="33" t="s">
        <v>99</v>
      </c>
      <c r="F19" s="33" t="s">
        <v>74</v>
      </c>
      <c r="G19" s="175">
        <f>VLOOKUP($E19,'Controls raw data'!$B$2:$L$797,4,0)</f>
        <v>1</v>
      </c>
      <c r="H19" s="44">
        <f>VLOOKUP($E19,'Controls raw data'!$B$2:$L$797,5,0)</f>
        <v>32700</v>
      </c>
      <c r="I19" s="44">
        <f>VLOOKUP($E19,'Controls raw data'!$B$2:$L$797,6,0)</f>
        <v>300000</v>
      </c>
      <c r="J19" s="35">
        <f>VLOOKUP($E19,'Controls raw data'!$B$2:$L$797,7,0)</f>
        <v>0.109</v>
      </c>
      <c r="K19" s="195"/>
      <c r="L19" s="207">
        <f>J19*1.3*G19/120/60/0.33/(G23*J23)*1000000</f>
        <v>5.52204140167103</v>
      </c>
      <c r="M19" s="195"/>
      <c r="N19" s="195">
        <f>(J19*1.3*G19+J21*0.2*G21)/(G23*0.2*J23)*100</f>
        <v>106.560185185185</v>
      </c>
      <c r="O19" s="195"/>
      <c r="P19" s="195"/>
      <c r="Q19" s="195"/>
      <c r="R19" s="195"/>
      <c r="S19" s="195"/>
    </row>
    <row r="20" s="33" customFormat="1" ht="12.75" customHeight="1" spans="1:19">
      <c r="A20" s="161"/>
      <c r="B20" s="33"/>
      <c r="C20" s="174" t="s">
        <v>75</v>
      </c>
      <c r="D20" s="175">
        <v>120</v>
      </c>
      <c r="E20" s="33" t="s">
        <v>100</v>
      </c>
      <c r="F20" s="33" t="s">
        <v>77</v>
      </c>
      <c r="G20" s="175">
        <f>VLOOKUP($E20,'Controls raw data'!$B$2:$L$797,4,0)</f>
        <v>10</v>
      </c>
      <c r="H20" s="44">
        <f>VLOOKUP($E20,'Controls raw data'!$B$2:$L$797,5,0)</f>
        <v>318000</v>
      </c>
      <c r="I20" s="44">
        <f>VLOOKUP($E20,'Controls raw data'!$B$2:$L$797,6,0)</f>
        <v>305000</v>
      </c>
      <c r="J20" s="207">
        <f>VLOOKUP($E20,'Controls raw data'!$B$2:$L$797,7,0)</f>
        <v>1.04</v>
      </c>
      <c r="K20" s="207">
        <f>AVERAGE(J20:J21)</f>
        <v>1.06</v>
      </c>
      <c r="L20" s="197" t="s">
        <v>48</v>
      </c>
      <c r="M20" s="197" t="s">
        <v>48</v>
      </c>
      <c r="N20" s="175" t="s">
        <v>48</v>
      </c>
      <c r="O20" s="198" t="s">
        <v>48</v>
      </c>
      <c r="P20" s="195"/>
      <c r="Q20" s="195"/>
      <c r="R20" s="195"/>
      <c r="S20" s="195"/>
    </row>
    <row r="21" s="33" customFormat="1" ht="12.75" customHeight="1" spans="1:19">
      <c r="A21" s="161"/>
      <c r="B21" s="33"/>
      <c r="C21" s="174"/>
      <c r="D21" s="33"/>
      <c r="E21" s="33" t="s">
        <v>101</v>
      </c>
      <c r="F21" s="33" t="s">
        <v>79</v>
      </c>
      <c r="G21" s="175">
        <f>VLOOKUP($E21,'Controls raw data'!$B$2:$L$797,4,0)</f>
        <v>10</v>
      </c>
      <c r="H21" s="44">
        <f>VLOOKUP($E21,'Controls raw data'!$B$2:$L$797,5,0)</f>
        <v>323000</v>
      </c>
      <c r="I21" s="44">
        <f>VLOOKUP($E21,'Controls raw data'!$B$2:$L$797,6,0)</f>
        <v>300000</v>
      </c>
      <c r="J21" s="207">
        <f>VLOOKUP($E21,'Controls raw data'!$B$2:$L$797,7,0)</f>
        <v>1.08</v>
      </c>
      <c r="K21" s="195"/>
      <c r="L21" s="195"/>
      <c r="M21" s="195"/>
      <c r="N21" s="195"/>
      <c r="O21" s="195"/>
      <c r="P21" s="195"/>
      <c r="Q21" s="195"/>
      <c r="R21" s="195"/>
      <c r="S21" s="195"/>
    </row>
    <row r="22" s="33" customFormat="1" ht="15.6" customHeight="1" spans="1:19">
      <c r="A22" s="161"/>
      <c r="B22" s="33" t="s">
        <v>80</v>
      </c>
      <c r="C22" s="174" t="s">
        <v>48</v>
      </c>
      <c r="D22" s="175">
        <v>0</v>
      </c>
      <c r="E22" s="33" t="s">
        <v>102</v>
      </c>
      <c r="F22" s="33" t="s">
        <v>82</v>
      </c>
      <c r="G22" s="175">
        <f>VLOOKUP($E22,'Controls raw data'!$B$2:$L$797,4,0)</f>
        <v>10</v>
      </c>
      <c r="H22" s="44">
        <f>VLOOKUP($E22,'Controls raw data'!$B$2:$L$797,5,0)</f>
        <v>355000</v>
      </c>
      <c r="I22" s="44">
        <f>VLOOKUP($E22,'Controls raw data'!$B$2:$L$797,6,0)</f>
        <v>316000</v>
      </c>
      <c r="J22" s="207">
        <f>VLOOKUP($E22,'Controls raw data'!$B$2:$L$797,7,0)</f>
        <v>1.12</v>
      </c>
      <c r="K22" s="207">
        <f>AVERAGE(J22:J23)</f>
        <v>1.1</v>
      </c>
      <c r="L22" s="199" t="s">
        <v>48</v>
      </c>
      <c r="M22" s="197" t="s">
        <v>48</v>
      </c>
      <c r="N22" s="175" t="s">
        <v>48</v>
      </c>
      <c r="O22" s="198" t="s">
        <v>48</v>
      </c>
      <c r="P22" s="195"/>
      <c r="Q22" s="195"/>
      <c r="R22" s="195"/>
      <c r="S22" s="195"/>
    </row>
    <row r="23" s="33" customFormat="1" ht="15.6" customHeight="1" spans="1:19">
      <c r="A23" s="176"/>
      <c r="B23" s="47"/>
      <c r="C23" s="177"/>
      <c r="D23" s="178"/>
      <c r="E23" s="47" t="s">
        <v>103</v>
      </c>
      <c r="F23" s="47" t="s">
        <v>84</v>
      </c>
      <c r="G23" s="178">
        <f>VLOOKUP($E23,'Controls raw data'!$B$2:$L$797,4,0)</f>
        <v>10</v>
      </c>
      <c r="H23" s="48">
        <f>VLOOKUP($E23,'Controls raw data'!$B$2:$L$797,5,0)</f>
        <v>317000</v>
      </c>
      <c r="I23" s="48">
        <f>VLOOKUP($E23,'Controls raw data'!$B$2:$L$797,6,0)</f>
        <v>293000</v>
      </c>
      <c r="J23" s="208">
        <f>VLOOKUP($E23,'Controls raw data'!$B$2:$L$797,7,0)</f>
        <v>1.08</v>
      </c>
      <c r="K23" s="201"/>
      <c r="L23" s="201"/>
      <c r="M23" s="201"/>
      <c r="N23" s="201"/>
      <c r="O23" s="201"/>
      <c r="P23" s="201"/>
      <c r="Q23" s="195"/>
      <c r="R23" s="195"/>
      <c r="S23" s="195"/>
    </row>
    <row r="24" s="33" customFormat="1" ht="12.75" customHeight="1" spans="1:19">
      <c r="A24" s="161"/>
      <c r="C24" s="174"/>
      <c r="D24" s="175"/>
      <c r="G24" s="175"/>
      <c r="H24" s="48"/>
      <c r="I24" s="48"/>
      <c r="J24" s="195"/>
      <c r="K24" s="195"/>
      <c r="L24" s="195"/>
      <c r="M24" s="195"/>
      <c r="N24" s="195"/>
      <c r="O24" s="195"/>
      <c r="P24" s="195"/>
      <c r="Q24" s="195"/>
      <c r="R24" s="195"/>
      <c r="S24" s="195"/>
    </row>
    <row r="25" s="161" customFormat="1" ht="44.25" customHeight="1" spans="1:19">
      <c r="A25" s="170" t="s">
        <v>31</v>
      </c>
      <c r="B25" s="179" t="s">
        <v>85</v>
      </c>
      <c r="C25" s="179"/>
      <c r="D25" s="170" t="s">
        <v>57</v>
      </c>
      <c r="E25" s="170" t="s">
        <v>58</v>
      </c>
      <c r="F25" s="170" t="s">
        <v>59</v>
      </c>
      <c r="G25" s="171" t="s">
        <v>60</v>
      </c>
      <c r="H25" s="37" t="s">
        <v>61</v>
      </c>
      <c r="I25" s="37" t="s">
        <v>62</v>
      </c>
      <c r="J25" s="170" t="s">
        <v>63</v>
      </c>
      <c r="K25" s="170" t="s">
        <v>64</v>
      </c>
      <c r="L25" s="170" t="s">
        <v>86</v>
      </c>
      <c r="M25" s="170" t="s">
        <v>87</v>
      </c>
      <c r="N25" s="202"/>
      <c r="O25" s="202"/>
      <c r="P25" s="202"/>
      <c r="Q25" s="202"/>
      <c r="R25" s="202"/>
      <c r="S25" s="202"/>
    </row>
    <row r="26" s="33" customFormat="1" ht="15.6" customHeight="1" spans="1:19">
      <c r="A26" s="170" t="s">
        <v>97</v>
      </c>
      <c r="B26" s="172" t="s">
        <v>88</v>
      </c>
      <c r="C26" s="172"/>
      <c r="D26" s="173">
        <v>120</v>
      </c>
      <c r="E26" s="40" t="s">
        <v>104</v>
      </c>
      <c r="F26" s="40" t="s">
        <v>90</v>
      </c>
      <c r="G26" s="173">
        <f>VLOOKUP($E26,'Controls raw data'!$B$2:$L$797,4,0)</f>
        <v>10</v>
      </c>
      <c r="H26" s="41">
        <f>VLOOKUP($E26,'Controls raw data'!$B$2:$L$797,5,0)</f>
        <v>367000</v>
      </c>
      <c r="I26" s="41">
        <f>VLOOKUP($E26,'Controls raw data'!$B$2:$L$797,6,0)</f>
        <v>277000</v>
      </c>
      <c r="J26" s="206">
        <f>VLOOKUP($E26,'Controls raw data'!$B$2:$L$797,7,0)</f>
        <v>1.32</v>
      </c>
      <c r="K26" s="206">
        <f>AVERAGE(J26:J27)</f>
        <v>1.245</v>
      </c>
      <c r="L26" s="203">
        <f>J26*G26/(G28*J28)*100</f>
        <v>117.857142857143</v>
      </c>
      <c r="M26" s="203">
        <f>AVERAGE(L26:L27)</f>
        <v>109.798136645963</v>
      </c>
      <c r="N26" s="195"/>
      <c r="O26" s="204"/>
      <c r="P26" s="204"/>
      <c r="Q26" s="195"/>
      <c r="R26" s="195"/>
      <c r="S26" s="195"/>
    </row>
    <row r="27" s="33" customFormat="1" ht="15.6" customHeight="1" spans="1:19">
      <c r="A27" s="161"/>
      <c r="B27" s="174"/>
      <c r="C27" s="174"/>
      <c r="D27" s="33"/>
      <c r="E27" s="33" t="s">
        <v>105</v>
      </c>
      <c r="F27" s="33" t="s">
        <v>92</v>
      </c>
      <c r="G27" s="175">
        <f>VLOOKUP($E27,'Controls raw data'!$B$2:$L$797,4,0)</f>
        <v>10</v>
      </c>
      <c r="H27" s="44">
        <f>VLOOKUP($E27,'Controls raw data'!$B$2:$L$797,5,0)</f>
        <v>351000</v>
      </c>
      <c r="I27" s="44">
        <f>VLOOKUP($E27,'Controls raw data'!$B$2:$L$797,6,0)</f>
        <v>301000</v>
      </c>
      <c r="J27" s="207">
        <f>VLOOKUP($E27,'Controls raw data'!$B$2:$L$797,7,0)</f>
        <v>1.17</v>
      </c>
      <c r="K27" s="195"/>
      <c r="L27" s="195">
        <f>J27*G27/(G29*J29)*100</f>
        <v>101.739130434783</v>
      </c>
      <c r="M27" s="195"/>
      <c r="N27" s="195"/>
      <c r="O27" s="204"/>
      <c r="P27" s="204"/>
      <c r="Q27" s="195"/>
      <c r="R27" s="195"/>
      <c r="S27" s="195"/>
    </row>
    <row r="28" s="33" customFormat="1" ht="15.6" customHeight="1" spans="1:19">
      <c r="A28" s="161"/>
      <c r="B28" s="174"/>
      <c r="C28" s="174"/>
      <c r="D28" s="175">
        <v>0</v>
      </c>
      <c r="E28" s="33" t="s">
        <v>106</v>
      </c>
      <c r="F28" s="33" t="s">
        <v>94</v>
      </c>
      <c r="G28" s="175">
        <f>VLOOKUP($E28,'Controls raw data'!$B$2:$L$797,4,0)</f>
        <v>10</v>
      </c>
      <c r="H28" s="44">
        <f>VLOOKUP($E28,'Controls raw data'!$B$2:$L$797,5,0)</f>
        <v>366000</v>
      </c>
      <c r="I28" s="44">
        <f>VLOOKUP($E28,'Controls raw data'!$B$2:$L$797,6,0)</f>
        <v>327000</v>
      </c>
      <c r="J28" s="207">
        <f>VLOOKUP($E28,'Controls raw data'!$B$2:$L$797,7,0)</f>
        <v>1.12</v>
      </c>
      <c r="K28" s="207">
        <f>AVERAGE(J28:J29)</f>
        <v>1.135</v>
      </c>
      <c r="L28" s="199" t="s">
        <v>48</v>
      </c>
      <c r="M28" s="197" t="s">
        <v>48</v>
      </c>
      <c r="N28" s="204"/>
      <c r="O28" s="204"/>
      <c r="P28" s="204"/>
      <c r="Q28" s="195"/>
      <c r="R28" s="195"/>
      <c r="S28" s="195"/>
    </row>
    <row r="29" s="33" customFormat="1" ht="15.6" customHeight="1" spans="1:19">
      <c r="A29" s="176"/>
      <c r="B29" s="177"/>
      <c r="C29" s="177"/>
      <c r="D29" s="178"/>
      <c r="E29" s="47" t="s">
        <v>107</v>
      </c>
      <c r="F29" s="47" t="s">
        <v>96</v>
      </c>
      <c r="G29" s="178">
        <f>VLOOKUP($E29,'Controls raw data'!$B$2:$L$797,4,0)</f>
        <v>10</v>
      </c>
      <c r="H29" s="48">
        <f>VLOOKUP($E29,'Controls raw data'!$B$2:$L$797,5,0)</f>
        <v>364000</v>
      </c>
      <c r="I29" s="48">
        <f>VLOOKUP($E29,'Controls raw data'!$B$2:$L$797,6,0)</f>
        <v>316000</v>
      </c>
      <c r="J29" s="208">
        <f>VLOOKUP($E29,'Controls raw data'!$B$2:$L$797,7,0)</f>
        <v>1.15</v>
      </c>
      <c r="K29" s="201"/>
      <c r="L29" s="201"/>
      <c r="M29" s="201"/>
      <c r="N29" s="204"/>
      <c r="O29" s="204"/>
      <c r="P29" s="204"/>
      <c r="Q29" s="195"/>
      <c r="R29" s="195"/>
      <c r="S29" s="195"/>
    </row>
    <row r="30" s="33" customFormat="1" ht="12.75" customHeight="1" spans="1:19">
      <c r="A30" s="161"/>
      <c r="B30" s="174"/>
      <c r="C30" s="174"/>
      <c r="D30" s="175"/>
      <c r="G30" s="175"/>
      <c r="H30" s="44"/>
      <c r="I30" s="44"/>
      <c r="J30" s="195"/>
      <c r="K30" s="195"/>
      <c r="L30" s="195"/>
      <c r="M30" s="195"/>
      <c r="N30" s="195"/>
      <c r="O30" s="195"/>
      <c r="P30" s="195"/>
      <c r="Q30" s="195"/>
      <c r="R30" s="195"/>
      <c r="S30" s="195"/>
    </row>
    <row r="31" s="162" customFormat="1" ht="12.75" customHeight="1" spans="1:19">
      <c r="A31" s="180"/>
      <c r="C31" s="181"/>
      <c r="D31" s="182"/>
      <c r="G31" s="182"/>
      <c r="H31" s="183"/>
      <c r="I31" s="183"/>
      <c r="J31" s="205"/>
      <c r="K31" s="205"/>
      <c r="L31" s="205"/>
      <c r="M31" s="205"/>
      <c r="N31" s="205"/>
      <c r="O31" s="205"/>
      <c r="P31" s="205"/>
      <c r="Q31" s="205"/>
      <c r="R31" s="205"/>
      <c r="S31" s="205"/>
    </row>
    <row r="32" s="161" customFormat="1" ht="44.25" customHeight="1" spans="1:19">
      <c r="A32" s="170" t="s">
        <v>31</v>
      </c>
      <c r="B32" s="169" t="s">
        <v>32</v>
      </c>
      <c r="C32" s="170" t="s">
        <v>56</v>
      </c>
      <c r="D32" s="170" t="s">
        <v>57</v>
      </c>
      <c r="E32" s="170" t="s">
        <v>58</v>
      </c>
      <c r="F32" s="170" t="s">
        <v>59</v>
      </c>
      <c r="G32" s="171" t="s">
        <v>60</v>
      </c>
      <c r="H32" s="184" t="s">
        <v>61</v>
      </c>
      <c r="I32" s="184" t="s">
        <v>62</v>
      </c>
      <c r="J32" s="170" t="s">
        <v>63</v>
      </c>
      <c r="K32" s="170" t="s">
        <v>64</v>
      </c>
      <c r="L32" s="170" t="s">
        <v>65</v>
      </c>
      <c r="M32" s="170" t="s">
        <v>66</v>
      </c>
      <c r="N32" s="170" t="s">
        <v>33</v>
      </c>
      <c r="O32" s="170" t="s">
        <v>67</v>
      </c>
      <c r="P32" s="170" t="s">
        <v>35</v>
      </c>
      <c r="Q32" s="202"/>
      <c r="R32" s="202"/>
      <c r="S32" s="202"/>
    </row>
    <row r="33" ht="14.25" customHeight="1" spans="1:19">
      <c r="A33" s="170" t="s">
        <v>108</v>
      </c>
      <c r="B33" s="172" t="s">
        <v>69</v>
      </c>
      <c r="C33" s="172" t="s">
        <v>70</v>
      </c>
      <c r="D33" s="173">
        <v>120</v>
      </c>
      <c r="E33" s="40" t="s">
        <v>109</v>
      </c>
      <c r="F33" s="40" t="s">
        <v>72</v>
      </c>
      <c r="G33" s="173">
        <f>VLOOKUP($E33,'Controls raw data'!$B$2:$L$797,4,0)</f>
        <v>1</v>
      </c>
      <c r="H33" s="41">
        <f>VLOOKUP($E33,'Controls raw data'!$B$2:$L$797,5,0)</f>
        <v>1190</v>
      </c>
      <c r="I33" s="41">
        <f>VLOOKUP($E33,'Controls raw data'!$B$2:$L$797,6,0)</f>
        <v>1390000</v>
      </c>
      <c r="J33" s="209">
        <f>VLOOKUP($E33,'Controls raw data'!$B$2:$L$797,7,0)</f>
        <v>0.000853</v>
      </c>
      <c r="K33" s="209">
        <f>AVERAGE(J33:J34)</f>
        <v>0.000852</v>
      </c>
      <c r="L33" s="191">
        <f>J33*1.3*G33/120/60/0.33/(G37*J37)*1000000</f>
        <v>0.259282641227086</v>
      </c>
      <c r="M33" s="191">
        <f>AVERAGE(L33:L34)</f>
        <v>0.256858391136624</v>
      </c>
      <c r="N33" s="203">
        <f>(J33*1.3*G33+J35*0.2*G35)/(G37*0.2*J37)*100</f>
        <v>101.974694444444</v>
      </c>
      <c r="O33" s="203">
        <f>AVERAGE(N33:N34)</f>
        <v>102.777825364299</v>
      </c>
      <c r="P33" s="203">
        <f>M39/M33</f>
        <v>50.888210129392</v>
      </c>
      <c r="Q33" s="165"/>
      <c r="R33" s="165"/>
      <c r="S33" s="165"/>
    </row>
    <row r="34" ht="12.75" customHeight="1" spans="1:19">
      <c r="A34" s="161"/>
      <c r="B34" s="33"/>
      <c r="C34" s="174"/>
      <c r="D34" s="33"/>
      <c r="E34" s="33" t="s">
        <v>110</v>
      </c>
      <c r="F34" s="33" t="s">
        <v>74</v>
      </c>
      <c r="G34" s="175">
        <f>VLOOKUP($E34,'Controls raw data'!$B$2:$L$797,4,0)</f>
        <v>1</v>
      </c>
      <c r="H34" s="44">
        <f>VLOOKUP($E34,'Controls raw data'!$B$2:$L$797,5,0)</f>
        <v>1300</v>
      </c>
      <c r="I34" s="44">
        <f>VLOOKUP($E34,'Controls raw data'!$B$2:$L$797,6,0)</f>
        <v>1520000</v>
      </c>
      <c r="J34" s="210">
        <f>VLOOKUP($E34,'Controls raw data'!$B$2:$L$797,7,0)</f>
        <v>0.000851</v>
      </c>
      <c r="K34" s="195"/>
      <c r="L34" s="35">
        <f>J34*1.3*G34/120/60/0.33/(G38*J38)*1000000</f>
        <v>0.254434141046163</v>
      </c>
      <c r="M34" s="195"/>
      <c r="N34" s="195">
        <f>(J34*1.3*G34+J36*0.2*G36)/(G38*0.2*J38)*100</f>
        <v>103.580956284153</v>
      </c>
      <c r="O34" s="195"/>
      <c r="P34" s="195"/>
      <c r="Q34" s="165"/>
      <c r="R34" s="165"/>
      <c r="S34" s="165"/>
    </row>
    <row r="35" spans="1:19">
      <c r="A35" s="161"/>
      <c r="B35" s="33"/>
      <c r="C35" s="174" t="s">
        <v>75</v>
      </c>
      <c r="D35" s="175">
        <v>120</v>
      </c>
      <c r="E35" s="33" t="s">
        <v>111</v>
      </c>
      <c r="F35" s="33" t="s">
        <v>77</v>
      </c>
      <c r="G35" s="175">
        <f>VLOOKUP($E35,'Controls raw data'!$B$2:$L$797,4,0)</f>
        <v>10</v>
      </c>
      <c r="H35" s="44">
        <f>VLOOKUP($E35,'Controls raw data'!$B$2:$L$797,5,0)</f>
        <v>281000</v>
      </c>
      <c r="I35" s="44">
        <f>VLOOKUP($E35,'Controls raw data'!$B$2:$L$797,6,0)</f>
        <v>1530000</v>
      </c>
      <c r="J35" s="35">
        <f>VLOOKUP($E35,'Controls raw data'!$B$2:$L$797,7,0)</f>
        <v>0.183</v>
      </c>
      <c r="K35" s="35">
        <f>AVERAGE(J35:J36)</f>
        <v>0.186</v>
      </c>
      <c r="L35" s="197" t="s">
        <v>48</v>
      </c>
      <c r="M35" s="197" t="s">
        <v>48</v>
      </c>
      <c r="N35" s="175" t="s">
        <v>48</v>
      </c>
      <c r="O35" s="198" t="s">
        <v>48</v>
      </c>
      <c r="P35" s="195"/>
      <c r="Q35" s="165"/>
      <c r="R35" s="165"/>
      <c r="S35" s="165"/>
    </row>
    <row r="36" spans="1:19">
      <c r="A36" s="161"/>
      <c r="B36" s="33"/>
      <c r="C36" s="174"/>
      <c r="D36" s="33"/>
      <c r="E36" s="33" t="s">
        <v>112</v>
      </c>
      <c r="F36" s="33" t="s">
        <v>79</v>
      </c>
      <c r="G36" s="175">
        <f>VLOOKUP($E36,'Controls raw data'!$B$2:$L$797,4,0)</f>
        <v>10</v>
      </c>
      <c r="H36" s="44">
        <f>VLOOKUP($E36,'Controls raw data'!$B$2:$L$797,5,0)</f>
        <v>291000</v>
      </c>
      <c r="I36" s="44">
        <f>VLOOKUP($E36,'Controls raw data'!$B$2:$L$797,6,0)</f>
        <v>1540000</v>
      </c>
      <c r="J36" s="35">
        <f>VLOOKUP($E36,'Controls raw data'!$B$2:$L$797,7,0)</f>
        <v>0.189</v>
      </c>
      <c r="K36" s="195"/>
      <c r="L36" s="195"/>
      <c r="M36" s="195"/>
      <c r="N36" s="195"/>
      <c r="O36" s="195"/>
      <c r="P36" s="195"/>
      <c r="Q36" s="165"/>
      <c r="R36" s="165"/>
      <c r="S36" s="165"/>
    </row>
    <row r="37" spans="1:19">
      <c r="A37" s="161"/>
      <c r="B37" s="33" t="s">
        <v>80</v>
      </c>
      <c r="C37" s="174" t="s">
        <v>48</v>
      </c>
      <c r="D37" s="175">
        <v>0</v>
      </c>
      <c r="E37" s="33" t="s">
        <v>113</v>
      </c>
      <c r="F37" s="33" t="s">
        <v>82</v>
      </c>
      <c r="G37" s="175">
        <f>VLOOKUP($E37,'Controls raw data'!$B$2:$L$797,4,0)</f>
        <v>10</v>
      </c>
      <c r="H37" s="44">
        <f>VLOOKUP($E37,'Controls raw data'!$B$2:$L$797,5,0)</f>
        <v>281000</v>
      </c>
      <c r="I37" s="44">
        <f>VLOOKUP($E37,'Controls raw data'!$B$2:$L$797,6,0)</f>
        <v>1560000</v>
      </c>
      <c r="J37" s="35">
        <f>VLOOKUP($E37,'Controls raw data'!$B$2:$L$797,7,0)</f>
        <v>0.18</v>
      </c>
      <c r="K37" s="35">
        <f>AVERAGE(J37:J38)</f>
        <v>0.1815</v>
      </c>
      <c r="L37" s="199" t="s">
        <v>48</v>
      </c>
      <c r="M37" s="197" t="s">
        <v>48</v>
      </c>
      <c r="N37" s="175" t="s">
        <v>48</v>
      </c>
      <c r="O37" s="198" t="s">
        <v>48</v>
      </c>
      <c r="P37" s="195"/>
      <c r="Q37" s="165"/>
      <c r="R37" s="165"/>
      <c r="S37" s="165"/>
    </row>
    <row r="38" spans="1:19">
      <c r="A38" s="161"/>
      <c r="B38" s="185"/>
      <c r="C38" s="186"/>
      <c r="D38" s="187"/>
      <c r="E38" s="185" t="s">
        <v>114</v>
      </c>
      <c r="F38" s="185" t="s">
        <v>84</v>
      </c>
      <c r="G38" s="187">
        <f>VLOOKUP($E38,'Controls raw data'!$B$2:$L$797,4,0)</f>
        <v>10</v>
      </c>
      <c r="H38" s="188">
        <f>VLOOKUP($E38,'Controls raw data'!$B$2:$L$797,5,0)</f>
        <v>279000</v>
      </c>
      <c r="I38" s="188">
        <f>VLOOKUP($E38,'Controls raw data'!$B$2:$L$797,6,0)</f>
        <v>1520000</v>
      </c>
      <c r="J38" s="211">
        <f>VLOOKUP($E38,'Controls raw data'!$B$2:$L$797,7,0)</f>
        <v>0.183</v>
      </c>
      <c r="K38" s="212"/>
      <c r="L38" s="212"/>
      <c r="M38" s="212"/>
      <c r="N38" s="212"/>
      <c r="O38" s="212"/>
      <c r="P38" s="195"/>
      <c r="Q38" s="165"/>
      <c r="R38" s="165"/>
      <c r="S38" s="165"/>
    </row>
    <row r="39" ht="14.25" customHeight="1" spans="1:19">
      <c r="A39" s="161"/>
      <c r="B39" s="174" t="s">
        <v>115</v>
      </c>
      <c r="C39" s="174" t="s">
        <v>75</v>
      </c>
      <c r="D39" s="175">
        <v>120</v>
      </c>
      <c r="E39" s="33" t="s">
        <v>116</v>
      </c>
      <c r="F39" s="33" t="s">
        <v>77</v>
      </c>
      <c r="G39" s="175">
        <f>VLOOKUP($E39,'Controls raw data'!$B$2:$L$797,4,0)</f>
        <v>1</v>
      </c>
      <c r="H39" s="44">
        <f>VLOOKUP($E39,'Controls raw data'!$B$2:$L$797,5,0)</f>
        <v>415000</v>
      </c>
      <c r="I39" s="44">
        <f>VLOOKUP($E39,'Controls raw data'!$B$2:$L$797,6,0)</f>
        <v>1560000</v>
      </c>
      <c r="J39" s="35">
        <f>VLOOKUP($E39,'Controls raw data'!$B$2:$L$797,7,0)</f>
        <v>0.266</v>
      </c>
      <c r="K39" s="35">
        <f>AVERAGE(J39:J40)</f>
        <v>0.273</v>
      </c>
      <c r="L39" s="196">
        <f>J39*0.2*G39/120/60/0.33/(J43*G43)*1000000</f>
        <v>12.4392068836513</v>
      </c>
      <c r="M39" s="196">
        <f>AVERAGE(L39:L40)</f>
        <v>13.0710637816581</v>
      </c>
      <c r="N39" s="195">
        <f>(J39*0.2*G39+J41*1.3*G41)/(J43*1.3*G43)*100</f>
        <v>105.606837606838</v>
      </c>
      <c r="O39" s="195">
        <f>AVERAGE(N39:N40)</f>
        <v>106.671934009143</v>
      </c>
      <c r="P39" s="195"/>
      <c r="Q39" s="165"/>
      <c r="R39" s="165"/>
      <c r="S39" s="165"/>
    </row>
    <row r="40" spans="1:19">
      <c r="A40" s="161"/>
      <c r="B40" s="33"/>
      <c r="C40" s="174"/>
      <c r="D40" s="33"/>
      <c r="E40" s="33" t="s">
        <v>117</v>
      </c>
      <c r="F40" s="33" t="s">
        <v>79</v>
      </c>
      <c r="G40" s="175">
        <f>VLOOKUP($E40,'Controls raw data'!$B$2:$L$797,4,0)</f>
        <v>1</v>
      </c>
      <c r="H40" s="44">
        <f>VLOOKUP($E40,'Controls raw data'!$B$2:$L$797,5,0)</f>
        <v>439000</v>
      </c>
      <c r="I40" s="44">
        <f>VLOOKUP($E40,'Controls raw data'!$B$2:$L$797,6,0)</f>
        <v>1570000</v>
      </c>
      <c r="J40" s="35">
        <f>VLOOKUP($E40,'Controls raw data'!$B$2:$L$797,7,0)</f>
        <v>0.28</v>
      </c>
      <c r="K40" s="195"/>
      <c r="L40" s="196">
        <f>J40*0.2*G40/120/60/0.33/(J44*G44)*1000000</f>
        <v>13.7029206796649</v>
      </c>
      <c r="M40" s="195"/>
      <c r="N40" s="195">
        <f>(J40*0.2*G40+J42*1.3*G42)/(J44*1.3*G44)*100</f>
        <v>107.737030411449</v>
      </c>
      <c r="O40" s="195"/>
      <c r="P40" s="195"/>
      <c r="Q40" s="165"/>
      <c r="R40" s="165"/>
      <c r="S40" s="165"/>
    </row>
    <row r="41" spans="1:19">
      <c r="A41" s="161"/>
      <c r="B41" s="33"/>
      <c r="C41" s="174" t="s">
        <v>70</v>
      </c>
      <c r="D41" s="175">
        <v>120</v>
      </c>
      <c r="E41" s="33" t="s">
        <v>118</v>
      </c>
      <c r="F41" s="33" t="s">
        <v>72</v>
      </c>
      <c r="G41" s="175">
        <f>VLOOKUP($E41,'Controls raw data'!$B$2:$L$797,4,0)</f>
        <v>10</v>
      </c>
      <c r="H41" s="44">
        <f>VLOOKUP($E41,'Controls raw data'!$B$2:$L$797,5,0)</f>
        <v>290000</v>
      </c>
      <c r="I41" s="44">
        <f>VLOOKUP($E41,'Controls raw data'!$B$2:$L$797,6,0)</f>
        <v>1560000</v>
      </c>
      <c r="J41" s="35">
        <f>VLOOKUP($E41,'Controls raw data'!$B$2:$L$797,7,0)</f>
        <v>0.186</v>
      </c>
      <c r="K41" s="35">
        <f>AVERAGE(J41:J42)</f>
        <v>0.1835</v>
      </c>
      <c r="L41" s="199" t="s">
        <v>48</v>
      </c>
      <c r="M41" s="197" t="s">
        <v>48</v>
      </c>
      <c r="N41" s="175" t="s">
        <v>48</v>
      </c>
      <c r="O41" s="198" t="s">
        <v>48</v>
      </c>
      <c r="P41" s="195"/>
      <c r="Q41" s="165"/>
      <c r="R41" s="165"/>
      <c r="S41" s="165"/>
    </row>
    <row r="42" spans="1:19">
      <c r="A42" s="161"/>
      <c r="B42" s="33"/>
      <c r="C42" s="174"/>
      <c r="D42" s="33"/>
      <c r="E42" s="33" t="s">
        <v>119</v>
      </c>
      <c r="F42" s="33" t="s">
        <v>74</v>
      </c>
      <c r="G42" s="175">
        <f>VLOOKUP($E42,'Controls raw data'!$B$2:$L$797,4,0)</f>
        <v>10</v>
      </c>
      <c r="H42" s="44">
        <f>VLOOKUP($E42,'Controls raw data'!$B$2:$L$797,5,0)</f>
        <v>267000</v>
      </c>
      <c r="I42" s="44">
        <f>VLOOKUP($E42,'Controls raw data'!$B$2:$L$797,6,0)</f>
        <v>1480000</v>
      </c>
      <c r="J42" s="35">
        <f>VLOOKUP($E42,'Controls raw data'!$B$2:$L$797,7,0)</f>
        <v>0.181</v>
      </c>
      <c r="K42" s="195"/>
      <c r="L42" s="195"/>
      <c r="M42" s="195"/>
      <c r="N42" s="195"/>
      <c r="O42" s="195"/>
      <c r="P42" s="195"/>
      <c r="Q42" s="165"/>
      <c r="R42" s="165"/>
      <c r="S42" s="165"/>
    </row>
    <row r="43" s="33" customFormat="1" ht="16.15" customHeight="1" spans="1:19">
      <c r="A43" s="161"/>
      <c r="B43" s="33" t="s">
        <v>120</v>
      </c>
      <c r="C43" s="174" t="s">
        <v>48</v>
      </c>
      <c r="D43" s="175">
        <v>0</v>
      </c>
      <c r="E43" s="33" t="s">
        <v>121</v>
      </c>
      <c r="F43" s="33" t="s">
        <v>122</v>
      </c>
      <c r="G43" s="175">
        <f>VLOOKUP($E43,'Controls raw data'!$B$2:$L$797,4,0)</f>
        <v>10</v>
      </c>
      <c r="H43" s="44">
        <f>VLOOKUP($E43,'Controls raw data'!$B$2:$L$797,5,0)</f>
        <v>287000</v>
      </c>
      <c r="I43" s="44">
        <f>VLOOKUP($E43,'Controls raw data'!$B$2:$L$797,6,0)</f>
        <v>1590000</v>
      </c>
      <c r="J43" s="35">
        <f>VLOOKUP($E43,'Controls raw data'!$B$2:$L$797,7,0)</f>
        <v>0.18</v>
      </c>
      <c r="K43" s="35">
        <f>AVERAGE(J43:J44)</f>
        <v>0.176</v>
      </c>
      <c r="L43" s="199" t="s">
        <v>48</v>
      </c>
      <c r="M43" s="197" t="s">
        <v>48</v>
      </c>
      <c r="N43" s="175" t="s">
        <v>48</v>
      </c>
      <c r="O43" s="198" t="s">
        <v>48</v>
      </c>
      <c r="P43" s="195"/>
      <c r="Q43" s="195"/>
      <c r="R43" s="195"/>
      <c r="S43" s="195"/>
    </row>
    <row r="44" s="33" customFormat="1" ht="16.15" customHeight="1" spans="1:19">
      <c r="A44" s="176"/>
      <c r="B44" s="47"/>
      <c r="C44" s="177"/>
      <c r="D44" s="178"/>
      <c r="E44" s="47" t="s">
        <v>123</v>
      </c>
      <c r="F44" s="47" t="s">
        <v>124</v>
      </c>
      <c r="G44" s="178">
        <f>VLOOKUP($E44,'Controls raw data'!$B$2:$L$797,4,0)</f>
        <v>10</v>
      </c>
      <c r="H44" s="48">
        <f>VLOOKUP($E44,'Controls raw data'!$B$2:$L$797,5,0)</f>
        <v>264000</v>
      </c>
      <c r="I44" s="48">
        <f>VLOOKUP($E44,'Controls raw data'!$B$2:$L$797,6,0)</f>
        <v>1530000</v>
      </c>
      <c r="J44" s="200">
        <f>VLOOKUP($E44,'Controls raw data'!$B$2:$L$797,7,0)</f>
        <v>0.172</v>
      </c>
      <c r="K44" s="201"/>
      <c r="L44" s="201"/>
      <c r="M44" s="201"/>
      <c r="N44" s="201"/>
      <c r="O44" s="201"/>
      <c r="P44" s="201"/>
      <c r="Q44" s="195"/>
      <c r="R44" s="165"/>
      <c r="S44" s="195"/>
    </row>
    <row r="45" s="33" customFormat="1" ht="12.75" customHeight="1" spans="1:19">
      <c r="A45" s="161"/>
      <c r="C45" s="174"/>
      <c r="D45" s="175"/>
      <c r="G45" s="175"/>
      <c r="H45" s="48"/>
      <c r="I45" s="48"/>
      <c r="J45" s="195"/>
      <c r="K45" s="195"/>
      <c r="L45" s="195"/>
      <c r="M45" s="195"/>
      <c r="N45" s="195"/>
      <c r="O45" s="195"/>
      <c r="P45" s="195"/>
      <c r="Q45" s="195"/>
      <c r="R45" s="195"/>
      <c r="S45" s="195"/>
    </row>
    <row r="46" s="161" customFormat="1" ht="44.25" customHeight="1" spans="1:19">
      <c r="A46" s="170" t="s">
        <v>31</v>
      </c>
      <c r="B46" s="179" t="s">
        <v>85</v>
      </c>
      <c r="C46" s="179"/>
      <c r="D46" s="170" t="s">
        <v>57</v>
      </c>
      <c r="E46" s="170" t="s">
        <v>58</v>
      </c>
      <c r="F46" s="170" t="s">
        <v>59</v>
      </c>
      <c r="G46" s="171" t="s">
        <v>60</v>
      </c>
      <c r="H46" s="37" t="s">
        <v>61</v>
      </c>
      <c r="I46" s="37" t="s">
        <v>62</v>
      </c>
      <c r="J46" s="170" t="s">
        <v>63</v>
      </c>
      <c r="K46" s="170" t="s">
        <v>64</v>
      </c>
      <c r="L46" s="170" t="s">
        <v>86</v>
      </c>
      <c r="M46" s="170" t="s">
        <v>87</v>
      </c>
      <c r="N46" s="202"/>
      <c r="O46" s="202"/>
      <c r="P46" s="202"/>
      <c r="Q46" s="202"/>
      <c r="R46" s="202"/>
      <c r="S46" s="202"/>
    </row>
    <row r="47" s="33" customFormat="1" ht="12.75" customHeight="1" spans="1:19">
      <c r="A47" s="170" t="s">
        <v>108</v>
      </c>
      <c r="B47" s="172" t="s">
        <v>88</v>
      </c>
      <c r="C47" s="172"/>
      <c r="D47" s="173">
        <v>120</v>
      </c>
      <c r="E47" s="40" t="s">
        <v>125</v>
      </c>
      <c r="F47" s="40" t="s">
        <v>90</v>
      </c>
      <c r="G47" s="173">
        <f>VLOOKUP($E47,'Controls raw data'!$B$2:$L$797,4,0)</f>
        <v>10</v>
      </c>
      <c r="H47" s="41">
        <f>VLOOKUP($E47,'Controls raw data'!$B$2:$L$797,5,0)</f>
        <v>315000</v>
      </c>
      <c r="I47" s="41">
        <f>VLOOKUP($E47,'Controls raw data'!$B$2:$L$797,6,0)</f>
        <v>1450000</v>
      </c>
      <c r="J47" s="191">
        <f>VLOOKUP($E47,'Controls raw data'!$B$2:$L$797,7,0)</f>
        <v>0.216</v>
      </c>
      <c r="K47" s="191">
        <f>AVERAGE(J47:J48)</f>
        <v>0.216</v>
      </c>
      <c r="L47" s="203">
        <f>J47*G47/(G49*J49)*100</f>
        <v>114.893617021277</v>
      </c>
      <c r="M47" s="203">
        <f>AVERAGE(L47:L48)</f>
        <v>116.787467851298</v>
      </c>
      <c r="N47" s="195"/>
      <c r="O47" s="204"/>
      <c r="P47" s="204"/>
      <c r="Q47" s="195"/>
      <c r="R47" s="195"/>
      <c r="S47" s="195"/>
    </row>
    <row r="48" s="33" customFormat="1" ht="12.75" customHeight="1" spans="1:19">
      <c r="A48" s="161"/>
      <c r="B48" s="174"/>
      <c r="C48" s="174"/>
      <c r="D48" s="33"/>
      <c r="E48" s="33" t="s">
        <v>126</v>
      </c>
      <c r="F48" s="33" t="s">
        <v>92</v>
      </c>
      <c r="G48" s="175">
        <f>VLOOKUP($E48,'Controls raw data'!$B$2:$L$797,4,0)</f>
        <v>10</v>
      </c>
      <c r="H48" s="44">
        <f>VLOOKUP($E48,'Controls raw data'!$B$2:$L$797,5,0)</f>
        <v>317000</v>
      </c>
      <c r="I48" s="44">
        <f>VLOOKUP($E48,'Controls raw data'!$B$2:$L$797,6,0)</f>
        <v>1470000</v>
      </c>
      <c r="J48" s="35">
        <f>VLOOKUP($E48,'Controls raw data'!$B$2:$L$797,7,0)</f>
        <v>0.216</v>
      </c>
      <c r="K48" s="195"/>
      <c r="L48" s="195">
        <f>J48*G48/(G50*J50)*100</f>
        <v>118.681318681319</v>
      </c>
      <c r="M48" s="195"/>
      <c r="N48" s="195"/>
      <c r="O48" s="204"/>
      <c r="P48" s="204"/>
      <c r="Q48" s="195"/>
      <c r="R48" s="195"/>
      <c r="S48" s="195"/>
    </row>
    <row r="49" s="33" customFormat="1" ht="12.75" customHeight="1" spans="1:19">
      <c r="A49" s="161"/>
      <c r="B49" s="174"/>
      <c r="C49" s="174"/>
      <c r="D49" s="175">
        <v>0</v>
      </c>
      <c r="E49" s="33" t="s">
        <v>127</v>
      </c>
      <c r="F49" s="33" t="s">
        <v>94</v>
      </c>
      <c r="G49" s="175">
        <f>VLOOKUP($E49,'Controls raw data'!$B$2:$L$797,4,0)</f>
        <v>10</v>
      </c>
      <c r="H49" s="44">
        <f>VLOOKUP($E49,'Controls raw data'!$B$2:$L$797,5,0)</f>
        <v>285000</v>
      </c>
      <c r="I49" s="44">
        <f>VLOOKUP($E49,'Controls raw data'!$B$2:$L$797,6,0)</f>
        <v>1520000</v>
      </c>
      <c r="J49" s="35">
        <f>VLOOKUP($E49,'Controls raw data'!$B$2:$L$797,7,0)</f>
        <v>0.188</v>
      </c>
      <c r="K49" s="35">
        <f>AVERAGE(J49:J50)</f>
        <v>0.185</v>
      </c>
      <c r="L49" s="199" t="s">
        <v>48</v>
      </c>
      <c r="M49" s="197" t="s">
        <v>48</v>
      </c>
      <c r="N49" s="204"/>
      <c r="O49" s="204"/>
      <c r="P49" s="204"/>
      <c r="Q49" s="195"/>
      <c r="R49" s="195"/>
      <c r="S49" s="195"/>
    </row>
    <row r="50" s="33" customFormat="1" ht="12.75" customHeight="1" spans="1:19">
      <c r="A50" s="176"/>
      <c r="B50" s="177"/>
      <c r="C50" s="177"/>
      <c r="D50" s="178"/>
      <c r="E50" s="47" t="s">
        <v>128</v>
      </c>
      <c r="F50" s="47" t="s">
        <v>96</v>
      </c>
      <c r="G50" s="178">
        <f>VLOOKUP($E50,'Controls raw data'!$B$2:$L$797,4,0)</f>
        <v>10</v>
      </c>
      <c r="H50" s="48">
        <f>VLOOKUP($E50,'Controls raw data'!$B$2:$L$797,5,0)</f>
        <v>271000</v>
      </c>
      <c r="I50" s="48">
        <f>VLOOKUP($E50,'Controls raw data'!$B$2:$L$797,6,0)</f>
        <v>1490000</v>
      </c>
      <c r="J50" s="200">
        <f>VLOOKUP($E50,'Controls raw data'!$B$2:$L$797,7,0)</f>
        <v>0.182</v>
      </c>
      <c r="K50" s="201"/>
      <c r="L50" s="201"/>
      <c r="M50" s="201"/>
      <c r="N50" s="204"/>
      <c r="O50" s="204"/>
      <c r="P50" s="204"/>
      <c r="Q50" s="195"/>
      <c r="R50" s="195"/>
      <c r="S50" s="195"/>
    </row>
    <row r="51" s="33" customFormat="1" ht="12.75" customHeight="1" spans="1:19">
      <c r="A51" s="161"/>
      <c r="B51" s="174"/>
      <c r="C51" s="174"/>
      <c r="D51" s="175"/>
      <c r="G51" s="175"/>
      <c r="H51" s="44"/>
      <c r="I51" s="44"/>
      <c r="J51" s="195"/>
      <c r="K51" s="195"/>
      <c r="L51" s="195"/>
      <c r="M51" s="195"/>
      <c r="N51" s="204"/>
      <c r="O51" s="204"/>
      <c r="P51" s="204"/>
      <c r="Q51" s="195"/>
      <c r="R51" s="195"/>
      <c r="S51" s="195"/>
    </row>
    <row r="52" s="160" customFormat="1" ht="15.75" spans="1:19">
      <c r="A52" s="166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</row>
    <row r="53" s="161" customFormat="1" ht="44.25" customHeight="1" spans="1:19">
      <c r="A53" s="170" t="s">
        <v>31</v>
      </c>
      <c r="B53" s="169" t="s">
        <v>32</v>
      </c>
      <c r="C53" s="170" t="s">
        <v>56</v>
      </c>
      <c r="D53" s="170" t="s">
        <v>57</v>
      </c>
      <c r="E53" s="170" t="s">
        <v>58</v>
      </c>
      <c r="F53" s="170" t="s">
        <v>59</v>
      </c>
      <c r="G53" s="189" t="s">
        <v>60</v>
      </c>
      <c r="H53" s="37" t="s">
        <v>61</v>
      </c>
      <c r="I53" s="37" t="s">
        <v>62</v>
      </c>
      <c r="J53" s="168" t="s">
        <v>63</v>
      </c>
      <c r="K53" s="170" t="s">
        <v>64</v>
      </c>
      <c r="L53" s="170" t="s">
        <v>65</v>
      </c>
      <c r="M53" s="170" t="s">
        <v>66</v>
      </c>
      <c r="N53" s="170" t="s">
        <v>33</v>
      </c>
      <c r="O53" s="170" t="s">
        <v>67</v>
      </c>
      <c r="P53" s="170" t="s">
        <v>35</v>
      </c>
      <c r="Q53" s="202"/>
      <c r="R53" s="202"/>
      <c r="S53" s="202"/>
    </row>
    <row r="54" ht="14.25" customHeight="1" spans="1:19">
      <c r="A54" s="170" t="str">
        <f>Summary!$B$14</f>
        <v>HW356009-P1 (2 µM)</v>
      </c>
      <c r="B54" s="172" t="s">
        <v>69</v>
      </c>
      <c r="C54" s="172" t="s">
        <v>70</v>
      </c>
      <c r="D54" s="173">
        <v>120</v>
      </c>
      <c r="E54" s="40" t="s">
        <v>129</v>
      </c>
      <c r="F54" s="40" t="s">
        <v>72</v>
      </c>
      <c r="G54" s="173">
        <f>VLOOKUP($E54,'Article(s) Raw Data'!$B$1:$L$707,4,0)</f>
        <v>1</v>
      </c>
      <c r="H54" s="41">
        <f>VLOOKUP($E54,'Article(s) Raw Data'!$B$1:$L$707,5,0)</f>
        <v>52500</v>
      </c>
      <c r="I54" s="41">
        <f>VLOOKUP($E54,'Article(s) Raw Data'!$B$1:$L$707,6,0)</f>
        <v>414000</v>
      </c>
      <c r="J54" s="191">
        <f>VLOOKUP($E54,'Article(s) Raw Data'!$B$1:$L$707,7,0)</f>
        <v>0.127</v>
      </c>
      <c r="K54" s="191">
        <f>AVERAGE(J54:J55)</f>
        <v>0.1175</v>
      </c>
      <c r="L54" s="192">
        <f>J54*1.3*G54/120/60/0.33/(G58*J58)*1000000</f>
        <v>10.9255553437943</v>
      </c>
      <c r="M54" s="192">
        <f>AVERAGE(L54:L55)</f>
        <v>10.1451001038234</v>
      </c>
      <c r="N54" s="192">
        <f>(J54*1.3*G54+J56*0.2*G56)/(G58*0.2*J58)*100</f>
        <v>88.7657232704402</v>
      </c>
      <c r="O54" s="192">
        <f>AVERAGE(N54:N55)</f>
        <v>87.9010866748398</v>
      </c>
      <c r="P54" s="192">
        <f>M60/M54</f>
        <v>1.91028273848997</v>
      </c>
      <c r="Q54" s="165"/>
      <c r="R54" s="165"/>
      <c r="S54" s="165"/>
    </row>
    <row r="55" ht="12.75" customHeight="1" spans="1:19">
      <c r="A55" s="161"/>
      <c r="B55" s="33"/>
      <c r="C55" s="174"/>
      <c r="D55" s="33"/>
      <c r="E55" s="33" t="s">
        <v>130</v>
      </c>
      <c r="F55" s="33" t="s">
        <v>74</v>
      </c>
      <c r="G55" s="175">
        <f>VLOOKUP($E55,'Article(s) Raw Data'!$B$1:$L$707,4,0)</f>
        <v>1</v>
      </c>
      <c r="H55" s="44">
        <f>VLOOKUP($E55,'Article(s) Raw Data'!$B$1:$L$707,5,0)</f>
        <v>50400</v>
      </c>
      <c r="I55" s="44">
        <f>VLOOKUP($E55,'Article(s) Raw Data'!$B$1:$L$707,6,0)</f>
        <v>465000</v>
      </c>
      <c r="J55" s="35">
        <f>VLOOKUP($E55,'Article(s) Raw Data'!$B$1:$L$707,7,0)</f>
        <v>0.108</v>
      </c>
      <c r="K55" s="195"/>
      <c r="L55" s="207">
        <f>J55*1.3*G55/120/60/0.33/(G59*J59)*1000000</f>
        <v>9.36464486385247</v>
      </c>
      <c r="M55" s="195"/>
      <c r="N55" s="196">
        <f>(J55*1.3*G55+J57*0.2*G57)/(G59*0.2*J59)*100</f>
        <v>87.0364500792393</v>
      </c>
      <c r="O55" s="195"/>
      <c r="P55" s="195"/>
      <c r="Q55" s="165"/>
      <c r="R55" s="165"/>
      <c r="S55" s="165"/>
    </row>
    <row r="56" spans="1:19">
      <c r="A56" s="161"/>
      <c r="B56" s="33"/>
      <c r="C56" s="174" t="s">
        <v>75</v>
      </c>
      <c r="D56" s="175">
        <v>120</v>
      </c>
      <c r="E56" s="33" t="s">
        <v>131</v>
      </c>
      <c r="F56" s="33" t="s">
        <v>77</v>
      </c>
      <c r="G56" s="175">
        <f>VLOOKUP($E56,'Article(s) Raw Data'!$B$1:$L$707,4,0)</f>
        <v>10</v>
      </c>
      <c r="H56" s="44">
        <f>VLOOKUP($E56,'Article(s) Raw Data'!$B$1:$L$707,5,0)</f>
        <v>234000</v>
      </c>
      <c r="I56" s="44">
        <f>VLOOKUP($E56,'Article(s) Raw Data'!$B$1:$L$707,6,0)</f>
        <v>487000</v>
      </c>
      <c r="J56" s="35">
        <f>VLOOKUP($E56,'Article(s) Raw Data'!$B$1:$L$707,7,0)</f>
        <v>0.482</v>
      </c>
      <c r="K56" s="35">
        <f>AVERAGE(J56:J57)</f>
        <v>0.4805</v>
      </c>
      <c r="L56" s="197" t="s">
        <v>48</v>
      </c>
      <c r="M56" s="197" t="s">
        <v>48</v>
      </c>
      <c r="N56" s="175" t="s">
        <v>48</v>
      </c>
      <c r="O56" s="198" t="s">
        <v>48</v>
      </c>
      <c r="P56" s="195"/>
      <c r="Q56" s="165"/>
      <c r="R56" s="165"/>
      <c r="S56" s="165"/>
    </row>
    <row r="57" spans="1:19">
      <c r="A57" s="161"/>
      <c r="B57" s="33"/>
      <c r="C57" s="174"/>
      <c r="D57" s="33"/>
      <c r="E57" s="33" t="s">
        <v>132</v>
      </c>
      <c r="F57" s="33" t="s">
        <v>79</v>
      </c>
      <c r="G57" s="175">
        <f>VLOOKUP($E57,'Article(s) Raw Data'!$B$1:$L$707,4,0)</f>
        <v>10</v>
      </c>
      <c r="H57" s="44">
        <f>VLOOKUP($E57,'Article(s) Raw Data'!$B$1:$L$707,5,0)</f>
        <v>237000</v>
      </c>
      <c r="I57" s="44">
        <f>VLOOKUP($E57,'Article(s) Raw Data'!$B$1:$L$707,6,0)</f>
        <v>495000</v>
      </c>
      <c r="J57" s="35">
        <f>VLOOKUP($E57,'Article(s) Raw Data'!$B$1:$L$707,7,0)</f>
        <v>0.479</v>
      </c>
      <c r="K57" s="195"/>
      <c r="L57" s="195"/>
      <c r="M57" s="195"/>
      <c r="N57" s="195"/>
      <c r="O57" s="195"/>
      <c r="P57" s="195"/>
      <c r="Q57" s="165"/>
      <c r="R57" s="165"/>
      <c r="S57" s="165"/>
    </row>
    <row r="58" spans="1:19">
      <c r="A58" s="161"/>
      <c r="B58" s="33" t="s">
        <v>80</v>
      </c>
      <c r="C58" s="174" t="s">
        <v>48</v>
      </c>
      <c r="D58" s="175">
        <v>0</v>
      </c>
      <c r="E58" s="33" t="s">
        <v>133</v>
      </c>
      <c r="F58" s="33" t="s">
        <v>82</v>
      </c>
      <c r="G58" s="175">
        <f>VLOOKUP($E58,'Article(s) Raw Data'!$B$1:$L$707,4,0)</f>
        <v>10</v>
      </c>
      <c r="H58" s="44">
        <f>VLOOKUP($E58,'Article(s) Raw Data'!$B$1:$L$707,5,0)</f>
        <v>326000</v>
      </c>
      <c r="I58" s="44">
        <f>VLOOKUP($E58,'Article(s) Raw Data'!$B$1:$L$707,6,0)</f>
        <v>513000</v>
      </c>
      <c r="J58" s="35">
        <f>VLOOKUP($E58,'Article(s) Raw Data'!$B$1:$L$707,7,0)</f>
        <v>0.636</v>
      </c>
      <c r="K58" s="35">
        <f>AVERAGE(J58:J59)</f>
        <v>0.6335</v>
      </c>
      <c r="L58" s="199" t="s">
        <v>48</v>
      </c>
      <c r="M58" s="197" t="s">
        <v>48</v>
      </c>
      <c r="N58" s="175" t="s">
        <v>48</v>
      </c>
      <c r="O58" s="198" t="s">
        <v>48</v>
      </c>
      <c r="P58" s="195"/>
      <c r="Q58" s="165"/>
      <c r="R58" s="165"/>
      <c r="S58" s="165"/>
    </row>
    <row r="59" spans="1:19">
      <c r="A59" s="161"/>
      <c r="B59" s="185"/>
      <c r="C59" s="186"/>
      <c r="D59" s="187"/>
      <c r="E59" s="185" t="s">
        <v>134</v>
      </c>
      <c r="F59" s="185" t="s">
        <v>84</v>
      </c>
      <c r="G59" s="187">
        <f>VLOOKUP($E59,'Article(s) Raw Data'!$B$1:$L$707,4,0)</f>
        <v>10</v>
      </c>
      <c r="H59" s="188">
        <f>VLOOKUP($E59,'Article(s) Raw Data'!$B$1:$L$707,5,0)</f>
        <v>332000</v>
      </c>
      <c r="I59" s="188">
        <f>VLOOKUP($E59,'Article(s) Raw Data'!$B$1:$L$707,6,0)</f>
        <v>527000</v>
      </c>
      <c r="J59" s="211">
        <f>VLOOKUP($E59,'Article(s) Raw Data'!$B$1:$L$707,7,0)</f>
        <v>0.631</v>
      </c>
      <c r="K59" s="212"/>
      <c r="L59" s="212"/>
      <c r="M59" s="212"/>
      <c r="N59" s="212"/>
      <c r="O59" s="212"/>
      <c r="P59" s="195"/>
      <c r="Q59" s="165"/>
      <c r="R59" s="165"/>
      <c r="S59" s="165"/>
    </row>
    <row r="60" ht="14.25" customHeight="1" spans="1:19">
      <c r="A60" s="161"/>
      <c r="B60" s="174" t="s">
        <v>115</v>
      </c>
      <c r="C60" s="174" t="s">
        <v>75</v>
      </c>
      <c r="D60" s="175">
        <v>120</v>
      </c>
      <c r="E60" s="33" t="s">
        <v>135</v>
      </c>
      <c r="F60" s="33" t="s">
        <v>77</v>
      </c>
      <c r="G60" s="175">
        <f>VLOOKUP($E60,'Article(s) Raw Data'!$B$1:$L$707,4,0)</f>
        <v>1</v>
      </c>
      <c r="H60" s="44">
        <f>VLOOKUP($E60,'Article(s) Raw Data'!$B$1:$L$707,5,0)</f>
        <v>693000</v>
      </c>
      <c r="I60" s="44">
        <f>VLOOKUP($E60,'Article(s) Raw Data'!$B$1:$L$707,6,0)</f>
        <v>453000</v>
      </c>
      <c r="J60" s="207">
        <f>VLOOKUP($E60,'Article(s) Raw Data'!$B$1:$L$707,7,0)</f>
        <v>1.53</v>
      </c>
      <c r="K60" s="207">
        <f>AVERAGE(J60:J61)</f>
        <v>1.535</v>
      </c>
      <c r="L60" s="196">
        <f>J60*0.2*G60/120/60/0.33/(J64*G64)*1000000</f>
        <v>19.7527421453802</v>
      </c>
      <c r="M60" s="196">
        <f>AVERAGE(L60:L61)</f>
        <v>19.3800096085867</v>
      </c>
      <c r="N60" s="195">
        <f>(J60*0.2*G60+J62*1.3*G62)/(J64*1.3*G64)*100</f>
        <v>119.561113732893</v>
      </c>
      <c r="O60" s="195">
        <f>AVERAGE(N60:N61)</f>
        <v>113.570315494915</v>
      </c>
      <c r="P60" s="195"/>
      <c r="Q60" s="165"/>
      <c r="R60" s="165"/>
      <c r="S60" s="165"/>
    </row>
    <row r="61" spans="1:19">
      <c r="A61" s="161"/>
      <c r="B61" s="33"/>
      <c r="C61" s="174"/>
      <c r="D61" s="33"/>
      <c r="E61" s="33" t="s">
        <v>136</v>
      </c>
      <c r="F61" s="33" t="s">
        <v>79</v>
      </c>
      <c r="G61" s="175">
        <f>VLOOKUP($E61,'Article(s) Raw Data'!$B$1:$L$707,4,0)</f>
        <v>1</v>
      </c>
      <c r="H61" s="44">
        <f>VLOOKUP($E61,'Article(s) Raw Data'!$B$1:$L$707,5,0)</f>
        <v>736000</v>
      </c>
      <c r="I61" s="44">
        <f>VLOOKUP($E61,'Article(s) Raw Data'!$B$1:$L$707,6,0)</f>
        <v>478000</v>
      </c>
      <c r="J61" s="207">
        <f>VLOOKUP($E61,'Article(s) Raw Data'!$B$1:$L$707,7,0)</f>
        <v>1.54</v>
      </c>
      <c r="K61" s="195"/>
      <c r="L61" s="196">
        <f>J61*0.2*G61/120/60/0.33/(J65*G65)*1000000</f>
        <v>19.0072770717932</v>
      </c>
      <c r="M61" s="195"/>
      <c r="N61" s="195">
        <f>(J61*0.2*G61+J63*1.3*G63)/(J65*1.3*G65)*100</f>
        <v>107.579517256937</v>
      </c>
      <c r="O61" s="195"/>
      <c r="P61" s="195"/>
      <c r="Q61" s="165"/>
      <c r="R61" s="165"/>
      <c r="S61" s="165"/>
    </row>
    <row r="62" spans="1:19">
      <c r="A62" s="161"/>
      <c r="B62" s="33"/>
      <c r="C62" s="174" t="s">
        <v>70</v>
      </c>
      <c r="D62" s="175">
        <v>120</v>
      </c>
      <c r="E62" s="33" t="s">
        <v>137</v>
      </c>
      <c r="F62" s="33" t="s">
        <v>72</v>
      </c>
      <c r="G62" s="175">
        <f>VLOOKUP($E62,'Article(s) Raw Data'!$B$1:$L$707,4,0)</f>
        <v>10</v>
      </c>
      <c r="H62" s="44">
        <f>VLOOKUP($E62,'Article(s) Raw Data'!$B$1:$L$707,5,0)</f>
        <v>375000</v>
      </c>
      <c r="I62" s="44">
        <f>VLOOKUP($E62,'Article(s) Raw Data'!$B$1:$L$707,6,0)</f>
        <v>496000</v>
      </c>
      <c r="J62" s="35">
        <f>VLOOKUP($E62,'Article(s) Raw Data'!$B$1:$L$707,7,0)</f>
        <v>0.756</v>
      </c>
      <c r="K62" s="35">
        <f>AVERAGE(J62:J63)</f>
        <v>0.733</v>
      </c>
      <c r="L62" s="199" t="s">
        <v>48</v>
      </c>
      <c r="M62" s="197" t="s">
        <v>48</v>
      </c>
      <c r="N62" s="175" t="s">
        <v>48</v>
      </c>
      <c r="O62" s="198" t="s">
        <v>48</v>
      </c>
      <c r="P62" s="195"/>
      <c r="Q62" s="165"/>
      <c r="R62" s="165"/>
      <c r="S62" s="165"/>
    </row>
    <row r="63" spans="1:19">
      <c r="A63" s="161"/>
      <c r="B63" s="33"/>
      <c r="C63" s="174"/>
      <c r="D63" s="33"/>
      <c r="E63" s="33" t="s">
        <v>138</v>
      </c>
      <c r="F63" s="33" t="s">
        <v>74</v>
      </c>
      <c r="G63" s="175">
        <f>VLOOKUP($E63,'Article(s) Raw Data'!$B$1:$L$707,4,0)</f>
        <v>10</v>
      </c>
      <c r="H63" s="44">
        <f>VLOOKUP($E63,'Article(s) Raw Data'!$B$1:$L$707,5,0)</f>
        <v>358000</v>
      </c>
      <c r="I63" s="44">
        <f>VLOOKUP($E63,'Article(s) Raw Data'!$B$1:$L$707,6,0)</f>
        <v>504000</v>
      </c>
      <c r="J63" s="35">
        <f>VLOOKUP($E63,'Article(s) Raw Data'!$B$1:$L$707,7,0)</f>
        <v>0.71</v>
      </c>
      <c r="K63" s="195"/>
      <c r="L63" s="195"/>
      <c r="M63" s="195"/>
      <c r="N63" s="195"/>
      <c r="O63" s="195"/>
      <c r="P63" s="195"/>
      <c r="Q63" s="165"/>
      <c r="R63" s="165"/>
      <c r="S63" s="165"/>
    </row>
    <row r="64" s="33" customFormat="1" ht="15.6" customHeight="1" spans="1:19">
      <c r="A64" s="161"/>
      <c r="B64" s="33" t="s">
        <v>120</v>
      </c>
      <c r="C64" s="174" t="s">
        <v>48</v>
      </c>
      <c r="D64" s="175">
        <v>0</v>
      </c>
      <c r="E64" s="33" t="s">
        <v>139</v>
      </c>
      <c r="F64" s="33" t="s">
        <v>122</v>
      </c>
      <c r="G64" s="175">
        <f>VLOOKUP($E64,'Article(s) Raw Data'!$B$1:$L$707,4,0)</f>
        <v>10</v>
      </c>
      <c r="H64" s="44">
        <f>VLOOKUP($E64,'Article(s) Raw Data'!$B$1:$L$707,5,0)</f>
        <v>342000</v>
      </c>
      <c r="I64" s="44">
        <f>VLOOKUP($E64,'Article(s) Raw Data'!$B$1:$L$707,6,0)</f>
        <v>525000</v>
      </c>
      <c r="J64" s="35">
        <f>VLOOKUP($E64,'Article(s) Raw Data'!$B$1:$L$707,7,0)</f>
        <v>0.652</v>
      </c>
      <c r="K64" s="35">
        <f>AVERAGE(J64:J65)</f>
        <v>0.667</v>
      </c>
      <c r="L64" s="199" t="s">
        <v>48</v>
      </c>
      <c r="M64" s="197" t="s">
        <v>48</v>
      </c>
      <c r="N64" s="175" t="s">
        <v>48</v>
      </c>
      <c r="O64" s="198" t="s">
        <v>48</v>
      </c>
      <c r="P64" s="195"/>
      <c r="Q64" s="195"/>
      <c r="R64" s="195"/>
      <c r="S64" s="195"/>
    </row>
    <row r="65" s="33" customFormat="1" ht="15.6" customHeight="1" spans="1:19">
      <c r="A65" s="176"/>
      <c r="B65" s="47"/>
      <c r="C65" s="177"/>
      <c r="D65" s="178"/>
      <c r="E65" s="47" t="s">
        <v>140</v>
      </c>
      <c r="F65" s="47" t="s">
        <v>124</v>
      </c>
      <c r="G65" s="178">
        <f>VLOOKUP($E65,'Article(s) Raw Data'!$B$1:$L$707,4,0)</f>
        <v>10</v>
      </c>
      <c r="H65" s="48">
        <f>VLOOKUP($E65,'Article(s) Raw Data'!$B$1:$L$707,5,0)</f>
        <v>350000</v>
      </c>
      <c r="I65" s="48">
        <f>VLOOKUP($E65,'Article(s) Raw Data'!$B$1:$L$707,6,0)</f>
        <v>513000</v>
      </c>
      <c r="J65" s="200">
        <f>VLOOKUP($E65,'Article(s) Raw Data'!$B$1:$L$707,7,0)</f>
        <v>0.682</v>
      </c>
      <c r="K65" s="201"/>
      <c r="L65" s="201"/>
      <c r="M65" s="201"/>
      <c r="N65" s="201"/>
      <c r="O65" s="201"/>
      <c r="P65" s="201"/>
      <c r="Q65" s="195"/>
      <c r="R65" s="165"/>
      <c r="S65" s="195"/>
    </row>
    <row r="66" s="33" customFormat="1" ht="12.75" customHeight="1" spans="1:19">
      <c r="A66" s="161"/>
      <c r="C66" s="174"/>
      <c r="D66" s="175"/>
      <c r="G66" s="175"/>
      <c r="H66" s="48"/>
      <c r="I66" s="48"/>
      <c r="J66" s="195"/>
      <c r="K66" s="195"/>
      <c r="L66" s="195"/>
      <c r="M66" s="195"/>
      <c r="N66" s="195"/>
      <c r="O66" s="195"/>
      <c r="P66" s="195"/>
      <c r="Q66" s="195"/>
      <c r="R66" s="195"/>
      <c r="S66" s="195"/>
    </row>
    <row r="67" s="161" customFormat="1" ht="44.25" customHeight="1" spans="1:19">
      <c r="A67" s="170" t="s">
        <v>31</v>
      </c>
      <c r="B67" s="179" t="s">
        <v>85</v>
      </c>
      <c r="C67" s="179"/>
      <c r="D67" s="170" t="s">
        <v>57</v>
      </c>
      <c r="E67" s="170" t="s">
        <v>58</v>
      </c>
      <c r="F67" s="170" t="s">
        <v>59</v>
      </c>
      <c r="G67" s="171" t="s">
        <v>60</v>
      </c>
      <c r="H67" s="37" t="s">
        <v>61</v>
      </c>
      <c r="I67" s="37" t="s">
        <v>62</v>
      </c>
      <c r="J67" s="170" t="s">
        <v>63</v>
      </c>
      <c r="K67" s="170" t="s">
        <v>64</v>
      </c>
      <c r="L67" s="170" t="s">
        <v>86</v>
      </c>
      <c r="M67" s="170" t="s">
        <v>87</v>
      </c>
      <c r="N67" s="202"/>
      <c r="O67" s="202"/>
      <c r="P67" s="202"/>
      <c r="Q67" s="202"/>
      <c r="R67" s="202"/>
      <c r="S67" s="202"/>
    </row>
    <row r="68" s="33" customFormat="1" ht="15.6" customHeight="1" spans="1:19">
      <c r="A68" s="170" t="str">
        <f>A54</f>
        <v>HW356009-P1 (2 µM)</v>
      </c>
      <c r="B68" s="172" t="s">
        <v>88</v>
      </c>
      <c r="C68" s="172"/>
      <c r="D68" s="173">
        <v>120</v>
      </c>
      <c r="E68" s="40" t="s">
        <v>141</v>
      </c>
      <c r="F68" s="40" t="s">
        <v>90</v>
      </c>
      <c r="G68" s="173">
        <f>VLOOKUP($E68,'Article(s) Raw Data'!$B$1:$L$707,4,0)</f>
        <v>10</v>
      </c>
      <c r="H68" s="41">
        <f>VLOOKUP($E68,'Article(s) Raw Data'!$B$1:$L$707,5,0)</f>
        <v>349000</v>
      </c>
      <c r="I68" s="41">
        <f>VLOOKUP($E68,'Article(s) Raw Data'!$B$1:$L$707,6,0)</f>
        <v>504000</v>
      </c>
      <c r="J68" s="191">
        <f>VLOOKUP($E68,'Article(s) Raw Data'!$B$1:$L$707,7,0)</f>
        <v>0.693</v>
      </c>
      <c r="K68" s="191">
        <f>AVERAGE(J68:J69)</f>
        <v>0.725</v>
      </c>
      <c r="L68" s="192">
        <f>J68*G68/(G70*J70)*100</f>
        <v>96.7877094972067</v>
      </c>
      <c r="M68" s="203">
        <f>AVERAGE(L68:L69)</f>
        <v>104.718259510508</v>
      </c>
      <c r="N68" s="195"/>
      <c r="O68" s="204"/>
      <c r="P68" s="204"/>
      <c r="Q68" s="195"/>
      <c r="R68" s="195"/>
      <c r="S68" s="195"/>
    </row>
    <row r="69" s="33" customFormat="1" ht="15.6" customHeight="1" spans="1:19">
      <c r="A69" s="161"/>
      <c r="B69" s="174"/>
      <c r="C69" s="174"/>
      <c r="D69" s="33"/>
      <c r="E69" s="33" t="s">
        <v>142</v>
      </c>
      <c r="F69" s="33" t="s">
        <v>92</v>
      </c>
      <c r="G69" s="175">
        <f>VLOOKUP($E69,'Article(s) Raw Data'!$B$1:$L$707,4,0)</f>
        <v>10</v>
      </c>
      <c r="H69" s="44">
        <f>VLOOKUP($E69,'Article(s) Raw Data'!$B$1:$L$707,5,0)</f>
        <v>399000</v>
      </c>
      <c r="I69" s="44">
        <f>VLOOKUP($E69,'Article(s) Raw Data'!$B$1:$L$707,6,0)</f>
        <v>527000</v>
      </c>
      <c r="J69" s="35">
        <f>VLOOKUP($E69,'Article(s) Raw Data'!$B$1:$L$707,7,0)</f>
        <v>0.757</v>
      </c>
      <c r="K69" s="195"/>
      <c r="L69" s="195">
        <f>J69*G69/(G71*J71)*100</f>
        <v>112.64880952381</v>
      </c>
      <c r="M69" s="195"/>
      <c r="N69" s="195"/>
      <c r="O69" s="204"/>
      <c r="P69" s="204"/>
      <c r="Q69" s="195"/>
      <c r="R69" s="195"/>
      <c r="S69" s="195"/>
    </row>
    <row r="70" s="33" customFormat="1" ht="15.6" customHeight="1" spans="1:19">
      <c r="A70" s="161"/>
      <c r="B70" s="174"/>
      <c r="C70" s="174"/>
      <c r="D70" s="175">
        <v>0</v>
      </c>
      <c r="E70" s="33" t="s">
        <v>143</v>
      </c>
      <c r="F70" s="33" t="s">
        <v>94</v>
      </c>
      <c r="G70" s="175">
        <f>VLOOKUP($E70,'Article(s) Raw Data'!$B$1:$L$707,4,0)</f>
        <v>10</v>
      </c>
      <c r="H70" s="44">
        <f>VLOOKUP($E70,'Article(s) Raw Data'!$B$1:$L$707,5,0)</f>
        <v>382000</v>
      </c>
      <c r="I70" s="44">
        <f>VLOOKUP($E70,'Article(s) Raw Data'!$B$1:$L$707,6,0)</f>
        <v>534000</v>
      </c>
      <c r="J70" s="35">
        <f>VLOOKUP($E70,'Article(s) Raw Data'!$B$1:$L$707,7,0)</f>
        <v>0.716</v>
      </c>
      <c r="K70" s="35">
        <f>AVERAGE(J70:J71)</f>
        <v>0.694</v>
      </c>
      <c r="L70" s="199" t="s">
        <v>48</v>
      </c>
      <c r="M70" s="197" t="s">
        <v>48</v>
      </c>
      <c r="N70" s="204"/>
      <c r="O70" s="204"/>
      <c r="P70" s="204"/>
      <c r="Q70" s="195"/>
      <c r="R70" s="195"/>
      <c r="S70" s="195"/>
    </row>
    <row r="71" s="33" customFormat="1" ht="15.6" customHeight="1" spans="1:19">
      <c r="A71" s="176"/>
      <c r="B71" s="177"/>
      <c r="C71" s="177"/>
      <c r="D71" s="178"/>
      <c r="E71" s="47" t="s">
        <v>144</v>
      </c>
      <c r="F71" s="47" t="s">
        <v>96</v>
      </c>
      <c r="G71" s="178">
        <f>VLOOKUP($E71,'Article(s) Raw Data'!$B$1:$L$707,4,0)</f>
        <v>10</v>
      </c>
      <c r="H71" s="48">
        <f>VLOOKUP($E71,'Article(s) Raw Data'!$B$1:$L$707,5,0)</f>
        <v>380000</v>
      </c>
      <c r="I71" s="48">
        <f>VLOOKUP($E71,'Article(s) Raw Data'!$B$1:$L$707,6,0)</f>
        <v>566000</v>
      </c>
      <c r="J71" s="200">
        <f>VLOOKUP($E71,'Article(s) Raw Data'!$B$1:$L$707,7,0)</f>
        <v>0.672</v>
      </c>
      <c r="K71" s="201"/>
      <c r="L71" s="201"/>
      <c r="M71" s="201"/>
      <c r="N71" s="204"/>
      <c r="O71" s="204"/>
      <c r="P71" s="204"/>
      <c r="Q71" s="195"/>
      <c r="R71" s="195"/>
      <c r="S71" s="195"/>
    </row>
    <row r="72" s="33" customFormat="1" ht="12.75" customHeight="1" spans="1:19">
      <c r="A72" s="161"/>
      <c r="B72" s="174"/>
      <c r="C72" s="174"/>
      <c r="D72" s="175"/>
      <c r="G72" s="175"/>
      <c r="H72" s="44"/>
      <c r="I72" s="44"/>
      <c r="J72" s="195"/>
      <c r="K72" s="195"/>
      <c r="L72" s="195"/>
      <c r="M72" s="195"/>
      <c r="N72" s="195"/>
      <c r="O72" s="195"/>
      <c r="P72" s="195"/>
      <c r="Q72" s="195"/>
      <c r="R72" s="195"/>
      <c r="S72" s="195"/>
    </row>
    <row r="73" s="160" customFormat="1" ht="15.75" hidden="1" spans="1:19">
      <c r="A73" s="166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</row>
    <row r="74" s="161" customFormat="1" ht="44.25" hidden="1" customHeight="1" spans="1:19">
      <c r="A74" s="170" t="s">
        <v>31</v>
      </c>
      <c r="B74" s="169" t="s">
        <v>32</v>
      </c>
      <c r="C74" s="170" t="s">
        <v>56</v>
      </c>
      <c r="D74" s="170" t="s">
        <v>57</v>
      </c>
      <c r="E74" s="170" t="s">
        <v>58</v>
      </c>
      <c r="F74" s="170" t="s">
        <v>59</v>
      </c>
      <c r="G74" s="189" t="s">
        <v>60</v>
      </c>
      <c r="H74" s="37" t="s">
        <v>61</v>
      </c>
      <c r="I74" s="37" t="s">
        <v>62</v>
      </c>
      <c r="J74" s="168" t="s">
        <v>63</v>
      </c>
      <c r="K74" s="170" t="s">
        <v>64</v>
      </c>
      <c r="L74" s="170" t="s">
        <v>65</v>
      </c>
      <c r="M74" s="170" t="s">
        <v>66</v>
      </c>
      <c r="N74" s="170" t="s">
        <v>33</v>
      </c>
      <c r="O74" s="170" t="s">
        <v>67</v>
      </c>
      <c r="P74" s="170" t="s">
        <v>35</v>
      </c>
      <c r="Q74" s="202"/>
      <c r="R74" s="202"/>
      <c r="S74" s="202"/>
    </row>
    <row r="75" ht="14.25" hidden="1" customHeight="1" spans="1:19">
      <c r="A75" s="170" t="str">
        <f>Summary!$B$16</f>
        <v> (1 µM)</v>
      </c>
      <c r="B75" s="172" t="s">
        <v>69</v>
      </c>
      <c r="C75" s="172" t="s">
        <v>70</v>
      </c>
      <c r="D75" s="173">
        <v>120</v>
      </c>
      <c r="E75" s="40"/>
      <c r="F75" s="40" t="s">
        <v>72</v>
      </c>
      <c r="G75" s="173" t="e">
        <f>VLOOKUP($E75,'Article(s) Raw Data'!$B$1:$L$707,4,0)</f>
        <v>#N/A</v>
      </c>
      <c r="H75" s="41" t="e">
        <f>VLOOKUP($E75,'Article(s) Raw Data'!$B$1:$L$707,5,0)</f>
        <v>#N/A</v>
      </c>
      <c r="I75" s="41" t="e">
        <f>VLOOKUP($E75,'Article(s) Raw Data'!$B$1:$L$707,6,0)</f>
        <v>#N/A</v>
      </c>
      <c r="J75" s="190" t="e">
        <f>VLOOKUP($E75,'Article(s) Raw Data'!$B$1:$L$707,7,0)</f>
        <v>#N/A</v>
      </c>
      <c r="K75" s="190" t="e">
        <f>AVERAGE(J75:J76)</f>
        <v>#N/A</v>
      </c>
      <c r="L75" s="191" t="e">
        <f>J75*1.3*G75/120/60/0.33/(G79*J79)*1000000</f>
        <v>#N/A</v>
      </c>
      <c r="M75" s="191" t="e">
        <f>AVERAGE(L75:L76)</f>
        <v>#N/A</v>
      </c>
      <c r="N75" s="192" t="e">
        <f>(J75*1.3*G75+J77*0.2*G77)/(G79*0.2*J79)*100</f>
        <v>#N/A</v>
      </c>
      <c r="O75" s="192" t="e">
        <f>AVERAGE(N75:N76)</f>
        <v>#N/A</v>
      </c>
      <c r="P75" s="203" t="e">
        <f>M81/M75</f>
        <v>#N/A</v>
      </c>
      <c r="Q75" s="165"/>
      <c r="R75" s="165"/>
      <c r="S75" s="165"/>
    </row>
    <row r="76" ht="12.75" hidden="1" customHeight="1" spans="1:19">
      <c r="A76" s="161"/>
      <c r="B76" s="33"/>
      <c r="C76" s="174"/>
      <c r="D76" s="33"/>
      <c r="E76" s="33"/>
      <c r="F76" s="33" t="s">
        <v>74</v>
      </c>
      <c r="G76" s="175" t="e">
        <f>VLOOKUP($E76,'Article(s) Raw Data'!$B$1:$L$707,4,0)</f>
        <v>#N/A</v>
      </c>
      <c r="H76" s="44" t="e">
        <f>VLOOKUP($E76,'Article(s) Raw Data'!$B$1:$L$707,5,0)</f>
        <v>#N/A</v>
      </c>
      <c r="I76" s="44" t="e">
        <f>VLOOKUP($E76,'Article(s) Raw Data'!$B$1:$L$707,6,0)</f>
        <v>#N/A</v>
      </c>
      <c r="J76" s="194" t="e">
        <f>VLOOKUP($E76,'Article(s) Raw Data'!$B$1:$L$707,7,0)</f>
        <v>#N/A</v>
      </c>
      <c r="K76" s="195"/>
      <c r="L76" s="35" t="e">
        <f>J76*1.3*G76/120/60/0.33/(G80*J80)*1000000</f>
        <v>#N/A</v>
      </c>
      <c r="M76" s="195"/>
      <c r="N76" s="196" t="e">
        <f>(J76*1.3*G76+J78*0.2*G78)/(G80*0.2*J80)*100</f>
        <v>#N/A</v>
      </c>
      <c r="O76" s="195"/>
      <c r="P76" s="195"/>
      <c r="Q76" s="165"/>
      <c r="R76" s="165"/>
      <c r="S76" s="165"/>
    </row>
    <row r="77" hidden="1" spans="1:19">
      <c r="A77" s="161"/>
      <c r="B77" s="33"/>
      <c r="C77" s="174" t="s">
        <v>75</v>
      </c>
      <c r="D77" s="175">
        <v>120</v>
      </c>
      <c r="E77" s="33"/>
      <c r="F77" s="33" t="s">
        <v>77</v>
      </c>
      <c r="G77" s="175" t="e">
        <f>VLOOKUP($E77,'Article(s) Raw Data'!$B$1:$L$707,4,0)</f>
        <v>#N/A</v>
      </c>
      <c r="H77" s="44" t="e">
        <f>VLOOKUP($E77,'Article(s) Raw Data'!$B$1:$L$707,5,0)</f>
        <v>#N/A</v>
      </c>
      <c r="I77" s="44" t="e">
        <f>VLOOKUP($E77,'Article(s) Raw Data'!$B$1:$L$707,6,0)</f>
        <v>#N/A</v>
      </c>
      <c r="J77" s="214" t="e">
        <f>VLOOKUP($E77,'Article(s) Raw Data'!$B$1:$L$707,7,0)</f>
        <v>#N/A</v>
      </c>
      <c r="K77" s="214" t="e">
        <f>AVERAGE(J77:J78)</f>
        <v>#N/A</v>
      </c>
      <c r="L77" s="197" t="s">
        <v>48</v>
      </c>
      <c r="M77" s="197" t="s">
        <v>48</v>
      </c>
      <c r="N77" s="175" t="s">
        <v>48</v>
      </c>
      <c r="O77" s="198" t="s">
        <v>48</v>
      </c>
      <c r="P77" s="195"/>
      <c r="Q77" s="165"/>
      <c r="R77" s="165"/>
      <c r="S77" s="165"/>
    </row>
    <row r="78" hidden="1" spans="1:19">
      <c r="A78" s="161"/>
      <c r="B78" s="33"/>
      <c r="C78" s="174"/>
      <c r="D78" s="33"/>
      <c r="E78" s="33"/>
      <c r="F78" s="33" t="s">
        <v>79</v>
      </c>
      <c r="G78" s="175" t="e">
        <f>VLOOKUP($E78,'Article(s) Raw Data'!$B$1:$L$707,4,0)</f>
        <v>#N/A</v>
      </c>
      <c r="H78" s="44" t="e">
        <f>VLOOKUP($E78,'Article(s) Raw Data'!$B$1:$L$707,5,0)</f>
        <v>#N/A</v>
      </c>
      <c r="I78" s="44" t="e">
        <f>VLOOKUP($E78,'Article(s) Raw Data'!$B$1:$L$707,6,0)</f>
        <v>#N/A</v>
      </c>
      <c r="J78" s="35" t="e">
        <f>VLOOKUP($E78,'Article(s) Raw Data'!$B$1:$L$707,7,0)</f>
        <v>#N/A</v>
      </c>
      <c r="K78" s="195"/>
      <c r="L78" s="195"/>
      <c r="M78" s="195"/>
      <c r="N78" s="195"/>
      <c r="O78" s="195"/>
      <c r="P78" s="195"/>
      <c r="Q78" s="165"/>
      <c r="R78" s="165"/>
      <c r="S78" s="165"/>
    </row>
    <row r="79" hidden="1" spans="1:19">
      <c r="A79" s="161"/>
      <c r="B79" s="33" t="s">
        <v>80</v>
      </c>
      <c r="C79" s="174" t="s">
        <v>48</v>
      </c>
      <c r="D79" s="175">
        <v>0</v>
      </c>
      <c r="E79" s="33"/>
      <c r="F79" s="33" t="s">
        <v>82</v>
      </c>
      <c r="G79" s="175" t="e">
        <f>VLOOKUP($E79,'Article(s) Raw Data'!$B$1:$L$707,4,0)</f>
        <v>#N/A</v>
      </c>
      <c r="H79" s="44" t="e">
        <f>VLOOKUP($E79,'Article(s) Raw Data'!$B$1:$L$707,5,0)</f>
        <v>#N/A</v>
      </c>
      <c r="I79" s="44" t="e">
        <f>VLOOKUP($E79,'Article(s) Raw Data'!$B$1:$L$707,6,0)</f>
        <v>#N/A</v>
      </c>
      <c r="J79" s="35" t="e">
        <f>VLOOKUP($E79,'Article(s) Raw Data'!$B$1:$L$707,7,0)</f>
        <v>#N/A</v>
      </c>
      <c r="K79" s="35" t="e">
        <f>AVERAGE(J79:J80)</f>
        <v>#N/A</v>
      </c>
      <c r="L79" s="199" t="s">
        <v>48</v>
      </c>
      <c r="M79" s="197" t="s">
        <v>48</v>
      </c>
      <c r="N79" s="175" t="s">
        <v>48</v>
      </c>
      <c r="O79" s="198" t="s">
        <v>48</v>
      </c>
      <c r="P79" s="195"/>
      <c r="Q79" s="165"/>
      <c r="R79" s="165"/>
      <c r="S79" s="165"/>
    </row>
    <row r="80" hidden="1" spans="1:19">
      <c r="A80" s="161"/>
      <c r="B80" s="185"/>
      <c r="C80" s="186"/>
      <c r="D80" s="187"/>
      <c r="E80" s="185"/>
      <c r="F80" s="185" t="s">
        <v>84</v>
      </c>
      <c r="G80" s="187" t="e">
        <f>VLOOKUP($E80,'Article(s) Raw Data'!$B$1:$L$707,4,0)</f>
        <v>#N/A</v>
      </c>
      <c r="H80" s="188" t="e">
        <f>VLOOKUP($E80,'Article(s) Raw Data'!$B$1:$L$707,5,0)</f>
        <v>#N/A</v>
      </c>
      <c r="I80" s="188" t="e">
        <f>VLOOKUP($E80,'Article(s) Raw Data'!$B$1:$L$707,6,0)</f>
        <v>#N/A</v>
      </c>
      <c r="J80" s="211" t="e">
        <f>VLOOKUP($E80,'Article(s) Raw Data'!$B$1:$L$707,7,0)</f>
        <v>#N/A</v>
      </c>
      <c r="K80" s="212"/>
      <c r="L80" s="212"/>
      <c r="M80" s="212"/>
      <c r="N80" s="212"/>
      <c r="O80" s="212"/>
      <c r="P80" s="195"/>
      <c r="Q80" s="165"/>
      <c r="R80" s="165"/>
      <c r="S80" s="165"/>
    </row>
    <row r="81" ht="14.25" hidden="1" customHeight="1" spans="1:19">
      <c r="A81" s="161"/>
      <c r="B81" s="174" t="s">
        <v>115</v>
      </c>
      <c r="C81" s="174" t="s">
        <v>75</v>
      </c>
      <c r="D81" s="175">
        <v>120</v>
      </c>
      <c r="E81" s="33"/>
      <c r="F81" s="33" t="s">
        <v>77</v>
      </c>
      <c r="G81" s="175" t="e">
        <f>VLOOKUP($E81,'Article(s) Raw Data'!$B$1:$L$707,4,0)</f>
        <v>#N/A</v>
      </c>
      <c r="H81" s="44" t="e">
        <f>VLOOKUP($E81,'Article(s) Raw Data'!$B$1:$L$707,5,0)</f>
        <v>#N/A</v>
      </c>
      <c r="I81" s="44" t="e">
        <f>VLOOKUP($E81,'Article(s) Raw Data'!$B$1:$L$707,6,0)</f>
        <v>#N/A</v>
      </c>
      <c r="J81" s="35" t="e">
        <f>VLOOKUP($E81,'Article(s) Raw Data'!$B$1:$L$707,7,0)</f>
        <v>#N/A</v>
      </c>
      <c r="K81" s="35" t="e">
        <f>AVERAGE(J81:J82)</f>
        <v>#N/A</v>
      </c>
      <c r="L81" s="196" t="e">
        <f>J81*0.2*G81/120/60/0.33/(J85*G85)*1000000</f>
        <v>#N/A</v>
      </c>
      <c r="M81" s="196" t="e">
        <f>AVERAGE(L81:L82)</f>
        <v>#N/A</v>
      </c>
      <c r="N81" s="195" t="e">
        <f>(J81*0.2*G81+J83*1.3*G83)/(J85*1.3*G85)*100</f>
        <v>#N/A</v>
      </c>
      <c r="O81" s="196" t="e">
        <f>AVERAGE(N81:N82)</f>
        <v>#N/A</v>
      </c>
      <c r="P81" s="195"/>
      <c r="Q81" s="165"/>
      <c r="R81" s="165"/>
      <c r="S81" s="165"/>
    </row>
    <row r="82" hidden="1" spans="1:19">
      <c r="A82" s="161"/>
      <c r="B82" s="33"/>
      <c r="C82" s="174"/>
      <c r="D82" s="33"/>
      <c r="E82" s="33"/>
      <c r="F82" s="33" t="s">
        <v>79</v>
      </c>
      <c r="G82" s="175" t="e">
        <f>VLOOKUP($E82,'Article(s) Raw Data'!$B$1:$L$707,4,0)</f>
        <v>#N/A</v>
      </c>
      <c r="H82" s="44" t="e">
        <f>VLOOKUP($E82,'Article(s) Raw Data'!$B$1:$L$707,5,0)</f>
        <v>#N/A</v>
      </c>
      <c r="I82" s="44" t="e">
        <f>VLOOKUP($E82,'Article(s) Raw Data'!$B$1:$L$707,6,0)</f>
        <v>#N/A</v>
      </c>
      <c r="J82" s="35" t="e">
        <f>VLOOKUP($E82,'Article(s) Raw Data'!$B$1:$L$707,7,0)</f>
        <v>#N/A</v>
      </c>
      <c r="K82" s="195"/>
      <c r="L82" s="196" t="e">
        <f>J82*0.2*G82/120/60/0.33/(J86*G86)*1000000</f>
        <v>#N/A</v>
      </c>
      <c r="M82" s="195"/>
      <c r="N82" s="196" t="e">
        <f>(J82*0.2*G82+J84*1.3*G84)/(J86*1.3*G86)*100</f>
        <v>#N/A</v>
      </c>
      <c r="O82" s="195"/>
      <c r="P82" s="195"/>
      <c r="Q82" s="165"/>
      <c r="R82" s="165"/>
      <c r="S82" s="165"/>
    </row>
    <row r="83" hidden="1" spans="1:19">
      <c r="A83" s="161"/>
      <c r="B83" s="33"/>
      <c r="C83" s="174" t="s">
        <v>70</v>
      </c>
      <c r="D83" s="175">
        <v>120</v>
      </c>
      <c r="E83" s="33"/>
      <c r="F83" s="33" t="s">
        <v>72</v>
      </c>
      <c r="G83" s="175" t="e">
        <f>VLOOKUP($E83,'Article(s) Raw Data'!$B$1:$L$707,4,0)</f>
        <v>#N/A</v>
      </c>
      <c r="H83" s="44" t="e">
        <f>VLOOKUP($E83,'Article(s) Raw Data'!$B$1:$L$707,5,0)</f>
        <v>#N/A</v>
      </c>
      <c r="I83" s="44" t="e">
        <f>VLOOKUP($E83,'Article(s) Raw Data'!$B$1:$L$707,6,0)</f>
        <v>#N/A</v>
      </c>
      <c r="J83" s="35" t="e">
        <f>VLOOKUP($E83,'Article(s) Raw Data'!$B$1:$L$707,7,0)</f>
        <v>#N/A</v>
      </c>
      <c r="K83" s="35" t="e">
        <f>AVERAGE(J83:J84)</f>
        <v>#N/A</v>
      </c>
      <c r="L83" s="199" t="s">
        <v>48</v>
      </c>
      <c r="M83" s="197" t="s">
        <v>48</v>
      </c>
      <c r="N83" s="175" t="s">
        <v>48</v>
      </c>
      <c r="O83" s="198" t="s">
        <v>48</v>
      </c>
      <c r="P83" s="195"/>
      <c r="Q83" s="165"/>
      <c r="R83" s="165"/>
      <c r="S83" s="165"/>
    </row>
    <row r="84" hidden="1" spans="1:19">
      <c r="A84" s="161"/>
      <c r="B84" s="33"/>
      <c r="C84" s="174"/>
      <c r="D84" s="33"/>
      <c r="E84" s="33"/>
      <c r="F84" s="33" t="s">
        <v>74</v>
      </c>
      <c r="G84" s="175" t="e">
        <f>VLOOKUP($E84,'Article(s) Raw Data'!$B$1:$L$707,4,0)</f>
        <v>#N/A</v>
      </c>
      <c r="H84" s="44" t="e">
        <f>VLOOKUP($E84,'Article(s) Raw Data'!$B$1:$L$707,5,0)</f>
        <v>#N/A</v>
      </c>
      <c r="I84" s="44" t="e">
        <f>VLOOKUP($E84,'Article(s) Raw Data'!$B$1:$L$707,6,0)</f>
        <v>#N/A</v>
      </c>
      <c r="J84" s="35" t="e">
        <f>VLOOKUP($E84,'Article(s) Raw Data'!$B$1:$L$707,7,0)</f>
        <v>#N/A</v>
      </c>
      <c r="K84" s="195"/>
      <c r="L84" s="195"/>
      <c r="M84" s="195"/>
      <c r="N84" s="195"/>
      <c r="O84" s="195"/>
      <c r="P84" s="195"/>
      <c r="Q84" s="165"/>
      <c r="R84" s="165"/>
      <c r="S84" s="165"/>
    </row>
    <row r="85" s="33" customFormat="1" ht="15.6" hidden="1" customHeight="1" spans="1:19">
      <c r="A85" s="161"/>
      <c r="B85" s="33" t="s">
        <v>120</v>
      </c>
      <c r="C85" s="174" t="s">
        <v>48</v>
      </c>
      <c r="D85" s="175">
        <v>0</v>
      </c>
      <c r="F85" s="33" t="s">
        <v>122</v>
      </c>
      <c r="G85" s="175" t="e">
        <f>VLOOKUP($E85,'Article(s) Raw Data'!$B$1:$L$707,4,0)</f>
        <v>#N/A</v>
      </c>
      <c r="H85" s="44" t="e">
        <f>VLOOKUP($E85,'Article(s) Raw Data'!$B$1:$L$707,5,0)</f>
        <v>#N/A</v>
      </c>
      <c r="I85" s="44" t="e">
        <f>VLOOKUP($E85,'Article(s) Raw Data'!$B$1:$L$707,6,0)</f>
        <v>#N/A</v>
      </c>
      <c r="J85" s="35" t="e">
        <f>VLOOKUP($E85,'Article(s) Raw Data'!$B$1:$L$707,7,0)</f>
        <v>#N/A</v>
      </c>
      <c r="K85" s="35" t="e">
        <f>AVERAGE(J85:J86)</f>
        <v>#N/A</v>
      </c>
      <c r="L85" s="199" t="s">
        <v>48</v>
      </c>
      <c r="M85" s="197" t="s">
        <v>48</v>
      </c>
      <c r="N85" s="175" t="s">
        <v>48</v>
      </c>
      <c r="O85" s="198" t="s">
        <v>48</v>
      </c>
      <c r="P85" s="195"/>
      <c r="Q85" s="195"/>
      <c r="R85" s="195"/>
      <c r="S85" s="195"/>
    </row>
    <row r="86" s="33" customFormat="1" ht="15.6" hidden="1" customHeight="1" spans="1:19">
      <c r="A86" s="176"/>
      <c r="B86" s="47"/>
      <c r="C86" s="177"/>
      <c r="D86" s="178"/>
      <c r="E86" s="47"/>
      <c r="F86" s="47" t="s">
        <v>124</v>
      </c>
      <c r="G86" s="178" t="e">
        <f>VLOOKUP($E86,'Article(s) Raw Data'!$B$1:$L$707,4,0)</f>
        <v>#N/A</v>
      </c>
      <c r="H86" s="48" t="e">
        <f>VLOOKUP($E86,'Article(s) Raw Data'!$B$1:$L$707,5,0)</f>
        <v>#N/A</v>
      </c>
      <c r="I86" s="48" t="e">
        <f>VLOOKUP($E86,'Article(s) Raw Data'!$B$1:$L$707,6,0)</f>
        <v>#N/A</v>
      </c>
      <c r="J86" s="200" t="e">
        <f>VLOOKUP($E86,'Article(s) Raw Data'!$B$1:$L$707,7,0)</f>
        <v>#N/A</v>
      </c>
      <c r="K86" s="201"/>
      <c r="L86" s="201"/>
      <c r="M86" s="201"/>
      <c r="N86" s="201"/>
      <c r="O86" s="201"/>
      <c r="P86" s="201"/>
      <c r="Q86" s="195"/>
      <c r="R86" s="165"/>
      <c r="S86" s="195"/>
    </row>
    <row r="87" s="33" customFormat="1" ht="12.75" hidden="1" customHeight="1" spans="1:19">
      <c r="A87" s="161"/>
      <c r="C87" s="174"/>
      <c r="D87" s="175"/>
      <c r="G87" s="175"/>
      <c r="H87" s="48"/>
      <c r="I87" s="48"/>
      <c r="J87" s="195"/>
      <c r="K87" s="195"/>
      <c r="L87" s="195"/>
      <c r="M87" s="195"/>
      <c r="N87" s="195"/>
      <c r="O87" s="195"/>
      <c r="P87" s="195"/>
      <c r="Q87" s="195"/>
      <c r="R87" s="195"/>
      <c r="S87" s="195"/>
    </row>
    <row r="88" s="161" customFormat="1" ht="44.25" hidden="1" customHeight="1" spans="1:19">
      <c r="A88" s="170" t="s">
        <v>31</v>
      </c>
      <c r="B88" s="179" t="s">
        <v>85</v>
      </c>
      <c r="C88" s="179"/>
      <c r="D88" s="170" t="s">
        <v>57</v>
      </c>
      <c r="E88" s="170" t="s">
        <v>58</v>
      </c>
      <c r="F88" s="170" t="s">
        <v>59</v>
      </c>
      <c r="G88" s="171" t="s">
        <v>60</v>
      </c>
      <c r="H88" s="37" t="s">
        <v>61</v>
      </c>
      <c r="I88" s="37" t="s">
        <v>62</v>
      </c>
      <c r="J88" s="170" t="s">
        <v>63</v>
      </c>
      <c r="K88" s="170" t="s">
        <v>64</v>
      </c>
      <c r="L88" s="170" t="s">
        <v>86</v>
      </c>
      <c r="M88" s="170" t="s">
        <v>87</v>
      </c>
      <c r="N88" s="202"/>
      <c r="O88" s="202"/>
      <c r="P88" s="202"/>
      <c r="Q88" s="202"/>
      <c r="R88" s="202"/>
      <c r="S88" s="202"/>
    </row>
    <row r="89" s="33" customFormat="1" ht="15.6" hidden="1" customHeight="1" spans="1:19">
      <c r="A89" s="170" t="str">
        <f>A75</f>
        <v> (1 µM)</v>
      </c>
      <c r="B89" s="172" t="s">
        <v>88</v>
      </c>
      <c r="C89" s="172"/>
      <c r="D89" s="173">
        <v>120</v>
      </c>
      <c r="E89" s="40"/>
      <c r="F89" s="40" t="s">
        <v>90</v>
      </c>
      <c r="G89" s="173" t="e">
        <f>VLOOKUP($E89,'Article(s) Raw Data'!$B$1:$L$707,4,0)</f>
        <v>#N/A</v>
      </c>
      <c r="H89" s="41" t="e">
        <f>VLOOKUP($E89,'Article(s) Raw Data'!$B$1:$L$707,5,0)</f>
        <v>#N/A</v>
      </c>
      <c r="I89" s="41" t="e">
        <f>VLOOKUP($E89,'Article(s) Raw Data'!$B$1:$L$707,6,0)</f>
        <v>#N/A</v>
      </c>
      <c r="J89" s="191" t="e">
        <f>VLOOKUP($E89,'Article(s) Raw Data'!$B$1:$L$707,7,0)</f>
        <v>#N/A</v>
      </c>
      <c r="K89" s="191" t="e">
        <f>AVERAGE(J89:J90)</f>
        <v>#N/A</v>
      </c>
      <c r="L89" s="192" t="e">
        <f>J89*G89/(G91*J91)*100</f>
        <v>#N/A</v>
      </c>
      <c r="M89" s="192" t="e">
        <f>AVERAGE(L89:L90)</f>
        <v>#N/A</v>
      </c>
      <c r="N89" s="195"/>
      <c r="O89" s="204"/>
      <c r="P89" s="204"/>
      <c r="Q89" s="195"/>
      <c r="R89" s="195"/>
      <c r="S89" s="195"/>
    </row>
    <row r="90" s="33" customFormat="1" ht="15.6" hidden="1" customHeight="1" spans="1:19">
      <c r="A90" s="161"/>
      <c r="B90" s="174"/>
      <c r="C90" s="174"/>
      <c r="D90" s="33"/>
      <c r="F90" s="33" t="s">
        <v>92</v>
      </c>
      <c r="G90" s="175" t="e">
        <f>VLOOKUP($E90,'Article(s) Raw Data'!$B$1:$L$707,4,0)</f>
        <v>#N/A</v>
      </c>
      <c r="H90" s="44" t="e">
        <f>VLOOKUP($E90,'Article(s) Raw Data'!$B$1:$L$707,5,0)</f>
        <v>#N/A</v>
      </c>
      <c r="I90" s="44" t="e">
        <f>VLOOKUP($E90,'Article(s) Raw Data'!$B$1:$L$707,6,0)</f>
        <v>#N/A</v>
      </c>
      <c r="J90" s="35" t="e">
        <f>VLOOKUP($E90,'Article(s) Raw Data'!$B$1:$L$707,7,0)</f>
        <v>#N/A</v>
      </c>
      <c r="K90" s="195"/>
      <c r="L90" s="196" t="e">
        <f>J90*G90/(G92*J92)*100</f>
        <v>#N/A</v>
      </c>
      <c r="M90" s="195"/>
      <c r="N90" s="195"/>
      <c r="O90" s="204"/>
      <c r="P90" s="204"/>
      <c r="Q90" s="195"/>
      <c r="R90" s="195"/>
      <c r="S90" s="195"/>
    </row>
    <row r="91" s="33" customFormat="1" ht="15.6" hidden="1" customHeight="1" spans="1:19">
      <c r="A91" s="161"/>
      <c r="B91" s="174"/>
      <c r="C91" s="174"/>
      <c r="D91" s="175">
        <v>0</v>
      </c>
      <c r="F91" s="33" t="s">
        <v>94</v>
      </c>
      <c r="G91" s="175" t="e">
        <f>VLOOKUP($E91,'Article(s) Raw Data'!$B$1:$L$707,4,0)</f>
        <v>#N/A</v>
      </c>
      <c r="H91" s="44" t="e">
        <f>VLOOKUP($E91,'Article(s) Raw Data'!$B$1:$L$707,5,0)</f>
        <v>#N/A</v>
      </c>
      <c r="I91" s="44" t="e">
        <f>VLOOKUP($E91,'Article(s) Raw Data'!$B$1:$L$707,6,0)</f>
        <v>#N/A</v>
      </c>
      <c r="J91" s="35" t="e">
        <f>VLOOKUP($E91,'Article(s) Raw Data'!$B$1:$L$707,7,0)</f>
        <v>#N/A</v>
      </c>
      <c r="K91" s="35" t="e">
        <f>AVERAGE(J91:J92)</f>
        <v>#N/A</v>
      </c>
      <c r="L91" s="199" t="s">
        <v>48</v>
      </c>
      <c r="M91" s="197" t="s">
        <v>48</v>
      </c>
      <c r="N91" s="204"/>
      <c r="O91" s="204"/>
      <c r="P91" s="204"/>
      <c r="Q91" s="195"/>
      <c r="R91" s="195"/>
      <c r="S91" s="195"/>
    </row>
    <row r="92" s="33" customFormat="1" ht="15.6" hidden="1" customHeight="1" spans="1:19">
      <c r="A92" s="176"/>
      <c r="B92" s="177"/>
      <c r="C92" s="177"/>
      <c r="D92" s="178"/>
      <c r="E92" s="47"/>
      <c r="F92" s="47" t="s">
        <v>96</v>
      </c>
      <c r="G92" s="178" t="e">
        <f>VLOOKUP($E92,'Article(s) Raw Data'!$B$1:$L$707,4,0)</f>
        <v>#N/A</v>
      </c>
      <c r="H92" s="48" t="e">
        <f>VLOOKUP($E92,'Article(s) Raw Data'!$B$1:$L$707,5,0)</f>
        <v>#N/A</v>
      </c>
      <c r="I92" s="48" t="e">
        <f>VLOOKUP($E92,'Article(s) Raw Data'!$B$1:$L$707,6,0)</f>
        <v>#N/A</v>
      </c>
      <c r="J92" s="200" t="e">
        <f>VLOOKUP($E92,'Article(s) Raw Data'!$B$1:$L$707,7,0)</f>
        <v>#N/A</v>
      </c>
      <c r="K92" s="201"/>
      <c r="L92" s="201"/>
      <c r="M92" s="201"/>
      <c r="N92" s="204"/>
      <c r="O92" s="204"/>
      <c r="P92" s="204"/>
      <c r="Q92" s="195"/>
      <c r="R92" s="195"/>
      <c r="S92" s="195"/>
    </row>
    <row r="93" s="33" customFormat="1" ht="12.75" hidden="1" customHeight="1" spans="1:19">
      <c r="A93" s="161"/>
      <c r="B93" s="174"/>
      <c r="C93" s="174"/>
      <c r="D93" s="175"/>
      <c r="G93" s="175"/>
      <c r="H93" s="44"/>
      <c r="I93" s="44"/>
      <c r="J93" s="195"/>
      <c r="K93" s="195"/>
      <c r="L93" s="195"/>
      <c r="M93" s="195"/>
      <c r="N93" s="195"/>
      <c r="O93" s="195"/>
      <c r="P93" s="195"/>
      <c r="Q93" s="195"/>
      <c r="R93" s="195"/>
      <c r="S93" s="195"/>
    </row>
    <row r="94" s="160" customFormat="1" ht="15.75" hidden="1" spans="1:19">
      <c r="A94" s="166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</row>
    <row r="95" s="161" customFormat="1" ht="44.25" hidden="1" customHeight="1" spans="1:19">
      <c r="A95" s="170" t="s">
        <v>31</v>
      </c>
      <c r="B95" s="169" t="s">
        <v>32</v>
      </c>
      <c r="C95" s="170" t="s">
        <v>56</v>
      </c>
      <c r="D95" s="170" t="s">
        <v>57</v>
      </c>
      <c r="E95" s="170" t="s">
        <v>58</v>
      </c>
      <c r="F95" s="170" t="s">
        <v>59</v>
      </c>
      <c r="G95" s="189" t="s">
        <v>60</v>
      </c>
      <c r="H95" s="37" t="s">
        <v>61</v>
      </c>
      <c r="I95" s="37" t="s">
        <v>62</v>
      </c>
      <c r="J95" s="168" t="s">
        <v>63</v>
      </c>
      <c r="K95" s="170" t="s">
        <v>64</v>
      </c>
      <c r="L95" s="170" t="s">
        <v>65</v>
      </c>
      <c r="M95" s="170" t="s">
        <v>66</v>
      </c>
      <c r="N95" s="170" t="s">
        <v>33</v>
      </c>
      <c r="O95" s="170" t="s">
        <v>67</v>
      </c>
      <c r="P95" s="170" t="s">
        <v>35</v>
      </c>
      <c r="Q95" s="202"/>
      <c r="R95" s="202"/>
      <c r="S95" s="202"/>
    </row>
    <row r="96" ht="14.25" hidden="1" customHeight="1" spans="1:19">
      <c r="A96" s="170" t="str">
        <f>Summary!$B$18</f>
        <v> (1 µM)</v>
      </c>
      <c r="B96" s="172" t="s">
        <v>69</v>
      </c>
      <c r="C96" s="172" t="s">
        <v>70</v>
      </c>
      <c r="D96" s="173">
        <v>120</v>
      </c>
      <c r="E96" s="40"/>
      <c r="F96" s="40" t="s">
        <v>72</v>
      </c>
      <c r="G96" s="173" t="e">
        <f>VLOOKUP($E96,'Article(s) Raw Data'!$B$1:$L$707,4,0)</f>
        <v>#N/A</v>
      </c>
      <c r="H96" s="41" t="e">
        <f>VLOOKUP($E96,'Article(s) Raw Data'!$B$1:$L$707,5,0)</f>
        <v>#N/A</v>
      </c>
      <c r="I96" s="41" t="e">
        <f>VLOOKUP($E96,'Article(s) Raw Data'!$B$1:$L$707,6,0)</f>
        <v>#N/A</v>
      </c>
      <c r="J96" s="190" t="e">
        <f>VLOOKUP($E96,'Article(s) Raw Data'!$B$1:$L$707,7,0)</f>
        <v>#N/A</v>
      </c>
      <c r="K96" s="190" t="e">
        <f>AVERAGE(J96:J97)</f>
        <v>#N/A</v>
      </c>
      <c r="L96" s="191" t="e">
        <f>J96*1.3*G96/120/60/0.33/(G100*J100)*1000000</f>
        <v>#N/A</v>
      </c>
      <c r="M96" s="191" t="e">
        <f>AVERAGE(L96:L97)</f>
        <v>#N/A</v>
      </c>
      <c r="N96" s="192" t="e">
        <f>(J96*1.3*G96+J98*0.2*G98)/(G100*0.2*J100)*100</f>
        <v>#N/A</v>
      </c>
      <c r="O96" s="192" t="e">
        <f>AVERAGE(N96:N97)</f>
        <v>#N/A</v>
      </c>
      <c r="P96" s="192" t="e">
        <f>M102/M96</f>
        <v>#N/A</v>
      </c>
      <c r="Q96" s="165"/>
      <c r="R96" s="165"/>
      <c r="S96" s="165"/>
    </row>
    <row r="97" ht="12.75" hidden="1" customHeight="1" spans="1:19">
      <c r="A97" s="161"/>
      <c r="B97" s="33"/>
      <c r="C97" s="174"/>
      <c r="D97" s="33"/>
      <c r="E97" s="33"/>
      <c r="F97" s="33" t="s">
        <v>74</v>
      </c>
      <c r="G97" s="175" t="e">
        <f>VLOOKUP($E97,'Article(s) Raw Data'!$B$1:$L$707,4,0)</f>
        <v>#N/A</v>
      </c>
      <c r="H97" s="44" t="e">
        <f>VLOOKUP($E97,'Article(s) Raw Data'!$B$1:$L$707,5,0)</f>
        <v>#N/A</v>
      </c>
      <c r="I97" s="44" t="e">
        <f>VLOOKUP($E97,'Article(s) Raw Data'!$B$1:$L$707,6,0)</f>
        <v>#N/A</v>
      </c>
      <c r="J97" s="194" t="e">
        <f>VLOOKUP($E97,'Article(s) Raw Data'!$B$1:$L$707,7,0)</f>
        <v>#N/A</v>
      </c>
      <c r="K97" s="195"/>
      <c r="L97" s="35" t="e">
        <f>J97*1.3*G97/120/60/0.33/(G101*J101)*1000000</f>
        <v>#N/A</v>
      </c>
      <c r="M97" s="195"/>
      <c r="N97" s="196" t="e">
        <f>(J97*1.3*G97+J99*0.2*G99)/(G101*0.2*J101)*100</f>
        <v>#N/A</v>
      </c>
      <c r="O97" s="195"/>
      <c r="P97" s="195"/>
      <c r="Q97" s="165"/>
      <c r="R97" s="165"/>
      <c r="S97" s="165"/>
    </row>
    <row r="98" hidden="1" spans="1:19">
      <c r="A98" s="161"/>
      <c r="B98" s="33"/>
      <c r="C98" s="174" t="s">
        <v>75</v>
      </c>
      <c r="D98" s="175">
        <v>120</v>
      </c>
      <c r="E98" s="33"/>
      <c r="F98" s="33" t="s">
        <v>77</v>
      </c>
      <c r="G98" s="175" t="e">
        <f>VLOOKUP($E98,'Article(s) Raw Data'!$B$1:$L$707,4,0)</f>
        <v>#N/A</v>
      </c>
      <c r="H98" s="44" t="e">
        <f>VLOOKUP($E98,'Article(s) Raw Data'!$B$1:$L$707,5,0)</f>
        <v>#N/A</v>
      </c>
      <c r="I98" s="44" t="e">
        <f>VLOOKUP($E98,'Article(s) Raw Data'!$B$1:$L$707,6,0)</f>
        <v>#N/A</v>
      </c>
      <c r="J98" s="35" t="e">
        <f>VLOOKUP($E98,'Article(s) Raw Data'!$B$1:$L$707,7,0)</f>
        <v>#N/A</v>
      </c>
      <c r="K98" s="35" t="e">
        <f>AVERAGE(J98:J99)</f>
        <v>#N/A</v>
      </c>
      <c r="L98" s="197" t="s">
        <v>48</v>
      </c>
      <c r="M98" s="197" t="s">
        <v>48</v>
      </c>
      <c r="N98" s="175" t="s">
        <v>48</v>
      </c>
      <c r="O98" s="198" t="s">
        <v>48</v>
      </c>
      <c r="P98" s="195"/>
      <c r="Q98" s="165"/>
      <c r="R98" s="165"/>
      <c r="S98" s="165"/>
    </row>
    <row r="99" hidden="1" spans="1:19">
      <c r="A99" s="161"/>
      <c r="B99" s="33"/>
      <c r="C99" s="174"/>
      <c r="D99" s="33"/>
      <c r="E99" s="33"/>
      <c r="F99" s="33" t="s">
        <v>79</v>
      </c>
      <c r="G99" s="175" t="e">
        <f>VLOOKUP($E99,'Article(s) Raw Data'!$B$1:$L$707,4,0)</f>
        <v>#N/A</v>
      </c>
      <c r="H99" s="44" t="e">
        <f>VLOOKUP($E99,'Article(s) Raw Data'!$B$1:$L$707,5,0)</f>
        <v>#N/A</v>
      </c>
      <c r="I99" s="44" t="e">
        <f>VLOOKUP($E99,'Article(s) Raw Data'!$B$1:$L$707,6,0)</f>
        <v>#N/A</v>
      </c>
      <c r="J99" s="35" t="e">
        <f>VLOOKUP($E99,'Article(s) Raw Data'!$B$1:$L$707,7,0)</f>
        <v>#N/A</v>
      </c>
      <c r="K99" s="195"/>
      <c r="L99" s="195"/>
      <c r="M99" s="195"/>
      <c r="N99" s="195"/>
      <c r="O99" s="195"/>
      <c r="P99" s="195"/>
      <c r="Q99" s="165"/>
      <c r="R99" s="165"/>
      <c r="S99" s="165"/>
    </row>
    <row r="100" hidden="1" spans="1:19">
      <c r="A100" s="161"/>
      <c r="B100" s="33" t="s">
        <v>80</v>
      </c>
      <c r="C100" s="174" t="s">
        <v>48</v>
      </c>
      <c r="D100" s="175">
        <v>0</v>
      </c>
      <c r="E100" s="33"/>
      <c r="F100" s="33" t="s">
        <v>82</v>
      </c>
      <c r="G100" s="175" t="e">
        <f>VLOOKUP($E100,'Article(s) Raw Data'!$B$1:$L$707,4,0)</f>
        <v>#N/A</v>
      </c>
      <c r="H100" s="44" t="e">
        <f>VLOOKUP($E100,'Article(s) Raw Data'!$B$1:$L$707,5,0)</f>
        <v>#N/A</v>
      </c>
      <c r="I100" s="44" t="e">
        <f>VLOOKUP($E100,'Article(s) Raw Data'!$B$1:$L$707,6,0)</f>
        <v>#N/A</v>
      </c>
      <c r="J100" s="35" t="e">
        <f>VLOOKUP($E100,'Article(s) Raw Data'!$B$1:$L$707,7,0)</f>
        <v>#N/A</v>
      </c>
      <c r="K100" s="35" t="e">
        <f>AVERAGE(J100:J101)</f>
        <v>#N/A</v>
      </c>
      <c r="L100" s="199" t="s">
        <v>48</v>
      </c>
      <c r="M100" s="197" t="s">
        <v>48</v>
      </c>
      <c r="N100" s="175" t="s">
        <v>48</v>
      </c>
      <c r="O100" s="198" t="s">
        <v>48</v>
      </c>
      <c r="P100" s="195"/>
      <c r="Q100" s="165"/>
      <c r="R100" s="165"/>
      <c r="S100" s="165"/>
    </row>
    <row r="101" hidden="1" spans="1:19">
      <c r="A101" s="161"/>
      <c r="B101" s="185"/>
      <c r="C101" s="186"/>
      <c r="D101" s="187"/>
      <c r="E101" s="185"/>
      <c r="F101" s="185" t="s">
        <v>84</v>
      </c>
      <c r="G101" s="187" t="e">
        <f>VLOOKUP($E101,'Article(s) Raw Data'!$B$1:$L$707,4,0)</f>
        <v>#N/A</v>
      </c>
      <c r="H101" s="188" t="e">
        <f>VLOOKUP($E101,'Article(s) Raw Data'!$B$1:$L$707,5,0)</f>
        <v>#N/A</v>
      </c>
      <c r="I101" s="188" t="e">
        <f>VLOOKUP($E101,'Article(s) Raw Data'!$B$1:$L$707,6,0)</f>
        <v>#N/A</v>
      </c>
      <c r="J101" s="211" t="e">
        <f>VLOOKUP($E101,'Article(s) Raw Data'!$B$1:$L$707,7,0)</f>
        <v>#N/A</v>
      </c>
      <c r="K101" s="212"/>
      <c r="L101" s="212"/>
      <c r="M101" s="212"/>
      <c r="N101" s="212"/>
      <c r="O101" s="212"/>
      <c r="P101" s="195"/>
      <c r="Q101" s="165"/>
      <c r="R101" s="165"/>
      <c r="S101" s="165"/>
    </row>
    <row r="102" ht="14.25" hidden="1" customHeight="1" spans="1:19">
      <c r="A102" s="161"/>
      <c r="B102" s="174" t="s">
        <v>115</v>
      </c>
      <c r="C102" s="174" t="s">
        <v>75</v>
      </c>
      <c r="D102" s="175">
        <v>120</v>
      </c>
      <c r="E102" s="33"/>
      <c r="F102" s="33" t="s">
        <v>77</v>
      </c>
      <c r="G102" s="175" t="e">
        <f>VLOOKUP($E102,'Article(s) Raw Data'!$B$1:$L$707,4,0)</f>
        <v>#N/A</v>
      </c>
      <c r="H102" s="44" t="e">
        <f>VLOOKUP($E102,'Article(s) Raw Data'!$B$1:$L$707,5,0)</f>
        <v>#N/A</v>
      </c>
      <c r="I102" s="44" t="e">
        <f>VLOOKUP($E102,'Article(s) Raw Data'!$B$1:$L$707,6,0)</f>
        <v>#N/A</v>
      </c>
      <c r="J102" s="35" t="e">
        <f>VLOOKUP($E102,'Article(s) Raw Data'!$B$1:$L$707,7,0)</f>
        <v>#N/A</v>
      </c>
      <c r="K102" s="35" t="e">
        <f>AVERAGE(J102:J103)</f>
        <v>#N/A</v>
      </c>
      <c r="L102" s="207" t="e">
        <f>J102*0.2*G102/120/60/0.33/(J106*G106)*1000000</f>
        <v>#N/A</v>
      </c>
      <c r="M102" s="207" t="e">
        <f>AVERAGE(L102:L103)</f>
        <v>#N/A</v>
      </c>
      <c r="N102" s="196" t="e">
        <f>(J102*0.2*G102+J104*1.3*G104)/(J106*1.3*G106)*100</f>
        <v>#N/A</v>
      </c>
      <c r="O102" s="196" t="e">
        <f>AVERAGE(N102:N103)</f>
        <v>#N/A</v>
      </c>
      <c r="P102" s="195"/>
      <c r="Q102" s="165"/>
      <c r="R102" s="165"/>
      <c r="S102" s="165"/>
    </row>
    <row r="103" hidden="1" spans="1:19">
      <c r="A103" s="161"/>
      <c r="B103" s="33"/>
      <c r="C103" s="174"/>
      <c r="D103" s="33"/>
      <c r="E103" s="33"/>
      <c r="F103" s="33" t="s">
        <v>79</v>
      </c>
      <c r="G103" s="175" t="e">
        <f>VLOOKUP($E103,'Article(s) Raw Data'!$B$1:$L$707,4,0)</f>
        <v>#N/A</v>
      </c>
      <c r="H103" s="44" t="e">
        <f>VLOOKUP($E103,'Article(s) Raw Data'!$B$1:$L$707,5,0)</f>
        <v>#N/A</v>
      </c>
      <c r="I103" s="44" t="e">
        <f>VLOOKUP($E103,'Article(s) Raw Data'!$B$1:$L$707,6,0)</f>
        <v>#N/A</v>
      </c>
      <c r="J103" s="35" t="e">
        <f>VLOOKUP($E103,'Article(s) Raw Data'!$B$1:$L$707,7,0)</f>
        <v>#N/A</v>
      </c>
      <c r="K103" s="195"/>
      <c r="L103" s="207" t="e">
        <f>J103*0.2*G103/120/60/0.33/(J107*G107)*1000000</f>
        <v>#N/A</v>
      </c>
      <c r="M103" s="195"/>
      <c r="N103" s="196" t="e">
        <f>(J103*0.2*G103+J105*1.3*G105)/(J107*1.3*G107)*100</f>
        <v>#N/A</v>
      </c>
      <c r="O103" s="195"/>
      <c r="P103" s="195"/>
      <c r="Q103" s="165"/>
      <c r="R103" s="165"/>
      <c r="S103" s="165"/>
    </row>
    <row r="104" hidden="1" spans="1:19">
      <c r="A104" s="161"/>
      <c r="B104" s="33"/>
      <c r="C104" s="174" t="s">
        <v>70</v>
      </c>
      <c r="D104" s="175">
        <v>120</v>
      </c>
      <c r="E104" s="33"/>
      <c r="F104" s="33" t="s">
        <v>72</v>
      </c>
      <c r="G104" s="175" t="e">
        <f>VLOOKUP($E104,'Article(s) Raw Data'!$B$1:$L$707,4,0)</f>
        <v>#N/A</v>
      </c>
      <c r="H104" s="44" t="e">
        <f>VLOOKUP($E104,'Article(s) Raw Data'!$B$1:$L$707,5,0)</f>
        <v>#N/A</v>
      </c>
      <c r="I104" s="44" t="e">
        <f>VLOOKUP($E104,'Article(s) Raw Data'!$B$1:$L$707,6,0)</f>
        <v>#N/A</v>
      </c>
      <c r="J104" s="35" t="e">
        <f>VLOOKUP($E104,'Article(s) Raw Data'!$B$1:$L$707,7,0)</f>
        <v>#N/A</v>
      </c>
      <c r="K104" s="35" t="e">
        <f>AVERAGE(J104:J105)</f>
        <v>#N/A</v>
      </c>
      <c r="L104" s="199" t="s">
        <v>48</v>
      </c>
      <c r="M104" s="197" t="s">
        <v>48</v>
      </c>
      <c r="N104" s="175" t="s">
        <v>48</v>
      </c>
      <c r="O104" s="198" t="s">
        <v>48</v>
      </c>
      <c r="P104" s="195"/>
      <c r="Q104" s="165"/>
      <c r="R104" s="165"/>
      <c r="S104" s="165"/>
    </row>
    <row r="105" hidden="1" spans="1:19">
      <c r="A105" s="161"/>
      <c r="B105" s="33"/>
      <c r="C105" s="174"/>
      <c r="D105" s="33"/>
      <c r="E105" s="33"/>
      <c r="F105" s="33" t="s">
        <v>74</v>
      </c>
      <c r="G105" s="175" t="e">
        <f>VLOOKUP($E105,'Article(s) Raw Data'!$B$1:$L$707,4,0)</f>
        <v>#N/A</v>
      </c>
      <c r="H105" s="44" t="e">
        <f>VLOOKUP($E105,'Article(s) Raw Data'!$B$1:$L$707,5,0)</f>
        <v>#N/A</v>
      </c>
      <c r="I105" s="44" t="e">
        <f>VLOOKUP($E105,'Article(s) Raw Data'!$B$1:$L$707,6,0)</f>
        <v>#N/A</v>
      </c>
      <c r="J105" s="35" t="e">
        <f>VLOOKUP($E105,'Article(s) Raw Data'!$B$1:$L$707,7,0)</f>
        <v>#N/A</v>
      </c>
      <c r="K105" s="195"/>
      <c r="L105" s="195"/>
      <c r="M105" s="195"/>
      <c r="N105" s="195"/>
      <c r="O105" s="195"/>
      <c r="P105" s="195"/>
      <c r="Q105" s="165"/>
      <c r="R105" s="165"/>
      <c r="S105" s="165"/>
    </row>
    <row r="106" s="33" customFormat="1" ht="15.6" hidden="1" customHeight="1" spans="1:19">
      <c r="A106" s="161"/>
      <c r="B106" s="33" t="s">
        <v>120</v>
      </c>
      <c r="C106" s="174" t="s">
        <v>48</v>
      </c>
      <c r="D106" s="175">
        <v>0</v>
      </c>
      <c r="F106" s="33" t="s">
        <v>122</v>
      </c>
      <c r="G106" s="175" t="e">
        <f>VLOOKUP($E106,'Article(s) Raw Data'!$B$1:$L$707,4,0)</f>
        <v>#N/A</v>
      </c>
      <c r="H106" s="44" t="e">
        <f>VLOOKUP($E106,'Article(s) Raw Data'!$B$1:$L$707,5,0)</f>
        <v>#N/A</v>
      </c>
      <c r="I106" s="44" t="e">
        <f>VLOOKUP($E106,'Article(s) Raw Data'!$B$1:$L$707,6,0)</f>
        <v>#N/A</v>
      </c>
      <c r="J106" s="35" t="e">
        <f>VLOOKUP($E106,'Article(s) Raw Data'!$B$1:$L$707,7,0)</f>
        <v>#N/A</v>
      </c>
      <c r="K106" s="35" t="e">
        <f>AVERAGE(J106:J107)</f>
        <v>#N/A</v>
      </c>
      <c r="L106" s="199" t="s">
        <v>48</v>
      </c>
      <c r="M106" s="197" t="s">
        <v>48</v>
      </c>
      <c r="N106" s="175" t="s">
        <v>48</v>
      </c>
      <c r="O106" s="198" t="s">
        <v>48</v>
      </c>
      <c r="P106" s="195"/>
      <c r="Q106" s="195"/>
      <c r="R106" s="195"/>
      <c r="S106" s="195"/>
    </row>
    <row r="107" s="33" customFormat="1" ht="15.6" hidden="1" customHeight="1" spans="1:19">
      <c r="A107" s="176"/>
      <c r="B107" s="47"/>
      <c r="C107" s="177"/>
      <c r="D107" s="178"/>
      <c r="E107" s="47"/>
      <c r="F107" s="47" t="s">
        <v>124</v>
      </c>
      <c r="G107" s="178" t="e">
        <f>VLOOKUP($E107,'Article(s) Raw Data'!$B$1:$L$707,4,0)</f>
        <v>#N/A</v>
      </c>
      <c r="H107" s="48" t="e">
        <f>VLOOKUP($E107,'Article(s) Raw Data'!$B$1:$L$707,5,0)</f>
        <v>#N/A</v>
      </c>
      <c r="I107" s="48" t="e">
        <f>VLOOKUP($E107,'Article(s) Raw Data'!$B$1:$L$707,6,0)</f>
        <v>#N/A</v>
      </c>
      <c r="J107" s="200" t="e">
        <f>VLOOKUP($E107,'Article(s) Raw Data'!$B$1:$L$707,7,0)</f>
        <v>#N/A</v>
      </c>
      <c r="K107" s="201"/>
      <c r="L107" s="201"/>
      <c r="M107" s="201"/>
      <c r="N107" s="201"/>
      <c r="O107" s="201"/>
      <c r="P107" s="201"/>
      <c r="Q107" s="195"/>
      <c r="R107" s="165"/>
      <c r="S107" s="195"/>
    </row>
    <row r="108" s="33" customFormat="1" ht="12.75" hidden="1" customHeight="1" spans="1:19">
      <c r="A108" s="161"/>
      <c r="C108" s="174"/>
      <c r="D108" s="175"/>
      <c r="G108" s="175"/>
      <c r="H108" s="48"/>
      <c r="I108" s="48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</row>
    <row r="109" s="161" customFormat="1" ht="44.25" hidden="1" customHeight="1" spans="1:19">
      <c r="A109" s="170" t="s">
        <v>31</v>
      </c>
      <c r="B109" s="179" t="s">
        <v>85</v>
      </c>
      <c r="C109" s="179"/>
      <c r="D109" s="170" t="s">
        <v>57</v>
      </c>
      <c r="E109" s="170" t="s">
        <v>58</v>
      </c>
      <c r="F109" s="170" t="s">
        <v>59</v>
      </c>
      <c r="G109" s="171" t="s">
        <v>60</v>
      </c>
      <c r="H109" s="37" t="s">
        <v>61</v>
      </c>
      <c r="I109" s="37" t="s">
        <v>62</v>
      </c>
      <c r="J109" s="170" t="s">
        <v>63</v>
      </c>
      <c r="K109" s="170" t="s">
        <v>64</v>
      </c>
      <c r="L109" s="170" t="s">
        <v>86</v>
      </c>
      <c r="M109" s="170" t="s">
        <v>87</v>
      </c>
      <c r="N109" s="202"/>
      <c r="O109" s="202"/>
      <c r="P109" s="202"/>
      <c r="Q109" s="202"/>
      <c r="R109" s="202"/>
      <c r="S109" s="202"/>
    </row>
    <row r="110" s="33" customFormat="1" ht="15.6" hidden="1" customHeight="1" spans="1:19">
      <c r="A110" s="170" t="str">
        <f>A96</f>
        <v> (1 µM)</v>
      </c>
      <c r="B110" s="172" t="s">
        <v>88</v>
      </c>
      <c r="C110" s="172"/>
      <c r="D110" s="173">
        <v>120</v>
      </c>
      <c r="E110" s="40"/>
      <c r="F110" s="40" t="s">
        <v>90</v>
      </c>
      <c r="G110" s="173" t="e">
        <f>VLOOKUP($E110,'Article(s) Raw Data'!$B$1:$L$707,4,0)</f>
        <v>#N/A</v>
      </c>
      <c r="H110" s="41" t="e">
        <f>VLOOKUP($E110,'Article(s) Raw Data'!$B$1:$L$707,5,0)</f>
        <v>#N/A</v>
      </c>
      <c r="I110" s="41" t="e">
        <f>VLOOKUP($E110,'Article(s) Raw Data'!$B$1:$L$707,6,0)</f>
        <v>#N/A</v>
      </c>
      <c r="J110" s="191" t="e">
        <f>VLOOKUP($E110,'Article(s) Raw Data'!$B$1:$L$707,7,0)</f>
        <v>#N/A</v>
      </c>
      <c r="K110" s="191" t="e">
        <f>AVERAGE(J110:J111)</f>
        <v>#N/A</v>
      </c>
      <c r="L110" s="192" t="e">
        <f>J110*G110/(G112*J112)*100</f>
        <v>#N/A</v>
      </c>
      <c r="M110" s="192" t="e">
        <f>AVERAGE(L110:L111)</f>
        <v>#N/A</v>
      </c>
      <c r="N110" s="195"/>
      <c r="O110" s="204"/>
      <c r="P110" s="204"/>
      <c r="Q110" s="195"/>
      <c r="R110" s="195"/>
      <c r="S110" s="195"/>
    </row>
    <row r="111" s="33" customFormat="1" ht="15.6" hidden="1" customHeight="1" spans="1:19">
      <c r="A111" s="161"/>
      <c r="B111" s="174"/>
      <c r="C111" s="174"/>
      <c r="D111" s="33"/>
      <c r="F111" s="33" t="s">
        <v>92</v>
      </c>
      <c r="G111" s="175" t="e">
        <f>VLOOKUP($E111,'Article(s) Raw Data'!$B$1:$L$707,4,0)</f>
        <v>#N/A</v>
      </c>
      <c r="H111" s="44" t="e">
        <f>VLOOKUP($E111,'Article(s) Raw Data'!$B$1:$L$707,5,0)</f>
        <v>#N/A</v>
      </c>
      <c r="I111" s="44" t="e">
        <f>VLOOKUP($E111,'Article(s) Raw Data'!$B$1:$L$707,6,0)</f>
        <v>#N/A</v>
      </c>
      <c r="J111" s="35" t="e">
        <f>VLOOKUP($E111,'Article(s) Raw Data'!$B$1:$L$707,7,0)</f>
        <v>#N/A</v>
      </c>
      <c r="K111" s="195"/>
      <c r="L111" s="195" t="e">
        <f>J111*G111/(G113*J113)*100</f>
        <v>#N/A</v>
      </c>
      <c r="M111" s="195"/>
      <c r="N111" s="195"/>
      <c r="O111" s="204"/>
      <c r="P111" s="204"/>
      <c r="Q111" s="195"/>
      <c r="R111" s="195"/>
      <c r="S111" s="195"/>
    </row>
    <row r="112" s="33" customFormat="1" ht="15.6" hidden="1" customHeight="1" spans="1:19">
      <c r="A112" s="161"/>
      <c r="B112" s="174"/>
      <c r="C112" s="174"/>
      <c r="D112" s="175">
        <v>0</v>
      </c>
      <c r="F112" s="33" t="s">
        <v>94</v>
      </c>
      <c r="G112" s="175" t="e">
        <f>VLOOKUP($E112,'Article(s) Raw Data'!$B$1:$L$707,4,0)</f>
        <v>#N/A</v>
      </c>
      <c r="H112" s="44" t="e">
        <f>VLOOKUP($E112,'Article(s) Raw Data'!$B$1:$L$707,5,0)</f>
        <v>#N/A</v>
      </c>
      <c r="I112" s="44" t="e">
        <f>VLOOKUP($E112,'Article(s) Raw Data'!$B$1:$L$707,6,0)</f>
        <v>#N/A</v>
      </c>
      <c r="J112" s="35" t="e">
        <f>VLOOKUP($E112,'Article(s) Raw Data'!$B$1:$L$707,7,0)</f>
        <v>#N/A</v>
      </c>
      <c r="K112" s="35" t="e">
        <f>AVERAGE(J112:J113)</f>
        <v>#N/A</v>
      </c>
      <c r="L112" s="199" t="s">
        <v>48</v>
      </c>
      <c r="M112" s="197" t="s">
        <v>48</v>
      </c>
      <c r="N112" s="204"/>
      <c r="O112" s="204"/>
      <c r="P112" s="204"/>
      <c r="Q112" s="195"/>
      <c r="R112" s="195"/>
      <c r="S112" s="195"/>
    </row>
    <row r="113" s="33" customFormat="1" ht="15.6" hidden="1" customHeight="1" spans="1:19">
      <c r="A113" s="176"/>
      <c r="B113" s="177"/>
      <c r="C113" s="177"/>
      <c r="D113" s="178"/>
      <c r="E113" s="47"/>
      <c r="F113" s="47" t="s">
        <v>96</v>
      </c>
      <c r="G113" s="178" t="e">
        <f>VLOOKUP($E113,'Article(s) Raw Data'!$B$1:$L$707,4,0)</f>
        <v>#N/A</v>
      </c>
      <c r="H113" s="48" t="e">
        <f>VLOOKUP($E113,'Article(s) Raw Data'!$B$1:$L$707,5,0)</f>
        <v>#N/A</v>
      </c>
      <c r="I113" s="48" t="e">
        <f>VLOOKUP($E113,'Article(s) Raw Data'!$B$1:$L$707,6,0)</f>
        <v>#N/A</v>
      </c>
      <c r="J113" s="200" t="e">
        <f>VLOOKUP($E113,'Article(s) Raw Data'!$B$1:$L$707,7,0)</f>
        <v>#N/A</v>
      </c>
      <c r="K113" s="201"/>
      <c r="L113" s="201"/>
      <c r="M113" s="201"/>
      <c r="N113" s="204"/>
      <c r="O113" s="204"/>
      <c r="P113" s="204"/>
      <c r="Q113" s="195"/>
      <c r="R113" s="195"/>
      <c r="S113" s="195"/>
    </row>
    <row r="114" s="33" customFormat="1" hidden="1" customHeight="1" spans="1:19">
      <c r="A114" s="161"/>
      <c r="B114" s="174"/>
      <c r="C114" s="174"/>
      <c r="D114" s="175"/>
      <c r="G114" s="175"/>
      <c r="H114" s="44"/>
      <c r="I114" s="44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</row>
    <row r="115" s="162" customFormat="1" ht="12.75" hidden="1" customHeight="1" spans="1:19">
      <c r="A115" s="180"/>
      <c r="B115" s="181"/>
      <c r="C115" s="181"/>
      <c r="D115" s="182"/>
      <c r="G115" s="182"/>
      <c r="H115" s="213"/>
      <c r="I115" s="213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</row>
    <row r="116" s="161" customFormat="1" ht="44.25" hidden="1" customHeight="1" spans="1:19">
      <c r="A116" s="170" t="s">
        <v>31</v>
      </c>
      <c r="B116" s="169" t="s">
        <v>32</v>
      </c>
      <c r="C116" s="170" t="s">
        <v>56</v>
      </c>
      <c r="D116" s="170" t="s">
        <v>57</v>
      </c>
      <c r="E116" s="170" t="s">
        <v>58</v>
      </c>
      <c r="F116" s="170" t="s">
        <v>59</v>
      </c>
      <c r="G116" s="189" t="s">
        <v>60</v>
      </c>
      <c r="H116" s="37" t="s">
        <v>61</v>
      </c>
      <c r="I116" s="37" t="s">
        <v>62</v>
      </c>
      <c r="J116" s="168" t="s">
        <v>63</v>
      </c>
      <c r="K116" s="170" t="s">
        <v>64</v>
      </c>
      <c r="L116" s="170" t="s">
        <v>65</v>
      </c>
      <c r="M116" s="170" t="s">
        <v>66</v>
      </c>
      <c r="N116" s="170" t="s">
        <v>33</v>
      </c>
      <c r="O116" s="170" t="s">
        <v>67</v>
      </c>
      <c r="P116" s="170" t="s">
        <v>35</v>
      </c>
      <c r="Q116" s="202"/>
      <c r="R116" s="202"/>
      <c r="S116" s="202"/>
    </row>
    <row r="117" ht="14.25" hidden="1" customHeight="1" spans="1:19">
      <c r="A117" s="170" t="str">
        <f>Summary!$B$20</f>
        <v> (10 µM)</v>
      </c>
      <c r="B117" s="172" t="s">
        <v>69</v>
      </c>
      <c r="C117" s="172" t="s">
        <v>70</v>
      </c>
      <c r="D117" s="173">
        <v>120</v>
      </c>
      <c r="E117" s="40"/>
      <c r="F117" s="40" t="s">
        <v>72</v>
      </c>
      <c r="G117" s="173" t="e">
        <f>VLOOKUP($E117,'Article(s) Raw Data'!$B$1:$L$707,4,0)</f>
        <v>#N/A</v>
      </c>
      <c r="H117" s="41" t="e">
        <f>VLOOKUP($E117,'Article(s) Raw Data'!$B$1:$L$707,5,0)</f>
        <v>#N/A</v>
      </c>
      <c r="I117" s="41" t="e">
        <f>VLOOKUP($E117,'Article(s) Raw Data'!$B$1:$L$707,6,0)</f>
        <v>#N/A</v>
      </c>
      <c r="J117" s="215" t="e">
        <f>VLOOKUP($E117,'Article(s) Raw Data'!$B$1:$L$707,7,0)</f>
        <v>#N/A</v>
      </c>
      <c r="K117" s="215" t="e">
        <f>AVERAGE(J117:J118)</f>
        <v>#N/A</v>
      </c>
      <c r="L117" s="191" t="e">
        <f>J117*1.3*G117/120/60/0.33/(G121*J121)*1000000</f>
        <v>#N/A</v>
      </c>
      <c r="M117" s="191" t="e">
        <f>AVERAGE(L117:L118)</f>
        <v>#N/A</v>
      </c>
      <c r="N117" s="192" t="e">
        <f>(J117*1.3*G117+J119*0.2*G119)/(G121*0.2*J121)*100</f>
        <v>#N/A</v>
      </c>
      <c r="O117" s="192" t="e">
        <f>AVERAGE(N117:N118)</f>
        <v>#N/A</v>
      </c>
      <c r="P117" s="203" t="e">
        <f>M123/M117</f>
        <v>#N/A</v>
      </c>
      <c r="Q117" s="165"/>
      <c r="R117" s="165"/>
      <c r="S117" s="165"/>
    </row>
    <row r="118" ht="12.75" hidden="1" customHeight="1" spans="1:19">
      <c r="A118" s="161"/>
      <c r="B118" s="33"/>
      <c r="C118" s="174"/>
      <c r="D118" s="33"/>
      <c r="E118" s="33"/>
      <c r="F118" s="33" t="s">
        <v>74</v>
      </c>
      <c r="G118" s="175" t="e">
        <f>VLOOKUP($E118,'Article(s) Raw Data'!$B$1:$L$707,4,0)</f>
        <v>#N/A</v>
      </c>
      <c r="H118" s="44" t="e">
        <f>VLOOKUP($E118,'Article(s) Raw Data'!$B$1:$L$707,5,0)</f>
        <v>#N/A</v>
      </c>
      <c r="I118" s="44" t="e">
        <f>VLOOKUP($E118,'Article(s) Raw Data'!$B$1:$L$707,6,0)</f>
        <v>#N/A</v>
      </c>
      <c r="J118" s="194" t="e">
        <f>VLOOKUP($E118,'Article(s) Raw Data'!$B$1:$L$707,7,0)</f>
        <v>#N/A</v>
      </c>
      <c r="K118" s="195"/>
      <c r="L118" s="35" t="e">
        <f>J118*1.3*G118/120/60/0.33/(G122*J122)*1000000</f>
        <v>#N/A</v>
      </c>
      <c r="M118" s="195"/>
      <c r="N118" s="196" t="e">
        <f>(J118*1.3*G118+J120*0.2*G120)/(G122*0.2*J122)*100</f>
        <v>#N/A</v>
      </c>
      <c r="O118" s="195"/>
      <c r="P118" s="195"/>
      <c r="Q118" s="165"/>
      <c r="R118" s="165"/>
      <c r="S118" s="165"/>
    </row>
    <row r="119" hidden="1" spans="1:19">
      <c r="A119" s="161"/>
      <c r="B119" s="33"/>
      <c r="C119" s="174" t="s">
        <v>75</v>
      </c>
      <c r="D119" s="175">
        <v>120</v>
      </c>
      <c r="E119" s="33"/>
      <c r="F119" s="33" t="s">
        <v>77</v>
      </c>
      <c r="G119" s="175" t="e">
        <f>VLOOKUP($E119,'Article(s) Raw Data'!$B$1:$L$707,4,0)</f>
        <v>#N/A</v>
      </c>
      <c r="H119" s="44" t="e">
        <f>VLOOKUP($E119,'Article(s) Raw Data'!$B$1:$L$707,5,0)</f>
        <v>#N/A</v>
      </c>
      <c r="I119" s="44" t="e">
        <f>VLOOKUP($E119,'Article(s) Raw Data'!$B$1:$L$707,6,0)</f>
        <v>#N/A</v>
      </c>
      <c r="J119" s="207" t="e">
        <f>VLOOKUP($E119,'Article(s) Raw Data'!$B$1:$L$707,7,0)</f>
        <v>#N/A</v>
      </c>
      <c r="K119" s="207" t="e">
        <f>AVERAGE(J119:J120)</f>
        <v>#N/A</v>
      </c>
      <c r="L119" s="197" t="s">
        <v>48</v>
      </c>
      <c r="M119" s="197" t="s">
        <v>48</v>
      </c>
      <c r="N119" s="175" t="s">
        <v>48</v>
      </c>
      <c r="O119" s="198" t="s">
        <v>48</v>
      </c>
      <c r="P119" s="195"/>
      <c r="Q119" s="165"/>
      <c r="R119" s="165"/>
      <c r="S119" s="165"/>
    </row>
    <row r="120" hidden="1" spans="1:19">
      <c r="A120" s="161"/>
      <c r="B120" s="33"/>
      <c r="C120" s="174"/>
      <c r="D120" s="33"/>
      <c r="E120" s="33"/>
      <c r="F120" s="33" t="s">
        <v>79</v>
      </c>
      <c r="G120" s="175" t="e">
        <f>VLOOKUP($E120,'Article(s) Raw Data'!$B$1:$L$707,4,0)</f>
        <v>#N/A</v>
      </c>
      <c r="H120" s="44" t="e">
        <f>VLOOKUP($E120,'Article(s) Raw Data'!$B$1:$L$707,5,0)</f>
        <v>#N/A</v>
      </c>
      <c r="I120" s="44" t="e">
        <f>VLOOKUP($E120,'Article(s) Raw Data'!$B$1:$L$707,6,0)</f>
        <v>#N/A</v>
      </c>
      <c r="J120" s="207" t="e">
        <f>VLOOKUP($E120,'Article(s) Raw Data'!$B$1:$L$707,7,0)</f>
        <v>#N/A</v>
      </c>
      <c r="K120" s="195"/>
      <c r="L120" s="195"/>
      <c r="M120" s="195"/>
      <c r="N120" s="195"/>
      <c r="O120" s="195"/>
      <c r="P120" s="195"/>
      <c r="Q120" s="165"/>
      <c r="R120" s="165"/>
      <c r="S120" s="165"/>
    </row>
    <row r="121" hidden="1" spans="1:19">
      <c r="A121" s="161"/>
      <c r="B121" s="33" t="s">
        <v>80</v>
      </c>
      <c r="C121" s="174" t="s">
        <v>48</v>
      </c>
      <c r="D121" s="175">
        <v>0</v>
      </c>
      <c r="E121" s="33"/>
      <c r="F121" s="33" t="s">
        <v>82</v>
      </c>
      <c r="G121" s="175" t="e">
        <f>VLOOKUP($E121,'Article(s) Raw Data'!$B$1:$L$707,4,0)</f>
        <v>#N/A</v>
      </c>
      <c r="H121" s="44" t="e">
        <f>VLOOKUP($E121,'Article(s) Raw Data'!$B$1:$L$707,5,0)</f>
        <v>#N/A</v>
      </c>
      <c r="I121" s="44" t="e">
        <f>VLOOKUP($E121,'Article(s) Raw Data'!$B$1:$L$707,6,0)</f>
        <v>#N/A</v>
      </c>
      <c r="J121" s="207" t="e">
        <f>VLOOKUP($E121,'Article(s) Raw Data'!$B$1:$L$707,7,0)</f>
        <v>#N/A</v>
      </c>
      <c r="K121" s="207" t="e">
        <f>AVERAGE(J121:J122)</f>
        <v>#N/A</v>
      </c>
      <c r="L121" s="199" t="s">
        <v>48</v>
      </c>
      <c r="M121" s="197" t="s">
        <v>48</v>
      </c>
      <c r="N121" s="175" t="s">
        <v>48</v>
      </c>
      <c r="O121" s="198" t="s">
        <v>48</v>
      </c>
      <c r="P121" s="195"/>
      <c r="Q121" s="165"/>
      <c r="R121" s="165"/>
      <c r="S121" s="165"/>
    </row>
    <row r="122" hidden="1" spans="1:19">
      <c r="A122" s="161"/>
      <c r="B122" s="185"/>
      <c r="C122" s="186"/>
      <c r="D122" s="187"/>
      <c r="E122" s="185"/>
      <c r="F122" s="185" t="s">
        <v>84</v>
      </c>
      <c r="G122" s="187" t="e">
        <f>VLOOKUP($E122,'Article(s) Raw Data'!$B$1:$L$707,4,0)</f>
        <v>#N/A</v>
      </c>
      <c r="H122" s="188" t="e">
        <f>VLOOKUP($E122,'Article(s) Raw Data'!$B$1:$L$707,5,0)</f>
        <v>#N/A</v>
      </c>
      <c r="I122" s="188" t="e">
        <f>VLOOKUP($E122,'Article(s) Raw Data'!$B$1:$L$707,6,0)</f>
        <v>#N/A</v>
      </c>
      <c r="J122" s="216" t="e">
        <f>VLOOKUP($E122,'Article(s) Raw Data'!$B$1:$L$707,7,0)</f>
        <v>#N/A</v>
      </c>
      <c r="K122" s="212"/>
      <c r="L122" s="212"/>
      <c r="M122" s="212"/>
      <c r="N122" s="212"/>
      <c r="O122" s="212"/>
      <c r="P122" s="195"/>
      <c r="Q122" s="165"/>
      <c r="R122" s="165"/>
      <c r="S122" s="165"/>
    </row>
    <row r="123" ht="14.25" hidden="1" customHeight="1" spans="1:19">
      <c r="A123" s="161"/>
      <c r="B123" s="174" t="s">
        <v>115</v>
      </c>
      <c r="C123" s="174" t="s">
        <v>75</v>
      </c>
      <c r="D123" s="175">
        <v>120</v>
      </c>
      <c r="E123" s="33"/>
      <c r="F123" s="33" t="s">
        <v>77</v>
      </c>
      <c r="G123" s="175" t="e">
        <f>VLOOKUP($E123,'Article(s) Raw Data'!$B$1:$L$707,4,0)</f>
        <v>#N/A</v>
      </c>
      <c r="H123" s="44" t="e">
        <f>VLOOKUP($E123,'Article(s) Raw Data'!$B$1:$L$707,5,0)</f>
        <v>#N/A</v>
      </c>
      <c r="I123" s="44" t="e">
        <f>VLOOKUP($E123,'Article(s) Raw Data'!$B$1:$L$707,6,0)</f>
        <v>#N/A</v>
      </c>
      <c r="J123" s="207" t="e">
        <f>VLOOKUP($E123,'Article(s) Raw Data'!$B$1:$L$707,7,0)</f>
        <v>#N/A</v>
      </c>
      <c r="K123" s="207" t="e">
        <f>AVERAGE(J123:J124)</f>
        <v>#N/A</v>
      </c>
      <c r="L123" s="196" t="e">
        <f>J123*0.2*G123/120/60/0.33/(J127*G127)*1000000</f>
        <v>#N/A</v>
      </c>
      <c r="M123" s="196" t="e">
        <f>AVERAGE(L123:L124)</f>
        <v>#N/A</v>
      </c>
      <c r="N123" s="196" t="e">
        <f>(J123*0.2*G123+J125*1.3*G125)/(J127*1.3*G127)*100</f>
        <v>#N/A</v>
      </c>
      <c r="O123" s="195" t="e">
        <f>AVERAGE(N123:N124)</f>
        <v>#N/A</v>
      </c>
      <c r="P123" s="195"/>
      <c r="Q123" s="165"/>
      <c r="R123" s="165"/>
      <c r="S123" s="165"/>
    </row>
    <row r="124" hidden="1" spans="1:19">
      <c r="A124" s="161"/>
      <c r="B124" s="33"/>
      <c r="C124" s="174"/>
      <c r="D124" s="33"/>
      <c r="E124" s="33"/>
      <c r="F124" s="33" t="s">
        <v>79</v>
      </c>
      <c r="G124" s="175" t="e">
        <f>VLOOKUP($E124,'Article(s) Raw Data'!$B$1:$L$707,4,0)</f>
        <v>#N/A</v>
      </c>
      <c r="H124" s="44" t="e">
        <f>VLOOKUP($E124,'Article(s) Raw Data'!$B$1:$L$707,5,0)</f>
        <v>#N/A</v>
      </c>
      <c r="I124" s="44" t="e">
        <f>VLOOKUP($E124,'Article(s) Raw Data'!$B$1:$L$707,6,0)</f>
        <v>#N/A</v>
      </c>
      <c r="J124" s="196" t="e">
        <f>VLOOKUP($E124,'Article(s) Raw Data'!$B$1:$L$707,7,0)</f>
        <v>#N/A</v>
      </c>
      <c r="K124" s="195"/>
      <c r="L124" s="196" t="e">
        <f>J124*0.2*G124/120/60/0.33/(J128*G128)*1000000</f>
        <v>#N/A</v>
      </c>
      <c r="M124" s="195"/>
      <c r="N124" s="195" t="e">
        <f>(J124*0.2*G124+J126*1.3*G126)/(J128*1.3*G128)*100</f>
        <v>#N/A</v>
      </c>
      <c r="O124" s="195"/>
      <c r="P124" s="195"/>
      <c r="Q124" s="165"/>
      <c r="R124" s="165"/>
      <c r="S124" s="165"/>
    </row>
    <row r="125" hidden="1" spans="1:19">
      <c r="A125" s="161"/>
      <c r="B125" s="33"/>
      <c r="C125" s="174" t="s">
        <v>70</v>
      </c>
      <c r="D125" s="175">
        <v>120</v>
      </c>
      <c r="E125" s="33"/>
      <c r="F125" s="33" t="s">
        <v>72</v>
      </c>
      <c r="G125" s="175" t="e">
        <f>VLOOKUP($E125,'Article(s) Raw Data'!$B$1:$L$707,4,0)</f>
        <v>#N/A</v>
      </c>
      <c r="H125" s="44" t="e">
        <f>VLOOKUP($E125,'Article(s) Raw Data'!$B$1:$L$707,5,0)</f>
        <v>#N/A</v>
      </c>
      <c r="I125" s="44" t="e">
        <f>VLOOKUP($E125,'Article(s) Raw Data'!$B$1:$L$707,6,0)</f>
        <v>#N/A</v>
      </c>
      <c r="J125" s="207" t="e">
        <f>VLOOKUP($E125,'Article(s) Raw Data'!$B$1:$L$707,7,0)</f>
        <v>#N/A</v>
      </c>
      <c r="K125" s="207" t="e">
        <f>AVERAGE(J125:J126)</f>
        <v>#N/A</v>
      </c>
      <c r="L125" s="199" t="s">
        <v>48</v>
      </c>
      <c r="M125" s="197" t="s">
        <v>48</v>
      </c>
      <c r="N125" s="175" t="s">
        <v>48</v>
      </c>
      <c r="O125" s="198" t="s">
        <v>48</v>
      </c>
      <c r="P125" s="195"/>
      <c r="Q125" s="165"/>
      <c r="R125" s="165"/>
      <c r="S125" s="165"/>
    </row>
    <row r="126" hidden="1" spans="1:19">
      <c r="A126" s="161"/>
      <c r="B126" s="33"/>
      <c r="C126" s="174"/>
      <c r="D126" s="33"/>
      <c r="E126" s="33"/>
      <c r="F126" s="33" t="s">
        <v>74</v>
      </c>
      <c r="G126" s="175" t="e">
        <f>VLOOKUP($E126,'Article(s) Raw Data'!$B$1:$L$707,4,0)</f>
        <v>#N/A</v>
      </c>
      <c r="H126" s="44" t="e">
        <f>VLOOKUP($E126,'Article(s) Raw Data'!$B$1:$L$707,5,0)</f>
        <v>#N/A</v>
      </c>
      <c r="I126" s="44" t="e">
        <f>VLOOKUP($E126,'Article(s) Raw Data'!$B$1:$L$707,6,0)</f>
        <v>#N/A</v>
      </c>
      <c r="J126" s="207" t="e">
        <f>VLOOKUP($E126,'Article(s) Raw Data'!$B$1:$L$707,7,0)</f>
        <v>#N/A</v>
      </c>
      <c r="K126" s="195"/>
      <c r="L126" s="195"/>
      <c r="M126" s="195"/>
      <c r="N126" s="195"/>
      <c r="O126" s="195"/>
      <c r="P126" s="195"/>
      <c r="Q126" s="165"/>
      <c r="R126" s="165"/>
      <c r="S126" s="165"/>
    </row>
    <row r="127" s="33" customFormat="1" ht="15.6" hidden="1" customHeight="1" spans="1:19">
      <c r="A127" s="161"/>
      <c r="B127" s="33" t="s">
        <v>120</v>
      </c>
      <c r="C127" s="174" t="s">
        <v>48</v>
      </c>
      <c r="D127" s="175">
        <v>0</v>
      </c>
      <c r="F127" s="33" t="s">
        <v>122</v>
      </c>
      <c r="G127" s="175" t="e">
        <f>VLOOKUP($E127,'Article(s) Raw Data'!$B$1:$L$707,4,0)</f>
        <v>#N/A</v>
      </c>
      <c r="H127" s="44" t="e">
        <f>VLOOKUP($E127,'Article(s) Raw Data'!$B$1:$L$707,5,0)</f>
        <v>#N/A</v>
      </c>
      <c r="I127" s="44" t="e">
        <f>VLOOKUP($E127,'Article(s) Raw Data'!$B$1:$L$707,6,0)</f>
        <v>#N/A</v>
      </c>
      <c r="J127" s="207" t="e">
        <f>VLOOKUP($E127,'Article(s) Raw Data'!$B$1:$L$707,7,0)</f>
        <v>#N/A</v>
      </c>
      <c r="K127" s="207" t="e">
        <f>AVERAGE(J127:J128)</f>
        <v>#N/A</v>
      </c>
      <c r="L127" s="199" t="s">
        <v>48</v>
      </c>
      <c r="M127" s="197" t="s">
        <v>48</v>
      </c>
      <c r="N127" s="175" t="s">
        <v>48</v>
      </c>
      <c r="O127" s="198" t="s">
        <v>48</v>
      </c>
      <c r="P127" s="195"/>
      <c r="Q127" s="195"/>
      <c r="R127" s="195"/>
      <c r="S127" s="195"/>
    </row>
    <row r="128" s="33" customFormat="1" ht="15.6" hidden="1" customHeight="1" spans="1:19">
      <c r="A128" s="176"/>
      <c r="B128" s="47"/>
      <c r="C128" s="177"/>
      <c r="D128" s="178"/>
      <c r="E128" s="47"/>
      <c r="F128" s="47" t="s">
        <v>124</v>
      </c>
      <c r="G128" s="178" t="e">
        <f>VLOOKUP($E128,'Article(s) Raw Data'!$B$1:$L$707,4,0)</f>
        <v>#N/A</v>
      </c>
      <c r="H128" s="48" t="e">
        <f>VLOOKUP($E128,'Article(s) Raw Data'!$B$1:$L$707,5,0)</f>
        <v>#N/A</v>
      </c>
      <c r="I128" s="48" t="e">
        <f>VLOOKUP($E128,'Article(s) Raw Data'!$B$1:$L$707,6,0)</f>
        <v>#N/A</v>
      </c>
      <c r="J128" s="208" t="e">
        <f>VLOOKUP($E128,'Article(s) Raw Data'!$B$1:$L$707,7,0)</f>
        <v>#N/A</v>
      </c>
      <c r="K128" s="201"/>
      <c r="L128" s="201"/>
      <c r="M128" s="201"/>
      <c r="N128" s="201"/>
      <c r="O128" s="201"/>
      <c r="P128" s="201"/>
      <c r="Q128" s="195"/>
      <c r="R128" s="165"/>
      <c r="S128" s="195"/>
    </row>
    <row r="129" s="33" customFormat="1" ht="12.75" hidden="1" customHeight="1" spans="1:19">
      <c r="A129" s="161"/>
      <c r="C129" s="174"/>
      <c r="D129" s="175"/>
      <c r="G129" s="175"/>
      <c r="H129" s="48"/>
      <c r="I129" s="48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</row>
    <row r="130" s="161" customFormat="1" ht="44.25" hidden="1" customHeight="1" spans="1:19">
      <c r="A130" s="170" t="s">
        <v>31</v>
      </c>
      <c r="B130" s="179" t="s">
        <v>85</v>
      </c>
      <c r="C130" s="179"/>
      <c r="D130" s="170" t="s">
        <v>57</v>
      </c>
      <c r="E130" s="170" t="s">
        <v>58</v>
      </c>
      <c r="F130" s="170" t="s">
        <v>59</v>
      </c>
      <c r="G130" s="171" t="s">
        <v>60</v>
      </c>
      <c r="H130" s="37" t="s">
        <v>61</v>
      </c>
      <c r="I130" s="37" t="s">
        <v>62</v>
      </c>
      <c r="J130" s="170" t="s">
        <v>63</v>
      </c>
      <c r="K130" s="170" t="s">
        <v>64</v>
      </c>
      <c r="L130" s="170" t="s">
        <v>86</v>
      </c>
      <c r="M130" s="170" t="s">
        <v>87</v>
      </c>
      <c r="N130" s="202"/>
      <c r="O130" s="202"/>
      <c r="P130" s="202"/>
      <c r="Q130" s="202"/>
      <c r="R130" s="202"/>
      <c r="S130" s="202"/>
    </row>
    <row r="131" s="33" customFormat="1" ht="15.6" hidden="1" customHeight="1" spans="1:19">
      <c r="A131" s="170" t="str">
        <f>A117</f>
        <v> (10 µM)</v>
      </c>
      <c r="B131" s="172" t="s">
        <v>88</v>
      </c>
      <c r="C131" s="172"/>
      <c r="D131" s="173">
        <v>120</v>
      </c>
      <c r="E131" s="40"/>
      <c r="F131" s="40" t="s">
        <v>90</v>
      </c>
      <c r="G131" s="173" t="e">
        <f>VLOOKUP($E131,'Article(s) Raw Data'!$B$1:$L$707,4,0)</f>
        <v>#N/A</v>
      </c>
      <c r="H131" s="41" t="e">
        <f>VLOOKUP($E131,'Article(s) Raw Data'!$B$1:$L$707,5,0)</f>
        <v>#N/A</v>
      </c>
      <c r="I131" s="41" t="e">
        <f>VLOOKUP($E131,'Article(s) Raw Data'!$B$1:$L$707,6,0)</f>
        <v>#N/A</v>
      </c>
      <c r="J131" s="206" t="e">
        <f>VLOOKUP($E131,'Article(s) Raw Data'!$B$1:$L$707,7,0)</f>
        <v>#N/A</v>
      </c>
      <c r="K131" s="206" t="e">
        <f>AVERAGE(J131:J132)</f>
        <v>#N/A</v>
      </c>
      <c r="L131" s="192" t="e">
        <f>J131*G131/(G133*J133)*100</f>
        <v>#N/A</v>
      </c>
      <c r="M131" s="192" t="e">
        <f>AVERAGE(L131:L132)</f>
        <v>#N/A</v>
      </c>
      <c r="N131" s="195"/>
      <c r="O131" s="204"/>
      <c r="P131" s="204"/>
      <c r="Q131" s="195"/>
      <c r="R131" s="195"/>
      <c r="S131" s="195"/>
    </row>
    <row r="132" s="33" customFormat="1" ht="15.6" hidden="1" customHeight="1" spans="1:19">
      <c r="A132" s="161"/>
      <c r="B132" s="174"/>
      <c r="C132" s="174"/>
      <c r="D132" s="33"/>
      <c r="F132" s="33" t="s">
        <v>92</v>
      </c>
      <c r="G132" s="175" t="e">
        <f>VLOOKUP($E132,'Article(s) Raw Data'!$B$1:$L$707,4,0)</f>
        <v>#N/A</v>
      </c>
      <c r="H132" s="44" t="e">
        <f>VLOOKUP($E132,'Article(s) Raw Data'!$B$1:$L$707,5,0)</f>
        <v>#N/A</v>
      </c>
      <c r="I132" s="44" t="e">
        <f>VLOOKUP($E132,'Article(s) Raw Data'!$B$1:$L$707,6,0)</f>
        <v>#N/A</v>
      </c>
      <c r="J132" s="207" t="e">
        <f>VLOOKUP($E132,'Article(s) Raw Data'!$B$1:$L$707,7,0)</f>
        <v>#N/A</v>
      </c>
      <c r="K132" s="195"/>
      <c r="L132" s="196" t="e">
        <f>J132*G132/(G134*J134)*100</f>
        <v>#N/A</v>
      </c>
      <c r="M132" s="195"/>
      <c r="N132" s="195"/>
      <c r="O132" s="204"/>
      <c r="P132" s="204"/>
      <c r="Q132" s="195"/>
      <c r="R132" s="195"/>
      <c r="S132" s="195"/>
    </row>
    <row r="133" s="33" customFormat="1" ht="15.6" hidden="1" customHeight="1" spans="1:19">
      <c r="A133" s="161"/>
      <c r="B133" s="174"/>
      <c r="C133" s="174"/>
      <c r="D133" s="175">
        <v>0</v>
      </c>
      <c r="F133" s="33" t="s">
        <v>94</v>
      </c>
      <c r="G133" s="175" t="e">
        <f>VLOOKUP($E133,'Article(s) Raw Data'!$B$1:$L$707,4,0)</f>
        <v>#N/A</v>
      </c>
      <c r="H133" s="44" t="e">
        <f>VLOOKUP($E133,'Article(s) Raw Data'!$B$1:$L$707,5,0)</f>
        <v>#N/A</v>
      </c>
      <c r="I133" s="44" t="e">
        <f>VLOOKUP($E133,'Article(s) Raw Data'!$B$1:$L$707,6,0)</f>
        <v>#N/A</v>
      </c>
      <c r="J133" s="207" t="e">
        <f>VLOOKUP($E133,'Article(s) Raw Data'!$B$1:$L$707,7,0)</f>
        <v>#N/A</v>
      </c>
      <c r="K133" s="207" t="e">
        <f>AVERAGE(J133:J134)</f>
        <v>#N/A</v>
      </c>
      <c r="L133" s="199" t="s">
        <v>48</v>
      </c>
      <c r="M133" s="197" t="s">
        <v>48</v>
      </c>
      <c r="N133" s="204"/>
      <c r="O133" s="204"/>
      <c r="P133" s="204"/>
      <c r="Q133" s="195"/>
      <c r="R133" s="195"/>
      <c r="S133" s="195"/>
    </row>
    <row r="134" s="33" customFormat="1" ht="15.6" hidden="1" customHeight="1" spans="1:19">
      <c r="A134" s="176"/>
      <c r="B134" s="177"/>
      <c r="C134" s="177"/>
      <c r="D134" s="178"/>
      <c r="E134" s="47"/>
      <c r="F134" s="47" t="s">
        <v>96</v>
      </c>
      <c r="G134" s="178" t="e">
        <f>VLOOKUP($E134,'Article(s) Raw Data'!$B$1:$L$707,4,0)</f>
        <v>#N/A</v>
      </c>
      <c r="H134" s="48" t="e">
        <f>VLOOKUP($E134,'Article(s) Raw Data'!$B$1:$L$707,5,0)</f>
        <v>#N/A</v>
      </c>
      <c r="I134" s="48" t="e">
        <f>VLOOKUP($E134,'Article(s) Raw Data'!$B$1:$L$707,6,0)</f>
        <v>#N/A</v>
      </c>
      <c r="J134" s="208" t="e">
        <f>VLOOKUP($E134,'Article(s) Raw Data'!$B$1:$L$707,7,0)</f>
        <v>#N/A</v>
      </c>
      <c r="K134" s="201"/>
      <c r="L134" s="201"/>
      <c r="M134" s="201"/>
      <c r="N134" s="204"/>
      <c r="O134" s="204"/>
      <c r="P134" s="204"/>
      <c r="Q134" s="195"/>
      <c r="R134" s="195"/>
      <c r="S134" s="195"/>
    </row>
    <row r="135" s="33" customFormat="1" ht="12.75" hidden="1" customHeight="1" spans="1:19">
      <c r="A135" s="161"/>
      <c r="B135" s="174"/>
      <c r="C135" s="174"/>
      <c r="D135" s="175"/>
      <c r="G135" s="175"/>
      <c r="H135" s="44"/>
      <c r="I135" s="44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</row>
    <row r="136" s="162" customFormat="1" ht="12.75" hidden="1" customHeight="1" spans="1:19">
      <c r="A136" s="180"/>
      <c r="B136" s="181"/>
      <c r="C136" s="181"/>
      <c r="D136" s="182"/>
      <c r="G136" s="182"/>
      <c r="H136" s="213"/>
      <c r="I136" s="213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</row>
    <row r="137" s="161" customFormat="1" ht="44.25" hidden="1" customHeight="1" spans="1:19">
      <c r="A137" s="170" t="s">
        <v>31</v>
      </c>
      <c r="B137" s="169" t="s">
        <v>32</v>
      </c>
      <c r="C137" s="170" t="s">
        <v>56</v>
      </c>
      <c r="D137" s="170" t="s">
        <v>57</v>
      </c>
      <c r="E137" s="170" t="s">
        <v>58</v>
      </c>
      <c r="F137" s="170" t="s">
        <v>59</v>
      </c>
      <c r="G137" s="189" t="s">
        <v>60</v>
      </c>
      <c r="H137" s="37" t="s">
        <v>61</v>
      </c>
      <c r="I137" s="37" t="s">
        <v>62</v>
      </c>
      <c r="J137" s="168" t="s">
        <v>63</v>
      </c>
      <c r="K137" s="170" t="s">
        <v>64</v>
      </c>
      <c r="L137" s="170" t="s">
        <v>65</v>
      </c>
      <c r="M137" s="170" t="s">
        <v>66</v>
      </c>
      <c r="N137" s="170" t="s">
        <v>33</v>
      </c>
      <c r="O137" s="170" t="s">
        <v>67</v>
      </c>
      <c r="P137" s="170" t="s">
        <v>35</v>
      </c>
      <c r="Q137" s="202"/>
      <c r="R137" s="202"/>
      <c r="S137" s="202"/>
    </row>
    <row r="138" ht="14.25" hidden="1" customHeight="1" spans="1:19">
      <c r="A138" s="170" t="str">
        <f>Summary!$B$22</f>
        <v> (10 µM)</v>
      </c>
      <c r="B138" s="172" t="s">
        <v>69</v>
      </c>
      <c r="C138" s="172" t="s">
        <v>70</v>
      </c>
      <c r="D138" s="173">
        <v>120</v>
      </c>
      <c r="E138" s="40"/>
      <c r="F138" s="40" t="s">
        <v>72</v>
      </c>
      <c r="G138" s="173" t="e">
        <f>VLOOKUP($E138,'Article(s) Raw Data'!$B$1:$L$707,4,0)</f>
        <v>#N/A</v>
      </c>
      <c r="H138" s="41" t="e">
        <f>VLOOKUP($E138,'Article(s) Raw Data'!$B$1:$L$707,5,0)</f>
        <v>#N/A</v>
      </c>
      <c r="I138" s="41" t="e">
        <f>VLOOKUP($E138,'Article(s) Raw Data'!$B$1:$L$707,6,0)</f>
        <v>#N/A</v>
      </c>
      <c r="J138" s="215" t="e">
        <f>VLOOKUP($E138,'Article(s) Raw Data'!$B$1:$L$707,7,0)</f>
        <v>#N/A</v>
      </c>
      <c r="K138" s="191" t="e">
        <f>AVERAGE(J138:J139)</f>
        <v>#N/A</v>
      </c>
      <c r="L138" s="191" t="e">
        <f>J138*1.3*G138/120/60/0.33/(G142*J142)*1000000</f>
        <v>#N/A</v>
      </c>
      <c r="M138" s="206" t="e">
        <f>AVERAGE(L138:L139)</f>
        <v>#N/A</v>
      </c>
      <c r="N138" s="192" t="e">
        <f>(J138*1.3*G138+J140*0.2*G140)/(G142*0.2*J142)*100</f>
        <v>#N/A</v>
      </c>
      <c r="O138" s="192" t="e">
        <f>AVERAGE(N138:N139)</f>
        <v>#N/A</v>
      </c>
      <c r="P138" s="203" t="e">
        <f>M144/M138</f>
        <v>#N/A</v>
      </c>
      <c r="Q138" s="165"/>
      <c r="R138" s="165"/>
      <c r="S138" s="165"/>
    </row>
    <row r="139" ht="12.75" hidden="1" customHeight="1" spans="1:19">
      <c r="A139" s="161"/>
      <c r="B139" s="33"/>
      <c r="C139" s="174"/>
      <c r="D139" s="33"/>
      <c r="E139" s="33"/>
      <c r="F139" s="33" t="s">
        <v>74</v>
      </c>
      <c r="G139" s="175" t="e">
        <f>VLOOKUP($E139,'Article(s) Raw Data'!$B$1:$L$707,4,0)</f>
        <v>#N/A</v>
      </c>
      <c r="H139" s="44" t="e">
        <f>VLOOKUP($E139,'Article(s) Raw Data'!$B$1:$L$707,5,0)</f>
        <v>#N/A</v>
      </c>
      <c r="I139" s="44" t="e">
        <f>VLOOKUP($E139,'Article(s) Raw Data'!$B$1:$L$707,6,0)</f>
        <v>#N/A</v>
      </c>
      <c r="J139" s="35" t="e">
        <f>VLOOKUP($E139,'Article(s) Raw Data'!$B$1:$L$707,7,0)</f>
        <v>#N/A</v>
      </c>
      <c r="K139" s="195"/>
      <c r="L139" s="207" t="e">
        <f>J139*1.3*G139/120/60/0.33/(G143*J143)*1000000</f>
        <v>#N/A</v>
      </c>
      <c r="M139" s="195"/>
      <c r="N139" s="196" t="e">
        <f>(J139*1.3*G139+J141*0.2*G141)/(G143*0.2*J143)*100</f>
        <v>#N/A</v>
      </c>
      <c r="O139" s="195"/>
      <c r="P139" s="195"/>
      <c r="Q139" s="165"/>
      <c r="R139" s="165"/>
      <c r="S139" s="165"/>
    </row>
    <row r="140" hidden="1" spans="1:19">
      <c r="A140" s="161"/>
      <c r="B140" s="33"/>
      <c r="C140" s="174" t="s">
        <v>75</v>
      </c>
      <c r="D140" s="175">
        <v>120</v>
      </c>
      <c r="E140" s="33"/>
      <c r="F140" s="33" t="s">
        <v>77</v>
      </c>
      <c r="G140" s="175" t="e">
        <f>VLOOKUP($E140,'Article(s) Raw Data'!$B$1:$L$707,4,0)</f>
        <v>#N/A</v>
      </c>
      <c r="H140" s="44" t="e">
        <f>VLOOKUP($E140,'Article(s) Raw Data'!$B$1:$L$707,5,0)</f>
        <v>#N/A</v>
      </c>
      <c r="I140" s="44" t="e">
        <f>VLOOKUP($E140,'Article(s) Raw Data'!$B$1:$L$707,6,0)</f>
        <v>#N/A</v>
      </c>
      <c r="J140" s="207" t="e">
        <f>VLOOKUP($E140,'Article(s) Raw Data'!$B$1:$L$707,7,0)</f>
        <v>#N/A</v>
      </c>
      <c r="K140" s="207" t="e">
        <f>AVERAGE(J140:J141)</f>
        <v>#N/A</v>
      </c>
      <c r="L140" s="197" t="s">
        <v>48</v>
      </c>
      <c r="M140" s="197" t="s">
        <v>48</v>
      </c>
      <c r="N140" s="175" t="s">
        <v>48</v>
      </c>
      <c r="O140" s="198" t="s">
        <v>48</v>
      </c>
      <c r="P140" s="195"/>
      <c r="Q140" s="165"/>
      <c r="R140" s="165"/>
      <c r="S140" s="165"/>
    </row>
    <row r="141" hidden="1" spans="1:19">
      <c r="A141" s="161"/>
      <c r="B141" s="33"/>
      <c r="C141" s="174"/>
      <c r="D141" s="33"/>
      <c r="E141" s="33"/>
      <c r="F141" s="33" t="s">
        <v>79</v>
      </c>
      <c r="G141" s="175" t="e">
        <f>VLOOKUP($E141,'Article(s) Raw Data'!$B$1:$L$707,4,0)</f>
        <v>#N/A</v>
      </c>
      <c r="H141" s="44" t="e">
        <f>VLOOKUP($E141,'Article(s) Raw Data'!$B$1:$L$707,5,0)</f>
        <v>#N/A</v>
      </c>
      <c r="I141" s="44" t="e">
        <f>VLOOKUP($E141,'Article(s) Raw Data'!$B$1:$L$707,6,0)</f>
        <v>#N/A</v>
      </c>
      <c r="J141" s="207" t="e">
        <f>VLOOKUP($E141,'Article(s) Raw Data'!$B$1:$L$707,7,0)</f>
        <v>#N/A</v>
      </c>
      <c r="K141" s="195"/>
      <c r="L141" s="195"/>
      <c r="M141" s="195"/>
      <c r="N141" s="195"/>
      <c r="O141" s="195"/>
      <c r="P141" s="195"/>
      <c r="Q141" s="165"/>
      <c r="R141" s="165"/>
      <c r="S141" s="165"/>
    </row>
    <row r="142" hidden="1" spans="1:19">
      <c r="A142" s="161"/>
      <c r="B142" s="33" t="s">
        <v>80</v>
      </c>
      <c r="C142" s="174" t="s">
        <v>48</v>
      </c>
      <c r="D142" s="175">
        <v>0</v>
      </c>
      <c r="E142" s="33"/>
      <c r="F142" s="33" t="s">
        <v>82</v>
      </c>
      <c r="G142" s="175" t="e">
        <f>VLOOKUP($E142,'Article(s) Raw Data'!$B$1:$L$707,4,0)</f>
        <v>#N/A</v>
      </c>
      <c r="H142" s="44" t="e">
        <f>VLOOKUP($E142,'Article(s) Raw Data'!$B$1:$L$707,5,0)</f>
        <v>#N/A</v>
      </c>
      <c r="I142" s="44" t="e">
        <f>VLOOKUP($E142,'Article(s) Raw Data'!$B$1:$L$707,6,0)</f>
        <v>#N/A</v>
      </c>
      <c r="J142" s="207" t="e">
        <f>VLOOKUP($E142,'Article(s) Raw Data'!$B$1:$L$707,7,0)</f>
        <v>#N/A</v>
      </c>
      <c r="K142" s="207" t="e">
        <f>AVERAGE(J142:J143)</f>
        <v>#N/A</v>
      </c>
      <c r="L142" s="199" t="s">
        <v>48</v>
      </c>
      <c r="M142" s="197" t="s">
        <v>48</v>
      </c>
      <c r="N142" s="175" t="s">
        <v>48</v>
      </c>
      <c r="O142" s="198" t="s">
        <v>48</v>
      </c>
      <c r="P142" s="195"/>
      <c r="Q142" s="165"/>
      <c r="R142" s="165"/>
      <c r="S142" s="165"/>
    </row>
    <row r="143" hidden="1" spans="1:19">
      <c r="A143" s="161"/>
      <c r="B143" s="185"/>
      <c r="C143" s="186"/>
      <c r="D143" s="187"/>
      <c r="E143" s="185"/>
      <c r="F143" s="185" t="s">
        <v>84</v>
      </c>
      <c r="G143" s="187" t="e">
        <f>VLOOKUP($E143,'Article(s) Raw Data'!$B$1:$L$707,4,0)</f>
        <v>#N/A</v>
      </c>
      <c r="H143" s="188" t="e">
        <f>VLOOKUP($E143,'Article(s) Raw Data'!$B$1:$L$707,5,0)</f>
        <v>#N/A</v>
      </c>
      <c r="I143" s="188" t="e">
        <f>VLOOKUP($E143,'Article(s) Raw Data'!$B$1:$L$707,6,0)</f>
        <v>#N/A</v>
      </c>
      <c r="J143" s="216" t="e">
        <f>VLOOKUP($E143,'Article(s) Raw Data'!$B$1:$L$707,7,0)</f>
        <v>#N/A</v>
      </c>
      <c r="K143" s="212"/>
      <c r="L143" s="212"/>
      <c r="M143" s="212"/>
      <c r="N143" s="212"/>
      <c r="O143" s="212"/>
      <c r="P143" s="195"/>
      <c r="Q143" s="165"/>
      <c r="R143" s="165"/>
      <c r="S143" s="165"/>
    </row>
    <row r="144" ht="14.25" hidden="1" customHeight="1" spans="1:19">
      <c r="A144" s="161"/>
      <c r="B144" s="174" t="s">
        <v>115</v>
      </c>
      <c r="C144" s="174" t="s">
        <v>75</v>
      </c>
      <c r="D144" s="175">
        <v>120</v>
      </c>
      <c r="E144" s="33"/>
      <c r="F144" s="33" t="s">
        <v>77</v>
      </c>
      <c r="G144" s="175" t="e">
        <f>VLOOKUP($E144,'Article(s) Raw Data'!$B$1:$L$707,4,0)</f>
        <v>#N/A</v>
      </c>
      <c r="H144" s="44" t="e">
        <f>VLOOKUP($E144,'Article(s) Raw Data'!$B$1:$L$707,5,0)</f>
        <v>#N/A</v>
      </c>
      <c r="I144" s="44" t="e">
        <f>VLOOKUP($E144,'Article(s) Raw Data'!$B$1:$L$707,6,0)</f>
        <v>#N/A</v>
      </c>
      <c r="J144" s="196" t="e">
        <f>VLOOKUP($E144,'Article(s) Raw Data'!$B$1:$L$707,7,0)</f>
        <v>#N/A</v>
      </c>
      <c r="K144" s="196" t="e">
        <f>AVERAGE(J144:J145)</f>
        <v>#N/A</v>
      </c>
      <c r="L144" s="196" t="e">
        <f>J144*0.2*G144/120/60/0.33/(J148*G148)*1000000</f>
        <v>#N/A</v>
      </c>
      <c r="M144" s="196" t="e">
        <f>AVERAGE(L144:L145)</f>
        <v>#N/A</v>
      </c>
      <c r="N144" s="196" t="e">
        <f>(J144*0.2*G144+J146*1.3*G146)/(J148*1.3*G148)*100</f>
        <v>#N/A</v>
      </c>
      <c r="O144" s="196" t="e">
        <f>AVERAGE(N144:N145)</f>
        <v>#N/A</v>
      </c>
      <c r="P144" s="195"/>
      <c r="Q144" s="165"/>
      <c r="R144" s="165"/>
      <c r="S144" s="165"/>
    </row>
    <row r="145" hidden="1" spans="1:19">
      <c r="A145" s="161"/>
      <c r="B145" s="33"/>
      <c r="C145" s="174"/>
      <c r="D145" s="33"/>
      <c r="E145" s="33"/>
      <c r="F145" s="33" t="s">
        <v>79</v>
      </c>
      <c r="G145" s="175" t="e">
        <f>VLOOKUP($E145,'Article(s) Raw Data'!$B$1:$L$707,4,0)</f>
        <v>#N/A</v>
      </c>
      <c r="H145" s="44" t="e">
        <f>VLOOKUP($E145,'Article(s) Raw Data'!$B$1:$L$707,5,0)</f>
        <v>#N/A</v>
      </c>
      <c r="I145" s="44" t="e">
        <f>VLOOKUP($E145,'Article(s) Raw Data'!$B$1:$L$707,6,0)</f>
        <v>#N/A</v>
      </c>
      <c r="J145" s="196" t="e">
        <f>VLOOKUP($E145,'Article(s) Raw Data'!$B$1:$L$707,7,0)</f>
        <v>#N/A</v>
      </c>
      <c r="K145" s="195"/>
      <c r="L145" s="196" t="e">
        <f>J145*0.2*G145/120/60/0.33/(J149*G149)*1000000</f>
        <v>#N/A</v>
      </c>
      <c r="M145" s="195"/>
      <c r="N145" s="195" t="e">
        <f>(J145*0.2*G145+J147*1.3*G147)/(J149*1.3*G149)*100</f>
        <v>#N/A</v>
      </c>
      <c r="O145" s="195"/>
      <c r="P145" s="195"/>
      <c r="Q145" s="165"/>
      <c r="R145" s="165"/>
      <c r="S145" s="165"/>
    </row>
    <row r="146" hidden="1" spans="1:19">
      <c r="A146" s="161"/>
      <c r="B146" s="33"/>
      <c r="C146" s="174" t="s">
        <v>70</v>
      </c>
      <c r="D146" s="175">
        <v>120</v>
      </c>
      <c r="E146" s="33"/>
      <c r="F146" s="33" t="s">
        <v>72</v>
      </c>
      <c r="G146" s="175" t="e">
        <f>VLOOKUP($E146,'Article(s) Raw Data'!$B$1:$L$707,4,0)</f>
        <v>#N/A</v>
      </c>
      <c r="H146" s="44" t="e">
        <f>VLOOKUP($E146,'Article(s) Raw Data'!$B$1:$L$707,5,0)</f>
        <v>#N/A</v>
      </c>
      <c r="I146" s="44" t="e">
        <f>VLOOKUP($E146,'Article(s) Raw Data'!$B$1:$L$707,6,0)</f>
        <v>#N/A</v>
      </c>
      <c r="J146" s="207" t="e">
        <f>VLOOKUP($E146,'Article(s) Raw Data'!$B$1:$L$707,7,0)</f>
        <v>#N/A</v>
      </c>
      <c r="K146" s="207" t="e">
        <f>AVERAGE(J146:J147)</f>
        <v>#N/A</v>
      </c>
      <c r="L146" s="199" t="s">
        <v>48</v>
      </c>
      <c r="M146" s="197" t="s">
        <v>48</v>
      </c>
      <c r="N146" s="175" t="s">
        <v>48</v>
      </c>
      <c r="O146" s="198" t="s">
        <v>48</v>
      </c>
      <c r="P146" s="195"/>
      <c r="Q146" s="165"/>
      <c r="R146" s="165"/>
      <c r="S146" s="165"/>
    </row>
    <row r="147" hidden="1" spans="1:19">
      <c r="A147" s="161"/>
      <c r="B147" s="33"/>
      <c r="C147" s="174"/>
      <c r="D147" s="33"/>
      <c r="E147" s="33"/>
      <c r="F147" s="33" t="s">
        <v>74</v>
      </c>
      <c r="G147" s="175" t="e">
        <f>VLOOKUP($E147,'Article(s) Raw Data'!$B$1:$L$707,4,0)</f>
        <v>#N/A</v>
      </c>
      <c r="H147" s="44" t="e">
        <f>VLOOKUP($E147,'Article(s) Raw Data'!$B$1:$L$707,5,0)</f>
        <v>#N/A</v>
      </c>
      <c r="I147" s="44" t="e">
        <f>VLOOKUP($E147,'Article(s) Raw Data'!$B$1:$L$707,6,0)</f>
        <v>#N/A</v>
      </c>
      <c r="J147" s="207" t="e">
        <f>VLOOKUP($E147,'Article(s) Raw Data'!$B$1:$L$707,7,0)</f>
        <v>#N/A</v>
      </c>
      <c r="K147" s="195"/>
      <c r="L147" s="195"/>
      <c r="M147" s="195"/>
      <c r="N147" s="195"/>
      <c r="O147" s="195"/>
      <c r="P147" s="195"/>
      <c r="Q147" s="165"/>
      <c r="R147" s="165"/>
      <c r="S147" s="165"/>
    </row>
    <row r="148" s="33" customFormat="1" ht="15.6" hidden="1" customHeight="1" spans="1:19">
      <c r="A148" s="161"/>
      <c r="B148" s="33" t="s">
        <v>120</v>
      </c>
      <c r="C148" s="174" t="s">
        <v>48</v>
      </c>
      <c r="D148" s="175">
        <v>0</v>
      </c>
      <c r="F148" s="33" t="s">
        <v>122</v>
      </c>
      <c r="G148" s="175" t="e">
        <f>VLOOKUP($E148,'Article(s) Raw Data'!$B$1:$L$707,4,0)</f>
        <v>#N/A</v>
      </c>
      <c r="H148" s="44" t="e">
        <f>VLOOKUP($E148,'Article(s) Raw Data'!$B$1:$L$707,5,0)</f>
        <v>#N/A</v>
      </c>
      <c r="I148" s="44" t="e">
        <f>VLOOKUP($E148,'Article(s) Raw Data'!$B$1:$L$707,6,0)</f>
        <v>#N/A</v>
      </c>
      <c r="J148" s="207" t="e">
        <f>VLOOKUP($E148,'Article(s) Raw Data'!$B$1:$L$707,7,0)</f>
        <v>#N/A</v>
      </c>
      <c r="K148" s="207" t="e">
        <f>AVERAGE(J148:J149)</f>
        <v>#N/A</v>
      </c>
      <c r="L148" s="199" t="s">
        <v>48</v>
      </c>
      <c r="M148" s="197" t="s">
        <v>48</v>
      </c>
      <c r="N148" s="175" t="s">
        <v>48</v>
      </c>
      <c r="O148" s="198" t="s">
        <v>48</v>
      </c>
      <c r="P148" s="195"/>
      <c r="Q148" s="195"/>
      <c r="R148" s="195"/>
      <c r="S148" s="195"/>
    </row>
    <row r="149" s="33" customFormat="1" ht="15.6" hidden="1" customHeight="1" spans="1:19">
      <c r="A149" s="176"/>
      <c r="B149" s="47"/>
      <c r="C149" s="177"/>
      <c r="D149" s="178"/>
      <c r="E149" s="47"/>
      <c r="F149" s="47" t="s">
        <v>124</v>
      </c>
      <c r="G149" s="178" t="e">
        <f>VLOOKUP($E149,'Article(s) Raw Data'!$B$1:$L$707,4,0)</f>
        <v>#N/A</v>
      </c>
      <c r="H149" s="48" t="e">
        <f>VLOOKUP($E149,'Article(s) Raw Data'!$B$1:$L$707,5,0)</f>
        <v>#N/A</v>
      </c>
      <c r="I149" s="48" t="e">
        <f>VLOOKUP($E149,'Article(s) Raw Data'!$B$1:$L$707,6,0)</f>
        <v>#N/A</v>
      </c>
      <c r="J149" s="208" t="e">
        <f>VLOOKUP($E149,'Article(s) Raw Data'!$B$1:$L$707,7,0)</f>
        <v>#N/A</v>
      </c>
      <c r="K149" s="201"/>
      <c r="L149" s="201"/>
      <c r="M149" s="201"/>
      <c r="N149" s="201"/>
      <c r="O149" s="201"/>
      <c r="P149" s="201"/>
      <c r="Q149" s="195"/>
      <c r="R149" s="165"/>
      <c r="S149" s="195"/>
    </row>
    <row r="150" s="33" customFormat="1" ht="12.75" hidden="1" customHeight="1" spans="1:19">
      <c r="A150" s="161"/>
      <c r="C150" s="174"/>
      <c r="D150" s="175"/>
      <c r="G150" s="175"/>
      <c r="H150" s="48"/>
      <c r="I150" s="48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</row>
    <row r="151" s="161" customFormat="1" ht="44.25" hidden="1" customHeight="1" spans="1:19">
      <c r="A151" s="170" t="s">
        <v>31</v>
      </c>
      <c r="B151" s="179" t="s">
        <v>85</v>
      </c>
      <c r="C151" s="179"/>
      <c r="D151" s="170" t="s">
        <v>57</v>
      </c>
      <c r="E151" s="170" t="s">
        <v>58</v>
      </c>
      <c r="F151" s="170" t="s">
        <v>59</v>
      </c>
      <c r="G151" s="171" t="s">
        <v>60</v>
      </c>
      <c r="H151" s="37" t="s">
        <v>61</v>
      </c>
      <c r="I151" s="37" t="s">
        <v>62</v>
      </c>
      <c r="J151" s="170" t="s">
        <v>63</v>
      </c>
      <c r="K151" s="170" t="s">
        <v>64</v>
      </c>
      <c r="L151" s="170" t="s">
        <v>86</v>
      </c>
      <c r="M151" s="170" t="s">
        <v>87</v>
      </c>
      <c r="N151" s="202"/>
      <c r="O151" s="202"/>
      <c r="P151" s="202"/>
      <c r="Q151" s="202"/>
      <c r="R151" s="202"/>
      <c r="S151" s="202"/>
    </row>
    <row r="152" s="33" customFormat="1" ht="15.6" hidden="1" customHeight="1" spans="1:19">
      <c r="A152" s="170" t="str">
        <f>A138</f>
        <v> (10 µM)</v>
      </c>
      <c r="B152" s="172" t="s">
        <v>88</v>
      </c>
      <c r="C152" s="172"/>
      <c r="D152" s="173">
        <v>120</v>
      </c>
      <c r="E152" s="40"/>
      <c r="F152" s="40" t="s">
        <v>90</v>
      </c>
      <c r="G152" s="173" t="e">
        <f>VLOOKUP($E152,'Article(s) Raw Data'!$B$1:$L$707,4,0)</f>
        <v>#N/A</v>
      </c>
      <c r="H152" s="41" t="e">
        <f>VLOOKUP($E152,'Article(s) Raw Data'!$B$1:$L$707,5,0)</f>
        <v>#N/A</v>
      </c>
      <c r="I152" s="41" t="e">
        <f>VLOOKUP($E152,'Article(s) Raw Data'!$B$1:$L$707,6,0)</f>
        <v>#N/A</v>
      </c>
      <c r="J152" s="206" t="e">
        <f>VLOOKUP($E152,'Article(s) Raw Data'!$B$1:$L$707,7,0)</f>
        <v>#N/A</v>
      </c>
      <c r="K152" s="206" t="e">
        <f>AVERAGE(J152:J153)</f>
        <v>#N/A</v>
      </c>
      <c r="L152" s="192" t="e">
        <f>J152*G152/(G154*J154)*100</f>
        <v>#N/A</v>
      </c>
      <c r="M152" s="192" t="e">
        <f>AVERAGE(L152:L153)</f>
        <v>#N/A</v>
      </c>
      <c r="N152" s="195"/>
      <c r="O152" s="204"/>
      <c r="P152" s="204"/>
      <c r="Q152" s="195"/>
      <c r="R152" s="195"/>
      <c r="S152" s="195"/>
    </row>
    <row r="153" s="33" customFormat="1" ht="15.6" hidden="1" customHeight="1" spans="1:19">
      <c r="A153" s="161"/>
      <c r="B153" s="174"/>
      <c r="C153" s="174"/>
      <c r="D153" s="33"/>
      <c r="F153" s="33" t="s">
        <v>92</v>
      </c>
      <c r="G153" s="175" t="e">
        <f>VLOOKUP($E153,'Article(s) Raw Data'!$B$1:$L$707,4,0)</f>
        <v>#N/A</v>
      </c>
      <c r="H153" s="44" t="e">
        <f>VLOOKUP($E153,'Article(s) Raw Data'!$B$1:$L$707,5,0)</f>
        <v>#N/A</v>
      </c>
      <c r="I153" s="44" t="e">
        <f>VLOOKUP($E153,'Article(s) Raw Data'!$B$1:$L$707,6,0)</f>
        <v>#N/A</v>
      </c>
      <c r="J153" s="207" t="e">
        <f>VLOOKUP($E153,'Article(s) Raw Data'!$B$1:$L$707,7,0)</f>
        <v>#N/A</v>
      </c>
      <c r="K153" s="195"/>
      <c r="L153" s="196" t="e">
        <f>J153*G153/(G155*J155)*100</f>
        <v>#N/A</v>
      </c>
      <c r="M153" s="195"/>
      <c r="N153" s="195"/>
      <c r="O153" s="204"/>
      <c r="P153" s="204"/>
      <c r="Q153" s="195"/>
      <c r="R153" s="195"/>
      <c r="S153" s="195"/>
    </row>
    <row r="154" s="33" customFormat="1" ht="15.6" hidden="1" customHeight="1" spans="1:19">
      <c r="A154" s="161"/>
      <c r="B154" s="174"/>
      <c r="C154" s="174"/>
      <c r="D154" s="175">
        <v>0</v>
      </c>
      <c r="F154" s="33" t="s">
        <v>94</v>
      </c>
      <c r="G154" s="175" t="e">
        <f>VLOOKUP($E154,'Article(s) Raw Data'!$B$1:$L$707,4,0)</f>
        <v>#N/A</v>
      </c>
      <c r="H154" s="44" t="e">
        <f>VLOOKUP($E154,'Article(s) Raw Data'!$B$1:$L$707,5,0)</f>
        <v>#N/A</v>
      </c>
      <c r="I154" s="44" t="e">
        <f>VLOOKUP($E154,'Article(s) Raw Data'!$B$1:$L$707,6,0)</f>
        <v>#N/A</v>
      </c>
      <c r="J154" s="207" t="e">
        <f>VLOOKUP($E154,'Article(s) Raw Data'!$B$1:$L$707,7,0)</f>
        <v>#N/A</v>
      </c>
      <c r="K154" s="207" t="e">
        <f>AVERAGE(J154:J155)</f>
        <v>#N/A</v>
      </c>
      <c r="L154" s="199" t="s">
        <v>48</v>
      </c>
      <c r="M154" s="197" t="s">
        <v>48</v>
      </c>
      <c r="N154" s="204"/>
      <c r="O154" s="204"/>
      <c r="P154" s="204"/>
      <c r="Q154" s="195"/>
      <c r="R154" s="195"/>
      <c r="S154" s="195"/>
    </row>
    <row r="155" s="33" customFormat="1" ht="15.6" hidden="1" customHeight="1" spans="1:19">
      <c r="A155" s="176"/>
      <c r="B155" s="177"/>
      <c r="C155" s="177"/>
      <c r="D155" s="178"/>
      <c r="E155" s="47"/>
      <c r="F155" s="47" t="s">
        <v>96</v>
      </c>
      <c r="G155" s="178" t="e">
        <f>VLOOKUP($E155,'Article(s) Raw Data'!$B$1:$L$707,4,0)</f>
        <v>#N/A</v>
      </c>
      <c r="H155" s="48" t="e">
        <f>VLOOKUP($E155,'Article(s) Raw Data'!$B$1:$L$707,5,0)</f>
        <v>#N/A</v>
      </c>
      <c r="I155" s="48" t="e">
        <f>VLOOKUP($E155,'Article(s) Raw Data'!$B$1:$L$707,6,0)</f>
        <v>#N/A</v>
      </c>
      <c r="J155" s="208" t="e">
        <f>VLOOKUP($E155,'Article(s) Raw Data'!$B$1:$L$707,7,0)</f>
        <v>#N/A</v>
      </c>
      <c r="K155" s="201"/>
      <c r="L155" s="201"/>
      <c r="M155" s="201"/>
      <c r="N155" s="204"/>
      <c r="O155" s="204"/>
      <c r="P155" s="204"/>
      <c r="Q155" s="195"/>
      <c r="R155" s="195"/>
      <c r="S155" s="195"/>
    </row>
    <row r="156" s="33" customFormat="1" ht="12.75" hidden="1" customHeight="1" spans="1:19">
      <c r="A156" s="161"/>
      <c r="B156" s="174"/>
      <c r="C156" s="174"/>
      <c r="D156" s="175"/>
      <c r="G156" s="175"/>
      <c r="H156" s="44"/>
      <c r="I156" s="44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</row>
    <row r="157" s="162" customFormat="1" ht="12.75" hidden="1" customHeight="1" spans="1:19">
      <c r="A157" s="180"/>
      <c r="B157" s="181"/>
      <c r="C157" s="181"/>
      <c r="D157" s="182"/>
      <c r="G157" s="182"/>
      <c r="H157" s="213"/>
      <c r="I157" s="213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</row>
    <row r="158" s="161" customFormat="1" ht="44.25" hidden="1" customHeight="1" spans="1:19">
      <c r="A158" s="170" t="s">
        <v>31</v>
      </c>
      <c r="B158" s="169" t="s">
        <v>32</v>
      </c>
      <c r="C158" s="170" t="s">
        <v>56</v>
      </c>
      <c r="D158" s="170" t="s">
        <v>57</v>
      </c>
      <c r="E158" s="170" t="s">
        <v>58</v>
      </c>
      <c r="F158" s="170" t="s">
        <v>59</v>
      </c>
      <c r="G158" s="189" t="s">
        <v>60</v>
      </c>
      <c r="H158" s="37" t="s">
        <v>61</v>
      </c>
      <c r="I158" s="37" t="s">
        <v>62</v>
      </c>
      <c r="J158" s="168" t="s">
        <v>63</v>
      </c>
      <c r="K158" s="170" t="s">
        <v>64</v>
      </c>
      <c r="L158" s="170" t="s">
        <v>65</v>
      </c>
      <c r="M158" s="170" t="s">
        <v>66</v>
      </c>
      <c r="N158" s="170" t="s">
        <v>33</v>
      </c>
      <c r="O158" s="170" t="s">
        <v>67</v>
      </c>
      <c r="P158" s="170" t="s">
        <v>35</v>
      </c>
      <c r="Q158" s="202"/>
      <c r="R158" s="202"/>
      <c r="S158" s="202"/>
    </row>
    <row r="159" ht="14.25" hidden="1" customHeight="1" spans="1:19">
      <c r="A159" s="170" t="str">
        <f>Summary!$B$24</f>
        <v> (10 µM)</v>
      </c>
      <c r="B159" s="172" t="s">
        <v>69</v>
      </c>
      <c r="C159" s="172" t="s">
        <v>70</v>
      </c>
      <c r="D159" s="173">
        <v>120</v>
      </c>
      <c r="E159" s="40"/>
      <c r="F159" s="40" t="s">
        <v>72</v>
      </c>
      <c r="G159" s="173" t="e">
        <f>VLOOKUP($E159,'Article(s) Raw Data'!$B$1:$L$707,4,0)</f>
        <v>#N/A</v>
      </c>
      <c r="H159" s="41" t="e">
        <f>VLOOKUP($E159,'Article(s) Raw Data'!$B$1:$L$707,5,0)</f>
        <v>#N/A</v>
      </c>
      <c r="I159" s="41" t="e">
        <f>VLOOKUP($E159,'Article(s) Raw Data'!$B$1:$L$707,6,0)</f>
        <v>#N/A</v>
      </c>
      <c r="J159" s="215" t="e">
        <f>VLOOKUP($E159,'Article(s) Raw Data'!$B$1:$L$707,7,0)</f>
        <v>#N/A</v>
      </c>
      <c r="K159" s="215" t="e">
        <f>AVERAGE(J159:J160)</f>
        <v>#N/A</v>
      </c>
      <c r="L159" s="191" t="e">
        <f>J159*1.3*G159/120/60/0.33/(G163*J163)*1000000</f>
        <v>#N/A</v>
      </c>
      <c r="M159" s="191" t="e">
        <f>AVERAGE(L159:L160)</f>
        <v>#N/A</v>
      </c>
      <c r="N159" s="192" t="e">
        <f>(J159*1.3*G159+J161*0.2*G161)/(G163*0.2*J163)*100</f>
        <v>#N/A</v>
      </c>
      <c r="O159" s="192" t="e">
        <f>AVERAGE(N159:N160)</f>
        <v>#N/A</v>
      </c>
      <c r="P159" s="203" t="e">
        <f>M165/M159</f>
        <v>#N/A</v>
      </c>
      <c r="Q159" s="165"/>
      <c r="R159" s="165"/>
      <c r="S159" s="165"/>
    </row>
    <row r="160" ht="12.75" hidden="1" customHeight="1" spans="1:19">
      <c r="A160" s="161"/>
      <c r="B160" s="33"/>
      <c r="C160" s="174"/>
      <c r="D160" s="33"/>
      <c r="E160" s="33"/>
      <c r="F160" s="33" t="s">
        <v>74</v>
      </c>
      <c r="G160" s="175" t="e">
        <f>VLOOKUP($E160,'Article(s) Raw Data'!$B$1:$L$707,4,0)</f>
        <v>#N/A</v>
      </c>
      <c r="H160" s="44" t="e">
        <f>VLOOKUP($E160,'Article(s) Raw Data'!$B$1:$L$707,5,0)</f>
        <v>#N/A</v>
      </c>
      <c r="I160" s="44" t="e">
        <f>VLOOKUP($E160,'Article(s) Raw Data'!$B$1:$L$707,6,0)</f>
        <v>#N/A</v>
      </c>
      <c r="J160" s="214" t="e">
        <f>VLOOKUP($E160,'Article(s) Raw Data'!$B$1:$L$707,7,0)</f>
        <v>#N/A</v>
      </c>
      <c r="K160" s="195"/>
      <c r="L160" s="35" t="e">
        <f>J160*1.3*G160/120/60/0.33/(G164*J164)*1000000</f>
        <v>#N/A</v>
      </c>
      <c r="M160" s="195"/>
      <c r="N160" s="196" t="e">
        <f>(J160*1.3*G160+J162*0.2*G162)/(G164*0.2*J164)*100</f>
        <v>#N/A</v>
      </c>
      <c r="O160" s="195"/>
      <c r="P160" s="195"/>
      <c r="Q160" s="165"/>
      <c r="R160" s="165"/>
      <c r="S160" s="165"/>
    </row>
    <row r="161" hidden="1" spans="1:19">
      <c r="A161" s="161"/>
      <c r="B161" s="33"/>
      <c r="C161" s="174" t="s">
        <v>75</v>
      </c>
      <c r="D161" s="175">
        <v>120</v>
      </c>
      <c r="E161" s="33"/>
      <c r="F161" s="33" t="s">
        <v>77</v>
      </c>
      <c r="G161" s="175" t="e">
        <f>VLOOKUP($E161,'Article(s) Raw Data'!$B$1:$L$707,4,0)</f>
        <v>#N/A</v>
      </c>
      <c r="H161" s="44" t="e">
        <f>VLOOKUP($E161,'Article(s) Raw Data'!$B$1:$L$707,5,0)</f>
        <v>#N/A</v>
      </c>
      <c r="I161" s="44" t="e">
        <f>VLOOKUP($E161,'Article(s) Raw Data'!$B$1:$L$707,6,0)</f>
        <v>#N/A</v>
      </c>
      <c r="J161" s="207" t="e">
        <f>VLOOKUP($E161,'Article(s) Raw Data'!$B$1:$L$707,7,0)</f>
        <v>#N/A</v>
      </c>
      <c r="K161" s="207" t="e">
        <f>AVERAGE(J161:J162)</f>
        <v>#N/A</v>
      </c>
      <c r="L161" s="197" t="s">
        <v>48</v>
      </c>
      <c r="M161" s="197" t="s">
        <v>48</v>
      </c>
      <c r="N161" s="175" t="s">
        <v>48</v>
      </c>
      <c r="O161" s="198" t="s">
        <v>48</v>
      </c>
      <c r="P161" s="195"/>
      <c r="Q161" s="165"/>
      <c r="R161" s="165"/>
      <c r="S161" s="165"/>
    </row>
    <row r="162" hidden="1" spans="1:19">
      <c r="A162" s="161"/>
      <c r="B162" s="33"/>
      <c r="C162" s="174"/>
      <c r="D162" s="33"/>
      <c r="E162" s="33"/>
      <c r="F162" s="33" t="s">
        <v>79</v>
      </c>
      <c r="G162" s="175" t="e">
        <f>VLOOKUP($E162,'Article(s) Raw Data'!$B$1:$L$707,4,0)</f>
        <v>#N/A</v>
      </c>
      <c r="H162" s="44" t="e">
        <f>VLOOKUP($E162,'Article(s) Raw Data'!$B$1:$L$707,5,0)</f>
        <v>#N/A</v>
      </c>
      <c r="I162" s="44" t="e">
        <f>VLOOKUP($E162,'Article(s) Raw Data'!$B$1:$L$707,6,0)</f>
        <v>#N/A</v>
      </c>
      <c r="J162" s="207" t="e">
        <f>VLOOKUP($E162,'Article(s) Raw Data'!$B$1:$L$707,7,0)</f>
        <v>#N/A</v>
      </c>
      <c r="K162" s="195"/>
      <c r="L162" s="195"/>
      <c r="M162" s="195"/>
      <c r="N162" s="195"/>
      <c r="O162" s="195"/>
      <c r="P162" s="195"/>
      <c r="Q162" s="165"/>
      <c r="R162" s="165"/>
      <c r="S162" s="165"/>
    </row>
    <row r="163" hidden="1" spans="1:19">
      <c r="A163" s="161"/>
      <c r="B163" s="33" t="s">
        <v>80</v>
      </c>
      <c r="C163" s="174" t="s">
        <v>48</v>
      </c>
      <c r="D163" s="175">
        <v>0</v>
      </c>
      <c r="E163" s="33"/>
      <c r="F163" s="33" t="s">
        <v>82</v>
      </c>
      <c r="G163" s="175" t="e">
        <f>VLOOKUP($E163,'Article(s) Raw Data'!$B$1:$L$707,4,0)</f>
        <v>#N/A</v>
      </c>
      <c r="H163" s="44" t="e">
        <f>VLOOKUP($E163,'Article(s) Raw Data'!$B$1:$L$707,5,0)</f>
        <v>#N/A</v>
      </c>
      <c r="I163" s="44" t="e">
        <f>VLOOKUP($E163,'Article(s) Raw Data'!$B$1:$L$707,6,0)</f>
        <v>#N/A</v>
      </c>
      <c r="J163" s="207" t="e">
        <f>VLOOKUP($E163,'Article(s) Raw Data'!$B$1:$L$707,7,0)</f>
        <v>#N/A</v>
      </c>
      <c r="K163" s="207" t="e">
        <f>AVERAGE(J163:J164)</f>
        <v>#N/A</v>
      </c>
      <c r="L163" s="199" t="s">
        <v>48</v>
      </c>
      <c r="M163" s="197" t="s">
        <v>48</v>
      </c>
      <c r="N163" s="175" t="s">
        <v>48</v>
      </c>
      <c r="O163" s="198" t="s">
        <v>48</v>
      </c>
      <c r="P163" s="195"/>
      <c r="Q163" s="165"/>
      <c r="R163" s="165"/>
      <c r="S163" s="165"/>
    </row>
    <row r="164" hidden="1" spans="1:19">
      <c r="A164" s="161"/>
      <c r="B164" s="185"/>
      <c r="C164" s="186"/>
      <c r="D164" s="187"/>
      <c r="E164" s="185"/>
      <c r="F164" s="185" t="s">
        <v>84</v>
      </c>
      <c r="G164" s="187" t="e">
        <f>VLOOKUP($E164,'Article(s) Raw Data'!$B$1:$L$707,4,0)</f>
        <v>#N/A</v>
      </c>
      <c r="H164" s="188" t="e">
        <f>VLOOKUP($E164,'Article(s) Raw Data'!$B$1:$L$707,5,0)</f>
        <v>#N/A</v>
      </c>
      <c r="I164" s="188" t="e">
        <f>VLOOKUP($E164,'Article(s) Raw Data'!$B$1:$L$707,6,0)</f>
        <v>#N/A</v>
      </c>
      <c r="J164" s="216" t="e">
        <f>VLOOKUP($E164,'Article(s) Raw Data'!$B$1:$L$707,7,0)</f>
        <v>#N/A</v>
      </c>
      <c r="K164" s="212"/>
      <c r="L164" s="212"/>
      <c r="M164" s="212"/>
      <c r="N164" s="212"/>
      <c r="O164" s="212"/>
      <c r="P164" s="195"/>
      <c r="Q164" s="165"/>
      <c r="R164" s="165"/>
      <c r="S164" s="165"/>
    </row>
    <row r="165" ht="14.25" hidden="1" customHeight="1" spans="1:19">
      <c r="A165" s="161"/>
      <c r="B165" s="174" t="s">
        <v>115</v>
      </c>
      <c r="C165" s="174" t="s">
        <v>75</v>
      </c>
      <c r="D165" s="175">
        <v>120</v>
      </c>
      <c r="E165" s="33"/>
      <c r="F165" s="33" t="s">
        <v>77</v>
      </c>
      <c r="G165" s="175" t="e">
        <f>VLOOKUP($E165,'Article(s) Raw Data'!$B$1:$L$707,4,0)</f>
        <v>#N/A</v>
      </c>
      <c r="H165" s="44" t="e">
        <f>VLOOKUP($E165,'Article(s) Raw Data'!$B$1:$L$707,5,0)</f>
        <v>#N/A</v>
      </c>
      <c r="I165" s="44" t="e">
        <f>VLOOKUP($E165,'Article(s) Raw Data'!$B$1:$L$707,6,0)</f>
        <v>#N/A</v>
      </c>
      <c r="J165" s="196" t="e">
        <f>VLOOKUP($E165,'Article(s) Raw Data'!$B$1:$L$707,7,0)</f>
        <v>#N/A</v>
      </c>
      <c r="K165" s="196" t="e">
        <f>AVERAGE(J165:J166)</f>
        <v>#N/A</v>
      </c>
      <c r="L165" s="196" t="e">
        <f>J165*0.2*G165/120/60/0.33/(J169*G169)*1000000</f>
        <v>#N/A</v>
      </c>
      <c r="M165" s="196" t="e">
        <f>AVERAGE(L165:L166)</f>
        <v>#N/A</v>
      </c>
      <c r="N165" s="195" t="e">
        <f>(J165*0.2*G165+J167*1.3*G167)/(J169*1.3*G169)*100</f>
        <v>#N/A</v>
      </c>
      <c r="O165" s="196" t="e">
        <f>AVERAGE(N165:N166)</f>
        <v>#N/A</v>
      </c>
      <c r="P165" s="195"/>
      <c r="Q165" s="165"/>
      <c r="R165" s="165"/>
      <c r="S165" s="165"/>
    </row>
    <row r="166" hidden="1" spans="1:19">
      <c r="A166" s="161"/>
      <c r="B166" s="33"/>
      <c r="C166" s="174"/>
      <c r="D166" s="33"/>
      <c r="E166" s="33"/>
      <c r="F166" s="33" t="s">
        <v>79</v>
      </c>
      <c r="G166" s="175" t="e">
        <f>VLOOKUP($E166,'Article(s) Raw Data'!$B$1:$L$707,4,0)</f>
        <v>#N/A</v>
      </c>
      <c r="H166" s="44" t="e">
        <f>VLOOKUP($E166,'Article(s) Raw Data'!$B$1:$L$707,5,0)</f>
        <v>#N/A</v>
      </c>
      <c r="I166" s="44" t="e">
        <f>VLOOKUP($E166,'Article(s) Raw Data'!$B$1:$L$707,6,0)</f>
        <v>#N/A</v>
      </c>
      <c r="J166" s="196" t="e">
        <f>VLOOKUP($E166,'Article(s) Raw Data'!$B$1:$L$707,7,0)</f>
        <v>#N/A</v>
      </c>
      <c r="K166" s="195"/>
      <c r="L166" s="196" t="e">
        <f>J166*0.2*G166/120/60/0.33/(J170*G170)*1000000</f>
        <v>#N/A</v>
      </c>
      <c r="M166" s="195"/>
      <c r="N166" s="196" t="e">
        <f>(J166*0.2*G166+J168*1.3*G168)/(J170*1.3*G170)*100</f>
        <v>#N/A</v>
      </c>
      <c r="O166" s="195"/>
      <c r="P166" s="195"/>
      <c r="Q166" s="165"/>
      <c r="R166" s="165"/>
      <c r="S166" s="165"/>
    </row>
    <row r="167" hidden="1" spans="1:19">
      <c r="A167" s="161"/>
      <c r="B167" s="33"/>
      <c r="C167" s="174" t="s">
        <v>70</v>
      </c>
      <c r="D167" s="175">
        <v>120</v>
      </c>
      <c r="E167" s="33"/>
      <c r="F167" s="33" t="s">
        <v>72</v>
      </c>
      <c r="G167" s="175" t="e">
        <f>VLOOKUP($E167,'Article(s) Raw Data'!$B$1:$L$707,4,0)</f>
        <v>#N/A</v>
      </c>
      <c r="H167" s="44" t="e">
        <f>VLOOKUP($E167,'Article(s) Raw Data'!$B$1:$L$707,5,0)</f>
        <v>#N/A</v>
      </c>
      <c r="I167" s="44" t="e">
        <f>VLOOKUP($E167,'Article(s) Raw Data'!$B$1:$L$707,6,0)</f>
        <v>#N/A</v>
      </c>
      <c r="J167" s="207" t="e">
        <f>VLOOKUP($E167,'Article(s) Raw Data'!$B$1:$L$707,7,0)</f>
        <v>#N/A</v>
      </c>
      <c r="K167" s="207" t="e">
        <f>AVERAGE(J167:J168)</f>
        <v>#N/A</v>
      </c>
      <c r="L167" s="199" t="s">
        <v>48</v>
      </c>
      <c r="M167" s="197" t="s">
        <v>48</v>
      </c>
      <c r="N167" s="175" t="s">
        <v>48</v>
      </c>
      <c r="O167" s="198" t="s">
        <v>48</v>
      </c>
      <c r="P167" s="195"/>
      <c r="Q167" s="165"/>
      <c r="R167" s="165"/>
      <c r="S167" s="165"/>
    </row>
    <row r="168" hidden="1" spans="1:19">
      <c r="A168" s="161"/>
      <c r="B168" s="33"/>
      <c r="C168" s="174"/>
      <c r="D168" s="33"/>
      <c r="E168" s="33"/>
      <c r="F168" s="33" t="s">
        <v>74</v>
      </c>
      <c r="G168" s="175" t="e">
        <f>VLOOKUP($E168,'Article(s) Raw Data'!$B$1:$L$707,4,0)</f>
        <v>#N/A</v>
      </c>
      <c r="H168" s="44" t="e">
        <f>VLOOKUP($E168,'Article(s) Raw Data'!$B$1:$L$707,5,0)</f>
        <v>#N/A</v>
      </c>
      <c r="I168" s="44" t="e">
        <f>VLOOKUP($E168,'Article(s) Raw Data'!$B$1:$L$707,6,0)</f>
        <v>#N/A</v>
      </c>
      <c r="J168" s="207" t="e">
        <f>VLOOKUP($E168,'Article(s) Raw Data'!$B$1:$L$707,7,0)</f>
        <v>#N/A</v>
      </c>
      <c r="K168" s="195"/>
      <c r="L168" s="195"/>
      <c r="M168" s="195"/>
      <c r="N168" s="195"/>
      <c r="O168" s="195"/>
      <c r="P168" s="195"/>
      <c r="Q168" s="165"/>
      <c r="R168" s="165"/>
      <c r="S168" s="165"/>
    </row>
    <row r="169" s="33" customFormat="1" ht="15.6" hidden="1" customHeight="1" spans="1:19">
      <c r="A169" s="161"/>
      <c r="B169" s="33" t="s">
        <v>120</v>
      </c>
      <c r="C169" s="174" t="s">
        <v>48</v>
      </c>
      <c r="D169" s="175">
        <v>0</v>
      </c>
      <c r="F169" s="33" t="s">
        <v>122</v>
      </c>
      <c r="G169" s="175" t="e">
        <f>VLOOKUP($E169,'Article(s) Raw Data'!$B$1:$L$707,4,0)</f>
        <v>#N/A</v>
      </c>
      <c r="H169" s="44" t="e">
        <f>VLOOKUP($E169,'Article(s) Raw Data'!$B$1:$L$707,5,0)</f>
        <v>#N/A</v>
      </c>
      <c r="I169" s="44" t="e">
        <f>VLOOKUP($E169,'Article(s) Raw Data'!$B$1:$L$707,6,0)</f>
        <v>#N/A</v>
      </c>
      <c r="J169" s="207" t="e">
        <f>VLOOKUP($E169,'Article(s) Raw Data'!$B$1:$L$707,7,0)</f>
        <v>#N/A</v>
      </c>
      <c r="K169" s="207" t="e">
        <f>AVERAGE(J169:J170)</f>
        <v>#N/A</v>
      </c>
      <c r="L169" s="199" t="s">
        <v>48</v>
      </c>
      <c r="M169" s="197" t="s">
        <v>48</v>
      </c>
      <c r="N169" s="175" t="s">
        <v>48</v>
      </c>
      <c r="O169" s="198" t="s">
        <v>48</v>
      </c>
      <c r="P169" s="195"/>
      <c r="Q169" s="195"/>
      <c r="R169" s="195"/>
      <c r="S169" s="195"/>
    </row>
    <row r="170" s="33" customFormat="1" ht="15.6" hidden="1" customHeight="1" spans="1:19">
      <c r="A170" s="176"/>
      <c r="B170" s="47"/>
      <c r="C170" s="177"/>
      <c r="D170" s="178"/>
      <c r="E170" s="47"/>
      <c r="F170" s="47" t="s">
        <v>124</v>
      </c>
      <c r="G170" s="178" t="e">
        <f>VLOOKUP($E170,'Article(s) Raw Data'!$B$1:$L$707,4,0)</f>
        <v>#N/A</v>
      </c>
      <c r="H170" s="48" t="e">
        <f>VLOOKUP($E170,'Article(s) Raw Data'!$B$1:$L$707,5,0)</f>
        <v>#N/A</v>
      </c>
      <c r="I170" s="48" t="e">
        <f>VLOOKUP($E170,'Article(s) Raw Data'!$B$1:$L$707,6,0)</f>
        <v>#N/A</v>
      </c>
      <c r="J170" s="208" t="e">
        <f>VLOOKUP($E170,'Article(s) Raw Data'!$B$1:$L$707,7,0)</f>
        <v>#N/A</v>
      </c>
      <c r="K170" s="201"/>
      <c r="L170" s="201"/>
      <c r="M170" s="201"/>
      <c r="N170" s="201"/>
      <c r="O170" s="201"/>
      <c r="P170" s="201"/>
      <c r="Q170" s="195"/>
      <c r="R170" s="165"/>
      <c r="S170" s="195"/>
    </row>
    <row r="171" s="33" customFormat="1" ht="12.75" hidden="1" customHeight="1" spans="1:19">
      <c r="A171" s="161"/>
      <c r="C171" s="174"/>
      <c r="D171" s="175"/>
      <c r="G171" s="175"/>
      <c r="H171" s="48"/>
      <c r="I171" s="48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</row>
    <row r="172" s="161" customFormat="1" ht="44.25" hidden="1" customHeight="1" spans="1:19">
      <c r="A172" s="170" t="s">
        <v>31</v>
      </c>
      <c r="B172" s="179" t="s">
        <v>85</v>
      </c>
      <c r="C172" s="179"/>
      <c r="D172" s="170" t="s">
        <v>57</v>
      </c>
      <c r="E172" s="170" t="s">
        <v>58</v>
      </c>
      <c r="F172" s="170" t="s">
        <v>59</v>
      </c>
      <c r="G172" s="171" t="s">
        <v>60</v>
      </c>
      <c r="H172" s="37" t="s">
        <v>61</v>
      </c>
      <c r="I172" s="37" t="s">
        <v>62</v>
      </c>
      <c r="J172" s="170" t="s">
        <v>63</v>
      </c>
      <c r="K172" s="170" t="s">
        <v>64</v>
      </c>
      <c r="L172" s="170" t="s">
        <v>86</v>
      </c>
      <c r="M172" s="170" t="s">
        <v>87</v>
      </c>
      <c r="N172" s="202"/>
      <c r="O172" s="202"/>
      <c r="P172" s="202"/>
      <c r="Q172" s="202"/>
      <c r="R172" s="202"/>
      <c r="S172" s="202"/>
    </row>
    <row r="173" s="33" customFormat="1" ht="15.6" hidden="1" customHeight="1" spans="1:19">
      <c r="A173" s="170" t="str">
        <f>A159</f>
        <v> (10 µM)</v>
      </c>
      <c r="B173" s="172" t="s">
        <v>88</v>
      </c>
      <c r="C173" s="172"/>
      <c r="D173" s="173">
        <v>120</v>
      </c>
      <c r="E173" s="40"/>
      <c r="F173" s="40" t="s">
        <v>90</v>
      </c>
      <c r="G173" s="173" t="e">
        <f>VLOOKUP($E173,'Article(s) Raw Data'!$B$1:$L$707,4,0)</f>
        <v>#N/A</v>
      </c>
      <c r="H173" s="41" t="e">
        <f>VLOOKUP($E173,'Article(s) Raw Data'!$B$1:$L$707,5,0)</f>
        <v>#N/A</v>
      </c>
      <c r="I173" s="41" t="e">
        <f>VLOOKUP($E173,'Article(s) Raw Data'!$B$1:$L$707,6,0)</f>
        <v>#N/A</v>
      </c>
      <c r="J173" s="206" t="e">
        <f>VLOOKUP($E173,'Article(s) Raw Data'!$B$1:$L$707,7,0)</f>
        <v>#N/A</v>
      </c>
      <c r="K173" s="206" t="e">
        <f>AVERAGE(J173:J174)</f>
        <v>#N/A</v>
      </c>
      <c r="L173" s="192" t="e">
        <f>J173*G173/(G175*J175)*100</f>
        <v>#N/A</v>
      </c>
      <c r="M173" s="192" t="e">
        <f>AVERAGE(L173:L174)</f>
        <v>#N/A</v>
      </c>
      <c r="N173" s="195"/>
      <c r="O173" s="204"/>
      <c r="P173" s="204"/>
      <c r="Q173" s="195"/>
      <c r="R173" s="195"/>
      <c r="S173" s="195"/>
    </row>
    <row r="174" s="33" customFormat="1" ht="15.6" hidden="1" customHeight="1" spans="1:19">
      <c r="A174" s="161"/>
      <c r="B174" s="174"/>
      <c r="C174" s="174"/>
      <c r="D174" s="33"/>
      <c r="F174" s="33" t="s">
        <v>92</v>
      </c>
      <c r="G174" s="175" t="e">
        <f>VLOOKUP($E174,'Article(s) Raw Data'!$B$1:$L$707,4,0)</f>
        <v>#N/A</v>
      </c>
      <c r="H174" s="44" t="e">
        <f>VLOOKUP($E174,'Article(s) Raw Data'!$B$1:$L$707,5,0)</f>
        <v>#N/A</v>
      </c>
      <c r="I174" s="44" t="e">
        <f>VLOOKUP($E174,'Article(s) Raw Data'!$B$1:$L$707,6,0)</f>
        <v>#N/A</v>
      </c>
      <c r="J174" s="207" t="e">
        <f>VLOOKUP($E174,'Article(s) Raw Data'!$B$1:$L$707,7,0)</f>
        <v>#N/A</v>
      </c>
      <c r="K174" s="195"/>
      <c r="L174" s="196" t="e">
        <f>J174*G174/(G176*J176)*100</f>
        <v>#N/A</v>
      </c>
      <c r="M174" s="195"/>
      <c r="N174" s="195"/>
      <c r="O174" s="204"/>
      <c r="P174" s="204"/>
      <c r="Q174" s="195"/>
      <c r="R174" s="195"/>
      <c r="S174" s="195"/>
    </row>
    <row r="175" s="33" customFormat="1" ht="15.6" hidden="1" customHeight="1" spans="1:19">
      <c r="A175" s="161"/>
      <c r="B175" s="174"/>
      <c r="C175" s="174"/>
      <c r="D175" s="175">
        <v>0</v>
      </c>
      <c r="F175" s="33" t="s">
        <v>94</v>
      </c>
      <c r="G175" s="175" t="e">
        <f>VLOOKUP($E175,'Article(s) Raw Data'!$B$1:$L$707,4,0)</f>
        <v>#N/A</v>
      </c>
      <c r="H175" s="44" t="e">
        <f>VLOOKUP($E175,'Article(s) Raw Data'!$B$1:$L$707,5,0)</f>
        <v>#N/A</v>
      </c>
      <c r="I175" s="44" t="e">
        <f>VLOOKUP($E175,'Article(s) Raw Data'!$B$1:$L$707,6,0)</f>
        <v>#N/A</v>
      </c>
      <c r="J175" s="207" t="e">
        <f>VLOOKUP($E175,'Article(s) Raw Data'!$B$1:$L$707,7,0)</f>
        <v>#N/A</v>
      </c>
      <c r="K175" s="207" t="e">
        <f>AVERAGE(J175:J176)</f>
        <v>#N/A</v>
      </c>
      <c r="L175" s="199" t="s">
        <v>48</v>
      </c>
      <c r="M175" s="197" t="s">
        <v>48</v>
      </c>
      <c r="N175" s="204"/>
      <c r="O175" s="204"/>
      <c r="P175" s="204"/>
      <c r="Q175" s="195"/>
      <c r="R175" s="195"/>
      <c r="S175" s="195"/>
    </row>
    <row r="176" s="33" customFormat="1" ht="15.6" hidden="1" customHeight="1" spans="1:19">
      <c r="A176" s="176"/>
      <c r="B176" s="177"/>
      <c r="C176" s="177"/>
      <c r="D176" s="178"/>
      <c r="E176" s="47"/>
      <c r="F176" s="47" t="s">
        <v>96</v>
      </c>
      <c r="G176" s="178" t="e">
        <f>VLOOKUP($E176,'Article(s) Raw Data'!$B$1:$L$707,4,0)</f>
        <v>#N/A</v>
      </c>
      <c r="H176" s="48" t="e">
        <f>VLOOKUP($E176,'Article(s) Raw Data'!$B$1:$L$707,5,0)</f>
        <v>#N/A</v>
      </c>
      <c r="I176" s="48" t="e">
        <f>VLOOKUP($E176,'Article(s) Raw Data'!$B$1:$L$707,6,0)</f>
        <v>#N/A</v>
      </c>
      <c r="J176" s="208" t="e">
        <f>VLOOKUP($E176,'Article(s) Raw Data'!$B$1:$L$707,7,0)</f>
        <v>#N/A</v>
      </c>
      <c r="K176" s="201"/>
      <c r="L176" s="201"/>
      <c r="M176" s="201"/>
      <c r="N176" s="204"/>
      <c r="O176" s="204"/>
      <c r="P176" s="204"/>
      <c r="Q176" s="195"/>
      <c r="R176" s="195"/>
      <c r="S176" s="195"/>
    </row>
    <row r="177" s="33" customFormat="1" ht="12.75" hidden="1" customHeight="1" spans="1:19">
      <c r="A177" s="161"/>
      <c r="B177" s="174"/>
      <c r="C177" s="174"/>
      <c r="D177" s="175"/>
      <c r="G177" s="175"/>
      <c r="H177" s="44"/>
      <c r="I177" s="44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</row>
    <row r="178" s="162" customFormat="1" ht="12.75" hidden="1" customHeight="1" spans="1:19">
      <c r="A178" s="180"/>
      <c r="B178" s="181"/>
      <c r="C178" s="181"/>
      <c r="D178" s="182"/>
      <c r="G178" s="182"/>
      <c r="H178" s="213"/>
      <c r="I178" s="213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</row>
    <row r="179" s="161" customFormat="1" ht="44.25" hidden="1" customHeight="1" spans="1:19">
      <c r="A179" s="170" t="s">
        <v>31</v>
      </c>
      <c r="B179" s="169" t="s">
        <v>32</v>
      </c>
      <c r="C179" s="170" t="s">
        <v>56</v>
      </c>
      <c r="D179" s="170" t="s">
        <v>57</v>
      </c>
      <c r="E179" s="170" t="s">
        <v>58</v>
      </c>
      <c r="F179" s="170" t="s">
        <v>59</v>
      </c>
      <c r="G179" s="189" t="s">
        <v>60</v>
      </c>
      <c r="H179" s="37" t="s">
        <v>61</v>
      </c>
      <c r="I179" s="37" t="s">
        <v>62</v>
      </c>
      <c r="J179" s="168" t="s">
        <v>63</v>
      </c>
      <c r="K179" s="170" t="s">
        <v>64</v>
      </c>
      <c r="L179" s="170" t="s">
        <v>65</v>
      </c>
      <c r="M179" s="170" t="s">
        <v>66</v>
      </c>
      <c r="N179" s="170" t="s">
        <v>33</v>
      </c>
      <c r="O179" s="170" t="s">
        <v>67</v>
      </c>
      <c r="P179" s="170" t="s">
        <v>35</v>
      </c>
      <c r="Q179" s="202"/>
      <c r="R179" s="202"/>
      <c r="S179" s="202"/>
    </row>
    <row r="180" ht="14.25" hidden="1" customHeight="1" spans="1:19">
      <c r="A180" s="170" t="str">
        <f>Summary!$B$26</f>
        <v> (10 µM)</v>
      </c>
      <c r="B180" s="172" t="s">
        <v>69</v>
      </c>
      <c r="C180" s="172" t="s">
        <v>70</v>
      </c>
      <c r="D180" s="173">
        <v>120</v>
      </c>
      <c r="E180" s="40"/>
      <c r="F180" s="40" t="s">
        <v>72</v>
      </c>
      <c r="G180" s="173" t="e">
        <f>VLOOKUP($E180,'Article(s) Raw Data'!$B$1:$L$707,4,0)</f>
        <v>#N/A</v>
      </c>
      <c r="H180" s="41" t="e">
        <f>VLOOKUP($E180,'Article(s) Raw Data'!$B$1:$L$707,5,0)</f>
        <v>#N/A</v>
      </c>
      <c r="I180" s="41" t="e">
        <f>VLOOKUP($E180,'Article(s) Raw Data'!$B$1:$L$707,6,0)</f>
        <v>#N/A</v>
      </c>
      <c r="J180" s="190" t="e">
        <f>VLOOKUP($E180,'Article(s) Raw Data'!$B$1:$L$707,7,0)</f>
        <v>#N/A</v>
      </c>
      <c r="K180" s="190" t="e">
        <f>AVERAGE(J180:J181)</f>
        <v>#N/A</v>
      </c>
      <c r="L180" s="215" t="e">
        <f>J180*1.3*G180/120/60/0.33/(G184*J184)*1000000</f>
        <v>#N/A</v>
      </c>
      <c r="M180" s="215" t="e">
        <f>AVERAGE(L180:L181)</f>
        <v>#N/A</v>
      </c>
      <c r="N180" s="192" t="e">
        <f>(J180*1.3*G180+J182*0.2*G182)/(G184*0.2*J184)*100</f>
        <v>#N/A</v>
      </c>
      <c r="O180" s="192" t="e">
        <f>AVERAGE(N180:N181)</f>
        <v>#N/A</v>
      </c>
      <c r="P180" s="203" t="e">
        <f>M186/M180</f>
        <v>#N/A</v>
      </c>
      <c r="Q180" s="165"/>
      <c r="R180" s="165"/>
      <c r="S180" s="165"/>
    </row>
    <row r="181" ht="12.75" hidden="1" customHeight="1" spans="1:19">
      <c r="A181" s="161"/>
      <c r="B181" s="33"/>
      <c r="C181" s="174"/>
      <c r="D181" s="33"/>
      <c r="E181" s="33"/>
      <c r="F181" s="33" t="s">
        <v>74</v>
      </c>
      <c r="G181" s="175" t="e">
        <f>VLOOKUP($E181,'Article(s) Raw Data'!$B$1:$L$707,4,0)</f>
        <v>#N/A</v>
      </c>
      <c r="H181" s="44" t="e">
        <f>VLOOKUP($E181,'Article(s) Raw Data'!$B$1:$L$707,5,0)</f>
        <v>#N/A</v>
      </c>
      <c r="I181" s="44" t="e">
        <f>VLOOKUP($E181,'Article(s) Raw Data'!$B$1:$L$707,6,0)</f>
        <v>#N/A</v>
      </c>
      <c r="J181" s="194" t="e">
        <f>VLOOKUP($E181,'Article(s) Raw Data'!$B$1:$L$707,7,0)</f>
        <v>#N/A</v>
      </c>
      <c r="K181" s="195"/>
      <c r="L181" s="214" t="e">
        <f>J181*1.3*G181/120/60/0.33/(G185*J185)*1000000</f>
        <v>#N/A</v>
      </c>
      <c r="M181" s="195"/>
      <c r="N181" s="196" t="e">
        <f>(J181*1.3*G181+J183*0.2*G183)/(G185*0.2*J185)*100</f>
        <v>#N/A</v>
      </c>
      <c r="O181" s="195"/>
      <c r="P181" s="195"/>
      <c r="Q181" s="165"/>
      <c r="R181" s="165"/>
      <c r="S181" s="165"/>
    </row>
    <row r="182" hidden="1" spans="1:19">
      <c r="A182" s="161"/>
      <c r="B182" s="33"/>
      <c r="C182" s="174" t="s">
        <v>75</v>
      </c>
      <c r="D182" s="175">
        <v>120</v>
      </c>
      <c r="E182" s="33"/>
      <c r="F182" s="33" t="s">
        <v>77</v>
      </c>
      <c r="G182" s="175" t="e">
        <f>VLOOKUP($E182,'Article(s) Raw Data'!$B$1:$L$707,4,0)</f>
        <v>#N/A</v>
      </c>
      <c r="H182" s="44" t="e">
        <f>VLOOKUP($E182,'Article(s) Raw Data'!$B$1:$L$707,5,0)</f>
        <v>#N/A</v>
      </c>
      <c r="I182" s="44" t="e">
        <f>VLOOKUP($E182,'Article(s) Raw Data'!$B$1:$L$707,6,0)</f>
        <v>#N/A</v>
      </c>
      <c r="J182" s="207" t="e">
        <f>VLOOKUP($E182,'Article(s) Raw Data'!$B$1:$L$707,7,0)</f>
        <v>#N/A</v>
      </c>
      <c r="K182" s="207" t="e">
        <f>AVERAGE(J182:J183)</f>
        <v>#N/A</v>
      </c>
      <c r="L182" s="197" t="s">
        <v>48</v>
      </c>
      <c r="M182" s="197" t="s">
        <v>48</v>
      </c>
      <c r="N182" s="175" t="s">
        <v>48</v>
      </c>
      <c r="O182" s="198" t="s">
        <v>48</v>
      </c>
      <c r="P182" s="195"/>
      <c r="Q182" s="165"/>
      <c r="R182" s="165"/>
      <c r="S182" s="165"/>
    </row>
    <row r="183" hidden="1" spans="1:19">
      <c r="A183" s="161"/>
      <c r="B183" s="33"/>
      <c r="C183" s="174"/>
      <c r="D183" s="33"/>
      <c r="E183" s="33"/>
      <c r="F183" s="33" t="s">
        <v>79</v>
      </c>
      <c r="G183" s="175" t="e">
        <f>VLOOKUP($E183,'Article(s) Raw Data'!$B$1:$L$707,4,0)</f>
        <v>#N/A</v>
      </c>
      <c r="H183" s="44" t="e">
        <f>VLOOKUP($E183,'Article(s) Raw Data'!$B$1:$L$707,5,0)</f>
        <v>#N/A</v>
      </c>
      <c r="I183" s="44" t="e">
        <f>VLOOKUP($E183,'Article(s) Raw Data'!$B$1:$L$707,6,0)</f>
        <v>#N/A</v>
      </c>
      <c r="J183" s="207" t="e">
        <f>VLOOKUP($E183,'Article(s) Raw Data'!$B$1:$L$707,7,0)</f>
        <v>#N/A</v>
      </c>
      <c r="K183" s="195"/>
      <c r="L183" s="195"/>
      <c r="M183" s="195"/>
      <c r="N183" s="195"/>
      <c r="O183" s="195"/>
      <c r="P183" s="195"/>
      <c r="Q183" s="165"/>
      <c r="R183" s="165"/>
      <c r="S183" s="165"/>
    </row>
    <row r="184" hidden="1" spans="1:19">
      <c r="A184" s="161"/>
      <c r="B184" s="33" t="s">
        <v>80</v>
      </c>
      <c r="C184" s="174" t="s">
        <v>48</v>
      </c>
      <c r="D184" s="175">
        <v>0</v>
      </c>
      <c r="E184" s="33"/>
      <c r="F184" s="33" t="s">
        <v>82</v>
      </c>
      <c r="G184" s="175" t="e">
        <f>VLOOKUP($E184,'Article(s) Raw Data'!$B$1:$L$707,4,0)</f>
        <v>#N/A</v>
      </c>
      <c r="H184" s="44" t="e">
        <f>VLOOKUP($E184,'Article(s) Raw Data'!$B$1:$L$707,5,0)</f>
        <v>#N/A</v>
      </c>
      <c r="I184" s="44" t="e">
        <f>VLOOKUP($E184,'Article(s) Raw Data'!$B$1:$L$707,6,0)</f>
        <v>#N/A</v>
      </c>
      <c r="J184" s="207" t="e">
        <f>VLOOKUP($E184,'Article(s) Raw Data'!$B$1:$L$707,7,0)</f>
        <v>#N/A</v>
      </c>
      <c r="K184" s="207" t="e">
        <f>AVERAGE(J184:J185)</f>
        <v>#N/A</v>
      </c>
      <c r="L184" s="199" t="s">
        <v>48</v>
      </c>
      <c r="M184" s="197" t="s">
        <v>48</v>
      </c>
      <c r="N184" s="175" t="s">
        <v>48</v>
      </c>
      <c r="O184" s="198" t="s">
        <v>48</v>
      </c>
      <c r="P184" s="195"/>
      <c r="Q184" s="165"/>
      <c r="R184" s="165"/>
      <c r="S184" s="165"/>
    </row>
    <row r="185" hidden="1" spans="1:19">
      <c r="A185" s="161"/>
      <c r="B185" s="185"/>
      <c r="C185" s="186"/>
      <c r="D185" s="187"/>
      <c r="E185" s="185"/>
      <c r="F185" s="185" t="s">
        <v>84</v>
      </c>
      <c r="G185" s="187" t="e">
        <f>VLOOKUP($E185,'Article(s) Raw Data'!$B$1:$L$707,4,0)</f>
        <v>#N/A</v>
      </c>
      <c r="H185" s="188" t="e">
        <f>VLOOKUP($E185,'Article(s) Raw Data'!$B$1:$L$707,5,0)</f>
        <v>#N/A</v>
      </c>
      <c r="I185" s="188" t="e">
        <f>VLOOKUP($E185,'Article(s) Raw Data'!$B$1:$L$707,6,0)</f>
        <v>#N/A</v>
      </c>
      <c r="J185" s="216" t="e">
        <f>VLOOKUP($E185,'Article(s) Raw Data'!$B$1:$L$707,7,0)</f>
        <v>#N/A</v>
      </c>
      <c r="K185" s="212"/>
      <c r="L185" s="212"/>
      <c r="M185" s="212"/>
      <c r="N185" s="212"/>
      <c r="O185" s="212"/>
      <c r="P185" s="195"/>
      <c r="Q185" s="165"/>
      <c r="R185" s="165"/>
      <c r="S185" s="165"/>
    </row>
    <row r="186" ht="14.25" hidden="1" customHeight="1" spans="1:19">
      <c r="A186" s="161"/>
      <c r="B186" s="174" t="s">
        <v>115</v>
      </c>
      <c r="C186" s="174" t="s">
        <v>75</v>
      </c>
      <c r="D186" s="175">
        <v>120</v>
      </c>
      <c r="E186" s="33"/>
      <c r="F186" s="33" t="s">
        <v>77</v>
      </c>
      <c r="G186" s="175" t="e">
        <f>VLOOKUP($E186,'Article(s) Raw Data'!$B$1:$L$707,4,0)</f>
        <v>#N/A</v>
      </c>
      <c r="H186" s="44" t="e">
        <f>VLOOKUP($E186,'Article(s) Raw Data'!$B$1:$L$707,5,0)</f>
        <v>#N/A</v>
      </c>
      <c r="I186" s="44" t="e">
        <f>VLOOKUP($E186,'Article(s) Raw Data'!$B$1:$L$707,6,0)</f>
        <v>#N/A</v>
      </c>
      <c r="J186" s="207" t="e">
        <f>VLOOKUP($E186,'Article(s) Raw Data'!$B$1:$L$707,7,0)</f>
        <v>#N/A</v>
      </c>
      <c r="K186" s="207" t="e">
        <f>AVERAGE(J186:J187)</f>
        <v>#N/A</v>
      </c>
      <c r="L186" s="207" t="e">
        <f>J186*0.2*G186/120/60/0.33/(J190*G190)*1000000</f>
        <v>#N/A</v>
      </c>
      <c r="M186" s="207" t="e">
        <f>AVERAGE(L186:L187)</f>
        <v>#N/A</v>
      </c>
      <c r="N186" s="195" t="e">
        <f>(J186*0.2*G186+J188*1.3*G188)/(J190*1.3*G190)*100</f>
        <v>#N/A</v>
      </c>
      <c r="O186" s="196" t="e">
        <f>AVERAGE(N186:N187)</f>
        <v>#N/A</v>
      </c>
      <c r="P186" s="195"/>
      <c r="Q186" s="165"/>
      <c r="R186" s="165"/>
      <c r="S186" s="165"/>
    </row>
    <row r="187" hidden="1" spans="1:19">
      <c r="A187" s="161"/>
      <c r="B187" s="33"/>
      <c r="C187" s="174"/>
      <c r="D187" s="33"/>
      <c r="E187" s="33"/>
      <c r="F187" s="33" t="s">
        <v>79</v>
      </c>
      <c r="G187" s="175" t="e">
        <f>VLOOKUP($E187,'Article(s) Raw Data'!$B$1:$L$707,4,0)</f>
        <v>#N/A</v>
      </c>
      <c r="H187" s="44" t="e">
        <f>VLOOKUP($E187,'Article(s) Raw Data'!$B$1:$L$707,5,0)</f>
        <v>#N/A</v>
      </c>
      <c r="I187" s="44" t="e">
        <f>VLOOKUP($E187,'Article(s) Raw Data'!$B$1:$L$707,6,0)</f>
        <v>#N/A</v>
      </c>
      <c r="J187" s="207" t="e">
        <f>VLOOKUP($E187,'Article(s) Raw Data'!$B$1:$L$707,7,0)</f>
        <v>#N/A</v>
      </c>
      <c r="K187" s="195"/>
      <c r="L187" s="207" t="e">
        <f>J187*0.2*G187/120/60/0.33/(J191*G191)*1000000</f>
        <v>#N/A</v>
      </c>
      <c r="M187" s="195"/>
      <c r="N187" s="196" t="e">
        <f>(J187*0.2*G187+J189*1.3*G189)/(J191*1.3*G191)*100</f>
        <v>#N/A</v>
      </c>
      <c r="O187" s="195"/>
      <c r="P187" s="195"/>
      <c r="Q187" s="165"/>
      <c r="R187" s="165"/>
      <c r="S187" s="165"/>
    </row>
    <row r="188" hidden="1" spans="1:19">
      <c r="A188" s="161"/>
      <c r="B188" s="33"/>
      <c r="C188" s="174" t="s">
        <v>70</v>
      </c>
      <c r="D188" s="175">
        <v>120</v>
      </c>
      <c r="E188" s="33"/>
      <c r="F188" s="33" t="s">
        <v>72</v>
      </c>
      <c r="G188" s="175" t="e">
        <f>VLOOKUP($E188,'Article(s) Raw Data'!$B$1:$L$707,4,0)</f>
        <v>#N/A</v>
      </c>
      <c r="H188" s="44" t="e">
        <f>VLOOKUP($E188,'Article(s) Raw Data'!$B$1:$L$707,5,0)</f>
        <v>#N/A</v>
      </c>
      <c r="I188" s="44" t="e">
        <f>VLOOKUP($E188,'Article(s) Raw Data'!$B$1:$L$707,6,0)</f>
        <v>#N/A</v>
      </c>
      <c r="J188" s="207" t="e">
        <f>VLOOKUP($E188,'Article(s) Raw Data'!$B$1:$L$707,7,0)</f>
        <v>#N/A</v>
      </c>
      <c r="K188" s="207" t="e">
        <f>AVERAGE(J188:J189)</f>
        <v>#N/A</v>
      </c>
      <c r="L188" s="199" t="s">
        <v>48</v>
      </c>
      <c r="M188" s="197" t="s">
        <v>48</v>
      </c>
      <c r="N188" s="175" t="s">
        <v>48</v>
      </c>
      <c r="O188" s="198" t="s">
        <v>48</v>
      </c>
      <c r="P188" s="195"/>
      <c r="Q188" s="165"/>
      <c r="R188" s="165"/>
      <c r="S188" s="165"/>
    </row>
    <row r="189" hidden="1" spans="1:19">
      <c r="A189" s="161"/>
      <c r="B189" s="33"/>
      <c r="C189" s="174"/>
      <c r="D189" s="33"/>
      <c r="E189" s="33"/>
      <c r="F189" s="33" t="s">
        <v>74</v>
      </c>
      <c r="G189" s="175" t="e">
        <f>VLOOKUP($E189,'Article(s) Raw Data'!$B$1:$L$707,4,0)</f>
        <v>#N/A</v>
      </c>
      <c r="H189" s="44" t="e">
        <f>VLOOKUP($E189,'Article(s) Raw Data'!$B$1:$L$707,5,0)</f>
        <v>#N/A</v>
      </c>
      <c r="I189" s="44" t="e">
        <f>VLOOKUP($E189,'Article(s) Raw Data'!$B$1:$L$707,6,0)</f>
        <v>#N/A</v>
      </c>
      <c r="J189" s="207" t="e">
        <f>VLOOKUP($E189,'Article(s) Raw Data'!$B$1:$L$707,7,0)</f>
        <v>#N/A</v>
      </c>
      <c r="K189" s="195"/>
      <c r="L189" s="195"/>
      <c r="M189" s="195"/>
      <c r="N189" s="195"/>
      <c r="O189" s="195"/>
      <c r="P189" s="195"/>
      <c r="Q189" s="165"/>
      <c r="R189" s="165"/>
      <c r="S189" s="165"/>
    </row>
    <row r="190" s="33" customFormat="1" ht="15.6" hidden="1" customHeight="1" spans="1:19">
      <c r="A190" s="161"/>
      <c r="B190" s="33" t="s">
        <v>120</v>
      </c>
      <c r="C190" s="174" t="s">
        <v>48</v>
      </c>
      <c r="D190" s="175">
        <v>0</v>
      </c>
      <c r="F190" s="33" t="s">
        <v>122</v>
      </c>
      <c r="G190" s="175" t="e">
        <f>VLOOKUP($E190,'Article(s) Raw Data'!$B$1:$L$707,4,0)</f>
        <v>#N/A</v>
      </c>
      <c r="H190" s="44" t="e">
        <f>VLOOKUP($E190,'Article(s) Raw Data'!$B$1:$L$707,5,0)</f>
        <v>#N/A</v>
      </c>
      <c r="I190" s="44" t="e">
        <f>VLOOKUP($E190,'Article(s) Raw Data'!$B$1:$L$707,6,0)</f>
        <v>#N/A</v>
      </c>
      <c r="J190" s="207" t="e">
        <f>VLOOKUP($E190,'Article(s) Raw Data'!$B$1:$L$707,7,0)</f>
        <v>#N/A</v>
      </c>
      <c r="K190" s="207" t="e">
        <f>AVERAGE(J190:J191)</f>
        <v>#N/A</v>
      </c>
      <c r="L190" s="199" t="s">
        <v>48</v>
      </c>
      <c r="M190" s="197" t="s">
        <v>48</v>
      </c>
      <c r="N190" s="175" t="s">
        <v>48</v>
      </c>
      <c r="O190" s="198" t="s">
        <v>48</v>
      </c>
      <c r="P190" s="195"/>
      <c r="Q190" s="195"/>
      <c r="R190" s="195"/>
      <c r="S190" s="195"/>
    </row>
    <row r="191" s="33" customFormat="1" ht="15.6" hidden="1" customHeight="1" spans="1:19">
      <c r="A191" s="176"/>
      <c r="B191" s="47"/>
      <c r="C191" s="177"/>
      <c r="D191" s="178"/>
      <c r="E191" s="47"/>
      <c r="F191" s="47" t="s">
        <v>124</v>
      </c>
      <c r="G191" s="178" t="e">
        <f>VLOOKUP($E191,'Article(s) Raw Data'!$B$1:$L$707,4,0)</f>
        <v>#N/A</v>
      </c>
      <c r="H191" s="48" t="e">
        <f>VLOOKUP($E191,'Article(s) Raw Data'!$B$1:$L$707,5,0)</f>
        <v>#N/A</v>
      </c>
      <c r="I191" s="48" t="e">
        <f>VLOOKUP($E191,'Article(s) Raw Data'!$B$1:$L$707,6,0)</f>
        <v>#N/A</v>
      </c>
      <c r="J191" s="208" t="e">
        <f>VLOOKUP($E191,'Article(s) Raw Data'!$B$1:$L$707,7,0)</f>
        <v>#N/A</v>
      </c>
      <c r="K191" s="201"/>
      <c r="L191" s="201"/>
      <c r="M191" s="201"/>
      <c r="N191" s="201"/>
      <c r="O191" s="201"/>
      <c r="P191" s="201"/>
      <c r="Q191" s="195"/>
      <c r="R191" s="165"/>
      <c r="S191" s="195"/>
    </row>
    <row r="192" s="33" customFormat="1" ht="12.75" hidden="1" customHeight="1" spans="1:19">
      <c r="A192" s="161"/>
      <c r="C192" s="174"/>
      <c r="D192" s="175"/>
      <c r="G192" s="175"/>
      <c r="H192" s="48"/>
      <c r="I192" s="48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</row>
    <row r="193" s="161" customFormat="1" ht="44.25" hidden="1" customHeight="1" spans="1:19">
      <c r="A193" s="170" t="s">
        <v>31</v>
      </c>
      <c r="B193" s="179" t="s">
        <v>85</v>
      </c>
      <c r="C193" s="179"/>
      <c r="D193" s="170" t="s">
        <v>57</v>
      </c>
      <c r="E193" s="170" t="s">
        <v>58</v>
      </c>
      <c r="F193" s="170" t="s">
        <v>59</v>
      </c>
      <c r="G193" s="171" t="s">
        <v>60</v>
      </c>
      <c r="H193" s="37" t="s">
        <v>61</v>
      </c>
      <c r="I193" s="37" t="s">
        <v>62</v>
      </c>
      <c r="J193" s="170" t="s">
        <v>63</v>
      </c>
      <c r="K193" s="170" t="s">
        <v>64</v>
      </c>
      <c r="L193" s="170" t="s">
        <v>86</v>
      </c>
      <c r="M193" s="170" t="s">
        <v>87</v>
      </c>
      <c r="N193" s="202"/>
      <c r="O193" s="202"/>
      <c r="P193" s="202"/>
      <c r="Q193" s="202"/>
      <c r="R193" s="202"/>
      <c r="S193" s="202"/>
    </row>
    <row r="194" s="33" customFormat="1" ht="15.6" hidden="1" customHeight="1" spans="1:19">
      <c r="A194" s="170" t="str">
        <f>A180</f>
        <v> (10 µM)</v>
      </c>
      <c r="B194" s="172" t="s">
        <v>88</v>
      </c>
      <c r="C194" s="172"/>
      <c r="D194" s="173">
        <v>120</v>
      </c>
      <c r="E194" s="40"/>
      <c r="F194" s="40" t="s">
        <v>90</v>
      </c>
      <c r="G194" s="173" t="e">
        <f>VLOOKUP($E194,'Article(s) Raw Data'!$B$1:$L$707,4,0)</f>
        <v>#N/A</v>
      </c>
      <c r="H194" s="41" t="e">
        <f>VLOOKUP($E194,'Article(s) Raw Data'!$B$1:$L$707,5,0)</f>
        <v>#N/A</v>
      </c>
      <c r="I194" s="41" t="e">
        <f>VLOOKUP($E194,'Article(s) Raw Data'!$B$1:$L$707,6,0)</f>
        <v>#N/A</v>
      </c>
      <c r="J194" s="206" t="e">
        <f>VLOOKUP($E194,'Article(s) Raw Data'!$B$1:$L$707,7,0)</f>
        <v>#N/A</v>
      </c>
      <c r="K194" s="206" t="e">
        <f>AVERAGE(J194:J195)</f>
        <v>#N/A</v>
      </c>
      <c r="L194" s="192" t="e">
        <f>J194*G194/(G196*J196)*100</f>
        <v>#N/A</v>
      </c>
      <c r="M194" s="192" t="e">
        <f>AVERAGE(L194:L195)</f>
        <v>#N/A</v>
      </c>
      <c r="N194" s="195"/>
      <c r="O194" s="204"/>
      <c r="P194" s="204"/>
      <c r="Q194" s="195"/>
      <c r="R194" s="195"/>
      <c r="S194" s="195"/>
    </row>
    <row r="195" s="33" customFormat="1" ht="15.6" hidden="1" customHeight="1" spans="1:19">
      <c r="A195" s="161"/>
      <c r="B195" s="174"/>
      <c r="C195" s="174"/>
      <c r="D195" s="33"/>
      <c r="F195" s="33" t="s">
        <v>92</v>
      </c>
      <c r="G195" s="175" t="e">
        <f>VLOOKUP($E195,'Article(s) Raw Data'!$B$1:$L$707,4,0)</f>
        <v>#N/A</v>
      </c>
      <c r="H195" s="44" t="e">
        <f>VLOOKUP($E195,'Article(s) Raw Data'!$B$1:$L$707,5,0)</f>
        <v>#N/A</v>
      </c>
      <c r="I195" s="44" t="e">
        <f>VLOOKUP($E195,'Article(s) Raw Data'!$B$1:$L$707,6,0)</f>
        <v>#N/A</v>
      </c>
      <c r="J195" s="207" t="e">
        <f>VLOOKUP($E195,'Article(s) Raw Data'!$B$1:$L$707,7,0)</f>
        <v>#N/A</v>
      </c>
      <c r="K195" s="195"/>
      <c r="L195" s="196" t="e">
        <f>J195*G195/(G197*J197)*100</f>
        <v>#N/A</v>
      </c>
      <c r="M195" s="195"/>
      <c r="N195" s="195"/>
      <c r="O195" s="204"/>
      <c r="P195" s="204"/>
      <c r="Q195" s="195"/>
      <c r="R195" s="195"/>
      <c r="S195" s="195"/>
    </row>
    <row r="196" s="33" customFormat="1" ht="15.6" hidden="1" customHeight="1" spans="1:19">
      <c r="A196" s="161"/>
      <c r="B196" s="174"/>
      <c r="C196" s="174"/>
      <c r="D196" s="175">
        <v>0</v>
      </c>
      <c r="F196" s="33" t="s">
        <v>94</v>
      </c>
      <c r="G196" s="175" t="e">
        <f>VLOOKUP($E196,'Article(s) Raw Data'!$B$1:$L$707,4,0)</f>
        <v>#N/A</v>
      </c>
      <c r="H196" s="44" t="e">
        <f>VLOOKUP($E196,'Article(s) Raw Data'!$B$1:$L$707,5,0)</f>
        <v>#N/A</v>
      </c>
      <c r="I196" s="44" t="e">
        <f>VLOOKUP($E196,'Article(s) Raw Data'!$B$1:$L$707,6,0)</f>
        <v>#N/A</v>
      </c>
      <c r="J196" s="207" t="e">
        <f>VLOOKUP($E196,'Article(s) Raw Data'!$B$1:$L$707,7,0)</f>
        <v>#N/A</v>
      </c>
      <c r="K196" s="207" t="e">
        <f>AVERAGE(J196:J197)</f>
        <v>#N/A</v>
      </c>
      <c r="L196" s="199" t="s">
        <v>48</v>
      </c>
      <c r="M196" s="197" t="s">
        <v>48</v>
      </c>
      <c r="N196" s="204"/>
      <c r="O196" s="204"/>
      <c r="P196" s="204"/>
      <c r="Q196" s="195"/>
      <c r="R196" s="195"/>
      <c r="S196" s="195"/>
    </row>
    <row r="197" s="33" customFormat="1" ht="15.6" hidden="1" customHeight="1" spans="1:19">
      <c r="A197" s="176"/>
      <c r="B197" s="177"/>
      <c r="C197" s="177"/>
      <c r="D197" s="178"/>
      <c r="E197" s="47"/>
      <c r="F197" s="47" t="s">
        <v>96</v>
      </c>
      <c r="G197" s="178" t="e">
        <f>VLOOKUP($E197,'Article(s) Raw Data'!$B$1:$L$707,4,0)</f>
        <v>#N/A</v>
      </c>
      <c r="H197" s="48" t="e">
        <f>VLOOKUP($E197,'Article(s) Raw Data'!$B$1:$L$707,5,0)</f>
        <v>#N/A</v>
      </c>
      <c r="I197" s="48" t="e">
        <f>VLOOKUP($E197,'Article(s) Raw Data'!$B$1:$L$707,6,0)</f>
        <v>#N/A</v>
      </c>
      <c r="J197" s="208" t="e">
        <f>VLOOKUP($E197,'Article(s) Raw Data'!$B$1:$L$707,7,0)</f>
        <v>#N/A</v>
      </c>
      <c r="K197" s="201"/>
      <c r="L197" s="201"/>
      <c r="M197" s="201"/>
      <c r="N197" s="204"/>
      <c r="O197" s="204"/>
      <c r="P197" s="204"/>
      <c r="Q197" s="195"/>
      <c r="R197" s="195"/>
      <c r="S197" s="195"/>
    </row>
    <row r="198" s="33" customFormat="1" ht="12.75" hidden="1" customHeight="1" spans="1:19">
      <c r="A198" s="161"/>
      <c r="B198" s="174"/>
      <c r="C198" s="174"/>
      <c r="D198" s="175"/>
      <c r="G198" s="175"/>
      <c r="H198" s="44"/>
      <c r="I198" s="44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</row>
    <row r="199" s="162" customFormat="1" ht="12.75" hidden="1" customHeight="1" spans="1:19">
      <c r="A199" s="180"/>
      <c r="B199" s="181"/>
      <c r="C199" s="181"/>
      <c r="D199" s="182"/>
      <c r="G199" s="182"/>
      <c r="H199" s="213"/>
      <c r="I199" s="213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</row>
    <row r="200" s="161" customFormat="1" ht="44.25" hidden="1" customHeight="1" spans="1:19">
      <c r="A200" s="170" t="s">
        <v>31</v>
      </c>
      <c r="B200" s="169" t="s">
        <v>32</v>
      </c>
      <c r="C200" s="170" t="s">
        <v>56</v>
      </c>
      <c r="D200" s="170" t="s">
        <v>57</v>
      </c>
      <c r="E200" s="170" t="s">
        <v>58</v>
      </c>
      <c r="F200" s="170" t="s">
        <v>59</v>
      </c>
      <c r="G200" s="189" t="s">
        <v>60</v>
      </c>
      <c r="H200" s="37" t="s">
        <v>61</v>
      </c>
      <c r="I200" s="37" t="s">
        <v>62</v>
      </c>
      <c r="J200" s="168" t="s">
        <v>63</v>
      </c>
      <c r="K200" s="170" t="s">
        <v>64</v>
      </c>
      <c r="L200" s="170" t="s">
        <v>65</v>
      </c>
      <c r="M200" s="170" t="s">
        <v>66</v>
      </c>
      <c r="N200" s="170" t="s">
        <v>33</v>
      </c>
      <c r="O200" s="170" t="s">
        <v>67</v>
      </c>
      <c r="P200" s="170" t="s">
        <v>35</v>
      </c>
      <c r="Q200" s="202"/>
      <c r="R200" s="202"/>
      <c r="S200" s="202"/>
    </row>
    <row r="201" ht="14.25" hidden="1" customHeight="1" spans="1:19">
      <c r="A201" s="170" t="str">
        <f>Summary!$B$28</f>
        <v> (10 µM)</v>
      </c>
      <c r="B201" s="172" t="s">
        <v>69</v>
      </c>
      <c r="C201" s="172" t="s">
        <v>70</v>
      </c>
      <c r="D201" s="173">
        <v>120</v>
      </c>
      <c r="E201" s="40"/>
      <c r="F201" s="40" t="s">
        <v>72</v>
      </c>
      <c r="G201" s="173" t="e">
        <f>VLOOKUP($E201,'Article(s) Raw Data'!$B$1:$L$707,4,0)</f>
        <v>#N/A</v>
      </c>
      <c r="H201" s="41" t="e">
        <f>VLOOKUP($E201,'Article(s) Raw Data'!$B$1:$L$707,5,0)</f>
        <v>#N/A</v>
      </c>
      <c r="I201" s="41" t="e">
        <f>VLOOKUP($E201,'Article(s) Raw Data'!$B$1:$L$707,6,0)</f>
        <v>#N/A</v>
      </c>
      <c r="J201" s="190" t="e">
        <f>VLOOKUP($E201,'Article(s) Raw Data'!$B$1:$L$707,7,0)</f>
        <v>#N/A</v>
      </c>
      <c r="K201" s="190" t="e">
        <f>AVERAGE(J201:J202)</f>
        <v>#N/A</v>
      </c>
      <c r="L201" s="191" t="e">
        <f>J201*1.3*G201/120/60/0.33/(G205*J205)*1000000</f>
        <v>#N/A</v>
      </c>
      <c r="M201" s="191" t="e">
        <f>AVERAGE(L201:L202)</f>
        <v>#N/A</v>
      </c>
      <c r="N201" s="192" t="e">
        <f>(J201*1.3*G201+J203*0.2*G203)/(G205*0.2*J205)*100</f>
        <v>#N/A</v>
      </c>
      <c r="O201" s="192" t="e">
        <f>AVERAGE(N201:N202)</f>
        <v>#N/A</v>
      </c>
      <c r="P201" s="203" t="e">
        <f>M207/M201</f>
        <v>#N/A</v>
      </c>
      <c r="Q201" s="165"/>
      <c r="R201" s="165"/>
      <c r="S201" s="165"/>
    </row>
    <row r="202" ht="12.75" hidden="1" customHeight="1" spans="1:19">
      <c r="A202" s="161"/>
      <c r="B202" s="33"/>
      <c r="C202" s="174"/>
      <c r="D202" s="33"/>
      <c r="E202" s="33"/>
      <c r="F202" s="33" t="s">
        <v>74</v>
      </c>
      <c r="G202" s="175" t="e">
        <f>VLOOKUP($E202,'Article(s) Raw Data'!$B$1:$L$707,4,0)</f>
        <v>#N/A</v>
      </c>
      <c r="H202" s="44" t="e">
        <f>VLOOKUP($E202,'Article(s) Raw Data'!$B$1:$L$707,5,0)</f>
        <v>#N/A</v>
      </c>
      <c r="I202" s="44" t="e">
        <f>VLOOKUP($E202,'Article(s) Raw Data'!$B$1:$L$707,6,0)</f>
        <v>#N/A</v>
      </c>
      <c r="J202" s="194" t="e">
        <f>VLOOKUP($E202,'Article(s) Raw Data'!$B$1:$L$707,7,0)</f>
        <v>#N/A</v>
      </c>
      <c r="K202" s="195"/>
      <c r="L202" s="214" t="e">
        <f>J202*1.3*G202/120/60/0.33/(G206*J206)*1000000</f>
        <v>#N/A</v>
      </c>
      <c r="M202" s="195"/>
      <c r="N202" s="195" t="e">
        <f>(J202*1.3*G202+J204*0.2*G204)/(G206*0.2*J206)*100</f>
        <v>#N/A</v>
      </c>
      <c r="O202" s="195"/>
      <c r="P202" s="195"/>
      <c r="Q202" s="165"/>
      <c r="R202" s="165"/>
      <c r="S202" s="165"/>
    </row>
    <row r="203" hidden="1" spans="1:19">
      <c r="A203" s="161"/>
      <c r="B203" s="33"/>
      <c r="C203" s="174" t="s">
        <v>75</v>
      </c>
      <c r="D203" s="175">
        <v>120</v>
      </c>
      <c r="E203" s="33"/>
      <c r="F203" s="33" t="s">
        <v>77</v>
      </c>
      <c r="G203" s="175" t="e">
        <f>VLOOKUP($E203,'Article(s) Raw Data'!$B$1:$L$707,4,0)</f>
        <v>#N/A</v>
      </c>
      <c r="H203" s="44" t="e">
        <f>VLOOKUP($E203,'Article(s) Raw Data'!$B$1:$L$707,5,0)</f>
        <v>#N/A</v>
      </c>
      <c r="I203" s="44" t="e">
        <f>VLOOKUP($E203,'Article(s) Raw Data'!$B$1:$L$707,6,0)</f>
        <v>#N/A</v>
      </c>
      <c r="J203" s="207" t="e">
        <f>VLOOKUP($E203,'Article(s) Raw Data'!$B$1:$L$707,7,0)</f>
        <v>#N/A</v>
      </c>
      <c r="K203" s="207" t="e">
        <f>AVERAGE(J203:J204)</f>
        <v>#N/A</v>
      </c>
      <c r="L203" s="197" t="s">
        <v>48</v>
      </c>
      <c r="M203" s="197" t="s">
        <v>48</v>
      </c>
      <c r="N203" s="175" t="s">
        <v>48</v>
      </c>
      <c r="O203" s="198" t="s">
        <v>48</v>
      </c>
      <c r="P203" s="195"/>
      <c r="Q203" s="165"/>
      <c r="R203" s="165"/>
      <c r="S203" s="165"/>
    </row>
    <row r="204" hidden="1" spans="1:19">
      <c r="A204" s="161"/>
      <c r="B204" s="33"/>
      <c r="C204" s="174"/>
      <c r="D204" s="33"/>
      <c r="E204" s="33"/>
      <c r="F204" s="33" t="s">
        <v>79</v>
      </c>
      <c r="G204" s="175" t="e">
        <f>VLOOKUP($E204,'Article(s) Raw Data'!$B$1:$L$707,4,0)</f>
        <v>#N/A</v>
      </c>
      <c r="H204" s="44" t="e">
        <f>VLOOKUP($E204,'Article(s) Raw Data'!$B$1:$L$707,5,0)</f>
        <v>#N/A</v>
      </c>
      <c r="I204" s="44" t="e">
        <f>VLOOKUP($E204,'Article(s) Raw Data'!$B$1:$L$707,6,0)</f>
        <v>#N/A</v>
      </c>
      <c r="J204" s="207" t="e">
        <f>VLOOKUP($E204,'Article(s) Raw Data'!$B$1:$L$707,7,0)</f>
        <v>#N/A</v>
      </c>
      <c r="K204" s="195"/>
      <c r="L204" s="195"/>
      <c r="M204" s="195"/>
      <c r="N204" s="195"/>
      <c r="O204" s="195"/>
      <c r="P204" s="195"/>
      <c r="Q204" s="165"/>
      <c r="R204" s="165"/>
      <c r="S204" s="165"/>
    </row>
    <row r="205" hidden="1" spans="1:19">
      <c r="A205" s="161"/>
      <c r="B205" s="33" t="s">
        <v>80</v>
      </c>
      <c r="C205" s="174" t="s">
        <v>48</v>
      </c>
      <c r="D205" s="175">
        <v>0</v>
      </c>
      <c r="E205" s="33"/>
      <c r="F205" s="33" t="s">
        <v>82</v>
      </c>
      <c r="G205" s="175" t="e">
        <f>VLOOKUP($E205,'Article(s) Raw Data'!$B$1:$L$707,4,0)</f>
        <v>#N/A</v>
      </c>
      <c r="H205" s="44" t="e">
        <f>VLOOKUP($E205,'Article(s) Raw Data'!$B$1:$L$707,5,0)</f>
        <v>#N/A</v>
      </c>
      <c r="I205" s="44" t="e">
        <f>VLOOKUP($E205,'Article(s) Raw Data'!$B$1:$L$707,6,0)</f>
        <v>#N/A</v>
      </c>
      <c r="J205" s="207" t="e">
        <f>VLOOKUP($E205,'Article(s) Raw Data'!$B$1:$L$707,7,0)</f>
        <v>#N/A</v>
      </c>
      <c r="K205" s="207" t="e">
        <f>AVERAGE(J205:J206)</f>
        <v>#N/A</v>
      </c>
      <c r="L205" s="199" t="s">
        <v>48</v>
      </c>
      <c r="M205" s="197" t="s">
        <v>48</v>
      </c>
      <c r="N205" s="175" t="s">
        <v>48</v>
      </c>
      <c r="O205" s="198" t="s">
        <v>48</v>
      </c>
      <c r="P205" s="195"/>
      <c r="Q205" s="165"/>
      <c r="R205" s="165"/>
      <c r="S205" s="165"/>
    </row>
    <row r="206" hidden="1" spans="1:19">
      <c r="A206" s="161"/>
      <c r="B206" s="185"/>
      <c r="C206" s="186"/>
      <c r="D206" s="187"/>
      <c r="E206" s="185"/>
      <c r="F206" s="185" t="s">
        <v>84</v>
      </c>
      <c r="G206" s="187" t="e">
        <f>VLOOKUP($E206,'Article(s) Raw Data'!$B$1:$L$707,4,0)</f>
        <v>#N/A</v>
      </c>
      <c r="H206" s="188" t="e">
        <f>VLOOKUP($E206,'Article(s) Raw Data'!$B$1:$L$707,5,0)</f>
        <v>#N/A</v>
      </c>
      <c r="I206" s="188" t="e">
        <f>VLOOKUP($E206,'Article(s) Raw Data'!$B$1:$L$707,6,0)</f>
        <v>#N/A</v>
      </c>
      <c r="J206" s="216" t="e">
        <f>VLOOKUP($E206,'Article(s) Raw Data'!$B$1:$L$707,7,0)</f>
        <v>#N/A</v>
      </c>
      <c r="K206" s="212"/>
      <c r="L206" s="212"/>
      <c r="M206" s="212"/>
      <c r="N206" s="212"/>
      <c r="O206" s="212"/>
      <c r="P206" s="195"/>
      <c r="Q206" s="165"/>
      <c r="R206" s="165"/>
      <c r="S206" s="165"/>
    </row>
    <row r="207" ht="14.25" hidden="1" customHeight="1" spans="1:19">
      <c r="A207" s="161"/>
      <c r="B207" s="174" t="s">
        <v>115</v>
      </c>
      <c r="C207" s="174" t="s">
        <v>75</v>
      </c>
      <c r="D207" s="175">
        <v>120</v>
      </c>
      <c r="E207" s="33"/>
      <c r="F207" s="33" t="s">
        <v>77</v>
      </c>
      <c r="G207" s="175" t="e">
        <f>VLOOKUP($E207,'Article(s) Raw Data'!$B$1:$L$707,4,0)</f>
        <v>#N/A</v>
      </c>
      <c r="H207" s="44" t="e">
        <f>VLOOKUP($E207,'Article(s) Raw Data'!$B$1:$L$707,5,0)</f>
        <v>#N/A</v>
      </c>
      <c r="I207" s="44" t="e">
        <f>VLOOKUP($E207,'Article(s) Raw Data'!$B$1:$L$707,6,0)</f>
        <v>#N/A</v>
      </c>
      <c r="J207" s="35" t="e">
        <f>VLOOKUP($E207,'Article(s) Raw Data'!$B$1:$L$707,7,0)</f>
        <v>#N/A</v>
      </c>
      <c r="K207" s="35" t="e">
        <f>AVERAGE(J207:J208)</f>
        <v>#N/A</v>
      </c>
      <c r="L207" s="207" t="e">
        <f>J207*0.2*G207/120/60/0.33/(J211*G211)*1000000</f>
        <v>#N/A</v>
      </c>
      <c r="M207" s="207" t="e">
        <f>AVERAGE(L207:L208)</f>
        <v>#N/A</v>
      </c>
      <c r="N207" s="196" t="e">
        <f>(J207*0.2*G207+J209*1.3*G209)/(J211*1.3*G211)*100</f>
        <v>#N/A</v>
      </c>
      <c r="O207" s="196" t="e">
        <f>AVERAGE(N207:N208)</f>
        <v>#N/A</v>
      </c>
      <c r="P207" s="195"/>
      <c r="Q207" s="165"/>
      <c r="R207" s="165"/>
      <c r="S207" s="165"/>
    </row>
    <row r="208" hidden="1" spans="1:19">
      <c r="A208" s="161"/>
      <c r="B208" s="33"/>
      <c r="C208" s="174"/>
      <c r="D208" s="33"/>
      <c r="E208" s="33"/>
      <c r="F208" s="33" t="s">
        <v>79</v>
      </c>
      <c r="G208" s="175" t="e">
        <f>VLOOKUP($E208,'Article(s) Raw Data'!$B$1:$L$707,4,0)</f>
        <v>#N/A</v>
      </c>
      <c r="H208" s="44" t="e">
        <f>VLOOKUP($E208,'Article(s) Raw Data'!$B$1:$L$707,5,0)</f>
        <v>#N/A</v>
      </c>
      <c r="I208" s="44" t="e">
        <f>VLOOKUP($E208,'Article(s) Raw Data'!$B$1:$L$707,6,0)</f>
        <v>#N/A</v>
      </c>
      <c r="J208" s="35" t="e">
        <f>VLOOKUP($E208,'Article(s) Raw Data'!$B$1:$L$707,7,0)</f>
        <v>#N/A</v>
      </c>
      <c r="K208" s="195"/>
      <c r="L208" s="207" t="e">
        <f>J208*0.2*G208/120/60/0.33/(J212*G212)*1000000</f>
        <v>#N/A</v>
      </c>
      <c r="M208" s="195"/>
      <c r="N208" s="196" t="e">
        <f>(J208*0.2*G208+J210*1.3*G210)/(J212*1.3*G212)*100</f>
        <v>#N/A</v>
      </c>
      <c r="O208" s="195"/>
      <c r="P208" s="195"/>
      <c r="Q208" s="165"/>
      <c r="R208" s="165"/>
      <c r="S208" s="165"/>
    </row>
    <row r="209" hidden="1" spans="1:19">
      <c r="A209" s="161"/>
      <c r="B209" s="33"/>
      <c r="C209" s="174" t="s">
        <v>70</v>
      </c>
      <c r="D209" s="175">
        <v>120</v>
      </c>
      <c r="E209" s="33"/>
      <c r="F209" s="33" t="s">
        <v>72</v>
      </c>
      <c r="G209" s="175" t="e">
        <f>VLOOKUP($E209,'Article(s) Raw Data'!$B$1:$L$707,4,0)</f>
        <v>#N/A</v>
      </c>
      <c r="H209" s="44" t="e">
        <f>VLOOKUP($E209,'Article(s) Raw Data'!$B$1:$L$707,5,0)</f>
        <v>#N/A</v>
      </c>
      <c r="I209" s="44" t="e">
        <f>VLOOKUP($E209,'Article(s) Raw Data'!$B$1:$L$707,6,0)</f>
        <v>#N/A</v>
      </c>
      <c r="J209" s="207" t="e">
        <f>VLOOKUP($E209,'Article(s) Raw Data'!$B$1:$L$707,7,0)</f>
        <v>#N/A</v>
      </c>
      <c r="K209" s="207" t="e">
        <f>AVERAGE(J209:J210)</f>
        <v>#N/A</v>
      </c>
      <c r="L209" s="199" t="s">
        <v>48</v>
      </c>
      <c r="M209" s="197" t="s">
        <v>48</v>
      </c>
      <c r="N209" s="175" t="s">
        <v>48</v>
      </c>
      <c r="O209" s="198" t="s">
        <v>48</v>
      </c>
      <c r="P209" s="195"/>
      <c r="Q209" s="165"/>
      <c r="R209" s="165"/>
      <c r="S209" s="165"/>
    </row>
    <row r="210" hidden="1" spans="1:19">
      <c r="A210" s="161"/>
      <c r="B210" s="33"/>
      <c r="C210" s="174"/>
      <c r="D210" s="33"/>
      <c r="E210" s="33"/>
      <c r="F210" s="33" t="s">
        <v>74</v>
      </c>
      <c r="G210" s="175" t="e">
        <f>VLOOKUP($E210,'Article(s) Raw Data'!$B$1:$L$707,4,0)</f>
        <v>#N/A</v>
      </c>
      <c r="H210" s="44" t="e">
        <f>VLOOKUP($E210,'Article(s) Raw Data'!$B$1:$L$707,5,0)</f>
        <v>#N/A</v>
      </c>
      <c r="I210" s="44" t="e">
        <f>VLOOKUP($E210,'Article(s) Raw Data'!$B$1:$L$707,6,0)</f>
        <v>#N/A</v>
      </c>
      <c r="J210" s="207" t="e">
        <f>VLOOKUP($E210,'Article(s) Raw Data'!$B$1:$L$707,7,0)</f>
        <v>#N/A</v>
      </c>
      <c r="K210" s="195"/>
      <c r="L210" s="195"/>
      <c r="M210" s="195"/>
      <c r="N210" s="195"/>
      <c r="O210" s="195"/>
      <c r="P210" s="195"/>
      <c r="Q210" s="165"/>
      <c r="R210" s="165"/>
      <c r="S210" s="165"/>
    </row>
    <row r="211" s="33" customFormat="1" ht="15.6" hidden="1" customHeight="1" spans="1:19">
      <c r="A211" s="161"/>
      <c r="B211" s="33" t="s">
        <v>120</v>
      </c>
      <c r="C211" s="174" t="s">
        <v>48</v>
      </c>
      <c r="D211" s="175">
        <v>0</v>
      </c>
      <c r="F211" s="33" t="s">
        <v>122</v>
      </c>
      <c r="G211" s="175" t="e">
        <f>VLOOKUP($E211,'Article(s) Raw Data'!$B$1:$L$707,4,0)</f>
        <v>#N/A</v>
      </c>
      <c r="H211" s="44" t="e">
        <f>VLOOKUP($E211,'Article(s) Raw Data'!$B$1:$L$707,5,0)</f>
        <v>#N/A</v>
      </c>
      <c r="I211" s="44" t="e">
        <f>VLOOKUP($E211,'Article(s) Raw Data'!$B$1:$L$707,6,0)</f>
        <v>#N/A</v>
      </c>
      <c r="J211" s="207" t="e">
        <f>VLOOKUP($E211,'Article(s) Raw Data'!$B$1:$L$707,7,0)</f>
        <v>#N/A</v>
      </c>
      <c r="K211" s="207" t="e">
        <f>AVERAGE(J211:J212)</f>
        <v>#N/A</v>
      </c>
      <c r="L211" s="199" t="s">
        <v>48</v>
      </c>
      <c r="M211" s="197" t="s">
        <v>48</v>
      </c>
      <c r="N211" s="175" t="s">
        <v>48</v>
      </c>
      <c r="O211" s="198" t="s">
        <v>48</v>
      </c>
      <c r="P211" s="195"/>
      <c r="Q211" s="195"/>
      <c r="R211" s="195"/>
      <c r="S211" s="195"/>
    </row>
    <row r="212" s="33" customFormat="1" ht="15.6" hidden="1" customHeight="1" spans="1:19">
      <c r="A212" s="176"/>
      <c r="B212" s="47"/>
      <c r="C212" s="177"/>
      <c r="D212" s="178"/>
      <c r="E212" s="47"/>
      <c r="F212" s="47" t="s">
        <v>124</v>
      </c>
      <c r="G212" s="178" t="e">
        <f>VLOOKUP($E212,'Article(s) Raw Data'!$B$1:$L$707,4,0)</f>
        <v>#N/A</v>
      </c>
      <c r="H212" s="48" t="e">
        <f>VLOOKUP($E212,'Article(s) Raw Data'!$B$1:$L$707,5,0)</f>
        <v>#N/A</v>
      </c>
      <c r="I212" s="48" t="e">
        <f>VLOOKUP($E212,'Article(s) Raw Data'!$B$1:$L$707,6,0)</f>
        <v>#N/A</v>
      </c>
      <c r="J212" s="208" t="e">
        <f>VLOOKUP($E212,'Article(s) Raw Data'!$B$1:$L$707,7,0)</f>
        <v>#N/A</v>
      </c>
      <c r="K212" s="201"/>
      <c r="L212" s="201"/>
      <c r="M212" s="201"/>
      <c r="N212" s="201"/>
      <c r="O212" s="201"/>
      <c r="P212" s="201"/>
      <c r="Q212" s="195"/>
      <c r="R212" s="165"/>
      <c r="S212" s="195"/>
    </row>
    <row r="213" s="33" customFormat="1" ht="12.75" hidden="1" customHeight="1" spans="1:19">
      <c r="A213" s="161"/>
      <c r="C213" s="174"/>
      <c r="D213" s="175"/>
      <c r="G213" s="175"/>
      <c r="H213" s="48"/>
      <c r="I213" s="48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</row>
    <row r="214" s="161" customFormat="1" ht="44.25" hidden="1" customHeight="1" spans="1:19">
      <c r="A214" s="170" t="s">
        <v>31</v>
      </c>
      <c r="B214" s="179" t="s">
        <v>85</v>
      </c>
      <c r="C214" s="179"/>
      <c r="D214" s="170" t="s">
        <v>57</v>
      </c>
      <c r="E214" s="170" t="s">
        <v>58</v>
      </c>
      <c r="F214" s="170" t="s">
        <v>59</v>
      </c>
      <c r="G214" s="171" t="s">
        <v>60</v>
      </c>
      <c r="H214" s="37" t="s">
        <v>61</v>
      </c>
      <c r="I214" s="37" t="s">
        <v>62</v>
      </c>
      <c r="J214" s="170" t="s">
        <v>63</v>
      </c>
      <c r="K214" s="170" t="s">
        <v>64</v>
      </c>
      <c r="L214" s="170" t="s">
        <v>86</v>
      </c>
      <c r="M214" s="170" t="s">
        <v>87</v>
      </c>
      <c r="N214" s="202"/>
      <c r="O214" s="202"/>
      <c r="P214" s="202"/>
      <c r="Q214" s="202"/>
      <c r="R214" s="202"/>
      <c r="S214" s="202"/>
    </row>
    <row r="215" s="33" customFormat="1" ht="15.6" hidden="1" customHeight="1" spans="1:19">
      <c r="A215" s="170" t="str">
        <f>A201</f>
        <v> (10 µM)</v>
      </c>
      <c r="B215" s="172" t="s">
        <v>88</v>
      </c>
      <c r="C215" s="172"/>
      <c r="D215" s="173">
        <v>120</v>
      </c>
      <c r="E215" s="40"/>
      <c r="F215" s="40" t="s">
        <v>90</v>
      </c>
      <c r="G215" s="173" t="e">
        <f>VLOOKUP($E215,'Article(s) Raw Data'!$B$1:$L$707,4,0)</f>
        <v>#N/A</v>
      </c>
      <c r="H215" s="41" t="e">
        <f>VLOOKUP($E215,'Article(s) Raw Data'!$B$1:$L$707,5,0)</f>
        <v>#N/A</v>
      </c>
      <c r="I215" s="41" t="e">
        <f>VLOOKUP($E215,'Article(s) Raw Data'!$B$1:$L$707,6,0)</f>
        <v>#N/A</v>
      </c>
      <c r="J215" s="206" t="e">
        <f>VLOOKUP($E215,'Article(s) Raw Data'!$B$1:$L$707,7,0)</f>
        <v>#N/A</v>
      </c>
      <c r="K215" s="206" t="e">
        <f>AVERAGE(J215:J216)</f>
        <v>#N/A</v>
      </c>
      <c r="L215" s="192" t="e">
        <f>J215*G215/(G217*J217)*100</f>
        <v>#N/A</v>
      </c>
      <c r="M215" s="192" t="e">
        <f>AVERAGE(L215:L216)</f>
        <v>#N/A</v>
      </c>
      <c r="N215" s="195"/>
      <c r="O215" s="204"/>
      <c r="P215" s="204"/>
      <c r="Q215" s="195"/>
      <c r="R215" s="195"/>
      <c r="S215" s="195"/>
    </row>
    <row r="216" s="33" customFormat="1" ht="15.6" hidden="1" customHeight="1" spans="1:19">
      <c r="A216" s="161"/>
      <c r="B216" s="174"/>
      <c r="C216" s="174"/>
      <c r="D216" s="33"/>
      <c r="F216" s="33" t="s">
        <v>92</v>
      </c>
      <c r="G216" s="175" t="e">
        <f>VLOOKUP($E216,'Article(s) Raw Data'!$B$1:$L$707,4,0)</f>
        <v>#N/A</v>
      </c>
      <c r="H216" s="44" t="e">
        <f>VLOOKUP($E216,'Article(s) Raw Data'!$B$1:$L$707,5,0)</f>
        <v>#N/A</v>
      </c>
      <c r="I216" s="44" t="e">
        <f>VLOOKUP($E216,'Article(s) Raw Data'!$B$1:$L$707,6,0)</f>
        <v>#N/A</v>
      </c>
      <c r="J216" s="207" t="e">
        <f>VLOOKUP($E216,'Article(s) Raw Data'!$B$1:$L$707,7,0)</f>
        <v>#N/A</v>
      </c>
      <c r="K216" s="195"/>
      <c r="L216" s="196" t="e">
        <f>J216*G216/(G218*J218)*100</f>
        <v>#N/A</v>
      </c>
      <c r="M216" s="195"/>
      <c r="N216" s="195"/>
      <c r="O216" s="204"/>
      <c r="P216" s="204"/>
      <c r="Q216" s="195"/>
      <c r="R216" s="195"/>
      <c r="S216" s="195"/>
    </row>
    <row r="217" s="33" customFormat="1" ht="15.6" hidden="1" customHeight="1" spans="1:19">
      <c r="A217" s="161"/>
      <c r="B217" s="174"/>
      <c r="C217" s="174"/>
      <c r="D217" s="175">
        <v>0</v>
      </c>
      <c r="F217" s="33" t="s">
        <v>94</v>
      </c>
      <c r="G217" s="175" t="e">
        <f>VLOOKUP($E217,'Article(s) Raw Data'!$B$1:$L$707,4,0)</f>
        <v>#N/A</v>
      </c>
      <c r="H217" s="44" t="e">
        <f>VLOOKUP($E217,'Article(s) Raw Data'!$B$1:$L$707,5,0)</f>
        <v>#N/A</v>
      </c>
      <c r="I217" s="44" t="e">
        <f>VLOOKUP($E217,'Article(s) Raw Data'!$B$1:$L$707,6,0)</f>
        <v>#N/A</v>
      </c>
      <c r="J217" s="207" t="e">
        <f>VLOOKUP($E217,'Article(s) Raw Data'!$B$1:$L$707,7,0)</f>
        <v>#N/A</v>
      </c>
      <c r="K217" s="207" t="e">
        <f>AVERAGE(J217:J218)</f>
        <v>#N/A</v>
      </c>
      <c r="L217" s="199" t="s">
        <v>48</v>
      </c>
      <c r="M217" s="197" t="s">
        <v>48</v>
      </c>
      <c r="N217" s="204"/>
      <c r="O217" s="204"/>
      <c r="P217" s="204"/>
      <c r="Q217" s="195"/>
      <c r="R217" s="195"/>
      <c r="S217" s="195"/>
    </row>
    <row r="218" s="33" customFormat="1" ht="15.6" hidden="1" customHeight="1" spans="1:19">
      <c r="A218" s="176"/>
      <c r="B218" s="177"/>
      <c r="C218" s="177"/>
      <c r="D218" s="178"/>
      <c r="E218" s="47"/>
      <c r="F218" s="47" t="s">
        <v>96</v>
      </c>
      <c r="G218" s="178" t="e">
        <f>VLOOKUP($E218,'Article(s) Raw Data'!$B$1:$L$707,4,0)</f>
        <v>#N/A</v>
      </c>
      <c r="H218" s="48" t="e">
        <f>VLOOKUP($E218,'Article(s) Raw Data'!$B$1:$L$707,5,0)</f>
        <v>#N/A</v>
      </c>
      <c r="I218" s="48" t="e">
        <f>VLOOKUP($E218,'Article(s) Raw Data'!$B$1:$L$707,6,0)</f>
        <v>#N/A</v>
      </c>
      <c r="J218" s="208" t="e">
        <f>VLOOKUP($E218,'Article(s) Raw Data'!$B$1:$L$707,7,0)</f>
        <v>#N/A</v>
      </c>
      <c r="K218" s="201"/>
      <c r="L218" s="201"/>
      <c r="M218" s="201"/>
      <c r="N218" s="204"/>
      <c r="O218" s="204"/>
      <c r="P218" s="204"/>
      <c r="Q218" s="195"/>
      <c r="R218" s="195"/>
      <c r="S218" s="195"/>
    </row>
    <row r="219" s="33" customFormat="1" ht="12.75" hidden="1" customHeight="1" spans="1:19">
      <c r="A219" s="161"/>
      <c r="B219" s="174"/>
      <c r="C219" s="174"/>
      <c r="D219" s="175"/>
      <c r="G219" s="175"/>
      <c r="H219" s="44"/>
      <c r="I219" s="44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</row>
    <row r="220" s="162" customFormat="1" ht="12.75" hidden="1" customHeight="1" spans="1:19">
      <c r="A220" s="180"/>
      <c r="B220" s="181"/>
      <c r="C220" s="181"/>
      <c r="D220" s="182"/>
      <c r="G220" s="182"/>
      <c r="H220" s="213"/>
      <c r="I220" s="213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</row>
    <row r="221" s="161" customFormat="1" ht="44.25" hidden="1" customHeight="1" spans="1:19">
      <c r="A221" s="170" t="s">
        <v>31</v>
      </c>
      <c r="B221" s="169" t="s">
        <v>32</v>
      </c>
      <c r="C221" s="170" t="s">
        <v>56</v>
      </c>
      <c r="D221" s="170" t="s">
        <v>57</v>
      </c>
      <c r="E221" s="170" t="s">
        <v>58</v>
      </c>
      <c r="F221" s="170" t="s">
        <v>59</v>
      </c>
      <c r="G221" s="189" t="s">
        <v>60</v>
      </c>
      <c r="H221" s="37" t="s">
        <v>61</v>
      </c>
      <c r="I221" s="37" t="s">
        <v>62</v>
      </c>
      <c r="J221" s="168" t="s">
        <v>63</v>
      </c>
      <c r="K221" s="170" t="s">
        <v>64</v>
      </c>
      <c r="L221" s="170" t="s">
        <v>65</v>
      </c>
      <c r="M221" s="170" t="s">
        <v>66</v>
      </c>
      <c r="N221" s="170" t="s">
        <v>33</v>
      </c>
      <c r="O221" s="170" t="s">
        <v>67</v>
      </c>
      <c r="P221" s="170" t="s">
        <v>35</v>
      </c>
      <c r="Q221" s="202"/>
      <c r="R221" s="202"/>
      <c r="S221" s="202"/>
    </row>
    <row r="222" ht="14.25" hidden="1" customHeight="1" spans="1:19">
      <c r="A222" s="170" t="str">
        <f>Summary!$B$30</f>
        <v> (10 µM)</v>
      </c>
      <c r="B222" s="172" t="s">
        <v>69</v>
      </c>
      <c r="C222" s="172" t="s">
        <v>70</v>
      </c>
      <c r="D222" s="173">
        <v>120</v>
      </c>
      <c r="E222" s="40"/>
      <c r="F222" s="40" t="s">
        <v>72</v>
      </c>
      <c r="G222" s="173" t="e">
        <f>VLOOKUP($E222,'Article(s) Raw Data'!$B$1:$L$707,4,0)</f>
        <v>#N/A</v>
      </c>
      <c r="H222" s="41" t="e">
        <f>VLOOKUP($E222,'Article(s) Raw Data'!$B$1:$L$707,5,0)</f>
        <v>#N/A</v>
      </c>
      <c r="I222" s="41" t="e">
        <f>VLOOKUP($E222,'Article(s) Raw Data'!$B$1:$L$707,6,0)</f>
        <v>#N/A</v>
      </c>
      <c r="J222" s="215" t="e">
        <f>VLOOKUP($E222,'Article(s) Raw Data'!$B$1:$L$707,7,0)</f>
        <v>#N/A</v>
      </c>
      <c r="K222" s="215" t="e">
        <f>AVERAGE(J222:J223)</f>
        <v>#N/A</v>
      </c>
      <c r="L222" s="191" t="e">
        <f>J222*1.3*G222/120/60/0.33/(G226*J226)*1000000</f>
        <v>#N/A</v>
      </c>
      <c r="M222" s="191" t="e">
        <f>AVERAGE(L222:L223)</f>
        <v>#N/A</v>
      </c>
      <c r="N222" s="192" t="e">
        <f>(J222*1.3*G222+J224*0.2*G224)/(G226*0.2*J226)*100</f>
        <v>#N/A</v>
      </c>
      <c r="O222" s="192" t="e">
        <f>AVERAGE(N222:N223)</f>
        <v>#N/A</v>
      </c>
      <c r="P222" s="203" t="e">
        <f>M228/M222</f>
        <v>#N/A</v>
      </c>
      <c r="Q222" s="165"/>
      <c r="R222" s="165"/>
      <c r="S222" s="165"/>
    </row>
    <row r="223" ht="12.75" hidden="1" customHeight="1" spans="1:19">
      <c r="A223" s="161"/>
      <c r="B223" s="33"/>
      <c r="C223" s="174"/>
      <c r="D223" s="33"/>
      <c r="E223" s="33"/>
      <c r="F223" s="33" t="s">
        <v>74</v>
      </c>
      <c r="G223" s="175" t="e">
        <f>VLOOKUP($E223,'Article(s) Raw Data'!$B$1:$L$707,4,0)</f>
        <v>#N/A</v>
      </c>
      <c r="H223" s="44" t="e">
        <f>VLOOKUP($E223,'Article(s) Raw Data'!$B$1:$L$707,5,0)</f>
        <v>#N/A</v>
      </c>
      <c r="I223" s="44" t="e">
        <f>VLOOKUP($E223,'Article(s) Raw Data'!$B$1:$L$707,6,0)</f>
        <v>#N/A</v>
      </c>
      <c r="J223" s="214" t="e">
        <f>VLOOKUP($E223,'Article(s) Raw Data'!$B$1:$L$707,7,0)</f>
        <v>#N/A</v>
      </c>
      <c r="K223" s="195"/>
      <c r="L223" s="35" t="e">
        <f>J223*1.3*G223/120/60/0.33/(G227*J227)*1000000</f>
        <v>#N/A</v>
      </c>
      <c r="M223" s="195"/>
      <c r="N223" s="196" t="e">
        <f>(J223*1.3*G223+J225*0.2*G225)/(G227*0.2*J227)*100</f>
        <v>#N/A</v>
      </c>
      <c r="O223" s="195"/>
      <c r="P223" s="195"/>
      <c r="Q223" s="165"/>
      <c r="R223" s="165"/>
      <c r="S223" s="165"/>
    </row>
    <row r="224" hidden="1" spans="1:19">
      <c r="A224" s="161"/>
      <c r="B224" s="33"/>
      <c r="C224" s="174" t="s">
        <v>75</v>
      </c>
      <c r="D224" s="175">
        <v>120</v>
      </c>
      <c r="E224" s="33"/>
      <c r="F224" s="33" t="s">
        <v>77</v>
      </c>
      <c r="G224" s="175" t="e">
        <f>VLOOKUP($E224,'Article(s) Raw Data'!$B$1:$L$707,4,0)</f>
        <v>#N/A</v>
      </c>
      <c r="H224" s="44" t="e">
        <f>VLOOKUP($E224,'Article(s) Raw Data'!$B$1:$L$707,5,0)</f>
        <v>#N/A</v>
      </c>
      <c r="I224" s="44" t="e">
        <f>VLOOKUP($E224,'Article(s) Raw Data'!$B$1:$L$707,6,0)</f>
        <v>#N/A</v>
      </c>
      <c r="J224" s="207" t="e">
        <f>VLOOKUP($E224,'Article(s) Raw Data'!$B$1:$L$707,7,0)</f>
        <v>#N/A</v>
      </c>
      <c r="K224" s="207" t="e">
        <f>AVERAGE(J224:J225)</f>
        <v>#N/A</v>
      </c>
      <c r="L224" s="197" t="s">
        <v>48</v>
      </c>
      <c r="M224" s="197" t="s">
        <v>48</v>
      </c>
      <c r="N224" s="175" t="s">
        <v>48</v>
      </c>
      <c r="O224" s="198" t="s">
        <v>48</v>
      </c>
      <c r="P224" s="195"/>
      <c r="Q224" s="165"/>
      <c r="R224" s="165"/>
      <c r="S224" s="165"/>
    </row>
    <row r="225" hidden="1" spans="1:19">
      <c r="A225" s="161"/>
      <c r="B225" s="33"/>
      <c r="C225" s="174"/>
      <c r="D225" s="33"/>
      <c r="E225" s="33"/>
      <c r="F225" s="33" t="s">
        <v>79</v>
      </c>
      <c r="G225" s="175" t="e">
        <f>VLOOKUP($E225,'Article(s) Raw Data'!$B$1:$L$707,4,0)</f>
        <v>#N/A</v>
      </c>
      <c r="H225" s="44" t="e">
        <f>VLOOKUP($E225,'Article(s) Raw Data'!$B$1:$L$707,5,0)</f>
        <v>#N/A</v>
      </c>
      <c r="I225" s="44" t="e">
        <f>VLOOKUP($E225,'Article(s) Raw Data'!$B$1:$L$707,6,0)</f>
        <v>#N/A</v>
      </c>
      <c r="J225" s="207" t="e">
        <f>VLOOKUP($E225,'Article(s) Raw Data'!$B$1:$L$707,7,0)</f>
        <v>#N/A</v>
      </c>
      <c r="K225" s="195"/>
      <c r="L225" s="195"/>
      <c r="M225" s="195"/>
      <c r="N225" s="195"/>
      <c r="O225" s="195"/>
      <c r="P225" s="195"/>
      <c r="Q225" s="165"/>
      <c r="R225" s="165"/>
      <c r="S225" s="165"/>
    </row>
    <row r="226" hidden="1" spans="1:19">
      <c r="A226" s="161"/>
      <c r="B226" s="33" t="s">
        <v>80</v>
      </c>
      <c r="C226" s="174" t="s">
        <v>48</v>
      </c>
      <c r="D226" s="175">
        <v>0</v>
      </c>
      <c r="E226" s="33"/>
      <c r="F226" s="33" t="s">
        <v>82</v>
      </c>
      <c r="G226" s="175" t="e">
        <f>VLOOKUP($E226,'Article(s) Raw Data'!$B$1:$L$707,4,0)</f>
        <v>#N/A</v>
      </c>
      <c r="H226" s="44" t="e">
        <f>VLOOKUP($E226,'Article(s) Raw Data'!$B$1:$L$707,5,0)</f>
        <v>#N/A</v>
      </c>
      <c r="I226" s="44" t="e">
        <f>VLOOKUP($E226,'Article(s) Raw Data'!$B$1:$L$707,6,0)</f>
        <v>#N/A</v>
      </c>
      <c r="J226" s="207" t="e">
        <f>VLOOKUP($E226,'Article(s) Raw Data'!$B$1:$L$707,7,0)</f>
        <v>#N/A</v>
      </c>
      <c r="K226" s="207" t="e">
        <f>AVERAGE(J226:J227)</f>
        <v>#N/A</v>
      </c>
      <c r="L226" s="199" t="s">
        <v>48</v>
      </c>
      <c r="M226" s="197" t="s">
        <v>48</v>
      </c>
      <c r="N226" s="175" t="s">
        <v>48</v>
      </c>
      <c r="O226" s="198" t="s">
        <v>48</v>
      </c>
      <c r="P226" s="195"/>
      <c r="Q226" s="165"/>
      <c r="R226" s="165"/>
      <c r="S226" s="165"/>
    </row>
    <row r="227" hidden="1" spans="1:19">
      <c r="A227" s="161"/>
      <c r="B227" s="185"/>
      <c r="C227" s="186"/>
      <c r="D227" s="187"/>
      <c r="E227" s="185"/>
      <c r="F227" s="185" t="s">
        <v>84</v>
      </c>
      <c r="G227" s="187" t="e">
        <f>VLOOKUP($E227,'Article(s) Raw Data'!$B$1:$L$707,4,0)</f>
        <v>#N/A</v>
      </c>
      <c r="H227" s="188" t="e">
        <f>VLOOKUP($E227,'Article(s) Raw Data'!$B$1:$L$707,5,0)</f>
        <v>#N/A</v>
      </c>
      <c r="I227" s="188" t="e">
        <f>VLOOKUP($E227,'Article(s) Raw Data'!$B$1:$L$707,6,0)</f>
        <v>#N/A</v>
      </c>
      <c r="J227" s="216" t="e">
        <f>VLOOKUP($E227,'Article(s) Raw Data'!$B$1:$L$707,7,0)</f>
        <v>#N/A</v>
      </c>
      <c r="K227" s="212"/>
      <c r="L227" s="212"/>
      <c r="M227" s="212"/>
      <c r="N227" s="212"/>
      <c r="O227" s="212"/>
      <c r="P227" s="195"/>
      <c r="Q227" s="165"/>
      <c r="R227" s="165"/>
      <c r="S227" s="165"/>
    </row>
    <row r="228" ht="14.25" hidden="1" customHeight="1" spans="1:19">
      <c r="A228" s="161"/>
      <c r="B228" s="174" t="s">
        <v>115</v>
      </c>
      <c r="C228" s="174" t="s">
        <v>75</v>
      </c>
      <c r="D228" s="175">
        <v>120</v>
      </c>
      <c r="E228" s="33"/>
      <c r="F228" s="33" t="s">
        <v>77</v>
      </c>
      <c r="G228" s="175" t="e">
        <f>VLOOKUP($E228,'Article(s) Raw Data'!$B$1:$L$707,4,0)</f>
        <v>#N/A</v>
      </c>
      <c r="H228" s="44" t="e">
        <f>VLOOKUP($E228,'Article(s) Raw Data'!$B$1:$L$707,5,0)</f>
        <v>#N/A</v>
      </c>
      <c r="I228" s="44" t="e">
        <f>VLOOKUP($E228,'Article(s) Raw Data'!$B$1:$L$707,6,0)</f>
        <v>#N/A</v>
      </c>
      <c r="J228" s="207" t="e">
        <f>VLOOKUP($E228,'Article(s) Raw Data'!$B$1:$L$707,7,0)</f>
        <v>#N/A</v>
      </c>
      <c r="K228" s="207" t="e">
        <f>AVERAGE(J228:J229)</f>
        <v>#N/A</v>
      </c>
      <c r="L228" s="207" t="e">
        <f>J228*0.2*G228/120/60/0.33/(J232*G232)*1000000</f>
        <v>#N/A</v>
      </c>
      <c r="M228" s="207" t="e">
        <f>AVERAGE(L228:L229)</f>
        <v>#N/A</v>
      </c>
      <c r="N228" s="195" t="e">
        <f>(J228*0.2*G228+J230*1.3*G230)/(J232*1.3*G232)*100</f>
        <v>#N/A</v>
      </c>
      <c r="O228" s="195" t="e">
        <f>AVERAGE(N228:N229)</f>
        <v>#N/A</v>
      </c>
      <c r="P228" s="195"/>
      <c r="Q228" s="165"/>
      <c r="R228" s="165"/>
      <c r="S228" s="165"/>
    </row>
    <row r="229" hidden="1" spans="1:19">
      <c r="A229" s="161"/>
      <c r="B229" s="33"/>
      <c r="C229" s="174"/>
      <c r="D229" s="33"/>
      <c r="E229" s="33"/>
      <c r="F229" s="33" t="s">
        <v>79</v>
      </c>
      <c r="G229" s="175" t="e">
        <f>VLOOKUP($E229,'Article(s) Raw Data'!$B$1:$L$707,4,0)</f>
        <v>#N/A</v>
      </c>
      <c r="H229" s="44" t="e">
        <f>VLOOKUP($E229,'Article(s) Raw Data'!$B$1:$L$707,5,0)</f>
        <v>#N/A</v>
      </c>
      <c r="I229" s="44" t="e">
        <f>VLOOKUP($E229,'Article(s) Raw Data'!$B$1:$L$707,6,0)</f>
        <v>#N/A</v>
      </c>
      <c r="J229" s="207" t="e">
        <f>VLOOKUP($E229,'Article(s) Raw Data'!$B$1:$L$707,7,0)</f>
        <v>#N/A</v>
      </c>
      <c r="K229" s="195"/>
      <c r="L229" s="207" t="e">
        <f>J229*0.2*G229/120/60/0.33/(J233*G233)*1000000</f>
        <v>#N/A</v>
      </c>
      <c r="M229" s="195"/>
      <c r="N229" s="196" t="e">
        <f>(J229*0.2*G229+J231*1.3*G231)/(J233*1.3*G233)*100</f>
        <v>#N/A</v>
      </c>
      <c r="O229" s="195"/>
      <c r="P229" s="195"/>
      <c r="Q229" s="165"/>
      <c r="R229" s="165"/>
      <c r="S229" s="165"/>
    </row>
    <row r="230" hidden="1" spans="1:19">
      <c r="A230" s="161"/>
      <c r="B230" s="33"/>
      <c r="C230" s="174" t="s">
        <v>70</v>
      </c>
      <c r="D230" s="175">
        <v>120</v>
      </c>
      <c r="E230" s="33"/>
      <c r="F230" s="33" t="s">
        <v>72</v>
      </c>
      <c r="G230" s="175" t="e">
        <f>VLOOKUP($E230,'Article(s) Raw Data'!$B$1:$L$707,4,0)</f>
        <v>#N/A</v>
      </c>
      <c r="H230" s="44" t="e">
        <f>VLOOKUP($E230,'Article(s) Raw Data'!$B$1:$L$707,5,0)</f>
        <v>#N/A</v>
      </c>
      <c r="I230" s="44" t="e">
        <f>VLOOKUP($E230,'Article(s) Raw Data'!$B$1:$L$707,6,0)</f>
        <v>#N/A</v>
      </c>
      <c r="J230" s="196" t="e">
        <f>VLOOKUP($E230,'Article(s) Raw Data'!$B$1:$L$707,7,0)</f>
        <v>#N/A</v>
      </c>
      <c r="K230" s="196" t="e">
        <f>AVERAGE(J230:J231)</f>
        <v>#N/A</v>
      </c>
      <c r="L230" s="199" t="s">
        <v>48</v>
      </c>
      <c r="M230" s="197" t="s">
        <v>48</v>
      </c>
      <c r="N230" s="175" t="s">
        <v>48</v>
      </c>
      <c r="O230" s="198" t="s">
        <v>48</v>
      </c>
      <c r="P230" s="195"/>
      <c r="Q230" s="165"/>
      <c r="R230" s="165"/>
      <c r="S230" s="165"/>
    </row>
    <row r="231" hidden="1" spans="1:19">
      <c r="A231" s="161"/>
      <c r="B231" s="33"/>
      <c r="C231" s="174"/>
      <c r="D231" s="33"/>
      <c r="E231" s="33"/>
      <c r="F231" s="33" t="s">
        <v>74</v>
      </c>
      <c r="G231" s="175" t="e">
        <f>VLOOKUP($E231,'Article(s) Raw Data'!$B$1:$L$707,4,0)</f>
        <v>#N/A</v>
      </c>
      <c r="H231" s="44" t="e">
        <f>VLOOKUP($E231,'Article(s) Raw Data'!$B$1:$L$707,5,0)</f>
        <v>#N/A</v>
      </c>
      <c r="I231" s="44" t="e">
        <f>VLOOKUP($E231,'Article(s) Raw Data'!$B$1:$L$707,6,0)</f>
        <v>#N/A</v>
      </c>
      <c r="J231" s="207" t="e">
        <f>VLOOKUP($E231,'Article(s) Raw Data'!$B$1:$L$707,7,0)</f>
        <v>#N/A</v>
      </c>
      <c r="K231" s="195"/>
      <c r="L231" s="195"/>
      <c r="M231" s="195"/>
      <c r="N231" s="195"/>
      <c r="O231" s="195"/>
      <c r="P231" s="195"/>
      <c r="Q231" s="165"/>
      <c r="R231" s="165"/>
      <c r="S231" s="165"/>
    </row>
    <row r="232" s="33" customFormat="1" ht="15.6" hidden="1" customHeight="1" spans="1:19">
      <c r="A232" s="161"/>
      <c r="B232" s="33" t="s">
        <v>120</v>
      </c>
      <c r="C232" s="174" t="s">
        <v>48</v>
      </c>
      <c r="D232" s="175">
        <v>0</v>
      </c>
      <c r="F232" s="33" t="s">
        <v>122</v>
      </c>
      <c r="G232" s="175" t="e">
        <f>VLOOKUP($E232,'Article(s) Raw Data'!$B$1:$L$707,4,0)</f>
        <v>#N/A</v>
      </c>
      <c r="H232" s="44" t="e">
        <f>VLOOKUP($E232,'Article(s) Raw Data'!$B$1:$L$707,5,0)</f>
        <v>#N/A</v>
      </c>
      <c r="I232" s="44" t="e">
        <f>VLOOKUP($E232,'Article(s) Raw Data'!$B$1:$L$707,6,0)</f>
        <v>#N/A</v>
      </c>
      <c r="J232" s="207" t="e">
        <f>VLOOKUP($E232,'Article(s) Raw Data'!$B$1:$L$707,7,0)</f>
        <v>#N/A</v>
      </c>
      <c r="K232" s="196" t="e">
        <f>AVERAGE(J232:J233)</f>
        <v>#N/A</v>
      </c>
      <c r="L232" s="199" t="s">
        <v>48</v>
      </c>
      <c r="M232" s="197" t="s">
        <v>48</v>
      </c>
      <c r="N232" s="175" t="s">
        <v>48</v>
      </c>
      <c r="O232" s="198" t="s">
        <v>48</v>
      </c>
      <c r="P232" s="195"/>
      <c r="Q232" s="195"/>
      <c r="R232" s="195"/>
      <c r="S232" s="195"/>
    </row>
    <row r="233" s="33" customFormat="1" ht="15.6" hidden="1" customHeight="1" spans="1:19">
      <c r="A233" s="176"/>
      <c r="B233" s="47"/>
      <c r="C233" s="177"/>
      <c r="D233" s="178"/>
      <c r="E233" s="47"/>
      <c r="F233" s="47" t="s">
        <v>124</v>
      </c>
      <c r="G233" s="178" t="e">
        <f>VLOOKUP($E233,'Article(s) Raw Data'!$B$1:$L$707,4,0)</f>
        <v>#N/A</v>
      </c>
      <c r="H233" s="48" t="e">
        <f>VLOOKUP($E233,'Article(s) Raw Data'!$B$1:$L$707,5,0)</f>
        <v>#N/A</v>
      </c>
      <c r="I233" s="48" t="e">
        <f>VLOOKUP($E233,'Article(s) Raw Data'!$B$1:$L$707,6,0)</f>
        <v>#N/A</v>
      </c>
      <c r="J233" s="217" t="e">
        <f>VLOOKUP($E233,'Article(s) Raw Data'!$B$1:$L$707,7,0)</f>
        <v>#N/A</v>
      </c>
      <c r="K233" s="201"/>
      <c r="L233" s="201"/>
      <c r="M233" s="201"/>
      <c r="N233" s="201"/>
      <c r="O233" s="201"/>
      <c r="P233" s="201"/>
      <c r="Q233" s="195"/>
      <c r="R233" s="165"/>
      <c r="S233" s="195"/>
    </row>
    <row r="234" s="33" customFormat="1" ht="12.75" hidden="1" customHeight="1" spans="1:19">
      <c r="A234" s="161"/>
      <c r="C234" s="174"/>
      <c r="D234" s="175"/>
      <c r="G234" s="175"/>
      <c r="H234" s="48"/>
      <c r="I234" s="48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</row>
    <row r="235" s="161" customFormat="1" ht="44.25" hidden="1" customHeight="1" spans="1:19">
      <c r="A235" s="170" t="s">
        <v>31</v>
      </c>
      <c r="B235" s="179" t="s">
        <v>85</v>
      </c>
      <c r="C235" s="179"/>
      <c r="D235" s="170" t="s">
        <v>57</v>
      </c>
      <c r="E235" s="170" t="s">
        <v>58</v>
      </c>
      <c r="F235" s="170" t="s">
        <v>59</v>
      </c>
      <c r="G235" s="171" t="s">
        <v>60</v>
      </c>
      <c r="H235" s="37" t="s">
        <v>61</v>
      </c>
      <c r="I235" s="37" t="s">
        <v>62</v>
      </c>
      <c r="J235" s="170" t="s">
        <v>63</v>
      </c>
      <c r="K235" s="170" t="s">
        <v>64</v>
      </c>
      <c r="L235" s="170" t="s">
        <v>86</v>
      </c>
      <c r="M235" s="170" t="s">
        <v>87</v>
      </c>
      <c r="N235" s="202"/>
      <c r="O235" s="202"/>
      <c r="P235" s="202"/>
      <c r="Q235" s="202"/>
      <c r="R235" s="202"/>
      <c r="S235" s="202"/>
    </row>
    <row r="236" s="33" customFormat="1" ht="15.6" hidden="1" customHeight="1" spans="1:19">
      <c r="A236" s="170" t="str">
        <f>A222</f>
        <v> (10 µM)</v>
      </c>
      <c r="B236" s="172" t="s">
        <v>88</v>
      </c>
      <c r="C236" s="172"/>
      <c r="D236" s="173">
        <v>120</v>
      </c>
      <c r="E236" s="40"/>
      <c r="F236" s="40" t="s">
        <v>90</v>
      </c>
      <c r="G236" s="173" t="e">
        <f>VLOOKUP($E236,'Article(s) Raw Data'!$B$1:$L$707,4,0)</f>
        <v>#N/A</v>
      </c>
      <c r="H236" s="41" t="e">
        <f>VLOOKUP($E236,'Article(s) Raw Data'!$B$1:$L$707,5,0)</f>
        <v>#N/A</v>
      </c>
      <c r="I236" s="41" t="e">
        <f>VLOOKUP($E236,'Article(s) Raw Data'!$B$1:$L$707,6,0)</f>
        <v>#N/A</v>
      </c>
      <c r="J236" s="206" t="e">
        <f>VLOOKUP($E236,'Article(s) Raw Data'!$B$1:$L$707,7,0)</f>
        <v>#N/A</v>
      </c>
      <c r="K236" s="206" t="e">
        <f>AVERAGE(J236:J237)</f>
        <v>#N/A</v>
      </c>
      <c r="L236" s="192" t="e">
        <f>J236*G236/(G238*J238)*100</f>
        <v>#N/A</v>
      </c>
      <c r="M236" s="192" t="e">
        <f>AVERAGE(L236:L237)</f>
        <v>#N/A</v>
      </c>
      <c r="N236" s="195"/>
      <c r="O236" s="204"/>
      <c r="P236" s="204"/>
      <c r="Q236" s="195"/>
      <c r="R236" s="195"/>
      <c r="S236" s="195"/>
    </row>
    <row r="237" s="33" customFormat="1" ht="15.6" hidden="1" customHeight="1" spans="1:19">
      <c r="A237" s="161"/>
      <c r="B237" s="174"/>
      <c r="C237" s="174"/>
      <c r="D237" s="33"/>
      <c r="F237" s="33" t="s">
        <v>92</v>
      </c>
      <c r="G237" s="175" t="e">
        <f>VLOOKUP($E237,'Article(s) Raw Data'!$B$1:$L$707,4,0)</f>
        <v>#N/A</v>
      </c>
      <c r="H237" s="44" t="e">
        <f>VLOOKUP($E237,'Article(s) Raw Data'!$B$1:$L$707,5,0)</f>
        <v>#N/A</v>
      </c>
      <c r="I237" s="44" t="e">
        <f>VLOOKUP($E237,'Article(s) Raw Data'!$B$1:$L$707,6,0)</f>
        <v>#N/A</v>
      </c>
      <c r="J237" s="207" t="e">
        <f>VLOOKUP($E237,'Article(s) Raw Data'!$B$1:$L$707,7,0)</f>
        <v>#N/A</v>
      </c>
      <c r="K237" s="195"/>
      <c r="L237" s="196" t="e">
        <f>J237*G237/(G239*J239)*100</f>
        <v>#N/A</v>
      </c>
      <c r="M237" s="195"/>
      <c r="N237" s="195"/>
      <c r="O237" s="204"/>
      <c r="P237" s="204"/>
      <c r="Q237" s="195"/>
      <c r="R237" s="195"/>
      <c r="S237" s="195"/>
    </row>
    <row r="238" s="33" customFormat="1" ht="15.6" hidden="1" customHeight="1" spans="1:19">
      <c r="A238" s="161"/>
      <c r="B238" s="174"/>
      <c r="C238" s="174"/>
      <c r="D238" s="175">
        <v>0</v>
      </c>
      <c r="F238" s="33" t="s">
        <v>94</v>
      </c>
      <c r="G238" s="175" t="e">
        <f>VLOOKUP($E238,'Article(s) Raw Data'!$B$1:$L$707,4,0)</f>
        <v>#N/A</v>
      </c>
      <c r="H238" s="44" t="e">
        <f>VLOOKUP($E238,'Article(s) Raw Data'!$B$1:$L$707,5,0)</f>
        <v>#N/A</v>
      </c>
      <c r="I238" s="44" t="e">
        <f>VLOOKUP($E238,'Article(s) Raw Data'!$B$1:$L$707,6,0)</f>
        <v>#N/A</v>
      </c>
      <c r="J238" s="196" t="e">
        <f>VLOOKUP($E238,'Article(s) Raw Data'!$B$1:$L$707,7,0)</f>
        <v>#N/A</v>
      </c>
      <c r="K238" s="196" t="e">
        <f>AVERAGE(J238:J239)</f>
        <v>#N/A</v>
      </c>
      <c r="L238" s="199" t="s">
        <v>48</v>
      </c>
      <c r="M238" s="197" t="s">
        <v>48</v>
      </c>
      <c r="N238" s="204"/>
      <c r="O238" s="204"/>
      <c r="P238" s="204"/>
      <c r="Q238" s="195"/>
      <c r="R238" s="195"/>
      <c r="S238" s="195"/>
    </row>
    <row r="239" s="33" customFormat="1" ht="15.6" hidden="1" customHeight="1" spans="1:19">
      <c r="A239" s="176"/>
      <c r="B239" s="177"/>
      <c r="C239" s="177"/>
      <c r="D239" s="178"/>
      <c r="E239" s="47"/>
      <c r="F239" s="47" t="s">
        <v>96</v>
      </c>
      <c r="G239" s="178" t="e">
        <f>VLOOKUP($E239,'Article(s) Raw Data'!$B$1:$L$707,4,0)</f>
        <v>#N/A</v>
      </c>
      <c r="H239" s="48" t="e">
        <f>VLOOKUP($E239,'Article(s) Raw Data'!$B$1:$L$707,5,0)</f>
        <v>#N/A</v>
      </c>
      <c r="I239" s="48" t="e">
        <f>VLOOKUP($E239,'Article(s) Raw Data'!$B$1:$L$707,6,0)</f>
        <v>#N/A</v>
      </c>
      <c r="J239" s="217" t="e">
        <f>VLOOKUP($E239,'Article(s) Raw Data'!$B$1:$L$707,7,0)</f>
        <v>#N/A</v>
      </c>
      <c r="K239" s="201"/>
      <c r="L239" s="201"/>
      <c r="M239" s="201"/>
      <c r="N239" s="204"/>
      <c r="O239" s="204"/>
      <c r="P239" s="204"/>
      <c r="Q239" s="195"/>
      <c r="R239" s="195"/>
      <c r="S239" s="195"/>
    </row>
    <row r="240" s="33" customFormat="1" ht="12.75" hidden="1" customHeight="1" spans="1:19">
      <c r="A240" s="161"/>
      <c r="B240" s="174"/>
      <c r="C240" s="174"/>
      <c r="D240" s="175"/>
      <c r="G240" s="175"/>
      <c r="H240" s="44"/>
      <c r="I240" s="44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</row>
    <row r="241" s="162" customFormat="1" ht="12.75" hidden="1" customHeight="1" spans="1:19">
      <c r="A241" s="180"/>
      <c r="B241" s="181"/>
      <c r="C241" s="181"/>
      <c r="D241" s="182"/>
      <c r="G241" s="182"/>
      <c r="H241" s="213"/>
      <c r="I241" s="213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</row>
    <row r="242" s="161" customFormat="1" ht="44.25" hidden="1" customHeight="1" spans="1:19">
      <c r="A242" s="170" t="s">
        <v>31</v>
      </c>
      <c r="B242" s="169" t="s">
        <v>32</v>
      </c>
      <c r="C242" s="170" t="s">
        <v>56</v>
      </c>
      <c r="D242" s="170" t="s">
        <v>57</v>
      </c>
      <c r="E242" s="170" t="s">
        <v>58</v>
      </c>
      <c r="F242" s="170" t="s">
        <v>59</v>
      </c>
      <c r="G242" s="189" t="s">
        <v>60</v>
      </c>
      <c r="H242" s="37" t="s">
        <v>61</v>
      </c>
      <c r="I242" s="37" t="s">
        <v>62</v>
      </c>
      <c r="J242" s="168" t="s">
        <v>63</v>
      </c>
      <c r="K242" s="170" t="s">
        <v>64</v>
      </c>
      <c r="L242" s="170" t="s">
        <v>65</v>
      </c>
      <c r="M242" s="170" t="s">
        <v>66</v>
      </c>
      <c r="N242" s="170" t="s">
        <v>33</v>
      </c>
      <c r="O242" s="170" t="s">
        <v>67</v>
      </c>
      <c r="P242" s="170" t="s">
        <v>35</v>
      </c>
      <c r="Q242" s="202"/>
      <c r="R242" s="202"/>
      <c r="S242" s="202"/>
    </row>
    <row r="243" ht="14.25" hidden="1" customHeight="1" spans="1:19">
      <c r="A243" s="170" t="str">
        <f>Summary!$B$32</f>
        <v> (10 µM)</v>
      </c>
      <c r="B243" s="172" t="s">
        <v>69</v>
      </c>
      <c r="C243" s="172" t="s">
        <v>70</v>
      </c>
      <c r="D243" s="173">
        <v>120</v>
      </c>
      <c r="E243" s="40"/>
      <c r="F243" s="40" t="s">
        <v>72</v>
      </c>
      <c r="G243" s="173" t="e">
        <f>VLOOKUP($E243,'Article(s) Raw Data'!$B$1:$L$707,4,0)</f>
        <v>#N/A</v>
      </c>
      <c r="H243" s="41" t="e">
        <f>VLOOKUP($E243,'Article(s) Raw Data'!$B$1:$L$707,5,0)</f>
        <v>#N/A</v>
      </c>
      <c r="I243" s="41" t="e">
        <f>VLOOKUP($E243,'Article(s) Raw Data'!$B$1:$L$707,6,0)</f>
        <v>#N/A</v>
      </c>
      <c r="J243" s="190" t="e">
        <f>VLOOKUP($E243,'Article(s) Raw Data'!$B$1:$L$707,7,0)</f>
        <v>#N/A</v>
      </c>
      <c r="K243" s="190" t="e">
        <f>AVERAGE(J243:J244)</f>
        <v>#N/A</v>
      </c>
      <c r="L243" s="215" t="e">
        <f>J243*1.3*G243/120/60/0.33/(G247*J247)*1000000</f>
        <v>#N/A</v>
      </c>
      <c r="M243" s="215" t="e">
        <f>AVERAGE(L243:L244)</f>
        <v>#N/A</v>
      </c>
      <c r="N243" s="192" t="e">
        <f>(J243*1.3*G243+J245*0.2*G245)/(G247*0.2*J247)*100</f>
        <v>#N/A</v>
      </c>
      <c r="O243" s="192" t="e">
        <f>AVERAGE(N243:N244)</f>
        <v>#N/A</v>
      </c>
      <c r="P243" s="203" t="e">
        <f>M249/M243</f>
        <v>#N/A</v>
      </c>
      <c r="Q243" s="165"/>
      <c r="R243" s="165"/>
      <c r="S243" s="165"/>
    </row>
    <row r="244" ht="12.75" hidden="1" customHeight="1" spans="1:19">
      <c r="A244" s="161"/>
      <c r="B244" s="33"/>
      <c r="C244" s="174"/>
      <c r="D244" s="33"/>
      <c r="E244" s="33"/>
      <c r="F244" s="33" t="s">
        <v>74</v>
      </c>
      <c r="G244" s="175" t="e">
        <f>VLOOKUP($E244,'Article(s) Raw Data'!$B$1:$L$707,4,0)</f>
        <v>#N/A</v>
      </c>
      <c r="H244" s="44" t="e">
        <f>VLOOKUP($E244,'Article(s) Raw Data'!$B$1:$L$707,5,0)</f>
        <v>#N/A</v>
      </c>
      <c r="I244" s="44" t="e">
        <f>VLOOKUP($E244,'Article(s) Raw Data'!$B$1:$L$707,6,0)</f>
        <v>#N/A</v>
      </c>
      <c r="J244" s="194" t="e">
        <f>VLOOKUP($E244,'Article(s) Raw Data'!$B$1:$L$707,7,0)</f>
        <v>#N/A</v>
      </c>
      <c r="K244" s="195"/>
      <c r="L244" s="214" t="e">
        <f>J244*1.3*G244/120/60/0.33/(G248*J248)*1000000</f>
        <v>#N/A</v>
      </c>
      <c r="M244" s="195"/>
      <c r="N244" s="195" t="e">
        <f>(J244*1.3*G244+J246*0.2*G246)/(G248*0.2*J248)*100</f>
        <v>#N/A</v>
      </c>
      <c r="O244" s="195"/>
      <c r="P244" s="195"/>
      <c r="Q244" s="165"/>
      <c r="R244" s="165"/>
      <c r="S244" s="165"/>
    </row>
    <row r="245" hidden="1" spans="1:19">
      <c r="A245" s="161"/>
      <c r="B245" s="33"/>
      <c r="C245" s="174" t="s">
        <v>75</v>
      </c>
      <c r="D245" s="175">
        <v>120</v>
      </c>
      <c r="E245" s="33"/>
      <c r="F245" s="33" t="s">
        <v>77</v>
      </c>
      <c r="G245" s="175" t="e">
        <f>VLOOKUP($E245,'Article(s) Raw Data'!$B$1:$L$707,4,0)</f>
        <v>#N/A</v>
      </c>
      <c r="H245" s="44" t="e">
        <f>VLOOKUP($E245,'Article(s) Raw Data'!$B$1:$L$707,5,0)</f>
        <v>#N/A</v>
      </c>
      <c r="I245" s="44" t="e">
        <f>VLOOKUP($E245,'Article(s) Raw Data'!$B$1:$L$707,6,0)</f>
        <v>#N/A</v>
      </c>
      <c r="J245" s="207" t="e">
        <f>VLOOKUP($E245,'Article(s) Raw Data'!$B$1:$L$707,7,0)</f>
        <v>#N/A</v>
      </c>
      <c r="K245" s="207" t="e">
        <f>AVERAGE(J245:J246)</f>
        <v>#N/A</v>
      </c>
      <c r="L245" s="197" t="s">
        <v>48</v>
      </c>
      <c r="M245" s="197" t="s">
        <v>48</v>
      </c>
      <c r="N245" s="175" t="s">
        <v>48</v>
      </c>
      <c r="O245" s="198" t="s">
        <v>48</v>
      </c>
      <c r="P245" s="195"/>
      <c r="Q245" s="165"/>
      <c r="R245" s="165"/>
      <c r="S245" s="165"/>
    </row>
    <row r="246" hidden="1" spans="1:19">
      <c r="A246" s="161"/>
      <c r="B246" s="33"/>
      <c r="C246" s="174"/>
      <c r="D246" s="33"/>
      <c r="E246" s="33"/>
      <c r="F246" s="33" t="s">
        <v>79</v>
      </c>
      <c r="G246" s="175" t="e">
        <f>VLOOKUP($E246,'Article(s) Raw Data'!$B$1:$L$707,4,0)</f>
        <v>#N/A</v>
      </c>
      <c r="H246" s="44" t="e">
        <f>VLOOKUP($E246,'Article(s) Raw Data'!$B$1:$L$707,5,0)</f>
        <v>#N/A</v>
      </c>
      <c r="I246" s="44" t="e">
        <f>VLOOKUP($E246,'Article(s) Raw Data'!$B$1:$L$707,6,0)</f>
        <v>#N/A</v>
      </c>
      <c r="J246" s="207" t="e">
        <f>VLOOKUP($E246,'Article(s) Raw Data'!$B$1:$L$707,7,0)</f>
        <v>#N/A</v>
      </c>
      <c r="K246" s="195"/>
      <c r="L246" s="195"/>
      <c r="M246" s="195"/>
      <c r="N246" s="195"/>
      <c r="O246" s="195"/>
      <c r="P246" s="195"/>
      <c r="Q246" s="165"/>
      <c r="R246" s="165"/>
      <c r="S246" s="165"/>
    </row>
    <row r="247" hidden="1" spans="1:19">
      <c r="A247" s="161"/>
      <c r="B247" s="33" t="s">
        <v>80</v>
      </c>
      <c r="C247" s="174" t="s">
        <v>48</v>
      </c>
      <c r="D247" s="175">
        <v>0</v>
      </c>
      <c r="E247" s="33"/>
      <c r="F247" s="33" t="s">
        <v>82</v>
      </c>
      <c r="G247" s="175" t="e">
        <f>VLOOKUP($E247,'Article(s) Raw Data'!$B$1:$L$707,4,0)</f>
        <v>#N/A</v>
      </c>
      <c r="H247" s="44" t="e">
        <f>VLOOKUP($E247,'Article(s) Raw Data'!$B$1:$L$707,5,0)</f>
        <v>#N/A</v>
      </c>
      <c r="I247" s="44" t="e">
        <f>VLOOKUP($E247,'Article(s) Raw Data'!$B$1:$L$707,6,0)</f>
        <v>#N/A</v>
      </c>
      <c r="J247" s="207" t="e">
        <f>VLOOKUP($E247,'Article(s) Raw Data'!$B$1:$L$707,7,0)</f>
        <v>#N/A</v>
      </c>
      <c r="K247" s="207" t="e">
        <f>AVERAGE(J247:J248)</f>
        <v>#N/A</v>
      </c>
      <c r="L247" s="199" t="s">
        <v>48</v>
      </c>
      <c r="M247" s="197" t="s">
        <v>48</v>
      </c>
      <c r="N247" s="175" t="s">
        <v>48</v>
      </c>
      <c r="O247" s="198" t="s">
        <v>48</v>
      </c>
      <c r="P247" s="195"/>
      <c r="Q247" s="165"/>
      <c r="R247" s="165"/>
      <c r="S247" s="165"/>
    </row>
    <row r="248" hidden="1" spans="1:19">
      <c r="A248" s="161"/>
      <c r="B248" s="185"/>
      <c r="C248" s="186"/>
      <c r="D248" s="187"/>
      <c r="E248" s="185"/>
      <c r="F248" s="185" t="s">
        <v>84</v>
      </c>
      <c r="G248" s="187" t="e">
        <f>VLOOKUP($E248,'Article(s) Raw Data'!$B$1:$L$707,4,0)</f>
        <v>#N/A</v>
      </c>
      <c r="H248" s="188" t="e">
        <f>VLOOKUP($E248,'Article(s) Raw Data'!$B$1:$L$707,5,0)</f>
        <v>#N/A</v>
      </c>
      <c r="I248" s="188" t="e">
        <f>VLOOKUP($E248,'Article(s) Raw Data'!$B$1:$L$707,6,0)</f>
        <v>#N/A</v>
      </c>
      <c r="J248" s="216" t="e">
        <f>VLOOKUP($E248,'Article(s) Raw Data'!$B$1:$L$707,7,0)</f>
        <v>#N/A</v>
      </c>
      <c r="K248" s="212"/>
      <c r="L248" s="212"/>
      <c r="M248" s="212"/>
      <c r="N248" s="212"/>
      <c r="O248" s="212"/>
      <c r="P248" s="195"/>
      <c r="Q248" s="165"/>
      <c r="R248" s="165"/>
      <c r="S248" s="165"/>
    </row>
    <row r="249" ht="14.25" hidden="1" customHeight="1" spans="1:19">
      <c r="A249" s="161"/>
      <c r="B249" s="174" t="s">
        <v>115</v>
      </c>
      <c r="C249" s="174" t="s">
        <v>75</v>
      </c>
      <c r="D249" s="175">
        <v>120</v>
      </c>
      <c r="E249" s="33"/>
      <c r="F249" s="33" t="s">
        <v>77</v>
      </c>
      <c r="G249" s="175" t="e">
        <f>VLOOKUP($E249,'Article(s) Raw Data'!$B$1:$L$707,4,0)</f>
        <v>#N/A</v>
      </c>
      <c r="H249" s="44" t="e">
        <f>VLOOKUP($E249,'Article(s) Raw Data'!$B$1:$L$707,5,0)</f>
        <v>#N/A</v>
      </c>
      <c r="I249" s="44" t="e">
        <f>VLOOKUP($E249,'Article(s) Raw Data'!$B$1:$L$707,6,0)</f>
        <v>#N/A</v>
      </c>
      <c r="J249" s="207" t="e">
        <f>VLOOKUP($E249,'Article(s) Raw Data'!$B$1:$L$707,7,0)</f>
        <v>#N/A</v>
      </c>
      <c r="K249" s="207" t="e">
        <f>AVERAGE(J249:J250)</f>
        <v>#N/A</v>
      </c>
      <c r="L249" s="196" t="e">
        <f>J249*0.2*G249/120/60/0.33/(J253*G253)*1000000</f>
        <v>#N/A</v>
      </c>
      <c r="M249" s="196" t="e">
        <f>AVERAGE(L249:L250)</f>
        <v>#N/A</v>
      </c>
      <c r="N249" s="195" t="e">
        <f>(J249*0.2*G249+J251*1.3*G251)/(J253*1.3*G253)*100</f>
        <v>#N/A</v>
      </c>
      <c r="O249" s="195" t="e">
        <f>AVERAGE(N249:N250)</f>
        <v>#N/A</v>
      </c>
      <c r="P249" s="195"/>
      <c r="Q249" s="165"/>
      <c r="R249" s="165"/>
      <c r="S249" s="165"/>
    </row>
    <row r="250" hidden="1" spans="1:19">
      <c r="A250" s="161"/>
      <c r="B250" s="33"/>
      <c r="C250" s="174"/>
      <c r="D250" s="33"/>
      <c r="E250" s="33"/>
      <c r="F250" s="33" t="s">
        <v>79</v>
      </c>
      <c r="G250" s="175" t="e">
        <f>VLOOKUP($E250,'Article(s) Raw Data'!$B$1:$L$707,4,0)</f>
        <v>#N/A</v>
      </c>
      <c r="H250" s="44" t="e">
        <f>VLOOKUP($E250,'Article(s) Raw Data'!$B$1:$L$707,5,0)</f>
        <v>#N/A</v>
      </c>
      <c r="I250" s="44" t="e">
        <f>VLOOKUP($E250,'Article(s) Raw Data'!$B$1:$L$707,6,0)</f>
        <v>#N/A</v>
      </c>
      <c r="J250" s="207" t="e">
        <f>VLOOKUP($E250,'Article(s) Raw Data'!$B$1:$L$707,7,0)</f>
        <v>#N/A</v>
      </c>
      <c r="K250" s="195"/>
      <c r="L250" s="196" t="e">
        <f>J250*0.2*G250/120/60/0.33/(J254*G254)*1000000</f>
        <v>#N/A</v>
      </c>
      <c r="M250" s="195"/>
      <c r="N250" s="195" t="e">
        <f>(J250*0.2*G250+J252*1.3*G252)/(J254*1.3*G254)*100</f>
        <v>#N/A</v>
      </c>
      <c r="O250" s="195"/>
      <c r="P250" s="195"/>
      <c r="Q250" s="165"/>
      <c r="R250" s="165"/>
      <c r="S250" s="165"/>
    </row>
    <row r="251" hidden="1" spans="1:19">
      <c r="A251" s="161"/>
      <c r="B251" s="33"/>
      <c r="C251" s="174" t="s">
        <v>70</v>
      </c>
      <c r="D251" s="175">
        <v>120</v>
      </c>
      <c r="E251" s="33"/>
      <c r="F251" s="33" t="s">
        <v>72</v>
      </c>
      <c r="G251" s="175" t="e">
        <f>VLOOKUP($E251,'Article(s) Raw Data'!$B$1:$L$707,4,0)</f>
        <v>#N/A</v>
      </c>
      <c r="H251" s="44" t="e">
        <f>VLOOKUP($E251,'Article(s) Raw Data'!$B$1:$L$707,5,0)</f>
        <v>#N/A</v>
      </c>
      <c r="I251" s="44" t="e">
        <f>VLOOKUP($E251,'Article(s) Raw Data'!$B$1:$L$707,6,0)</f>
        <v>#N/A</v>
      </c>
      <c r="J251" s="207" t="e">
        <f>VLOOKUP($E251,'Article(s) Raw Data'!$B$1:$L$707,7,0)</f>
        <v>#N/A</v>
      </c>
      <c r="K251" s="207" t="e">
        <f>AVERAGE(J251:J252)</f>
        <v>#N/A</v>
      </c>
      <c r="L251" s="199" t="s">
        <v>48</v>
      </c>
      <c r="M251" s="197" t="s">
        <v>48</v>
      </c>
      <c r="N251" s="175" t="s">
        <v>48</v>
      </c>
      <c r="O251" s="198" t="s">
        <v>48</v>
      </c>
      <c r="P251" s="195"/>
      <c r="Q251" s="165"/>
      <c r="R251" s="165"/>
      <c r="S251" s="165"/>
    </row>
    <row r="252" hidden="1" spans="1:19">
      <c r="A252" s="161"/>
      <c r="B252" s="33"/>
      <c r="C252" s="174"/>
      <c r="D252" s="33"/>
      <c r="E252" s="33"/>
      <c r="F252" s="33" t="s">
        <v>74</v>
      </c>
      <c r="G252" s="175" t="e">
        <f>VLOOKUP($E252,'Article(s) Raw Data'!$B$1:$L$707,4,0)</f>
        <v>#N/A</v>
      </c>
      <c r="H252" s="44" t="e">
        <f>VLOOKUP($E252,'Article(s) Raw Data'!$B$1:$L$707,5,0)</f>
        <v>#N/A</v>
      </c>
      <c r="I252" s="44" t="e">
        <f>VLOOKUP($E252,'Article(s) Raw Data'!$B$1:$L$707,6,0)</f>
        <v>#N/A</v>
      </c>
      <c r="J252" s="207" t="e">
        <f>VLOOKUP($E252,'Article(s) Raw Data'!$B$1:$L$707,7,0)</f>
        <v>#N/A</v>
      </c>
      <c r="K252" s="195"/>
      <c r="L252" s="195"/>
      <c r="M252" s="195"/>
      <c r="N252" s="195"/>
      <c r="O252" s="195"/>
      <c r="P252" s="195"/>
      <c r="Q252" s="165"/>
      <c r="R252" s="165"/>
      <c r="S252" s="165"/>
    </row>
    <row r="253" s="33" customFormat="1" ht="15.6" hidden="1" customHeight="1" spans="1:19">
      <c r="A253" s="161"/>
      <c r="B253" s="33" t="s">
        <v>120</v>
      </c>
      <c r="C253" s="174" t="s">
        <v>48</v>
      </c>
      <c r="D253" s="175">
        <v>0</v>
      </c>
      <c r="F253" s="33" t="s">
        <v>122</v>
      </c>
      <c r="G253" s="175" t="e">
        <f>VLOOKUP($E253,'Article(s) Raw Data'!$B$1:$L$707,4,0)</f>
        <v>#N/A</v>
      </c>
      <c r="H253" s="44" t="e">
        <f>VLOOKUP($E253,'Article(s) Raw Data'!$B$1:$L$707,5,0)</f>
        <v>#N/A</v>
      </c>
      <c r="I253" s="44" t="e">
        <f>VLOOKUP($E253,'Article(s) Raw Data'!$B$1:$L$707,6,0)</f>
        <v>#N/A</v>
      </c>
      <c r="J253" s="207" t="e">
        <f>VLOOKUP($E253,'Article(s) Raw Data'!$B$1:$L$707,7,0)</f>
        <v>#N/A</v>
      </c>
      <c r="K253" s="207" t="e">
        <f>AVERAGE(J253:J254)</f>
        <v>#N/A</v>
      </c>
      <c r="L253" s="199" t="s">
        <v>48</v>
      </c>
      <c r="M253" s="197" t="s">
        <v>48</v>
      </c>
      <c r="N253" s="175" t="s">
        <v>48</v>
      </c>
      <c r="O253" s="198" t="s">
        <v>48</v>
      </c>
      <c r="P253" s="195"/>
      <c r="Q253" s="195"/>
      <c r="R253" s="195"/>
      <c r="S253" s="195"/>
    </row>
    <row r="254" s="33" customFormat="1" ht="15.6" hidden="1" customHeight="1" spans="1:19">
      <c r="A254" s="176"/>
      <c r="B254" s="47"/>
      <c r="C254" s="177"/>
      <c r="D254" s="178"/>
      <c r="E254" s="47"/>
      <c r="F254" s="47" t="s">
        <v>124</v>
      </c>
      <c r="G254" s="178" t="e">
        <f>VLOOKUP($E254,'Article(s) Raw Data'!$B$1:$L$707,4,0)</f>
        <v>#N/A</v>
      </c>
      <c r="H254" s="48" t="e">
        <f>VLOOKUP($E254,'Article(s) Raw Data'!$B$1:$L$707,5,0)</f>
        <v>#N/A</v>
      </c>
      <c r="I254" s="48" t="e">
        <f>VLOOKUP($E254,'Article(s) Raw Data'!$B$1:$L$707,6,0)</f>
        <v>#N/A</v>
      </c>
      <c r="J254" s="208" t="e">
        <f>VLOOKUP($E254,'Article(s) Raw Data'!$B$1:$L$707,7,0)</f>
        <v>#N/A</v>
      </c>
      <c r="K254" s="201"/>
      <c r="L254" s="201"/>
      <c r="M254" s="201"/>
      <c r="N254" s="201"/>
      <c r="O254" s="201"/>
      <c r="P254" s="201"/>
      <c r="Q254" s="195"/>
      <c r="R254" s="165"/>
      <c r="S254" s="195"/>
    </row>
    <row r="255" s="33" customFormat="1" ht="12.75" hidden="1" customHeight="1" spans="1:19">
      <c r="A255" s="161"/>
      <c r="C255" s="174"/>
      <c r="D255" s="175"/>
      <c r="G255" s="175"/>
      <c r="H255" s="48"/>
      <c r="I255" s="48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</row>
    <row r="256" s="161" customFormat="1" ht="44.25" hidden="1" customHeight="1" spans="1:19">
      <c r="A256" s="170" t="s">
        <v>31</v>
      </c>
      <c r="B256" s="179" t="s">
        <v>85</v>
      </c>
      <c r="C256" s="179"/>
      <c r="D256" s="170" t="s">
        <v>57</v>
      </c>
      <c r="E256" s="170" t="s">
        <v>58</v>
      </c>
      <c r="F256" s="170" t="s">
        <v>59</v>
      </c>
      <c r="G256" s="171" t="s">
        <v>60</v>
      </c>
      <c r="H256" s="37" t="s">
        <v>61</v>
      </c>
      <c r="I256" s="37" t="s">
        <v>62</v>
      </c>
      <c r="J256" s="170" t="s">
        <v>63</v>
      </c>
      <c r="K256" s="170" t="s">
        <v>64</v>
      </c>
      <c r="L256" s="170" t="s">
        <v>86</v>
      </c>
      <c r="M256" s="170" t="s">
        <v>87</v>
      </c>
      <c r="N256" s="202"/>
      <c r="O256" s="202"/>
      <c r="P256" s="202"/>
      <c r="Q256" s="202"/>
      <c r="R256" s="202"/>
      <c r="S256" s="202"/>
    </row>
    <row r="257" s="33" customFormat="1" ht="15.6" hidden="1" customHeight="1" spans="1:19">
      <c r="A257" s="170" t="str">
        <f>A243</f>
        <v> (10 µM)</v>
      </c>
      <c r="B257" s="172" t="s">
        <v>88</v>
      </c>
      <c r="C257" s="172"/>
      <c r="D257" s="173">
        <v>120</v>
      </c>
      <c r="E257" s="40"/>
      <c r="F257" s="40" t="s">
        <v>90</v>
      </c>
      <c r="G257" s="173" t="e">
        <f>VLOOKUP($E257,'Article(s) Raw Data'!$B$1:$L$707,4,0)</f>
        <v>#N/A</v>
      </c>
      <c r="H257" s="41" t="e">
        <f>VLOOKUP($E257,'Article(s) Raw Data'!$B$1:$L$707,5,0)</f>
        <v>#N/A</v>
      </c>
      <c r="I257" s="41" t="e">
        <f>VLOOKUP($E257,'Article(s) Raw Data'!$B$1:$L$707,6,0)</f>
        <v>#N/A</v>
      </c>
      <c r="J257" s="206" t="e">
        <f>VLOOKUP($E257,'Article(s) Raw Data'!$B$1:$L$707,7,0)</f>
        <v>#N/A</v>
      </c>
      <c r="K257" s="206" t="e">
        <f>AVERAGE(J257:J258)</f>
        <v>#N/A</v>
      </c>
      <c r="L257" s="192" t="e">
        <f>J257*G257/(G259*J259)*100</f>
        <v>#N/A</v>
      </c>
      <c r="M257" s="192" t="e">
        <f>AVERAGE(L257:L258)</f>
        <v>#N/A</v>
      </c>
      <c r="N257" s="195"/>
      <c r="O257" s="204"/>
      <c r="P257" s="204"/>
      <c r="Q257" s="195"/>
      <c r="R257" s="195"/>
      <c r="S257" s="195"/>
    </row>
    <row r="258" s="33" customFormat="1" ht="15.6" hidden="1" customHeight="1" spans="1:19">
      <c r="A258" s="161"/>
      <c r="B258" s="174"/>
      <c r="C258" s="174"/>
      <c r="D258" s="33"/>
      <c r="F258" s="33" t="s">
        <v>92</v>
      </c>
      <c r="G258" s="175" t="e">
        <f>VLOOKUP($E258,'Article(s) Raw Data'!$B$1:$L$707,4,0)</f>
        <v>#N/A</v>
      </c>
      <c r="H258" s="44" t="e">
        <f>VLOOKUP($E258,'Article(s) Raw Data'!$B$1:$L$707,5,0)</f>
        <v>#N/A</v>
      </c>
      <c r="I258" s="44" t="e">
        <f>VLOOKUP($E258,'Article(s) Raw Data'!$B$1:$L$707,6,0)</f>
        <v>#N/A</v>
      </c>
      <c r="J258" s="207" t="e">
        <f>VLOOKUP($E258,'Article(s) Raw Data'!$B$1:$L$707,7,0)</f>
        <v>#N/A</v>
      </c>
      <c r="K258" s="195"/>
      <c r="L258" s="196" t="e">
        <f>J258*G258/(G260*J260)*100</f>
        <v>#N/A</v>
      </c>
      <c r="M258" s="195"/>
      <c r="N258" s="195"/>
      <c r="O258" s="204"/>
      <c r="P258" s="204"/>
      <c r="Q258" s="195"/>
      <c r="R258" s="195"/>
      <c r="S258" s="195"/>
    </row>
    <row r="259" s="33" customFormat="1" ht="15.6" hidden="1" customHeight="1" spans="1:19">
      <c r="A259" s="161"/>
      <c r="B259" s="174"/>
      <c r="C259" s="174"/>
      <c r="D259" s="175">
        <v>0</v>
      </c>
      <c r="F259" s="33" t="s">
        <v>94</v>
      </c>
      <c r="G259" s="175" t="e">
        <f>VLOOKUP($E259,'Article(s) Raw Data'!$B$1:$L$707,4,0)</f>
        <v>#N/A</v>
      </c>
      <c r="H259" s="44" t="e">
        <f>VLOOKUP($E259,'Article(s) Raw Data'!$B$1:$L$707,5,0)</f>
        <v>#N/A</v>
      </c>
      <c r="I259" s="44" t="e">
        <f>VLOOKUP($E259,'Article(s) Raw Data'!$B$1:$L$707,6,0)</f>
        <v>#N/A</v>
      </c>
      <c r="J259" s="207" t="e">
        <f>VLOOKUP($E259,'Article(s) Raw Data'!$B$1:$L$707,7,0)</f>
        <v>#N/A</v>
      </c>
      <c r="K259" s="207" t="e">
        <f>AVERAGE(J259:J260)</f>
        <v>#N/A</v>
      </c>
      <c r="L259" s="199" t="s">
        <v>48</v>
      </c>
      <c r="M259" s="197" t="s">
        <v>48</v>
      </c>
      <c r="N259" s="204"/>
      <c r="O259" s="204"/>
      <c r="P259" s="204"/>
      <c r="Q259" s="195"/>
      <c r="R259" s="195"/>
      <c r="S259" s="195"/>
    </row>
    <row r="260" s="33" customFormat="1" ht="15.6" hidden="1" customHeight="1" spans="1:19">
      <c r="A260" s="176"/>
      <c r="B260" s="177"/>
      <c r="C260" s="177"/>
      <c r="D260" s="178"/>
      <c r="E260" s="47"/>
      <c r="F260" s="47" t="s">
        <v>96</v>
      </c>
      <c r="G260" s="178" t="e">
        <f>VLOOKUP($E260,'Article(s) Raw Data'!$B$1:$L$707,4,0)</f>
        <v>#N/A</v>
      </c>
      <c r="H260" s="48" t="e">
        <f>VLOOKUP($E260,'Article(s) Raw Data'!$B$1:$L$707,5,0)</f>
        <v>#N/A</v>
      </c>
      <c r="I260" s="48" t="e">
        <f>VLOOKUP($E260,'Article(s) Raw Data'!$B$1:$L$707,6,0)</f>
        <v>#N/A</v>
      </c>
      <c r="J260" s="208" t="e">
        <f>VLOOKUP($E260,'Article(s) Raw Data'!$B$1:$L$707,7,0)</f>
        <v>#N/A</v>
      </c>
      <c r="K260" s="201"/>
      <c r="L260" s="201"/>
      <c r="M260" s="201"/>
      <c r="N260" s="204"/>
      <c r="O260" s="204"/>
      <c r="P260" s="204"/>
      <c r="Q260" s="195"/>
      <c r="R260" s="195"/>
      <c r="S260" s="195"/>
    </row>
    <row r="261" s="33" customFormat="1" ht="12.75" hidden="1" customHeight="1" spans="1:19">
      <c r="A261" s="161"/>
      <c r="B261" s="174"/>
      <c r="C261" s="174"/>
      <c r="D261" s="175"/>
      <c r="G261" s="175"/>
      <c r="H261" s="44"/>
      <c r="I261" s="44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</row>
    <row r="262" hidden="1" spans="10:19"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</row>
    <row r="263" spans="10:19"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</row>
    <row r="264" spans="10:19"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</row>
    <row r="265" spans="10:19"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</row>
    <row r="266" spans="10:17">
      <c r="J266" s="165"/>
      <c r="K266" s="165"/>
      <c r="L266" s="165"/>
      <c r="M266" s="165"/>
      <c r="N266" s="165"/>
      <c r="O266" s="165"/>
      <c r="P266" s="165"/>
      <c r="Q266" s="165"/>
    </row>
    <row r="267" spans="10:17">
      <c r="J267" s="165"/>
      <c r="K267" s="165"/>
      <c r="L267" s="165"/>
      <c r="M267" s="165"/>
      <c r="N267" s="165"/>
      <c r="O267" s="165"/>
      <c r="P267" s="165"/>
      <c r="Q267" s="165"/>
    </row>
    <row r="268" spans="10:17">
      <c r="J268" s="165"/>
      <c r="K268" s="165"/>
      <c r="L268" s="165"/>
      <c r="M268" s="165"/>
      <c r="N268" s="165"/>
      <c r="O268" s="165"/>
      <c r="P268" s="165"/>
      <c r="Q268" s="165"/>
    </row>
  </sheetData>
  <mergeCells count="660">
    <mergeCell ref="B10:C10"/>
    <mergeCell ref="B25:C25"/>
    <mergeCell ref="B46:C46"/>
    <mergeCell ref="B67:C67"/>
    <mergeCell ref="B88:C88"/>
    <mergeCell ref="B109:C109"/>
    <mergeCell ref="B130:C130"/>
    <mergeCell ref="B151:C151"/>
    <mergeCell ref="B172:C172"/>
    <mergeCell ref="B193:C193"/>
    <mergeCell ref="B214:C214"/>
    <mergeCell ref="B235:C235"/>
    <mergeCell ref="B256:C256"/>
    <mergeCell ref="A3:A8"/>
    <mergeCell ref="A11:A14"/>
    <mergeCell ref="A18:A23"/>
    <mergeCell ref="A26:A29"/>
    <mergeCell ref="A33:A44"/>
    <mergeCell ref="A47:A50"/>
    <mergeCell ref="A54:A65"/>
    <mergeCell ref="A68:A71"/>
    <mergeCell ref="A75:A86"/>
    <mergeCell ref="A89:A92"/>
    <mergeCell ref="A96:A107"/>
    <mergeCell ref="A110:A113"/>
    <mergeCell ref="A117:A128"/>
    <mergeCell ref="A131:A134"/>
    <mergeCell ref="A138:A149"/>
    <mergeCell ref="A152:A155"/>
    <mergeCell ref="A159:A170"/>
    <mergeCell ref="A173:A176"/>
    <mergeCell ref="A180:A191"/>
    <mergeCell ref="A194:A197"/>
    <mergeCell ref="A201:A212"/>
    <mergeCell ref="A215:A218"/>
    <mergeCell ref="A222:A233"/>
    <mergeCell ref="A236:A239"/>
    <mergeCell ref="A243:A254"/>
    <mergeCell ref="A257:A260"/>
    <mergeCell ref="B3:B6"/>
    <mergeCell ref="B7:B8"/>
    <mergeCell ref="B18:B21"/>
    <mergeCell ref="B22:B23"/>
    <mergeCell ref="B33:B36"/>
    <mergeCell ref="B37:B38"/>
    <mergeCell ref="B39:B42"/>
    <mergeCell ref="B43:B44"/>
    <mergeCell ref="B54:B57"/>
    <mergeCell ref="B58:B59"/>
    <mergeCell ref="B60:B63"/>
    <mergeCell ref="B64:B65"/>
    <mergeCell ref="B75:B78"/>
    <mergeCell ref="B79:B80"/>
    <mergeCell ref="B81:B84"/>
    <mergeCell ref="B85:B86"/>
    <mergeCell ref="B96:B99"/>
    <mergeCell ref="B100:B101"/>
    <mergeCell ref="B102:B105"/>
    <mergeCell ref="B106:B107"/>
    <mergeCell ref="B117:B120"/>
    <mergeCell ref="B121:B122"/>
    <mergeCell ref="B123:B126"/>
    <mergeCell ref="B127:B128"/>
    <mergeCell ref="B138:B141"/>
    <mergeCell ref="B142:B143"/>
    <mergeCell ref="B144:B147"/>
    <mergeCell ref="B148:B149"/>
    <mergeCell ref="B159:B162"/>
    <mergeCell ref="B163:B164"/>
    <mergeCell ref="B165:B168"/>
    <mergeCell ref="B169:B170"/>
    <mergeCell ref="B180:B183"/>
    <mergeCell ref="B184:B185"/>
    <mergeCell ref="B186:B189"/>
    <mergeCell ref="B190:B191"/>
    <mergeCell ref="B201:B204"/>
    <mergeCell ref="B205:B206"/>
    <mergeCell ref="B207:B210"/>
    <mergeCell ref="B211:B212"/>
    <mergeCell ref="B222:B225"/>
    <mergeCell ref="B226:B227"/>
    <mergeCell ref="B228:B231"/>
    <mergeCell ref="B232:B233"/>
    <mergeCell ref="B243:B246"/>
    <mergeCell ref="B247:B248"/>
    <mergeCell ref="B249:B252"/>
    <mergeCell ref="B253:B254"/>
    <mergeCell ref="C3:C4"/>
    <mergeCell ref="C5:C6"/>
    <mergeCell ref="C7:C8"/>
    <mergeCell ref="C18:C19"/>
    <mergeCell ref="C20:C21"/>
    <mergeCell ref="C22:C23"/>
    <mergeCell ref="C33:C34"/>
    <mergeCell ref="C35:C36"/>
    <mergeCell ref="C37:C38"/>
    <mergeCell ref="C39:C40"/>
    <mergeCell ref="C41:C42"/>
    <mergeCell ref="C43:C44"/>
    <mergeCell ref="C54:C55"/>
    <mergeCell ref="C56:C57"/>
    <mergeCell ref="C58:C59"/>
    <mergeCell ref="C60:C61"/>
    <mergeCell ref="C62:C63"/>
    <mergeCell ref="C64:C65"/>
    <mergeCell ref="C75:C76"/>
    <mergeCell ref="C77:C78"/>
    <mergeCell ref="C79:C80"/>
    <mergeCell ref="C81:C82"/>
    <mergeCell ref="C83:C84"/>
    <mergeCell ref="C85:C86"/>
    <mergeCell ref="C96:C97"/>
    <mergeCell ref="C98:C99"/>
    <mergeCell ref="C100:C101"/>
    <mergeCell ref="C102:C103"/>
    <mergeCell ref="C104:C105"/>
    <mergeCell ref="C106:C107"/>
    <mergeCell ref="C117:C118"/>
    <mergeCell ref="C119:C120"/>
    <mergeCell ref="C121:C122"/>
    <mergeCell ref="C123:C124"/>
    <mergeCell ref="C125:C126"/>
    <mergeCell ref="C127:C128"/>
    <mergeCell ref="C138:C139"/>
    <mergeCell ref="C140:C141"/>
    <mergeCell ref="C142:C143"/>
    <mergeCell ref="C144:C145"/>
    <mergeCell ref="C146:C147"/>
    <mergeCell ref="C148:C149"/>
    <mergeCell ref="C159:C160"/>
    <mergeCell ref="C161:C162"/>
    <mergeCell ref="C163:C164"/>
    <mergeCell ref="C165:C166"/>
    <mergeCell ref="C167:C168"/>
    <mergeCell ref="C169:C170"/>
    <mergeCell ref="C180:C181"/>
    <mergeCell ref="C182:C183"/>
    <mergeCell ref="C184:C185"/>
    <mergeCell ref="C186:C187"/>
    <mergeCell ref="C188:C189"/>
    <mergeCell ref="C190:C191"/>
    <mergeCell ref="C201:C202"/>
    <mergeCell ref="C203:C204"/>
    <mergeCell ref="C205:C206"/>
    <mergeCell ref="C207:C208"/>
    <mergeCell ref="C209:C210"/>
    <mergeCell ref="C211:C212"/>
    <mergeCell ref="C222:C223"/>
    <mergeCell ref="C224:C225"/>
    <mergeCell ref="C226:C227"/>
    <mergeCell ref="C228:C229"/>
    <mergeCell ref="C230:C231"/>
    <mergeCell ref="C232:C233"/>
    <mergeCell ref="C243:C244"/>
    <mergeCell ref="C245:C246"/>
    <mergeCell ref="C247:C248"/>
    <mergeCell ref="C249:C250"/>
    <mergeCell ref="C251:C252"/>
    <mergeCell ref="C253:C254"/>
    <mergeCell ref="D3:D4"/>
    <mergeCell ref="D5:D6"/>
    <mergeCell ref="D7:D8"/>
    <mergeCell ref="D11:D12"/>
    <mergeCell ref="D13:D14"/>
    <mergeCell ref="D18:D19"/>
    <mergeCell ref="D20:D21"/>
    <mergeCell ref="D22:D23"/>
    <mergeCell ref="D26:D27"/>
    <mergeCell ref="D28:D29"/>
    <mergeCell ref="D33:D34"/>
    <mergeCell ref="D35:D36"/>
    <mergeCell ref="D37:D38"/>
    <mergeCell ref="D39:D40"/>
    <mergeCell ref="D41:D42"/>
    <mergeCell ref="D43:D44"/>
    <mergeCell ref="D47:D48"/>
    <mergeCell ref="D49:D50"/>
    <mergeCell ref="D54:D55"/>
    <mergeCell ref="D56:D57"/>
    <mergeCell ref="D58:D59"/>
    <mergeCell ref="D60:D61"/>
    <mergeCell ref="D62:D63"/>
    <mergeCell ref="D64:D65"/>
    <mergeCell ref="D68:D69"/>
    <mergeCell ref="D70:D71"/>
    <mergeCell ref="D75:D76"/>
    <mergeCell ref="D77:D78"/>
    <mergeCell ref="D79:D80"/>
    <mergeCell ref="D81:D82"/>
    <mergeCell ref="D83:D84"/>
    <mergeCell ref="D85:D86"/>
    <mergeCell ref="D89:D90"/>
    <mergeCell ref="D91:D92"/>
    <mergeCell ref="D96:D97"/>
    <mergeCell ref="D98:D99"/>
    <mergeCell ref="D100:D101"/>
    <mergeCell ref="D102:D103"/>
    <mergeCell ref="D104:D105"/>
    <mergeCell ref="D106:D107"/>
    <mergeCell ref="D110:D111"/>
    <mergeCell ref="D112:D113"/>
    <mergeCell ref="D117:D118"/>
    <mergeCell ref="D119:D120"/>
    <mergeCell ref="D121:D122"/>
    <mergeCell ref="D123:D124"/>
    <mergeCell ref="D125:D126"/>
    <mergeCell ref="D127:D128"/>
    <mergeCell ref="D131:D132"/>
    <mergeCell ref="D133:D134"/>
    <mergeCell ref="D138:D139"/>
    <mergeCell ref="D140:D141"/>
    <mergeCell ref="D142:D143"/>
    <mergeCell ref="D144:D145"/>
    <mergeCell ref="D146:D147"/>
    <mergeCell ref="D148:D149"/>
    <mergeCell ref="D152:D153"/>
    <mergeCell ref="D154:D155"/>
    <mergeCell ref="D159:D160"/>
    <mergeCell ref="D161:D162"/>
    <mergeCell ref="D163:D164"/>
    <mergeCell ref="D165:D166"/>
    <mergeCell ref="D167:D168"/>
    <mergeCell ref="D169:D170"/>
    <mergeCell ref="D173:D174"/>
    <mergeCell ref="D175:D176"/>
    <mergeCell ref="D180:D181"/>
    <mergeCell ref="D182:D183"/>
    <mergeCell ref="D184:D185"/>
    <mergeCell ref="D186:D187"/>
    <mergeCell ref="D188:D189"/>
    <mergeCell ref="D190:D191"/>
    <mergeCell ref="D194:D195"/>
    <mergeCell ref="D196:D197"/>
    <mergeCell ref="D201:D202"/>
    <mergeCell ref="D203:D204"/>
    <mergeCell ref="D205:D206"/>
    <mergeCell ref="D207:D208"/>
    <mergeCell ref="D209:D210"/>
    <mergeCell ref="D211:D212"/>
    <mergeCell ref="D215:D216"/>
    <mergeCell ref="D217:D218"/>
    <mergeCell ref="D222:D223"/>
    <mergeCell ref="D224:D225"/>
    <mergeCell ref="D226:D227"/>
    <mergeCell ref="D228:D229"/>
    <mergeCell ref="D230:D231"/>
    <mergeCell ref="D232:D233"/>
    <mergeCell ref="D236:D237"/>
    <mergeCell ref="D238:D239"/>
    <mergeCell ref="D243:D244"/>
    <mergeCell ref="D245:D246"/>
    <mergeCell ref="D247:D248"/>
    <mergeCell ref="D249:D250"/>
    <mergeCell ref="D251:D252"/>
    <mergeCell ref="D253:D254"/>
    <mergeCell ref="D257:D258"/>
    <mergeCell ref="D259:D260"/>
    <mergeCell ref="K3:K4"/>
    <mergeCell ref="K5:K6"/>
    <mergeCell ref="K7:K8"/>
    <mergeCell ref="K11:K12"/>
    <mergeCell ref="K13:K14"/>
    <mergeCell ref="K18:K19"/>
    <mergeCell ref="K20:K21"/>
    <mergeCell ref="K22:K23"/>
    <mergeCell ref="K26:K27"/>
    <mergeCell ref="K28:K29"/>
    <mergeCell ref="K33:K34"/>
    <mergeCell ref="K35:K36"/>
    <mergeCell ref="K37:K38"/>
    <mergeCell ref="K39:K40"/>
    <mergeCell ref="K41:K42"/>
    <mergeCell ref="K43:K44"/>
    <mergeCell ref="K47:K48"/>
    <mergeCell ref="K49:K50"/>
    <mergeCell ref="K54:K55"/>
    <mergeCell ref="K56:K57"/>
    <mergeCell ref="K58:K59"/>
    <mergeCell ref="K60:K61"/>
    <mergeCell ref="K62:K63"/>
    <mergeCell ref="K64:K65"/>
    <mergeCell ref="K68:K69"/>
    <mergeCell ref="K70:K71"/>
    <mergeCell ref="K75:K76"/>
    <mergeCell ref="K77:K78"/>
    <mergeCell ref="K79:K80"/>
    <mergeCell ref="K81:K82"/>
    <mergeCell ref="K83:K84"/>
    <mergeCell ref="K85:K86"/>
    <mergeCell ref="K89:K90"/>
    <mergeCell ref="K91:K92"/>
    <mergeCell ref="K96:K97"/>
    <mergeCell ref="K98:K99"/>
    <mergeCell ref="K100:K101"/>
    <mergeCell ref="K102:K103"/>
    <mergeCell ref="K104:K105"/>
    <mergeCell ref="K106:K107"/>
    <mergeCell ref="K110:K111"/>
    <mergeCell ref="K112:K113"/>
    <mergeCell ref="K117:K118"/>
    <mergeCell ref="K119:K120"/>
    <mergeCell ref="K121:K122"/>
    <mergeCell ref="K123:K124"/>
    <mergeCell ref="K125:K126"/>
    <mergeCell ref="K127:K128"/>
    <mergeCell ref="K131:K132"/>
    <mergeCell ref="K133:K134"/>
    <mergeCell ref="K138:K139"/>
    <mergeCell ref="K140:K141"/>
    <mergeCell ref="K142:K143"/>
    <mergeCell ref="K144:K145"/>
    <mergeCell ref="K146:K147"/>
    <mergeCell ref="K148:K149"/>
    <mergeCell ref="K152:K153"/>
    <mergeCell ref="K154:K155"/>
    <mergeCell ref="K159:K160"/>
    <mergeCell ref="K161:K162"/>
    <mergeCell ref="K163:K164"/>
    <mergeCell ref="K165:K166"/>
    <mergeCell ref="K167:K168"/>
    <mergeCell ref="K169:K170"/>
    <mergeCell ref="K173:K174"/>
    <mergeCell ref="K175:K176"/>
    <mergeCell ref="K180:K181"/>
    <mergeCell ref="K182:K183"/>
    <mergeCell ref="K184:K185"/>
    <mergeCell ref="K186:K187"/>
    <mergeCell ref="K188:K189"/>
    <mergeCell ref="K190:K191"/>
    <mergeCell ref="K194:K195"/>
    <mergeCell ref="K196:K197"/>
    <mergeCell ref="K201:K202"/>
    <mergeCell ref="K203:K204"/>
    <mergeCell ref="K205:K206"/>
    <mergeCell ref="K207:K208"/>
    <mergeCell ref="K209:K210"/>
    <mergeCell ref="K211:K212"/>
    <mergeCell ref="K215:K216"/>
    <mergeCell ref="K217:K218"/>
    <mergeCell ref="K222:K223"/>
    <mergeCell ref="K224:K225"/>
    <mergeCell ref="K226:K227"/>
    <mergeCell ref="K228:K229"/>
    <mergeCell ref="K230:K231"/>
    <mergeCell ref="K232:K233"/>
    <mergeCell ref="K236:K237"/>
    <mergeCell ref="K238:K239"/>
    <mergeCell ref="K243:K244"/>
    <mergeCell ref="K245:K246"/>
    <mergeCell ref="K247:K248"/>
    <mergeCell ref="K249:K250"/>
    <mergeCell ref="K251:K252"/>
    <mergeCell ref="K253:K254"/>
    <mergeCell ref="K257:K258"/>
    <mergeCell ref="K259:K260"/>
    <mergeCell ref="L5:L6"/>
    <mergeCell ref="L7:L8"/>
    <mergeCell ref="L13:L14"/>
    <mergeCell ref="L20:L21"/>
    <mergeCell ref="L22:L23"/>
    <mergeCell ref="L28:L29"/>
    <mergeCell ref="L35:L36"/>
    <mergeCell ref="L37:L38"/>
    <mergeCell ref="L41:L42"/>
    <mergeCell ref="L43:L44"/>
    <mergeCell ref="L49:L50"/>
    <mergeCell ref="L56:L57"/>
    <mergeCell ref="L58:L59"/>
    <mergeCell ref="L62:L63"/>
    <mergeCell ref="L64:L65"/>
    <mergeCell ref="L70:L71"/>
    <mergeCell ref="L77:L78"/>
    <mergeCell ref="L79:L80"/>
    <mergeCell ref="L83:L84"/>
    <mergeCell ref="L85:L86"/>
    <mergeCell ref="L91:L92"/>
    <mergeCell ref="L98:L99"/>
    <mergeCell ref="L100:L101"/>
    <mergeCell ref="L104:L105"/>
    <mergeCell ref="L106:L107"/>
    <mergeCell ref="L112:L113"/>
    <mergeCell ref="L119:L120"/>
    <mergeCell ref="L121:L122"/>
    <mergeCell ref="L125:L126"/>
    <mergeCell ref="L127:L128"/>
    <mergeCell ref="L133:L134"/>
    <mergeCell ref="L140:L141"/>
    <mergeCell ref="L142:L143"/>
    <mergeCell ref="L146:L147"/>
    <mergeCell ref="L148:L149"/>
    <mergeCell ref="L154:L155"/>
    <mergeCell ref="L161:L162"/>
    <mergeCell ref="L163:L164"/>
    <mergeCell ref="L167:L168"/>
    <mergeCell ref="L169:L170"/>
    <mergeCell ref="L175:L176"/>
    <mergeCell ref="L182:L183"/>
    <mergeCell ref="L184:L185"/>
    <mergeCell ref="L188:L189"/>
    <mergeCell ref="L190:L191"/>
    <mergeCell ref="L196:L197"/>
    <mergeCell ref="L203:L204"/>
    <mergeCell ref="L205:L206"/>
    <mergeCell ref="L209:L210"/>
    <mergeCell ref="L211:L212"/>
    <mergeCell ref="L217:L218"/>
    <mergeCell ref="L224:L225"/>
    <mergeCell ref="L226:L227"/>
    <mergeCell ref="L230:L231"/>
    <mergeCell ref="L232:L233"/>
    <mergeCell ref="L238:L239"/>
    <mergeCell ref="L245:L246"/>
    <mergeCell ref="L247:L248"/>
    <mergeCell ref="L251:L252"/>
    <mergeCell ref="L253:L254"/>
    <mergeCell ref="L259:L260"/>
    <mergeCell ref="M3:M4"/>
    <mergeCell ref="M5:M6"/>
    <mergeCell ref="M7:M8"/>
    <mergeCell ref="M11:M12"/>
    <mergeCell ref="M13:M14"/>
    <mergeCell ref="M18:M19"/>
    <mergeCell ref="M20:M21"/>
    <mergeCell ref="M22:M23"/>
    <mergeCell ref="M26:M27"/>
    <mergeCell ref="M28:M29"/>
    <mergeCell ref="M33:M34"/>
    <mergeCell ref="M35:M36"/>
    <mergeCell ref="M37:M38"/>
    <mergeCell ref="M39:M40"/>
    <mergeCell ref="M41:M42"/>
    <mergeCell ref="M43:M44"/>
    <mergeCell ref="M47:M48"/>
    <mergeCell ref="M49:M50"/>
    <mergeCell ref="M54:M55"/>
    <mergeCell ref="M56:M57"/>
    <mergeCell ref="M58:M59"/>
    <mergeCell ref="M60:M61"/>
    <mergeCell ref="M62:M63"/>
    <mergeCell ref="M64:M65"/>
    <mergeCell ref="M68:M69"/>
    <mergeCell ref="M70:M71"/>
    <mergeCell ref="M75:M76"/>
    <mergeCell ref="M77:M78"/>
    <mergeCell ref="M79:M80"/>
    <mergeCell ref="M81:M82"/>
    <mergeCell ref="M83:M84"/>
    <mergeCell ref="M85:M86"/>
    <mergeCell ref="M89:M90"/>
    <mergeCell ref="M91:M92"/>
    <mergeCell ref="M96:M97"/>
    <mergeCell ref="M98:M99"/>
    <mergeCell ref="M100:M101"/>
    <mergeCell ref="M102:M103"/>
    <mergeCell ref="M104:M105"/>
    <mergeCell ref="M106:M107"/>
    <mergeCell ref="M110:M111"/>
    <mergeCell ref="M112:M113"/>
    <mergeCell ref="M117:M118"/>
    <mergeCell ref="M119:M120"/>
    <mergeCell ref="M121:M122"/>
    <mergeCell ref="M123:M124"/>
    <mergeCell ref="M125:M126"/>
    <mergeCell ref="M127:M128"/>
    <mergeCell ref="M131:M132"/>
    <mergeCell ref="M133:M134"/>
    <mergeCell ref="M138:M139"/>
    <mergeCell ref="M140:M141"/>
    <mergeCell ref="M142:M143"/>
    <mergeCell ref="M144:M145"/>
    <mergeCell ref="M146:M147"/>
    <mergeCell ref="M148:M149"/>
    <mergeCell ref="M152:M153"/>
    <mergeCell ref="M154:M155"/>
    <mergeCell ref="M159:M160"/>
    <mergeCell ref="M161:M162"/>
    <mergeCell ref="M163:M164"/>
    <mergeCell ref="M165:M166"/>
    <mergeCell ref="M167:M168"/>
    <mergeCell ref="M169:M170"/>
    <mergeCell ref="M173:M174"/>
    <mergeCell ref="M175:M176"/>
    <mergeCell ref="M180:M181"/>
    <mergeCell ref="M182:M183"/>
    <mergeCell ref="M184:M185"/>
    <mergeCell ref="M186:M187"/>
    <mergeCell ref="M188:M189"/>
    <mergeCell ref="M190:M191"/>
    <mergeCell ref="M194:M195"/>
    <mergeCell ref="M196:M197"/>
    <mergeCell ref="M201:M202"/>
    <mergeCell ref="M203:M204"/>
    <mergeCell ref="M205:M206"/>
    <mergeCell ref="M207:M208"/>
    <mergeCell ref="M209:M210"/>
    <mergeCell ref="M211:M212"/>
    <mergeCell ref="M215:M216"/>
    <mergeCell ref="M217:M218"/>
    <mergeCell ref="M222:M223"/>
    <mergeCell ref="M224:M225"/>
    <mergeCell ref="M226:M227"/>
    <mergeCell ref="M228:M229"/>
    <mergeCell ref="M230:M231"/>
    <mergeCell ref="M232:M233"/>
    <mergeCell ref="M236:M237"/>
    <mergeCell ref="M238:M239"/>
    <mergeCell ref="M243:M244"/>
    <mergeCell ref="M245:M246"/>
    <mergeCell ref="M247:M248"/>
    <mergeCell ref="M249:M250"/>
    <mergeCell ref="M251:M252"/>
    <mergeCell ref="M253:M254"/>
    <mergeCell ref="M257:M258"/>
    <mergeCell ref="M259:M260"/>
    <mergeCell ref="N5:N6"/>
    <mergeCell ref="N7:N8"/>
    <mergeCell ref="N20:N21"/>
    <mergeCell ref="N22:N23"/>
    <mergeCell ref="N35:N36"/>
    <mergeCell ref="N37:N38"/>
    <mergeCell ref="N41:N42"/>
    <mergeCell ref="N43:N44"/>
    <mergeCell ref="N56:N57"/>
    <mergeCell ref="N58:N59"/>
    <mergeCell ref="N62:N63"/>
    <mergeCell ref="N64:N65"/>
    <mergeCell ref="N77:N78"/>
    <mergeCell ref="N79:N80"/>
    <mergeCell ref="N83:N84"/>
    <mergeCell ref="N85:N86"/>
    <mergeCell ref="N98:N99"/>
    <mergeCell ref="N100:N101"/>
    <mergeCell ref="N104:N105"/>
    <mergeCell ref="N106:N107"/>
    <mergeCell ref="N119:N120"/>
    <mergeCell ref="N121:N122"/>
    <mergeCell ref="N125:N126"/>
    <mergeCell ref="N127:N128"/>
    <mergeCell ref="N140:N141"/>
    <mergeCell ref="N142:N143"/>
    <mergeCell ref="N146:N147"/>
    <mergeCell ref="N148:N149"/>
    <mergeCell ref="N161:N162"/>
    <mergeCell ref="N163:N164"/>
    <mergeCell ref="N167:N168"/>
    <mergeCell ref="N169:N170"/>
    <mergeCell ref="N182:N183"/>
    <mergeCell ref="N184:N185"/>
    <mergeCell ref="N188:N189"/>
    <mergeCell ref="N190:N191"/>
    <mergeCell ref="N203:N204"/>
    <mergeCell ref="N205:N206"/>
    <mergeCell ref="N209:N210"/>
    <mergeCell ref="N211:N212"/>
    <mergeCell ref="N224:N225"/>
    <mergeCell ref="N226:N227"/>
    <mergeCell ref="N230:N231"/>
    <mergeCell ref="N232:N233"/>
    <mergeCell ref="N245:N246"/>
    <mergeCell ref="N247:N248"/>
    <mergeCell ref="N251:N252"/>
    <mergeCell ref="N253:N254"/>
    <mergeCell ref="O3:O4"/>
    <mergeCell ref="O5:O6"/>
    <mergeCell ref="O7:O8"/>
    <mergeCell ref="O18:O19"/>
    <mergeCell ref="O20:O21"/>
    <mergeCell ref="O22:O23"/>
    <mergeCell ref="O33:O34"/>
    <mergeCell ref="O35:O36"/>
    <mergeCell ref="O37:O38"/>
    <mergeCell ref="O39:O40"/>
    <mergeCell ref="O41:O42"/>
    <mergeCell ref="O43:O44"/>
    <mergeCell ref="O54:O55"/>
    <mergeCell ref="O56:O57"/>
    <mergeCell ref="O58:O59"/>
    <mergeCell ref="O60:O61"/>
    <mergeCell ref="O62:O63"/>
    <mergeCell ref="O64:O65"/>
    <mergeCell ref="O75:O76"/>
    <mergeCell ref="O77:O78"/>
    <mergeCell ref="O79:O80"/>
    <mergeCell ref="O81:O82"/>
    <mergeCell ref="O83:O84"/>
    <mergeCell ref="O85:O86"/>
    <mergeCell ref="O96:O97"/>
    <mergeCell ref="O98:O99"/>
    <mergeCell ref="O100:O101"/>
    <mergeCell ref="O102:O103"/>
    <mergeCell ref="O104:O105"/>
    <mergeCell ref="O106:O107"/>
    <mergeCell ref="O117:O118"/>
    <mergeCell ref="O119:O120"/>
    <mergeCell ref="O121:O122"/>
    <mergeCell ref="O123:O124"/>
    <mergeCell ref="O125:O126"/>
    <mergeCell ref="O127:O128"/>
    <mergeCell ref="O138:O139"/>
    <mergeCell ref="O140:O141"/>
    <mergeCell ref="O142:O143"/>
    <mergeCell ref="O144:O145"/>
    <mergeCell ref="O146:O147"/>
    <mergeCell ref="O148:O149"/>
    <mergeCell ref="O159:O160"/>
    <mergeCell ref="O161:O162"/>
    <mergeCell ref="O163:O164"/>
    <mergeCell ref="O165:O166"/>
    <mergeCell ref="O167:O168"/>
    <mergeCell ref="O169:O170"/>
    <mergeCell ref="O180:O181"/>
    <mergeCell ref="O182:O183"/>
    <mergeCell ref="O184:O185"/>
    <mergeCell ref="O186:O187"/>
    <mergeCell ref="O188:O189"/>
    <mergeCell ref="O190:O191"/>
    <mergeCell ref="O201:O202"/>
    <mergeCell ref="O203:O204"/>
    <mergeCell ref="O205:O206"/>
    <mergeCell ref="O207:O208"/>
    <mergeCell ref="O209:O210"/>
    <mergeCell ref="O211:O212"/>
    <mergeCell ref="O222:O223"/>
    <mergeCell ref="O224:O225"/>
    <mergeCell ref="O226:O227"/>
    <mergeCell ref="O228:O229"/>
    <mergeCell ref="O230:O231"/>
    <mergeCell ref="O232:O233"/>
    <mergeCell ref="O243:O244"/>
    <mergeCell ref="O245:O246"/>
    <mergeCell ref="O247:O248"/>
    <mergeCell ref="O249:O250"/>
    <mergeCell ref="O251:O252"/>
    <mergeCell ref="O253:O254"/>
    <mergeCell ref="P3:P8"/>
    <mergeCell ref="P18:P23"/>
    <mergeCell ref="P33:P44"/>
    <mergeCell ref="P54:P65"/>
    <mergeCell ref="P75:P86"/>
    <mergeCell ref="P96:P107"/>
    <mergeCell ref="P117:P128"/>
    <mergeCell ref="P138:P149"/>
    <mergeCell ref="P159:P170"/>
    <mergeCell ref="P180:P191"/>
    <mergeCell ref="P201:P212"/>
    <mergeCell ref="P222:P233"/>
    <mergeCell ref="P243:P254"/>
    <mergeCell ref="B236:C239"/>
    <mergeCell ref="B110:C113"/>
    <mergeCell ref="B89:C92"/>
    <mergeCell ref="B11:C14"/>
    <mergeCell ref="B26:C29"/>
    <mergeCell ref="B47:C50"/>
    <mergeCell ref="B68:C71"/>
    <mergeCell ref="B131:C134"/>
    <mergeCell ref="B152:C155"/>
    <mergeCell ref="B215:C218"/>
    <mergeCell ref="B194:C197"/>
    <mergeCell ref="B173:C176"/>
    <mergeCell ref="B257:C260"/>
  </mergeCells>
  <conditionalFormatting sqref="C5">
    <cfRule type="containsBlanks" dxfId="0" priority="6">
      <formula>LEN(TRIM(C5))=0</formula>
    </cfRule>
  </conditionalFormatting>
  <pageMargins left="0.551181102362205" right="0.15748031496063" top="0.62992125984252" bottom="0.393700787401575" header="0.354330708661417" footer="0.15748031496063"/>
  <pageSetup paperSize="9" scale="73" orientation="landscape"/>
  <headerFooter alignWithMargins="0">
    <oddFooter>&amp;L_</oddFooter>
  </headerFooter>
  <rowBreaks count="1" manualBreakCount="1">
    <brk id="51" max="13" man="1"/>
  </rowBreaks>
  <ignoredErrors>
    <ignoredError sqref="L17:M19 L4:N11 L12:N16 L20:M24 L25:M25 L129:P152 L236:P262 L153:P235 L96:P109 L110:P114 L115:P128 L73:T74 L66:T72 L54:T65 L75:R87 L88:R92 N18 L26:N29 N19:N25 L33:L42 N34:N38 M40:N42 L3:N3 L93:O94 M44:N44 L43:N43 L49:L50 L52 L44:L4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98" zoomScaleNormal="98" workbookViewId="0">
      <selection activeCell="A1" sqref="A1"/>
    </sheetView>
  </sheetViews>
  <sheetFormatPr defaultColWidth="9" defaultRowHeight="13" outlineLevelRow="6" outlineLevelCol="7"/>
  <cols>
    <col min="1" max="1" width="3" style="145" customWidth="1"/>
    <col min="2" max="7" width="14.875" style="145" customWidth="1"/>
    <col min="8" max="8" width="2.75" style="145" customWidth="1"/>
    <col min="9" max="16384" width="9" style="145"/>
  </cols>
  <sheetData>
    <row r="1" s="144" customFormat="1" ht="13.75" spans="1:1">
      <c r="A1" s="144" t="s">
        <v>5</v>
      </c>
    </row>
    <row r="2" ht="19.5" customHeight="1" spans="2:8">
      <c r="B2" s="146" t="s">
        <v>145</v>
      </c>
      <c r="C2" s="147"/>
      <c r="D2" s="147"/>
      <c r="E2" s="147"/>
      <c r="F2" s="147"/>
      <c r="G2" s="148"/>
      <c r="H2" s="149"/>
    </row>
    <row r="3" ht="46.5" customHeight="1" spans="2:8">
      <c r="B3" s="150" t="s">
        <v>146</v>
      </c>
      <c r="C3" s="151" t="s">
        <v>146</v>
      </c>
      <c r="D3" s="151" t="s">
        <v>147</v>
      </c>
      <c r="E3" s="151" t="s">
        <v>147</v>
      </c>
      <c r="F3" s="151" t="s">
        <v>148</v>
      </c>
      <c r="G3" s="152" t="s">
        <v>148</v>
      </c>
      <c r="H3" s="149"/>
    </row>
    <row r="4" ht="46.5" customHeight="1" spans="2:8">
      <c r="B4" s="153" t="s">
        <v>48</v>
      </c>
      <c r="C4" s="151" t="s">
        <v>48</v>
      </c>
      <c r="D4" s="151" t="s">
        <v>48</v>
      </c>
      <c r="E4" s="151" t="s">
        <v>48</v>
      </c>
      <c r="F4" s="151" t="s">
        <v>149</v>
      </c>
      <c r="G4" s="154" t="s">
        <v>149</v>
      </c>
      <c r="H4" s="149"/>
    </row>
    <row r="5" ht="46.5" customHeight="1" spans="2:8">
      <c r="B5" s="155" t="s">
        <v>48</v>
      </c>
      <c r="C5" s="156" t="s">
        <v>48</v>
      </c>
      <c r="D5" s="156" t="s">
        <v>48</v>
      </c>
      <c r="E5" s="156" t="s">
        <v>48</v>
      </c>
      <c r="F5" s="156" t="s">
        <v>150</v>
      </c>
      <c r="G5" s="154" t="s">
        <v>150</v>
      </c>
      <c r="H5" s="149"/>
    </row>
    <row r="6" ht="46.5" customHeight="1" spans="2:8">
      <c r="B6" s="157" t="s">
        <v>48</v>
      </c>
      <c r="C6" s="158" t="s">
        <v>48</v>
      </c>
      <c r="D6" s="158" t="s">
        <v>48</v>
      </c>
      <c r="E6" s="158" t="s">
        <v>48</v>
      </c>
      <c r="F6" s="158" t="s">
        <v>151</v>
      </c>
      <c r="G6" s="159" t="s">
        <v>151</v>
      </c>
      <c r="H6" s="149"/>
    </row>
    <row r="7" spans="2:8">
      <c r="B7" s="149"/>
      <c r="C7" s="149"/>
      <c r="D7" s="149"/>
      <c r="E7" s="149"/>
      <c r="F7" s="149"/>
      <c r="G7" s="149"/>
      <c r="H7" s="149"/>
    </row>
  </sheetData>
  <mergeCells count="1">
    <mergeCell ref="B2:G2"/>
  </mergeCell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"/>
  <sheetViews>
    <sheetView workbookViewId="0">
      <selection activeCell="A1" sqref="A1"/>
    </sheetView>
  </sheetViews>
  <sheetFormatPr defaultColWidth="8" defaultRowHeight="15.5" outlineLevelCol="7"/>
  <cols>
    <col min="1" max="1" width="2.75" style="125" customWidth="1"/>
    <col min="2" max="7" width="9.75" style="125" customWidth="1"/>
    <col min="8" max="8" width="7.25" style="125" customWidth="1"/>
    <col min="9" max="16384" width="8" style="125"/>
  </cols>
  <sheetData>
    <row r="1" s="124" customFormat="1" spans="2:8">
      <c r="B1" s="126"/>
      <c r="C1" s="126"/>
      <c r="D1" s="126"/>
      <c r="E1" s="126"/>
      <c r="F1" s="126"/>
      <c r="G1" s="126"/>
      <c r="H1" s="126"/>
    </row>
    <row r="2" ht="16.25" spans="2:8">
      <c r="B2" s="127" t="s">
        <v>152</v>
      </c>
      <c r="C2" s="128" t="s">
        <v>153</v>
      </c>
      <c r="D2" s="127"/>
      <c r="E2" s="127"/>
      <c r="F2" s="127"/>
      <c r="G2" s="127"/>
      <c r="H2" s="129"/>
    </row>
    <row r="3" ht="16.5" spans="2:8">
      <c r="B3" s="130" t="s">
        <v>154</v>
      </c>
      <c r="C3" s="131"/>
      <c r="D3" s="131"/>
      <c r="E3" s="131"/>
      <c r="F3" s="131"/>
      <c r="G3" s="132"/>
      <c r="H3" s="129"/>
    </row>
    <row r="4" spans="2:8">
      <c r="B4" s="133">
        <v>825</v>
      </c>
      <c r="C4" s="134">
        <v>726</v>
      </c>
      <c r="D4" s="134">
        <v>693</v>
      </c>
      <c r="E4" s="134">
        <v>660</v>
      </c>
      <c r="F4" s="134">
        <v>627</v>
      </c>
      <c r="G4" s="135">
        <v>792</v>
      </c>
      <c r="H4" s="129"/>
    </row>
    <row r="5" spans="2:8">
      <c r="B5" s="136" t="s">
        <v>48</v>
      </c>
      <c r="C5" s="137" t="s">
        <v>48</v>
      </c>
      <c r="D5" s="137" t="s">
        <v>48</v>
      </c>
      <c r="E5" s="137" t="s">
        <v>48</v>
      </c>
      <c r="F5" s="134">
        <v>660</v>
      </c>
      <c r="G5" s="135">
        <v>693</v>
      </c>
      <c r="H5" s="129"/>
    </row>
    <row r="6" spans="2:8">
      <c r="B6" s="136" t="s">
        <v>48</v>
      </c>
      <c r="C6" s="137" t="s">
        <v>48</v>
      </c>
      <c r="D6" s="137" t="s">
        <v>48</v>
      </c>
      <c r="E6" s="137" t="s">
        <v>48</v>
      </c>
      <c r="F6" s="134">
        <v>693</v>
      </c>
      <c r="G6" s="135">
        <v>660</v>
      </c>
      <c r="H6" s="129"/>
    </row>
    <row r="7" ht="16.25" spans="2:8">
      <c r="B7" s="138" t="s">
        <v>48</v>
      </c>
      <c r="C7" s="139" t="s">
        <v>48</v>
      </c>
      <c r="D7" s="139" t="s">
        <v>48</v>
      </c>
      <c r="E7" s="139" t="s">
        <v>48</v>
      </c>
      <c r="F7" s="140">
        <v>726</v>
      </c>
      <c r="G7" s="141">
        <v>759</v>
      </c>
      <c r="H7" s="129"/>
    </row>
    <row r="8" spans="2:8">
      <c r="B8" s="142"/>
      <c r="C8" s="142"/>
      <c r="D8" s="142"/>
      <c r="E8" s="142"/>
      <c r="F8" s="142"/>
      <c r="G8" s="142"/>
      <c r="H8" s="129"/>
    </row>
    <row r="9" ht="16.25" spans="2:8">
      <c r="B9" s="129" t="s">
        <v>155</v>
      </c>
      <c r="C9" s="128" t="str">
        <f>C2</f>
        <v>(Plate ID: 08-08-2025-P2)</v>
      </c>
      <c r="D9" s="129"/>
      <c r="E9" s="129"/>
      <c r="F9" s="129"/>
      <c r="G9" s="129"/>
      <c r="H9" s="129"/>
    </row>
    <row r="10" ht="16.5" spans="2:8">
      <c r="B10" s="130" t="s">
        <v>156</v>
      </c>
      <c r="C10" s="131"/>
      <c r="D10" s="131"/>
      <c r="E10" s="131"/>
      <c r="F10" s="131"/>
      <c r="G10" s="132"/>
      <c r="H10" s="129"/>
    </row>
    <row r="11" spans="2:8">
      <c r="B11" s="133">
        <v>627</v>
      </c>
      <c r="C11" s="134">
        <v>528</v>
      </c>
      <c r="D11" s="134">
        <v>528</v>
      </c>
      <c r="E11" s="134">
        <v>495</v>
      </c>
      <c r="F11" s="134">
        <v>462</v>
      </c>
      <c r="G11" s="135">
        <v>429</v>
      </c>
      <c r="H11" s="129"/>
    </row>
    <row r="12" spans="2:8">
      <c r="B12" s="136" t="s">
        <v>48</v>
      </c>
      <c r="C12" s="137" t="s">
        <v>48</v>
      </c>
      <c r="D12" s="137" t="s">
        <v>48</v>
      </c>
      <c r="E12" s="137" t="s">
        <v>48</v>
      </c>
      <c r="F12" s="134">
        <v>462</v>
      </c>
      <c r="G12" s="135">
        <v>462</v>
      </c>
      <c r="H12" s="129"/>
    </row>
    <row r="13" spans="2:8">
      <c r="B13" s="136" t="s">
        <v>48</v>
      </c>
      <c r="C13" s="137" t="s">
        <v>48</v>
      </c>
      <c r="D13" s="137" t="s">
        <v>48</v>
      </c>
      <c r="E13" s="137" t="s">
        <v>48</v>
      </c>
      <c r="F13" s="134">
        <v>528</v>
      </c>
      <c r="G13" s="135">
        <v>495</v>
      </c>
      <c r="H13" s="129"/>
    </row>
    <row r="14" ht="16.25" spans="2:8">
      <c r="B14" s="138" t="s">
        <v>48</v>
      </c>
      <c r="C14" s="139" t="s">
        <v>48</v>
      </c>
      <c r="D14" s="139" t="s">
        <v>48</v>
      </c>
      <c r="E14" s="139" t="s">
        <v>48</v>
      </c>
      <c r="F14" s="140">
        <v>528</v>
      </c>
      <c r="G14" s="141">
        <v>561</v>
      </c>
      <c r="H14" s="129"/>
    </row>
    <row r="15" spans="2:8">
      <c r="B15" s="129"/>
      <c r="C15" s="129"/>
      <c r="D15" s="129"/>
      <c r="E15" s="129"/>
      <c r="F15" s="129"/>
      <c r="G15" s="129"/>
      <c r="H15" s="129"/>
    </row>
    <row r="16" ht="16.5" spans="2:8">
      <c r="B16" s="143" t="s">
        <v>157</v>
      </c>
      <c r="C16" s="143"/>
      <c r="D16" s="143"/>
      <c r="E16" s="143"/>
      <c r="F16" s="143"/>
      <c r="G16" s="143"/>
      <c r="H16" s="143"/>
    </row>
  </sheetData>
  <mergeCells count="3">
    <mergeCell ref="B3:G3"/>
    <mergeCell ref="B10:G10"/>
    <mergeCell ref="B16:G16"/>
  </mergeCells>
  <pageMargins left="0.708661417322835" right="0.708661417322835" top="0.748031496062992" bottom="0.748031496062992" header="0.31496062992126" footer="0.31496062992126"/>
  <pageSetup paperSize="9" firstPageNumber="4294963191" orientation="landscape" useFirstPageNumber="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zoomScale="106" zoomScaleNormal="106" workbookViewId="0">
      <selection activeCell="A1" sqref="A1"/>
    </sheetView>
  </sheetViews>
  <sheetFormatPr defaultColWidth="9" defaultRowHeight="21.75" customHeight="1"/>
  <cols>
    <col min="1" max="1" width="1.625" style="83" customWidth="1"/>
    <col min="2" max="2" width="8.125" style="83" customWidth="1"/>
    <col min="3" max="3" width="13.5" style="83" customWidth="1"/>
    <col min="4" max="4" width="10.875" style="83" customWidth="1"/>
    <col min="5" max="5" width="7.75" style="83" customWidth="1"/>
    <col min="6" max="7" width="10.875" style="83" customWidth="1"/>
    <col min="8" max="8" width="10.375" style="83" customWidth="1"/>
    <col min="9" max="9" width="3.25" style="83" customWidth="1"/>
    <col min="10" max="16384" width="9" style="83"/>
  </cols>
  <sheetData>
    <row r="1" customHeight="1" spans="1:1">
      <c r="A1" s="83" t="s">
        <v>158</v>
      </c>
    </row>
    <row r="2" customHeight="1" spans="2:8">
      <c r="B2" s="84" t="s">
        <v>159</v>
      </c>
      <c r="C2" s="85"/>
      <c r="D2" s="85"/>
      <c r="E2" s="85"/>
      <c r="F2" s="85"/>
      <c r="G2" s="85"/>
      <c r="H2" s="86"/>
    </row>
    <row r="3" customHeight="1" spans="2:8">
      <c r="B3" s="87" t="s">
        <v>160</v>
      </c>
      <c r="C3" s="88"/>
      <c r="D3" s="88"/>
      <c r="E3" s="88"/>
      <c r="F3" s="89" t="s">
        <v>161</v>
      </c>
      <c r="G3" s="88"/>
      <c r="H3" s="90"/>
    </row>
    <row r="4" ht="26.25" customHeight="1" spans="2:8">
      <c r="B4" s="87" t="s">
        <v>162</v>
      </c>
      <c r="C4" s="88"/>
      <c r="D4" s="88"/>
      <c r="E4" s="88"/>
      <c r="F4" s="89">
        <v>40</v>
      </c>
      <c r="G4" s="88"/>
      <c r="H4" s="90" t="s">
        <v>163</v>
      </c>
    </row>
    <row r="5" customHeight="1" spans="2:8">
      <c r="B5" s="87" t="s">
        <v>164</v>
      </c>
      <c r="C5" s="88"/>
      <c r="D5" s="88"/>
      <c r="E5" s="88"/>
      <c r="F5" s="89" t="s">
        <v>165</v>
      </c>
      <c r="G5" s="88"/>
      <c r="H5" s="90" t="s">
        <v>166</v>
      </c>
    </row>
    <row r="6" customHeight="1" spans="2:8">
      <c r="B6" s="87" t="s">
        <v>167</v>
      </c>
      <c r="C6" s="88"/>
      <c r="D6" s="88"/>
      <c r="E6" s="88"/>
      <c r="F6" s="89" t="s">
        <v>168</v>
      </c>
      <c r="G6" s="88"/>
      <c r="H6" s="90" t="s">
        <v>169</v>
      </c>
    </row>
    <row r="7" customHeight="1" spans="2:8">
      <c r="B7" s="91" t="s">
        <v>170</v>
      </c>
      <c r="C7" s="92"/>
      <c r="D7" s="92"/>
      <c r="E7" s="92"/>
      <c r="F7" s="93" t="s">
        <v>171</v>
      </c>
      <c r="G7" s="92"/>
      <c r="H7" s="94" t="s">
        <v>172</v>
      </c>
    </row>
    <row r="9" ht="54.6" customHeight="1" spans="2:8">
      <c r="B9" s="95" t="s">
        <v>173</v>
      </c>
      <c r="C9" s="96"/>
      <c r="D9" s="96"/>
      <c r="E9" s="96"/>
      <c r="F9" s="96"/>
      <c r="G9" s="96"/>
      <c r="H9" s="97"/>
    </row>
    <row r="10" customHeight="1" spans="2:8">
      <c r="B10" s="87" t="s">
        <v>174</v>
      </c>
      <c r="C10" s="88"/>
      <c r="D10" s="88"/>
      <c r="E10" s="88"/>
      <c r="F10" s="89" t="s">
        <v>175</v>
      </c>
      <c r="G10" s="88"/>
      <c r="H10" s="90" t="s">
        <v>176</v>
      </c>
    </row>
    <row r="11" customHeight="1" spans="2:8">
      <c r="B11" s="98" t="s">
        <v>177</v>
      </c>
      <c r="C11" s="99"/>
      <c r="D11" s="99"/>
      <c r="E11" s="99"/>
      <c r="F11" s="100" t="s">
        <v>178</v>
      </c>
      <c r="G11" s="99"/>
      <c r="H11" s="101" t="s">
        <v>179</v>
      </c>
    </row>
    <row r="12" customHeight="1" spans="2:8">
      <c r="B12" s="87" t="s">
        <v>180</v>
      </c>
      <c r="C12" s="88"/>
      <c r="D12" s="88"/>
      <c r="E12" s="88"/>
      <c r="F12" s="89" t="s">
        <v>181</v>
      </c>
      <c r="G12" s="88"/>
      <c r="H12" s="90" t="s">
        <v>181</v>
      </c>
    </row>
    <row r="13" ht="26.25" customHeight="1" spans="2:8">
      <c r="B13" s="87" t="s">
        <v>182</v>
      </c>
      <c r="C13" s="88"/>
      <c r="D13" s="88"/>
      <c r="E13" s="88"/>
      <c r="F13" s="89" t="s">
        <v>183</v>
      </c>
      <c r="G13" s="88"/>
      <c r="H13" s="90" t="s">
        <v>184</v>
      </c>
    </row>
    <row r="14" customHeight="1" spans="2:8">
      <c r="B14" s="87" t="s">
        <v>185</v>
      </c>
      <c r="C14" s="88"/>
      <c r="D14" s="88"/>
      <c r="E14" s="88"/>
      <c r="F14" s="89" t="s">
        <v>52</v>
      </c>
      <c r="G14" s="88"/>
      <c r="H14" s="90" t="s">
        <v>186</v>
      </c>
    </row>
    <row r="15" customHeight="1" spans="2:8">
      <c r="B15" s="87" t="s">
        <v>187</v>
      </c>
      <c r="C15" s="88"/>
      <c r="D15" s="88"/>
      <c r="E15" s="88"/>
      <c r="F15" s="89" t="s">
        <v>47</v>
      </c>
      <c r="G15" s="88"/>
      <c r="H15" s="90" t="s">
        <v>188</v>
      </c>
    </row>
    <row r="16" customHeight="1" spans="2:8">
      <c r="B16" s="87" t="s">
        <v>189</v>
      </c>
      <c r="C16" s="88"/>
      <c r="D16" s="88"/>
      <c r="E16" s="88"/>
      <c r="F16" s="89" t="s">
        <v>40</v>
      </c>
      <c r="G16" s="88"/>
      <c r="H16" s="90" t="s">
        <v>190</v>
      </c>
    </row>
    <row r="17" customHeight="1" spans="2:8">
      <c r="B17" s="87" t="s">
        <v>191</v>
      </c>
      <c r="C17" s="88"/>
      <c r="D17" s="88"/>
      <c r="E17" s="88"/>
      <c r="F17" s="89" t="s">
        <v>192</v>
      </c>
      <c r="G17" s="88"/>
      <c r="H17" s="90" t="s">
        <v>193</v>
      </c>
    </row>
    <row r="18" customHeight="1" spans="2:8">
      <c r="B18" s="91" t="s">
        <v>194</v>
      </c>
      <c r="C18" s="92"/>
      <c r="D18" s="92"/>
      <c r="E18" s="92"/>
      <c r="F18" s="93" t="s">
        <v>192</v>
      </c>
      <c r="G18" s="92"/>
      <c r="H18" s="94" t="s">
        <v>193</v>
      </c>
    </row>
    <row r="19" customHeight="1" spans="16:16">
      <c r="P19" s="122"/>
    </row>
    <row r="20" customHeight="1" spans="2:16">
      <c r="B20" s="102" t="s">
        <v>195</v>
      </c>
      <c r="C20" s="103"/>
      <c r="D20" s="103"/>
      <c r="E20" s="104"/>
      <c r="F20" s="105" t="s">
        <v>196</v>
      </c>
      <c r="G20" s="106"/>
      <c r="H20" s="107"/>
      <c r="M20" s="122"/>
      <c r="N20" s="122"/>
      <c r="P20" s="122"/>
    </row>
    <row r="21" customHeight="1" spans="2:16">
      <c r="B21" s="108" t="str">
        <f>CoverPage!B6</f>
        <v>HW356009-P1</v>
      </c>
      <c r="C21" s="109" t="s">
        <v>197</v>
      </c>
      <c r="D21" s="109" t="s">
        <v>197</v>
      </c>
      <c r="E21" s="110" t="s">
        <v>197</v>
      </c>
      <c r="F21" s="111" t="s">
        <v>198</v>
      </c>
      <c r="G21" s="112"/>
      <c r="H21" s="113"/>
      <c r="K21" s="122"/>
      <c r="L21" s="122"/>
      <c r="M21" s="123"/>
      <c r="N21" s="122"/>
      <c r="P21" s="122"/>
    </row>
    <row r="22" hidden="1" customHeight="1" spans="2:16">
      <c r="B22" s="108"/>
      <c r="C22" s="109"/>
      <c r="D22" s="109"/>
      <c r="E22" s="110"/>
      <c r="F22" s="111"/>
      <c r="G22" s="112"/>
      <c r="H22" s="113"/>
      <c r="K22" s="122"/>
      <c r="L22" s="122"/>
      <c r="M22" s="123"/>
      <c r="N22" s="122"/>
      <c r="O22" s="122"/>
      <c r="P22" s="122"/>
    </row>
    <row r="23" hidden="1" customHeight="1" spans="2:16">
      <c r="B23" s="108"/>
      <c r="C23" s="109"/>
      <c r="D23" s="109"/>
      <c r="E23" s="110"/>
      <c r="F23" s="111"/>
      <c r="G23" s="112"/>
      <c r="H23" s="113"/>
      <c r="K23" s="122"/>
      <c r="L23" s="122"/>
      <c r="M23" s="122"/>
      <c r="N23" s="122"/>
      <c r="O23" s="122"/>
      <c r="P23" s="122"/>
    </row>
    <row r="24" hidden="1" customHeight="1" spans="2:16">
      <c r="B24" s="108"/>
      <c r="C24" s="109"/>
      <c r="D24" s="109"/>
      <c r="E24" s="110"/>
      <c r="F24" s="111"/>
      <c r="G24" s="112"/>
      <c r="H24" s="113"/>
      <c r="K24" s="122"/>
      <c r="L24" s="122"/>
      <c r="M24" s="122"/>
      <c r="N24" s="122"/>
      <c r="O24" s="122"/>
      <c r="P24" s="122"/>
    </row>
    <row r="25" hidden="1" customHeight="1" spans="2:16">
      <c r="B25" s="108"/>
      <c r="C25" s="109"/>
      <c r="D25" s="109"/>
      <c r="E25" s="110"/>
      <c r="F25" s="111"/>
      <c r="G25" s="112"/>
      <c r="H25" s="113"/>
      <c r="K25" s="122"/>
      <c r="L25" s="122"/>
      <c r="M25" s="122"/>
      <c r="N25" s="122"/>
      <c r="O25" s="122"/>
      <c r="P25" s="122"/>
    </row>
    <row r="26" hidden="1" customHeight="1" spans="2:16">
      <c r="B26" s="108"/>
      <c r="C26" s="109"/>
      <c r="D26" s="109"/>
      <c r="E26" s="110"/>
      <c r="F26" s="111"/>
      <c r="G26" s="112"/>
      <c r="H26" s="113"/>
      <c r="K26" s="122"/>
      <c r="L26" s="122"/>
      <c r="M26" s="122"/>
      <c r="N26" s="122"/>
      <c r="O26" s="122"/>
      <c r="P26" s="122"/>
    </row>
    <row r="27" hidden="1" customHeight="1" spans="2:16">
      <c r="B27" s="108"/>
      <c r="C27" s="109"/>
      <c r="D27" s="109"/>
      <c r="E27" s="110"/>
      <c r="F27" s="111"/>
      <c r="G27" s="112"/>
      <c r="H27" s="113"/>
      <c r="K27" s="122"/>
      <c r="L27" s="122"/>
      <c r="M27" s="122"/>
      <c r="N27" s="122"/>
      <c r="O27" s="122"/>
      <c r="P27" s="122"/>
    </row>
    <row r="28" hidden="1" customHeight="1" spans="2:16">
      <c r="B28" s="108"/>
      <c r="C28" s="109"/>
      <c r="D28" s="109"/>
      <c r="E28" s="110"/>
      <c r="F28" s="111"/>
      <c r="G28" s="112"/>
      <c r="H28" s="113"/>
      <c r="K28" s="122"/>
      <c r="L28" s="122"/>
      <c r="M28" s="122"/>
      <c r="N28" s="122"/>
      <c r="O28" s="122"/>
      <c r="P28" s="122"/>
    </row>
    <row r="29" hidden="1" customHeight="1" spans="2:16">
      <c r="B29" s="108"/>
      <c r="C29" s="109"/>
      <c r="D29" s="109"/>
      <c r="E29" s="110"/>
      <c r="F29" s="111"/>
      <c r="G29" s="112"/>
      <c r="H29" s="113"/>
      <c r="K29" s="122"/>
      <c r="L29" s="122"/>
      <c r="M29" s="122"/>
      <c r="N29" s="122"/>
      <c r="O29" s="122"/>
      <c r="P29" s="122"/>
    </row>
    <row r="30" hidden="1" customHeight="1" spans="2:16">
      <c r="B30" s="114"/>
      <c r="C30" s="115"/>
      <c r="D30" s="115"/>
      <c r="E30" s="116"/>
      <c r="F30" s="117"/>
      <c r="G30" s="118"/>
      <c r="H30" s="119"/>
      <c r="M30" s="122"/>
      <c r="N30" s="122"/>
      <c r="O30" s="122"/>
      <c r="P30" s="122"/>
    </row>
    <row r="31" customHeight="1" spans="2:16">
      <c r="B31" s="120"/>
      <c r="C31" s="120"/>
      <c r="D31" s="120"/>
      <c r="E31" s="120"/>
      <c r="F31" s="120"/>
      <c r="G31" s="120"/>
      <c r="H31" s="120"/>
      <c r="O31" s="122"/>
      <c r="P31" s="122"/>
    </row>
    <row r="34" customHeight="1" spans="7:12">
      <c r="G34" s="121"/>
      <c r="H34" s="121"/>
      <c r="I34" s="121"/>
      <c r="J34" s="121"/>
      <c r="K34" s="121"/>
      <c r="L34" s="121"/>
    </row>
  </sheetData>
  <mergeCells count="52">
    <mergeCell ref="B2:H2"/>
    <mergeCell ref="B3:E3"/>
    <mergeCell ref="F3:H3"/>
    <mergeCell ref="B4:E4"/>
    <mergeCell ref="F4:H4"/>
    <mergeCell ref="B5:E5"/>
    <mergeCell ref="F5:H5"/>
    <mergeCell ref="B6:E6"/>
    <mergeCell ref="F6:H6"/>
    <mergeCell ref="B7:E7"/>
    <mergeCell ref="F7:H7"/>
    <mergeCell ref="B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</mergeCells>
  <pageMargins left="0.708661417322835" right="0.36" top="0.51" bottom="0.38" header="0.31496062992126" footer="0.31496062992126"/>
  <pageSetup paperSize="9" scale="85" firstPageNumber="4294963191" orientation="landscape" useFirstPageNumber="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V21"/>
  <sheetViews>
    <sheetView workbookViewId="0">
      <selection activeCell="A1" sqref="A1"/>
    </sheetView>
  </sheetViews>
  <sheetFormatPr defaultColWidth="9" defaultRowHeight="15"/>
  <cols>
    <col min="2" max="2" width="19.875" customWidth="1"/>
    <col min="3" max="3" width="14.375" customWidth="1"/>
    <col min="4" max="4" width="10.875" customWidth="1"/>
  </cols>
  <sheetData>
    <row r="2" s="58" customFormat="1" ht="18.25" spans="1:254">
      <c r="A2" s="59"/>
      <c r="B2" s="60" t="s">
        <v>199</v>
      </c>
      <c r="C2" s="60"/>
      <c r="D2" s="61"/>
      <c r="E2" s="62"/>
      <c r="F2" s="62"/>
      <c r="G2" s="63"/>
      <c r="H2" s="63"/>
      <c r="I2" s="63"/>
      <c r="J2" s="63"/>
      <c r="K2" s="63"/>
      <c r="L2" s="63"/>
      <c r="M2" s="63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</row>
    <row r="3" s="58" customFormat="1" ht="15.5" spans="1:254">
      <c r="A3" s="59"/>
      <c r="B3" s="64" t="s">
        <v>200</v>
      </c>
      <c r="C3" s="64"/>
      <c r="D3" s="61"/>
      <c r="E3" s="61"/>
      <c r="F3" s="63"/>
      <c r="G3" s="63"/>
      <c r="H3" s="63"/>
      <c r="I3" s="63"/>
      <c r="J3" s="63"/>
      <c r="K3" s="63"/>
      <c r="L3" s="63"/>
      <c r="M3" s="63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  <c r="GL3" s="59"/>
      <c r="GM3" s="59"/>
      <c r="GN3" s="59"/>
      <c r="GO3" s="59"/>
      <c r="GP3" s="59"/>
      <c r="GQ3" s="59"/>
      <c r="GR3" s="59"/>
      <c r="GS3" s="59"/>
      <c r="GT3" s="59"/>
      <c r="GU3" s="59"/>
      <c r="GV3" s="59"/>
      <c r="GW3" s="59"/>
      <c r="GX3" s="59"/>
      <c r="GY3" s="59"/>
      <c r="GZ3" s="59"/>
      <c r="HA3" s="59"/>
      <c r="HB3" s="59"/>
      <c r="HC3" s="59"/>
      <c r="HD3" s="59"/>
      <c r="HE3" s="59"/>
      <c r="HF3" s="59"/>
      <c r="HG3" s="59"/>
      <c r="HH3" s="59"/>
      <c r="HI3" s="59"/>
      <c r="HJ3" s="59"/>
      <c r="HK3" s="59"/>
      <c r="HL3" s="59"/>
      <c r="HM3" s="59"/>
      <c r="HN3" s="59"/>
      <c r="HO3" s="59"/>
      <c r="HP3" s="59"/>
      <c r="HQ3" s="59"/>
      <c r="HR3" s="59"/>
      <c r="HS3" s="59"/>
      <c r="HT3" s="59"/>
      <c r="HU3" s="59"/>
      <c r="HV3" s="59"/>
      <c r="HW3" s="59"/>
      <c r="HX3" s="59"/>
      <c r="HY3" s="59"/>
      <c r="HZ3" s="59"/>
      <c r="IA3" s="59"/>
      <c r="IB3" s="59"/>
      <c r="IC3" s="59"/>
      <c r="ID3" s="59"/>
      <c r="IE3" s="59"/>
      <c r="IF3" s="59"/>
      <c r="IG3" s="59"/>
      <c r="IH3" s="59"/>
      <c r="II3" s="59"/>
      <c r="IJ3" s="59"/>
      <c r="IK3" s="59"/>
      <c r="IL3" s="59"/>
      <c r="IM3" s="59"/>
      <c r="IN3" s="59"/>
      <c r="IO3" s="59"/>
      <c r="IP3" s="59"/>
      <c r="IQ3" s="59"/>
      <c r="IR3" s="59"/>
      <c r="IS3" s="59"/>
      <c r="IT3" s="59"/>
    </row>
    <row r="4" s="58" customFormat="1" ht="15.5" spans="1:254">
      <c r="A4" s="59"/>
      <c r="B4" s="65" t="s">
        <v>201</v>
      </c>
      <c r="C4" s="65" t="s">
        <v>202</v>
      </c>
      <c r="D4" s="61" t="s">
        <v>203</v>
      </c>
      <c r="E4" s="63" t="s">
        <v>204</v>
      </c>
      <c r="F4" s="63"/>
      <c r="G4" s="63"/>
      <c r="H4" s="63"/>
      <c r="I4" s="63"/>
      <c r="J4" s="63"/>
      <c r="K4" s="63"/>
      <c r="L4" s="63"/>
      <c r="M4" s="63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59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59"/>
      <c r="IQ4" s="59"/>
      <c r="IR4" s="59"/>
      <c r="IS4" s="59"/>
      <c r="IT4" s="59"/>
    </row>
    <row r="5" s="58" customFormat="1" ht="18" spans="1:254">
      <c r="A5" s="59"/>
      <c r="B5" s="66">
        <v>0.5</v>
      </c>
      <c r="C5" s="67">
        <v>10</v>
      </c>
      <c r="D5" s="68"/>
      <c r="E5" s="68"/>
      <c r="F5" s="63"/>
      <c r="G5" s="63"/>
      <c r="H5" s="63"/>
      <c r="I5" s="63"/>
      <c r="J5" s="63"/>
      <c r="K5" s="63"/>
      <c r="L5" s="63"/>
      <c r="M5" s="63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59"/>
      <c r="HM5" s="59"/>
      <c r="HN5" s="59"/>
      <c r="HO5" s="59"/>
      <c r="HP5" s="59"/>
      <c r="HQ5" s="59"/>
      <c r="HR5" s="59"/>
      <c r="HS5" s="59"/>
      <c r="HT5" s="59"/>
      <c r="HU5" s="59"/>
      <c r="HV5" s="59"/>
      <c r="HW5" s="59"/>
      <c r="HX5" s="59"/>
      <c r="HY5" s="59"/>
      <c r="HZ5" s="59"/>
      <c r="IA5" s="59"/>
      <c r="IB5" s="59"/>
      <c r="IC5" s="59"/>
      <c r="ID5" s="59"/>
      <c r="IE5" s="59"/>
      <c r="IF5" s="59"/>
      <c r="IG5" s="59"/>
      <c r="IH5" s="59"/>
      <c r="II5" s="59"/>
      <c r="IJ5" s="59"/>
      <c r="IK5" s="59"/>
      <c r="IL5" s="59"/>
      <c r="IM5" s="59"/>
      <c r="IN5" s="59"/>
      <c r="IO5" s="59"/>
      <c r="IP5" s="59"/>
      <c r="IQ5" s="59"/>
      <c r="IR5" s="59"/>
      <c r="IS5" s="59"/>
      <c r="IT5" s="59"/>
    </row>
    <row r="6" s="58" customFormat="1" ht="15.5" spans="1:254">
      <c r="A6" s="59"/>
      <c r="B6" s="66">
        <v>1</v>
      </c>
      <c r="C6" s="67">
        <v>95</v>
      </c>
      <c r="D6" s="61" t="s">
        <v>205</v>
      </c>
      <c r="E6" s="69" t="s">
        <v>206</v>
      </c>
      <c r="F6" s="69"/>
      <c r="G6" s="70"/>
      <c r="H6" s="63"/>
      <c r="I6" s="63"/>
      <c r="J6" s="63"/>
      <c r="K6" s="63"/>
      <c r="L6" s="63"/>
      <c r="M6" s="63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</row>
    <row r="7" s="58" customFormat="1" ht="15.5" spans="1:254">
      <c r="A7" s="59"/>
      <c r="B7" s="66">
        <v>1.6</v>
      </c>
      <c r="C7" s="67">
        <v>95</v>
      </c>
      <c r="D7" s="61" t="s">
        <v>207</v>
      </c>
      <c r="E7" s="69" t="s">
        <v>208</v>
      </c>
      <c r="F7" s="69"/>
      <c r="G7" s="70"/>
      <c r="H7" s="63"/>
      <c r="I7" s="63"/>
      <c r="J7" s="63"/>
      <c r="K7" s="63"/>
      <c r="L7" s="63"/>
      <c r="M7" s="63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</row>
    <row r="8" s="58" customFormat="1" ht="15.5" spans="1:254">
      <c r="A8" s="59"/>
      <c r="B8" s="66">
        <v>1.61</v>
      </c>
      <c r="C8" s="67">
        <v>10</v>
      </c>
      <c r="D8" s="61"/>
      <c r="E8" s="71"/>
      <c r="F8" s="71"/>
      <c r="G8" s="70"/>
      <c r="H8" s="63"/>
      <c r="I8" s="63"/>
      <c r="J8" s="63"/>
      <c r="K8" s="63"/>
      <c r="L8" s="63"/>
      <c r="M8" s="63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</row>
    <row r="9" s="58" customFormat="1" ht="16.25" spans="1:254">
      <c r="A9" s="59"/>
      <c r="B9" s="72">
        <v>3</v>
      </c>
      <c r="C9" s="73" t="s">
        <v>209</v>
      </c>
      <c r="D9" s="61" t="s">
        <v>210</v>
      </c>
      <c r="E9" s="63" t="s">
        <v>211</v>
      </c>
      <c r="F9" s="70"/>
      <c r="G9" s="70"/>
      <c r="H9" s="63"/>
      <c r="I9" s="63"/>
      <c r="J9" s="63"/>
      <c r="K9" s="63"/>
      <c r="L9" s="63"/>
      <c r="M9" s="63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59"/>
      <c r="HL9" s="59"/>
      <c r="HM9" s="59"/>
      <c r="HN9" s="59"/>
      <c r="HO9" s="59"/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/>
      <c r="IO9" s="59"/>
      <c r="IP9" s="59"/>
      <c r="IQ9" s="59"/>
      <c r="IR9" s="59"/>
      <c r="IS9" s="59"/>
      <c r="IT9" s="59"/>
    </row>
    <row r="10" s="58" customFormat="1" ht="15.5" spans="1:256">
      <c r="A10" s="59"/>
      <c r="B10" s="74"/>
      <c r="C10" s="71"/>
      <c r="D10" s="71"/>
      <c r="E10" s="71"/>
      <c r="F10" s="71"/>
      <c r="G10" s="75"/>
      <c r="H10" s="59"/>
      <c r="I10" s="82"/>
      <c r="J10" s="59"/>
      <c r="K10" s="63"/>
      <c r="L10" s="63"/>
      <c r="M10" s="63"/>
      <c r="N10" s="63"/>
      <c r="O10" s="63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59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</row>
    <row r="11" s="58" customFormat="1" ht="16.25" spans="1:256">
      <c r="A11" s="59"/>
      <c r="B11" s="60" t="s">
        <v>212</v>
      </c>
      <c r="C11" s="76"/>
      <c r="D11" s="76"/>
      <c r="E11" s="76"/>
      <c r="F11" s="76"/>
      <c r="G11" s="76"/>
      <c r="H11" s="76"/>
      <c r="L11" s="63"/>
      <c r="M11" s="63"/>
      <c r="N11" s="63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</row>
    <row r="12" s="58" customFormat="1" ht="15.5" spans="1:254">
      <c r="A12" s="59"/>
      <c r="B12" s="77" t="s">
        <v>213</v>
      </c>
      <c r="C12" s="77" t="s">
        <v>214</v>
      </c>
      <c r="D12" s="77" t="s">
        <v>215</v>
      </c>
      <c r="E12" s="77" t="s">
        <v>216</v>
      </c>
      <c r="F12" s="77" t="s">
        <v>217</v>
      </c>
      <c r="G12" s="77" t="s">
        <v>218</v>
      </c>
      <c r="H12" s="77" t="s">
        <v>219</v>
      </c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/>
      <c r="GN12" s="59"/>
      <c r="GO12" s="59"/>
      <c r="GP12" s="59"/>
      <c r="GQ12" s="59"/>
      <c r="GR12" s="59"/>
      <c r="GS12" s="59"/>
      <c r="GT12" s="59"/>
      <c r="GU12" s="59"/>
      <c r="GV12" s="59"/>
      <c r="GW12" s="59"/>
      <c r="GX12" s="59"/>
      <c r="GY12" s="59"/>
      <c r="GZ12" s="59"/>
      <c r="HA12" s="59"/>
      <c r="HB12" s="59"/>
      <c r="HC12" s="59"/>
      <c r="HD12" s="59"/>
      <c r="HE12" s="59"/>
      <c r="HF12" s="59"/>
      <c r="HG12" s="59"/>
      <c r="HH12" s="59"/>
      <c r="HI12" s="59"/>
      <c r="HJ12" s="59"/>
      <c r="HK12" s="59"/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/>
      <c r="IR12" s="59"/>
      <c r="IS12" s="59"/>
      <c r="IT12" s="59"/>
    </row>
    <row r="13" s="58" customFormat="1" ht="15.5" spans="1:254">
      <c r="A13" s="59"/>
      <c r="B13" s="78" t="str">
        <f>'Assay Outline'!B21:E21</f>
        <v>HW356009-P1</v>
      </c>
      <c r="C13" s="79">
        <v>602.3</v>
      </c>
      <c r="D13" s="79">
        <v>502.1</v>
      </c>
      <c r="E13" s="67">
        <v>-160</v>
      </c>
      <c r="F13" s="67">
        <v>-10</v>
      </c>
      <c r="G13" s="67">
        <v>-23</v>
      </c>
      <c r="H13" s="67">
        <v>-16</v>
      </c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  <c r="IR13" s="59"/>
      <c r="IS13" s="59"/>
      <c r="IT13" s="59"/>
    </row>
    <row r="14" s="58" customFormat="1" ht="16.25" spans="1:254">
      <c r="A14" s="59"/>
      <c r="B14" s="80" t="s">
        <v>220</v>
      </c>
      <c r="C14" s="73">
        <v>492.2</v>
      </c>
      <c r="D14" s="73">
        <v>367.1</v>
      </c>
      <c r="E14" s="81">
        <v>-60</v>
      </c>
      <c r="F14" s="81">
        <v>-10</v>
      </c>
      <c r="G14" s="81">
        <v>-23</v>
      </c>
      <c r="H14" s="81">
        <v>-30</v>
      </c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</row>
    <row r="21" spans="11:11">
      <c r="K21" s="58" t="s">
        <v>221</v>
      </c>
    </row>
  </sheetData>
  <mergeCells count="3">
    <mergeCell ref="B2:C2"/>
    <mergeCell ref="B3:C3"/>
    <mergeCell ref="B11:H1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2"/>
  <sheetViews>
    <sheetView workbookViewId="0">
      <selection activeCell="A1" sqref="A1"/>
    </sheetView>
  </sheetViews>
  <sheetFormatPr defaultColWidth="9" defaultRowHeight="13"/>
  <cols>
    <col min="1" max="1" width="12.75" style="31" customWidth="1"/>
    <col min="2" max="2" width="22.625" style="32" customWidth="1"/>
    <col min="3" max="3" width="13.5" style="33" customWidth="1"/>
    <col min="4" max="4" width="10.125" style="33" customWidth="1"/>
    <col min="5" max="5" width="7.5" style="33" customWidth="1"/>
    <col min="6" max="6" width="9.75" style="33" customWidth="1"/>
    <col min="7" max="7" width="9.75" style="34" customWidth="1"/>
    <col min="8" max="8" width="7.5" style="33" customWidth="1"/>
    <col min="9" max="9" width="6.125" style="33" customWidth="1"/>
    <col min="10" max="10" width="7.5" style="33" customWidth="1"/>
    <col min="11" max="11" width="12.5" style="33" customWidth="1"/>
    <col min="12" max="12" width="12.5" style="35" customWidth="1"/>
    <col min="13" max="13" width="7.5" style="33" customWidth="1"/>
    <col min="14" max="14" width="7.75" style="33" customWidth="1"/>
    <col min="15" max="15" width="20.125" style="33" customWidth="1"/>
    <col min="16" max="16384" width="9" style="33"/>
  </cols>
  <sheetData>
    <row r="1" s="30" customFormat="1" ht="42" customHeight="1" spans="1:19">
      <c r="A1" s="36" t="s">
        <v>222</v>
      </c>
      <c r="B1" s="37" t="s">
        <v>58</v>
      </c>
      <c r="C1" s="37" t="s">
        <v>223</v>
      </c>
      <c r="D1" s="37" t="s">
        <v>224</v>
      </c>
      <c r="E1" s="37" t="s">
        <v>60</v>
      </c>
      <c r="F1" s="37" t="s">
        <v>225</v>
      </c>
      <c r="G1" s="37" t="s">
        <v>226</v>
      </c>
      <c r="H1" s="37" t="s">
        <v>63</v>
      </c>
      <c r="I1" s="37" t="s">
        <v>227</v>
      </c>
      <c r="J1" s="37" t="s">
        <v>228</v>
      </c>
      <c r="K1" s="37" t="s">
        <v>229</v>
      </c>
      <c r="L1" s="37" t="s">
        <v>230</v>
      </c>
      <c r="M1" s="37" t="s">
        <v>231</v>
      </c>
      <c r="N1" s="37" t="s">
        <v>232</v>
      </c>
      <c r="O1" s="49" t="s">
        <v>233</v>
      </c>
      <c r="P1" s="30" t="s">
        <v>234</v>
      </c>
      <c r="Q1" s="30" t="s">
        <v>235</v>
      </c>
      <c r="R1" s="30" t="s">
        <v>236</v>
      </c>
      <c r="S1" s="30" t="s">
        <v>237</v>
      </c>
    </row>
    <row r="2" ht="12.75" customHeight="1" spans="1:19">
      <c r="A2" s="38" t="str">
        <f>Summary!B14</f>
        <v>HW356009-P1 (2 µM)</v>
      </c>
      <c r="B2" s="39" t="s">
        <v>238</v>
      </c>
      <c r="C2" s="40" t="s">
        <v>239</v>
      </c>
      <c r="D2" s="40" t="s">
        <v>240</v>
      </c>
      <c r="E2" s="40">
        <v>1</v>
      </c>
      <c r="F2" s="41">
        <v>0</v>
      </c>
      <c r="G2" s="41">
        <v>0</v>
      </c>
      <c r="H2" s="40" t="e">
        <v>#DIV/0!</v>
      </c>
      <c r="I2" s="40"/>
      <c r="J2" s="40">
        <v>0</v>
      </c>
      <c r="K2" s="40" t="e">
        <v>#DIV/0!</v>
      </c>
      <c r="L2" s="40" t="s">
        <v>240</v>
      </c>
      <c r="M2" s="40">
        <v>20001</v>
      </c>
      <c r="N2" s="40">
        <v>3</v>
      </c>
      <c r="O2" s="50" t="s">
        <v>241</v>
      </c>
      <c r="P2" s="33">
        <v>0</v>
      </c>
      <c r="Q2" s="33">
        <v>0</v>
      </c>
      <c r="R2" s="33" t="s">
        <v>11</v>
      </c>
      <c r="S2" s="33" t="s">
        <v>242</v>
      </c>
    </row>
    <row r="3" ht="12.75" customHeight="1" spans="1:19">
      <c r="A3" s="42"/>
      <c r="B3" s="43" t="s">
        <v>238</v>
      </c>
      <c r="C3" s="33" t="s">
        <v>239</v>
      </c>
      <c r="D3" s="33" t="s">
        <v>240</v>
      </c>
      <c r="E3" s="33">
        <v>1</v>
      </c>
      <c r="F3" s="44">
        <v>0</v>
      </c>
      <c r="G3" s="44">
        <v>0</v>
      </c>
      <c r="H3" s="33" t="e">
        <v>#DIV/0!</v>
      </c>
      <c r="J3" s="33">
        <v>0</v>
      </c>
      <c r="K3" s="33" t="e">
        <v>#DIV/0!</v>
      </c>
      <c r="L3" s="33" t="s">
        <v>240</v>
      </c>
      <c r="M3" s="33">
        <v>20001</v>
      </c>
      <c r="N3" s="33">
        <v>3</v>
      </c>
      <c r="O3" s="51" t="s">
        <v>243</v>
      </c>
      <c r="P3" s="33">
        <v>0</v>
      </c>
      <c r="Q3" s="33">
        <v>0</v>
      </c>
      <c r="R3" s="33" t="s">
        <v>11</v>
      </c>
      <c r="S3" s="33" t="s">
        <v>242</v>
      </c>
    </row>
    <row r="4" ht="12.75" customHeight="1" spans="1:19">
      <c r="A4" s="42"/>
      <c r="B4" s="43" t="s">
        <v>129</v>
      </c>
      <c r="C4" s="33" t="s">
        <v>239</v>
      </c>
      <c r="D4" s="33" t="s">
        <v>240</v>
      </c>
      <c r="E4" s="33">
        <v>1</v>
      </c>
      <c r="F4" s="44">
        <v>52500</v>
      </c>
      <c r="G4" s="44">
        <v>414000</v>
      </c>
      <c r="H4" s="33">
        <v>0.127</v>
      </c>
      <c r="J4" s="33">
        <v>0</v>
      </c>
      <c r="K4" s="33">
        <v>0</v>
      </c>
      <c r="L4" s="33" t="s">
        <v>240</v>
      </c>
      <c r="M4" s="33">
        <v>53</v>
      </c>
      <c r="N4" s="33">
        <v>3</v>
      </c>
      <c r="O4" s="51" t="s">
        <v>244</v>
      </c>
      <c r="P4" s="33">
        <v>1.68</v>
      </c>
      <c r="Q4" s="33">
        <v>1.66</v>
      </c>
      <c r="R4" s="33" t="s">
        <v>11</v>
      </c>
      <c r="S4" s="33" t="s">
        <v>242</v>
      </c>
    </row>
    <row r="5" ht="12.75" customHeight="1" spans="1:19">
      <c r="A5" s="42"/>
      <c r="B5" s="43" t="s">
        <v>130</v>
      </c>
      <c r="C5" s="33" t="s">
        <v>239</v>
      </c>
      <c r="D5" s="33" t="s">
        <v>240</v>
      </c>
      <c r="E5" s="33">
        <v>1</v>
      </c>
      <c r="F5" s="44">
        <v>50400</v>
      </c>
      <c r="G5" s="44">
        <v>465000</v>
      </c>
      <c r="H5" s="33">
        <v>0.108</v>
      </c>
      <c r="J5" s="33">
        <v>0</v>
      </c>
      <c r="K5" s="33">
        <v>0</v>
      </c>
      <c r="L5" s="33" t="s">
        <v>240</v>
      </c>
      <c r="M5" s="33">
        <v>54</v>
      </c>
      <c r="N5" s="33">
        <v>3</v>
      </c>
      <c r="O5" s="51" t="s">
        <v>245</v>
      </c>
      <c r="P5" s="33">
        <v>1.67</v>
      </c>
      <c r="Q5" s="33">
        <v>1.66</v>
      </c>
      <c r="R5" s="33" t="s">
        <v>11</v>
      </c>
      <c r="S5" s="33" t="s">
        <v>242</v>
      </c>
    </row>
    <row r="6" ht="12.75" customHeight="1" spans="1:19">
      <c r="A6" s="42"/>
      <c r="B6" s="43" t="s">
        <v>135</v>
      </c>
      <c r="C6" s="33" t="s">
        <v>239</v>
      </c>
      <c r="D6" s="33" t="s">
        <v>240</v>
      </c>
      <c r="E6" s="33">
        <v>1</v>
      </c>
      <c r="F6" s="44">
        <v>693000</v>
      </c>
      <c r="G6" s="44">
        <v>453000</v>
      </c>
      <c r="H6" s="33">
        <v>1.53</v>
      </c>
      <c r="J6" s="33">
        <v>0</v>
      </c>
      <c r="K6" s="33">
        <v>0</v>
      </c>
      <c r="L6" s="33" t="s">
        <v>240</v>
      </c>
      <c r="M6" s="33">
        <v>51</v>
      </c>
      <c r="N6" s="33">
        <v>3</v>
      </c>
      <c r="O6" s="51" t="s">
        <v>246</v>
      </c>
      <c r="P6" s="33">
        <v>1.68</v>
      </c>
      <c r="Q6" s="33">
        <v>1.66</v>
      </c>
      <c r="R6" s="33" t="s">
        <v>11</v>
      </c>
      <c r="S6" s="33" t="s">
        <v>242</v>
      </c>
    </row>
    <row r="7" ht="12.75" customHeight="1" spans="1:19">
      <c r="A7" s="42"/>
      <c r="B7" s="43" t="s">
        <v>136</v>
      </c>
      <c r="C7" s="33" t="s">
        <v>239</v>
      </c>
      <c r="D7" s="33" t="s">
        <v>240</v>
      </c>
      <c r="E7" s="33">
        <v>1</v>
      </c>
      <c r="F7" s="44">
        <v>736000</v>
      </c>
      <c r="G7" s="44">
        <v>478000</v>
      </c>
      <c r="H7" s="33">
        <v>1.54</v>
      </c>
      <c r="J7" s="33">
        <v>0</v>
      </c>
      <c r="K7" s="33">
        <v>0</v>
      </c>
      <c r="L7" s="33" t="s">
        <v>240</v>
      </c>
      <c r="M7" s="33">
        <v>52</v>
      </c>
      <c r="N7" s="33">
        <v>3</v>
      </c>
      <c r="O7" s="51" t="s">
        <v>247</v>
      </c>
      <c r="P7" s="33">
        <v>1.67</v>
      </c>
      <c r="Q7" s="33">
        <v>1.65</v>
      </c>
      <c r="R7" s="33" t="s">
        <v>11</v>
      </c>
      <c r="S7" s="33" t="s">
        <v>242</v>
      </c>
    </row>
    <row r="8" ht="12.75" customHeight="1" spans="1:19">
      <c r="A8" s="42"/>
      <c r="B8" s="43" t="s">
        <v>131</v>
      </c>
      <c r="C8" s="33" t="s">
        <v>239</v>
      </c>
      <c r="D8" s="33" t="s">
        <v>240</v>
      </c>
      <c r="E8" s="33">
        <v>10</v>
      </c>
      <c r="F8" s="44">
        <v>234000</v>
      </c>
      <c r="G8" s="44">
        <v>487000</v>
      </c>
      <c r="H8" s="33">
        <v>0.482</v>
      </c>
      <c r="J8" s="33">
        <v>0</v>
      </c>
      <c r="K8" s="33">
        <v>0</v>
      </c>
      <c r="L8" s="33" t="s">
        <v>240</v>
      </c>
      <c r="M8" s="33">
        <v>49</v>
      </c>
      <c r="N8" s="33">
        <v>3</v>
      </c>
      <c r="O8" s="51" t="s">
        <v>248</v>
      </c>
      <c r="P8" s="33">
        <v>1.67</v>
      </c>
      <c r="Q8" s="33">
        <v>1.66</v>
      </c>
      <c r="R8" s="33" t="s">
        <v>11</v>
      </c>
      <c r="S8" s="33" t="s">
        <v>242</v>
      </c>
    </row>
    <row r="9" ht="12.75" customHeight="1" spans="1:19">
      <c r="A9" s="42"/>
      <c r="B9" s="43" t="s">
        <v>132</v>
      </c>
      <c r="C9" s="33" t="s">
        <v>239</v>
      </c>
      <c r="D9" s="33" t="s">
        <v>240</v>
      </c>
      <c r="E9" s="33">
        <v>10</v>
      </c>
      <c r="F9" s="44">
        <v>237000</v>
      </c>
      <c r="G9" s="44">
        <v>495000</v>
      </c>
      <c r="H9" s="33">
        <v>0.479</v>
      </c>
      <c r="J9" s="33">
        <v>0</v>
      </c>
      <c r="K9" s="33">
        <v>0</v>
      </c>
      <c r="L9" s="33" t="s">
        <v>240</v>
      </c>
      <c r="M9" s="33">
        <v>50</v>
      </c>
      <c r="N9" s="33">
        <v>3</v>
      </c>
      <c r="O9" s="51" t="s">
        <v>249</v>
      </c>
      <c r="P9" s="33">
        <v>1.66</v>
      </c>
      <c r="Q9" s="33">
        <v>1.64</v>
      </c>
      <c r="R9" s="33" t="s">
        <v>11</v>
      </c>
      <c r="S9" s="33" t="s">
        <v>242</v>
      </c>
    </row>
    <row r="10" ht="12.75" customHeight="1" spans="1:19">
      <c r="A10" s="42"/>
      <c r="B10" s="43" t="s">
        <v>137</v>
      </c>
      <c r="C10" s="33" t="s">
        <v>239</v>
      </c>
      <c r="D10" s="33" t="s">
        <v>240</v>
      </c>
      <c r="E10" s="33">
        <v>10</v>
      </c>
      <c r="F10" s="44">
        <v>375000</v>
      </c>
      <c r="G10" s="44">
        <v>496000</v>
      </c>
      <c r="H10" s="33">
        <v>0.756</v>
      </c>
      <c r="J10" s="33">
        <v>0</v>
      </c>
      <c r="K10" s="33">
        <v>0</v>
      </c>
      <c r="L10" s="33" t="s">
        <v>240</v>
      </c>
      <c r="M10" s="33">
        <v>55</v>
      </c>
      <c r="N10" s="33">
        <v>3</v>
      </c>
      <c r="O10" s="51" t="s">
        <v>250</v>
      </c>
      <c r="P10" s="33">
        <v>1.68</v>
      </c>
      <c r="Q10" s="33">
        <v>1.66</v>
      </c>
      <c r="R10" s="33" t="s">
        <v>11</v>
      </c>
      <c r="S10" s="33" t="s">
        <v>242</v>
      </c>
    </row>
    <row r="11" ht="12.75" customHeight="1" spans="1:19">
      <c r="A11" s="42"/>
      <c r="B11" s="43" t="s">
        <v>138</v>
      </c>
      <c r="C11" s="33" t="s">
        <v>239</v>
      </c>
      <c r="D11" s="33" t="s">
        <v>240</v>
      </c>
      <c r="E11" s="33">
        <v>10</v>
      </c>
      <c r="F11" s="44">
        <v>358000</v>
      </c>
      <c r="G11" s="44">
        <v>504000</v>
      </c>
      <c r="H11" s="33">
        <v>0.71</v>
      </c>
      <c r="J11" s="33">
        <v>0</v>
      </c>
      <c r="K11" s="33">
        <v>0</v>
      </c>
      <c r="L11" s="33" t="s">
        <v>240</v>
      </c>
      <c r="M11" s="33">
        <v>56</v>
      </c>
      <c r="N11" s="33">
        <v>3</v>
      </c>
      <c r="O11" s="51" t="s">
        <v>251</v>
      </c>
      <c r="P11" s="33">
        <v>1.68</v>
      </c>
      <c r="Q11" s="33">
        <v>1.66</v>
      </c>
      <c r="R11" s="33" t="s">
        <v>11</v>
      </c>
      <c r="S11" s="33" t="s">
        <v>242</v>
      </c>
    </row>
    <row r="12" ht="12.75" customHeight="1" spans="1:19">
      <c r="A12" s="42"/>
      <c r="B12" s="43" t="s">
        <v>133</v>
      </c>
      <c r="C12" s="33" t="s">
        <v>239</v>
      </c>
      <c r="D12" s="33" t="s">
        <v>240</v>
      </c>
      <c r="E12" s="33">
        <v>10</v>
      </c>
      <c r="F12" s="44">
        <v>326000</v>
      </c>
      <c r="G12" s="44">
        <v>513000</v>
      </c>
      <c r="H12" s="33">
        <v>0.636</v>
      </c>
      <c r="J12" s="33">
        <v>0</v>
      </c>
      <c r="K12" s="33">
        <v>0</v>
      </c>
      <c r="L12" s="33" t="s">
        <v>240</v>
      </c>
      <c r="M12" s="33">
        <v>5</v>
      </c>
      <c r="N12" s="33">
        <v>3</v>
      </c>
      <c r="O12" s="51" t="s">
        <v>252</v>
      </c>
      <c r="P12" s="33">
        <v>1.67</v>
      </c>
      <c r="Q12" s="33">
        <v>1.65</v>
      </c>
      <c r="R12" s="33" t="s">
        <v>11</v>
      </c>
      <c r="S12" s="33" t="s">
        <v>242</v>
      </c>
    </row>
    <row r="13" ht="12.75" customHeight="1" spans="1:19">
      <c r="A13" s="42"/>
      <c r="B13" s="43" t="s">
        <v>134</v>
      </c>
      <c r="C13" s="33" t="s">
        <v>239</v>
      </c>
      <c r="D13" s="33" t="s">
        <v>240</v>
      </c>
      <c r="E13" s="33">
        <v>10</v>
      </c>
      <c r="F13" s="44">
        <v>332000</v>
      </c>
      <c r="G13" s="44">
        <v>527000</v>
      </c>
      <c r="H13" s="33">
        <v>0.631</v>
      </c>
      <c r="J13" s="33">
        <v>0</v>
      </c>
      <c r="K13" s="33">
        <v>0</v>
      </c>
      <c r="L13" s="33" t="s">
        <v>240</v>
      </c>
      <c r="M13" s="33">
        <v>6</v>
      </c>
      <c r="N13" s="33">
        <v>3</v>
      </c>
      <c r="O13" s="51" t="s">
        <v>253</v>
      </c>
      <c r="P13" s="33">
        <v>1.67</v>
      </c>
      <c r="Q13" s="33">
        <v>1.66</v>
      </c>
      <c r="R13" s="33" t="s">
        <v>11</v>
      </c>
      <c r="S13" s="33" t="s">
        <v>242</v>
      </c>
    </row>
    <row r="14" ht="12.75" customHeight="1" spans="1:19">
      <c r="A14" s="42"/>
      <c r="B14" s="43" t="s">
        <v>139</v>
      </c>
      <c r="C14" s="33" t="s">
        <v>239</v>
      </c>
      <c r="D14" s="33" t="s">
        <v>240</v>
      </c>
      <c r="E14" s="33">
        <v>10</v>
      </c>
      <c r="F14" s="44">
        <v>342000</v>
      </c>
      <c r="G14" s="44">
        <v>525000</v>
      </c>
      <c r="H14" s="33">
        <v>0.652</v>
      </c>
      <c r="J14" s="33">
        <v>0</v>
      </c>
      <c r="K14" s="33">
        <v>0</v>
      </c>
      <c r="L14" s="33" t="s">
        <v>240</v>
      </c>
      <c r="M14" s="33">
        <v>17</v>
      </c>
      <c r="N14" s="33">
        <v>3</v>
      </c>
      <c r="O14" s="51" t="s">
        <v>254</v>
      </c>
      <c r="P14" s="33">
        <v>1.67</v>
      </c>
      <c r="Q14" s="33">
        <v>1.65</v>
      </c>
      <c r="R14" s="33" t="s">
        <v>11</v>
      </c>
      <c r="S14" s="33" t="s">
        <v>242</v>
      </c>
    </row>
    <row r="15" ht="12.75" customHeight="1" spans="1:19">
      <c r="A15" s="42"/>
      <c r="B15" s="43" t="s">
        <v>140</v>
      </c>
      <c r="C15" s="33" t="s">
        <v>239</v>
      </c>
      <c r="D15" s="33" t="s">
        <v>240</v>
      </c>
      <c r="E15" s="33">
        <v>10</v>
      </c>
      <c r="F15" s="44">
        <v>350000</v>
      </c>
      <c r="G15" s="44">
        <v>513000</v>
      </c>
      <c r="H15" s="33">
        <v>0.682</v>
      </c>
      <c r="J15" s="33">
        <v>0</v>
      </c>
      <c r="K15" s="33">
        <v>0</v>
      </c>
      <c r="L15" s="33" t="s">
        <v>240</v>
      </c>
      <c r="M15" s="33">
        <v>18</v>
      </c>
      <c r="N15" s="33">
        <v>3</v>
      </c>
      <c r="O15" s="51" t="s">
        <v>255</v>
      </c>
      <c r="P15" s="33">
        <v>1.67</v>
      </c>
      <c r="Q15" s="33">
        <v>1.65</v>
      </c>
      <c r="R15" s="33" t="s">
        <v>11</v>
      </c>
      <c r="S15" s="33" t="s">
        <v>242</v>
      </c>
    </row>
    <row r="16" ht="12.75" customHeight="1" spans="1:19">
      <c r="A16" s="42"/>
      <c r="B16" s="43" t="s">
        <v>238</v>
      </c>
      <c r="C16" s="33" t="s">
        <v>239</v>
      </c>
      <c r="D16" s="33" t="s">
        <v>240</v>
      </c>
      <c r="E16" s="33">
        <v>1</v>
      </c>
      <c r="F16" s="44">
        <v>0</v>
      </c>
      <c r="G16" s="44">
        <v>0</v>
      </c>
      <c r="H16" s="33" t="e">
        <v>#DIV/0!</v>
      </c>
      <c r="J16" s="33">
        <v>0</v>
      </c>
      <c r="K16" s="33" t="e">
        <v>#DIV/0!</v>
      </c>
      <c r="L16" s="33" t="s">
        <v>240</v>
      </c>
      <c r="M16" s="33">
        <v>20001</v>
      </c>
      <c r="N16" s="33">
        <v>3</v>
      </c>
      <c r="O16" s="51" t="s">
        <v>256</v>
      </c>
      <c r="P16" s="33">
        <v>0</v>
      </c>
      <c r="Q16" s="33">
        <v>0</v>
      </c>
      <c r="R16" s="33" t="s">
        <v>11</v>
      </c>
      <c r="S16" s="33" t="s">
        <v>242</v>
      </c>
    </row>
    <row r="17" ht="12.75" customHeight="1" spans="1:19">
      <c r="A17" s="42"/>
      <c r="B17" s="43" t="s">
        <v>238</v>
      </c>
      <c r="C17" s="33" t="s">
        <v>239</v>
      </c>
      <c r="D17" s="33" t="s">
        <v>240</v>
      </c>
      <c r="E17" s="33">
        <v>1</v>
      </c>
      <c r="F17" s="44">
        <v>0</v>
      </c>
      <c r="G17" s="44">
        <v>0</v>
      </c>
      <c r="H17" s="33" t="e">
        <v>#DIV/0!</v>
      </c>
      <c r="J17" s="33">
        <v>0</v>
      </c>
      <c r="K17" s="33" t="e">
        <v>#DIV/0!</v>
      </c>
      <c r="L17" s="33" t="s">
        <v>240</v>
      </c>
      <c r="M17" s="33">
        <v>20001</v>
      </c>
      <c r="N17" s="33">
        <v>3</v>
      </c>
      <c r="O17" s="51" t="s">
        <v>257</v>
      </c>
      <c r="P17" s="33">
        <v>0</v>
      </c>
      <c r="Q17" s="33">
        <v>0</v>
      </c>
      <c r="R17" s="33" t="s">
        <v>11</v>
      </c>
      <c r="S17" s="33" t="s">
        <v>242</v>
      </c>
    </row>
    <row r="18" ht="12.75" customHeight="1" spans="1:19">
      <c r="A18" s="42"/>
      <c r="B18" s="43" t="s">
        <v>141</v>
      </c>
      <c r="C18" s="33" t="s">
        <v>239</v>
      </c>
      <c r="D18" s="33" t="s">
        <v>240</v>
      </c>
      <c r="E18" s="33">
        <v>10</v>
      </c>
      <c r="F18" s="44">
        <v>349000</v>
      </c>
      <c r="G18" s="44">
        <v>504000</v>
      </c>
      <c r="H18" s="33">
        <v>0.693</v>
      </c>
      <c r="J18" s="33">
        <v>0</v>
      </c>
      <c r="K18" s="33">
        <v>0</v>
      </c>
      <c r="L18" s="33" t="s">
        <v>240</v>
      </c>
      <c r="M18" s="33">
        <v>43</v>
      </c>
      <c r="N18" s="33">
        <v>3</v>
      </c>
      <c r="O18" s="51" t="s">
        <v>258</v>
      </c>
      <c r="P18" s="33">
        <v>1.67</v>
      </c>
      <c r="Q18" s="33">
        <v>1.66</v>
      </c>
      <c r="R18" s="33" t="s">
        <v>11</v>
      </c>
      <c r="S18" s="33" t="s">
        <v>242</v>
      </c>
    </row>
    <row r="19" ht="12.75" customHeight="1" spans="1:19">
      <c r="A19" s="42"/>
      <c r="B19" s="43" t="s">
        <v>142</v>
      </c>
      <c r="C19" s="33" t="s">
        <v>239</v>
      </c>
      <c r="D19" s="33" t="s">
        <v>240</v>
      </c>
      <c r="E19" s="33">
        <v>10</v>
      </c>
      <c r="F19" s="44">
        <v>399000</v>
      </c>
      <c r="G19" s="44">
        <v>527000</v>
      </c>
      <c r="H19" s="33">
        <v>0.757</v>
      </c>
      <c r="J19" s="33">
        <v>0</v>
      </c>
      <c r="K19" s="33">
        <v>0</v>
      </c>
      <c r="L19" s="33" t="s">
        <v>240</v>
      </c>
      <c r="M19" s="33">
        <v>44</v>
      </c>
      <c r="N19" s="33">
        <v>3</v>
      </c>
      <c r="O19" s="51" t="s">
        <v>259</v>
      </c>
      <c r="P19" s="33">
        <v>1.68</v>
      </c>
      <c r="Q19" s="33">
        <v>1.66</v>
      </c>
      <c r="R19" s="33" t="s">
        <v>11</v>
      </c>
      <c r="S19" s="33" t="s">
        <v>242</v>
      </c>
    </row>
    <row r="20" ht="12.75" customHeight="1" spans="1:19">
      <c r="A20" s="42"/>
      <c r="B20" s="43" t="s">
        <v>143</v>
      </c>
      <c r="C20" s="33" t="s">
        <v>239</v>
      </c>
      <c r="D20" s="33" t="s">
        <v>240</v>
      </c>
      <c r="E20" s="33">
        <v>10</v>
      </c>
      <c r="F20" s="44">
        <v>382000</v>
      </c>
      <c r="G20" s="44">
        <v>534000</v>
      </c>
      <c r="H20" s="33">
        <v>0.716</v>
      </c>
      <c r="J20" s="33">
        <v>0</v>
      </c>
      <c r="K20" s="33">
        <v>0</v>
      </c>
      <c r="L20" s="33" t="s">
        <v>240</v>
      </c>
      <c r="M20" s="33">
        <v>31</v>
      </c>
      <c r="N20" s="33">
        <v>3</v>
      </c>
      <c r="O20" s="51" t="s">
        <v>260</v>
      </c>
      <c r="P20" s="33">
        <v>1.67</v>
      </c>
      <c r="Q20" s="33">
        <v>1.66</v>
      </c>
      <c r="R20" s="33" t="s">
        <v>11</v>
      </c>
      <c r="S20" s="33" t="s">
        <v>242</v>
      </c>
    </row>
    <row r="21" ht="12.75" customHeight="1" spans="1:19">
      <c r="A21" s="45"/>
      <c r="B21" s="46" t="s">
        <v>144</v>
      </c>
      <c r="C21" s="47" t="s">
        <v>239</v>
      </c>
      <c r="D21" s="47" t="s">
        <v>240</v>
      </c>
      <c r="E21" s="47">
        <v>10</v>
      </c>
      <c r="F21" s="48">
        <v>380000</v>
      </c>
      <c r="G21" s="48">
        <v>566000</v>
      </c>
      <c r="H21" s="47">
        <v>0.672</v>
      </c>
      <c r="I21" s="47"/>
      <c r="J21" s="47">
        <v>0</v>
      </c>
      <c r="K21" s="47">
        <v>0</v>
      </c>
      <c r="L21" s="47" t="s">
        <v>240</v>
      </c>
      <c r="M21" s="47">
        <v>32</v>
      </c>
      <c r="N21" s="47">
        <v>3</v>
      </c>
      <c r="O21" s="52" t="s">
        <v>261</v>
      </c>
      <c r="P21" s="33">
        <v>1.68</v>
      </c>
      <c r="Q21" s="33">
        <v>1.66</v>
      </c>
      <c r="R21" s="33" t="s">
        <v>11</v>
      </c>
      <c r="S21" s="33" t="s">
        <v>242</v>
      </c>
    </row>
    <row r="22" ht="12.75" hidden="1" customHeight="1" spans="1:15">
      <c r="A22" s="38" t="str">
        <f>Summary!B16</f>
        <v> (1 µM)</v>
      </c>
      <c r="B22" s="39"/>
      <c r="C22" s="40"/>
      <c r="D22" s="40"/>
      <c r="E22" s="40"/>
      <c r="F22" s="41"/>
      <c r="G22" s="41"/>
      <c r="H22" s="40"/>
      <c r="I22" s="40"/>
      <c r="J22" s="40"/>
      <c r="K22" s="40"/>
      <c r="L22" s="40"/>
      <c r="M22" s="40"/>
      <c r="N22" s="40"/>
      <c r="O22" s="50"/>
    </row>
    <row r="23" ht="12.75" hidden="1" customHeight="1" spans="1:15">
      <c r="A23" s="42"/>
      <c r="B23" s="43"/>
      <c r="F23" s="44"/>
      <c r="G23" s="44"/>
      <c r="L23" s="33"/>
      <c r="O23" s="51"/>
    </row>
    <row r="24" ht="12.75" hidden="1" customHeight="1" spans="1:15">
      <c r="A24" s="42"/>
      <c r="B24" s="43"/>
      <c r="F24" s="44"/>
      <c r="G24" s="44"/>
      <c r="L24" s="33"/>
      <c r="O24" s="51"/>
    </row>
    <row r="25" ht="12.75" hidden="1" customHeight="1" spans="1:15">
      <c r="A25" s="42"/>
      <c r="B25" s="43"/>
      <c r="F25" s="44"/>
      <c r="G25" s="44"/>
      <c r="L25" s="33"/>
      <c r="O25" s="51"/>
    </row>
    <row r="26" ht="12.75" hidden="1" customHeight="1" spans="1:15">
      <c r="A26" s="42"/>
      <c r="B26" s="43"/>
      <c r="F26" s="44"/>
      <c r="G26" s="44"/>
      <c r="L26" s="33"/>
      <c r="O26" s="51"/>
    </row>
    <row r="27" ht="12.75" hidden="1" customHeight="1" spans="1:15">
      <c r="A27" s="42"/>
      <c r="B27" s="43"/>
      <c r="F27" s="44"/>
      <c r="G27" s="44"/>
      <c r="L27" s="33"/>
      <c r="O27" s="51"/>
    </row>
    <row r="28" ht="12.75" hidden="1" customHeight="1" spans="1:15">
      <c r="A28" s="42"/>
      <c r="B28" s="43"/>
      <c r="F28" s="44"/>
      <c r="G28" s="44"/>
      <c r="L28" s="33"/>
      <c r="O28" s="51"/>
    </row>
    <row r="29" ht="12.75" hidden="1" customHeight="1" spans="1:15">
      <c r="A29" s="42"/>
      <c r="B29" s="43"/>
      <c r="F29" s="44"/>
      <c r="G29" s="44"/>
      <c r="L29" s="33"/>
      <c r="O29" s="51"/>
    </row>
    <row r="30" ht="12.75" hidden="1" customHeight="1" spans="1:15">
      <c r="A30" s="42"/>
      <c r="B30" s="43"/>
      <c r="F30" s="44"/>
      <c r="G30" s="44"/>
      <c r="L30" s="33"/>
      <c r="O30" s="51"/>
    </row>
    <row r="31" ht="12.75" hidden="1" customHeight="1" spans="1:15">
      <c r="A31" s="42"/>
      <c r="B31" s="43"/>
      <c r="F31" s="44"/>
      <c r="G31" s="44"/>
      <c r="L31" s="33"/>
      <c r="O31" s="51"/>
    </row>
    <row r="32" ht="12.75" hidden="1" customHeight="1" spans="1:15">
      <c r="A32" s="42"/>
      <c r="B32" s="43"/>
      <c r="F32" s="44"/>
      <c r="G32" s="44"/>
      <c r="L32" s="33"/>
      <c r="O32" s="51"/>
    </row>
    <row r="33" ht="12.75" hidden="1" customHeight="1" spans="1:15">
      <c r="A33" s="42"/>
      <c r="B33" s="43"/>
      <c r="F33" s="44"/>
      <c r="G33" s="44"/>
      <c r="L33" s="33"/>
      <c r="O33" s="51"/>
    </row>
    <row r="34" ht="12.75" hidden="1" customHeight="1" spans="1:15">
      <c r="A34" s="42"/>
      <c r="B34" s="43"/>
      <c r="F34" s="44"/>
      <c r="G34" s="44"/>
      <c r="L34" s="33"/>
      <c r="O34" s="51"/>
    </row>
    <row r="35" ht="12.75" hidden="1" customHeight="1" spans="1:15">
      <c r="A35" s="42"/>
      <c r="B35" s="43"/>
      <c r="F35" s="44"/>
      <c r="G35" s="44"/>
      <c r="L35" s="33"/>
      <c r="O35" s="51"/>
    </row>
    <row r="36" ht="12.75" hidden="1" customHeight="1" spans="1:15">
      <c r="A36" s="42"/>
      <c r="B36" s="43"/>
      <c r="F36" s="44"/>
      <c r="G36" s="44"/>
      <c r="L36" s="33"/>
      <c r="O36" s="51"/>
    </row>
    <row r="37" ht="12.75" hidden="1" customHeight="1" spans="1:15">
      <c r="A37" s="42"/>
      <c r="B37" s="43"/>
      <c r="F37" s="44"/>
      <c r="G37" s="44"/>
      <c r="L37" s="33"/>
      <c r="O37" s="51"/>
    </row>
    <row r="38" ht="12.75" hidden="1" customHeight="1" spans="1:15">
      <c r="A38" s="42"/>
      <c r="B38" s="43"/>
      <c r="F38" s="44"/>
      <c r="G38" s="44"/>
      <c r="L38" s="33"/>
      <c r="O38" s="51"/>
    </row>
    <row r="39" ht="12.75" hidden="1" customHeight="1" spans="1:15">
      <c r="A39" s="42"/>
      <c r="B39" s="43"/>
      <c r="F39" s="44"/>
      <c r="G39" s="44"/>
      <c r="L39" s="33"/>
      <c r="O39" s="51"/>
    </row>
    <row r="40" ht="12.75" hidden="1" customHeight="1" spans="1:15">
      <c r="A40" s="42"/>
      <c r="B40" s="43"/>
      <c r="F40" s="44"/>
      <c r="G40" s="44"/>
      <c r="L40" s="33"/>
      <c r="O40" s="51"/>
    </row>
    <row r="41" ht="12.75" hidden="1" customHeight="1" spans="1:15">
      <c r="A41" s="45"/>
      <c r="B41" s="46"/>
      <c r="C41" s="47"/>
      <c r="D41" s="47"/>
      <c r="E41" s="47"/>
      <c r="F41" s="48"/>
      <c r="G41" s="48"/>
      <c r="H41" s="47"/>
      <c r="I41" s="47"/>
      <c r="J41" s="47"/>
      <c r="K41" s="47"/>
      <c r="L41" s="47"/>
      <c r="M41" s="47"/>
      <c r="N41" s="47"/>
      <c r="O41" s="52"/>
    </row>
    <row r="42" ht="12.75" hidden="1" customHeight="1" spans="1:15">
      <c r="A42" s="38" t="str">
        <f>Summary!B18</f>
        <v> (1 µM)</v>
      </c>
      <c r="B42" s="39"/>
      <c r="C42" s="40"/>
      <c r="D42" s="40"/>
      <c r="E42" s="40"/>
      <c r="F42" s="41"/>
      <c r="G42" s="41"/>
      <c r="H42" s="40"/>
      <c r="I42" s="40"/>
      <c r="J42" s="40"/>
      <c r="K42" s="40"/>
      <c r="L42" s="40"/>
      <c r="M42" s="40"/>
      <c r="N42" s="40"/>
      <c r="O42" s="50"/>
    </row>
    <row r="43" ht="12.75" hidden="1" customHeight="1" spans="1:15">
      <c r="A43" s="42"/>
      <c r="B43" s="43"/>
      <c r="F43" s="44"/>
      <c r="G43" s="44"/>
      <c r="L43" s="33"/>
      <c r="O43" s="51"/>
    </row>
    <row r="44" ht="12.75" hidden="1" customHeight="1" spans="1:15">
      <c r="A44" s="42"/>
      <c r="B44" s="43"/>
      <c r="F44" s="44"/>
      <c r="G44" s="44"/>
      <c r="L44" s="33"/>
      <c r="O44" s="51"/>
    </row>
    <row r="45" ht="12.75" hidden="1" customHeight="1" spans="1:15">
      <c r="A45" s="42"/>
      <c r="B45" s="43"/>
      <c r="F45" s="44"/>
      <c r="G45" s="44"/>
      <c r="L45" s="33"/>
      <c r="O45" s="51"/>
    </row>
    <row r="46" ht="12.75" hidden="1" customHeight="1" spans="1:15">
      <c r="A46" s="42"/>
      <c r="B46" s="43"/>
      <c r="F46" s="44"/>
      <c r="G46" s="44"/>
      <c r="L46" s="33"/>
      <c r="O46" s="51"/>
    </row>
    <row r="47" ht="12.75" hidden="1" customHeight="1" spans="1:15">
      <c r="A47" s="42"/>
      <c r="B47" s="43"/>
      <c r="F47" s="44"/>
      <c r="G47" s="44"/>
      <c r="L47" s="33"/>
      <c r="O47" s="51"/>
    </row>
    <row r="48" ht="12.75" hidden="1" customHeight="1" spans="1:15">
      <c r="A48" s="42"/>
      <c r="B48" s="43"/>
      <c r="F48" s="44"/>
      <c r="G48" s="44"/>
      <c r="L48" s="33"/>
      <c r="O48" s="51"/>
    </row>
    <row r="49" ht="12.75" hidden="1" customHeight="1" spans="1:15">
      <c r="A49" s="42"/>
      <c r="B49" s="43"/>
      <c r="F49" s="44"/>
      <c r="G49" s="44"/>
      <c r="L49" s="33"/>
      <c r="O49" s="51"/>
    </row>
    <row r="50" ht="12.75" hidden="1" customHeight="1" spans="1:15">
      <c r="A50" s="42"/>
      <c r="B50" s="43"/>
      <c r="F50" s="44"/>
      <c r="G50" s="44"/>
      <c r="L50" s="33"/>
      <c r="O50" s="51"/>
    </row>
    <row r="51" ht="12.75" hidden="1" customHeight="1" spans="1:15">
      <c r="A51" s="42"/>
      <c r="B51" s="43"/>
      <c r="F51" s="44"/>
      <c r="G51" s="44"/>
      <c r="L51" s="33"/>
      <c r="O51" s="51"/>
    </row>
    <row r="52" ht="12.75" hidden="1" customHeight="1" spans="1:15">
      <c r="A52" s="42"/>
      <c r="B52" s="43"/>
      <c r="F52" s="44"/>
      <c r="G52" s="44"/>
      <c r="L52" s="33"/>
      <c r="O52" s="51"/>
    </row>
    <row r="53" ht="12.75" hidden="1" customHeight="1" spans="1:15">
      <c r="A53" s="42"/>
      <c r="B53" s="43"/>
      <c r="F53" s="44"/>
      <c r="G53" s="44"/>
      <c r="L53" s="33"/>
      <c r="O53" s="51"/>
    </row>
    <row r="54" ht="12.75" hidden="1" customHeight="1" spans="1:15">
      <c r="A54" s="42"/>
      <c r="B54" s="43"/>
      <c r="F54" s="44"/>
      <c r="G54" s="44"/>
      <c r="L54" s="33"/>
      <c r="O54" s="51"/>
    </row>
    <row r="55" ht="12.75" hidden="1" customHeight="1" spans="1:15">
      <c r="A55" s="42"/>
      <c r="B55" s="43"/>
      <c r="F55" s="44"/>
      <c r="G55" s="44"/>
      <c r="L55" s="33"/>
      <c r="O55" s="51"/>
    </row>
    <row r="56" ht="12.75" hidden="1" customHeight="1" spans="1:15">
      <c r="A56" s="42"/>
      <c r="B56" s="43"/>
      <c r="F56" s="44"/>
      <c r="G56" s="44"/>
      <c r="L56" s="33"/>
      <c r="O56" s="51"/>
    </row>
    <row r="57" ht="12.75" hidden="1" customHeight="1" spans="1:15">
      <c r="A57" s="42"/>
      <c r="B57" s="43"/>
      <c r="F57" s="44"/>
      <c r="G57" s="44"/>
      <c r="L57" s="33"/>
      <c r="O57" s="51"/>
    </row>
    <row r="58" ht="12.75" hidden="1" customHeight="1" spans="1:15">
      <c r="A58" s="42"/>
      <c r="B58" s="43"/>
      <c r="F58" s="44"/>
      <c r="G58" s="44"/>
      <c r="L58" s="33"/>
      <c r="O58" s="51"/>
    </row>
    <row r="59" ht="12.75" hidden="1" customHeight="1" spans="1:15">
      <c r="A59" s="42"/>
      <c r="B59" s="43"/>
      <c r="F59" s="44"/>
      <c r="G59" s="44"/>
      <c r="L59" s="33"/>
      <c r="O59" s="51"/>
    </row>
    <row r="60" ht="12.75" hidden="1" customHeight="1" spans="1:15">
      <c r="A60" s="42"/>
      <c r="B60" s="43"/>
      <c r="F60" s="44"/>
      <c r="G60" s="44"/>
      <c r="L60" s="33"/>
      <c r="O60" s="51"/>
    </row>
    <row r="61" ht="12.75" hidden="1" customHeight="1" spans="1:15">
      <c r="A61" s="45"/>
      <c r="B61" s="46"/>
      <c r="C61" s="47"/>
      <c r="D61" s="47"/>
      <c r="E61" s="47"/>
      <c r="F61" s="48"/>
      <c r="G61" s="48"/>
      <c r="H61" s="47"/>
      <c r="I61" s="47"/>
      <c r="J61" s="47"/>
      <c r="K61" s="47"/>
      <c r="L61" s="47"/>
      <c r="M61" s="47"/>
      <c r="N61" s="47"/>
      <c r="O61" s="52"/>
    </row>
    <row r="62" ht="12" hidden="1" customHeight="1" spans="1:15">
      <c r="A62" s="38" t="str">
        <f>Summary!B20</f>
        <v> (10 µM)</v>
      </c>
      <c r="B62" s="39"/>
      <c r="C62" s="40"/>
      <c r="D62" s="40"/>
      <c r="E62" s="40"/>
      <c r="F62" s="41"/>
      <c r="G62" s="41"/>
      <c r="H62" s="40"/>
      <c r="I62" s="40"/>
      <c r="J62" s="40"/>
      <c r="K62" s="40"/>
      <c r="L62" s="40"/>
      <c r="M62" s="40"/>
      <c r="N62" s="40"/>
      <c r="O62" s="50"/>
    </row>
    <row r="63" ht="12.75" hidden="1" customHeight="1" spans="1:15">
      <c r="A63" s="42"/>
      <c r="B63" s="43"/>
      <c r="F63" s="44"/>
      <c r="G63" s="44"/>
      <c r="L63" s="33"/>
      <c r="O63" s="51"/>
    </row>
    <row r="64" ht="12.75" hidden="1" customHeight="1" spans="1:15">
      <c r="A64" s="42"/>
      <c r="B64" s="43"/>
      <c r="F64" s="44"/>
      <c r="G64" s="44"/>
      <c r="L64" s="33"/>
      <c r="O64" s="51"/>
    </row>
    <row r="65" ht="12.75" hidden="1" customHeight="1" spans="1:15">
      <c r="A65" s="42"/>
      <c r="B65" s="43"/>
      <c r="F65" s="44"/>
      <c r="G65" s="44"/>
      <c r="L65" s="33"/>
      <c r="O65" s="51"/>
    </row>
    <row r="66" ht="12.75" hidden="1" customHeight="1" spans="1:15">
      <c r="A66" s="42"/>
      <c r="B66" s="43"/>
      <c r="F66" s="44"/>
      <c r="G66" s="44"/>
      <c r="L66" s="33"/>
      <c r="O66" s="51"/>
    </row>
    <row r="67" ht="12.75" hidden="1" customHeight="1" spans="1:15">
      <c r="A67" s="42"/>
      <c r="B67" s="43"/>
      <c r="F67" s="44"/>
      <c r="G67" s="44"/>
      <c r="L67" s="33"/>
      <c r="O67" s="51"/>
    </row>
    <row r="68" ht="12.75" hidden="1" customHeight="1" spans="1:15">
      <c r="A68" s="42"/>
      <c r="B68" s="43"/>
      <c r="F68" s="44"/>
      <c r="G68" s="44"/>
      <c r="L68" s="33"/>
      <c r="O68" s="51"/>
    </row>
    <row r="69" ht="12.75" hidden="1" customHeight="1" spans="1:15">
      <c r="A69" s="42"/>
      <c r="B69" s="43"/>
      <c r="F69" s="44"/>
      <c r="G69" s="44"/>
      <c r="L69" s="33"/>
      <c r="O69" s="51"/>
    </row>
    <row r="70" ht="12.75" hidden="1" customHeight="1" spans="1:15">
      <c r="A70" s="42"/>
      <c r="B70" s="43"/>
      <c r="F70" s="44"/>
      <c r="G70" s="44"/>
      <c r="L70" s="33"/>
      <c r="O70" s="51"/>
    </row>
    <row r="71" ht="12.75" hidden="1" customHeight="1" spans="1:15">
      <c r="A71" s="42"/>
      <c r="B71" s="43"/>
      <c r="F71" s="44"/>
      <c r="G71" s="44"/>
      <c r="L71" s="33"/>
      <c r="O71" s="51"/>
    </row>
    <row r="72" ht="12.75" hidden="1" customHeight="1" spans="1:15">
      <c r="A72" s="42"/>
      <c r="B72" s="43"/>
      <c r="F72" s="44"/>
      <c r="G72" s="44"/>
      <c r="L72" s="33"/>
      <c r="O72" s="51"/>
    </row>
    <row r="73" ht="12.75" hidden="1" customHeight="1" spans="1:15">
      <c r="A73" s="42"/>
      <c r="B73" s="43"/>
      <c r="F73" s="44"/>
      <c r="G73" s="44"/>
      <c r="L73" s="33"/>
      <c r="O73" s="51"/>
    </row>
    <row r="74" ht="12.75" hidden="1" customHeight="1" spans="1:15">
      <c r="A74" s="42"/>
      <c r="B74" s="43"/>
      <c r="F74" s="44"/>
      <c r="G74" s="44"/>
      <c r="L74" s="33"/>
      <c r="O74" s="51"/>
    </row>
    <row r="75" ht="12.75" hidden="1" customHeight="1" spans="1:15">
      <c r="A75" s="42"/>
      <c r="B75" s="43"/>
      <c r="F75" s="44"/>
      <c r="G75" s="44"/>
      <c r="L75" s="33"/>
      <c r="O75" s="51"/>
    </row>
    <row r="76" ht="12.75" hidden="1" customHeight="1" spans="1:15">
      <c r="A76" s="42"/>
      <c r="B76" s="43"/>
      <c r="F76" s="44"/>
      <c r="G76" s="44"/>
      <c r="L76" s="33"/>
      <c r="O76" s="51"/>
    </row>
    <row r="77" ht="12.75" hidden="1" customHeight="1" spans="1:15">
      <c r="A77" s="42"/>
      <c r="B77" s="43"/>
      <c r="F77" s="44"/>
      <c r="G77" s="44"/>
      <c r="L77" s="33"/>
      <c r="O77" s="51"/>
    </row>
    <row r="78" ht="12.75" hidden="1" customHeight="1" spans="1:15">
      <c r="A78" s="42"/>
      <c r="B78" s="43"/>
      <c r="F78" s="44"/>
      <c r="G78" s="44"/>
      <c r="L78" s="33"/>
      <c r="O78" s="51"/>
    </row>
    <row r="79" ht="12.75" hidden="1" customHeight="1" spans="1:15">
      <c r="A79" s="42"/>
      <c r="B79" s="43"/>
      <c r="F79" s="44"/>
      <c r="G79" s="44"/>
      <c r="L79" s="33"/>
      <c r="O79" s="51"/>
    </row>
    <row r="80" ht="12.75" hidden="1" customHeight="1" spans="1:15">
      <c r="A80" s="42"/>
      <c r="B80" s="43"/>
      <c r="F80" s="44"/>
      <c r="G80" s="44"/>
      <c r="L80" s="33"/>
      <c r="O80" s="51"/>
    </row>
    <row r="81" ht="12.75" hidden="1" customHeight="1" spans="1:15">
      <c r="A81" s="45"/>
      <c r="B81" s="46"/>
      <c r="C81" s="47"/>
      <c r="D81" s="47"/>
      <c r="E81" s="47"/>
      <c r="F81" s="48"/>
      <c r="G81" s="48"/>
      <c r="H81" s="47"/>
      <c r="I81" s="47"/>
      <c r="J81" s="47"/>
      <c r="K81" s="47"/>
      <c r="L81" s="47"/>
      <c r="M81" s="47"/>
      <c r="N81" s="47"/>
      <c r="O81" s="52"/>
    </row>
    <row r="82" ht="12.75" hidden="1" customHeight="1" spans="1:15">
      <c r="A82" s="38" t="str">
        <f>Summary!B22</f>
        <v> (10 µM)</v>
      </c>
      <c r="B82" s="39"/>
      <c r="C82" s="40"/>
      <c r="D82" s="40"/>
      <c r="E82" s="40"/>
      <c r="F82" s="41"/>
      <c r="G82" s="41"/>
      <c r="H82" s="40"/>
      <c r="I82" s="40"/>
      <c r="J82" s="40"/>
      <c r="K82" s="40"/>
      <c r="L82" s="40"/>
      <c r="M82" s="40"/>
      <c r="N82" s="40"/>
      <c r="O82" s="50"/>
    </row>
    <row r="83" ht="12.75" hidden="1" customHeight="1" spans="1:15">
      <c r="A83" s="42"/>
      <c r="B83" s="43"/>
      <c r="F83" s="44"/>
      <c r="G83" s="44"/>
      <c r="L83" s="33"/>
      <c r="O83" s="51"/>
    </row>
    <row r="84" ht="12.75" hidden="1" customHeight="1" spans="1:15">
      <c r="A84" s="42"/>
      <c r="B84" s="43"/>
      <c r="F84" s="44"/>
      <c r="G84" s="44"/>
      <c r="L84" s="33"/>
      <c r="O84" s="51"/>
    </row>
    <row r="85" ht="12.75" hidden="1" customHeight="1" spans="1:15">
      <c r="A85" s="42"/>
      <c r="B85" s="43"/>
      <c r="F85" s="44"/>
      <c r="G85" s="44"/>
      <c r="L85" s="33"/>
      <c r="O85" s="51"/>
    </row>
    <row r="86" ht="12.75" hidden="1" customHeight="1" spans="1:15">
      <c r="A86" s="42"/>
      <c r="B86" s="43"/>
      <c r="F86" s="44"/>
      <c r="G86" s="44"/>
      <c r="L86" s="33"/>
      <c r="O86" s="51"/>
    </row>
    <row r="87" ht="12.75" hidden="1" customHeight="1" spans="1:15">
      <c r="A87" s="42"/>
      <c r="B87" s="43"/>
      <c r="F87" s="44"/>
      <c r="G87" s="44"/>
      <c r="L87" s="33"/>
      <c r="O87" s="51"/>
    </row>
    <row r="88" ht="12.75" hidden="1" customHeight="1" spans="1:15">
      <c r="A88" s="42"/>
      <c r="B88" s="43"/>
      <c r="F88" s="44"/>
      <c r="G88" s="44"/>
      <c r="L88" s="33"/>
      <c r="O88" s="51"/>
    </row>
    <row r="89" ht="12.75" hidden="1" customHeight="1" spans="1:15">
      <c r="A89" s="42"/>
      <c r="B89" s="43"/>
      <c r="F89" s="44"/>
      <c r="G89" s="44"/>
      <c r="L89" s="33"/>
      <c r="O89" s="51"/>
    </row>
    <row r="90" ht="12.75" hidden="1" customHeight="1" spans="1:15">
      <c r="A90" s="42"/>
      <c r="B90" s="43"/>
      <c r="F90" s="44"/>
      <c r="G90" s="44"/>
      <c r="L90" s="33"/>
      <c r="O90" s="51"/>
    </row>
    <row r="91" ht="12.75" hidden="1" customHeight="1" spans="1:15">
      <c r="A91" s="42"/>
      <c r="B91" s="43"/>
      <c r="F91" s="44"/>
      <c r="G91" s="44"/>
      <c r="L91" s="33"/>
      <c r="O91" s="51"/>
    </row>
    <row r="92" ht="12.75" hidden="1" customHeight="1" spans="1:15">
      <c r="A92" s="42"/>
      <c r="B92" s="43"/>
      <c r="F92" s="44"/>
      <c r="G92" s="44"/>
      <c r="L92" s="33"/>
      <c r="O92" s="51"/>
    </row>
    <row r="93" ht="12.75" hidden="1" customHeight="1" spans="1:15">
      <c r="A93" s="42"/>
      <c r="B93" s="43"/>
      <c r="F93" s="44"/>
      <c r="G93" s="44"/>
      <c r="L93" s="33"/>
      <c r="O93" s="51"/>
    </row>
    <row r="94" ht="12.75" hidden="1" customHeight="1" spans="1:15">
      <c r="A94" s="42"/>
      <c r="B94" s="43"/>
      <c r="F94" s="44"/>
      <c r="G94" s="44"/>
      <c r="L94" s="33"/>
      <c r="O94" s="51"/>
    </row>
    <row r="95" ht="12.75" hidden="1" customHeight="1" spans="1:15">
      <c r="A95" s="42"/>
      <c r="B95" s="43"/>
      <c r="F95" s="44"/>
      <c r="G95" s="44"/>
      <c r="L95" s="33"/>
      <c r="O95" s="51"/>
    </row>
    <row r="96" ht="12.75" hidden="1" customHeight="1" spans="1:15">
      <c r="A96" s="42"/>
      <c r="B96" s="43"/>
      <c r="F96" s="44"/>
      <c r="G96" s="44"/>
      <c r="L96" s="33"/>
      <c r="O96" s="51"/>
    </row>
    <row r="97" ht="12.75" hidden="1" customHeight="1" spans="1:15">
      <c r="A97" s="42"/>
      <c r="B97" s="43"/>
      <c r="F97" s="44"/>
      <c r="G97" s="44"/>
      <c r="L97" s="33"/>
      <c r="O97" s="51"/>
    </row>
    <row r="98" ht="12.75" hidden="1" customHeight="1" spans="1:15">
      <c r="A98" s="42"/>
      <c r="B98" s="43"/>
      <c r="F98" s="44"/>
      <c r="G98" s="44"/>
      <c r="L98" s="33"/>
      <c r="O98" s="51"/>
    </row>
    <row r="99" ht="12.75" hidden="1" customHeight="1" spans="1:15">
      <c r="A99" s="42"/>
      <c r="B99" s="43"/>
      <c r="F99" s="44"/>
      <c r="G99" s="44"/>
      <c r="L99" s="33"/>
      <c r="O99" s="51"/>
    </row>
    <row r="100" ht="12.75" hidden="1" customHeight="1" spans="1:15">
      <c r="A100" s="42"/>
      <c r="B100" s="43"/>
      <c r="F100" s="44"/>
      <c r="G100" s="44"/>
      <c r="L100" s="33"/>
      <c r="O100" s="51"/>
    </row>
    <row r="101" ht="12.75" hidden="1" customHeight="1" spans="1:15">
      <c r="A101" s="45"/>
      <c r="B101" s="46"/>
      <c r="C101" s="47"/>
      <c r="D101" s="47"/>
      <c r="E101" s="47"/>
      <c r="F101" s="48"/>
      <c r="G101" s="48"/>
      <c r="H101" s="47"/>
      <c r="I101" s="47"/>
      <c r="J101" s="47"/>
      <c r="K101" s="47"/>
      <c r="L101" s="47"/>
      <c r="M101" s="47"/>
      <c r="N101" s="47"/>
      <c r="O101" s="52"/>
    </row>
    <row r="102" ht="12.75" hidden="1" customHeight="1" spans="1:15">
      <c r="A102" s="38" t="str">
        <f>Summary!B24</f>
        <v> (10 µM)</v>
      </c>
      <c r="B102" s="39"/>
      <c r="C102" s="40"/>
      <c r="D102" s="40"/>
      <c r="E102" s="40"/>
      <c r="F102" s="41"/>
      <c r="G102" s="41"/>
      <c r="H102" s="40"/>
      <c r="I102" s="40"/>
      <c r="J102" s="40"/>
      <c r="K102" s="40"/>
      <c r="L102" s="40"/>
      <c r="M102" s="40"/>
      <c r="N102" s="40"/>
      <c r="O102" s="50"/>
    </row>
    <row r="103" ht="12.75" hidden="1" customHeight="1" spans="1:15">
      <c r="A103" s="42"/>
      <c r="B103" s="43"/>
      <c r="F103" s="44"/>
      <c r="G103" s="44"/>
      <c r="L103" s="33"/>
      <c r="O103" s="51"/>
    </row>
    <row r="104" ht="12.75" hidden="1" customHeight="1" spans="1:15">
      <c r="A104" s="42"/>
      <c r="B104" s="43"/>
      <c r="F104" s="44"/>
      <c r="G104" s="44"/>
      <c r="L104" s="33"/>
      <c r="O104" s="51"/>
    </row>
    <row r="105" ht="12.75" hidden="1" customHeight="1" spans="1:15">
      <c r="A105" s="42"/>
      <c r="B105" s="43"/>
      <c r="F105" s="44"/>
      <c r="G105" s="44"/>
      <c r="L105" s="33"/>
      <c r="O105" s="51"/>
    </row>
    <row r="106" ht="12.75" hidden="1" customHeight="1" spans="1:15">
      <c r="A106" s="42"/>
      <c r="B106" s="43"/>
      <c r="F106" s="44"/>
      <c r="G106" s="44"/>
      <c r="L106" s="33"/>
      <c r="O106" s="51"/>
    </row>
    <row r="107" ht="12.75" hidden="1" customHeight="1" spans="1:15">
      <c r="A107" s="42"/>
      <c r="B107" s="43"/>
      <c r="F107" s="44"/>
      <c r="G107" s="44"/>
      <c r="L107" s="33"/>
      <c r="O107" s="51"/>
    </row>
    <row r="108" ht="12.75" hidden="1" customHeight="1" spans="1:15">
      <c r="A108" s="42"/>
      <c r="B108" s="43"/>
      <c r="F108" s="44"/>
      <c r="G108" s="44"/>
      <c r="L108" s="33"/>
      <c r="O108" s="51"/>
    </row>
    <row r="109" ht="12.75" hidden="1" customHeight="1" spans="1:15">
      <c r="A109" s="42"/>
      <c r="B109" s="43"/>
      <c r="F109" s="44"/>
      <c r="G109" s="44"/>
      <c r="L109" s="33"/>
      <c r="O109" s="51"/>
    </row>
    <row r="110" ht="12.75" hidden="1" customHeight="1" spans="1:15">
      <c r="A110" s="42"/>
      <c r="B110" s="43"/>
      <c r="F110" s="44"/>
      <c r="G110" s="44"/>
      <c r="L110" s="33"/>
      <c r="O110" s="51"/>
    </row>
    <row r="111" ht="12.75" hidden="1" customHeight="1" spans="1:15">
      <c r="A111" s="42"/>
      <c r="B111" s="43"/>
      <c r="F111" s="44"/>
      <c r="G111" s="44"/>
      <c r="L111" s="33"/>
      <c r="O111" s="51"/>
    </row>
    <row r="112" ht="12.75" hidden="1" customHeight="1" spans="1:15">
      <c r="A112" s="42"/>
      <c r="B112" s="43"/>
      <c r="F112" s="44"/>
      <c r="G112" s="44"/>
      <c r="L112" s="33"/>
      <c r="O112" s="51"/>
    </row>
    <row r="113" ht="12.75" hidden="1" customHeight="1" spans="1:15">
      <c r="A113" s="42"/>
      <c r="B113" s="43"/>
      <c r="F113" s="44"/>
      <c r="G113" s="44"/>
      <c r="L113" s="33"/>
      <c r="O113" s="51"/>
    </row>
    <row r="114" ht="12.75" hidden="1" customHeight="1" spans="1:15">
      <c r="A114" s="42"/>
      <c r="B114" s="43"/>
      <c r="F114" s="44"/>
      <c r="G114" s="44"/>
      <c r="L114" s="33"/>
      <c r="O114" s="51"/>
    </row>
    <row r="115" ht="12.75" hidden="1" customHeight="1" spans="1:15">
      <c r="A115" s="42"/>
      <c r="B115" s="43"/>
      <c r="F115" s="44"/>
      <c r="G115" s="44"/>
      <c r="L115" s="33"/>
      <c r="O115" s="51"/>
    </row>
    <row r="116" ht="12.75" hidden="1" customHeight="1" spans="1:15">
      <c r="A116" s="42"/>
      <c r="B116" s="43"/>
      <c r="F116" s="44"/>
      <c r="G116" s="44"/>
      <c r="L116" s="33"/>
      <c r="O116" s="51"/>
    </row>
    <row r="117" ht="12.75" hidden="1" customHeight="1" spans="1:15">
      <c r="A117" s="42"/>
      <c r="B117" s="43"/>
      <c r="F117" s="44"/>
      <c r="G117" s="44"/>
      <c r="L117" s="33"/>
      <c r="O117" s="51"/>
    </row>
    <row r="118" ht="12.75" hidden="1" customHeight="1" spans="1:15">
      <c r="A118" s="42"/>
      <c r="B118" s="43"/>
      <c r="F118" s="44"/>
      <c r="G118" s="44"/>
      <c r="L118" s="33"/>
      <c r="O118" s="51"/>
    </row>
    <row r="119" ht="12.75" hidden="1" customHeight="1" spans="1:15">
      <c r="A119" s="42"/>
      <c r="B119" s="43"/>
      <c r="F119" s="44"/>
      <c r="G119" s="44"/>
      <c r="L119" s="33"/>
      <c r="O119" s="51"/>
    </row>
    <row r="120" ht="12.75" hidden="1" customHeight="1" spans="1:15">
      <c r="A120" s="42"/>
      <c r="B120" s="43"/>
      <c r="F120" s="44"/>
      <c r="G120" s="44"/>
      <c r="L120" s="33"/>
      <c r="O120" s="51"/>
    </row>
    <row r="121" ht="13.9" hidden="1" customHeight="1" spans="1:15">
      <c r="A121" s="45"/>
      <c r="B121" s="46"/>
      <c r="C121" s="47"/>
      <c r="D121" s="47"/>
      <c r="E121" s="47"/>
      <c r="F121" s="48"/>
      <c r="G121" s="48"/>
      <c r="H121" s="47"/>
      <c r="I121" s="47"/>
      <c r="J121" s="47"/>
      <c r="K121" s="47"/>
      <c r="L121" s="47"/>
      <c r="M121" s="47"/>
      <c r="N121" s="47"/>
      <c r="O121" s="52"/>
    </row>
    <row r="122" hidden="1" spans="1:16">
      <c r="A122" s="53" t="str">
        <f>Summary!B26</f>
        <v> (10 µM)</v>
      </c>
      <c r="B122" s="54"/>
      <c r="C122" s="40"/>
      <c r="D122" s="40"/>
      <c r="E122" s="40"/>
      <c r="F122" s="41"/>
      <c r="G122" s="41"/>
      <c r="H122" s="40"/>
      <c r="I122" s="40"/>
      <c r="J122" s="40"/>
      <c r="K122" s="40"/>
      <c r="L122" s="40"/>
      <c r="M122" s="40"/>
      <c r="N122" s="40"/>
      <c r="O122" s="40"/>
      <c r="P122" s="56"/>
    </row>
    <row r="123" hidden="1" spans="1:16">
      <c r="A123" s="42"/>
      <c r="B123" s="55"/>
      <c r="F123" s="44"/>
      <c r="G123" s="44"/>
      <c r="L123" s="33"/>
      <c r="P123" s="56"/>
    </row>
    <row r="124" hidden="1" spans="1:16">
      <c r="A124" s="42"/>
      <c r="B124" s="55"/>
      <c r="F124" s="44"/>
      <c r="G124" s="44"/>
      <c r="L124" s="33"/>
      <c r="P124" s="56"/>
    </row>
    <row r="125" hidden="1" spans="1:16">
      <c r="A125" s="42"/>
      <c r="B125" s="55"/>
      <c r="F125" s="44"/>
      <c r="G125" s="44"/>
      <c r="L125" s="33"/>
      <c r="P125" s="56"/>
    </row>
    <row r="126" hidden="1" spans="1:16">
      <c r="A126" s="42"/>
      <c r="B126" s="55"/>
      <c r="F126" s="44"/>
      <c r="G126" s="44"/>
      <c r="L126" s="33"/>
      <c r="P126" s="56"/>
    </row>
    <row r="127" hidden="1" spans="1:16">
      <c r="A127" s="42"/>
      <c r="B127" s="55"/>
      <c r="F127" s="44"/>
      <c r="G127" s="44"/>
      <c r="L127" s="33"/>
      <c r="P127" s="56"/>
    </row>
    <row r="128" hidden="1" spans="1:16">
      <c r="A128" s="42"/>
      <c r="B128" s="55"/>
      <c r="F128" s="44"/>
      <c r="G128" s="44"/>
      <c r="L128" s="33"/>
      <c r="P128" s="56"/>
    </row>
    <row r="129" hidden="1" spans="1:16">
      <c r="A129" s="42"/>
      <c r="B129" s="55"/>
      <c r="F129" s="44"/>
      <c r="G129" s="44"/>
      <c r="L129" s="33"/>
      <c r="P129" s="56"/>
    </row>
    <row r="130" hidden="1" spans="1:16">
      <c r="A130" s="42"/>
      <c r="B130" s="55"/>
      <c r="F130" s="44"/>
      <c r="G130" s="44"/>
      <c r="L130" s="33"/>
      <c r="P130" s="56"/>
    </row>
    <row r="131" hidden="1" spans="1:16">
      <c r="A131" s="42"/>
      <c r="B131" s="55"/>
      <c r="F131" s="44"/>
      <c r="G131" s="44"/>
      <c r="L131" s="33"/>
      <c r="P131" s="56"/>
    </row>
    <row r="132" hidden="1" spans="1:16">
      <c r="A132" s="42"/>
      <c r="B132" s="55"/>
      <c r="F132" s="44"/>
      <c r="G132" s="44"/>
      <c r="L132" s="33"/>
      <c r="P132" s="56"/>
    </row>
    <row r="133" hidden="1" spans="1:16">
      <c r="A133" s="42"/>
      <c r="B133" s="55"/>
      <c r="F133" s="44"/>
      <c r="G133" s="44"/>
      <c r="L133" s="33"/>
      <c r="P133" s="56"/>
    </row>
    <row r="134" hidden="1" spans="1:16">
      <c r="A134" s="42"/>
      <c r="B134" s="55"/>
      <c r="F134" s="44"/>
      <c r="G134" s="44"/>
      <c r="L134" s="33"/>
      <c r="P134" s="56"/>
    </row>
    <row r="135" hidden="1" spans="1:16">
      <c r="A135" s="42"/>
      <c r="B135" s="55"/>
      <c r="F135" s="44"/>
      <c r="G135" s="44"/>
      <c r="L135" s="33"/>
      <c r="P135" s="56"/>
    </row>
    <row r="136" hidden="1" spans="1:16">
      <c r="A136" s="42"/>
      <c r="B136" s="55"/>
      <c r="F136" s="44"/>
      <c r="G136" s="44"/>
      <c r="L136" s="33"/>
      <c r="P136" s="56"/>
    </row>
    <row r="137" hidden="1" spans="1:16">
      <c r="A137" s="42"/>
      <c r="B137" s="55"/>
      <c r="F137" s="44"/>
      <c r="G137" s="44"/>
      <c r="L137" s="33"/>
      <c r="P137" s="56"/>
    </row>
    <row r="138" hidden="1" spans="1:16">
      <c r="A138" s="42"/>
      <c r="B138" s="55"/>
      <c r="F138" s="44"/>
      <c r="G138" s="44"/>
      <c r="L138" s="33"/>
      <c r="P138" s="56"/>
    </row>
    <row r="139" hidden="1" spans="1:16">
      <c r="A139" s="42"/>
      <c r="B139" s="55"/>
      <c r="F139" s="44"/>
      <c r="G139" s="44"/>
      <c r="L139" s="33"/>
      <c r="P139" s="56"/>
    </row>
    <row r="140" hidden="1" spans="1:16">
      <c r="A140" s="42"/>
      <c r="B140" s="55"/>
      <c r="F140" s="44"/>
      <c r="G140" s="44"/>
      <c r="L140" s="33"/>
      <c r="P140" s="56"/>
    </row>
    <row r="141" ht="13.75" hidden="1" spans="1:16">
      <c r="A141" s="45"/>
      <c r="B141" s="57"/>
      <c r="C141" s="47"/>
      <c r="D141" s="47"/>
      <c r="E141" s="47"/>
      <c r="F141" s="48"/>
      <c r="G141" s="48"/>
      <c r="H141" s="47"/>
      <c r="I141" s="47"/>
      <c r="J141" s="47"/>
      <c r="K141" s="47"/>
      <c r="L141" s="47"/>
      <c r="M141" s="47"/>
      <c r="N141" s="47"/>
      <c r="O141" s="47"/>
      <c r="P141" s="56"/>
    </row>
    <row r="142" hidden="1" spans="1:16">
      <c r="A142" s="53" t="str">
        <f>Summary!B28</f>
        <v> (10 µM)</v>
      </c>
      <c r="B142" s="54"/>
      <c r="C142" s="40"/>
      <c r="D142" s="40"/>
      <c r="E142" s="40"/>
      <c r="F142" s="41"/>
      <c r="G142" s="41"/>
      <c r="H142" s="40"/>
      <c r="I142" s="40"/>
      <c r="J142" s="40"/>
      <c r="K142" s="40"/>
      <c r="L142" s="40"/>
      <c r="M142" s="40"/>
      <c r="N142" s="40"/>
      <c r="O142" s="40"/>
      <c r="P142" s="56"/>
    </row>
    <row r="143" hidden="1" spans="1:16">
      <c r="A143" s="42"/>
      <c r="B143" s="55"/>
      <c r="F143" s="44"/>
      <c r="G143" s="44"/>
      <c r="L143" s="33"/>
      <c r="P143" s="56"/>
    </row>
    <row r="144" hidden="1" spans="1:16">
      <c r="A144" s="42"/>
      <c r="B144" s="55"/>
      <c r="F144" s="44"/>
      <c r="G144" s="44"/>
      <c r="L144" s="33"/>
      <c r="P144" s="56"/>
    </row>
    <row r="145" hidden="1" spans="1:16">
      <c r="A145" s="42"/>
      <c r="B145" s="55"/>
      <c r="F145" s="44"/>
      <c r="G145" s="44"/>
      <c r="L145" s="33"/>
      <c r="P145" s="56"/>
    </row>
    <row r="146" hidden="1" spans="1:16">
      <c r="A146" s="42"/>
      <c r="B146" s="55"/>
      <c r="F146" s="44"/>
      <c r="G146" s="44"/>
      <c r="L146" s="33"/>
      <c r="P146" s="56"/>
    </row>
    <row r="147" hidden="1" spans="1:16">
      <c r="A147" s="42"/>
      <c r="B147" s="55"/>
      <c r="F147" s="44"/>
      <c r="G147" s="44"/>
      <c r="L147" s="33"/>
      <c r="P147" s="56"/>
    </row>
    <row r="148" hidden="1" spans="1:16">
      <c r="A148" s="42"/>
      <c r="B148" s="55"/>
      <c r="F148" s="44"/>
      <c r="G148" s="44"/>
      <c r="L148" s="33"/>
      <c r="P148" s="56"/>
    </row>
    <row r="149" hidden="1" spans="1:16">
      <c r="A149" s="42"/>
      <c r="B149" s="55"/>
      <c r="F149" s="44"/>
      <c r="G149" s="44"/>
      <c r="L149" s="33"/>
      <c r="P149" s="56"/>
    </row>
    <row r="150" hidden="1" spans="1:16">
      <c r="A150" s="42"/>
      <c r="B150" s="55"/>
      <c r="F150" s="44"/>
      <c r="G150" s="44"/>
      <c r="L150" s="33"/>
      <c r="P150" s="56"/>
    </row>
    <row r="151" hidden="1" spans="1:16">
      <c r="A151" s="42"/>
      <c r="B151" s="55"/>
      <c r="F151" s="44"/>
      <c r="G151" s="44"/>
      <c r="L151" s="33"/>
      <c r="P151" s="56"/>
    </row>
    <row r="152" hidden="1" spans="1:16">
      <c r="A152" s="42"/>
      <c r="B152" s="55"/>
      <c r="F152" s="44"/>
      <c r="G152" s="44"/>
      <c r="L152" s="33"/>
      <c r="P152" s="56"/>
    </row>
    <row r="153" hidden="1" spans="1:16">
      <c r="A153" s="42"/>
      <c r="B153" s="55"/>
      <c r="F153" s="44"/>
      <c r="G153" s="44"/>
      <c r="L153" s="33"/>
      <c r="P153" s="56"/>
    </row>
    <row r="154" hidden="1" spans="1:16">
      <c r="A154" s="42"/>
      <c r="B154" s="55"/>
      <c r="F154" s="44"/>
      <c r="G154" s="44"/>
      <c r="L154" s="33"/>
      <c r="P154" s="56"/>
    </row>
    <row r="155" hidden="1" spans="1:16">
      <c r="A155" s="42"/>
      <c r="B155" s="55"/>
      <c r="F155" s="44"/>
      <c r="G155" s="44"/>
      <c r="L155" s="33"/>
      <c r="P155" s="56"/>
    </row>
    <row r="156" hidden="1" spans="1:16">
      <c r="A156" s="42"/>
      <c r="B156" s="55"/>
      <c r="F156" s="44"/>
      <c r="G156" s="44"/>
      <c r="L156" s="33"/>
      <c r="P156" s="56"/>
    </row>
    <row r="157" hidden="1" spans="1:16">
      <c r="A157" s="42"/>
      <c r="B157" s="55"/>
      <c r="F157" s="44"/>
      <c r="G157" s="44"/>
      <c r="L157" s="33"/>
      <c r="P157" s="56"/>
    </row>
    <row r="158" hidden="1" spans="1:16">
      <c r="A158" s="42"/>
      <c r="B158" s="55"/>
      <c r="F158" s="44"/>
      <c r="G158" s="44"/>
      <c r="L158" s="33"/>
      <c r="P158" s="56"/>
    </row>
    <row r="159" hidden="1" spans="1:16">
      <c r="A159" s="42"/>
      <c r="B159" s="55"/>
      <c r="F159" s="44"/>
      <c r="G159" s="44"/>
      <c r="L159" s="33"/>
      <c r="P159" s="56"/>
    </row>
    <row r="160" hidden="1" spans="1:16">
      <c r="A160" s="42"/>
      <c r="B160" s="55"/>
      <c r="F160" s="44"/>
      <c r="G160" s="44"/>
      <c r="L160" s="33"/>
      <c r="P160" s="56"/>
    </row>
    <row r="161" ht="13.75" hidden="1" spans="1:16">
      <c r="A161" s="45"/>
      <c r="B161" s="57"/>
      <c r="C161" s="47"/>
      <c r="D161" s="47"/>
      <c r="E161" s="47"/>
      <c r="F161" s="48"/>
      <c r="G161" s="48"/>
      <c r="H161" s="47"/>
      <c r="I161" s="47"/>
      <c r="J161" s="47"/>
      <c r="K161" s="47"/>
      <c r="L161" s="47"/>
      <c r="M161" s="47"/>
      <c r="N161" s="47"/>
      <c r="O161" s="47"/>
      <c r="P161" s="56"/>
    </row>
    <row r="162" hidden="1" spans="1:16">
      <c r="A162" s="53" t="str">
        <f>Summary!B30</f>
        <v> (10 µM)</v>
      </c>
      <c r="B162" s="54"/>
      <c r="C162" s="40"/>
      <c r="D162" s="40"/>
      <c r="E162" s="40"/>
      <c r="F162" s="41"/>
      <c r="G162" s="41"/>
      <c r="H162" s="40"/>
      <c r="I162" s="40"/>
      <c r="J162" s="40"/>
      <c r="K162" s="40"/>
      <c r="L162" s="40"/>
      <c r="M162" s="40"/>
      <c r="N162" s="40"/>
      <c r="O162" s="40"/>
      <c r="P162" s="56"/>
    </row>
    <row r="163" hidden="1" spans="1:16">
      <c r="A163" s="42"/>
      <c r="B163" s="55"/>
      <c r="F163" s="44"/>
      <c r="G163" s="44"/>
      <c r="L163" s="33"/>
      <c r="P163" s="56"/>
    </row>
    <row r="164" hidden="1" spans="1:16">
      <c r="A164" s="42"/>
      <c r="B164" s="55"/>
      <c r="F164" s="44"/>
      <c r="G164" s="44"/>
      <c r="L164" s="33"/>
      <c r="P164" s="56"/>
    </row>
    <row r="165" hidden="1" spans="1:16">
      <c r="A165" s="42"/>
      <c r="B165" s="55"/>
      <c r="F165" s="44"/>
      <c r="G165" s="44"/>
      <c r="L165" s="33"/>
      <c r="P165" s="56"/>
    </row>
    <row r="166" hidden="1" spans="1:16">
      <c r="A166" s="42"/>
      <c r="B166" s="55"/>
      <c r="F166" s="44"/>
      <c r="G166" s="44"/>
      <c r="L166" s="33"/>
      <c r="P166" s="56"/>
    </row>
    <row r="167" hidden="1" spans="1:16">
      <c r="A167" s="42"/>
      <c r="B167" s="55"/>
      <c r="F167" s="44"/>
      <c r="G167" s="44"/>
      <c r="L167" s="33"/>
      <c r="P167" s="56"/>
    </row>
    <row r="168" hidden="1" spans="1:16">
      <c r="A168" s="42"/>
      <c r="B168" s="55"/>
      <c r="F168" s="44"/>
      <c r="G168" s="44"/>
      <c r="L168" s="33"/>
      <c r="P168" s="56"/>
    </row>
    <row r="169" hidden="1" spans="1:16">
      <c r="A169" s="42"/>
      <c r="B169" s="55"/>
      <c r="F169" s="44"/>
      <c r="G169" s="44"/>
      <c r="L169" s="33"/>
      <c r="P169" s="56"/>
    </row>
    <row r="170" hidden="1" spans="1:16">
      <c r="A170" s="42"/>
      <c r="B170" s="55"/>
      <c r="F170" s="44"/>
      <c r="G170" s="44"/>
      <c r="L170" s="33"/>
      <c r="P170" s="56"/>
    </row>
    <row r="171" hidden="1" spans="1:16">
      <c r="A171" s="42"/>
      <c r="B171" s="55"/>
      <c r="F171" s="44"/>
      <c r="G171" s="44"/>
      <c r="L171" s="33"/>
      <c r="P171" s="56"/>
    </row>
    <row r="172" hidden="1" spans="1:16">
      <c r="A172" s="42"/>
      <c r="B172" s="55"/>
      <c r="F172" s="44"/>
      <c r="G172" s="44"/>
      <c r="L172" s="33"/>
      <c r="P172" s="56"/>
    </row>
    <row r="173" hidden="1" spans="1:16">
      <c r="A173" s="42"/>
      <c r="B173" s="55"/>
      <c r="F173" s="44"/>
      <c r="G173" s="44"/>
      <c r="L173" s="33"/>
      <c r="P173" s="56"/>
    </row>
    <row r="174" hidden="1" spans="1:16">
      <c r="A174" s="42"/>
      <c r="B174" s="55"/>
      <c r="F174" s="44"/>
      <c r="G174" s="44"/>
      <c r="L174" s="33"/>
      <c r="P174" s="56"/>
    </row>
    <row r="175" hidden="1" spans="1:16">
      <c r="A175" s="42"/>
      <c r="B175" s="55"/>
      <c r="F175" s="44"/>
      <c r="G175" s="44"/>
      <c r="L175" s="33"/>
      <c r="P175" s="56"/>
    </row>
    <row r="176" hidden="1" spans="1:16">
      <c r="A176" s="42"/>
      <c r="B176" s="55"/>
      <c r="F176" s="44"/>
      <c r="G176" s="44"/>
      <c r="L176" s="33"/>
      <c r="P176" s="56"/>
    </row>
    <row r="177" hidden="1" spans="1:16">
      <c r="A177" s="42"/>
      <c r="B177" s="55"/>
      <c r="F177" s="44"/>
      <c r="G177" s="44"/>
      <c r="L177" s="33"/>
      <c r="P177" s="56"/>
    </row>
    <row r="178" hidden="1" spans="1:16">
      <c r="A178" s="42"/>
      <c r="B178" s="55"/>
      <c r="F178" s="44"/>
      <c r="G178" s="44"/>
      <c r="L178" s="33"/>
      <c r="P178" s="56"/>
    </row>
    <row r="179" hidden="1" spans="1:16">
      <c r="A179" s="42"/>
      <c r="B179" s="55"/>
      <c r="F179" s="44"/>
      <c r="G179" s="44"/>
      <c r="L179" s="33"/>
      <c r="P179" s="56"/>
    </row>
    <row r="180" hidden="1" spans="1:16">
      <c r="A180" s="42"/>
      <c r="B180" s="55"/>
      <c r="F180" s="44"/>
      <c r="G180" s="44"/>
      <c r="L180" s="33"/>
      <c r="P180" s="56"/>
    </row>
    <row r="181" ht="13.75" hidden="1" spans="1:16">
      <c r="A181" s="45"/>
      <c r="B181" s="57"/>
      <c r="C181" s="47"/>
      <c r="D181" s="47"/>
      <c r="E181" s="47"/>
      <c r="F181" s="48"/>
      <c r="G181" s="48"/>
      <c r="H181" s="47"/>
      <c r="I181" s="47"/>
      <c r="J181" s="47"/>
      <c r="K181" s="47"/>
      <c r="L181" s="47"/>
      <c r="M181" s="47"/>
      <c r="N181" s="47"/>
      <c r="O181" s="47"/>
      <c r="P181" s="56"/>
    </row>
    <row r="182" hidden="1" spans="1:16">
      <c r="A182" s="53" t="str">
        <f>Summary!B32</f>
        <v> (10 µM)</v>
      </c>
      <c r="B182" s="54"/>
      <c r="C182" s="40"/>
      <c r="D182" s="40"/>
      <c r="E182" s="40"/>
      <c r="F182" s="41"/>
      <c r="G182" s="41"/>
      <c r="H182" s="40"/>
      <c r="I182" s="40"/>
      <c r="J182" s="40"/>
      <c r="K182" s="40"/>
      <c r="L182" s="40"/>
      <c r="M182" s="40"/>
      <c r="N182" s="40"/>
      <c r="O182" s="40"/>
      <c r="P182" s="56"/>
    </row>
    <row r="183" hidden="1" spans="1:16">
      <c r="A183" s="42"/>
      <c r="B183" s="55"/>
      <c r="F183" s="44"/>
      <c r="G183" s="44"/>
      <c r="L183" s="33"/>
      <c r="P183" s="56"/>
    </row>
    <row r="184" hidden="1" spans="1:16">
      <c r="A184" s="42"/>
      <c r="B184" s="55"/>
      <c r="F184" s="44"/>
      <c r="G184" s="44"/>
      <c r="L184" s="33"/>
      <c r="P184" s="56"/>
    </row>
    <row r="185" hidden="1" spans="1:16">
      <c r="A185" s="42"/>
      <c r="B185" s="55"/>
      <c r="F185" s="44"/>
      <c r="G185" s="44"/>
      <c r="L185" s="33"/>
      <c r="P185" s="56"/>
    </row>
    <row r="186" hidden="1" spans="1:16">
      <c r="A186" s="42"/>
      <c r="B186" s="55"/>
      <c r="F186" s="44"/>
      <c r="G186" s="44"/>
      <c r="L186" s="33"/>
      <c r="P186" s="56"/>
    </row>
    <row r="187" hidden="1" spans="1:16">
      <c r="A187" s="42"/>
      <c r="B187" s="55"/>
      <c r="F187" s="44"/>
      <c r="G187" s="44"/>
      <c r="L187" s="33"/>
      <c r="P187" s="56"/>
    </row>
    <row r="188" hidden="1" spans="1:16">
      <c r="A188" s="42"/>
      <c r="B188" s="55"/>
      <c r="F188" s="44"/>
      <c r="G188" s="44"/>
      <c r="L188" s="33"/>
      <c r="P188" s="56"/>
    </row>
    <row r="189" hidden="1" spans="1:16">
      <c r="A189" s="42"/>
      <c r="B189" s="55"/>
      <c r="F189" s="44"/>
      <c r="G189" s="44"/>
      <c r="L189" s="33"/>
      <c r="P189" s="56"/>
    </row>
    <row r="190" hidden="1" spans="1:16">
      <c r="A190" s="42"/>
      <c r="B190" s="55"/>
      <c r="F190" s="44"/>
      <c r="G190" s="44"/>
      <c r="L190" s="33"/>
      <c r="P190" s="56"/>
    </row>
    <row r="191" hidden="1" spans="1:16">
      <c r="A191" s="42"/>
      <c r="B191" s="55"/>
      <c r="F191" s="44"/>
      <c r="G191" s="44"/>
      <c r="L191" s="33"/>
      <c r="P191" s="56"/>
    </row>
    <row r="192" hidden="1" spans="1:16">
      <c r="A192" s="42"/>
      <c r="B192" s="55"/>
      <c r="F192" s="44"/>
      <c r="G192" s="44"/>
      <c r="L192" s="33"/>
      <c r="P192" s="56"/>
    </row>
    <row r="193" hidden="1" spans="1:16">
      <c r="A193" s="42"/>
      <c r="B193" s="55"/>
      <c r="F193" s="44"/>
      <c r="G193" s="44"/>
      <c r="L193" s="33"/>
      <c r="P193" s="56"/>
    </row>
    <row r="194" hidden="1" spans="1:16">
      <c r="A194" s="42"/>
      <c r="B194" s="55"/>
      <c r="F194" s="44"/>
      <c r="G194" s="44"/>
      <c r="L194" s="33"/>
      <c r="P194" s="56"/>
    </row>
    <row r="195" hidden="1" spans="1:16">
      <c r="A195" s="42"/>
      <c r="B195" s="55"/>
      <c r="F195" s="44"/>
      <c r="G195" s="44"/>
      <c r="L195" s="33"/>
      <c r="P195" s="56"/>
    </row>
    <row r="196" hidden="1" spans="1:16">
      <c r="A196" s="42"/>
      <c r="B196" s="55"/>
      <c r="F196" s="44"/>
      <c r="G196" s="44"/>
      <c r="L196" s="33"/>
      <c r="P196" s="56"/>
    </row>
    <row r="197" hidden="1" spans="1:16">
      <c r="A197" s="42"/>
      <c r="B197" s="55"/>
      <c r="F197" s="44"/>
      <c r="G197" s="44"/>
      <c r="L197" s="33"/>
      <c r="P197" s="56"/>
    </row>
    <row r="198" hidden="1" spans="1:16">
      <c r="A198" s="42"/>
      <c r="B198" s="55"/>
      <c r="F198" s="44"/>
      <c r="G198" s="44"/>
      <c r="L198" s="33"/>
      <c r="P198" s="56"/>
    </row>
    <row r="199" hidden="1" spans="1:16">
      <c r="A199" s="42"/>
      <c r="B199" s="55"/>
      <c r="F199" s="44"/>
      <c r="G199" s="44"/>
      <c r="L199" s="33"/>
      <c r="P199" s="56"/>
    </row>
    <row r="200" hidden="1" spans="1:16">
      <c r="A200" s="42"/>
      <c r="B200" s="55"/>
      <c r="F200" s="44"/>
      <c r="G200" s="44"/>
      <c r="L200" s="33"/>
      <c r="P200" s="56"/>
    </row>
    <row r="201" ht="13.75" hidden="1" spans="1:16">
      <c r="A201" s="45"/>
      <c r="B201" s="57"/>
      <c r="C201" s="47"/>
      <c r="D201" s="47"/>
      <c r="E201" s="47"/>
      <c r="F201" s="48"/>
      <c r="G201" s="48"/>
      <c r="H201" s="47"/>
      <c r="I201" s="47"/>
      <c r="J201" s="47"/>
      <c r="K201" s="47"/>
      <c r="L201" s="47"/>
      <c r="M201" s="47"/>
      <c r="N201" s="47"/>
      <c r="O201" s="47"/>
      <c r="P201" s="56"/>
    </row>
    <row r="211" spans="2:3">
      <c r="B211" s="43"/>
      <c r="C211" s="43"/>
    </row>
    <row r="212" spans="2:3">
      <c r="B212" s="43"/>
      <c r="C212" s="43"/>
    </row>
    <row r="213" spans="2:3">
      <c r="B213" s="43"/>
      <c r="C213" s="43"/>
    </row>
    <row r="214" spans="2:3">
      <c r="B214" s="43"/>
      <c r="C214" s="43"/>
    </row>
    <row r="215" spans="2:3">
      <c r="B215" s="43"/>
      <c r="C215" s="43"/>
    </row>
    <row r="216" spans="2:3">
      <c r="B216" s="43"/>
      <c r="C216" s="43"/>
    </row>
    <row r="217" spans="2:3">
      <c r="B217" s="43"/>
      <c r="C217" s="43"/>
    </row>
    <row r="218" spans="2:3">
      <c r="B218" s="43"/>
      <c r="C218" s="43"/>
    </row>
    <row r="219" spans="2:3">
      <c r="B219" s="43"/>
      <c r="C219" s="43"/>
    </row>
    <row r="220" spans="2:3">
      <c r="B220" s="43"/>
      <c r="C220" s="43"/>
    </row>
    <row r="221" spans="2:3">
      <c r="B221" s="43"/>
      <c r="C221" s="43"/>
    </row>
    <row r="222" spans="2:3">
      <c r="B222" s="43"/>
      <c r="C222" s="43"/>
    </row>
  </sheetData>
  <mergeCells count="10"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</mergeCells>
  <pageMargins left="0.748031496062992" right="0.748031496062992" top="0.984251968503937" bottom="0.984251968503937" header="0.511811023622047" footer="0.511811023622047"/>
  <pageSetup paperSize="1" scale="85" orientation="landscape" verticalDpi="12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workbookViewId="0">
      <selection activeCell="A1" sqref="A1"/>
    </sheetView>
  </sheetViews>
  <sheetFormatPr defaultColWidth="9" defaultRowHeight="13"/>
  <cols>
    <col min="1" max="1" width="7.75" style="2" customWidth="1"/>
    <col min="2" max="2" width="19.75" style="3" customWidth="1"/>
    <col min="3" max="3" width="10.375" style="3" customWidth="1"/>
    <col min="4" max="4" width="11.75" style="3" customWidth="1"/>
    <col min="5" max="5" width="7.75" style="3" customWidth="1"/>
    <col min="6" max="6" width="9" style="3"/>
    <col min="7" max="7" width="9.25" style="4" customWidth="1"/>
    <col min="8" max="8" width="10.25" style="3" customWidth="1"/>
    <col min="9" max="9" width="7.25" style="3" customWidth="1"/>
    <col min="10" max="10" width="7.75" style="3" customWidth="1"/>
    <col min="11" max="11" width="12.5" style="3" customWidth="1"/>
    <col min="12" max="12" width="9.5" style="5" customWidth="1"/>
    <col min="13" max="14" width="5.875" style="3" customWidth="1"/>
    <col min="15" max="15" width="19.25" style="3" customWidth="1"/>
    <col min="16" max="16384" width="9" style="3"/>
  </cols>
  <sheetData>
    <row r="1" s="1" customFormat="1" ht="13.75" spans="1:12">
      <c r="A1" s="6"/>
      <c r="G1" s="7"/>
      <c r="L1" s="25"/>
    </row>
    <row r="2" s="2" customFormat="1" ht="42" customHeight="1" spans="1:19">
      <c r="A2" s="8" t="s">
        <v>222</v>
      </c>
      <c r="B2" s="9" t="s">
        <v>58</v>
      </c>
      <c r="C2" s="9" t="s">
        <v>223</v>
      </c>
      <c r="D2" s="9" t="s">
        <v>224</v>
      </c>
      <c r="E2" s="9" t="s">
        <v>60</v>
      </c>
      <c r="F2" s="9" t="s">
        <v>225</v>
      </c>
      <c r="G2" s="9" t="s">
        <v>226</v>
      </c>
      <c r="H2" s="9" t="s">
        <v>63</v>
      </c>
      <c r="I2" s="9" t="s">
        <v>227</v>
      </c>
      <c r="J2" s="9" t="s">
        <v>228</v>
      </c>
      <c r="K2" s="9" t="s">
        <v>229</v>
      </c>
      <c r="L2" s="9" t="s">
        <v>230</v>
      </c>
      <c r="M2" s="9" t="s">
        <v>231</v>
      </c>
      <c r="N2" s="9" t="s">
        <v>232</v>
      </c>
      <c r="O2" s="26" t="s">
        <v>233</v>
      </c>
      <c r="P2" s="2" t="s">
        <v>234</v>
      </c>
      <c r="Q2" s="2" t="s">
        <v>235</v>
      </c>
      <c r="R2" s="2" t="s">
        <v>236</v>
      </c>
      <c r="S2" s="2" t="s">
        <v>237</v>
      </c>
    </row>
    <row r="3" ht="14.25" customHeight="1" spans="1:19">
      <c r="A3" s="10" t="s">
        <v>68</v>
      </c>
      <c r="B3" s="11" t="s">
        <v>238</v>
      </c>
      <c r="C3" s="12" t="s">
        <v>239</v>
      </c>
      <c r="D3" s="12" t="s">
        <v>240</v>
      </c>
      <c r="E3" s="12">
        <v>1</v>
      </c>
      <c r="F3" s="13">
        <v>0</v>
      </c>
      <c r="G3" s="13">
        <v>0</v>
      </c>
      <c r="H3" s="12" t="e">
        <v>#DIV/0!</v>
      </c>
      <c r="I3" s="12"/>
      <c r="J3" s="12">
        <v>0</v>
      </c>
      <c r="K3" s="12" t="e">
        <v>#DIV/0!</v>
      </c>
      <c r="L3" s="12" t="s">
        <v>240</v>
      </c>
      <c r="M3" s="12">
        <v>20001</v>
      </c>
      <c r="N3" s="12">
        <v>3</v>
      </c>
      <c r="O3" s="27" t="s">
        <v>262</v>
      </c>
      <c r="P3" s="3">
        <v>0</v>
      </c>
      <c r="Q3" s="3">
        <v>0</v>
      </c>
      <c r="R3" s="3" t="s">
        <v>263</v>
      </c>
      <c r="S3" s="3" t="s">
        <v>242</v>
      </c>
    </row>
    <row r="4" ht="14.25" customHeight="1" spans="1:19">
      <c r="A4" s="14"/>
      <c r="B4" s="15" t="s">
        <v>238</v>
      </c>
      <c r="C4" s="16" t="s">
        <v>239</v>
      </c>
      <c r="D4" s="16" t="s">
        <v>240</v>
      </c>
      <c r="E4" s="16">
        <v>1</v>
      </c>
      <c r="F4" s="17">
        <v>0</v>
      </c>
      <c r="G4" s="17">
        <v>0</v>
      </c>
      <c r="H4" s="16" t="e">
        <v>#DIV/0!</v>
      </c>
      <c r="I4" s="16"/>
      <c r="J4" s="16">
        <v>0</v>
      </c>
      <c r="K4" s="16" t="e">
        <v>#DIV/0!</v>
      </c>
      <c r="L4" s="16" t="s">
        <v>240</v>
      </c>
      <c r="M4" s="16">
        <v>20001</v>
      </c>
      <c r="N4" s="16">
        <v>3</v>
      </c>
      <c r="O4" s="28" t="s">
        <v>264</v>
      </c>
      <c r="P4" s="3">
        <v>0</v>
      </c>
      <c r="Q4" s="3">
        <v>0</v>
      </c>
      <c r="R4" s="3" t="s">
        <v>263</v>
      </c>
      <c r="S4" s="3" t="s">
        <v>242</v>
      </c>
    </row>
    <row r="5" ht="14.25" customHeight="1" spans="1:19">
      <c r="A5" s="14"/>
      <c r="B5" s="15" t="s">
        <v>71</v>
      </c>
      <c r="C5" s="16" t="s">
        <v>239</v>
      </c>
      <c r="D5" s="16" t="s">
        <v>240</v>
      </c>
      <c r="E5" s="16">
        <v>1</v>
      </c>
      <c r="F5" s="17">
        <v>1800</v>
      </c>
      <c r="G5" s="17">
        <v>633000</v>
      </c>
      <c r="H5" s="16">
        <v>0.00285</v>
      </c>
      <c r="I5" s="16"/>
      <c r="J5" s="16">
        <v>0</v>
      </c>
      <c r="K5" s="16">
        <v>0</v>
      </c>
      <c r="L5" s="16" t="s">
        <v>240</v>
      </c>
      <c r="M5" s="16">
        <v>59</v>
      </c>
      <c r="N5" s="16">
        <v>3</v>
      </c>
      <c r="O5" s="28" t="s">
        <v>265</v>
      </c>
      <c r="P5" s="3">
        <v>1.39</v>
      </c>
      <c r="Q5" s="3">
        <v>1.6</v>
      </c>
      <c r="R5" s="3" t="s">
        <v>263</v>
      </c>
      <c r="S5" s="3" t="s">
        <v>242</v>
      </c>
    </row>
    <row r="6" ht="14.25" customHeight="1" spans="1:19">
      <c r="A6" s="14"/>
      <c r="B6" s="15" t="s">
        <v>73</v>
      </c>
      <c r="C6" s="16" t="s">
        <v>239</v>
      </c>
      <c r="D6" s="16" t="s">
        <v>240</v>
      </c>
      <c r="E6" s="16">
        <v>1</v>
      </c>
      <c r="F6" s="17">
        <v>1610</v>
      </c>
      <c r="G6" s="17">
        <v>643000</v>
      </c>
      <c r="H6" s="16">
        <v>0.0025</v>
      </c>
      <c r="I6" s="16"/>
      <c r="J6" s="16">
        <v>0</v>
      </c>
      <c r="K6" s="16">
        <v>0</v>
      </c>
      <c r="L6" s="16" t="s">
        <v>240</v>
      </c>
      <c r="M6" s="16">
        <v>60</v>
      </c>
      <c r="N6" s="16">
        <v>3</v>
      </c>
      <c r="O6" s="28" t="s">
        <v>266</v>
      </c>
      <c r="P6" s="3">
        <v>1.4</v>
      </c>
      <c r="Q6" s="3">
        <v>1.6</v>
      </c>
      <c r="R6" s="3" t="s">
        <v>263</v>
      </c>
      <c r="S6" s="3" t="s">
        <v>242</v>
      </c>
    </row>
    <row r="7" ht="14.25" customHeight="1" spans="1:19">
      <c r="A7" s="14"/>
      <c r="B7" s="15" t="s">
        <v>76</v>
      </c>
      <c r="C7" s="16" t="s">
        <v>239</v>
      </c>
      <c r="D7" s="16" t="s">
        <v>240</v>
      </c>
      <c r="E7" s="16">
        <v>10</v>
      </c>
      <c r="F7" s="17">
        <v>303000</v>
      </c>
      <c r="G7" s="17">
        <v>623000</v>
      </c>
      <c r="H7" s="16">
        <v>0.486</v>
      </c>
      <c r="I7" s="16"/>
      <c r="J7" s="16">
        <v>0</v>
      </c>
      <c r="K7" s="16">
        <v>0</v>
      </c>
      <c r="L7" s="16" t="s">
        <v>240</v>
      </c>
      <c r="M7" s="16">
        <v>57</v>
      </c>
      <c r="N7" s="16">
        <v>3</v>
      </c>
      <c r="O7" s="28" t="s">
        <v>267</v>
      </c>
      <c r="P7" s="3">
        <v>1.4</v>
      </c>
      <c r="Q7" s="3">
        <v>1.6</v>
      </c>
      <c r="R7" s="3" t="s">
        <v>263</v>
      </c>
      <c r="S7" s="3" t="s">
        <v>242</v>
      </c>
    </row>
    <row r="8" ht="14.25" customHeight="1" spans="1:19">
      <c r="A8" s="14"/>
      <c r="B8" s="15" t="s">
        <v>78</v>
      </c>
      <c r="C8" s="16" t="s">
        <v>239</v>
      </c>
      <c r="D8" s="16" t="s">
        <v>240</v>
      </c>
      <c r="E8" s="16">
        <v>10</v>
      </c>
      <c r="F8" s="17">
        <v>289000</v>
      </c>
      <c r="G8" s="17">
        <v>650000</v>
      </c>
      <c r="H8" s="16">
        <v>0.445</v>
      </c>
      <c r="I8" s="16"/>
      <c r="J8" s="16">
        <v>0</v>
      </c>
      <c r="K8" s="16">
        <v>0</v>
      </c>
      <c r="L8" s="16" t="s">
        <v>240</v>
      </c>
      <c r="M8" s="16">
        <v>58</v>
      </c>
      <c r="N8" s="16">
        <v>3</v>
      </c>
      <c r="O8" s="28" t="s">
        <v>268</v>
      </c>
      <c r="P8" s="3">
        <v>1.4</v>
      </c>
      <c r="Q8" s="3">
        <v>1.6</v>
      </c>
      <c r="R8" s="3" t="s">
        <v>263</v>
      </c>
      <c r="S8" s="3" t="s">
        <v>242</v>
      </c>
    </row>
    <row r="9" ht="14.25" customHeight="1" spans="1:19">
      <c r="A9" s="14"/>
      <c r="B9" s="15" t="s">
        <v>81</v>
      </c>
      <c r="C9" s="16" t="s">
        <v>239</v>
      </c>
      <c r="D9" s="16" t="s">
        <v>240</v>
      </c>
      <c r="E9" s="16">
        <v>10</v>
      </c>
      <c r="F9" s="17">
        <v>314000</v>
      </c>
      <c r="G9" s="17">
        <v>641000</v>
      </c>
      <c r="H9" s="16">
        <v>0.49</v>
      </c>
      <c r="I9" s="16"/>
      <c r="J9" s="16">
        <v>0</v>
      </c>
      <c r="K9" s="16">
        <v>0</v>
      </c>
      <c r="L9" s="16" t="s">
        <v>240</v>
      </c>
      <c r="M9" s="16">
        <v>1</v>
      </c>
      <c r="N9" s="16">
        <v>3</v>
      </c>
      <c r="O9" s="28" t="s">
        <v>269</v>
      </c>
      <c r="P9" s="3">
        <v>1.4</v>
      </c>
      <c r="Q9" s="3">
        <v>1.6</v>
      </c>
      <c r="R9" s="3" t="s">
        <v>263</v>
      </c>
      <c r="S9" s="3" t="s">
        <v>242</v>
      </c>
    </row>
    <row r="10" ht="14.25" customHeight="1" spans="1:19">
      <c r="A10" s="14"/>
      <c r="B10" s="15" t="s">
        <v>83</v>
      </c>
      <c r="C10" s="16" t="s">
        <v>239</v>
      </c>
      <c r="D10" s="16" t="s">
        <v>240</v>
      </c>
      <c r="E10" s="16">
        <v>10</v>
      </c>
      <c r="F10" s="17">
        <v>292000</v>
      </c>
      <c r="G10" s="17">
        <v>629000</v>
      </c>
      <c r="H10" s="16">
        <v>0.464</v>
      </c>
      <c r="I10" s="16"/>
      <c r="J10" s="16">
        <v>0</v>
      </c>
      <c r="K10" s="16">
        <v>0</v>
      </c>
      <c r="L10" s="16" t="s">
        <v>240</v>
      </c>
      <c r="M10" s="16">
        <v>2</v>
      </c>
      <c r="N10" s="16">
        <v>3</v>
      </c>
      <c r="O10" s="28" t="s">
        <v>270</v>
      </c>
      <c r="P10" s="3">
        <v>1.4</v>
      </c>
      <c r="Q10" s="3">
        <v>1.6</v>
      </c>
      <c r="R10" s="3" t="s">
        <v>263</v>
      </c>
      <c r="S10" s="3" t="s">
        <v>242</v>
      </c>
    </row>
    <row r="11" ht="14.25" customHeight="1" spans="1:19">
      <c r="A11" s="14"/>
      <c r="B11" s="15" t="s">
        <v>238</v>
      </c>
      <c r="C11" s="16" t="s">
        <v>239</v>
      </c>
      <c r="D11" s="16" t="s">
        <v>240</v>
      </c>
      <c r="E11" s="16">
        <v>1</v>
      </c>
      <c r="F11" s="17">
        <v>5560</v>
      </c>
      <c r="G11" s="17">
        <v>0</v>
      </c>
      <c r="H11" s="16" t="e">
        <v>#DIV/0!</v>
      </c>
      <c r="I11" s="16"/>
      <c r="J11" s="16">
        <v>0</v>
      </c>
      <c r="K11" s="16" t="e">
        <v>#DIV/0!</v>
      </c>
      <c r="L11" s="16" t="s">
        <v>240</v>
      </c>
      <c r="M11" s="16">
        <v>20001</v>
      </c>
      <c r="N11" s="16">
        <v>3</v>
      </c>
      <c r="O11" s="28" t="s">
        <v>271</v>
      </c>
      <c r="P11" s="3">
        <v>1.39</v>
      </c>
      <c r="Q11" s="3">
        <v>0</v>
      </c>
      <c r="R11" s="3" t="s">
        <v>263</v>
      </c>
      <c r="S11" s="3" t="s">
        <v>242</v>
      </c>
    </row>
    <row r="12" ht="14.25" customHeight="1" spans="1:19">
      <c r="A12" s="14"/>
      <c r="B12" s="15" t="s">
        <v>238</v>
      </c>
      <c r="C12" s="16" t="s">
        <v>239</v>
      </c>
      <c r="D12" s="16" t="s">
        <v>240</v>
      </c>
      <c r="E12" s="16">
        <v>1</v>
      </c>
      <c r="F12" s="17">
        <v>0</v>
      </c>
      <c r="G12" s="17">
        <v>0</v>
      </c>
      <c r="H12" s="16" t="e">
        <v>#DIV/0!</v>
      </c>
      <c r="I12" s="16"/>
      <c r="J12" s="16">
        <v>0</v>
      </c>
      <c r="K12" s="16" t="e">
        <v>#DIV/0!</v>
      </c>
      <c r="L12" s="16" t="s">
        <v>240</v>
      </c>
      <c r="M12" s="16">
        <v>20001</v>
      </c>
      <c r="N12" s="16">
        <v>3</v>
      </c>
      <c r="O12" s="28" t="s">
        <v>272</v>
      </c>
      <c r="P12" s="3">
        <v>0</v>
      </c>
      <c r="Q12" s="3">
        <v>0</v>
      </c>
      <c r="R12" s="3" t="s">
        <v>263</v>
      </c>
      <c r="S12" s="3" t="s">
        <v>242</v>
      </c>
    </row>
    <row r="13" ht="14.25" customHeight="1" spans="1:19">
      <c r="A13" s="14"/>
      <c r="B13" s="15" t="s">
        <v>89</v>
      </c>
      <c r="C13" s="16" t="s">
        <v>239</v>
      </c>
      <c r="D13" s="16" t="s">
        <v>240</v>
      </c>
      <c r="E13" s="16">
        <v>10</v>
      </c>
      <c r="F13" s="17">
        <v>307000</v>
      </c>
      <c r="G13" s="17">
        <v>632000</v>
      </c>
      <c r="H13" s="16">
        <v>0.486</v>
      </c>
      <c r="I13" s="16"/>
      <c r="J13" s="16">
        <v>0</v>
      </c>
      <c r="K13" s="16">
        <v>0</v>
      </c>
      <c r="L13" s="16" t="s">
        <v>240</v>
      </c>
      <c r="M13" s="16">
        <v>37</v>
      </c>
      <c r="N13" s="16">
        <v>3</v>
      </c>
      <c r="O13" s="28" t="s">
        <v>273</v>
      </c>
      <c r="P13" s="3">
        <v>1.4</v>
      </c>
      <c r="Q13" s="3">
        <v>1.6</v>
      </c>
      <c r="R13" s="3" t="s">
        <v>263</v>
      </c>
      <c r="S13" s="3" t="s">
        <v>242</v>
      </c>
    </row>
    <row r="14" ht="14.25" customHeight="1" spans="1:19">
      <c r="A14" s="14"/>
      <c r="B14" s="15" t="s">
        <v>91</v>
      </c>
      <c r="C14" s="16" t="s">
        <v>239</v>
      </c>
      <c r="D14" s="16" t="s">
        <v>240</v>
      </c>
      <c r="E14" s="16">
        <v>10</v>
      </c>
      <c r="F14" s="17">
        <v>329000</v>
      </c>
      <c r="G14" s="17">
        <v>625000</v>
      </c>
      <c r="H14" s="16">
        <v>0.527</v>
      </c>
      <c r="I14" s="16"/>
      <c r="J14" s="16">
        <v>0</v>
      </c>
      <c r="K14" s="16">
        <v>0</v>
      </c>
      <c r="L14" s="16" t="s">
        <v>240</v>
      </c>
      <c r="M14" s="16">
        <v>38</v>
      </c>
      <c r="N14" s="16">
        <v>3</v>
      </c>
      <c r="O14" s="28" t="s">
        <v>274</v>
      </c>
      <c r="P14" s="3">
        <v>1.39</v>
      </c>
      <c r="Q14" s="3">
        <v>1.59</v>
      </c>
      <c r="R14" s="3" t="s">
        <v>263</v>
      </c>
      <c r="S14" s="3" t="s">
        <v>242</v>
      </c>
    </row>
    <row r="15" ht="14.25" customHeight="1" spans="1:19">
      <c r="A15" s="14"/>
      <c r="B15" s="15" t="s">
        <v>93</v>
      </c>
      <c r="C15" s="16" t="s">
        <v>239</v>
      </c>
      <c r="D15" s="16" t="s">
        <v>240</v>
      </c>
      <c r="E15" s="16">
        <v>10</v>
      </c>
      <c r="F15" s="17">
        <v>302000</v>
      </c>
      <c r="G15" s="17">
        <v>637000</v>
      </c>
      <c r="H15" s="16">
        <v>0.474</v>
      </c>
      <c r="I15" s="16"/>
      <c r="J15" s="16">
        <v>0</v>
      </c>
      <c r="K15" s="16">
        <v>0</v>
      </c>
      <c r="L15" s="16" t="s">
        <v>240</v>
      </c>
      <c r="M15" s="16">
        <v>25</v>
      </c>
      <c r="N15" s="16">
        <v>3</v>
      </c>
      <c r="O15" s="28" t="s">
        <v>275</v>
      </c>
      <c r="P15" s="3">
        <v>1.4</v>
      </c>
      <c r="Q15" s="3">
        <v>1.6</v>
      </c>
      <c r="R15" s="3" t="s">
        <v>263</v>
      </c>
      <c r="S15" s="3" t="s">
        <v>242</v>
      </c>
    </row>
    <row r="16" ht="14.25" customHeight="1" spans="1:19">
      <c r="A16" s="18"/>
      <c r="B16" s="19" t="s">
        <v>95</v>
      </c>
      <c r="C16" s="20" t="s">
        <v>239</v>
      </c>
      <c r="D16" s="20" t="s">
        <v>240</v>
      </c>
      <c r="E16" s="20">
        <v>10</v>
      </c>
      <c r="F16" s="21">
        <v>308000</v>
      </c>
      <c r="G16" s="21">
        <v>625000</v>
      </c>
      <c r="H16" s="20">
        <v>0.493</v>
      </c>
      <c r="I16" s="20"/>
      <c r="J16" s="20">
        <v>0</v>
      </c>
      <c r="K16" s="20">
        <v>0</v>
      </c>
      <c r="L16" s="20" t="s">
        <v>240</v>
      </c>
      <c r="M16" s="20">
        <v>26</v>
      </c>
      <c r="N16" s="20">
        <v>3</v>
      </c>
      <c r="O16" s="29" t="s">
        <v>276</v>
      </c>
      <c r="P16" s="3">
        <v>1.39</v>
      </c>
      <c r="Q16" s="3">
        <v>1.6</v>
      </c>
      <c r="R16" s="3" t="s">
        <v>263</v>
      </c>
      <c r="S16" s="3" t="s">
        <v>242</v>
      </c>
    </row>
    <row r="17" ht="14.25" customHeight="1" spans="1:19">
      <c r="A17" s="22" t="s">
        <v>97</v>
      </c>
      <c r="B17" s="15" t="s">
        <v>238</v>
      </c>
      <c r="C17" s="16" t="s">
        <v>239</v>
      </c>
      <c r="D17" s="16" t="s">
        <v>240</v>
      </c>
      <c r="E17" s="16">
        <v>1</v>
      </c>
      <c r="F17" s="17">
        <v>0</v>
      </c>
      <c r="G17" s="17">
        <v>0</v>
      </c>
      <c r="H17" s="16" t="e">
        <v>#DIV/0!</v>
      </c>
      <c r="I17" s="16"/>
      <c r="J17" s="16">
        <v>0</v>
      </c>
      <c r="K17" s="16" t="e">
        <v>#DIV/0!</v>
      </c>
      <c r="L17" s="16" t="s">
        <v>240</v>
      </c>
      <c r="M17" s="16">
        <v>20001</v>
      </c>
      <c r="N17" s="16">
        <v>3</v>
      </c>
      <c r="O17" s="28" t="s">
        <v>277</v>
      </c>
      <c r="P17" s="3">
        <v>0</v>
      </c>
      <c r="Q17" s="3">
        <v>0</v>
      </c>
      <c r="R17" s="3" t="s">
        <v>278</v>
      </c>
      <c r="S17" s="3" t="s">
        <v>242</v>
      </c>
    </row>
    <row r="18" ht="14.25" customHeight="1" spans="1:19">
      <c r="A18" s="22"/>
      <c r="B18" s="15" t="s">
        <v>238</v>
      </c>
      <c r="C18" s="16" t="s">
        <v>239</v>
      </c>
      <c r="D18" s="16" t="s">
        <v>240</v>
      </c>
      <c r="E18" s="16">
        <v>1</v>
      </c>
      <c r="F18" s="17">
        <v>0</v>
      </c>
      <c r="G18" s="17">
        <v>0</v>
      </c>
      <c r="H18" s="16" t="e">
        <v>#DIV/0!</v>
      </c>
      <c r="I18" s="16"/>
      <c r="J18" s="16">
        <v>0</v>
      </c>
      <c r="K18" s="16" t="e">
        <v>#DIV/0!</v>
      </c>
      <c r="L18" s="16" t="s">
        <v>240</v>
      </c>
      <c r="M18" s="16">
        <v>20001</v>
      </c>
      <c r="N18" s="16">
        <v>3</v>
      </c>
      <c r="O18" s="28" t="s">
        <v>279</v>
      </c>
      <c r="P18" s="3">
        <v>0</v>
      </c>
      <c r="Q18" s="3">
        <v>0</v>
      </c>
      <c r="R18" s="3" t="s">
        <v>278</v>
      </c>
      <c r="S18" s="3" t="s">
        <v>242</v>
      </c>
    </row>
    <row r="19" ht="14.25" customHeight="1" spans="1:19">
      <c r="A19" s="22"/>
      <c r="B19" s="15" t="s">
        <v>98</v>
      </c>
      <c r="C19" s="16" t="s">
        <v>239</v>
      </c>
      <c r="D19" s="16" t="s">
        <v>240</v>
      </c>
      <c r="E19" s="16">
        <v>1</v>
      </c>
      <c r="F19" s="17">
        <v>33800</v>
      </c>
      <c r="G19" s="17">
        <v>305000</v>
      </c>
      <c r="H19" s="16">
        <v>0.111</v>
      </c>
      <c r="I19" s="16"/>
      <c r="J19" s="16">
        <v>0</v>
      </c>
      <c r="K19" s="16">
        <v>0</v>
      </c>
      <c r="L19" s="16" t="s">
        <v>240</v>
      </c>
      <c r="M19" s="16">
        <v>95</v>
      </c>
      <c r="N19" s="16">
        <v>3</v>
      </c>
      <c r="O19" s="28" t="s">
        <v>280</v>
      </c>
      <c r="P19" s="3">
        <v>1.59</v>
      </c>
      <c r="Q19" s="3">
        <v>1.85</v>
      </c>
      <c r="R19" s="3" t="s">
        <v>278</v>
      </c>
      <c r="S19" s="3" t="s">
        <v>242</v>
      </c>
    </row>
    <row r="20" ht="14.25" customHeight="1" spans="1:19">
      <c r="A20" s="22"/>
      <c r="B20" s="15" t="s">
        <v>99</v>
      </c>
      <c r="C20" s="16" t="s">
        <v>239</v>
      </c>
      <c r="D20" s="16" t="s">
        <v>240</v>
      </c>
      <c r="E20" s="16">
        <v>1</v>
      </c>
      <c r="F20" s="17">
        <v>32700</v>
      </c>
      <c r="G20" s="17">
        <v>300000</v>
      </c>
      <c r="H20" s="16">
        <v>0.109</v>
      </c>
      <c r="I20" s="16"/>
      <c r="J20" s="16">
        <v>0</v>
      </c>
      <c r="K20" s="16">
        <v>0</v>
      </c>
      <c r="L20" s="16" t="s">
        <v>240</v>
      </c>
      <c r="M20" s="16">
        <v>96</v>
      </c>
      <c r="N20" s="16">
        <v>3</v>
      </c>
      <c r="O20" s="28" t="s">
        <v>281</v>
      </c>
      <c r="P20" s="3">
        <v>1.6</v>
      </c>
      <c r="Q20" s="3">
        <v>1.85</v>
      </c>
      <c r="R20" s="3" t="s">
        <v>278</v>
      </c>
      <c r="S20" s="3" t="s">
        <v>242</v>
      </c>
    </row>
    <row r="21" ht="14.25" customHeight="1" spans="1:19">
      <c r="A21" s="22"/>
      <c r="B21" s="15" t="s">
        <v>100</v>
      </c>
      <c r="C21" s="16" t="s">
        <v>239</v>
      </c>
      <c r="D21" s="16" t="s">
        <v>240</v>
      </c>
      <c r="E21" s="16">
        <v>10</v>
      </c>
      <c r="F21" s="17">
        <v>318000</v>
      </c>
      <c r="G21" s="17">
        <v>305000</v>
      </c>
      <c r="H21" s="16">
        <v>1.04</v>
      </c>
      <c r="I21" s="16"/>
      <c r="J21" s="16">
        <v>0</v>
      </c>
      <c r="K21" s="16">
        <v>0</v>
      </c>
      <c r="L21" s="16" t="s">
        <v>240</v>
      </c>
      <c r="M21" s="16">
        <v>93</v>
      </c>
      <c r="N21" s="16">
        <v>3</v>
      </c>
      <c r="O21" s="28" t="s">
        <v>282</v>
      </c>
      <c r="P21" s="3">
        <v>1.6</v>
      </c>
      <c r="Q21" s="3">
        <v>1.85</v>
      </c>
      <c r="R21" s="3" t="s">
        <v>278</v>
      </c>
      <c r="S21" s="3" t="s">
        <v>242</v>
      </c>
    </row>
    <row r="22" ht="14.25" customHeight="1" spans="1:19">
      <c r="A22" s="22"/>
      <c r="B22" s="15" t="s">
        <v>101</v>
      </c>
      <c r="C22" s="16" t="s">
        <v>239</v>
      </c>
      <c r="D22" s="16" t="s">
        <v>240</v>
      </c>
      <c r="E22" s="16">
        <v>10</v>
      </c>
      <c r="F22" s="17">
        <v>323000</v>
      </c>
      <c r="G22" s="17">
        <v>300000</v>
      </c>
      <c r="H22" s="16">
        <v>1.08</v>
      </c>
      <c r="I22" s="16"/>
      <c r="J22" s="16">
        <v>0</v>
      </c>
      <c r="K22" s="16">
        <v>0</v>
      </c>
      <c r="L22" s="16" t="s">
        <v>240</v>
      </c>
      <c r="M22" s="16">
        <v>94</v>
      </c>
      <c r="N22" s="16">
        <v>3</v>
      </c>
      <c r="O22" s="28" t="s">
        <v>283</v>
      </c>
      <c r="P22" s="3">
        <v>1.6</v>
      </c>
      <c r="Q22" s="3">
        <v>1.85</v>
      </c>
      <c r="R22" s="3" t="s">
        <v>278</v>
      </c>
      <c r="S22" s="3" t="s">
        <v>242</v>
      </c>
    </row>
    <row r="23" ht="14.25" customHeight="1" spans="1:19">
      <c r="A23" s="22"/>
      <c r="B23" s="15" t="s">
        <v>102</v>
      </c>
      <c r="C23" s="16" t="s">
        <v>239</v>
      </c>
      <c r="D23" s="16" t="s">
        <v>240</v>
      </c>
      <c r="E23" s="16">
        <v>10</v>
      </c>
      <c r="F23" s="17">
        <v>355000</v>
      </c>
      <c r="G23" s="17">
        <v>316000</v>
      </c>
      <c r="H23" s="16">
        <v>1.12</v>
      </c>
      <c r="I23" s="16"/>
      <c r="J23" s="16">
        <v>0</v>
      </c>
      <c r="K23" s="16">
        <v>0</v>
      </c>
      <c r="L23" s="16" t="s">
        <v>240</v>
      </c>
      <c r="M23" s="16">
        <v>13</v>
      </c>
      <c r="N23" s="16">
        <v>3</v>
      </c>
      <c r="O23" s="28" t="s">
        <v>284</v>
      </c>
      <c r="P23" s="3">
        <v>1.6</v>
      </c>
      <c r="Q23" s="3">
        <v>1.85</v>
      </c>
      <c r="R23" s="3" t="s">
        <v>278</v>
      </c>
      <c r="S23" s="3" t="s">
        <v>242</v>
      </c>
    </row>
    <row r="24" ht="14.25" customHeight="1" spans="1:19">
      <c r="A24" s="22"/>
      <c r="B24" s="15" t="s">
        <v>103</v>
      </c>
      <c r="C24" s="16" t="s">
        <v>239</v>
      </c>
      <c r="D24" s="16" t="s">
        <v>240</v>
      </c>
      <c r="E24" s="16">
        <v>10</v>
      </c>
      <c r="F24" s="17">
        <v>317000</v>
      </c>
      <c r="G24" s="17">
        <v>293000</v>
      </c>
      <c r="H24" s="16">
        <v>1.08</v>
      </c>
      <c r="I24" s="16"/>
      <c r="J24" s="16">
        <v>0</v>
      </c>
      <c r="K24" s="16">
        <v>0</v>
      </c>
      <c r="L24" s="16" t="s">
        <v>240</v>
      </c>
      <c r="M24" s="16">
        <v>14</v>
      </c>
      <c r="N24" s="16">
        <v>3</v>
      </c>
      <c r="O24" s="28" t="s">
        <v>285</v>
      </c>
      <c r="P24" s="3">
        <v>1.59</v>
      </c>
      <c r="Q24" s="3">
        <v>1.85</v>
      </c>
      <c r="R24" s="3" t="s">
        <v>278</v>
      </c>
      <c r="S24" s="3" t="s">
        <v>242</v>
      </c>
    </row>
    <row r="25" ht="14.25" customHeight="1" spans="1:19">
      <c r="A25" s="22"/>
      <c r="B25" s="15" t="s">
        <v>238</v>
      </c>
      <c r="C25" s="16" t="s">
        <v>239</v>
      </c>
      <c r="D25" s="16" t="s">
        <v>240</v>
      </c>
      <c r="E25" s="16">
        <v>1</v>
      </c>
      <c r="F25" s="17">
        <v>0</v>
      </c>
      <c r="G25" s="17">
        <v>0</v>
      </c>
      <c r="H25" s="16" t="e">
        <v>#DIV/0!</v>
      </c>
      <c r="I25" s="16"/>
      <c r="J25" s="16">
        <v>0</v>
      </c>
      <c r="K25" s="16" t="e">
        <v>#DIV/0!</v>
      </c>
      <c r="L25" s="16" t="s">
        <v>240</v>
      </c>
      <c r="M25" s="16">
        <v>20001</v>
      </c>
      <c r="N25" s="16">
        <v>3</v>
      </c>
      <c r="O25" s="28" t="s">
        <v>286</v>
      </c>
      <c r="P25" s="3">
        <v>0</v>
      </c>
      <c r="Q25" s="3">
        <v>0</v>
      </c>
      <c r="R25" s="3" t="s">
        <v>278</v>
      </c>
      <c r="S25" s="3" t="s">
        <v>242</v>
      </c>
    </row>
    <row r="26" ht="14.25" customHeight="1" spans="1:19">
      <c r="A26" s="22"/>
      <c r="B26" s="15" t="s">
        <v>238</v>
      </c>
      <c r="C26" s="16" t="s">
        <v>239</v>
      </c>
      <c r="D26" s="16" t="s">
        <v>240</v>
      </c>
      <c r="E26" s="16">
        <v>1</v>
      </c>
      <c r="F26" s="17">
        <v>0</v>
      </c>
      <c r="G26" s="17">
        <v>0</v>
      </c>
      <c r="H26" s="16" t="e">
        <v>#DIV/0!</v>
      </c>
      <c r="I26" s="16"/>
      <c r="J26" s="16">
        <v>0</v>
      </c>
      <c r="K26" s="16" t="e">
        <v>#DIV/0!</v>
      </c>
      <c r="L26" s="16" t="s">
        <v>240</v>
      </c>
      <c r="M26" s="16">
        <v>20001</v>
      </c>
      <c r="N26" s="16">
        <v>3</v>
      </c>
      <c r="O26" s="28" t="s">
        <v>287</v>
      </c>
      <c r="P26" s="3">
        <v>0</v>
      </c>
      <c r="Q26" s="3">
        <v>0</v>
      </c>
      <c r="R26" s="3" t="s">
        <v>278</v>
      </c>
      <c r="S26" s="3" t="s">
        <v>242</v>
      </c>
    </row>
    <row r="27" ht="14.25" customHeight="1" spans="1:19">
      <c r="A27" s="22"/>
      <c r="B27" s="15" t="s">
        <v>104</v>
      </c>
      <c r="C27" s="16" t="s">
        <v>239</v>
      </c>
      <c r="D27" s="16" t="s">
        <v>240</v>
      </c>
      <c r="E27" s="16">
        <v>10</v>
      </c>
      <c r="F27" s="17">
        <v>367000</v>
      </c>
      <c r="G27" s="17">
        <v>277000</v>
      </c>
      <c r="H27" s="16">
        <v>1.32</v>
      </c>
      <c r="I27" s="16"/>
      <c r="J27" s="16">
        <v>0</v>
      </c>
      <c r="K27" s="16">
        <v>0</v>
      </c>
      <c r="L27" s="16" t="s">
        <v>240</v>
      </c>
      <c r="M27" s="16">
        <v>39</v>
      </c>
      <c r="N27" s="16">
        <v>3</v>
      </c>
      <c r="O27" s="28" t="s">
        <v>288</v>
      </c>
      <c r="P27" s="3">
        <v>1.59</v>
      </c>
      <c r="Q27" s="3">
        <v>1.85</v>
      </c>
      <c r="R27" s="3" t="s">
        <v>278</v>
      </c>
      <c r="S27" s="3" t="s">
        <v>242</v>
      </c>
    </row>
    <row r="28" ht="14.25" customHeight="1" spans="1:19">
      <c r="A28" s="22"/>
      <c r="B28" s="15" t="s">
        <v>105</v>
      </c>
      <c r="C28" s="16" t="s">
        <v>239</v>
      </c>
      <c r="D28" s="16" t="s">
        <v>240</v>
      </c>
      <c r="E28" s="16">
        <v>10</v>
      </c>
      <c r="F28" s="17">
        <v>351000</v>
      </c>
      <c r="G28" s="17">
        <v>301000</v>
      </c>
      <c r="H28" s="16">
        <v>1.17</v>
      </c>
      <c r="I28" s="16"/>
      <c r="J28" s="16">
        <v>0</v>
      </c>
      <c r="K28" s="16">
        <v>0</v>
      </c>
      <c r="L28" s="16" t="s">
        <v>240</v>
      </c>
      <c r="M28" s="16">
        <v>40</v>
      </c>
      <c r="N28" s="16">
        <v>3</v>
      </c>
      <c r="O28" s="28" t="s">
        <v>289</v>
      </c>
      <c r="P28" s="3">
        <v>1.59</v>
      </c>
      <c r="Q28" s="3">
        <v>1.84</v>
      </c>
      <c r="R28" s="3" t="s">
        <v>278</v>
      </c>
      <c r="S28" s="3" t="s">
        <v>242</v>
      </c>
    </row>
    <row r="29" ht="14.25" customHeight="1" spans="1:19">
      <c r="A29" s="22"/>
      <c r="B29" s="15" t="s">
        <v>106</v>
      </c>
      <c r="C29" s="16" t="s">
        <v>239</v>
      </c>
      <c r="D29" s="16" t="s">
        <v>240</v>
      </c>
      <c r="E29" s="16">
        <v>10</v>
      </c>
      <c r="F29" s="17">
        <v>366000</v>
      </c>
      <c r="G29" s="17">
        <v>327000</v>
      </c>
      <c r="H29" s="16">
        <v>1.12</v>
      </c>
      <c r="I29" s="16"/>
      <c r="J29" s="16">
        <v>0</v>
      </c>
      <c r="K29" s="16">
        <v>0</v>
      </c>
      <c r="L29" s="16" t="s">
        <v>240</v>
      </c>
      <c r="M29" s="16">
        <v>27</v>
      </c>
      <c r="N29" s="16">
        <v>3</v>
      </c>
      <c r="O29" s="28" t="s">
        <v>290</v>
      </c>
      <c r="P29" s="3">
        <v>1.6</v>
      </c>
      <c r="Q29" s="3">
        <v>1.85</v>
      </c>
      <c r="R29" s="3" t="s">
        <v>278</v>
      </c>
      <c r="S29" s="3" t="s">
        <v>242</v>
      </c>
    </row>
    <row r="30" ht="14.25" customHeight="1" spans="1:19">
      <c r="A30" s="22"/>
      <c r="B30" s="15" t="s">
        <v>107</v>
      </c>
      <c r="C30" s="16" t="s">
        <v>239</v>
      </c>
      <c r="D30" s="16" t="s">
        <v>240</v>
      </c>
      <c r="E30" s="16">
        <v>10</v>
      </c>
      <c r="F30" s="17">
        <v>364000</v>
      </c>
      <c r="G30" s="17">
        <v>316000</v>
      </c>
      <c r="H30" s="16">
        <v>1.15</v>
      </c>
      <c r="I30" s="16"/>
      <c r="J30" s="16">
        <v>0</v>
      </c>
      <c r="K30" s="16">
        <v>0</v>
      </c>
      <c r="L30" s="16" t="s">
        <v>240</v>
      </c>
      <c r="M30" s="16">
        <v>28</v>
      </c>
      <c r="N30" s="16">
        <v>3</v>
      </c>
      <c r="O30" s="28" t="s">
        <v>291</v>
      </c>
      <c r="P30" s="3">
        <v>1.59</v>
      </c>
      <c r="Q30" s="3">
        <v>1.85</v>
      </c>
      <c r="R30" s="3" t="s">
        <v>278</v>
      </c>
      <c r="S30" s="3" t="s">
        <v>242</v>
      </c>
    </row>
    <row r="31" ht="14.25" customHeight="1" spans="1:19">
      <c r="A31" s="23" t="s">
        <v>292</v>
      </c>
      <c r="B31" s="11" t="s">
        <v>238</v>
      </c>
      <c r="C31" s="12" t="s">
        <v>239</v>
      </c>
      <c r="D31" s="12" t="s">
        <v>240</v>
      </c>
      <c r="E31" s="12">
        <v>1</v>
      </c>
      <c r="F31" s="13">
        <v>0</v>
      </c>
      <c r="G31" s="13">
        <v>0</v>
      </c>
      <c r="H31" s="12" t="e">
        <v>#DIV/0!</v>
      </c>
      <c r="I31" s="12"/>
      <c r="J31" s="12">
        <v>0</v>
      </c>
      <c r="K31" s="12" t="e">
        <v>#DIV/0!</v>
      </c>
      <c r="L31" s="12" t="s">
        <v>240</v>
      </c>
      <c r="M31" s="12">
        <v>20001</v>
      </c>
      <c r="N31" s="12">
        <v>3</v>
      </c>
      <c r="O31" s="27" t="s">
        <v>293</v>
      </c>
      <c r="P31" s="3">
        <v>0</v>
      </c>
      <c r="Q31" s="3">
        <v>0</v>
      </c>
      <c r="R31" s="3" t="s">
        <v>294</v>
      </c>
      <c r="S31" s="3" t="s">
        <v>242</v>
      </c>
    </row>
    <row r="32" ht="14.25" customHeight="1" spans="1:19">
      <c r="A32" s="22"/>
      <c r="B32" s="15" t="s">
        <v>238</v>
      </c>
      <c r="C32" s="16" t="s">
        <v>239</v>
      </c>
      <c r="D32" s="16" t="s">
        <v>240</v>
      </c>
      <c r="E32" s="16">
        <v>1</v>
      </c>
      <c r="F32" s="17">
        <v>0</v>
      </c>
      <c r="G32" s="17">
        <v>0</v>
      </c>
      <c r="H32" s="16" t="e">
        <v>#DIV/0!</v>
      </c>
      <c r="I32" s="16"/>
      <c r="J32" s="16">
        <v>0</v>
      </c>
      <c r="K32" s="16" t="e">
        <v>#DIV/0!</v>
      </c>
      <c r="L32" s="16" t="s">
        <v>240</v>
      </c>
      <c r="M32" s="16">
        <v>20001</v>
      </c>
      <c r="N32" s="16">
        <v>3</v>
      </c>
      <c r="O32" s="28" t="s">
        <v>295</v>
      </c>
      <c r="P32" s="3">
        <v>0</v>
      </c>
      <c r="Q32" s="3">
        <v>0</v>
      </c>
      <c r="R32" s="3" t="s">
        <v>294</v>
      </c>
      <c r="S32" s="3" t="s">
        <v>242</v>
      </c>
    </row>
    <row r="33" ht="14.25" customHeight="1" spans="1:19">
      <c r="A33" s="22"/>
      <c r="B33" s="15" t="s">
        <v>109</v>
      </c>
      <c r="C33" s="16" t="s">
        <v>239</v>
      </c>
      <c r="D33" s="16" t="s">
        <v>240</v>
      </c>
      <c r="E33" s="16">
        <v>1</v>
      </c>
      <c r="F33" s="17">
        <v>1190</v>
      </c>
      <c r="G33" s="17">
        <v>1390000</v>
      </c>
      <c r="H33" s="16">
        <v>0.000853</v>
      </c>
      <c r="I33" s="16"/>
      <c r="J33" s="16">
        <v>0</v>
      </c>
      <c r="K33" s="16">
        <v>0</v>
      </c>
      <c r="L33" s="16" t="s">
        <v>240</v>
      </c>
      <c r="M33" s="16">
        <v>81</v>
      </c>
      <c r="N33" s="16">
        <v>3</v>
      </c>
      <c r="O33" s="28" t="s">
        <v>296</v>
      </c>
      <c r="P33" s="3">
        <v>1.64</v>
      </c>
      <c r="Q33" s="3">
        <v>1.84</v>
      </c>
      <c r="R33" s="3" t="s">
        <v>294</v>
      </c>
      <c r="S33" s="3" t="s">
        <v>242</v>
      </c>
    </row>
    <row r="34" ht="14.25" customHeight="1" spans="1:19">
      <c r="A34" s="22"/>
      <c r="B34" s="15" t="s">
        <v>110</v>
      </c>
      <c r="C34" s="16" t="s">
        <v>239</v>
      </c>
      <c r="D34" s="16" t="s">
        <v>240</v>
      </c>
      <c r="E34" s="16">
        <v>1</v>
      </c>
      <c r="F34" s="17">
        <v>1300</v>
      </c>
      <c r="G34" s="17">
        <v>1520000</v>
      </c>
      <c r="H34" s="16">
        <v>0.000851</v>
      </c>
      <c r="I34" s="16"/>
      <c r="J34" s="16">
        <v>0</v>
      </c>
      <c r="K34" s="16">
        <v>0</v>
      </c>
      <c r="L34" s="16" t="s">
        <v>240</v>
      </c>
      <c r="M34" s="16">
        <v>82</v>
      </c>
      <c r="N34" s="16">
        <v>3</v>
      </c>
      <c r="O34" s="28" t="s">
        <v>297</v>
      </c>
      <c r="P34" s="3">
        <v>1.64</v>
      </c>
      <c r="Q34" s="3">
        <v>1.84</v>
      </c>
      <c r="R34" s="3" t="s">
        <v>294</v>
      </c>
      <c r="S34" s="3" t="s">
        <v>242</v>
      </c>
    </row>
    <row r="35" ht="14.25" customHeight="1" spans="1:19">
      <c r="A35" s="22"/>
      <c r="B35" s="15" t="s">
        <v>116</v>
      </c>
      <c r="C35" s="16" t="s">
        <v>239</v>
      </c>
      <c r="D35" s="16" t="s">
        <v>240</v>
      </c>
      <c r="E35" s="16">
        <v>1</v>
      </c>
      <c r="F35" s="17">
        <v>415000</v>
      </c>
      <c r="G35" s="17">
        <v>1560000</v>
      </c>
      <c r="H35" s="16">
        <v>0.266</v>
      </c>
      <c r="I35" s="16"/>
      <c r="J35" s="16">
        <v>0</v>
      </c>
      <c r="K35" s="16">
        <v>0</v>
      </c>
      <c r="L35" s="16" t="s">
        <v>240</v>
      </c>
      <c r="M35" s="16">
        <v>71</v>
      </c>
      <c r="N35" s="16">
        <v>3</v>
      </c>
      <c r="O35" s="28" t="s">
        <v>298</v>
      </c>
      <c r="P35" s="3">
        <v>1.64</v>
      </c>
      <c r="Q35" s="3">
        <v>1.84</v>
      </c>
      <c r="R35" s="3" t="s">
        <v>294</v>
      </c>
      <c r="S35" s="3" t="s">
        <v>242</v>
      </c>
    </row>
    <row r="36" ht="14.25" customHeight="1" spans="1:19">
      <c r="A36" s="22"/>
      <c r="B36" s="15" t="s">
        <v>117</v>
      </c>
      <c r="C36" s="16" t="s">
        <v>239</v>
      </c>
      <c r="D36" s="16" t="s">
        <v>240</v>
      </c>
      <c r="E36" s="16">
        <v>1</v>
      </c>
      <c r="F36" s="17">
        <v>439000</v>
      </c>
      <c r="G36" s="17">
        <v>1570000</v>
      </c>
      <c r="H36" s="16">
        <v>0.28</v>
      </c>
      <c r="I36" s="16"/>
      <c r="J36" s="16">
        <v>0</v>
      </c>
      <c r="K36" s="16">
        <v>0</v>
      </c>
      <c r="L36" s="16" t="s">
        <v>240</v>
      </c>
      <c r="M36" s="16">
        <v>72</v>
      </c>
      <c r="N36" s="16">
        <v>3</v>
      </c>
      <c r="O36" s="28" t="s">
        <v>299</v>
      </c>
      <c r="P36" s="3">
        <v>1.63</v>
      </c>
      <c r="Q36" s="3">
        <v>1.84</v>
      </c>
      <c r="R36" s="3" t="s">
        <v>294</v>
      </c>
      <c r="S36" s="3" t="s">
        <v>242</v>
      </c>
    </row>
    <row r="37" ht="14.25" customHeight="1" spans="1:19">
      <c r="A37" s="22"/>
      <c r="B37" s="15" t="s">
        <v>111</v>
      </c>
      <c r="C37" s="16" t="s">
        <v>239</v>
      </c>
      <c r="D37" s="16" t="s">
        <v>240</v>
      </c>
      <c r="E37" s="16">
        <v>10</v>
      </c>
      <c r="F37" s="17">
        <v>281000</v>
      </c>
      <c r="G37" s="17">
        <v>1530000</v>
      </c>
      <c r="H37" s="16">
        <v>0.183</v>
      </c>
      <c r="I37" s="16"/>
      <c r="J37" s="16">
        <v>0</v>
      </c>
      <c r="K37" s="16">
        <v>0</v>
      </c>
      <c r="L37" s="16" t="s">
        <v>240</v>
      </c>
      <c r="M37" s="16">
        <v>69</v>
      </c>
      <c r="N37" s="16">
        <v>3</v>
      </c>
      <c r="O37" s="28" t="s">
        <v>300</v>
      </c>
      <c r="P37" s="3">
        <v>1.63</v>
      </c>
      <c r="Q37" s="3">
        <v>1.84</v>
      </c>
      <c r="R37" s="3" t="s">
        <v>294</v>
      </c>
      <c r="S37" s="3" t="s">
        <v>242</v>
      </c>
    </row>
    <row r="38" ht="14.25" customHeight="1" spans="1:19">
      <c r="A38" s="22"/>
      <c r="B38" s="15" t="s">
        <v>112</v>
      </c>
      <c r="C38" s="16" t="s">
        <v>239</v>
      </c>
      <c r="D38" s="16" t="s">
        <v>240</v>
      </c>
      <c r="E38" s="16">
        <v>10</v>
      </c>
      <c r="F38" s="17">
        <v>291000</v>
      </c>
      <c r="G38" s="17">
        <v>1540000</v>
      </c>
      <c r="H38" s="16">
        <v>0.189</v>
      </c>
      <c r="I38" s="16"/>
      <c r="J38" s="16">
        <v>0</v>
      </c>
      <c r="K38" s="16">
        <v>0</v>
      </c>
      <c r="L38" s="16" t="s">
        <v>240</v>
      </c>
      <c r="M38" s="16">
        <v>70</v>
      </c>
      <c r="N38" s="16">
        <v>3</v>
      </c>
      <c r="O38" s="28" t="s">
        <v>301</v>
      </c>
      <c r="P38" s="3">
        <v>1.65</v>
      </c>
      <c r="Q38" s="3">
        <v>1.85</v>
      </c>
      <c r="R38" s="3" t="s">
        <v>294</v>
      </c>
      <c r="S38" s="3" t="s">
        <v>242</v>
      </c>
    </row>
    <row r="39" ht="14.25" customHeight="1" spans="1:19">
      <c r="A39" s="22"/>
      <c r="B39" s="15" t="s">
        <v>118</v>
      </c>
      <c r="C39" s="16" t="s">
        <v>239</v>
      </c>
      <c r="D39" s="16" t="s">
        <v>240</v>
      </c>
      <c r="E39" s="16">
        <v>10</v>
      </c>
      <c r="F39" s="17">
        <v>290000</v>
      </c>
      <c r="G39" s="17">
        <v>1560000</v>
      </c>
      <c r="H39" s="16">
        <v>0.186</v>
      </c>
      <c r="I39" s="16"/>
      <c r="J39" s="16">
        <v>0</v>
      </c>
      <c r="K39" s="16">
        <v>0</v>
      </c>
      <c r="L39" s="16" t="s">
        <v>240</v>
      </c>
      <c r="M39" s="16">
        <v>83</v>
      </c>
      <c r="N39" s="16">
        <v>3</v>
      </c>
      <c r="O39" s="28" t="s">
        <v>302</v>
      </c>
      <c r="P39" s="3">
        <v>1.64</v>
      </c>
      <c r="Q39" s="3">
        <v>1.85</v>
      </c>
      <c r="R39" s="3" t="s">
        <v>294</v>
      </c>
      <c r="S39" s="3" t="s">
        <v>242</v>
      </c>
    </row>
    <row r="40" ht="14.25" customHeight="1" spans="1:19">
      <c r="A40" s="22"/>
      <c r="B40" s="15" t="s">
        <v>119</v>
      </c>
      <c r="C40" s="16" t="s">
        <v>239</v>
      </c>
      <c r="D40" s="16" t="s">
        <v>240</v>
      </c>
      <c r="E40" s="16">
        <v>10</v>
      </c>
      <c r="F40" s="17">
        <v>267000</v>
      </c>
      <c r="G40" s="17">
        <v>1480000</v>
      </c>
      <c r="H40" s="16">
        <v>0.181</v>
      </c>
      <c r="I40" s="16"/>
      <c r="J40" s="16">
        <v>0</v>
      </c>
      <c r="K40" s="16">
        <v>0</v>
      </c>
      <c r="L40" s="16" t="s">
        <v>240</v>
      </c>
      <c r="M40" s="16">
        <v>84</v>
      </c>
      <c r="N40" s="16">
        <v>3</v>
      </c>
      <c r="O40" s="28" t="s">
        <v>303</v>
      </c>
      <c r="P40" s="3">
        <v>1.64</v>
      </c>
      <c r="Q40" s="3">
        <v>1.85</v>
      </c>
      <c r="R40" s="3" t="s">
        <v>294</v>
      </c>
      <c r="S40" s="3" t="s">
        <v>242</v>
      </c>
    </row>
    <row r="41" ht="14.25" customHeight="1" spans="1:19">
      <c r="A41" s="22"/>
      <c r="B41" s="15" t="s">
        <v>113</v>
      </c>
      <c r="C41" s="16" t="s">
        <v>239</v>
      </c>
      <c r="D41" s="16" t="s">
        <v>240</v>
      </c>
      <c r="E41" s="16">
        <v>10</v>
      </c>
      <c r="F41" s="17">
        <v>281000</v>
      </c>
      <c r="G41" s="17">
        <v>1560000</v>
      </c>
      <c r="H41" s="16">
        <v>0.18</v>
      </c>
      <c r="I41" s="16"/>
      <c r="J41" s="16">
        <v>0</v>
      </c>
      <c r="K41" s="16">
        <v>0</v>
      </c>
      <c r="L41" s="16" t="s">
        <v>240</v>
      </c>
      <c r="M41" s="16">
        <v>3</v>
      </c>
      <c r="N41" s="16">
        <v>3</v>
      </c>
      <c r="O41" s="28" t="s">
        <v>304</v>
      </c>
      <c r="P41" s="3">
        <v>1.64</v>
      </c>
      <c r="Q41" s="3">
        <v>1.85</v>
      </c>
      <c r="R41" s="3" t="s">
        <v>294</v>
      </c>
      <c r="S41" s="3" t="s">
        <v>242</v>
      </c>
    </row>
    <row r="42" ht="14.25" customHeight="1" spans="1:19">
      <c r="A42" s="22"/>
      <c r="B42" s="15" t="s">
        <v>114</v>
      </c>
      <c r="C42" s="16" t="s">
        <v>239</v>
      </c>
      <c r="D42" s="16" t="s">
        <v>240</v>
      </c>
      <c r="E42" s="16">
        <v>10</v>
      </c>
      <c r="F42" s="17">
        <v>279000</v>
      </c>
      <c r="G42" s="17">
        <v>1520000</v>
      </c>
      <c r="H42" s="16">
        <v>0.183</v>
      </c>
      <c r="I42" s="16"/>
      <c r="J42" s="16">
        <v>0</v>
      </c>
      <c r="K42" s="16">
        <v>0</v>
      </c>
      <c r="L42" s="16" t="s">
        <v>240</v>
      </c>
      <c r="M42" s="16">
        <v>4</v>
      </c>
      <c r="N42" s="16">
        <v>3</v>
      </c>
      <c r="O42" s="28" t="s">
        <v>305</v>
      </c>
      <c r="P42" s="3">
        <v>1.64</v>
      </c>
      <c r="Q42" s="3">
        <v>1.85</v>
      </c>
      <c r="R42" s="3" t="s">
        <v>294</v>
      </c>
      <c r="S42" s="3" t="s">
        <v>242</v>
      </c>
    </row>
    <row r="43" ht="14.25" customHeight="1" spans="1:19">
      <c r="A43" s="22"/>
      <c r="B43" s="15" t="s">
        <v>121</v>
      </c>
      <c r="C43" s="16" t="s">
        <v>239</v>
      </c>
      <c r="D43" s="16" t="s">
        <v>240</v>
      </c>
      <c r="E43" s="16">
        <v>10</v>
      </c>
      <c r="F43" s="17">
        <v>287000</v>
      </c>
      <c r="G43" s="17">
        <v>1590000</v>
      </c>
      <c r="H43" s="16">
        <v>0.18</v>
      </c>
      <c r="I43" s="16"/>
      <c r="J43" s="16">
        <v>0</v>
      </c>
      <c r="K43" s="16">
        <v>0</v>
      </c>
      <c r="L43" s="16" t="s">
        <v>240</v>
      </c>
      <c r="M43" s="16">
        <v>15</v>
      </c>
      <c r="N43" s="16">
        <v>3</v>
      </c>
      <c r="O43" s="28" t="s">
        <v>306</v>
      </c>
      <c r="P43" s="3">
        <v>1.64</v>
      </c>
      <c r="Q43" s="3">
        <v>1.84</v>
      </c>
      <c r="R43" s="3" t="s">
        <v>294</v>
      </c>
      <c r="S43" s="3" t="s">
        <v>242</v>
      </c>
    </row>
    <row r="44" ht="14.25" customHeight="1" spans="1:19">
      <c r="A44" s="22"/>
      <c r="B44" s="15" t="s">
        <v>123</v>
      </c>
      <c r="C44" s="16" t="s">
        <v>239</v>
      </c>
      <c r="D44" s="16" t="s">
        <v>240</v>
      </c>
      <c r="E44" s="16">
        <v>10</v>
      </c>
      <c r="F44" s="17">
        <v>264000</v>
      </c>
      <c r="G44" s="17">
        <v>1530000</v>
      </c>
      <c r="H44" s="16">
        <v>0.172</v>
      </c>
      <c r="I44" s="16"/>
      <c r="J44" s="16">
        <v>0</v>
      </c>
      <c r="K44" s="16">
        <v>0</v>
      </c>
      <c r="L44" s="16" t="s">
        <v>240</v>
      </c>
      <c r="M44" s="16">
        <v>16</v>
      </c>
      <c r="N44" s="16">
        <v>3</v>
      </c>
      <c r="O44" s="28" t="s">
        <v>307</v>
      </c>
      <c r="P44" s="3">
        <v>1.64</v>
      </c>
      <c r="Q44" s="3">
        <v>1.85</v>
      </c>
      <c r="R44" s="3" t="s">
        <v>294</v>
      </c>
      <c r="S44" s="3" t="s">
        <v>242</v>
      </c>
    </row>
    <row r="45" ht="14.25" customHeight="1" spans="1:19">
      <c r="A45" s="22"/>
      <c r="B45" s="15" t="s">
        <v>238</v>
      </c>
      <c r="C45" s="16" t="s">
        <v>239</v>
      </c>
      <c r="D45" s="16" t="s">
        <v>240</v>
      </c>
      <c r="E45" s="16">
        <v>1</v>
      </c>
      <c r="F45" s="17">
        <v>0</v>
      </c>
      <c r="G45" s="17">
        <v>0</v>
      </c>
      <c r="H45" s="16" t="e">
        <v>#DIV/0!</v>
      </c>
      <c r="I45" s="16"/>
      <c r="J45" s="16">
        <v>0</v>
      </c>
      <c r="K45" s="16" t="e">
        <v>#DIV/0!</v>
      </c>
      <c r="L45" s="16" t="s">
        <v>240</v>
      </c>
      <c r="M45" s="16">
        <v>20001</v>
      </c>
      <c r="N45" s="16">
        <v>3</v>
      </c>
      <c r="O45" s="28" t="s">
        <v>308</v>
      </c>
      <c r="P45" s="3">
        <v>0</v>
      </c>
      <c r="Q45" s="3">
        <v>0</v>
      </c>
      <c r="R45" s="3" t="s">
        <v>294</v>
      </c>
      <c r="S45" s="3" t="s">
        <v>242</v>
      </c>
    </row>
    <row r="46" ht="14.25" customHeight="1" spans="1:19">
      <c r="A46" s="22"/>
      <c r="B46" s="15" t="s">
        <v>238</v>
      </c>
      <c r="C46" s="16" t="s">
        <v>239</v>
      </c>
      <c r="D46" s="16" t="s">
        <v>240</v>
      </c>
      <c r="E46" s="16">
        <v>1</v>
      </c>
      <c r="F46" s="17">
        <v>0</v>
      </c>
      <c r="G46" s="17">
        <v>0</v>
      </c>
      <c r="H46" s="16" t="e">
        <v>#DIV/0!</v>
      </c>
      <c r="I46" s="16"/>
      <c r="J46" s="16">
        <v>0</v>
      </c>
      <c r="K46" s="16" t="e">
        <v>#DIV/0!</v>
      </c>
      <c r="L46" s="16" t="s">
        <v>240</v>
      </c>
      <c r="M46" s="16">
        <v>20001</v>
      </c>
      <c r="N46" s="16">
        <v>3</v>
      </c>
      <c r="O46" s="28" t="s">
        <v>309</v>
      </c>
      <c r="P46" s="3">
        <v>0</v>
      </c>
      <c r="Q46" s="3">
        <v>0</v>
      </c>
      <c r="R46" s="3" t="s">
        <v>294</v>
      </c>
      <c r="S46" s="3" t="s">
        <v>242</v>
      </c>
    </row>
    <row r="47" ht="14.25" customHeight="1" spans="1:19">
      <c r="A47" s="22"/>
      <c r="B47" s="15" t="s">
        <v>125</v>
      </c>
      <c r="C47" s="16" t="s">
        <v>239</v>
      </c>
      <c r="D47" s="16" t="s">
        <v>240</v>
      </c>
      <c r="E47" s="16">
        <v>10</v>
      </c>
      <c r="F47" s="17">
        <v>315000</v>
      </c>
      <c r="G47" s="17">
        <v>1450000</v>
      </c>
      <c r="H47" s="16">
        <v>0.216</v>
      </c>
      <c r="I47" s="16"/>
      <c r="J47" s="16">
        <v>0</v>
      </c>
      <c r="K47" s="16">
        <v>0</v>
      </c>
      <c r="L47" s="16" t="s">
        <v>240</v>
      </c>
      <c r="M47" s="16">
        <v>41</v>
      </c>
      <c r="N47" s="16">
        <v>3</v>
      </c>
      <c r="O47" s="28" t="s">
        <v>310</v>
      </c>
      <c r="P47" s="3">
        <v>1.64</v>
      </c>
      <c r="Q47" s="3">
        <v>1.85</v>
      </c>
      <c r="R47" s="3" t="s">
        <v>294</v>
      </c>
      <c r="S47" s="3" t="s">
        <v>242</v>
      </c>
    </row>
    <row r="48" ht="14.25" customHeight="1" spans="1:19">
      <c r="A48" s="22"/>
      <c r="B48" s="15" t="s">
        <v>126</v>
      </c>
      <c r="C48" s="16" t="s">
        <v>239</v>
      </c>
      <c r="D48" s="16" t="s">
        <v>240</v>
      </c>
      <c r="E48" s="16">
        <v>10</v>
      </c>
      <c r="F48" s="17">
        <v>317000</v>
      </c>
      <c r="G48" s="17">
        <v>1470000</v>
      </c>
      <c r="H48" s="16">
        <v>0.216</v>
      </c>
      <c r="I48" s="16"/>
      <c r="J48" s="16">
        <v>0</v>
      </c>
      <c r="K48" s="16">
        <v>0</v>
      </c>
      <c r="L48" s="16" t="s">
        <v>240</v>
      </c>
      <c r="M48" s="16">
        <v>42</v>
      </c>
      <c r="N48" s="16">
        <v>3</v>
      </c>
      <c r="O48" s="28" t="s">
        <v>311</v>
      </c>
      <c r="P48" s="3">
        <v>1.64</v>
      </c>
      <c r="Q48" s="3">
        <v>1.85</v>
      </c>
      <c r="R48" s="3" t="s">
        <v>294</v>
      </c>
      <c r="S48" s="3" t="s">
        <v>242</v>
      </c>
    </row>
    <row r="49" ht="14.25" customHeight="1" spans="1:19">
      <c r="A49" s="22"/>
      <c r="B49" s="15" t="s">
        <v>127</v>
      </c>
      <c r="C49" s="16" t="s">
        <v>239</v>
      </c>
      <c r="D49" s="16" t="s">
        <v>240</v>
      </c>
      <c r="E49" s="16">
        <v>10</v>
      </c>
      <c r="F49" s="17">
        <v>285000</v>
      </c>
      <c r="G49" s="17">
        <v>1520000</v>
      </c>
      <c r="H49" s="16">
        <v>0.188</v>
      </c>
      <c r="I49" s="16"/>
      <c r="J49" s="16">
        <v>0</v>
      </c>
      <c r="K49" s="16">
        <v>0</v>
      </c>
      <c r="L49" s="16" t="s">
        <v>240</v>
      </c>
      <c r="M49" s="16">
        <v>29</v>
      </c>
      <c r="N49" s="16">
        <v>3</v>
      </c>
      <c r="O49" s="28" t="s">
        <v>312</v>
      </c>
      <c r="P49" s="3">
        <v>1.64</v>
      </c>
      <c r="Q49" s="3">
        <v>1.85</v>
      </c>
      <c r="R49" s="3" t="s">
        <v>294</v>
      </c>
      <c r="S49" s="3" t="s">
        <v>242</v>
      </c>
    </row>
    <row r="50" ht="15" customHeight="1" spans="1:19">
      <c r="A50" s="24"/>
      <c r="B50" s="19" t="s">
        <v>128</v>
      </c>
      <c r="C50" s="20" t="s">
        <v>239</v>
      </c>
      <c r="D50" s="20" t="s">
        <v>240</v>
      </c>
      <c r="E50" s="20">
        <v>10</v>
      </c>
      <c r="F50" s="21">
        <v>271000</v>
      </c>
      <c r="G50" s="21">
        <v>1490000</v>
      </c>
      <c r="H50" s="20">
        <v>0.182</v>
      </c>
      <c r="I50" s="20"/>
      <c r="J50" s="20">
        <v>0</v>
      </c>
      <c r="K50" s="20">
        <v>0</v>
      </c>
      <c r="L50" s="20" t="s">
        <v>240</v>
      </c>
      <c r="M50" s="20">
        <v>30</v>
      </c>
      <c r="N50" s="20">
        <v>3</v>
      </c>
      <c r="O50" s="29" t="s">
        <v>313</v>
      </c>
      <c r="P50" s="3">
        <v>1.64</v>
      </c>
      <c r="Q50" s="3">
        <v>1.85</v>
      </c>
      <c r="R50" s="3" t="s">
        <v>294</v>
      </c>
      <c r="S50" s="3" t="s">
        <v>242</v>
      </c>
    </row>
    <row r="51" spans="12:12">
      <c r="L51" s="3"/>
    </row>
  </sheetData>
  <mergeCells count="3">
    <mergeCell ref="A3:A16"/>
    <mergeCell ref="A17:A30"/>
    <mergeCell ref="A31:A50"/>
  </mergeCells>
  <pageMargins left="0.748031496062992" right="0.08" top="0.67" bottom="0.38" header="0.511811023622047" footer="0.24"/>
  <pageSetup paperSize="9" scale="75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CoverPage</vt:lpstr>
      <vt:lpstr>Summary</vt:lpstr>
      <vt:lpstr>Processed</vt:lpstr>
      <vt:lpstr>Layout</vt:lpstr>
      <vt:lpstr>TEER</vt:lpstr>
      <vt:lpstr>Assay Outline</vt:lpstr>
      <vt:lpstr>Method</vt:lpstr>
      <vt:lpstr>Article(s) Raw Data</vt:lpstr>
      <vt:lpstr>Controls 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徐招兵</cp:lastModifiedBy>
  <dcterms:created xsi:type="dcterms:W3CDTF">2010-11-19T12:35:00Z</dcterms:created>
  <cp:lastPrinted>2021-08-27T08:08:00Z</cp:lastPrinted>
  <dcterms:modified xsi:type="dcterms:W3CDTF">2025-09-09T02:59:39Z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C3F5C7FB51A548AC82AC667B7B376A8A_13</vt:lpwstr>
  </property>
</Properties>
</file>