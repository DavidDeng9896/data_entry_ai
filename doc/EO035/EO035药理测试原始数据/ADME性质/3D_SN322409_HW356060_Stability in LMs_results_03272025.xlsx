
<file path=[Content_Types].xml><?xml version="1.0" encoding="utf-8"?>
<Types xmlns="http://schemas.openxmlformats.org/package/2006/content-types">
  <Default Extension="jpeg" ContentType="image/jpeg"/>
  <Default Extension="JPG" ContentType="image/.jp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827" activeTab="1"/>
  </bookViews>
  <sheets>
    <sheet name="CoverPage" sheetId="13" r:id="rId1"/>
    <sheet name="Summary" sheetId="3" r:id="rId2"/>
    <sheet name="HW356060" sheetId="17" r:id="rId3"/>
    <sheet name="Midazolam" sheetId="12" r:id="rId4"/>
    <sheet name="7-HC" sheetId="19" r:id="rId5"/>
    <sheet name="Raw Data" sheetId="11" r:id="rId6"/>
    <sheet name="Analytical Method" sheetId="18" r:id="rId7"/>
  </sheets>
  <definedNames>
    <definedName name="_xlnm.Print_Area" localSheetId="4">'7-HC'!$B$2:$J$16</definedName>
    <definedName name="_xlnm.Print_Area" localSheetId="3">Midazolam!$B$2:$J$16</definedName>
    <definedName name="_xlnm.Print_Area" localSheetId="5">'Raw Data'!$A$44:$K$177</definedName>
    <definedName name="_xlnm.Print_Area" localSheetId="1">Summary!$B$1:$I$29</definedName>
    <definedName name="Z_748CD066_2CBF_4852_A239_32CCC98217C5_.wvu.Cols" localSheetId="0" hidden="1">CoverPage!$I:$IV</definedName>
    <definedName name="Z_7AC3556B_23E3_4EC8_9ACD_6CF62A4EE103_.wvu.Cols" localSheetId="0" hidden="1">CoverPage!$I:$IV</definedName>
    <definedName name="Z_879CBF46_DC90_4A2A_8656_0F4412D7545D_.wvu.Cols" localSheetId="0" hidden="1">CoverPage!$I:$IV</definedName>
    <definedName name="Z_931F6C99_D806_45A0_B253_489543215844_.wvu.Cols" localSheetId="0" hidden="1">CoverPage!$I:$IV</definedName>
    <definedName name="Z_A31A0AF2_F597_47F3_A709_A314C5282F0B_.wvu.Cols" localSheetId="0" hidden="1">CoverPage!$I:$IV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<sst xmlns="http://schemas.openxmlformats.org/spreadsheetml/2006/main" count="1338" uniqueCount="440">
  <si>
    <r>
      <rPr>
        <b/>
        <sz val="21"/>
        <rFont val="Times New Roman"/>
        <charset val="134"/>
      </rPr>
      <t xml:space="preserve">3D BioOptima </t>
    </r>
    <r>
      <rPr>
        <b/>
        <sz val="18"/>
        <rFont val="Times New Roman"/>
        <charset val="134"/>
      </rPr>
      <t xml:space="preserve">                                               </t>
    </r>
    <r>
      <rPr>
        <sz val="12"/>
        <rFont val="Times New Roman"/>
        <charset val="134"/>
      </rPr>
      <t xml:space="preserve">                                                                             </t>
    </r>
    <r>
      <rPr>
        <i/>
        <sz val="11"/>
        <rFont val="Times New Roman"/>
        <charset val="134"/>
      </rPr>
      <t xml:space="preserve"> </t>
    </r>
    <r>
      <rPr>
        <i/>
        <sz val="12"/>
        <rFont val="Times New Roman"/>
        <charset val="134"/>
      </rPr>
      <t>Quality That Matters</t>
    </r>
  </si>
  <si>
    <t>实验报告</t>
  </si>
  <si>
    <r>
      <rPr>
        <b/>
        <sz val="12"/>
        <rFont val="宋体"/>
        <charset val="134"/>
      </rPr>
      <t>实验标题</t>
    </r>
  </si>
  <si>
    <r>
      <rPr>
        <sz val="12"/>
        <rFont val="Times New Roman"/>
        <charset val="134"/>
      </rPr>
      <t>HW356060</t>
    </r>
    <r>
      <rPr>
        <sz val="12"/>
        <rFont val="宋体"/>
        <charset val="134"/>
      </rPr>
      <t>在人、犬、猴、大鼠和小鼠</t>
    </r>
    <r>
      <rPr>
        <sz val="12"/>
        <rFont val="Times New Roman"/>
        <charset val="134"/>
      </rPr>
      <t>(</t>
    </r>
    <r>
      <rPr>
        <sz val="12"/>
        <rFont val="宋体"/>
        <charset val="134"/>
      </rPr>
      <t>五种属</t>
    </r>
    <r>
      <rPr>
        <sz val="12"/>
        <rFont val="Times New Roman"/>
        <charset val="134"/>
      </rPr>
      <t>)</t>
    </r>
    <r>
      <rPr>
        <sz val="12"/>
        <rFont val="宋体"/>
        <charset val="134"/>
      </rPr>
      <t>肝微粒体代谢稳定性研究（加入二相代谢辅酶）</t>
    </r>
  </si>
  <si>
    <r>
      <rPr>
        <b/>
        <sz val="12"/>
        <rFont val="宋体"/>
        <charset val="134"/>
      </rPr>
      <t>实验方案编号</t>
    </r>
  </si>
  <si>
    <t>3D_PN322805</t>
  </si>
  <si>
    <r>
      <rPr>
        <b/>
        <sz val="12"/>
        <rFont val="宋体"/>
        <charset val="134"/>
      </rPr>
      <t>课题编号</t>
    </r>
  </si>
  <si>
    <t>3D_SN322409</t>
  </si>
  <si>
    <r>
      <rPr>
        <b/>
        <sz val="12"/>
        <rFont val="宋体"/>
        <charset val="134"/>
      </rPr>
      <t>课题负责人</t>
    </r>
  </si>
  <si>
    <t>杨德孝</t>
  </si>
  <si>
    <r>
      <rPr>
        <b/>
        <sz val="12"/>
        <rFont val="宋体"/>
        <charset val="134"/>
      </rPr>
      <t>化合物</t>
    </r>
  </si>
  <si>
    <t>实验开始时间</t>
  </si>
  <si>
    <r>
      <rPr>
        <sz val="12"/>
        <rFont val="Times New Roman"/>
        <charset val="134"/>
      </rPr>
      <t xml:space="preserve">2025 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 xml:space="preserve"> 03 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 xml:space="preserve"> 25 </t>
    </r>
    <r>
      <rPr>
        <sz val="12"/>
        <rFont val="宋体"/>
        <charset val="134"/>
      </rPr>
      <t>日</t>
    </r>
  </si>
  <si>
    <t>实验结束时间</t>
  </si>
  <si>
    <r>
      <rPr>
        <sz val="12"/>
        <rFont val="Times New Roman"/>
        <charset val="134"/>
      </rPr>
      <t xml:space="preserve">2025 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 xml:space="preserve"> 03 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 xml:space="preserve"> 27 </t>
    </r>
    <r>
      <rPr>
        <sz val="12"/>
        <rFont val="宋体"/>
        <charset val="134"/>
      </rPr>
      <t>日</t>
    </r>
  </si>
  <si>
    <t>实验参与人员</t>
  </si>
  <si>
    <t>韩晓逸和蔡鑫鑫</t>
  </si>
  <si>
    <t>报告撰写</t>
  </si>
  <si>
    <t>卜乐亮</t>
  </si>
  <si>
    <t>数据质控</t>
  </si>
  <si>
    <t>程翠</t>
  </si>
  <si>
    <t>实验负责方</t>
  </si>
  <si>
    <r>
      <rPr>
        <sz val="12"/>
        <rFont val="宋体"/>
        <charset val="134"/>
      </rPr>
      <t>苏州圣苏新药开发有限公司
苏州市吴中区吴中大道</t>
    </r>
    <r>
      <rPr>
        <sz val="12"/>
        <rFont val="Times New Roman"/>
        <charset val="134"/>
      </rPr>
      <t>1338</t>
    </r>
    <r>
      <rPr>
        <sz val="12"/>
        <rFont val="宋体"/>
        <charset val="134"/>
      </rPr>
      <t>号</t>
    </r>
  </si>
  <si>
    <r>
      <rPr>
        <b/>
        <sz val="12"/>
        <rFont val="宋体"/>
        <charset val="134"/>
      </rPr>
      <t>实验委托方</t>
    </r>
  </si>
  <si>
    <r>
      <rPr>
        <sz val="12"/>
        <rFont val="宋体"/>
        <charset val="134"/>
      </rPr>
      <t>湖北生物医药产业技术研究院有限公司
武汉市东湖高新区高新大道</t>
    </r>
    <r>
      <rPr>
        <sz val="12"/>
        <rFont val="Times New Roman"/>
        <charset val="134"/>
      </rPr>
      <t>666</t>
    </r>
    <r>
      <rPr>
        <sz val="12"/>
        <rFont val="宋体"/>
        <charset val="134"/>
      </rPr>
      <t>号</t>
    </r>
    <r>
      <rPr>
        <sz val="12"/>
        <rFont val="Times New Roman"/>
        <charset val="134"/>
      </rPr>
      <t>C7</t>
    </r>
    <r>
      <rPr>
        <sz val="12"/>
        <rFont val="宋体"/>
        <charset val="134"/>
      </rPr>
      <t>栋</t>
    </r>
    <r>
      <rPr>
        <sz val="12"/>
        <rFont val="Times New Roman"/>
        <charset val="134"/>
      </rPr>
      <t>217</t>
    </r>
    <r>
      <rPr>
        <sz val="12"/>
        <rFont val="宋体"/>
        <charset val="134"/>
      </rPr>
      <t>室</t>
    </r>
  </si>
  <si>
    <t>试剂信息</t>
  </si>
  <si>
    <t>试剂</t>
  </si>
  <si>
    <t>品牌</t>
  </si>
  <si>
    <r>
      <rPr>
        <b/>
        <sz val="12"/>
        <rFont val="宋体"/>
        <charset val="134"/>
      </rPr>
      <t>货号</t>
    </r>
  </si>
  <si>
    <t>批号</t>
  </si>
  <si>
    <t>人肝微粒体</t>
  </si>
  <si>
    <t>BIOIVT</t>
  </si>
  <si>
    <t>X008070</t>
  </si>
  <si>
    <t>IVX</t>
  </si>
  <si>
    <r>
      <rPr>
        <sz val="12"/>
        <rFont val="宋体"/>
        <charset val="134"/>
      </rPr>
      <t>猴肝微粒体</t>
    </r>
  </si>
  <si>
    <t>RILD</t>
  </si>
  <si>
    <t>MZYM</t>
  </si>
  <si>
    <r>
      <rPr>
        <sz val="12"/>
        <rFont val="宋体"/>
        <charset val="134"/>
      </rPr>
      <t>犬肝微粒体</t>
    </r>
  </si>
  <si>
    <t>CORNING</t>
  </si>
  <si>
    <t>1291001</t>
  </si>
  <si>
    <t>大鼠肝微粒体</t>
  </si>
  <si>
    <t>2175001</t>
  </si>
  <si>
    <t>小鼠肝微粒体</t>
  </si>
  <si>
    <t>NADPH</t>
  </si>
  <si>
    <t>REGAL</t>
  </si>
  <si>
    <t>44332900-Y</t>
  </si>
  <si>
    <t>050201</t>
  </si>
  <si>
    <t>HW356060</t>
  </si>
  <si>
    <t>湖北生物医药产业技术研究院有限公司</t>
  </si>
  <si>
    <t>NA</t>
  </si>
  <si>
    <t>HWH817-YBC-035-4-38-1</t>
  </si>
  <si>
    <r>
      <rPr>
        <b/>
        <sz val="12"/>
        <rFont val="宋体"/>
        <charset val="134"/>
      </rPr>
      <t>孵育体系</t>
    </r>
  </si>
  <si>
    <t>肝微粒体</t>
  </si>
  <si>
    <r>
      <rPr>
        <sz val="12"/>
        <rFont val="Times New Roman"/>
        <charset val="134"/>
      </rPr>
      <t>0.5 mg/mL</t>
    </r>
    <r>
      <rPr>
        <sz val="12"/>
        <rFont val="宋体"/>
        <charset val="134"/>
      </rPr>
      <t xml:space="preserve">（受试化合物）
</t>
    </r>
    <r>
      <rPr>
        <sz val="12"/>
        <rFont val="Times New Roman"/>
        <charset val="134"/>
      </rPr>
      <t>0.2 mg/mL</t>
    </r>
    <r>
      <rPr>
        <sz val="12"/>
        <rFont val="宋体"/>
        <charset val="134"/>
      </rPr>
      <t>（咪达唑仑，</t>
    </r>
    <r>
      <rPr>
        <sz val="12"/>
        <rFont val="Times New Roman"/>
        <charset val="134"/>
      </rPr>
      <t>7-HC</t>
    </r>
    <r>
      <rPr>
        <sz val="12"/>
        <rFont val="宋体"/>
        <charset val="134"/>
      </rPr>
      <t>）</t>
    </r>
  </si>
  <si>
    <t>孵育缓冲液</t>
  </si>
  <si>
    <r>
      <rPr>
        <sz val="12"/>
        <rFont val="宋体"/>
        <charset val="134"/>
      </rPr>
      <t>磷酸缓冲液</t>
    </r>
    <r>
      <rPr>
        <sz val="12"/>
        <rFont val="Times New Roman"/>
        <charset val="134"/>
      </rPr>
      <t xml:space="preserve"> (100 mM</t>
    </r>
    <r>
      <rPr>
        <sz val="12"/>
        <rFont val="宋体"/>
        <charset val="134"/>
      </rPr>
      <t>，</t>
    </r>
    <r>
      <rPr>
        <sz val="12"/>
        <rFont val="Times New Roman"/>
        <charset val="134"/>
      </rPr>
      <t>pH 7.4)</t>
    </r>
  </si>
  <si>
    <t>受试物</t>
  </si>
  <si>
    <t>1 µM</t>
  </si>
  <si>
    <t>孵育体积</t>
  </si>
  <si>
    <r>
      <rPr>
        <sz val="12"/>
        <rFont val="Times New Roman"/>
        <charset val="134"/>
      </rPr>
      <t>0.2 mL</t>
    </r>
    <r>
      <rPr>
        <sz val="12"/>
        <rFont val="宋体"/>
        <charset val="134"/>
      </rPr>
      <t xml:space="preserve">（受试化合物）
</t>
    </r>
    <r>
      <rPr>
        <sz val="12"/>
        <rFont val="Times New Roman"/>
        <charset val="134"/>
      </rPr>
      <t>0.1 mL</t>
    </r>
    <r>
      <rPr>
        <sz val="12"/>
        <rFont val="宋体"/>
        <charset val="134"/>
      </rPr>
      <t>（咪达唑仑，</t>
    </r>
    <r>
      <rPr>
        <sz val="12"/>
        <rFont val="Times New Roman"/>
        <charset val="134"/>
      </rPr>
      <t>7-HC</t>
    </r>
    <r>
      <rPr>
        <sz val="12"/>
        <rFont val="宋体"/>
        <charset val="134"/>
      </rPr>
      <t>）</t>
    </r>
  </si>
  <si>
    <t>孵育时间</t>
  </si>
  <si>
    <r>
      <rPr>
        <sz val="12"/>
        <rFont val="Times New Roman"/>
        <charset val="134"/>
      </rPr>
      <t>0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5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15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30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60 min (</t>
    </r>
    <r>
      <rPr>
        <sz val="12"/>
        <rFont val="宋体"/>
        <charset val="134"/>
      </rPr>
      <t>受试化合物</t>
    </r>
    <r>
      <rPr>
        <sz val="12"/>
        <rFont val="Times New Roman"/>
        <charset val="134"/>
      </rPr>
      <t>)
0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5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20 min</t>
    </r>
    <r>
      <rPr>
        <sz val="12"/>
        <rFont val="宋体"/>
        <charset val="134"/>
      </rPr>
      <t>（咪达唑仑，</t>
    </r>
    <r>
      <rPr>
        <sz val="12"/>
        <rFont val="Times New Roman"/>
        <charset val="134"/>
      </rPr>
      <t>7-HC</t>
    </r>
    <r>
      <rPr>
        <sz val="12"/>
        <rFont val="宋体"/>
        <charset val="134"/>
      </rPr>
      <t>）</t>
    </r>
  </si>
  <si>
    <r>
      <rPr>
        <sz val="12"/>
        <rFont val="Times New Roman"/>
        <charset val="134"/>
      </rPr>
      <t>MgCl</t>
    </r>
    <r>
      <rPr>
        <vertAlign val="subscript"/>
        <sz val="12"/>
        <rFont val="Times New Roman"/>
        <charset val="134"/>
      </rPr>
      <t>2</t>
    </r>
  </si>
  <si>
    <t>3 mM</t>
  </si>
  <si>
    <t xml:space="preserve">1 mM </t>
  </si>
  <si>
    <t>平行试验</t>
  </si>
  <si>
    <r>
      <rPr>
        <sz val="12"/>
        <rFont val="宋体"/>
        <charset val="134"/>
      </rPr>
      <t>平行</t>
    </r>
    <r>
      <rPr>
        <sz val="12"/>
        <rFont val="Times New Roman"/>
        <charset val="134"/>
      </rPr>
      <t>2</t>
    </r>
    <r>
      <rPr>
        <sz val="12"/>
        <rFont val="宋体"/>
        <charset val="134"/>
      </rPr>
      <t>份</t>
    </r>
  </si>
  <si>
    <t>Summary</t>
  </si>
  <si>
    <t>化合物</t>
  </si>
  <si>
    <t>种属</t>
  </si>
  <si>
    <t>k 
(1/min)</t>
  </si>
  <si>
    <r>
      <rPr>
        <b/>
        <sz val="12"/>
        <rFont val="Times New Roman"/>
        <charset val="134"/>
      </rPr>
      <t>T</t>
    </r>
    <r>
      <rPr>
        <b/>
        <vertAlign val="subscript"/>
        <sz val="12"/>
        <rFont val="Times New Roman"/>
        <charset val="134"/>
      </rPr>
      <t xml:space="preserve">1/2 </t>
    </r>
    <r>
      <rPr>
        <b/>
        <sz val="12"/>
        <rFont val="Times New Roman"/>
        <charset val="134"/>
      </rPr>
      <t xml:space="preserve"> 
(min)</t>
    </r>
  </si>
  <si>
    <r>
      <rPr>
        <b/>
        <sz val="12"/>
        <rFont val="Times New Roman"/>
        <charset val="134"/>
      </rPr>
      <t>CL</t>
    </r>
    <r>
      <rPr>
        <b/>
        <vertAlign val="subscript"/>
        <sz val="12"/>
        <rFont val="Times New Roman"/>
        <charset val="134"/>
      </rPr>
      <t>int, microsome</t>
    </r>
    <r>
      <rPr>
        <b/>
        <sz val="12"/>
        <rFont val="Times New Roman"/>
        <charset val="134"/>
      </rPr>
      <t xml:space="preserve">
(µL/min/mg proteins)</t>
    </r>
  </si>
  <si>
    <r>
      <rPr>
        <b/>
        <sz val="12"/>
        <rFont val="Times New Roman"/>
        <charset val="134"/>
      </rPr>
      <t>CL</t>
    </r>
    <r>
      <rPr>
        <b/>
        <vertAlign val="subscript"/>
        <sz val="12"/>
        <rFont val="Times New Roman"/>
        <charset val="134"/>
      </rPr>
      <t>int, in vivo</t>
    </r>
    <r>
      <rPr>
        <b/>
        <sz val="12"/>
        <rFont val="Times New Roman"/>
        <charset val="134"/>
      </rPr>
      <t xml:space="preserve"> (mL/min/kg)</t>
    </r>
  </si>
  <si>
    <t>Human</t>
  </si>
  <si>
    <t>Monkey</t>
  </si>
  <si>
    <t>Dog</t>
  </si>
  <si>
    <t>Rat</t>
  </si>
  <si>
    <t>Mouse</t>
  </si>
  <si>
    <t>Midazolam</t>
  </si>
  <si>
    <t>7-HC</t>
  </si>
  <si>
    <r>
      <rPr>
        <sz val="12"/>
        <rFont val="Times New Roman"/>
        <charset val="134"/>
      </rPr>
      <t>Drug elimination rate constant k (1/min), elimination half-life T</t>
    </r>
    <r>
      <rPr>
        <vertAlign val="subscript"/>
        <sz val="12"/>
        <rFont val="Times New Roman"/>
        <charset val="134"/>
      </rPr>
      <t>1/2</t>
    </r>
    <r>
      <rPr>
        <sz val="12"/>
        <rFont val="Times New Roman"/>
        <charset val="134"/>
      </rPr>
      <t xml:space="preserve"> (min), and in vitro intrinsic clearance CL</t>
    </r>
    <r>
      <rPr>
        <vertAlign val="subscript"/>
        <sz val="12"/>
        <rFont val="Times New Roman"/>
        <charset val="134"/>
      </rPr>
      <t>int, in vitro</t>
    </r>
    <r>
      <rPr>
        <sz val="12"/>
        <rFont val="Times New Roman"/>
        <charset val="134"/>
      </rPr>
      <t xml:space="preserve"> (µL/min/mg protein) were calculated according to the following equations:
    k = - slope
    T</t>
    </r>
    <r>
      <rPr>
        <vertAlign val="subscript"/>
        <sz val="12"/>
        <rFont val="Times New Roman"/>
        <charset val="134"/>
      </rPr>
      <t xml:space="preserve">1/2 </t>
    </r>
    <r>
      <rPr>
        <sz val="12"/>
        <rFont val="Times New Roman"/>
        <charset val="134"/>
      </rPr>
      <t>= 0.693/k
    CL</t>
    </r>
    <r>
      <rPr>
        <vertAlign val="subscript"/>
        <sz val="12"/>
        <rFont val="Times New Roman"/>
        <charset val="134"/>
      </rPr>
      <t>int, in vitro</t>
    </r>
    <r>
      <rPr>
        <sz val="12"/>
        <rFont val="Times New Roman"/>
        <charset val="134"/>
      </rPr>
      <t xml:space="preserve"> = k/Cprotein
where C</t>
    </r>
    <r>
      <rPr>
        <vertAlign val="subscript"/>
        <sz val="12"/>
        <rFont val="Times New Roman"/>
        <charset val="134"/>
      </rPr>
      <t>protein</t>
    </r>
    <r>
      <rPr>
        <sz val="12"/>
        <rFont val="Times New Roman"/>
        <charset val="134"/>
      </rPr>
      <t xml:space="preserve"> (mg/mL) is the microsomal protein concentration in the incubation system.</t>
    </r>
  </si>
  <si>
    <r>
      <rPr>
        <sz val="12"/>
        <color rgb="FF000000"/>
        <rFont val="Times New Roman"/>
        <charset val="134"/>
      </rPr>
      <t xml:space="preserve">    CL</t>
    </r>
    <r>
      <rPr>
        <vertAlign val="subscript"/>
        <sz val="12"/>
        <color rgb="FF000000"/>
        <rFont val="Times New Roman"/>
        <charset val="134"/>
      </rPr>
      <t>int, in vivo</t>
    </r>
    <r>
      <rPr>
        <sz val="12"/>
        <color rgb="FF000000"/>
        <rFont val="Times New Roman"/>
        <charset val="134"/>
      </rPr>
      <t xml:space="preserve"> = CL</t>
    </r>
    <r>
      <rPr>
        <vertAlign val="subscript"/>
        <sz val="12"/>
        <color rgb="FF000000"/>
        <rFont val="Times New Roman"/>
        <charset val="134"/>
      </rPr>
      <t>int, in vitro</t>
    </r>
    <r>
      <rPr>
        <sz val="12"/>
        <color rgb="FF000000"/>
        <rFont val="Times New Roman"/>
        <charset val="134"/>
      </rPr>
      <t xml:space="preserve"> (mL/min/mg microsomal protein) × Scaling factor (physiological parameter) = CL</t>
    </r>
    <r>
      <rPr>
        <vertAlign val="subscript"/>
        <sz val="12"/>
        <color rgb="FF000000"/>
        <rFont val="Times New Roman"/>
        <charset val="134"/>
      </rPr>
      <t>int, in vitro</t>
    </r>
    <r>
      <rPr>
        <sz val="12"/>
        <color rgb="FF000000"/>
        <rFont val="Times New Roman"/>
        <charset val="134"/>
      </rPr>
      <t xml:space="preserve"> (mL/min/mg microsomal protein) × Microsomal protein (mg protein/g liver) × Liver weight (g liver/kg body weight) </t>
    </r>
  </si>
  <si>
    <r>
      <rPr>
        <sz val="12"/>
        <color rgb="FF000000"/>
        <rFont val="Times New Roman"/>
        <charset val="134"/>
      </rPr>
      <t>CL</t>
    </r>
    <r>
      <rPr>
        <vertAlign val="subscript"/>
        <sz val="12"/>
        <color rgb="FF000000"/>
        <rFont val="Times New Roman"/>
        <charset val="134"/>
      </rPr>
      <t>int, in vivo</t>
    </r>
    <r>
      <rPr>
        <sz val="12"/>
        <color rgb="FF000000"/>
        <rFont val="Times New Roman"/>
        <charset val="134"/>
      </rPr>
      <t xml:space="preserve"> is the intrinsic hepatic clearance, CL</t>
    </r>
    <r>
      <rPr>
        <vertAlign val="subscript"/>
        <sz val="12"/>
        <color rgb="FF000000"/>
        <rFont val="Times New Roman"/>
        <charset val="134"/>
      </rPr>
      <t>int, in vitro</t>
    </r>
    <r>
      <rPr>
        <sz val="12"/>
        <color rgb="FF000000"/>
        <rFont val="Times New Roman"/>
        <charset val="134"/>
      </rPr>
      <t> is the intrinsic clearance in LMs.</t>
    </r>
  </si>
  <si>
    <t>Species</t>
  </si>
  <si>
    <t>Body Weight</t>
  </si>
  <si>
    <r>
      <rPr>
        <b/>
        <sz val="12"/>
        <rFont val="Times New Roman"/>
        <charset val="134"/>
      </rPr>
      <t>Q</t>
    </r>
    <r>
      <rPr>
        <b/>
        <vertAlign val="subscript"/>
        <sz val="12"/>
        <rFont val="Times New Roman"/>
        <charset val="134"/>
      </rPr>
      <t>h</t>
    </r>
  </si>
  <si>
    <t>Microsomes Protein</t>
  </si>
  <si>
    <t>Liver Weight</t>
  </si>
  <si>
    <t>(kg)</t>
  </si>
  <si>
    <t>mL/min/kg</t>
  </si>
  <si>
    <t>mg protein/g liver</t>
  </si>
  <si>
    <t xml:space="preserve"> g liver/kg</t>
  </si>
  <si>
    <t>Natilie A. Hosea (2009), and Davies and Morris (1993).</t>
  </si>
  <si>
    <t>样品</t>
  </si>
  <si>
    <r>
      <rPr>
        <b/>
        <sz val="12"/>
        <rFont val="宋体"/>
        <charset val="134"/>
      </rPr>
      <t xml:space="preserve">孵育时间
</t>
    </r>
    <r>
      <rPr>
        <b/>
        <sz val="12"/>
        <rFont val="Times New Roman"/>
        <charset val="134"/>
      </rPr>
      <t>(min)</t>
    </r>
  </si>
  <si>
    <t>峰面积比值</t>
  </si>
  <si>
    <t>平均值</t>
  </si>
  <si>
    <r>
      <rPr>
        <b/>
        <sz val="12"/>
        <color theme="1"/>
        <rFont val="宋体"/>
        <charset val="134"/>
      </rPr>
      <t>原药剩余量</t>
    </r>
    <r>
      <rPr>
        <b/>
        <sz val="12"/>
        <color theme="1"/>
        <rFont val="Times New Roman"/>
        <charset val="134"/>
      </rPr>
      <t>%</t>
    </r>
  </si>
  <si>
    <r>
      <rPr>
        <b/>
        <sz val="12"/>
        <rFont val="Times New Roman"/>
        <charset val="134"/>
      </rPr>
      <t>Ln (</t>
    </r>
    <r>
      <rPr>
        <b/>
        <sz val="12"/>
        <rFont val="宋体"/>
        <charset val="134"/>
      </rPr>
      <t>原药剩余量</t>
    </r>
    <r>
      <rPr>
        <b/>
        <sz val="12"/>
        <rFont val="Times New Roman"/>
        <charset val="134"/>
      </rPr>
      <t>%)</t>
    </r>
  </si>
  <si>
    <t>#1</t>
  </si>
  <si>
    <t>#2</t>
  </si>
  <si>
    <t>HW356060_HM-LM_60min-1</t>
  </si>
  <si>
    <t>HW356060_HM-LM_60min-2</t>
  </si>
  <si>
    <t>HW356060_HM-LM_30min-1</t>
  </si>
  <si>
    <t>HW356060_HM-LM_30min-2</t>
  </si>
  <si>
    <t>HW356060_HM-LM_15min-1</t>
  </si>
  <si>
    <t>HW356060_HM-LM_15min-2</t>
  </si>
  <si>
    <t>HW356060_HM-LM_5min-1</t>
  </si>
  <si>
    <t>HW356060_HM-LM_5min-2</t>
  </si>
  <si>
    <t>HW356060_HM-LM_0min-1</t>
  </si>
  <si>
    <t>HW356060_HM-LM_0min-2</t>
  </si>
  <si>
    <t>概要</t>
  </si>
  <si>
    <t>k
(1/min)</t>
  </si>
  <si>
    <r>
      <rPr>
        <b/>
        <sz val="12"/>
        <rFont val="Times New Roman"/>
        <charset val="134"/>
      </rPr>
      <t>T</t>
    </r>
    <r>
      <rPr>
        <b/>
        <vertAlign val="subscript"/>
        <sz val="12"/>
        <rFont val="Times New Roman"/>
        <charset val="134"/>
      </rPr>
      <t>1/2</t>
    </r>
    <r>
      <rPr>
        <b/>
        <sz val="12"/>
        <rFont val="Times New Roman"/>
        <charset val="134"/>
      </rPr>
      <t xml:space="preserve"> 
(min)</t>
    </r>
  </si>
  <si>
    <r>
      <rPr>
        <b/>
        <sz val="12"/>
        <rFont val="Times New Roman"/>
        <charset val="134"/>
      </rPr>
      <t>CL</t>
    </r>
    <r>
      <rPr>
        <b/>
        <vertAlign val="subscript"/>
        <sz val="12"/>
        <rFont val="Times New Roman"/>
        <charset val="134"/>
      </rPr>
      <t>int, microsome</t>
    </r>
    <r>
      <rPr>
        <b/>
        <sz val="12"/>
        <rFont val="Times New Roman"/>
        <charset val="134"/>
      </rPr>
      <t xml:space="preserve">
 (µL/min/mg proteins)</t>
    </r>
  </si>
  <si>
    <t>HW356060_MK-LM_60min-1</t>
  </si>
  <si>
    <t>HW356060_MK-LM_60min-2</t>
  </si>
  <si>
    <t>HW356060_MK-LM_30min-1</t>
  </si>
  <si>
    <t>HW356060_MK-LM_30min-2</t>
  </si>
  <si>
    <t>HW356060_MK-LM_15min-1</t>
  </si>
  <si>
    <t>HW356060_MK-LM_15min-2</t>
  </si>
  <si>
    <t>HW356060_MK-LM_5min-1</t>
  </si>
  <si>
    <t>HW356060_MK-LM_5min-2</t>
  </si>
  <si>
    <t>HW356060_MK-LM_0min-1</t>
  </si>
  <si>
    <t>HW356060_MK-LM_0min-2</t>
  </si>
  <si>
    <t>HW356060_BD-LM_60min-1</t>
  </si>
  <si>
    <t>HW356060_BD-LM_60min-2</t>
  </si>
  <si>
    <t>HW356060_BD-LM_30min-1</t>
  </si>
  <si>
    <t>HW356060_BD-LM_30min-2</t>
  </si>
  <si>
    <t>HW356060_BD-LM_15min-1</t>
  </si>
  <si>
    <t>HW356060_BD-LM_15min-2</t>
  </si>
  <si>
    <t>HW356060_BD-LM_5min-1</t>
  </si>
  <si>
    <t>HW356060_BD-LM_5min-2</t>
  </si>
  <si>
    <t>HW356060_BD-LM_0min-1</t>
  </si>
  <si>
    <t>HW356060_BD-LM_0min-2</t>
  </si>
  <si>
    <t>HW356060_SR-LM_60min-1</t>
  </si>
  <si>
    <t>HW356060_SR-LM_60min-2</t>
  </si>
  <si>
    <t>HW356060_SR-LM_30min-1</t>
  </si>
  <si>
    <t>HW356060_SR-LM_30min-2</t>
  </si>
  <si>
    <t>HW356060_SR-LM_15min-1</t>
  </si>
  <si>
    <t>HW356060_SR-LM_15min-2</t>
  </si>
  <si>
    <t>HW356060_SR-LM_5min-1</t>
  </si>
  <si>
    <t>HW356060_SR-LM_5min-2</t>
  </si>
  <si>
    <t>HW356060_SR-LM_0min-1</t>
  </si>
  <si>
    <t>HW356060_SR-LM_0min-2</t>
  </si>
  <si>
    <t>HW356060_MU-LM_60min-1</t>
  </si>
  <si>
    <t>HW356060_MU-LM_60min-2</t>
  </si>
  <si>
    <t>HW356060_MU-LM_30min-1</t>
  </si>
  <si>
    <t>HW356060_MU-LM_30min-2</t>
  </si>
  <si>
    <t>HW356060_MU-LM_15min-1</t>
  </si>
  <si>
    <t>HW356060_MU-LM_15min-2</t>
  </si>
  <si>
    <t>HW356060_MU-LM_5min-1</t>
  </si>
  <si>
    <t>HW356060_MU-LM_5min-2</t>
  </si>
  <si>
    <t>HW356060_MU-LM_0min-1</t>
  </si>
  <si>
    <t>HW356060_MU-LM_0min-2</t>
  </si>
  <si>
    <t>咪达唑仑在人肝微粒体中的代谢稳定性评估</t>
  </si>
  <si>
    <r>
      <rPr>
        <b/>
        <sz val="12"/>
        <rFont val="宋体"/>
        <charset val="134"/>
      </rPr>
      <t>原药剩余量</t>
    </r>
    <r>
      <rPr>
        <b/>
        <sz val="12"/>
        <rFont val="Times New Roman"/>
        <charset val="134"/>
      </rPr>
      <t>%</t>
    </r>
  </si>
  <si>
    <t>咪达唑仑
人肝微粒体</t>
  </si>
  <si>
    <t>Midazolam_HM-LM_20min-1</t>
  </si>
  <si>
    <t>Midazolam_HM-LM_20min-2</t>
  </si>
  <si>
    <t>Midazolam_HM-LM_5min-1</t>
  </si>
  <si>
    <t>Midazolam_HM-LM_5min-2</t>
  </si>
  <si>
    <t>Midazolam_HM-LM_0min-1</t>
  </si>
  <si>
    <t>Midazolam_HM-LM_0min-2</t>
  </si>
  <si>
    <t>咪达唑仑在猴肝微粒体中的代谢稳定性评估</t>
  </si>
  <si>
    <t>咪达唑仑
猴肝微粒体</t>
  </si>
  <si>
    <t>Midazolam_MK-LM_20min-1</t>
  </si>
  <si>
    <t>Midazolam_MK-LM_20min-2</t>
  </si>
  <si>
    <t>Midazolam_MK-LM_5min-1</t>
  </si>
  <si>
    <t>Midazolam_MK-LM_5min-2</t>
  </si>
  <si>
    <t>Midazolam_MK-LM_0min-1</t>
  </si>
  <si>
    <t>Midazolam_MK-LM_0min-2</t>
  </si>
  <si>
    <t>CLint, microsome
 (µL/min/mg proteins)</t>
  </si>
  <si>
    <t>咪达唑仑在犬肝微粒体中的代谢稳定性评估</t>
  </si>
  <si>
    <t>咪达唑仑
犬肝微粒体</t>
  </si>
  <si>
    <t>Midazolam_BD-LM_20min-1</t>
  </si>
  <si>
    <t>Midazolam_BD-LM_20min-2</t>
  </si>
  <si>
    <t>Midazolam_BD-LM_5min-1</t>
  </si>
  <si>
    <t>Midazolam_BD-LM_5min-2</t>
  </si>
  <si>
    <t>Midazolam_BD-LM_0min-1</t>
  </si>
  <si>
    <t>Midazolam_BD-LM_0min-2</t>
  </si>
  <si>
    <t>咪达唑仑在大鼠肝微粒体中的代谢稳定性评估</t>
  </si>
  <si>
    <t>咪达唑仑
大鼠肝微粒体</t>
  </si>
  <si>
    <t>Midazolam_SR-LM_20min-1</t>
  </si>
  <si>
    <t>Midazolam_SR-LM_20min-2</t>
  </si>
  <si>
    <t>Midazolam_SR-LM_5min-1</t>
  </si>
  <si>
    <t>Midazolam_SR-LM_5min-2</t>
  </si>
  <si>
    <t>Midazolam_SR-LM_0min-1</t>
  </si>
  <si>
    <t>Midazolam_SR-LM_0min-2</t>
  </si>
  <si>
    <t>咪达唑仑在小鼠肝微粒体中的代谢稳定性评估</t>
  </si>
  <si>
    <t>咪达唑仑
小鼠肝微粒体</t>
  </si>
  <si>
    <t>Midazolam_MU-LM_20min-1</t>
  </si>
  <si>
    <t>Midazolam_MU-LM_20min-2</t>
  </si>
  <si>
    <t>Midazolam_MU-LM_5min-1</t>
  </si>
  <si>
    <t>Midazolam_MU-LM_5min-2</t>
  </si>
  <si>
    <t>Midazolam_MU-LM_0min-1</t>
  </si>
  <si>
    <t>Midazolam_MU-LM_0min-2</t>
  </si>
  <si>
    <t>7-HC在人肝微粒体中的代谢稳定性评估</t>
  </si>
  <si>
    <t>7-HC
人肝微粒体</t>
  </si>
  <si>
    <t>7-HC_HM-LM_20min-1</t>
  </si>
  <si>
    <t>7-HC_HM-LM_20min-2</t>
  </si>
  <si>
    <t>7-HC_HM-LM_5min-1</t>
  </si>
  <si>
    <t>7-HC_HM-LM_5min-2</t>
  </si>
  <si>
    <t>7-HC_HM-LM_0min-1</t>
  </si>
  <si>
    <t>7-HC_HM-LM_0min-2</t>
  </si>
  <si>
    <t>7-HC在猴肝微粒体中的代谢稳定性评估</t>
  </si>
  <si>
    <t>7-HC
猴肝微粒体</t>
  </si>
  <si>
    <t>7-HC_MK-LM_20min-1</t>
  </si>
  <si>
    <t>7-HC_MK-LM_20min-2</t>
  </si>
  <si>
    <t>7-HC_MK-LM_5min-1</t>
  </si>
  <si>
    <t>7-HC_MK-LM_5min-2</t>
  </si>
  <si>
    <t>7-HC_MK-LM_0min-1</t>
  </si>
  <si>
    <t>7-HC_MK-LM_0min-2</t>
  </si>
  <si>
    <t>7-HC在犬肝微粒体中的代谢稳定性评估</t>
  </si>
  <si>
    <t>7-HC
犬肝微粒体</t>
  </si>
  <si>
    <t>7-HC_BD-LM_20min-1</t>
  </si>
  <si>
    <t>7-HC_BD-LM_20min-2</t>
  </si>
  <si>
    <t>7-HC_BD-LM_5min-1</t>
  </si>
  <si>
    <t>7-HC_BD-LM_5min-2</t>
  </si>
  <si>
    <t>7-HC_BD-LM_0min-1</t>
  </si>
  <si>
    <t>7-HC_BD-LM_0min-2</t>
  </si>
  <si>
    <t>7-HC在大鼠肝微粒体中的代谢稳定性评估</t>
  </si>
  <si>
    <t>7-HC
大鼠肝微粒体</t>
  </si>
  <si>
    <t>7-HC_SR-LM_20min-1</t>
  </si>
  <si>
    <t>7-HC_SR-LM_20min-2</t>
  </si>
  <si>
    <t>7-HC_SR-LM_5min-1</t>
  </si>
  <si>
    <t>7-HC_SR-LM_5min-2</t>
  </si>
  <si>
    <t>7-HC_SR-LM_0min-1</t>
  </si>
  <si>
    <t>7-HC_SR-LM_0min-2</t>
  </si>
  <si>
    <t>7-HC在小鼠肝微粒体中的代谢稳定性评估</t>
  </si>
  <si>
    <t>7-HC
小鼠肝微粒体</t>
  </si>
  <si>
    <t>7-HC_MU-LM_20min-1</t>
  </si>
  <si>
    <t>7-HC_MU-LM_20min-2</t>
  </si>
  <si>
    <t>7-HC_MU-LM_5min-1</t>
  </si>
  <si>
    <t>7-HC_MU-LM_5min-2</t>
  </si>
  <si>
    <t>7-HC_MU-LM_0min-1</t>
  </si>
  <si>
    <t>7-HC_MU-LM_0min-2</t>
  </si>
  <si>
    <t>Peak Name: Ver</t>
  </si>
  <si>
    <t>Use as Internal Standard</t>
  </si>
  <si>
    <t>Q1/Q3 Masses: 455.20/165.10 Da</t>
  </si>
  <si>
    <t>Peak Name: Gli</t>
  </si>
  <si>
    <t>Q1/Q3 Masses: 494.20/369.10 Da</t>
  </si>
  <si>
    <t>Peak Name: HW356060-Ver</t>
  </si>
  <si>
    <t>Internal Standard: Ver</t>
  </si>
  <si>
    <t>Q1/Q3 Masses: 603.10/330.00 Da</t>
  </si>
  <si>
    <t>Fit</t>
  </si>
  <si>
    <t>Linear</t>
  </si>
  <si>
    <t>Weighting</t>
  </si>
  <si>
    <t>1  / (x * x)</t>
  </si>
  <si>
    <t>Iterate</t>
  </si>
  <si>
    <t>No</t>
  </si>
  <si>
    <t>Error</t>
  </si>
  <si>
    <t>At least 2 points are required to calculate regression.</t>
  </si>
  <si>
    <t>Use Area</t>
  </si>
  <si>
    <t>Peak Name: HW356060-Gli</t>
  </si>
  <si>
    <t>Internal Standard: Gli</t>
  </si>
  <si>
    <t>Sample Name</t>
  </si>
  <si>
    <t>Sample Type</t>
  </si>
  <si>
    <t>Analyte Concentration (nM)</t>
  </si>
  <si>
    <t>Dilution Factor</t>
  </si>
  <si>
    <t>Analyte Peak Area (counts)</t>
  </si>
  <si>
    <t>IS Peak Area (counts)</t>
  </si>
  <si>
    <t>Area Ratio</t>
  </si>
  <si>
    <t>Use Record</t>
  </si>
  <si>
    <t>Record Modified</t>
  </si>
  <si>
    <t>Calculated Concentration (nM)</t>
  </si>
  <si>
    <t>Accuracy (%)</t>
  </si>
  <si>
    <t>Vial Position</t>
  </si>
  <si>
    <t>Rack Position</t>
  </si>
  <si>
    <t>Acquisition Date</t>
  </si>
  <si>
    <t>Wash</t>
  </si>
  <si>
    <t>Unknown</t>
  </si>
  <si>
    <t>N/A</t>
  </si>
  <si>
    <t>3/26/2025 12:32:05 PM</t>
  </si>
  <si>
    <t>3/26/2025 12:35:29 PM</t>
  </si>
  <si>
    <t>3/26/2025 12:38:56 PM</t>
  </si>
  <si>
    <t>3/26/2025 12:42:27 PM</t>
  </si>
  <si>
    <t>3/26/2025 12:45:56 PM</t>
  </si>
  <si>
    <t>3/26/2025 12:49:24 PM</t>
  </si>
  <si>
    <t>3/26/2025 12:52:53 PM</t>
  </si>
  <si>
    <t>3/26/2025 12:56:21 PM</t>
  </si>
  <si>
    <t>3/26/2025 12:59:49 PM</t>
  </si>
  <si>
    <t>3/26/2025 1:03:18 PM</t>
  </si>
  <si>
    <t>3/26/2025 1:06:47 PM</t>
  </si>
  <si>
    <t>3/26/2025 1:10:14 PM</t>
  </si>
  <si>
    <t>3/26/2025 1:13:42 PM</t>
  </si>
  <si>
    <t>3/26/2025 1:17:07 PM</t>
  </si>
  <si>
    <t>3/26/2025 1:20:36 PM</t>
  </si>
  <si>
    <t>3/26/2025 1:24:04 PM</t>
  </si>
  <si>
    <t>3/26/2025 1:27:32 PM</t>
  </si>
  <si>
    <t>3/26/2025 1:31:01 PM</t>
  </si>
  <si>
    <t>3/26/2025 1:34:29 PM</t>
  </si>
  <si>
    <t>3/26/2025 1:37:57 PM</t>
  </si>
  <si>
    <t>3/26/2025 1:41:26 PM</t>
  </si>
  <si>
    <t>3/26/2025 1:44:54 PM</t>
  </si>
  <si>
    <t>3/26/2025 1:48:23 PM</t>
  </si>
  <si>
    <t>3/26/2025 1:51:51 PM</t>
  </si>
  <si>
    <t>3/26/2025 1:55:19 PM</t>
  </si>
  <si>
    <t>3/26/2025 1:58:43 PM</t>
  </si>
  <si>
    <t>3/26/2025 2:02:13 PM</t>
  </si>
  <si>
    <t>3/26/2025 2:05:42 PM</t>
  </si>
  <si>
    <t>3/26/2025 2:09:11 PM</t>
  </si>
  <si>
    <t>3/26/2025 2:12:39 PM</t>
  </si>
  <si>
    <t>3/26/2025 2:16:07 PM</t>
  </si>
  <si>
    <t>3/26/2025 2:19:36 PM</t>
  </si>
  <si>
    <t>3/26/2025 2:23:04 PM</t>
  </si>
  <si>
    <t>3/26/2025 2:26:33 PM</t>
  </si>
  <si>
    <t>3/26/2025 2:30:01 PM</t>
  </si>
  <si>
    <t>3/26/2025 2:33:30 PM</t>
  </si>
  <si>
    <t>3/26/2025 2:36:58 PM</t>
  </si>
  <si>
    <t>3/26/2025 2:40:22 PM</t>
  </si>
  <si>
    <t>3/26/2025 2:43:49 PM</t>
  </si>
  <si>
    <t>3/26/2025 2:47:20 PM</t>
  </si>
  <si>
    <t>3/26/2025 2:50:48 PM</t>
  </si>
  <si>
    <t>3/26/2025 2:54:17 PM</t>
  </si>
  <si>
    <t>3/26/2025 2:57:45 PM</t>
  </si>
  <si>
    <t>3/26/2025 3:01:13 PM</t>
  </si>
  <si>
    <t>3/26/2025 3:04:42 PM</t>
  </si>
  <si>
    <t>3/26/2025 3:08:11 PM</t>
  </si>
  <si>
    <t>3/26/2025 3:11:39 PM</t>
  </si>
  <si>
    <t>3/26/2025 3:15:08 PM</t>
  </si>
  <si>
    <t>3/26/2025 3:18:36 PM</t>
  </si>
  <si>
    <t>3/26/2025 3:22:00 PM</t>
  </si>
  <si>
    <t>3/26/2025 3:25:28 PM</t>
  </si>
  <si>
    <t>3/26/2025 3:28:57 PM</t>
  </si>
  <si>
    <t>3/26/2025 3:32:27 PM</t>
  </si>
  <si>
    <t>3/26/2025 3:35:56 PM</t>
  </si>
  <si>
    <t>3/26/2025 3:39:25 PM</t>
  </si>
  <si>
    <t>3/26/2025 3:42:54 PM</t>
  </si>
  <si>
    <t>3/26/2025 3:46:23 PM</t>
  </si>
  <si>
    <t>3/26/2025 3:49:52 PM</t>
  </si>
  <si>
    <t>3/26/2025 3:53:20 PM</t>
  </si>
  <si>
    <t>3/26/2025 3:56:48 PM</t>
  </si>
  <si>
    <t>Peak Name: Midazolam-Ver</t>
  </si>
  <si>
    <t>Q1/Q3 Masses: 326.20/291.10 Da</t>
  </si>
  <si>
    <t>Peak Name: Midazolam-Gli</t>
  </si>
  <si>
    <t>3/26/2025 2:38:05 AM</t>
  </si>
  <si>
    <t>3/26/2025 2:41:33 AM</t>
  </si>
  <si>
    <t>3/26/2025 2:45:00 AM</t>
  </si>
  <si>
    <t>3/26/2025 2:48:26 AM</t>
  </si>
  <si>
    <t>3/26/2025 2:51:56 AM</t>
  </si>
  <si>
    <t>3/26/2025 2:55:25 AM</t>
  </si>
  <si>
    <t>3/26/2025 2:58:54 AM</t>
  </si>
  <si>
    <t>3/26/2025 3:02:24 AM</t>
  </si>
  <si>
    <t>3/26/2025 3:05:53 AM</t>
  </si>
  <si>
    <t>3/26/2025 3:09:24 AM</t>
  </si>
  <si>
    <t>3/26/2025 3:12:52 AM</t>
  </si>
  <si>
    <t>3/26/2025 3:16:21 AM</t>
  </si>
  <si>
    <t>3/26/2025 3:19:50 AM</t>
  </si>
  <si>
    <t>3/26/2025 3:23:17 AM</t>
  </si>
  <si>
    <t>3/26/2025 3:26:46 AM</t>
  </si>
  <si>
    <t>3/26/2025 3:30:16 AM</t>
  </si>
  <si>
    <t>3/26/2025 3:33:45 AM</t>
  </si>
  <si>
    <t>3/26/2025 3:37:16 AM</t>
  </si>
  <si>
    <t>3/26/2025 3:40:44 AM</t>
  </si>
  <si>
    <t>3/26/2025 3:44:13 AM</t>
  </si>
  <si>
    <t>3/26/2025 3:47:41 AM</t>
  </si>
  <si>
    <t>3/26/2025 3:51:12 AM</t>
  </si>
  <si>
    <t>3/26/2025 3:54:40 AM</t>
  </si>
  <si>
    <t>3/26/2025 3:58:09 AM</t>
  </si>
  <si>
    <t>3/26/2025 4:01:36 AM</t>
  </si>
  <si>
    <t>3/26/2025 4:05:08 AM</t>
  </si>
  <si>
    <t>3/26/2025 4:08:36 AM</t>
  </si>
  <si>
    <t>3/26/2025 4:12:05 AM</t>
  </si>
  <si>
    <t>3/26/2025 4:15:34 AM</t>
  </si>
  <si>
    <t>3/26/2025 4:19:00 AM</t>
  </si>
  <si>
    <t>3/26/2025 4:22:30 AM</t>
  </si>
  <si>
    <t>3/26/2025 4:25:59 AM</t>
  </si>
  <si>
    <t>3/26/2025 4:29:29 AM</t>
  </si>
  <si>
    <t>3/26/2025 4:33:00 AM</t>
  </si>
  <si>
    <t>3/26/2025 4:36:29 AM</t>
  </si>
  <si>
    <t>3/26/2025 4:39:58 AM</t>
  </si>
  <si>
    <t>3/26/2025 4:43:27 AM</t>
  </si>
  <si>
    <t>3/26/2025 4:46:56 AM</t>
  </si>
  <si>
    <t>3/26/2025 4:50:23 AM</t>
  </si>
  <si>
    <t>3/26/2025 4:53:52 AM</t>
  </si>
  <si>
    <t>Peak Name: 7-HC-Ver</t>
  </si>
  <si>
    <t>Q1/Q3 Masses: 162.89/106.90 Da</t>
  </si>
  <si>
    <t>Peak Name: 7-HC-Gli</t>
  </si>
  <si>
    <t>3/26/2025 4:57:22 AM</t>
  </si>
  <si>
    <t>3/26/2025 5:00:52 AM</t>
  </si>
  <si>
    <t>3/26/2025 5:04:20 AM</t>
  </si>
  <si>
    <t>3/26/2025 5:07:48 AM</t>
  </si>
  <si>
    <t>3/26/2025 5:11:17 AM</t>
  </si>
  <si>
    <t>3/26/2025 5:14:46 AM</t>
  </si>
  <si>
    <t>3/26/2025 5:18:15 AM</t>
  </si>
  <si>
    <t>3/26/2025 5:21:44 AM</t>
  </si>
  <si>
    <t>3/26/2025 5:25:13 AM</t>
  </si>
  <si>
    <t>3/26/2025 5:28:40 AM</t>
  </si>
  <si>
    <t>3/26/2025 5:32:08 AM</t>
  </si>
  <si>
    <t>3/26/2025 5:35:37 AM</t>
  </si>
  <si>
    <t>3/26/2025 5:39:04 AM</t>
  </si>
  <si>
    <t>3/26/2025 5:42:33 AM</t>
  </si>
  <si>
    <t>3/26/2025 5:46:02 AM</t>
  </si>
  <si>
    <t>3/26/2025 5:49:30 AM</t>
  </si>
  <si>
    <t>3/26/2025 5:53:00 AM</t>
  </si>
  <si>
    <t>3/26/2025 5:56:28 AM</t>
  </si>
  <si>
    <t>3/26/2025 5:59:55 AM</t>
  </si>
  <si>
    <t>3/26/2025 6:03:24 AM</t>
  </si>
  <si>
    <t>3/26/2025 6:06:53 AM</t>
  </si>
  <si>
    <t>3/26/2025 6:10:22 AM</t>
  </si>
  <si>
    <t>3/26/2025 6:13:50 AM</t>
  </si>
  <si>
    <t>3/26/2025 6:17:19 AM</t>
  </si>
  <si>
    <t>3/26/2025 6:20:47 AM</t>
  </si>
  <si>
    <t>3/26/2025 6:24:16 AM</t>
  </si>
  <si>
    <t>3/26/2025 6:27:44 AM</t>
  </si>
  <si>
    <t>3/26/2025 6:31:13 AM</t>
  </si>
  <si>
    <t>3/26/2025 6:34:43 AM</t>
  </si>
  <si>
    <t>3/26/2025 6:38:12 AM</t>
  </si>
  <si>
    <t>3/26/2025 6:41:41 AM</t>
  </si>
  <si>
    <t>3/26/2025 6:45:10 AM</t>
  </si>
  <si>
    <t>3/26/2025 6:48:40 AM</t>
  </si>
  <si>
    <t>3/26/2025 6:52:08 AM</t>
  </si>
  <si>
    <t>3/26/2025 6:55:36 AM</t>
  </si>
  <si>
    <t>3/26/2025 6:59:05 AM</t>
  </si>
  <si>
    <t>3/26/2025 7:02:34 AM</t>
  </si>
  <si>
    <t>3/26/2025 7:06:03 AM</t>
  </si>
  <si>
    <t>3/26/2025 7:09:33 AM</t>
  </si>
  <si>
    <t>3/26/2025 7:13:02 AM</t>
  </si>
  <si>
    <t>液相分析条件</t>
  </si>
  <si>
    <t>Time</t>
  </si>
  <si>
    <t>B%</t>
  </si>
  <si>
    <t>Instrument</t>
  </si>
  <si>
    <t>LC-MS/MS (API4000: LC-MS-MS-009)</t>
  </si>
  <si>
    <t>Phase A</t>
  </si>
  <si>
    <r>
      <rPr>
        <sz val="12"/>
        <rFont val="Times New Roman"/>
        <charset val="134"/>
      </rPr>
      <t>A</t>
    </r>
    <r>
      <rPr>
        <sz val="12"/>
        <rFont val="宋体"/>
        <charset val="134"/>
      </rPr>
      <t>：水（含</t>
    </r>
    <r>
      <rPr>
        <sz val="12"/>
        <rFont val="Times New Roman"/>
        <charset val="134"/>
      </rPr>
      <t>0.1%</t>
    </r>
    <r>
      <rPr>
        <sz val="12"/>
        <rFont val="宋体"/>
        <charset val="134"/>
      </rPr>
      <t>甲酸</t>
    </r>
    <r>
      <rPr>
        <sz val="12"/>
        <rFont val="宋体"/>
        <charset val="134"/>
      </rPr>
      <t>）</t>
    </r>
  </si>
  <si>
    <t>Phase B</t>
  </si>
  <si>
    <r>
      <rPr>
        <sz val="12"/>
        <rFont val="Times New Roman"/>
        <charset val="134"/>
      </rPr>
      <t>B</t>
    </r>
    <r>
      <rPr>
        <sz val="12"/>
        <rFont val="宋体"/>
        <charset val="134"/>
      </rPr>
      <t>：乙腈（含</t>
    </r>
    <r>
      <rPr>
        <sz val="12"/>
        <rFont val="Times New Roman"/>
        <charset val="134"/>
      </rPr>
      <t>0.1%</t>
    </r>
    <r>
      <rPr>
        <sz val="12"/>
        <rFont val="宋体"/>
        <charset val="134"/>
      </rPr>
      <t>甲酸）</t>
    </r>
  </si>
  <si>
    <t>stop</t>
  </si>
  <si>
    <t>Column</t>
  </si>
  <si>
    <t>Agilent ZORBAX XDB-C18, 5 μm, 2.1×50 mm (50-436)</t>
  </si>
  <si>
    <t>质谱条件</t>
  </si>
  <si>
    <t>名称</t>
  </si>
  <si>
    <t>Q1</t>
  </si>
  <si>
    <t>Q3</t>
  </si>
  <si>
    <t>DP</t>
  </si>
  <si>
    <t>CE</t>
  </si>
  <si>
    <t>CXP</t>
  </si>
  <si>
    <t>IS (Verapamil)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</si>
</sst>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  <numFmt numFmtId="179" formatCode="0.0"/>
    <numFmt numFmtId="180" formatCode="0.0_);[Red]\(0.0\)"/>
    <numFmt numFmtId="181" formatCode="0.0000"/>
    <numFmt numFmtId="182" formatCode="0.000"/>
    <numFmt numFmtId="183" formatCode="0.00000"/>
    <numFmt numFmtId="184" formatCode="0.000000"/>
    <numFmt numFmtId="185" formatCode="0.00_);[Red]\(0.00\)"/>
    <numFmt numFmtId="186" formatCode="yyyy&quot;年&quot;m&quot;月&quot;d&quot;日&quot;;@"/>
  </numFmts>
  <fonts count="66">
    <font>
      <sz val="12"/>
      <name val="宋体"/>
      <charset val="134"/>
    </font>
    <font>
      <sz val="12"/>
      <name val="宋体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b/>
      <sz val="14"/>
      <name val="Times New Roman"/>
      <charset val="134"/>
    </font>
    <font>
      <b/>
      <sz val="14"/>
      <name val="宋体"/>
      <charset val="134"/>
    </font>
    <font>
      <sz val="12"/>
      <color rgb="FFFF0000"/>
      <name val="Times New Roman"/>
      <charset val="134"/>
    </font>
    <font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宋体"/>
      <charset val="134"/>
    </font>
    <font>
      <sz val="10.5"/>
      <name val="Times New Roman"/>
      <charset val="134"/>
    </font>
    <font>
      <sz val="12"/>
      <color rgb="FF000000"/>
      <name val="Times New Roman"/>
      <charset val="134"/>
    </font>
    <font>
      <sz val="10.5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10"/>
      <name val="Arial"/>
      <charset val="134"/>
    </font>
    <font>
      <b/>
      <sz val="11"/>
      <color indexed="63"/>
      <name val="Calibri"/>
      <charset val="134"/>
    </font>
    <font>
      <sz val="10"/>
      <color indexed="8"/>
      <name val="Arial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8"/>
      <name val="Arial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21"/>
      <name val="Times New Roman"/>
      <charset val="134"/>
    </font>
    <font>
      <b/>
      <sz val="18"/>
      <name val="Times New Roman"/>
      <charset val="134"/>
    </font>
    <font>
      <i/>
      <sz val="11"/>
      <name val="Times New Roman"/>
      <charset val="134"/>
    </font>
    <font>
      <i/>
      <sz val="12"/>
      <name val="Times New Roman"/>
      <charset val="134"/>
    </font>
    <font>
      <b/>
      <vertAlign val="subscript"/>
      <sz val="12"/>
      <name val="Times New Roman"/>
      <charset val="134"/>
    </font>
    <font>
      <vertAlign val="subscript"/>
      <sz val="12"/>
      <color rgb="FF000000"/>
      <name val="Times New Roman"/>
      <charset val="134"/>
    </font>
    <font>
      <b/>
      <sz val="12"/>
      <color theme="1"/>
      <name val="宋体"/>
      <charset val="134"/>
    </font>
    <font>
      <vertAlign val="subscript"/>
      <sz val="12"/>
      <name val="Times New Roman"/>
      <charset val="134"/>
    </font>
  </fonts>
  <fills count="2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6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4" borderId="5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5" applyNumberFormat="0" applyFill="0" applyAlignment="0" applyProtection="0">
      <alignment vertical="center"/>
    </xf>
    <xf numFmtId="0" fontId="23" fillId="0" borderId="56" applyNumberFormat="0" applyFill="0" applyAlignment="0" applyProtection="0">
      <alignment vertical="center"/>
    </xf>
    <xf numFmtId="0" fontId="24" fillId="0" borderId="5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58" applyNumberFormat="0" applyAlignment="0" applyProtection="0">
      <alignment vertical="center"/>
    </xf>
    <xf numFmtId="0" fontId="26" fillId="6" borderId="59" applyNumberFormat="0" applyAlignment="0" applyProtection="0">
      <alignment vertical="center"/>
    </xf>
    <xf numFmtId="0" fontId="27" fillId="6" borderId="58" applyNumberFormat="0" applyAlignment="0" applyProtection="0">
      <alignment vertical="center"/>
    </xf>
    <xf numFmtId="0" fontId="28" fillId="7" borderId="60" applyNumberFormat="0" applyAlignment="0" applyProtection="0">
      <alignment vertical="center"/>
    </xf>
    <xf numFmtId="0" fontId="29" fillId="0" borderId="61" applyNumberFormat="0" applyFill="0" applyAlignment="0" applyProtection="0">
      <alignment vertical="center"/>
    </xf>
    <xf numFmtId="0" fontId="30" fillId="0" borderId="62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6" fillId="12" borderId="0" applyNumberFormat="0" applyBorder="0" applyAlignment="0" applyProtection="0"/>
    <xf numFmtId="0" fontId="36" fillId="9" borderId="0" applyNumberFormat="0" applyBorder="0" applyAlignment="0" applyProtection="0"/>
    <xf numFmtId="0" fontId="36" fillId="8" borderId="0" applyNumberFormat="0" applyBorder="0" applyAlignment="0" applyProtection="0"/>
    <xf numFmtId="0" fontId="36" fillId="20" borderId="0" applyNumberFormat="0" applyBorder="0" applyAlignment="0" applyProtection="0"/>
    <xf numFmtId="0" fontId="36" fillId="22" borderId="0" applyNumberFormat="0" applyBorder="0" applyAlignment="0" applyProtection="0"/>
    <xf numFmtId="0" fontId="36" fillId="5" borderId="0" applyNumberFormat="0" applyBorder="0" applyAlignment="0" applyProtection="0"/>
    <xf numFmtId="0" fontId="36" fillId="13" borderId="0" applyNumberFormat="0" applyBorder="0" applyAlignment="0" applyProtection="0"/>
    <xf numFmtId="0" fontId="36" fillId="16" borderId="0" applyNumberFormat="0" applyBorder="0" applyAlignment="0" applyProtection="0"/>
    <xf numFmtId="0" fontId="36" fillId="18" borderId="0" applyNumberFormat="0" applyBorder="0" applyAlignment="0" applyProtection="0"/>
    <xf numFmtId="0" fontId="36" fillId="20" borderId="0" applyNumberFormat="0" applyBorder="0" applyAlignment="0" applyProtection="0"/>
    <xf numFmtId="0" fontId="36" fillId="13" borderId="0" applyNumberFormat="0" applyBorder="0" applyAlignment="0" applyProtection="0"/>
    <xf numFmtId="0" fontId="36" fillId="24" borderId="0" applyNumberFormat="0" applyBorder="0" applyAlignment="0" applyProtection="0"/>
    <xf numFmtId="0" fontId="37" fillId="14" borderId="0" applyNumberFormat="0" applyBorder="0" applyAlignment="0" applyProtection="0"/>
    <xf numFmtId="0" fontId="37" fillId="16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1" borderId="0" applyNumberFormat="0" applyBorder="0" applyAlignment="0" applyProtection="0"/>
    <xf numFmtId="0" fontId="37" fillId="25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7" fillId="17" borderId="0" applyNumberFormat="0" applyBorder="0" applyAlignment="0" applyProtection="0"/>
    <xf numFmtId="0" fontId="37" fillId="19" borderId="0" applyNumberFormat="0" applyBorder="0" applyAlignment="0" applyProtection="0"/>
    <xf numFmtId="0" fontId="37" fillId="21" borderId="0" applyNumberFormat="0" applyBorder="0" applyAlignment="0" applyProtection="0"/>
    <xf numFmtId="0" fontId="37" fillId="23" borderId="0" applyNumberFormat="0" applyBorder="0" applyAlignment="0" applyProtection="0"/>
    <xf numFmtId="0" fontId="38" fillId="9" borderId="0" applyNumberFormat="0" applyBorder="0" applyAlignment="0" applyProtection="0"/>
    <xf numFmtId="0" fontId="39" fillId="6" borderId="58" applyNumberFormat="0" applyAlignment="0" applyProtection="0"/>
    <xf numFmtId="0" fontId="40" fillId="7" borderId="60" applyNumberFormat="0" applyAlignment="0" applyProtection="0"/>
    <xf numFmtId="0" fontId="41" fillId="0" borderId="0" applyNumberFormat="0" applyFill="0" applyBorder="0" applyAlignment="0" applyProtection="0"/>
    <xf numFmtId="0" fontId="42" fillId="8" borderId="0" applyNumberFormat="0" applyBorder="0" applyAlignment="0" applyProtection="0"/>
    <xf numFmtId="0" fontId="43" fillId="0" borderId="55" applyNumberFormat="0" applyFill="0" applyAlignment="0" applyProtection="0"/>
    <xf numFmtId="0" fontId="44" fillId="0" borderId="56" applyNumberFormat="0" applyFill="0" applyAlignment="0" applyProtection="0"/>
    <xf numFmtId="0" fontId="45" fillId="0" borderId="57" applyNumberFormat="0" applyFill="0" applyAlignment="0" applyProtection="0"/>
    <xf numFmtId="0" fontId="45" fillId="0" borderId="0" applyNumberFormat="0" applyFill="0" applyBorder="0" applyAlignment="0" applyProtection="0"/>
    <xf numFmtId="0" fontId="46" fillId="5" borderId="58" applyNumberFormat="0" applyAlignment="0" applyProtection="0"/>
    <xf numFmtId="0" fontId="47" fillId="0" borderId="61" applyNumberFormat="0" applyFill="0" applyAlignment="0" applyProtection="0"/>
    <xf numFmtId="0" fontId="48" fillId="10" borderId="0" applyNumberFormat="0" applyBorder="0" applyAlignment="0" applyProtection="0"/>
    <xf numFmtId="0" fontId="49" fillId="0" borderId="0">
      <alignment vertical="top"/>
    </xf>
    <xf numFmtId="0" fontId="36" fillId="0" borderId="0">
      <alignment vertical="center"/>
    </xf>
    <xf numFmtId="0" fontId="1" fillId="4" borderId="54" applyNumberFormat="0" applyFont="0" applyAlignment="0" applyProtection="0"/>
    <xf numFmtId="0" fontId="1" fillId="4" borderId="54" applyNumberFormat="0" applyFont="0" applyAlignment="0" applyProtection="0"/>
    <xf numFmtId="0" fontId="50" fillId="6" borderId="59" applyNumberFormat="0" applyAlignment="0" applyProtection="0"/>
    <xf numFmtId="0" fontId="51" fillId="0" borderId="0">
      <alignment vertical="top"/>
    </xf>
    <xf numFmtId="0" fontId="52" fillId="0" borderId="0" applyNumberFormat="0" applyFill="0" applyBorder="0" applyAlignment="0" applyProtection="0"/>
    <xf numFmtId="0" fontId="53" fillId="0" borderId="62" applyNumberFormat="0" applyFill="0" applyAlignment="0" applyProtection="0"/>
    <xf numFmtId="0" fontId="54" fillId="0" borderId="0" applyNumberForma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0" fontId="55" fillId="0" borderId="0"/>
    <xf numFmtId="0" fontId="55" fillId="0" borderId="0"/>
    <xf numFmtId="0" fontId="35" fillId="0" borderId="0">
      <alignment vertical="center"/>
    </xf>
    <xf numFmtId="0" fontId="56" fillId="0" borderId="0">
      <alignment vertical="center"/>
    </xf>
    <xf numFmtId="0" fontId="57" fillId="0" borderId="0"/>
    <xf numFmtId="0" fontId="1" fillId="0" borderId="0">
      <alignment vertical="center"/>
    </xf>
    <xf numFmtId="0" fontId="51" fillId="0" borderId="0">
      <alignment vertical="top"/>
    </xf>
    <xf numFmtId="0" fontId="51" fillId="0" borderId="0">
      <alignment vertical="top"/>
    </xf>
    <xf numFmtId="0" fontId="49" fillId="0" borderId="0"/>
    <xf numFmtId="0" fontId="51" fillId="0" borderId="0">
      <alignment vertical="top"/>
    </xf>
  </cellStyleXfs>
  <cellXfs count="32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wrapText="1"/>
    </xf>
    <xf numFmtId="0" fontId="2" fillId="0" borderId="0" xfId="99" applyFont="1" applyFill="1" applyBorder="1" applyAlignment="1">
      <alignment horizontal="center" vertical="center"/>
    </xf>
    <xf numFmtId="176" fontId="2" fillId="0" borderId="0" xfId="99" applyNumberFormat="1" applyFont="1" applyFill="1" applyBorder="1" applyAlignment="1">
      <alignment horizontal="center" vertical="center"/>
    </xf>
    <xf numFmtId="177" fontId="2" fillId="0" borderId="0" xfId="99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8" fontId="2" fillId="0" borderId="0" xfId="99" applyNumberFormat="1" applyFont="1" applyFill="1" applyBorder="1" applyAlignment="1">
      <alignment horizontal="center" vertical="center"/>
    </xf>
    <xf numFmtId="0" fontId="2" fillId="0" borderId="0" xfId="105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8" fontId="2" fillId="0" borderId="1" xfId="99" applyNumberFormat="1" applyFont="1" applyFill="1" applyBorder="1" applyAlignment="1">
      <alignment horizontal="center" vertical="center"/>
    </xf>
    <xf numFmtId="176" fontId="2" fillId="0" borderId="1" xfId="99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wrapText="1"/>
    </xf>
    <xf numFmtId="0" fontId="2" fillId="0" borderId="2" xfId="0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0" fontId="2" fillId="0" borderId="1" xfId="99" applyFont="1" applyFill="1" applyBorder="1" applyAlignment="1">
      <alignment horizontal="center" vertical="center"/>
    </xf>
    <xf numFmtId="177" fontId="2" fillId="0" borderId="1" xfId="99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80" fontId="1" fillId="0" borderId="0" xfId="0" applyNumberFormat="1" applyFont="1" applyFill="1" applyAlignment="1">
      <alignment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 wrapText="1"/>
    </xf>
    <xf numFmtId="11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/>
    </xf>
    <xf numFmtId="0" fontId="4" fillId="0" borderId="8" xfId="0" applyNumberFormat="1" applyFont="1" applyFill="1" applyBorder="1" applyAlignment="1">
      <alignment horizontal="center" vertical="center" wrapText="1"/>
    </xf>
    <xf numFmtId="1" fontId="4" fillId="0" borderId="7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177" fontId="2" fillId="0" borderId="9" xfId="0" applyNumberFormat="1" applyFont="1" applyFill="1" applyBorder="1" applyAlignment="1">
      <alignment horizontal="center" vertical="center"/>
    </xf>
    <xf numFmtId="181" fontId="2" fillId="0" borderId="7" xfId="0" applyNumberFormat="1" applyFont="1" applyFill="1" applyBorder="1" applyAlignment="1">
      <alignment horizontal="center" vertical="center"/>
    </xf>
    <xf numFmtId="181" fontId="2" fillId="0" borderId="12" xfId="0" applyNumberFormat="1" applyFont="1" applyFill="1" applyBorder="1" applyAlignment="1">
      <alignment horizontal="center" vertical="center"/>
    </xf>
    <xf numFmtId="179" fontId="2" fillId="0" borderId="7" xfId="0" applyNumberFormat="1" applyFont="1" applyFill="1" applyBorder="1" applyAlignment="1">
      <alignment horizontal="center" vertical="center"/>
    </xf>
    <xf numFmtId="2" fontId="2" fillId="0" borderId="13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177" fontId="2" fillId="0" borderId="8" xfId="0" applyNumberFormat="1" applyFont="1" applyFill="1" applyBorder="1" applyAlignment="1">
      <alignment horizontal="center" vertical="center"/>
    </xf>
    <xf numFmtId="1" fontId="2" fillId="0" borderId="14" xfId="0" applyNumberFormat="1" applyFont="1" applyFill="1" applyBorder="1" applyAlignment="1">
      <alignment horizontal="center" vertical="center"/>
    </xf>
    <xf numFmtId="179" fontId="2" fillId="0" borderId="15" xfId="0" applyNumberFormat="1" applyFont="1" applyFill="1" applyBorder="1" applyAlignment="1">
      <alignment horizontal="center" vertical="center"/>
    </xf>
    <xf numFmtId="1" fontId="2" fillId="0" borderId="13" xfId="0" applyNumberFormat="1" applyFont="1" applyFill="1" applyBorder="1" applyAlignment="1">
      <alignment horizontal="center" vertical="center"/>
    </xf>
    <xf numFmtId="182" fontId="2" fillId="0" borderId="7" xfId="0" applyNumberFormat="1" applyFont="1" applyFill="1" applyBorder="1" applyAlignment="1">
      <alignment horizontal="center" vertical="center"/>
    </xf>
    <xf numFmtId="182" fontId="2" fillId="0" borderId="14" xfId="0" applyNumberFormat="1" applyFont="1" applyFill="1" applyBorder="1" applyAlignment="1">
      <alignment horizontal="center" vertical="center"/>
    </xf>
    <xf numFmtId="2" fontId="2" fillId="0" borderId="16" xfId="0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 wrapText="1"/>
    </xf>
    <xf numFmtId="182" fontId="2" fillId="0" borderId="15" xfId="0" applyNumberFormat="1" applyFont="1" applyFill="1" applyBorder="1" applyAlignment="1">
      <alignment horizontal="center" vertical="center"/>
    </xf>
    <xf numFmtId="1" fontId="2" fillId="0" borderId="15" xfId="0" applyNumberFormat="1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177" fontId="2" fillId="0" borderId="19" xfId="0" applyNumberFormat="1" applyFont="1" applyFill="1" applyBorder="1" applyAlignment="1">
      <alignment horizontal="center" vertical="center"/>
    </xf>
    <xf numFmtId="1" fontId="2" fillId="0" borderId="20" xfId="0" applyNumberFormat="1" applyFont="1" applyFill="1" applyBorder="1" applyAlignment="1">
      <alignment horizontal="center" vertical="center"/>
    </xf>
    <xf numFmtId="1" fontId="2" fillId="0" borderId="18" xfId="0" applyNumberFormat="1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 wrapText="1"/>
    </xf>
    <xf numFmtId="1" fontId="2" fillId="0" borderId="22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/>
    </xf>
    <xf numFmtId="1" fontId="2" fillId="0" borderId="24" xfId="0" applyNumberFormat="1" applyFont="1" applyFill="1" applyBorder="1" applyAlignment="1">
      <alignment horizontal="center" vertical="center"/>
    </xf>
    <xf numFmtId="1" fontId="2" fillId="0" borderId="25" xfId="0" applyNumberFormat="1" applyFont="1" applyFill="1" applyBorder="1" applyAlignment="1">
      <alignment horizontal="center" vertical="center"/>
    </xf>
    <xf numFmtId="1" fontId="2" fillId="0" borderId="26" xfId="0" applyNumberFormat="1" applyFont="1" applyFill="1" applyBorder="1" applyAlignment="1">
      <alignment horizontal="center" vertical="center"/>
    </xf>
    <xf numFmtId="1" fontId="2" fillId="0" borderId="22" xfId="0" applyNumberFormat="1" applyFont="1" applyFill="1" applyBorder="1" applyAlignment="1">
      <alignment horizontal="center" vertical="center"/>
    </xf>
    <xf numFmtId="1" fontId="6" fillId="0" borderId="27" xfId="0" applyNumberFormat="1" applyFont="1" applyFill="1" applyBorder="1" applyAlignment="1">
      <alignment horizontal="center" vertical="center" wrapText="1"/>
    </xf>
    <xf numFmtId="1" fontId="0" fillId="0" borderId="0" xfId="0" applyNumberFormat="1" applyBorder="1" applyAlignment="1">
      <alignment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1" fontId="2" fillId="0" borderId="29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 wrapText="1"/>
    </xf>
    <xf numFmtId="181" fontId="2" fillId="0" borderId="29" xfId="0" applyNumberFormat="1" applyFont="1" applyFill="1" applyBorder="1" applyAlignment="1">
      <alignment horizontal="center" vertical="center"/>
    </xf>
    <xf numFmtId="1" fontId="2" fillId="0" borderId="11" xfId="0" applyNumberFormat="1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181" fontId="4" fillId="0" borderId="3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" fontId="4" fillId="0" borderId="32" xfId="0" applyNumberFormat="1" applyFont="1" applyFill="1" applyBorder="1" applyAlignment="1">
      <alignment horizontal="center" vertical="center"/>
    </xf>
    <xf numFmtId="1" fontId="2" fillId="0" borderId="3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1" fontId="4" fillId="0" borderId="4" xfId="0" applyNumberFormat="1" applyFont="1" applyFill="1" applyBorder="1" applyAlignment="1">
      <alignment horizontal="left" vertical="center"/>
    </xf>
    <xf numFmtId="1" fontId="4" fillId="0" borderId="6" xfId="0" applyNumberFormat="1" applyFont="1" applyFill="1" applyBorder="1" applyAlignment="1">
      <alignment horizontal="center" vertical="center" wrapText="1"/>
    </xf>
    <xf numFmtId="1" fontId="4" fillId="0" borderId="7" xfId="0" applyNumberFormat="1" applyFont="1" applyFill="1" applyBorder="1" applyAlignment="1">
      <alignment horizontal="left" vertical="center"/>
    </xf>
    <xf numFmtId="1" fontId="4" fillId="0" borderId="8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1" fontId="2" fillId="0" borderId="9" xfId="0" applyNumberFormat="1" applyFont="1" applyFill="1" applyBorder="1" applyAlignment="1">
      <alignment horizontal="center" vertical="center"/>
    </xf>
    <xf numFmtId="182" fontId="2" fillId="0" borderId="12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Fill="1" applyBorder="1" applyAlignment="1">
      <alignment horizontal="center" vertical="center"/>
    </xf>
    <xf numFmtId="1" fontId="2" fillId="0" borderId="17" xfId="0" applyNumberFormat="1" applyFont="1" applyFill="1" applyBorder="1" applyAlignment="1">
      <alignment horizontal="center" vertical="center" wrapText="1"/>
    </xf>
    <xf numFmtId="1" fontId="2" fillId="0" borderId="19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4" fillId="0" borderId="28" xfId="0" applyNumberFormat="1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1" fontId="2" fillId="0" borderId="27" xfId="0" applyNumberFormat="1" applyFont="1" applyFill="1" applyBorder="1" applyAlignment="1">
      <alignment vertical="center"/>
    </xf>
    <xf numFmtId="1" fontId="4" fillId="0" borderId="9" xfId="0" applyNumberFormat="1" applyFont="1" applyFill="1" applyBorder="1" applyAlignment="1">
      <alignment horizontal="center" vertical="center" wrapText="1"/>
    </xf>
    <xf numFmtId="2" fontId="2" fillId="0" borderId="33" xfId="0" applyNumberFormat="1" applyFont="1" applyFill="1" applyBorder="1" applyAlignment="1">
      <alignment horizontal="center" vertical="center"/>
    </xf>
    <xf numFmtId="2" fontId="2" fillId="0" borderId="29" xfId="0" applyNumberFormat="1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vertical="center"/>
    </xf>
    <xf numFmtId="0" fontId="2" fillId="0" borderId="27" xfId="0" applyFont="1" applyFill="1" applyBorder="1" applyAlignment="1">
      <alignment horizontal="center" vertical="center"/>
    </xf>
    <xf numFmtId="1" fontId="2" fillId="0" borderId="27" xfId="0" applyNumberFormat="1" applyFont="1" applyFill="1" applyBorder="1" applyAlignment="1">
      <alignment horizontal="center" vertical="center"/>
    </xf>
    <xf numFmtId="2" fontId="2" fillId="0" borderId="34" xfId="0" applyNumberFormat="1" applyFont="1" applyFill="1" applyBorder="1" applyAlignment="1">
      <alignment horizontal="center" vertical="center"/>
    </xf>
    <xf numFmtId="1" fontId="2" fillId="0" borderId="35" xfId="0" applyNumberFormat="1" applyFont="1" applyFill="1" applyBorder="1" applyAlignment="1">
      <alignment horizontal="center" vertical="center"/>
    </xf>
    <xf numFmtId="2" fontId="2" fillId="0" borderId="36" xfId="0" applyNumberFormat="1" applyFont="1" applyFill="1" applyBorder="1" applyAlignment="1">
      <alignment horizontal="center" vertical="center"/>
    </xf>
    <xf numFmtId="1" fontId="2" fillId="0" borderId="36" xfId="0" applyNumberFormat="1" applyFont="1" applyFill="1" applyBorder="1" applyAlignment="1">
      <alignment horizontal="center" vertical="center"/>
    </xf>
    <xf numFmtId="1" fontId="2" fillId="0" borderId="37" xfId="0" applyNumberFormat="1" applyFont="1" applyFill="1" applyBorder="1" applyAlignment="1">
      <alignment horizontal="center" vertical="center"/>
    </xf>
    <xf numFmtId="1" fontId="2" fillId="0" borderId="38" xfId="0" applyNumberFormat="1" applyFont="1" applyFill="1" applyBorder="1" applyAlignment="1">
      <alignment horizontal="center" vertical="center"/>
    </xf>
    <xf numFmtId="1" fontId="2" fillId="0" borderId="39" xfId="0" applyNumberFormat="1" applyFont="1" applyFill="1" applyBorder="1" applyAlignment="1">
      <alignment horizontal="center" vertical="center"/>
    </xf>
    <xf numFmtId="1" fontId="2" fillId="0" borderId="40" xfId="0" applyNumberFormat="1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 wrapText="1"/>
    </xf>
    <xf numFmtId="1" fontId="4" fillId="0" borderId="35" xfId="0" applyNumberFormat="1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2" fillId="0" borderId="7" xfId="0" applyNumberFormat="1" applyFont="1" applyFill="1" applyBorder="1" applyAlignment="1">
      <alignment horizontal="center" vertical="center"/>
    </xf>
    <xf numFmtId="2" fontId="2" fillId="0" borderId="14" xfId="0" applyNumberFormat="1" applyFont="1" applyFill="1" applyBorder="1" applyAlignment="1">
      <alignment horizontal="center" vertical="center"/>
    </xf>
    <xf numFmtId="2" fontId="2" fillId="0" borderId="15" xfId="0" applyNumberFormat="1" applyFont="1" applyFill="1" applyBorder="1" applyAlignment="1">
      <alignment horizontal="center" vertical="center"/>
    </xf>
    <xf numFmtId="182" fontId="2" fillId="0" borderId="29" xfId="0" applyNumberFormat="1" applyFont="1" applyFill="1" applyBorder="1" applyAlignment="1">
      <alignment horizontal="center" vertical="center"/>
    </xf>
    <xf numFmtId="182" fontId="4" fillId="0" borderId="31" xfId="0" applyNumberFormat="1" applyFont="1" applyFill="1" applyBorder="1" applyAlignment="1">
      <alignment horizontal="center" vertical="center"/>
    </xf>
    <xf numFmtId="183" fontId="2" fillId="0" borderId="7" xfId="0" applyNumberFormat="1" applyFont="1" applyFill="1" applyBorder="1" applyAlignment="1">
      <alignment horizontal="center" vertical="center"/>
    </xf>
    <xf numFmtId="183" fontId="2" fillId="0" borderId="12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/>
    </xf>
    <xf numFmtId="0" fontId="4" fillId="0" borderId="7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2" fillId="0" borderId="4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77" fontId="2" fillId="0" borderId="16" xfId="0" applyNumberFormat="1" applyFont="1" applyFill="1" applyBorder="1" applyAlignment="1">
      <alignment horizontal="center" vertical="center"/>
    </xf>
    <xf numFmtId="2" fontId="2" fillId="0" borderId="15" xfId="0" applyNumberFormat="1" applyFont="1" applyFill="1" applyBorder="1" applyAlignment="1">
      <alignment horizontal="center" vertical="center" wrapText="1"/>
    </xf>
    <xf numFmtId="179" fontId="8" fillId="0" borderId="15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1" fontId="8" fillId="0" borderId="15" xfId="0" applyNumberFormat="1" applyFont="1" applyFill="1" applyBorder="1" applyAlignment="1">
      <alignment horizontal="center" vertical="center"/>
    </xf>
    <xf numFmtId="177" fontId="2" fillId="0" borderId="18" xfId="0" applyNumberFormat="1" applyFont="1" applyFill="1" applyBorder="1" applyAlignment="1">
      <alignment horizontal="center" vertical="center"/>
    </xf>
    <xf numFmtId="2" fontId="2" fillId="0" borderId="20" xfId="0" applyNumberFormat="1" applyFont="1" applyFill="1" applyBorder="1" applyAlignment="1">
      <alignment horizontal="center" vertical="center" wrapText="1"/>
    </xf>
    <xf numFmtId="1" fontId="8" fillId="0" borderId="20" xfId="0" applyNumberFormat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 wrapText="1"/>
    </xf>
    <xf numFmtId="1" fontId="2" fillId="0" borderId="22" xfId="0" applyNumberFormat="1" applyFont="1" applyFill="1" applyBorder="1" applyAlignment="1">
      <alignment horizontal="left" vertical="center"/>
    </xf>
    <xf numFmtId="177" fontId="4" fillId="0" borderId="5" xfId="0" applyNumberFormat="1" applyFont="1" applyFill="1" applyBorder="1" applyAlignment="1">
      <alignment horizontal="center" vertical="center"/>
    </xf>
    <xf numFmtId="1" fontId="4" fillId="0" borderId="28" xfId="0" applyNumberFormat="1" applyFont="1" applyFill="1" applyBorder="1" applyAlignment="1">
      <alignment horizontal="center" vertical="center"/>
    </xf>
    <xf numFmtId="1" fontId="4" fillId="0" borderId="43" xfId="0" applyNumberFormat="1" applyFont="1" applyFill="1" applyBorder="1" applyAlignment="1">
      <alignment horizontal="center" vertical="center"/>
    </xf>
    <xf numFmtId="1" fontId="11" fillId="0" borderId="22" xfId="0" applyNumberFormat="1" applyFont="1" applyBorder="1" applyAlignment="1">
      <alignment vertical="center"/>
    </xf>
    <xf numFmtId="1" fontId="0" fillId="0" borderId="22" xfId="0" applyNumberFormat="1" applyBorder="1" applyAlignment="1">
      <alignment vertical="center"/>
    </xf>
    <xf numFmtId="1" fontId="3" fillId="0" borderId="44" xfId="0" applyNumberFormat="1" applyFont="1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" fontId="11" fillId="0" borderId="0" xfId="0" applyNumberFormat="1" applyFont="1" applyBorder="1" applyAlignment="1">
      <alignment vertical="center"/>
    </xf>
    <xf numFmtId="184" fontId="2" fillId="0" borderId="33" xfId="0" applyNumberFormat="1" applyFont="1" applyFill="1" applyBorder="1" applyAlignment="1">
      <alignment horizontal="center" vertical="center"/>
    </xf>
    <xf numFmtId="182" fontId="2" fillId="0" borderId="11" xfId="0" applyNumberFormat="1" applyFont="1" applyFill="1" applyBorder="1" applyAlignment="1">
      <alignment horizontal="center" vertical="center"/>
    </xf>
    <xf numFmtId="184" fontId="2" fillId="0" borderId="29" xfId="0" applyNumberFormat="1" applyFont="1" applyFill="1" applyBorder="1" applyAlignment="1">
      <alignment horizontal="center" vertical="center"/>
    </xf>
    <xf numFmtId="2" fontId="2" fillId="0" borderId="1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left" vertical="center"/>
    </xf>
    <xf numFmtId="184" fontId="4" fillId="0" borderId="3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2" fontId="4" fillId="0" borderId="32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8" fillId="0" borderId="0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left" vertical="center"/>
    </xf>
    <xf numFmtId="1" fontId="9" fillId="0" borderId="7" xfId="0" applyNumberFormat="1" applyFont="1" applyFill="1" applyBorder="1" applyAlignment="1">
      <alignment horizontal="left" vertical="center"/>
    </xf>
    <xf numFmtId="1" fontId="2" fillId="0" borderId="16" xfId="0" applyNumberFormat="1" applyFont="1" applyFill="1" applyBorder="1" applyAlignment="1">
      <alignment horizontal="center" vertical="center"/>
    </xf>
    <xf numFmtId="182" fontId="4" fillId="0" borderId="32" xfId="0" applyNumberFormat="1" applyFont="1" applyFill="1" applyBorder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183" fontId="4" fillId="0" borderId="31" xfId="0" applyNumberFormat="1" applyFont="1" applyFill="1" applyBorder="1" applyAlignment="1">
      <alignment horizontal="center" vertical="center"/>
    </xf>
    <xf numFmtId="1" fontId="4" fillId="0" borderId="43" xfId="0" applyNumberFormat="1" applyFont="1" applyFill="1" applyBorder="1" applyAlignment="1">
      <alignment horizontal="center" vertical="center" wrapText="1"/>
    </xf>
    <xf numFmtId="1" fontId="0" fillId="0" borderId="38" xfId="0" applyNumberFormat="1" applyBorder="1" applyAlignment="1">
      <alignment vertical="center"/>
    </xf>
    <xf numFmtId="1" fontId="0" fillId="0" borderId="39" xfId="0" applyNumberFormat="1" applyBorder="1" applyAlignment="1">
      <alignment vertical="center"/>
    </xf>
    <xf numFmtId="1" fontId="0" fillId="0" borderId="40" xfId="0" applyNumberFormat="1" applyBorder="1" applyAlignment="1">
      <alignment vertical="center"/>
    </xf>
    <xf numFmtId="177" fontId="4" fillId="0" borderId="5" xfId="0" applyNumberFormat="1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left" vertical="center"/>
    </xf>
    <xf numFmtId="177" fontId="4" fillId="0" borderId="28" xfId="0" applyNumberFormat="1" applyFont="1" applyFill="1" applyBorder="1" applyAlignment="1">
      <alignment horizontal="center" vertical="center" wrapText="1"/>
    </xf>
    <xf numFmtId="177" fontId="4" fillId="0" borderId="43" xfId="0" applyNumberFormat="1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44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2" fillId="3" borderId="0" xfId="0" applyFont="1" applyFill="1" applyAlignment="1"/>
    <xf numFmtId="0" fontId="2" fillId="3" borderId="0" xfId="0" applyFont="1" applyFill="1" applyAlignment="1">
      <alignment vertical="center"/>
    </xf>
    <xf numFmtId="0" fontId="2" fillId="0" borderId="0" xfId="0" applyFont="1" applyAlignment="1">
      <alignment wrapText="1"/>
    </xf>
    <xf numFmtId="176" fontId="2" fillId="0" borderId="0" xfId="0" applyNumberFormat="1" applyFont="1" applyAlignment="1">
      <alignment wrapText="1"/>
    </xf>
    <xf numFmtId="180" fontId="2" fillId="0" borderId="0" xfId="0" applyNumberFormat="1" applyFont="1" applyAlignment="1">
      <alignment wrapText="1"/>
    </xf>
    <xf numFmtId="185" fontId="2" fillId="0" borderId="0" xfId="0" applyNumberFormat="1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102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80" fontId="4" fillId="0" borderId="5" xfId="104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wrapText="1"/>
    </xf>
    <xf numFmtId="0" fontId="2" fillId="0" borderId="4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1" fontId="2" fillId="0" borderId="33" xfId="0" applyNumberFormat="1" applyFont="1" applyFill="1" applyBorder="1" applyAlignment="1">
      <alignment horizontal="center" vertical="center"/>
    </xf>
    <xf numFmtId="2" fontId="2" fillId="0" borderId="33" xfId="104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183" fontId="2" fillId="0" borderId="29" xfId="0" applyNumberFormat="1" applyFont="1" applyFill="1" applyBorder="1" applyAlignment="1">
      <alignment horizontal="center" vertical="center"/>
    </xf>
    <xf numFmtId="179" fontId="2" fillId="0" borderId="29" xfId="0" applyNumberFormat="1" applyFont="1" applyFill="1" applyBorder="1" applyAlignment="1">
      <alignment horizontal="center" vertical="center"/>
    </xf>
    <xf numFmtId="179" fontId="2" fillId="0" borderId="29" xfId="0" applyNumberFormat="1" applyFont="1" applyFill="1" applyBorder="1" applyAlignment="1">
      <alignment horizontal="center" wrapText="1"/>
    </xf>
    <xf numFmtId="182" fontId="2" fillId="0" borderId="29" xfId="0" applyNumberFormat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84" fontId="2" fillId="0" borderId="9" xfId="0" applyNumberFormat="1" applyFont="1" applyFill="1" applyBorder="1" applyAlignment="1">
      <alignment horizontal="center" vertical="center"/>
    </xf>
    <xf numFmtId="2" fontId="2" fillId="0" borderId="9" xfId="0" applyNumberFormat="1" applyFont="1" applyFill="1" applyBorder="1" applyAlignment="1">
      <alignment horizontal="center" vertical="center"/>
    </xf>
    <xf numFmtId="2" fontId="2" fillId="0" borderId="9" xfId="0" applyNumberFormat="1" applyFont="1" applyFill="1" applyBorder="1" applyAlignment="1">
      <alignment horizontal="center" wrapText="1"/>
    </xf>
    <xf numFmtId="1" fontId="2" fillId="0" borderId="0" xfId="0" applyNumberFormat="1" applyFont="1" applyFill="1" applyAlignment="1">
      <alignment wrapText="1"/>
    </xf>
    <xf numFmtId="0" fontId="2" fillId="0" borderId="11" xfId="0" applyFont="1" applyFill="1" applyBorder="1" applyAlignment="1">
      <alignment horizontal="center" vertical="center"/>
    </xf>
    <xf numFmtId="1" fontId="2" fillId="0" borderId="29" xfId="0" applyNumberFormat="1" applyFont="1" applyFill="1" applyBorder="1" applyAlignment="1">
      <alignment horizontal="center" wrapText="1"/>
    </xf>
    <xf numFmtId="0" fontId="2" fillId="0" borderId="3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182" fontId="2" fillId="0" borderId="31" xfId="0" applyNumberFormat="1" applyFont="1" applyFill="1" applyBorder="1" applyAlignment="1">
      <alignment horizontal="center" vertical="center"/>
    </xf>
    <xf numFmtId="2" fontId="2" fillId="0" borderId="31" xfId="0" applyNumberFormat="1" applyFont="1" applyFill="1" applyBorder="1" applyAlignment="1">
      <alignment horizontal="center" vertical="center"/>
    </xf>
    <xf numFmtId="1" fontId="2" fillId="0" borderId="31" xfId="0" applyNumberFormat="1" applyFont="1" applyFill="1" applyBorder="1" applyAlignment="1">
      <alignment horizontal="center" wrapText="1"/>
    </xf>
    <xf numFmtId="181" fontId="2" fillId="0" borderId="3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1" fontId="2" fillId="0" borderId="0" xfId="0" applyNumberFormat="1" applyFont="1" applyBorder="1" applyAlignment="1">
      <alignment wrapText="1"/>
    </xf>
    <xf numFmtId="0" fontId="2" fillId="3" borderId="0" xfId="0" applyFont="1" applyFill="1" applyBorder="1" applyAlignment="1">
      <alignment horizontal="left" vertical="center" wrapText="1"/>
    </xf>
    <xf numFmtId="0" fontId="13" fillId="3" borderId="0" xfId="0" applyFont="1" applyFill="1" applyAlignment="1"/>
    <xf numFmtId="185" fontId="2" fillId="3" borderId="0" xfId="0" applyNumberFormat="1" applyFont="1" applyFill="1" applyAlignment="1">
      <alignment wrapText="1"/>
    </xf>
    <xf numFmtId="0" fontId="2" fillId="3" borderId="0" xfId="0" applyFont="1" applyFill="1" applyAlignment="1">
      <alignment wrapText="1"/>
    </xf>
    <xf numFmtId="0" fontId="13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4" fillId="0" borderId="46" xfId="85" applyFont="1" applyFill="1" applyBorder="1" applyAlignment="1">
      <alignment horizontal="center" vertical="center" wrapText="1"/>
    </xf>
    <xf numFmtId="0" fontId="4" fillId="0" borderId="38" xfId="85" applyFont="1" applyFill="1" applyBorder="1" applyAlignment="1">
      <alignment horizontal="center" vertical="center" wrapText="1"/>
    </xf>
    <xf numFmtId="0" fontId="4" fillId="3" borderId="0" xfId="85" applyFont="1" applyFill="1" applyBorder="1" applyAlignment="1">
      <alignment horizontal="center" vertical="center" wrapText="1"/>
    </xf>
    <xf numFmtId="0" fontId="4" fillId="0" borderId="47" xfId="85" applyFont="1" applyFill="1" applyBorder="1" applyAlignment="1">
      <alignment horizontal="center" vertical="center" wrapText="1"/>
    </xf>
    <xf numFmtId="0" fontId="4" fillId="0" borderId="48" xfId="85" applyFont="1" applyFill="1" applyBorder="1" applyAlignment="1">
      <alignment horizontal="center" vertical="center" wrapText="1"/>
    </xf>
    <xf numFmtId="0" fontId="4" fillId="0" borderId="49" xfId="85" applyFont="1" applyFill="1" applyBorder="1" applyAlignment="1">
      <alignment horizontal="center" vertical="center" wrapText="1"/>
    </xf>
    <xf numFmtId="0" fontId="2" fillId="0" borderId="50" xfId="85" applyFont="1" applyFill="1" applyBorder="1" applyAlignment="1">
      <alignment horizontal="center" vertical="center" wrapText="1"/>
    </xf>
    <xf numFmtId="0" fontId="2" fillId="0" borderId="51" xfId="85" applyFont="1" applyFill="1" applyBorder="1" applyAlignment="1">
      <alignment horizontal="center" vertical="center" wrapText="1"/>
    </xf>
    <xf numFmtId="179" fontId="2" fillId="0" borderId="50" xfId="85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48" xfId="85" applyFont="1" applyFill="1" applyBorder="1" applyAlignment="1">
      <alignment horizontal="center" vertical="center" wrapText="1"/>
    </xf>
    <xf numFmtId="0" fontId="2" fillId="0" borderId="49" xfId="85" applyFont="1" applyFill="1" applyBorder="1" applyAlignment="1">
      <alignment horizontal="center" vertical="center" wrapText="1"/>
    </xf>
    <xf numFmtId="1" fontId="2" fillId="0" borderId="48" xfId="85" applyNumberFormat="1" applyFont="1" applyFill="1" applyBorder="1" applyAlignment="1">
      <alignment horizontal="center" vertical="center" wrapText="1"/>
    </xf>
    <xf numFmtId="0" fontId="2" fillId="0" borderId="47" xfId="85" applyFont="1" applyFill="1" applyBorder="1" applyAlignment="1">
      <alignment horizontal="center" vertical="center" wrapText="1"/>
    </xf>
    <xf numFmtId="0" fontId="2" fillId="0" borderId="52" xfId="85" applyFont="1" applyFill="1" applyBorder="1" applyAlignment="1">
      <alignment horizontal="center" vertical="center" wrapText="1"/>
    </xf>
    <xf numFmtId="1" fontId="2" fillId="0" borderId="47" xfId="85" applyNumberFormat="1" applyFont="1" applyFill="1" applyBorder="1" applyAlignment="1">
      <alignment horizontal="center" vertical="center" wrapText="1"/>
    </xf>
    <xf numFmtId="0" fontId="2" fillId="0" borderId="53" xfId="85" applyFont="1" applyFill="1" applyBorder="1" applyAlignment="1">
      <alignment horizontal="center" vertical="center" wrapText="1"/>
    </xf>
    <xf numFmtId="0" fontId="2" fillId="0" borderId="40" xfId="85" applyFont="1" applyFill="1" applyBorder="1" applyAlignment="1">
      <alignment horizontal="center" vertical="center" wrapText="1"/>
    </xf>
    <xf numFmtId="1" fontId="2" fillId="0" borderId="53" xfId="85" applyNumberFormat="1" applyFont="1" applyFill="1" applyBorder="1" applyAlignment="1">
      <alignment horizontal="center" vertical="center" wrapText="1"/>
    </xf>
    <xf numFmtId="0" fontId="2" fillId="3" borderId="0" xfId="99" applyFont="1" applyFill="1" applyAlignment="1">
      <alignment vertical="center"/>
    </xf>
    <xf numFmtId="185" fontId="2" fillId="3" borderId="0" xfId="99" applyNumberFormat="1" applyFont="1" applyFill="1" applyAlignment="1">
      <alignment wrapText="1"/>
    </xf>
    <xf numFmtId="0" fontId="2" fillId="3" borderId="0" xfId="99" applyFont="1" applyFill="1" applyAlignment="1">
      <alignment wrapText="1"/>
    </xf>
    <xf numFmtId="0" fontId="14" fillId="0" borderId="0" xfId="0" applyFont="1" applyBorder="1" applyAlignment="1">
      <alignment horizontal="center" vertical="center" wrapText="1"/>
    </xf>
    <xf numFmtId="0" fontId="12" fillId="0" borderId="0" xfId="0" applyFont="1" applyBorder="1">
      <alignment vertical="center"/>
    </xf>
    <xf numFmtId="181" fontId="2" fillId="0" borderId="0" xfId="0" applyNumberFormat="1" applyFont="1" applyFill="1" applyBorder="1" applyAlignment="1">
      <alignment vertical="center" wrapText="1"/>
    </xf>
    <xf numFmtId="179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82" fontId="2" fillId="0" borderId="0" xfId="0" applyNumberFormat="1" applyFont="1" applyFill="1" applyBorder="1" applyAlignment="1">
      <alignment vertical="center" wrapText="1"/>
    </xf>
    <xf numFmtId="2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wrapText="1"/>
    </xf>
    <xf numFmtId="179" fontId="2" fillId="0" borderId="0" xfId="0" applyNumberFormat="1" applyFont="1" applyAlignment="1">
      <alignment wrapText="1"/>
    </xf>
    <xf numFmtId="0" fontId="8" fillId="3" borderId="0" xfId="99" applyFont="1" applyFill="1" applyAlignment="1"/>
    <xf numFmtId="0" fontId="15" fillId="0" borderId="0" xfId="102" applyFont="1" applyFill="1" applyAlignment="1">
      <alignment vertical="center"/>
    </xf>
    <xf numFmtId="0" fontId="2" fillId="0" borderId="0" xfId="102" applyFont="1" applyFill="1" applyAlignment="1">
      <alignment vertical="center"/>
    </xf>
    <xf numFmtId="0" fontId="2" fillId="0" borderId="0" xfId="102" applyFont="1" applyFill="1" applyBorder="1" applyAlignment="1">
      <alignment vertical="center"/>
    </xf>
    <xf numFmtId="0" fontId="2" fillId="3" borderId="0" xfId="102" applyFont="1" applyFill="1" applyAlignment="1">
      <alignment vertical="center"/>
    </xf>
    <xf numFmtId="0" fontId="2" fillId="0" borderId="0" xfId="103" applyFont="1" applyFill="1" applyAlignment="1">
      <alignment horizontal="left" vertical="center" wrapText="1"/>
    </xf>
    <xf numFmtId="0" fontId="7" fillId="0" borderId="0" xfId="102" applyFont="1" applyFill="1" applyAlignment="1">
      <alignment vertical="center"/>
    </xf>
    <xf numFmtId="0" fontId="2" fillId="0" borderId="0" xfId="101" applyFont="1" applyFill="1" applyAlignment="1">
      <alignment horizontal="center" wrapText="1"/>
    </xf>
    <xf numFmtId="0" fontId="5" fillId="0" borderId="0" xfId="102" applyFont="1" applyFill="1" applyBorder="1" applyAlignment="1">
      <alignment horizontal="center" vertical="center"/>
    </xf>
    <xf numFmtId="0" fontId="4" fillId="0" borderId="0" xfId="102" applyFont="1" applyFill="1" applyBorder="1" applyAlignment="1">
      <alignment horizontal="left" vertical="center"/>
    </xf>
    <xf numFmtId="0" fontId="2" fillId="0" borderId="0" xfId="102" applyFont="1" applyFill="1" applyBorder="1" applyAlignment="1">
      <alignment horizontal="left" vertical="center" wrapText="1"/>
    </xf>
    <xf numFmtId="0" fontId="2" fillId="0" borderId="0" xfId="102" applyFont="1" applyFill="1" applyBorder="1" applyAlignment="1">
      <alignment horizontal="left" vertical="center"/>
    </xf>
    <xf numFmtId="0" fontId="1" fillId="0" borderId="0" xfId="102" applyFont="1" applyFill="1" applyBorder="1" applyAlignment="1">
      <alignment horizontal="left" vertical="center"/>
    </xf>
    <xf numFmtId="0" fontId="4" fillId="3" borderId="0" xfId="102" applyFont="1" applyFill="1" applyBorder="1" applyAlignment="1">
      <alignment horizontal="left" vertical="center"/>
    </xf>
    <xf numFmtId="186" fontId="2" fillId="3" borderId="0" xfId="0" applyNumberFormat="1" applyFont="1" applyFill="1" applyAlignment="1">
      <alignment horizontal="left" vertical="center"/>
    </xf>
    <xf numFmtId="0" fontId="2" fillId="3" borderId="0" xfId="102" applyFont="1" applyFill="1" applyBorder="1" applyAlignment="1">
      <alignment horizontal="left" vertical="center"/>
    </xf>
    <xf numFmtId="0" fontId="1" fillId="0" borderId="0" xfId="102" applyFont="1" applyFill="1" applyAlignment="1">
      <alignment vertical="center"/>
    </xf>
    <xf numFmtId="0" fontId="4" fillId="0" borderId="0" xfId="103" applyFont="1" applyFill="1" applyAlignment="1">
      <alignment vertical="center"/>
    </xf>
  </cellXfs>
  <cellStyles count="10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2" xfId="50"/>
    <cellStyle name="20% - Accent3" xfId="51"/>
    <cellStyle name="20% - Accent4" xfId="52"/>
    <cellStyle name="20% - Accent5" xfId="53"/>
    <cellStyle name="20% - Accent6" xfId="54"/>
    <cellStyle name="40% - Accent1" xfId="55"/>
    <cellStyle name="40% - Accent2" xfId="56"/>
    <cellStyle name="40% - Accent3" xfId="57"/>
    <cellStyle name="40% - Accent4" xfId="58"/>
    <cellStyle name="40% - Accent5" xfId="59"/>
    <cellStyle name="40% - Accent6" xfId="60"/>
    <cellStyle name="60% - Accent1" xfId="61"/>
    <cellStyle name="60% - Accent2" xfId="62"/>
    <cellStyle name="6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4" xfId="70"/>
    <cellStyle name="Accent5" xfId="71"/>
    <cellStyle name="Accent6" xfId="72"/>
    <cellStyle name="Bad" xfId="73"/>
    <cellStyle name="Calculation" xfId="74"/>
    <cellStyle name="Check Cell" xfId="75"/>
    <cellStyle name="Explanatory Text" xfId="76"/>
    <cellStyle name="Good" xfId="77"/>
    <cellStyle name="Heading 1" xfId="78"/>
    <cellStyle name="Heading 2" xfId="79"/>
    <cellStyle name="Heading 3" xfId="80"/>
    <cellStyle name="Heading 4" xfId="81"/>
    <cellStyle name="Input" xfId="82"/>
    <cellStyle name="Linked Cell" xfId="83"/>
    <cellStyle name="Neutral" xfId="84"/>
    <cellStyle name="Normal 2" xfId="85"/>
    <cellStyle name="Normal_BGB-103 (maleate)_PPB_pretest_03192013" xfId="86"/>
    <cellStyle name="Note" xfId="87"/>
    <cellStyle name="Note 2" xfId="88"/>
    <cellStyle name="Output" xfId="89"/>
    <cellStyle name="Style 1" xfId="90"/>
    <cellStyle name="Title" xfId="91"/>
    <cellStyle name="Total" xfId="92"/>
    <cellStyle name="Warning Text" xfId="93"/>
    <cellStyle name="百分比 2" xfId="94"/>
    <cellStyle name="常规 2" xfId="95"/>
    <cellStyle name="常规 2 2" xfId="96"/>
    <cellStyle name="常规 2 2 2" xfId="97"/>
    <cellStyle name="常规 2 3" xfId="98"/>
    <cellStyle name="常规 3" xfId="99"/>
    <cellStyle name="常规 4" xfId="100"/>
    <cellStyle name="常规_3D_RN016022BGB-555" xfId="101"/>
    <cellStyle name="常规_AZ_Microsome_Stability_final_report_23-Feb-2009" xfId="102"/>
    <cellStyle name="常规_ITMN_Solubility assay for 4 cpds final report_17-Feb-2009 wf" xfId="103"/>
    <cellStyle name="常规_WYT-Monkey" xfId="104"/>
    <cellStyle name="常规_副本bioanalysis record template" xfId="105"/>
  </cellStyles>
  <tableStyles count="0" defaultTableStyle="TableStyleMedium9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8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/>
              <a:t>代谢过程（人肝微粒体）</a:t>
            </a:r>
            <a:endParaRPr lang="zh-CN"/>
          </a:p>
        </c:rich>
      </c:tx>
      <c:layout>
        <c:manualLayout>
          <c:xMode val="edge"/>
          <c:yMode val="edge"/>
          <c:x val="0.275877628046184"/>
          <c:y val="0.076623079328211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342430874233"/>
          <c:y val="0.357824972985008"/>
          <c:w val="0.706581453946183"/>
          <c:h val="0.344144631277794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98280069311233"/>
                  <c:y val="-0.187741429488569"/>
                </c:manualLayout>
              </c:layout>
              <c:numFmt formatCode="#,##0.000000_);[Red]\(#,##0.000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'HW356060'!$D$5:$D$14</c:f>
              <c:numCache>
                <c:formatCode>0_ 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'HW356060'!$J$5:$J$14</c:f>
              <c:numCache>
                <c:formatCode>0.00</c:formatCode>
                <c:ptCount val="10"/>
                <c:pt idx="0">
                  <c:v>4.56275006926063</c:v>
                </c:pt>
                <c:pt idx="2">
                  <c:v>4.57646866986986</c:v>
                </c:pt>
                <c:pt idx="4">
                  <c:v>4.61917861846482</c:v>
                </c:pt>
                <c:pt idx="6">
                  <c:v>4.5674894412379</c:v>
                </c:pt>
                <c:pt idx="8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51536"/>
        <c:axId val="380950752"/>
      </c:scatterChart>
      <c:valAx>
        <c:axId val="3809515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8473783800289"/>
              <c:y val="0.858566555585046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50752"/>
        <c:crosses val="autoZero"/>
        <c:crossBetween val="midCat"/>
      </c:valAx>
      <c:valAx>
        <c:axId val="380950752"/>
        <c:scaling>
          <c:orientation val="minMax"/>
          <c:max val="6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433286577406948"/>
              <c:y val="0.1719755002680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51536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42d680d-378b-4f76-9834-95340abe6feb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8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/>
              <a:t>代谢过程（</a:t>
            </a:r>
            <a:r>
              <a:rPr lang="zh-CN" altLang="en-US"/>
              <a:t>猴</a:t>
            </a:r>
            <a:r>
              <a:rPr lang="zh-CN"/>
              <a:t>肝微粒体）</a:t>
            </a:r>
            <a:endParaRPr lang="zh-CN"/>
          </a:p>
        </c:rich>
      </c:tx>
      <c:layout>
        <c:manualLayout>
          <c:xMode val="edge"/>
          <c:yMode val="edge"/>
          <c:x val="0.160621254181028"/>
          <c:y val="0.00427055898786521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3136096579909"/>
          <c:y val="0.341488243216158"/>
          <c:w val="0.676547399745885"/>
          <c:h val="0.350502304941471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16844596561796"/>
                  <c:y val="-0.285666815523807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'HW356060'!$D$24:$D$33</c:f>
              <c:numCache>
                <c:formatCode>0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'HW356060'!$J$24:$J$33</c:f>
              <c:numCache>
                <c:formatCode>0.00</c:formatCode>
                <c:ptCount val="10"/>
                <c:pt idx="0">
                  <c:v>4.71522150036908</c:v>
                </c:pt>
                <c:pt idx="2">
                  <c:v>4.61925562447144</c:v>
                </c:pt>
                <c:pt idx="4">
                  <c:v>4.68011937103246</c:v>
                </c:pt>
                <c:pt idx="6">
                  <c:v>4.61502065163007</c:v>
                </c:pt>
                <c:pt idx="8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47616"/>
        <c:axId val="380951144"/>
      </c:scatterChart>
      <c:valAx>
        <c:axId val="38094761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847378380029"/>
              <c:y val="0.858566555585046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51144"/>
        <c:crosses val="autoZero"/>
        <c:crossBetween val="midCat"/>
      </c:valAx>
      <c:valAx>
        <c:axId val="380951144"/>
        <c:scaling>
          <c:orientation val="minMax"/>
          <c:max val="6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349691983541738"/>
              <c:y val="0.180839065570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47616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9ec0fb3b-5984-4912-947b-04e4b2fbbca5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8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/>
              <a:t>代谢过程（</a:t>
            </a:r>
            <a:r>
              <a:rPr lang="zh-CN" altLang="en-US"/>
              <a:t>犬</a:t>
            </a:r>
            <a:r>
              <a:rPr lang="zh-CN"/>
              <a:t>肝微粒体）</a:t>
            </a:r>
            <a:endParaRPr lang="zh-CN"/>
          </a:p>
        </c:rich>
      </c:tx>
      <c:layout>
        <c:manualLayout>
          <c:xMode val="edge"/>
          <c:yMode val="edge"/>
          <c:x val="0.181920515851347"/>
          <c:y val="0.0077205983747645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238311568954"/>
          <c:y val="0.233295425233167"/>
          <c:w val="0.72340592541631"/>
          <c:h val="0.439816803280557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319081052579324"/>
                  <c:y val="-0.192088617349364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'HW356060'!$D$43:$D$52</c:f>
              <c:numCache>
                <c:formatCode>0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'HW356060'!$J$43:$J$52</c:f>
              <c:numCache>
                <c:formatCode>0.00</c:formatCode>
                <c:ptCount val="10"/>
                <c:pt idx="0">
                  <c:v>4.65828129261575</c:v>
                </c:pt>
                <c:pt idx="2">
                  <c:v>4.54608620501422</c:v>
                </c:pt>
                <c:pt idx="4">
                  <c:v>4.58471072350742</c:v>
                </c:pt>
                <c:pt idx="6">
                  <c:v>4.57659097906812</c:v>
                </c:pt>
                <c:pt idx="8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48400"/>
        <c:axId val="380949184"/>
      </c:scatterChart>
      <c:valAx>
        <c:axId val="380948400"/>
        <c:scaling>
          <c:orientation val="minMax"/>
          <c:max val="8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847378380029"/>
              <c:y val="0.858566555585046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49184"/>
        <c:crosses val="autoZero"/>
        <c:crossBetween val="midCat"/>
      </c:valAx>
      <c:valAx>
        <c:axId val="380949184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349691983541738"/>
              <c:y val="0.180839065570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48400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2b81d38-d1f2-48f7-b70b-b3e0bd476253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8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/>
              <a:t>代谢过程（</a:t>
            </a:r>
            <a:r>
              <a:rPr lang="zh-CN" altLang="en-US"/>
              <a:t>小鼠</a:t>
            </a:r>
            <a:r>
              <a:rPr lang="zh-CN"/>
              <a:t>肝微粒体）</a:t>
            </a:r>
            <a:endParaRPr lang="zh-CN"/>
          </a:p>
        </c:rich>
      </c:tx>
      <c:layout>
        <c:manualLayout>
          <c:xMode val="edge"/>
          <c:yMode val="edge"/>
          <c:x val="0.275877628046184"/>
          <c:y val="0.0234416875111667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836782030153"/>
          <c:y val="0.274502147905674"/>
          <c:w val="0.72340592541631"/>
          <c:h val="0.451468974440294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179457737634728"/>
                  <c:y val="0.111766877778894"/>
                </c:manualLayout>
              </c:layout>
              <c:numFmt formatCode="#,##0.00000_);[Red]\(#,##0.00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'HW356060'!$D$82:$D$91</c:f>
              <c:numCache>
                <c:formatCode>0_ 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'HW356060'!$J$82:$J$91</c:f>
              <c:numCache>
                <c:formatCode>0.00</c:formatCode>
                <c:ptCount val="10"/>
                <c:pt idx="0">
                  <c:v>4.59728555086249</c:v>
                </c:pt>
                <c:pt idx="2">
                  <c:v>4.56381580952493</c:v>
                </c:pt>
                <c:pt idx="4">
                  <c:v>4.57531056863728</c:v>
                </c:pt>
                <c:pt idx="6">
                  <c:v>4.59423684620264</c:v>
                </c:pt>
                <c:pt idx="8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50360"/>
        <c:axId val="380946440"/>
      </c:scatterChart>
      <c:valAx>
        <c:axId val="3809503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8473783800289"/>
              <c:y val="0.858566555585046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46440"/>
        <c:crosses val="autoZero"/>
        <c:crossBetween val="midCat"/>
      </c:valAx>
      <c:valAx>
        <c:axId val="38094644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433286577406948"/>
              <c:y val="0.1719755002680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50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d4ae1473-9b6c-406e-a1b5-8b5c0ab5802d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8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/>
              <a:t>代谢过程（</a:t>
            </a:r>
            <a:r>
              <a:rPr lang="zh-CN" altLang="en-US"/>
              <a:t>大鼠</a:t>
            </a:r>
            <a:r>
              <a:rPr lang="zh-CN"/>
              <a:t>肝微粒体）</a:t>
            </a:r>
            <a:endParaRPr lang="zh-CN"/>
          </a:p>
        </c:rich>
      </c:tx>
      <c:layout>
        <c:manualLayout>
          <c:xMode val="edge"/>
          <c:yMode val="edge"/>
          <c:x val="0.275877628046184"/>
          <c:y val="0.0234416875111667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836782030153"/>
          <c:y val="0.274502147905674"/>
          <c:w val="0.72340592541631"/>
          <c:h val="0.451468974440294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20356231222377"/>
                  <c:y val="-0.170592102664236"/>
                </c:manualLayout>
              </c:layout>
              <c:numFmt formatCode="#,##0.000000_);[Red]\(#,##0.000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'HW356060'!$D$62:$D$71</c:f>
              <c:numCache>
                <c:formatCode>0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'HW356060'!$J$62:$J$71</c:f>
              <c:numCache>
                <c:formatCode>0.00</c:formatCode>
                <c:ptCount val="10"/>
                <c:pt idx="0">
                  <c:v>4.61335793873067</c:v>
                </c:pt>
                <c:pt idx="2">
                  <c:v>4.58922118783227</c:v>
                </c:pt>
                <c:pt idx="4">
                  <c:v>4.58147817409187</c:v>
                </c:pt>
                <c:pt idx="6">
                  <c:v>4.54861840102088</c:v>
                </c:pt>
                <c:pt idx="8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48008"/>
        <c:axId val="380949576"/>
      </c:scatterChart>
      <c:valAx>
        <c:axId val="380948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8473783800289"/>
              <c:y val="0.858566555585046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49576"/>
        <c:crosses val="autoZero"/>
        <c:crossBetween val="midCat"/>
      </c:valAx>
      <c:valAx>
        <c:axId val="380949576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433286577406948"/>
              <c:y val="0.1719755002680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48008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43b9627b-e244-45bd-aa01-72934e527510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咪达唑仑代谢过程（人肝微粒体）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28356788802413"/>
          <c:y val="0.031084447777361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569974748976"/>
          <c:y val="0.249501312335958"/>
          <c:w val="0.72340601281407"/>
          <c:h val="0.429234678998462"/>
        </c:manualLayout>
      </c:layout>
      <c:scatterChart>
        <c:scatterStyle val="lineMarker"/>
        <c:varyColors val="0"/>
        <c:ser>
          <c:idx val="0"/>
          <c:order val="0"/>
          <c:tx>
            <c:strRef>
              <c:f>"Rat"</c:f>
              <c:strCache>
                <c:ptCount val="1"/>
                <c:pt idx="0">
                  <c:v>Rat</c:v>
                </c:pt>
              </c:strCache>
            </c:strRef>
          </c:tx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321314673205714"/>
                  <c:y val="-0.161345036788434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Midazolam!$D$5:$D$10</c:f>
              <c:numCache>
                <c:formatCode>0_ 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Midazolam!$J$5:$J$10</c:f>
              <c:numCache>
                <c:formatCode>0.00</c:formatCode>
                <c:ptCount val="6"/>
                <c:pt idx="0">
                  <c:v>2.80146405402899</c:v>
                </c:pt>
                <c:pt idx="2">
                  <c:v>4.18835937227889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45264"/>
        <c:axId val="381868704"/>
      </c:scatterChart>
      <c:valAx>
        <c:axId val="3809452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3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68704"/>
        <c:crosses val="autoZero"/>
        <c:crossBetween val="midCat"/>
      </c:valAx>
      <c:valAx>
        <c:axId val="3818687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8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4526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88bff6a-8dfd-4db3-a648-1460ba357b0d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咪达唑仑代谢过程（猴肝微粒体）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28356788802414"/>
          <c:y val="0.031084447777361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470474376037"/>
          <c:y val="0.358790929822297"/>
          <c:w val="0.718886171489418"/>
          <c:h val="0.386223859114385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9906866174325"/>
                  <c:y val="-0.186932576050944"/>
                </c:manualLayout>
              </c:layout>
              <c:numFmt formatCode="#,##0.000_);[Red]\(#,##0.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Midazolam!$D$20:$D$25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Midazolam!$J$20:$J$25</c:f>
              <c:numCache>
                <c:formatCode>0.00</c:formatCode>
                <c:ptCount val="6"/>
                <c:pt idx="0">
                  <c:v>1.89404305209869</c:v>
                </c:pt>
                <c:pt idx="2">
                  <c:v>4.01152106577406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72624"/>
        <c:axId val="381873408"/>
      </c:scatterChart>
      <c:valAx>
        <c:axId val="3818726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73408"/>
        <c:crosses val="autoZero"/>
        <c:crossBetween val="midCat"/>
      </c:valAx>
      <c:valAx>
        <c:axId val="381873408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9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7262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8a5c8c4-e389-48e7-bb89-343108ec8bfc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咪达唑仑代谢过程（犬肝微粒体）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41690204132912"/>
          <c:y val="0.0310847209672561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3"/>
          <c:y val="0.249501312335958"/>
          <c:w val="0.72340601281407"/>
          <c:h val="0.429234678998462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76846447297831"/>
                  <c:y val="-0.176466589217331"/>
                </c:manualLayout>
              </c:layout>
              <c:numFmt formatCode="#,##0.000_);[Red]\(#,##0.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Midazolam!$D$35:$D$40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Midazolam!$J$35:$J$40</c:f>
              <c:numCache>
                <c:formatCode>0.00</c:formatCode>
                <c:ptCount val="6"/>
                <c:pt idx="0">
                  <c:v>1.70089959785989</c:v>
                </c:pt>
                <c:pt idx="2">
                  <c:v>4.04878873472162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71056"/>
        <c:axId val="381866352"/>
      </c:scatterChart>
      <c:valAx>
        <c:axId val="3818710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66352"/>
        <c:crossesAt val="0"/>
        <c:crossBetween val="midCat"/>
      </c:valAx>
      <c:valAx>
        <c:axId val="38186635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9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7105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473306d-53ce-4f7b-a75a-ffb6f593cbfd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咪达唑仑代谢过程（小鼠肝微粒体）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28356788802414"/>
          <c:y val="0.031084447777361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3"/>
          <c:y val="0.249501312335958"/>
          <c:w val="0.705326854281114"/>
          <c:h val="0.551456692913386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61611214263192"/>
                  <c:y val="-0.186770939346867"/>
                </c:manualLayout>
              </c:layout>
              <c:numFmt formatCode="#,##0.000_);[Red]\(#,##0.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Midazolam!$D$65:$D$70</c:f>
              <c:numCache>
                <c:formatCode>0_ 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Midazolam!$J$65:$J$70</c:f>
              <c:numCache>
                <c:formatCode>0.00</c:formatCode>
                <c:ptCount val="6"/>
                <c:pt idx="0">
                  <c:v>-1.49538355458229</c:v>
                </c:pt>
                <c:pt idx="2">
                  <c:v>3.12916707052617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67136"/>
        <c:axId val="381869488"/>
      </c:scatterChart>
      <c:valAx>
        <c:axId val="381867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69488"/>
        <c:crosses val="autoZero"/>
        <c:crossBetween val="midCat"/>
      </c:valAx>
      <c:valAx>
        <c:axId val="38186948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9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6713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060f93a-f513-45e1-9743-0fb466c3a62b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咪达唑仑代谢过程（大鼠肝微粒体）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28356788802414"/>
          <c:y val="0.031084447777361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3"/>
          <c:y val="0.249501312335958"/>
          <c:w val="0.72340601281407"/>
          <c:h val="0.429234678998462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61611214263192"/>
                  <c:y val="-0.186770939346867"/>
                </c:manualLayout>
              </c:layout>
              <c:numFmt formatCode="#,##0.0000_);[Red]\(#,##0.0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Midazolam!$D$50:$D$55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Midazolam!$J$50:$J$55</c:f>
              <c:numCache>
                <c:formatCode>0.00</c:formatCode>
                <c:ptCount val="6"/>
                <c:pt idx="0">
                  <c:v>2.69696166438311</c:v>
                </c:pt>
                <c:pt idx="2">
                  <c:v>4.12894324840514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69880"/>
        <c:axId val="381866744"/>
      </c:scatterChart>
      <c:valAx>
        <c:axId val="3818698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66744"/>
        <c:crosses val="autoZero"/>
        <c:crossBetween val="midCat"/>
      </c:valAx>
      <c:valAx>
        <c:axId val="38186674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9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6988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fe33b7d-56f8-468f-9434-a2f65a975f3d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zh-CN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7-HC</a:t>
            </a: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代谢过程（人肝微粒体）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28356788802413"/>
          <c:y val="0.031084447777361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569974748976"/>
          <c:y val="0.249501312335958"/>
          <c:w val="0.72340601281407"/>
          <c:h val="0.429234678998462"/>
        </c:manualLayout>
      </c:layout>
      <c:scatterChart>
        <c:scatterStyle val="lineMarker"/>
        <c:varyColors val="0"/>
        <c:ser>
          <c:idx val="0"/>
          <c:order val="0"/>
          <c:tx>
            <c:strRef>
              <c:f>"Rat"</c:f>
              <c:strCache>
                <c:ptCount val="1"/>
                <c:pt idx="0">
                  <c:v>Rat</c:v>
                </c:pt>
              </c:strCache>
            </c:strRef>
          </c:tx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321314673205714"/>
                  <c:y val="-0.161345036788434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'7-HC'!$D$5:$D$10</c:f>
              <c:numCache>
                <c:formatCode>0_ 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'7-HC'!$J$5:$J$10</c:f>
              <c:numCache>
                <c:formatCode>0.00</c:formatCode>
                <c:ptCount val="6"/>
                <c:pt idx="0">
                  <c:v>3.71621042871383</c:v>
                </c:pt>
                <c:pt idx="2">
                  <c:v>4.34261439548136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69096"/>
        <c:axId val="381868312"/>
      </c:scatterChart>
      <c:valAx>
        <c:axId val="3818690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3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68312"/>
        <c:crosses val="autoZero"/>
        <c:crossBetween val="midCat"/>
      </c:valAx>
      <c:valAx>
        <c:axId val="38186831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8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6909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47c4389f-ebb0-4992-ba4d-1bc20118733b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zh-CN" sz="900" b="0" i="0" u="none" strike="noStrike" baseline="0">
                <a:effectLst/>
              </a:rPr>
              <a:t>7-HC</a:t>
            </a: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代谢过程（猴肝微粒体）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28356788802414"/>
          <c:y val="0.031084447777361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470474376037"/>
          <c:y val="0.358790929822297"/>
          <c:w val="0.718946718652123"/>
          <c:h val="0.397488647252427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327602479796178"/>
                  <c:y val="-0.221224846894138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'7-HC'!$D$20:$D$25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'7-HC'!$J$20:$J$25</c:f>
              <c:numCache>
                <c:formatCode>0.00</c:formatCode>
                <c:ptCount val="6"/>
                <c:pt idx="0">
                  <c:v>4.03357645684309</c:v>
                </c:pt>
                <c:pt idx="2">
                  <c:v>4.40003647476613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70664"/>
        <c:axId val="381871448"/>
      </c:scatterChart>
      <c:valAx>
        <c:axId val="3818706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71448"/>
        <c:crosses val="autoZero"/>
        <c:crossBetween val="midCat"/>
      </c:valAx>
      <c:valAx>
        <c:axId val="381871448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9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187066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f7a995f-349e-4327-a2e5-6a8d844d443a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zh-CN" sz="900" b="0" i="0" u="none" strike="noStrike" baseline="0">
                <a:effectLst/>
              </a:rPr>
              <a:t>7-HC</a:t>
            </a: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代谢过程（犬肝微粒体）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41690204132912"/>
          <c:y val="0.0310847209672561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3"/>
          <c:y val="0.249501312335958"/>
          <c:w val="0.72340601281407"/>
          <c:h val="0.429234678998462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76846447297831"/>
                  <c:y val="-0.176466589217331"/>
                </c:manualLayout>
              </c:layout>
              <c:numFmt formatCode="#,##0.0000_);[Red]\(#,##0.0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'7-HC'!$D$35:$D$40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'7-HC'!$J$35:$J$40</c:f>
              <c:numCache>
                <c:formatCode>0.00</c:formatCode>
                <c:ptCount val="6"/>
                <c:pt idx="0">
                  <c:v>3.80520192398003</c:v>
                </c:pt>
                <c:pt idx="2">
                  <c:v>4.40101515586789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48792"/>
        <c:axId val="382682728"/>
      </c:scatterChart>
      <c:valAx>
        <c:axId val="3809487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2682728"/>
        <c:crossesAt val="0"/>
        <c:crossBetween val="midCat"/>
      </c:valAx>
      <c:valAx>
        <c:axId val="382682728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9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094879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5e18c4a-9508-4801-8d94-c02fba039c58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zh-CN" sz="900" b="0" i="0" u="none" strike="noStrike" baseline="0">
                <a:effectLst/>
              </a:rPr>
              <a:t>7-HC</a:t>
            </a: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代谢过程（小鼠肝微粒体）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28356788802414"/>
          <c:y val="0.031084447777361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3"/>
          <c:y val="0.249501312335958"/>
          <c:w val="0.72340601281407"/>
          <c:h val="0.429234678998462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74624225853289"/>
                  <c:y val="-0.151140656598253"/>
                </c:manualLayout>
              </c:layout>
              <c:numFmt formatCode="#,##0.0000_);[Red]\(#,##0.0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'7-HC'!$D$65:$D$70</c:f>
              <c:numCache>
                <c:formatCode>0_ 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'7-HC'!$J$65:$J$70</c:f>
              <c:numCache>
                <c:formatCode>0.00</c:formatCode>
                <c:ptCount val="6"/>
                <c:pt idx="0">
                  <c:v>2.84555730394053</c:v>
                </c:pt>
                <c:pt idx="2">
                  <c:v>4.14670258322059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683904"/>
        <c:axId val="382688608"/>
      </c:scatterChart>
      <c:valAx>
        <c:axId val="38268390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2688608"/>
        <c:crosses val="autoZero"/>
        <c:crossBetween val="midCat"/>
      </c:valAx>
      <c:valAx>
        <c:axId val="38268860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9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268390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36dc0e2d-cc1d-443f-9534-67b98f7bc890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zh-CN" sz="900" b="0" i="0" u="none" strike="noStrike" baseline="0">
                <a:effectLst/>
              </a:rPr>
              <a:t>7-HC</a:t>
            </a:r>
            <a:r>
              <a:rPr lang="zh-CN" altLang="en-US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代谢过程（大鼠肝微粒体）</a:t>
            </a: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28356788802414"/>
          <c:y val="0.031084447777361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3"/>
          <c:y val="0.249501312335958"/>
          <c:w val="0.72340601281407"/>
          <c:h val="0.429234678998462"/>
        </c:manualLayout>
      </c:layout>
      <c:scatterChart>
        <c:scatterStyle val="lineMarker"/>
        <c:varyColors val="0"/>
        <c:ser>
          <c:idx val="0"/>
          <c:order val="0"/>
          <c:spPr>
            <a:ln w="3175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261611214263192"/>
                  <c:y val="-0.186770939346867"/>
                </c:manualLayout>
              </c:layout>
              <c:numFmt formatCode="#,##0.0000_);[Red]\(#,##0.0000\)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Times New Roman" panose="02020603050405020304" pitchFamily="12"/>
                      <a:ea typeface="Times New Roman" panose="02020603050405020304" pitchFamily="12"/>
                      <a:cs typeface="Times New Roman" panose="02020603050405020304" pitchFamily="12"/>
                    </a:defRPr>
                  </a:pPr>
                </a:p>
              </c:txPr>
            </c:trendlineLbl>
          </c:trendline>
          <c:xVal>
            <c:numRef>
              <c:f>'7-HC'!$D$50:$D$55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'7-HC'!$J$50:$J$55</c:f>
              <c:numCache>
                <c:formatCode>0.00</c:formatCode>
                <c:ptCount val="6"/>
                <c:pt idx="0">
                  <c:v>3.90580986483116</c:v>
                </c:pt>
                <c:pt idx="2">
                  <c:v>4.41322314879867</c:v>
                </c:pt>
                <c:pt idx="4">
                  <c:v>4.60517018598809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685864"/>
        <c:axId val="382683120"/>
      </c:scatterChart>
      <c:valAx>
        <c:axId val="3826858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宋体" panose="02010600030101010101" pitchFamily="7" charset="-122"/>
                    <a:cs typeface="Times New Roman" panose="02020603050405020304" pitchFamily="18" charset="0"/>
                  </a:rPr>
                  <a:t>(min)</a:t>
                </a:r>
                <a:endParaRPr lang="en-US" altLang="zh-CN" sz="900" b="0" i="0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宋体" panose="02010600030101010101" pitchFamily="7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426774118024"/>
              <c:y val="0.86582809224321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2683120"/>
        <c:crosses val="autoZero"/>
        <c:crossBetween val="midCat"/>
      </c:valAx>
      <c:valAx>
        <c:axId val="38268312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  <a:endParaRPr lang="en-US" altLang="en-US" sz="900"/>
              </a:p>
            </c:rich>
          </c:tx>
          <c:layout>
            <c:manualLayout>
              <c:xMode val="edge"/>
              <c:yMode val="edge"/>
              <c:x val="0.0452660391837389"/>
              <c:y val="0.10072407615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</a:p>
        </c:txPr>
        <c:crossAx val="38268586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1d635ae-69c4-4fbe-b895-a05bea34ec06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Times New Roman" panose="02020603050405020304" pitchFamily="12"/>
          <a:ea typeface="Times New Roman" panose="02020603050405020304" pitchFamily="12"/>
          <a:cs typeface="Times New Roman" panose="02020603050405020304" pitchFamily="1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575310</xdr:colOff>
      <xdr:row>0</xdr:row>
      <xdr:rowOff>135255</xdr:rowOff>
    </xdr:from>
    <xdr:to>
      <xdr:col>3</xdr:col>
      <xdr:colOff>203835</xdr:colOff>
      <xdr:row>0</xdr:row>
      <xdr:rowOff>944880</xdr:rowOff>
    </xdr:to>
    <xdr:pic>
      <xdr:nvPicPr>
        <xdr:cNvPr id="2" name="Picture 186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3404235" y="135255"/>
          <a:ext cx="742950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717160</xdr:colOff>
      <xdr:row>0</xdr:row>
      <xdr:rowOff>3450</xdr:rowOff>
    </xdr:to>
    <xdr:pic>
      <xdr:nvPicPr>
        <xdr:cNvPr id="7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85775" y="0"/>
          <a:ext cx="612140" cy="3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0</xdr:row>
      <xdr:rowOff>0</xdr:rowOff>
    </xdr:from>
    <xdr:to>
      <xdr:col>1</xdr:col>
      <xdr:colOff>618100</xdr:colOff>
      <xdr:row>0</xdr:row>
      <xdr:rowOff>12975</xdr:rowOff>
    </xdr:to>
    <xdr:pic>
      <xdr:nvPicPr>
        <xdr:cNvPr id="8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390525" y="0"/>
          <a:ext cx="608330" cy="12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625720</xdr:colOff>
      <xdr:row>0</xdr:row>
      <xdr:rowOff>3450</xdr:rowOff>
    </xdr:to>
    <xdr:pic>
      <xdr:nvPicPr>
        <xdr:cNvPr id="9" name="Picture 3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400050" y="0"/>
          <a:ext cx="606425" cy="3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104775</xdr:colOff>
      <xdr:row>0</xdr:row>
      <xdr:rowOff>0</xdr:rowOff>
    </xdr:from>
    <xdr:to>
      <xdr:col>1</xdr:col>
      <xdr:colOff>715255</xdr:colOff>
      <xdr:row>0</xdr:row>
      <xdr:rowOff>3450</xdr:rowOff>
    </xdr:to>
    <xdr:pic>
      <xdr:nvPicPr>
        <xdr:cNvPr id="10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85775" y="0"/>
          <a:ext cx="610235" cy="3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0</xdr:row>
      <xdr:rowOff>0</xdr:rowOff>
    </xdr:from>
    <xdr:to>
      <xdr:col>1</xdr:col>
      <xdr:colOff>616195</xdr:colOff>
      <xdr:row>0</xdr:row>
      <xdr:rowOff>12975</xdr:rowOff>
    </xdr:to>
    <xdr:pic>
      <xdr:nvPicPr>
        <xdr:cNvPr id="11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390525" y="0"/>
          <a:ext cx="606425" cy="127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9525</xdr:colOff>
      <xdr:row>14</xdr:row>
      <xdr:rowOff>5444</xdr:rowOff>
    </xdr:from>
    <xdr:to>
      <xdr:col>9</xdr:col>
      <xdr:colOff>695324</xdr:colOff>
      <xdr:row>18</xdr:row>
      <xdr:rowOff>180976</xdr:rowOff>
    </xdr:to>
    <xdr:graphicFrame>
      <xdr:nvGraphicFramePr>
        <xdr:cNvPr id="2" name="Chart 11"/>
        <xdr:cNvGraphicFramePr/>
      </xdr:nvGraphicFramePr>
      <xdr:xfrm>
        <a:off x="5505450" y="2811780"/>
        <a:ext cx="3018790" cy="1395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33</xdr:row>
      <xdr:rowOff>53069</xdr:rowOff>
    </xdr:from>
    <xdr:to>
      <xdr:col>9</xdr:col>
      <xdr:colOff>676274</xdr:colOff>
      <xdr:row>37</xdr:row>
      <xdr:rowOff>171450</xdr:rowOff>
    </xdr:to>
    <xdr:graphicFrame>
      <xdr:nvGraphicFramePr>
        <xdr:cNvPr id="4" name="Chart 11"/>
        <xdr:cNvGraphicFramePr/>
      </xdr:nvGraphicFramePr>
      <xdr:xfrm>
        <a:off x="5524500" y="7091680"/>
        <a:ext cx="2980690" cy="133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52</xdr:row>
      <xdr:rowOff>53069</xdr:rowOff>
    </xdr:from>
    <xdr:to>
      <xdr:col>9</xdr:col>
      <xdr:colOff>676274</xdr:colOff>
      <xdr:row>56</xdr:row>
      <xdr:rowOff>171450</xdr:rowOff>
    </xdr:to>
    <xdr:graphicFrame>
      <xdr:nvGraphicFramePr>
        <xdr:cNvPr id="5" name="Chart 11"/>
        <xdr:cNvGraphicFramePr/>
      </xdr:nvGraphicFramePr>
      <xdr:xfrm>
        <a:off x="5524500" y="11317605"/>
        <a:ext cx="2980690" cy="1228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91</xdr:row>
      <xdr:rowOff>5444</xdr:rowOff>
    </xdr:from>
    <xdr:to>
      <xdr:col>9</xdr:col>
      <xdr:colOff>695324</xdr:colOff>
      <xdr:row>95</xdr:row>
      <xdr:rowOff>180976</xdr:rowOff>
    </xdr:to>
    <xdr:graphicFrame>
      <xdr:nvGraphicFramePr>
        <xdr:cNvPr id="8" name="Chart 11"/>
        <xdr:cNvGraphicFramePr/>
      </xdr:nvGraphicFramePr>
      <xdr:xfrm>
        <a:off x="5505450" y="20044410"/>
        <a:ext cx="3018790" cy="1617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9525</xdr:colOff>
      <xdr:row>71</xdr:row>
      <xdr:rowOff>5444</xdr:rowOff>
    </xdr:from>
    <xdr:to>
      <xdr:col>9</xdr:col>
      <xdr:colOff>695324</xdr:colOff>
      <xdr:row>75</xdr:row>
      <xdr:rowOff>180976</xdr:rowOff>
    </xdr:to>
    <xdr:graphicFrame>
      <xdr:nvGraphicFramePr>
        <xdr:cNvPr id="6" name="Chart 11"/>
        <xdr:cNvGraphicFramePr/>
      </xdr:nvGraphicFramePr>
      <xdr:xfrm>
        <a:off x="5505450" y="15393035"/>
        <a:ext cx="3018790" cy="1617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19050</xdr:colOff>
      <xdr:row>10</xdr:row>
      <xdr:rowOff>19050</xdr:rowOff>
    </xdr:from>
    <xdr:to>
      <xdr:col>9</xdr:col>
      <xdr:colOff>638176</xdr:colOff>
      <xdr:row>14</xdr:row>
      <xdr:rowOff>142875</xdr:rowOff>
    </xdr:to>
    <xdr:graphicFrame>
      <xdr:nvGraphicFramePr>
        <xdr:cNvPr id="14" name="Chart 11"/>
        <xdr:cNvGraphicFramePr/>
      </xdr:nvGraphicFramePr>
      <xdr:xfrm>
        <a:off x="5200650" y="2044700"/>
        <a:ext cx="2828925" cy="116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25</xdr:row>
      <xdr:rowOff>19050</xdr:rowOff>
    </xdr:from>
    <xdr:to>
      <xdr:col>9</xdr:col>
      <xdr:colOff>619126</xdr:colOff>
      <xdr:row>29</xdr:row>
      <xdr:rowOff>171450</xdr:rowOff>
    </xdr:to>
    <xdr:graphicFrame>
      <xdr:nvGraphicFramePr>
        <xdr:cNvPr id="5" name="Chart 11"/>
        <xdr:cNvGraphicFramePr/>
      </xdr:nvGraphicFramePr>
      <xdr:xfrm>
        <a:off x="5200650" y="5288280"/>
        <a:ext cx="2809875" cy="1190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40</xdr:row>
      <xdr:rowOff>19049</xdr:rowOff>
    </xdr:from>
    <xdr:to>
      <xdr:col>9</xdr:col>
      <xdr:colOff>638176</xdr:colOff>
      <xdr:row>44</xdr:row>
      <xdr:rowOff>161924</xdr:rowOff>
    </xdr:to>
    <xdr:graphicFrame>
      <xdr:nvGraphicFramePr>
        <xdr:cNvPr id="4" name="Chart 11"/>
        <xdr:cNvGraphicFramePr/>
      </xdr:nvGraphicFramePr>
      <xdr:xfrm>
        <a:off x="5200650" y="8545195"/>
        <a:ext cx="2828925" cy="1181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70</xdr:row>
      <xdr:rowOff>19050</xdr:rowOff>
    </xdr:from>
    <xdr:to>
      <xdr:col>9</xdr:col>
      <xdr:colOff>619126</xdr:colOff>
      <xdr:row>74</xdr:row>
      <xdr:rowOff>133350</xdr:rowOff>
    </xdr:to>
    <xdr:graphicFrame>
      <xdr:nvGraphicFramePr>
        <xdr:cNvPr id="7" name="Chart 11"/>
        <xdr:cNvGraphicFramePr/>
      </xdr:nvGraphicFramePr>
      <xdr:xfrm>
        <a:off x="5200650" y="15060930"/>
        <a:ext cx="2809875" cy="115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19050</xdr:colOff>
      <xdr:row>55</xdr:row>
      <xdr:rowOff>19050</xdr:rowOff>
    </xdr:from>
    <xdr:to>
      <xdr:col>9</xdr:col>
      <xdr:colOff>638176</xdr:colOff>
      <xdr:row>59</xdr:row>
      <xdr:rowOff>171450</xdr:rowOff>
    </xdr:to>
    <xdr:graphicFrame>
      <xdr:nvGraphicFramePr>
        <xdr:cNvPr id="6" name="Chart 11"/>
        <xdr:cNvGraphicFramePr/>
      </xdr:nvGraphicFramePr>
      <xdr:xfrm>
        <a:off x="5200650" y="11803380"/>
        <a:ext cx="2828925" cy="1190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19049</xdr:colOff>
      <xdr:row>10</xdr:row>
      <xdr:rowOff>19050</xdr:rowOff>
    </xdr:from>
    <xdr:to>
      <xdr:col>9</xdr:col>
      <xdr:colOff>628650</xdr:colOff>
      <xdr:row>14</xdr:row>
      <xdr:rowOff>133350</xdr:rowOff>
    </xdr:to>
    <xdr:graphicFrame>
      <xdr:nvGraphicFramePr>
        <xdr:cNvPr id="2" name="Chart 11"/>
        <xdr:cNvGraphicFramePr/>
      </xdr:nvGraphicFramePr>
      <xdr:xfrm>
        <a:off x="5200015" y="2044700"/>
        <a:ext cx="2820035" cy="115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25</xdr:row>
      <xdr:rowOff>19050</xdr:rowOff>
    </xdr:from>
    <xdr:to>
      <xdr:col>9</xdr:col>
      <xdr:colOff>657226</xdr:colOff>
      <xdr:row>29</xdr:row>
      <xdr:rowOff>190500</xdr:rowOff>
    </xdr:to>
    <xdr:graphicFrame>
      <xdr:nvGraphicFramePr>
        <xdr:cNvPr id="3" name="Chart 11"/>
        <xdr:cNvGraphicFramePr/>
      </xdr:nvGraphicFramePr>
      <xdr:xfrm>
        <a:off x="5200650" y="5288280"/>
        <a:ext cx="2847975" cy="120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40</xdr:row>
      <xdr:rowOff>19050</xdr:rowOff>
    </xdr:from>
    <xdr:to>
      <xdr:col>9</xdr:col>
      <xdr:colOff>638176</xdr:colOff>
      <xdr:row>44</xdr:row>
      <xdr:rowOff>114300</xdr:rowOff>
    </xdr:to>
    <xdr:graphicFrame>
      <xdr:nvGraphicFramePr>
        <xdr:cNvPr id="4" name="Chart 11"/>
        <xdr:cNvGraphicFramePr/>
      </xdr:nvGraphicFramePr>
      <xdr:xfrm>
        <a:off x="5200650" y="8545830"/>
        <a:ext cx="2828925" cy="1133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19049</xdr:colOff>
      <xdr:row>70</xdr:row>
      <xdr:rowOff>19050</xdr:rowOff>
    </xdr:from>
    <xdr:to>
      <xdr:col>9</xdr:col>
      <xdr:colOff>628650</xdr:colOff>
      <xdr:row>74</xdr:row>
      <xdr:rowOff>142875</xdr:rowOff>
    </xdr:to>
    <xdr:graphicFrame>
      <xdr:nvGraphicFramePr>
        <xdr:cNvPr id="5" name="Chart 11"/>
        <xdr:cNvGraphicFramePr/>
      </xdr:nvGraphicFramePr>
      <xdr:xfrm>
        <a:off x="5200015" y="15060930"/>
        <a:ext cx="2820035" cy="116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19049</xdr:colOff>
      <xdr:row>55</xdr:row>
      <xdr:rowOff>19050</xdr:rowOff>
    </xdr:from>
    <xdr:to>
      <xdr:col>9</xdr:col>
      <xdr:colOff>628650</xdr:colOff>
      <xdr:row>59</xdr:row>
      <xdr:rowOff>142875</xdr:rowOff>
    </xdr:to>
    <xdr:graphicFrame>
      <xdr:nvGraphicFramePr>
        <xdr:cNvPr id="6" name="Chart 11"/>
        <xdr:cNvGraphicFramePr/>
      </xdr:nvGraphicFramePr>
      <xdr:xfrm>
        <a:off x="5200015" y="11803380"/>
        <a:ext cx="2820035" cy="116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14"/>
  <sheetViews>
    <sheetView showGridLines="0" workbookViewId="0">
      <selection activeCell="H7" sqref="H7"/>
    </sheetView>
  </sheetViews>
  <sheetFormatPr defaultColWidth="0" defaultRowHeight="15.5"/>
  <cols>
    <col min="1" max="1" width="22" style="315" customWidth="1"/>
    <col min="2" max="2" width="15.125" style="315" customWidth="1"/>
    <col min="3" max="3" width="14.625" style="315" customWidth="1"/>
    <col min="4" max="7" width="9" style="315" customWidth="1"/>
    <col min="8" max="8" width="11.25" style="315" customWidth="1"/>
    <col min="9" max="16383" width="9" style="315" hidden="1"/>
    <col min="16384" max="16384" width="12.25" style="315" customWidth="1"/>
  </cols>
  <sheetData>
    <row r="1" s="310" customFormat="1" ht="118.15" customHeight="1" spans="1:8">
      <c r="A1" s="316" t="s">
        <v>0</v>
      </c>
      <c r="B1" s="316"/>
      <c r="C1" s="316"/>
      <c r="D1" s="316"/>
      <c r="E1" s="316"/>
      <c r="F1" s="316"/>
      <c r="G1" s="316"/>
      <c r="H1" s="316"/>
    </row>
    <row r="2" s="311" customFormat="1" ht="38.1" customHeight="1" spans="1:8">
      <c r="A2" s="317" t="s">
        <v>1</v>
      </c>
      <c r="B2" s="317"/>
      <c r="C2" s="317"/>
      <c r="D2" s="317"/>
      <c r="E2" s="317"/>
      <c r="F2" s="317"/>
      <c r="G2" s="317"/>
      <c r="H2" s="317"/>
    </row>
    <row r="3" s="312" customFormat="1" ht="51.75" customHeight="1" spans="1:7">
      <c r="A3" s="318" t="s">
        <v>2</v>
      </c>
      <c r="B3" s="319" t="s">
        <v>3</v>
      </c>
      <c r="C3" s="319"/>
      <c r="D3" s="319"/>
      <c r="E3" s="319"/>
      <c r="F3" s="319"/>
      <c r="G3" s="319"/>
    </row>
    <row r="4" s="311" customFormat="1" ht="30" customHeight="1" spans="1:5">
      <c r="A4" s="318" t="s">
        <v>4</v>
      </c>
      <c r="B4" s="320" t="s">
        <v>5</v>
      </c>
      <c r="C4" s="320"/>
      <c r="D4" s="320"/>
      <c r="E4" s="320"/>
    </row>
    <row r="5" s="311" customFormat="1" ht="30" customHeight="1" spans="1:5">
      <c r="A5" s="318" t="s">
        <v>6</v>
      </c>
      <c r="B5" s="320" t="s">
        <v>7</v>
      </c>
      <c r="C5" s="320"/>
      <c r="D5" s="320"/>
      <c r="E5" s="320"/>
    </row>
    <row r="6" s="311" customFormat="1" ht="30" customHeight="1" spans="1:5">
      <c r="A6" s="318" t="s">
        <v>8</v>
      </c>
      <c r="B6" s="321" t="s">
        <v>9</v>
      </c>
      <c r="C6" s="320"/>
      <c r="D6" s="320"/>
      <c r="E6" s="320"/>
    </row>
    <row r="7" s="311" customFormat="1" ht="30" customHeight="1" spans="1:5">
      <c r="A7" s="318" t="s">
        <v>10</v>
      </c>
      <c r="B7" s="320" t="str">
        <f>Summary!B10</f>
        <v>HW356060</v>
      </c>
      <c r="C7" s="320"/>
      <c r="D7" s="320"/>
      <c r="E7" s="320"/>
    </row>
    <row r="8" s="313" customFormat="1" ht="30" customHeight="1" spans="1:5">
      <c r="A8" s="322" t="s">
        <v>11</v>
      </c>
      <c r="B8" s="323" t="s">
        <v>12</v>
      </c>
      <c r="C8" s="324"/>
      <c r="D8" s="324"/>
      <c r="E8" s="324"/>
    </row>
    <row r="9" s="313" customFormat="1" ht="30" customHeight="1" spans="1:5">
      <c r="A9" s="322" t="s">
        <v>13</v>
      </c>
      <c r="B9" s="323" t="s">
        <v>14</v>
      </c>
      <c r="D9" s="324"/>
      <c r="E9" s="324"/>
    </row>
    <row r="10" s="311" customFormat="1" ht="30" customHeight="1" spans="1:5">
      <c r="A10" s="318" t="s">
        <v>15</v>
      </c>
      <c r="B10" s="321" t="s">
        <v>16</v>
      </c>
      <c r="C10" s="320"/>
      <c r="D10" s="320"/>
      <c r="E10" s="320"/>
    </row>
    <row r="11" s="311" customFormat="1" ht="30" customHeight="1" spans="1:5">
      <c r="A11" s="318" t="s">
        <v>17</v>
      </c>
      <c r="B11" s="325" t="s">
        <v>18</v>
      </c>
      <c r="C11" s="320"/>
      <c r="D11" s="320"/>
      <c r="E11" s="320"/>
    </row>
    <row r="12" s="311" customFormat="1" ht="30" customHeight="1" spans="1:5">
      <c r="A12" s="318" t="s">
        <v>19</v>
      </c>
      <c r="B12" s="325" t="s">
        <v>20</v>
      </c>
      <c r="C12" s="320"/>
      <c r="D12" s="320"/>
      <c r="E12" s="320"/>
    </row>
    <row r="13" s="311" customFormat="1" ht="38.1" customHeight="1" spans="1:8">
      <c r="A13" s="326" t="s">
        <v>21</v>
      </c>
      <c r="B13" s="314" t="s">
        <v>22</v>
      </c>
      <c r="C13" s="314"/>
      <c r="D13" s="314"/>
      <c r="E13" s="314"/>
      <c r="F13" s="314"/>
      <c r="G13" s="314"/>
      <c r="H13" s="314"/>
    </row>
    <row r="14" s="314" customFormat="1" ht="54" customHeight="1" spans="1:2">
      <c r="A14" s="326" t="s">
        <v>23</v>
      </c>
      <c r="B14" s="314" t="s">
        <v>24</v>
      </c>
    </row>
  </sheetData>
  <mergeCells count="5">
    <mergeCell ref="A1:H1"/>
    <mergeCell ref="A2:H2"/>
    <mergeCell ref="B3:G3"/>
    <mergeCell ref="B13:E13"/>
    <mergeCell ref="B14:XFD14"/>
  </mergeCells>
  <pageMargins left="0.75" right="0.75" top="1" bottom="1" header="0.5" footer="0.5"/>
  <pageSetup paperSize="9" scale="82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V62"/>
  <sheetViews>
    <sheetView tabSelected="1" workbookViewId="0">
      <selection activeCell="G18" sqref="G18"/>
    </sheetView>
  </sheetViews>
  <sheetFormatPr defaultColWidth="9" defaultRowHeight="15.5"/>
  <cols>
    <col min="1" max="1" width="5" style="213" customWidth="1"/>
    <col min="2" max="2" width="29.25" style="213" customWidth="1"/>
    <col min="3" max="3" width="20.75" style="213" customWidth="1"/>
    <col min="4" max="4" width="16" style="214" customWidth="1"/>
    <col min="5" max="5" width="24.625" style="213" customWidth="1"/>
    <col min="6" max="6" width="17.75" style="215" customWidth="1"/>
    <col min="7" max="7" width="17.75" style="213" customWidth="1"/>
    <col min="8" max="8" width="15.25" style="213" customWidth="1"/>
    <col min="9" max="9" width="11.125" style="213" customWidth="1"/>
    <col min="10" max="10" width="12.25" style="216" customWidth="1"/>
    <col min="11" max="11" width="10.75" style="213" customWidth="1"/>
    <col min="12" max="16384" width="9" style="213"/>
  </cols>
  <sheetData>
    <row r="1" s="156" customFormat="1" spans="1:256">
      <c r="A1" s="213"/>
      <c r="B1" s="213"/>
      <c r="C1" s="213"/>
      <c r="D1" s="213"/>
      <c r="E1" s="213"/>
      <c r="F1" s="213"/>
      <c r="G1" s="214"/>
      <c r="H1" s="213"/>
      <c r="I1" s="215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3"/>
      <c r="DP1" s="213"/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3"/>
      <c r="ES1" s="213"/>
      <c r="ET1" s="213"/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3"/>
      <c r="FX1" s="213"/>
      <c r="FY1" s="213"/>
      <c r="FZ1" s="213"/>
      <c r="GA1" s="213"/>
      <c r="GB1" s="213"/>
      <c r="GC1" s="213"/>
      <c r="GD1" s="213"/>
      <c r="GE1" s="213"/>
      <c r="GF1" s="213"/>
      <c r="GG1" s="213"/>
      <c r="GH1" s="213"/>
      <c r="GI1" s="213"/>
      <c r="GJ1" s="213"/>
      <c r="GK1" s="213"/>
      <c r="GL1" s="213"/>
      <c r="GM1" s="213"/>
      <c r="GN1" s="213"/>
      <c r="GO1" s="213"/>
      <c r="GP1" s="213"/>
      <c r="GQ1" s="213"/>
      <c r="GR1" s="213"/>
      <c r="GS1" s="213"/>
      <c r="GT1" s="213"/>
      <c r="GU1" s="213"/>
      <c r="GV1" s="213"/>
      <c r="GW1" s="213"/>
      <c r="GX1" s="213"/>
      <c r="GY1" s="213"/>
      <c r="GZ1" s="213"/>
      <c r="HA1" s="213"/>
      <c r="HB1" s="213"/>
      <c r="HC1" s="213"/>
      <c r="HD1" s="213"/>
      <c r="HE1" s="213"/>
      <c r="HF1" s="213"/>
      <c r="HG1" s="213"/>
      <c r="HH1" s="213"/>
      <c r="HI1" s="213"/>
      <c r="HJ1" s="213"/>
      <c r="HK1" s="213"/>
      <c r="HL1" s="213"/>
      <c r="HM1" s="213"/>
      <c r="HN1" s="213"/>
      <c r="HO1" s="213"/>
      <c r="HP1" s="213"/>
      <c r="HQ1" s="213"/>
      <c r="HR1" s="213"/>
      <c r="HS1" s="213"/>
      <c r="HT1" s="213"/>
      <c r="HU1" s="213"/>
      <c r="HV1" s="213"/>
      <c r="HW1" s="213"/>
      <c r="HX1" s="213"/>
      <c r="HY1" s="213"/>
      <c r="HZ1" s="213"/>
      <c r="IA1" s="213"/>
      <c r="IB1" s="213"/>
      <c r="IC1" s="213"/>
      <c r="ID1" s="213"/>
      <c r="IE1" s="213"/>
      <c r="IF1" s="213"/>
      <c r="IG1" s="213"/>
      <c r="IH1" s="213"/>
      <c r="II1" s="213"/>
      <c r="IJ1" s="213"/>
      <c r="IK1" s="213"/>
      <c r="IL1" s="213"/>
      <c r="IM1" s="213"/>
      <c r="IN1" s="213"/>
      <c r="IO1" s="213"/>
      <c r="IP1" s="213"/>
      <c r="IQ1" s="213"/>
      <c r="IR1" s="213"/>
      <c r="IS1" s="213"/>
      <c r="IT1" s="213"/>
      <c r="IU1" s="213"/>
      <c r="IV1" s="213"/>
    </row>
    <row r="2" s="156" customFormat="1" ht="16.25" spans="1:256">
      <c r="A2" s="213"/>
      <c r="B2" s="217" t="s">
        <v>25</v>
      </c>
      <c r="C2" s="217"/>
      <c r="D2" s="217"/>
      <c r="E2" s="217"/>
      <c r="I2" s="33"/>
      <c r="J2" s="33"/>
      <c r="K2" s="33"/>
      <c r="L2" s="33"/>
      <c r="M2" s="33"/>
      <c r="N2" s="33"/>
      <c r="O2" s="3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3"/>
      <c r="BH2" s="213"/>
      <c r="BI2" s="213"/>
      <c r="BJ2" s="213"/>
      <c r="BK2" s="213"/>
      <c r="BL2" s="213"/>
      <c r="BM2" s="213"/>
      <c r="BN2" s="213"/>
      <c r="BO2" s="213"/>
      <c r="BP2" s="213"/>
      <c r="BQ2" s="213"/>
      <c r="BR2" s="213"/>
      <c r="BS2" s="213"/>
      <c r="BT2" s="213"/>
      <c r="BU2" s="213"/>
      <c r="BV2" s="213"/>
      <c r="BW2" s="213"/>
      <c r="BX2" s="213"/>
      <c r="BY2" s="213"/>
      <c r="BZ2" s="213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  <c r="CO2" s="213"/>
      <c r="CP2" s="213"/>
      <c r="CQ2" s="213"/>
      <c r="CR2" s="213"/>
      <c r="CS2" s="213"/>
      <c r="CT2" s="213"/>
      <c r="CU2" s="213"/>
      <c r="CV2" s="213"/>
      <c r="CW2" s="213"/>
      <c r="CX2" s="213"/>
      <c r="CY2" s="213"/>
      <c r="CZ2" s="213"/>
      <c r="DA2" s="213"/>
      <c r="DB2" s="213"/>
      <c r="DC2" s="213"/>
      <c r="DD2" s="213"/>
      <c r="DE2" s="213"/>
      <c r="DF2" s="213"/>
      <c r="DG2" s="213"/>
      <c r="DH2" s="213"/>
      <c r="DI2" s="213"/>
      <c r="DJ2" s="213"/>
      <c r="DK2" s="213"/>
      <c r="DL2" s="213"/>
      <c r="DM2" s="213"/>
      <c r="DN2" s="213"/>
      <c r="DO2" s="213"/>
      <c r="DP2" s="213"/>
      <c r="DQ2" s="213"/>
      <c r="DR2" s="213"/>
      <c r="DS2" s="213"/>
      <c r="DT2" s="213"/>
      <c r="DU2" s="213"/>
      <c r="DV2" s="213"/>
      <c r="DW2" s="213"/>
      <c r="DX2" s="213"/>
      <c r="DY2" s="213"/>
      <c r="DZ2" s="213"/>
      <c r="EA2" s="213"/>
      <c r="EB2" s="213"/>
      <c r="EC2" s="213"/>
      <c r="ED2" s="213"/>
      <c r="EE2" s="213"/>
      <c r="EF2" s="213"/>
      <c r="EG2" s="213"/>
      <c r="EH2" s="213"/>
      <c r="EI2" s="213"/>
      <c r="EJ2" s="213"/>
      <c r="EK2" s="213"/>
      <c r="EL2" s="213"/>
      <c r="EM2" s="213"/>
      <c r="EN2" s="213"/>
      <c r="EO2" s="213"/>
      <c r="EP2" s="213"/>
      <c r="EQ2" s="213"/>
      <c r="ER2" s="213"/>
      <c r="ES2" s="213"/>
      <c r="ET2" s="213"/>
      <c r="EU2" s="213"/>
      <c r="EV2" s="213"/>
      <c r="EW2" s="213"/>
      <c r="EX2" s="213"/>
      <c r="EY2" s="213"/>
      <c r="EZ2" s="213"/>
      <c r="FA2" s="213"/>
      <c r="FB2" s="213"/>
      <c r="FC2" s="213"/>
      <c r="FD2" s="213"/>
      <c r="FE2" s="213"/>
      <c r="FF2" s="213"/>
      <c r="FG2" s="213"/>
      <c r="FH2" s="213"/>
      <c r="FI2" s="213"/>
      <c r="FJ2" s="213"/>
      <c r="FK2" s="213"/>
      <c r="FL2" s="213"/>
      <c r="FM2" s="213"/>
      <c r="FN2" s="213"/>
      <c r="FO2" s="213"/>
      <c r="FP2" s="213"/>
      <c r="FQ2" s="213"/>
      <c r="FR2" s="213"/>
      <c r="FS2" s="213"/>
      <c r="FT2" s="213"/>
      <c r="FU2" s="213"/>
      <c r="FV2" s="213"/>
      <c r="FW2" s="213"/>
      <c r="FX2" s="213"/>
      <c r="FY2" s="213"/>
      <c r="FZ2" s="213"/>
      <c r="GA2" s="213"/>
      <c r="GB2" s="213"/>
      <c r="GC2" s="213"/>
      <c r="GD2" s="213"/>
      <c r="GE2" s="213"/>
      <c r="GF2" s="213"/>
      <c r="GG2" s="213"/>
      <c r="GH2" s="213"/>
      <c r="GI2" s="213"/>
      <c r="GJ2" s="213"/>
      <c r="GK2" s="213"/>
      <c r="GL2" s="213"/>
      <c r="GM2" s="213"/>
      <c r="GN2" s="213"/>
      <c r="GO2" s="213"/>
      <c r="GP2" s="213"/>
      <c r="GQ2" s="213"/>
      <c r="GR2" s="213"/>
      <c r="GS2" s="213"/>
      <c r="GT2" s="213"/>
      <c r="GU2" s="213"/>
      <c r="GV2" s="213"/>
      <c r="GW2" s="213"/>
      <c r="GX2" s="213"/>
      <c r="GY2" s="213"/>
      <c r="GZ2" s="213"/>
      <c r="HA2" s="213"/>
      <c r="HB2" s="213"/>
      <c r="HC2" s="213"/>
      <c r="HD2" s="213"/>
      <c r="HE2" s="213"/>
      <c r="HF2" s="213"/>
      <c r="HG2" s="213"/>
      <c r="HH2" s="213"/>
      <c r="HI2" s="213"/>
      <c r="HJ2" s="213"/>
      <c r="HK2" s="213"/>
      <c r="HL2" s="213"/>
      <c r="HM2" s="213"/>
      <c r="HN2" s="213"/>
      <c r="HO2" s="213"/>
      <c r="HP2" s="213"/>
      <c r="HQ2" s="213"/>
      <c r="HR2" s="213"/>
      <c r="HS2" s="213"/>
      <c r="HT2" s="213"/>
      <c r="HU2" s="213"/>
      <c r="HV2" s="213"/>
      <c r="HW2" s="213"/>
      <c r="HX2" s="213"/>
      <c r="HY2" s="213"/>
      <c r="HZ2" s="213"/>
      <c r="IA2" s="213"/>
      <c r="IB2" s="213"/>
      <c r="IC2" s="213"/>
      <c r="ID2" s="213"/>
      <c r="IE2" s="213"/>
      <c r="IF2" s="213"/>
      <c r="IG2" s="213"/>
      <c r="IH2" s="213"/>
      <c r="II2" s="213"/>
      <c r="IJ2" s="213"/>
      <c r="IK2" s="213"/>
      <c r="IL2" s="213"/>
      <c r="IM2" s="213"/>
      <c r="IN2" s="213"/>
      <c r="IO2" s="213"/>
      <c r="IP2" s="213"/>
      <c r="IQ2" s="213"/>
      <c r="IR2" s="213"/>
      <c r="IS2" s="213"/>
      <c r="IT2" s="213"/>
      <c r="IU2" s="213"/>
      <c r="IV2" s="213"/>
    </row>
    <row r="3" s="156" customFormat="1" spans="1:256">
      <c r="A3" s="213"/>
      <c r="B3" s="218" t="s">
        <v>26</v>
      </c>
      <c r="C3" s="218" t="s">
        <v>27</v>
      </c>
      <c r="D3" s="218" t="s">
        <v>28</v>
      </c>
      <c r="E3" s="218" t="s">
        <v>29</v>
      </c>
      <c r="G3"/>
      <c r="I3" s="33"/>
      <c r="J3" s="33"/>
      <c r="K3" s="33"/>
      <c r="L3" s="33"/>
      <c r="M3" s="33"/>
      <c r="N3" s="33"/>
      <c r="O3" s="3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3"/>
      <c r="FC3" s="213"/>
      <c r="FD3" s="213"/>
      <c r="FE3" s="213"/>
      <c r="FF3" s="213"/>
      <c r="FG3" s="213"/>
      <c r="FH3" s="213"/>
      <c r="FI3" s="213"/>
      <c r="FJ3" s="213"/>
      <c r="FK3" s="213"/>
      <c r="FL3" s="213"/>
      <c r="FM3" s="213"/>
      <c r="FN3" s="213"/>
      <c r="FO3" s="213"/>
      <c r="FP3" s="213"/>
      <c r="FQ3" s="213"/>
      <c r="FR3" s="213"/>
      <c r="FS3" s="213"/>
      <c r="FT3" s="213"/>
      <c r="FU3" s="213"/>
      <c r="FV3" s="213"/>
      <c r="FW3" s="213"/>
      <c r="FX3" s="213"/>
      <c r="FY3" s="213"/>
      <c r="FZ3" s="213"/>
      <c r="GA3" s="213"/>
      <c r="GB3" s="213"/>
      <c r="GC3" s="213"/>
      <c r="GD3" s="213"/>
      <c r="GE3" s="213"/>
      <c r="GF3" s="213"/>
      <c r="GG3" s="213"/>
      <c r="GH3" s="213"/>
      <c r="GI3" s="213"/>
      <c r="GJ3" s="213"/>
      <c r="GK3" s="213"/>
      <c r="GL3" s="213"/>
      <c r="GM3" s="213"/>
      <c r="GN3" s="213"/>
      <c r="GO3" s="213"/>
      <c r="GP3" s="213"/>
      <c r="GQ3" s="213"/>
      <c r="GR3" s="213"/>
      <c r="GS3" s="213"/>
      <c r="GT3" s="213"/>
      <c r="GU3" s="213"/>
      <c r="GV3" s="213"/>
      <c r="GW3" s="213"/>
      <c r="GX3" s="213"/>
      <c r="GY3" s="213"/>
      <c r="GZ3" s="213"/>
      <c r="HA3" s="213"/>
      <c r="HB3" s="213"/>
      <c r="HC3" s="213"/>
      <c r="HD3" s="213"/>
      <c r="HE3" s="213"/>
      <c r="HF3" s="213"/>
      <c r="HG3" s="213"/>
      <c r="HH3" s="213"/>
      <c r="HI3" s="213"/>
      <c r="HJ3" s="213"/>
      <c r="HK3" s="213"/>
      <c r="HL3" s="213"/>
      <c r="HM3" s="213"/>
      <c r="HN3" s="213"/>
      <c r="HO3" s="213"/>
      <c r="HP3" s="213"/>
      <c r="HQ3" s="213"/>
      <c r="HR3" s="213"/>
      <c r="HS3" s="213"/>
      <c r="HT3" s="213"/>
      <c r="HU3" s="213"/>
      <c r="HV3" s="213"/>
      <c r="HW3" s="213"/>
      <c r="HX3" s="213"/>
      <c r="HY3" s="213"/>
      <c r="HZ3" s="213"/>
      <c r="IA3" s="213"/>
      <c r="IB3" s="213"/>
      <c r="IC3" s="213"/>
      <c r="ID3" s="213"/>
      <c r="IE3" s="213"/>
      <c r="IF3" s="213"/>
      <c r="IG3" s="213"/>
      <c r="IH3" s="213"/>
      <c r="II3" s="213"/>
      <c r="IJ3" s="213"/>
      <c r="IK3" s="213"/>
      <c r="IL3" s="213"/>
      <c r="IM3" s="213"/>
      <c r="IN3" s="213"/>
      <c r="IO3" s="213"/>
      <c r="IP3" s="213"/>
      <c r="IQ3" s="213"/>
      <c r="IR3" s="213"/>
      <c r="IS3" s="213"/>
      <c r="IT3" s="213"/>
      <c r="IU3" s="213"/>
      <c r="IV3" s="213"/>
    </row>
    <row r="4" s="156" customFormat="1" spans="1:256">
      <c r="A4" s="213"/>
      <c r="B4" s="219" t="s">
        <v>30</v>
      </c>
      <c r="C4" s="219" t="s">
        <v>31</v>
      </c>
      <c r="D4" s="219" t="s">
        <v>32</v>
      </c>
      <c r="E4" s="220" t="s">
        <v>33</v>
      </c>
      <c r="F4" s="33"/>
      <c r="G4" s="221"/>
      <c r="I4" s="33"/>
      <c r="J4" s="33"/>
      <c r="K4" s="33"/>
      <c r="L4" s="33"/>
      <c r="M4" s="33"/>
      <c r="N4" s="33"/>
      <c r="O4" s="3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3"/>
      <c r="CP4" s="213"/>
      <c r="CQ4" s="213"/>
      <c r="CR4" s="213"/>
      <c r="CS4" s="213"/>
      <c r="CT4" s="213"/>
      <c r="CU4" s="213"/>
      <c r="CV4" s="213"/>
      <c r="CW4" s="213"/>
      <c r="CX4" s="213"/>
      <c r="CY4" s="213"/>
      <c r="CZ4" s="213"/>
      <c r="DA4" s="213"/>
      <c r="DB4" s="213"/>
      <c r="DC4" s="213"/>
      <c r="DD4" s="213"/>
      <c r="DE4" s="213"/>
      <c r="DF4" s="213"/>
      <c r="DG4" s="213"/>
      <c r="DH4" s="213"/>
      <c r="DI4" s="213"/>
      <c r="DJ4" s="213"/>
      <c r="DK4" s="213"/>
      <c r="DL4" s="213"/>
      <c r="DM4" s="213"/>
      <c r="DN4" s="213"/>
      <c r="DO4" s="213"/>
      <c r="DP4" s="213"/>
      <c r="DQ4" s="213"/>
      <c r="DR4" s="213"/>
      <c r="DS4" s="213"/>
      <c r="DT4" s="213"/>
      <c r="DU4" s="213"/>
      <c r="DV4" s="213"/>
      <c r="DW4" s="213"/>
      <c r="DX4" s="213"/>
      <c r="DY4" s="213"/>
      <c r="DZ4" s="213"/>
      <c r="EA4" s="213"/>
      <c r="EB4" s="213"/>
      <c r="EC4" s="213"/>
      <c r="ED4" s="213"/>
      <c r="EE4" s="213"/>
      <c r="EF4" s="213"/>
      <c r="EG4" s="213"/>
      <c r="EH4" s="213"/>
      <c r="EI4" s="213"/>
      <c r="EJ4" s="213"/>
      <c r="EK4" s="213"/>
      <c r="EL4" s="213"/>
      <c r="EM4" s="213"/>
      <c r="EN4" s="213"/>
      <c r="EO4" s="213"/>
      <c r="EP4" s="213"/>
      <c r="EQ4" s="213"/>
      <c r="ER4" s="213"/>
      <c r="ES4" s="213"/>
      <c r="ET4" s="213"/>
      <c r="EU4" s="213"/>
      <c r="EV4" s="213"/>
      <c r="EW4" s="213"/>
      <c r="EX4" s="213"/>
      <c r="EY4" s="213"/>
      <c r="EZ4" s="213"/>
      <c r="FA4" s="213"/>
      <c r="FB4" s="213"/>
      <c r="FC4" s="213"/>
      <c r="FD4" s="213"/>
      <c r="FE4" s="213"/>
      <c r="FF4" s="213"/>
      <c r="FG4" s="213"/>
      <c r="FH4" s="213"/>
      <c r="FI4" s="213"/>
      <c r="FJ4" s="213"/>
      <c r="FK4" s="213"/>
      <c r="FL4" s="213"/>
      <c r="FM4" s="213"/>
      <c r="FN4" s="213"/>
      <c r="FO4" s="213"/>
      <c r="FP4" s="213"/>
      <c r="FQ4" s="213"/>
      <c r="FR4" s="213"/>
      <c r="FS4" s="213"/>
      <c r="FT4" s="213"/>
      <c r="FU4" s="213"/>
      <c r="FV4" s="213"/>
      <c r="FW4" s="213"/>
      <c r="FX4" s="213"/>
      <c r="FY4" s="213"/>
      <c r="FZ4" s="213"/>
      <c r="GA4" s="213"/>
      <c r="GB4" s="213"/>
      <c r="GC4" s="213"/>
      <c r="GD4" s="213"/>
      <c r="GE4" s="213"/>
      <c r="GF4" s="213"/>
      <c r="GG4" s="213"/>
      <c r="GH4" s="213"/>
      <c r="GI4" s="213"/>
      <c r="GJ4" s="213"/>
      <c r="GK4" s="213"/>
      <c r="GL4" s="213"/>
      <c r="GM4" s="213"/>
      <c r="GN4" s="213"/>
      <c r="GO4" s="213"/>
      <c r="GP4" s="213"/>
      <c r="GQ4" s="213"/>
      <c r="GR4" s="213"/>
      <c r="GS4" s="213"/>
      <c r="GT4" s="213"/>
      <c r="GU4" s="213"/>
      <c r="GV4" s="213"/>
      <c r="GW4" s="213"/>
      <c r="GX4" s="213"/>
      <c r="GY4" s="213"/>
      <c r="GZ4" s="213"/>
      <c r="HA4" s="213"/>
      <c r="HB4" s="213"/>
      <c r="HC4" s="213"/>
      <c r="HD4" s="213"/>
      <c r="HE4" s="213"/>
      <c r="HF4" s="213"/>
      <c r="HG4" s="213"/>
      <c r="HH4" s="213"/>
      <c r="HI4" s="213"/>
      <c r="HJ4" s="213"/>
      <c r="HK4" s="213"/>
      <c r="HL4" s="213"/>
      <c r="HM4" s="213"/>
      <c r="HN4" s="213"/>
      <c r="HO4" s="213"/>
      <c r="HP4" s="213"/>
      <c r="HQ4" s="213"/>
      <c r="HR4" s="213"/>
      <c r="HS4" s="213"/>
      <c r="HT4" s="213"/>
      <c r="HU4" s="213"/>
      <c r="HV4" s="213"/>
      <c r="HW4" s="213"/>
      <c r="HX4" s="213"/>
      <c r="HY4" s="213"/>
      <c r="HZ4" s="213"/>
      <c r="IA4" s="213"/>
      <c r="IB4" s="213"/>
      <c r="IC4" s="213"/>
      <c r="ID4" s="213"/>
      <c r="IE4" s="213"/>
      <c r="IF4" s="213"/>
      <c r="IG4" s="213"/>
      <c r="IH4" s="213"/>
      <c r="II4" s="213"/>
      <c r="IJ4" s="213"/>
      <c r="IK4" s="213"/>
      <c r="IL4" s="213"/>
      <c r="IM4" s="213"/>
      <c r="IN4" s="213"/>
      <c r="IO4" s="213"/>
      <c r="IP4" s="213"/>
      <c r="IQ4" s="213"/>
      <c r="IR4" s="213"/>
      <c r="IS4" s="213"/>
      <c r="IT4" s="213"/>
      <c r="IU4" s="213"/>
      <c r="IV4" s="213"/>
    </row>
    <row r="5" s="156" customFormat="1" ht="15.6" customHeight="1" spans="1:256">
      <c r="A5" s="213"/>
      <c r="B5" s="219" t="s">
        <v>34</v>
      </c>
      <c r="C5" s="22" t="s">
        <v>35</v>
      </c>
      <c r="D5" s="220" t="s">
        <v>36</v>
      </c>
      <c r="E5" s="220" t="s">
        <v>36</v>
      </c>
      <c r="F5" s="33"/>
      <c r="G5" s="221"/>
      <c r="I5" s="33"/>
      <c r="J5" s="33"/>
      <c r="K5" s="33"/>
      <c r="L5" s="33"/>
      <c r="M5" s="33"/>
      <c r="N5" s="33"/>
      <c r="O5" s="3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213"/>
      <c r="FO5" s="213"/>
      <c r="FP5" s="213"/>
      <c r="FQ5" s="213"/>
      <c r="FR5" s="213"/>
      <c r="FS5" s="213"/>
      <c r="FT5" s="213"/>
      <c r="FU5" s="213"/>
      <c r="FV5" s="213"/>
      <c r="FW5" s="213"/>
      <c r="FX5" s="213"/>
      <c r="FY5" s="213"/>
      <c r="FZ5" s="213"/>
      <c r="GA5" s="213"/>
      <c r="GB5" s="213"/>
      <c r="GC5" s="213"/>
      <c r="GD5" s="213"/>
      <c r="GE5" s="213"/>
      <c r="GF5" s="213"/>
      <c r="GG5" s="213"/>
      <c r="GH5" s="213"/>
      <c r="GI5" s="213"/>
      <c r="GJ5" s="213"/>
      <c r="GK5" s="213"/>
      <c r="GL5" s="213"/>
      <c r="GM5" s="213"/>
      <c r="GN5" s="213"/>
      <c r="GO5" s="213"/>
      <c r="GP5" s="213"/>
      <c r="GQ5" s="213"/>
      <c r="GR5" s="213"/>
      <c r="GS5" s="213"/>
      <c r="GT5" s="213"/>
      <c r="GU5" s="213"/>
      <c r="GV5" s="213"/>
      <c r="GW5" s="213"/>
      <c r="GX5" s="213"/>
      <c r="GY5" s="213"/>
      <c r="GZ5" s="213"/>
      <c r="HA5" s="213"/>
      <c r="HB5" s="213"/>
      <c r="HC5" s="213"/>
      <c r="HD5" s="213"/>
      <c r="HE5" s="213"/>
      <c r="HF5" s="213"/>
      <c r="HG5" s="213"/>
      <c r="HH5" s="213"/>
      <c r="HI5" s="213"/>
      <c r="HJ5" s="213"/>
      <c r="HK5" s="213"/>
      <c r="HL5" s="213"/>
      <c r="HM5" s="213"/>
      <c r="HN5" s="213"/>
      <c r="HO5" s="213"/>
      <c r="HP5" s="213"/>
      <c r="HQ5" s="213"/>
      <c r="HR5" s="213"/>
      <c r="HS5" s="213"/>
      <c r="HT5" s="213"/>
      <c r="HU5" s="213"/>
      <c r="HV5" s="213"/>
      <c r="HW5" s="213"/>
      <c r="HX5" s="213"/>
      <c r="HY5" s="213"/>
      <c r="HZ5" s="213"/>
      <c r="IA5" s="213"/>
      <c r="IB5" s="213"/>
      <c r="IC5" s="213"/>
      <c r="ID5" s="213"/>
      <c r="IE5" s="213"/>
      <c r="IF5" s="213"/>
      <c r="IG5" s="213"/>
      <c r="IH5" s="213"/>
      <c r="II5" s="213"/>
      <c r="IJ5" s="213"/>
      <c r="IK5" s="213"/>
      <c r="IL5" s="213"/>
      <c r="IM5" s="213"/>
      <c r="IN5" s="213"/>
      <c r="IO5" s="213"/>
      <c r="IP5" s="213"/>
      <c r="IQ5" s="213"/>
      <c r="IR5" s="213"/>
      <c r="IS5" s="213"/>
      <c r="IT5" s="213"/>
      <c r="IU5" s="213"/>
      <c r="IV5" s="213"/>
    </row>
    <row r="6" s="156" customFormat="1" ht="15.75" customHeight="1" spans="1:256">
      <c r="A6" s="213"/>
      <c r="B6" s="219" t="s">
        <v>37</v>
      </c>
      <c r="C6" s="22" t="s">
        <v>38</v>
      </c>
      <c r="D6" s="22">
        <v>452601</v>
      </c>
      <c r="E6" s="220" t="s">
        <v>39</v>
      </c>
      <c r="F6" s="33"/>
      <c r="G6" s="221"/>
      <c r="I6" s="33"/>
      <c r="J6" s="33"/>
      <c r="K6" s="33"/>
      <c r="L6" s="33"/>
      <c r="M6" s="33"/>
      <c r="N6" s="33"/>
      <c r="O6" s="3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  <c r="CU6" s="213"/>
      <c r="CV6" s="213"/>
      <c r="CW6" s="213"/>
      <c r="CX6" s="213"/>
      <c r="CY6" s="213"/>
      <c r="CZ6" s="213"/>
      <c r="DA6" s="213"/>
      <c r="DB6" s="213"/>
      <c r="DC6" s="213"/>
      <c r="DD6" s="213"/>
      <c r="DE6" s="213"/>
      <c r="DF6" s="213"/>
      <c r="DG6" s="213"/>
      <c r="DH6" s="213"/>
      <c r="DI6" s="213"/>
      <c r="DJ6" s="213"/>
      <c r="DK6" s="213"/>
      <c r="DL6" s="213"/>
      <c r="DM6" s="213"/>
      <c r="DN6" s="213"/>
      <c r="DO6" s="213"/>
      <c r="DP6" s="213"/>
      <c r="DQ6" s="213"/>
      <c r="DR6" s="213"/>
      <c r="DS6" s="213"/>
      <c r="DT6" s="213"/>
      <c r="DU6" s="213"/>
      <c r="DV6" s="213"/>
      <c r="DW6" s="213"/>
      <c r="DX6" s="213"/>
      <c r="DY6" s="213"/>
      <c r="DZ6" s="213"/>
      <c r="EA6" s="213"/>
      <c r="EB6" s="213"/>
      <c r="EC6" s="213"/>
      <c r="ED6" s="213"/>
      <c r="EE6" s="213"/>
      <c r="EF6" s="213"/>
      <c r="EG6" s="213"/>
      <c r="EH6" s="213"/>
      <c r="EI6" s="213"/>
      <c r="EJ6" s="213"/>
      <c r="EK6" s="213"/>
      <c r="EL6" s="213"/>
      <c r="EM6" s="213"/>
      <c r="EN6" s="213"/>
      <c r="EO6" s="213"/>
      <c r="EP6" s="213"/>
      <c r="EQ6" s="213"/>
      <c r="ER6" s="213"/>
      <c r="ES6" s="213"/>
      <c r="ET6" s="213"/>
      <c r="EU6" s="213"/>
      <c r="EV6" s="213"/>
      <c r="EW6" s="213"/>
      <c r="EX6" s="213"/>
      <c r="EY6" s="213"/>
      <c r="EZ6" s="213"/>
      <c r="FA6" s="213"/>
      <c r="FB6" s="213"/>
      <c r="FC6" s="213"/>
      <c r="FD6" s="213"/>
      <c r="FE6" s="213"/>
      <c r="FF6" s="213"/>
      <c r="FG6" s="213"/>
      <c r="FH6" s="213"/>
      <c r="FI6" s="213"/>
      <c r="FJ6" s="213"/>
      <c r="FK6" s="213"/>
      <c r="FL6" s="213"/>
      <c r="FM6" s="213"/>
      <c r="FN6" s="213"/>
      <c r="FO6" s="213"/>
      <c r="FP6" s="213"/>
      <c r="FQ6" s="213"/>
      <c r="FR6" s="213"/>
      <c r="FS6" s="213"/>
      <c r="FT6" s="213"/>
      <c r="FU6" s="213"/>
      <c r="FV6" s="213"/>
      <c r="FW6" s="213"/>
      <c r="FX6" s="213"/>
      <c r="FY6" s="213"/>
      <c r="FZ6" s="213"/>
      <c r="GA6" s="213"/>
      <c r="GB6" s="213"/>
      <c r="GC6" s="213"/>
      <c r="GD6" s="213"/>
      <c r="GE6" s="213"/>
      <c r="GF6" s="213"/>
      <c r="GG6" s="213"/>
      <c r="GH6" s="213"/>
      <c r="GI6" s="213"/>
      <c r="GJ6" s="213"/>
      <c r="GK6" s="213"/>
      <c r="GL6" s="213"/>
      <c r="GM6" s="213"/>
      <c r="GN6" s="213"/>
      <c r="GO6" s="213"/>
      <c r="GP6" s="213"/>
      <c r="GQ6" s="213"/>
      <c r="GR6" s="213"/>
      <c r="GS6" s="213"/>
      <c r="GT6" s="213"/>
      <c r="GU6" s="213"/>
      <c r="GV6" s="213"/>
      <c r="GW6" s="213"/>
      <c r="GX6" s="213"/>
      <c r="GY6" s="213"/>
      <c r="GZ6" s="213"/>
      <c r="HA6" s="213"/>
      <c r="HB6" s="213"/>
      <c r="HC6" s="213"/>
      <c r="HD6" s="213"/>
      <c r="HE6" s="213"/>
      <c r="HF6" s="213"/>
      <c r="HG6" s="213"/>
      <c r="HH6" s="213"/>
      <c r="HI6" s="213"/>
      <c r="HJ6" s="213"/>
      <c r="HK6" s="213"/>
      <c r="HL6" s="213"/>
      <c r="HM6" s="213"/>
      <c r="HN6" s="213"/>
      <c r="HO6" s="213"/>
      <c r="HP6" s="213"/>
      <c r="HQ6" s="213"/>
      <c r="HR6" s="213"/>
      <c r="HS6" s="213"/>
      <c r="HT6" s="213"/>
      <c r="HU6" s="213"/>
      <c r="HV6" s="213"/>
      <c r="HW6" s="213"/>
      <c r="HX6" s="213"/>
      <c r="HY6" s="213"/>
      <c r="HZ6" s="213"/>
      <c r="IA6" s="213"/>
      <c r="IB6" s="213"/>
      <c r="IC6" s="213"/>
      <c r="ID6" s="213"/>
      <c r="IE6" s="213"/>
      <c r="IF6" s="213"/>
      <c r="IG6" s="213"/>
      <c r="IH6" s="213"/>
      <c r="II6" s="213"/>
      <c r="IJ6" s="213"/>
      <c r="IK6" s="213"/>
      <c r="IL6" s="213"/>
      <c r="IM6" s="213"/>
      <c r="IN6" s="213"/>
      <c r="IO6" s="213"/>
      <c r="IP6" s="213"/>
      <c r="IQ6" s="213"/>
      <c r="IR6" s="213"/>
      <c r="IS6" s="213"/>
      <c r="IT6" s="213"/>
      <c r="IU6" s="213"/>
      <c r="IV6" s="213"/>
    </row>
    <row r="7" s="156" customFormat="1" ht="15.75" customHeight="1" spans="1:256">
      <c r="A7" s="213"/>
      <c r="B7" s="222" t="s">
        <v>40</v>
      </c>
      <c r="C7" s="22" t="s">
        <v>38</v>
      </c>
      <c r="D7" s="22">
        <v>452501</v>
      </c>
      <c r="E7" s="220" t="s">
        <v>41</v>
      </c>
      <c r="F7" s="33"/>
      <c r="G7" s="221"/>
      <c r="H7" s="223"/>
      <c r="I7" s="221"/>
      <c r="J7" s="221"/>
      <c r="K7" s="33"/>
      <c r="L7" s="33"/>
      <c r="M7" s="33"/>
      <c r="N7" s="33"/>
      <c r="O7" s="3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3"/>
      <c r="BJ7" s="213"/>
      <c r="BK7" s="213"/>
      <c r="BL7" s="213"/>
      <c r="BM7" s="213"/>
      <c r="BN7" s="213"/>
      <c r="BO7" s="213"/>
      <c r="BP7" s="213"/>
      <c r="BQ7" s="213"/>
      <c r="BR7" s="213"/>
      <c r="BS7" s="213"/>
      <c r="BT7" s="213"/>
      <c r="BU7" s="213"/>
      <c r="BV7" s="213"/>
      <c r="BW7" s="213"/>
      <c r="BX7" s="213"/>
      <c r="BY7" s="213"/>
      <c r="BZ7" s="213"/>
      <c r="CA7" s="213"/>
      <c r="CB7" s="213"/>
      <c r="CC7" s="213"/>
      <c r="CD7" s="213"/>
      <c r="CE7" s="213"/>
      <c r="CF7" s="213"/>
      <c r="CG7" s="213"/>
      <c r="CH7" s="213"/>
      <c r="CI7" s="213"/>
      <c r="CJ7" s="213"/>
      <c r="CK7" s="213"/>
      <c r="CL7" s="213"/>
      <c r="CM7" s="213"/>
      <c r="CN7" s="213"/>
      <c r="CO7" s="213"/>
      <c r="CP7" s="213"/>
      <c r="CQ7" s="213"/>
      <c r="CR7" s="213"/>
      <c r="CS7" s="213"/>
      <c r="CT7" s="213"/>
      <c r="CU7" s="213"/>
      <c r="CV7" s="213"/>
      <c r="CW7" s="213"/>
      <c r="CX7" s="213"/>
      <c r="CY7" s="213"/>
      <c r="CZ7" s="213"/>
      <c r="DA7" s="213"/>
      <c r="DB7" s="213"/>
      <c r="DC7" s="213"/>
      <c r="DD7" s="213"/>
      <c r="DE7" s="213"/>
      <c r="DF7" s="213"/>
      <c r="DG7" s="213"/>
      <c r="DH7" s="213"/>
      <c r="DI7" s="213"/>
      <c r="DJ7" s="213"/>
      <c r="DK7" s="213"/>
      <c r="DL7" s="213"/>
      <c r="DM7" s="213"/>
      <c r="DN7" s="213"/>
      <c r="DO7" s="213"/>
      <c r="DP7" s="213"/>
      <c r="DQ7" s="213"/>
      <c r="DR7" s="213"/>
      <c r="DS7" s="213"/>
      <c r="DT7" s="213"/>
      <c r="DU7" s="213"/>
      <c r="DV7" s="213"/>
      <c r="DW7" s="213"/>
      <c r="DX7" s="213"/>
      <c r="DY7" s="213"/>
      <c r="DZ7" s="213"/>
      <c r="EA7" s="213"/>
      <c r="EB7" s="213"/>
      <c r="EC7" s="213"/>
      <c r="ED7" s="213"/>
      <c r="EE7" s="213"/>
      <c r="EF7" s="213"/>
      <c r="EG7" s="213"/>
      <c r="EH7" s="213"/>
      <c r="EI7" s="213"/>
      <c r="EJ7" s="213"/>
      <c r="EK7" s="213"/>
      <c r="EL7" s="213"/>
      <c r="EM7" s="213"/>
      <c r="EN7" s="213"/>
      <c r="EO7" s="213"/>
      <c r="EP7" s="213"/>
      <c r="EQ7" s="213"/>
      <c r="ER7" s="213"/>
      <c r="ES7" s="213"/>
      <c r="ET7" s="213"/>
      <c r="EU7" s="213"/>
      <c r="EV7" s="213"/>
      <c r="EW7" s="213"/>
      <c r="EX7" s="213"/>
      <c r="EY7" s="213"/>
      <c r="EZ7" s="213"/>
      <c r="FA7" s="213"/>
      <c r="FB7" s="213"/>
      <c r="FC7" s="213"/>
      <c r="FD7" s="213"/>
      <c r="FE7" s="213"/>
      <c r="FF7" s="213"/>
      <c r="FG7" s="213"/>
      <c r="FH7" s="213"/>
      <c r="FI7" s="213"/>
      <c r="FJ7" s="213"/>
      <c r="FK7" s="213"/>
      <c r="FL7" s="213"/>
      <c r="FM7" s="213"/>
      <c r="FN7" s="213"/>
      <c r="FO7" s="213"/>
      <c r="FP7" s="213"/>
      <c r="FQ7" s="213"/>
      <c r="FR7" s="213"/>
      <c r="FS7" s="213"/>
      <c r="FT7" s="213"/>
      <c r="FU7" s="213"/>
      <c r="FV7" s="213"/>
      <c r="FW7" s="213"/>
      <c r="FX7" s="213"/>
      <c r="FY7" s="213"/>
      <c r="FZ7" s="213"/>
      <c r="GA7" s="213"/>
      <c r="GB7" s="213"/>
      <c r="GC7" s="213"/>
      <c r="GD7" s="213"/>
      <c r="GE7" s="213"/>
      <c r="GF7" s="213"/>
      <c r="GG7" s="213"/>
      <c r="GH7" s="213"/>
      <c r="GI7" s="213"/>
      <c r="GJ7" s="213"/>
      <c r="GK7" s="213"/>
      <c r="GL7" s="213"/>
      <c r="GM7" s="213"/>
      <c r="GN7" s="213"/>
      <c r="GO7" s="213"/>
      <c r="GP7" s="213"/>
      <c r="GQ7" s="213"/>
      <c r="GR7" s="213"/>
      <c r="GS7" s="213"/>
      <c r="GT7" s="213"/>
      <c r="GU7" s="213"/>
      <c r="GV7" s="213"/>
      <c r="GW7" s="213"/>
      <c r="GX7" s="213"/>
      <c r="GY7" s="213"/>
      <c r="GZ7" s="213"/>
      <c r="HA7" s="213"/>
      <c r="HB7" s="213"/>
      <c r="HC7" s="213"/>
      <c r="HD7" s="213"/>
      <c r="HE7" s="213"/>
      <c r="HF7" s="213"/>
      <c r="HG7" s="213"/>
      <c r="HH7" s="213"/>
      <c r="HI7" s="213"/>
      <c r="HJ7" s="213"/>
      <c r="HK7" s="213"/>
      <c r="HL7" s="213"/>
      <c r="HM7" s="213"/>
      <c r="HN7" s="213"/>
      <c r="HO7" s="213"/>
      <c r="HP7" s="213"/>
      <c r="HQ7" s="213"/>
      <c r="HR7" s="213"/>
      <c r="HS7" s="213"/>
      <c r="HT7" s="213"/>
      <c r="HU7" s="213"/>
      <c r="HV7" s="213"/>
      <c r="HW7" s="213"/>
      <c r="HX7" s="213"/>
      <c r="HY7" s="213"/>
      <c r="HZ7" s="213"/>
      <c r="IA7" s="213"/>
      <c r="IB7" s="213"/>
      <c r="IC7" s="213"/>
      <c r="ID7" s="213"/>
      <c r="IE7" s="213"/>
      <c r="IF7" s="213"/>
      <c r="IG7" s="213"/>
      <c r="IH7" s="213"/>
      <c r="II7" s="213"/>
      <c r="IJ7" s="213"/>
      <c r="IK7" s="213"/>
      <c r="IL7" s="213"/>
      <c r="IM7" s="213"/>
      <c r="IN7" s="213"/>
      <c r="IO7" s="213"/>
      <c r="IP7" s="213"/>
      <c r="IQ7" s="213"/>
      <c r="IR7" s="213"/>
      <c r="IS7" s="213"/>
      <c r="IT7" s="213"/>
      <c r="IU7" s="213"/>
      <c r="IV7" s="213"/>
    </row>
    <row r="8" s="156" customFormat="1" spans="1:256">
      <c r="A8" s="213"/>
      <c r="B8" s="222" t="s">
        <v>42</v>
      </c>
      <c r="C8" s="22" t="s">
        <v>38</v>
      </c>
      <c r="D8" s="22">
        <v>452701</v>
      </c>
      <c r="E8" s="22">
        <v>1237001</v>
      </c>
      <c r="F8" s="33"/>
      <c r="G8" s="224"/>
      <c r="H8" s="221"/>
      <c r="I8" s="300"/>
      <c r="J8" s="221"/>
      <c r="K8" s="33"/>
      <c r="L8" s="33"/>
      <c r="M8" s="33"/>
      <c r="N8" s="33"/>
      <c r="O8" s="3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13"/>
      <c r="BI8" s="213"/>
      <c r="BJ8" s="213"/>
      <c r="BK8" s="213"/>
      <c r="BL8" s="213"/>
      <c r="BM8" s="213"/>
      <c r="BN8" s="213"/>
      <c r="BO8" s="213"/>
      <c r="BP8" s="213"/>
      <c r="BQ8" s="213"/>
      <c r="BR8" s="213"/>
      <c r="BS8" s="213"/>
      <c r="BT8" s="213"/>
      <c r="BU8" s="213"/>
      <c r="BV8" s="213"/>
      <c r="BW8" s="213"/>
      <c r="BX8" s="213"/>
      <c r="BY8" s="213"/>
      <c r="BZ8" s="213"/>
      <c r="CA8" s="213"/>
      <c r="CB8" s="213"/>
      <c r="CC8" s="213"/>
      <c r="CD8" s="213"/>
      <c r="CE8" s="213"/>
      <c r="CF8" s="213"/>
      <c r="CG8" s="213"/>
      <c r="CH8" s="213"/>
      <c r="CI8" s="213"/>
      <c r="CJ8" s="213"/>
      <c r="CK8" s="213"/>
      <c r="CL8" s="213"/>
      <c r="CM8" s="213"/>
      <c r="CN8" s="213"/>
      <c r="CO8" s="213"/>
      <c r="CP8" s="213"/>
      <c r="CQ8" s="213"/>
      <c r="CR8" s="213"/>
      <c r="CS8" s="213"/>
      <c r="CT8" s="213"/>
      <c r="CU8" s="213"/>
      <c r="CV8" s="213"/>
      <c r="CW8" s="213"/>
      <c r="CX8" s="213"/>
      <c r="CY8" s="213"/>
      <c r="CZ8" s="213"/>
      <c r="DA8" s="213"/>
      <c r="DB8" s="213"/>
      <c r="DC8" s="213"/>
      <c r="DD8" s="213"/>
      <c r="DE8" s="213"/>
      <c r="DF8" s="213"/>
      <c r="DG8" s="213"/>
      <c r="DH8" s="213"/>
      <c r="DI8" s="213"/>
      <c r="DJ8" s="213"/>
      <c r="DK8" s="213"/>
      <c r="DL8" s="213"/>
      <c r="DM8" s="213"/>
      <c r="DN8" s="213"/>
      <c r="DO8" s="213"/>
      <c r="DP8" s="213"/>
      <c r="DQ8" s="213"/>
      <c r="DR8" s="213"/>
      <c r="DS8" s="213"/>
      <c r="DT8" s="213"/>
      <c r="DU8" s="213"/>
      <c r="DV8" s="213"/>
      <c r="DW8" s="213"/>
      <c r="DX8" s="213"/>
      <c r="DY8" s="213"/>
      <c r="DZ8" s="213"/>
      <c r="EA8" s="213"/>
      <c r="EB8" s="213"/>
      <c r="EC8" s="213"/>
      <c r="ED8" s="213"/>
      <c r="EE8" s="213"/>
      <c r="EF8" s="213"/>
      <c r="EG8" s="213"/>
      <c r="EH8" s="213"/>
      <c r="EI8" s="213"/>
      <c r="EJ8" s="213"/>
      <c r="EK8" s="213"/>
      <c r="EL8" s="213"/>
      <c r="EM8" s="213"/>
      <c r="EN8" s="213"/>
      <c r="EO8" s="213"/>
      <c r="EP8" s="213"/>
      <c r="EQ8" s="213"/>
      <c r="ER8" s="213"/>
      <c r="ES8" s="213"/>
      <c r="ET8" s="213"/>
      <c r="EU8" s="213"/>
      <c r="EV8" s="213"/>
      <c r="EW8" s="213"/>
      <c r="EX8" s="213"/>
      <c r="EY8" s="213"/>
      <c r="EZ8" s="213"/>
      <c r="FA8" s="213"/>
      <c r="FB8" s="213"/>
      <c r="FC8" s="213"/>
      <c r="FD8" s="213"/>
      <c r="FE8" s="213"/>
      <c r="FF8" s="213"/>
      <c r="FG8" s="213"/>
      <c r="FH8" s="213"/>
      <c r="FI8" s="213"/>
      <c r="FJ8" s="213"/>
      <c r="FK8" s="213"/>
      <c r="FL8" s="213"/>
      <c r="FM8" s="213"/>
      <c r="FN8" s="213"/>
      <c r="FO8" s="213"/>
      <c r="FP8" s="213"/>
      <c r="FQ8" s="213"/>
      <c r="FR8" s="213"/>
      <c r="FS8" s="213"/>
      <c r="FT8" s="213"/>
      <c r="FU8" s="213"/>
      <c r="FV8" s="213"/>
      <c r="FW8" s="213"/>
      <c r="FX8" s="213"/>
      <c r="FY8" s="213"/>
      <c r="FZ8" s="213"/>
      <c r="GA8" s="213"/>
      <c r="GB8" s="213"/>
      <c r="GC8" s="213"/>
      <c r="GD8" s="213"/>
      <c r="GE8" s="213"/>
      <c r="GF8" s="213"/>
      <c r="GG8" s="213"/>
      <c r="GH8" s="213"/>
      <c r="GI8" s="213"/>
      <c r="GJ8" s="213"/>
      <c r="GK8" s="213"/>
      <c r="GL8" s="213"/>
      <c r="GM8" s="213"/>
      <c r="GN8" s="213"/>
      <c r="GO8" s="213"/>
      <c r="GP8" s="213"/>
      <c r="GQ8" s="213"/>
      <c r="GR8" s="213"/>
      <c r="GS8" s="213"/>
      <c r="GT8" s="213"/>
      <c r="GU8" s="213"/>
      <c r="GV8" s="213"/>
      <c r="GW8" s="213"/>
      <c r="GX8" s="213"/>
      <c r="GY8" s="213"/>
      <c r="GZ8" s="213"/>
      <c r="HA8" s="213"/>
      <c r="HB8" s="213"/>
      <c r="HC8" s="213"/>
      <c r="HD8" s="213"/>
      <c r="HE8" s="213"/>
      <c r="HF8" s="213"/>
      <c r="HG8" s="213"/>
      <c r="HH8" s="213"/>
      <c r="HI8" s="213"/>
      <c r="HJ8" s="213"/>
      <c r="HK8" s="213"/>
      <c r="HL8" s="213"/>
      <c r="HM8" s="213"/>
      <c r="HN8" s="213"/>
      <c r="HO8" s="213"/>
      <c r="HP8" s="213"/>
      <c r="HQ8" s="213"/>
      <c r="HR8" s="213"/>
      <c r="HS8" s="213"/>
      <c r="HT8" s="213"/>
      <c r="HU8" s="213"/>
      <c r="HV8" s="213"/>
      <c r="HW8" s="213"/>
      <c r="HX8" s="213"/>
      <c r="HY8" s="213"/>
      <c r="HZ8" s="213"/>
      <c r="IA8" s="213"/>
      <c r="IB8" s="213"/>
      <c r="IC8" s="213"/>
      <c r="ID8" s="213"/>
      <c r="IE8" s="213"/>
      <c r="IF8" s="213"/>
      <c r="IG8" s="213"/>
      <c r="IH8" s="213"/>
      <c r="II8" s="213"/>
      <c r="IJ8" s="213"/>
      <c r="IK8" s="213"/>
      <c r="IL8" s="213"/>
      <c r="IM8" s="213"/>
      <c r="IN8" s="213"/>
      <c r="IO8" s="213"/>
      <c r="IP8" s="213"/>
      <c r="IQ8" s="213"/>
      <c r="IR8" s="213"/>
      <c r="IS8" s="213"/>
      <c r="IT8" s="213"/>
      <c r="IU8" s="213"/>
      <c r="IV8" s="213"/>
    </row>
    <row r="9" s="156" customFormat="1" spans="1:256">
      <c r="A9" s="213"/>
      <c r="B9" s="219" t="s">
        <v>43</v>
      </c>
      <c r="C9" s="22" t="s">
        <v>44</v>
      </c>
      <c r="D9" s="22" t="s">
        <v>45</v>
      </c>
      <c r="E9" s="220" t="s">
        <v>46</v>
      </c>
      <c r="F9" s="33"/>
      <c r="G9" s="224"/>
      <c r="H9" s="224"/>
      <c r="I9" s="300"/>
      <c r="J9" s="221"/>
      <c r="K9" s="33"/>
      <c r="L9" s="33"/>
      <c r="M9" s="33"/>
      <c r="N9" s="33"/>
      <c r="O9" s="3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  <c r="BM9" s="213"/>
      <c r="BN9" s="213"/>
      <c r="BO9" s="213"/>
      <c r="BP9" s="213"/>
      <c r="BQ9" s="213"/>
      <c r="BR9" s="213"/>
      <c r="BS9" s="213"/>
      <c r="BT9" s="213"/>
      <c r="BU9" s="213"/>
      <c r="BV9" s="213"/>
      <c r="BW9" s="213"/>
      <c r="BX9" s="213"/>
      <c r="BY9" s="213"/>
      <c r="BZ9" s="213"/>
      <c r="CA9" s="213"/>
      <c r="CB9" s="213"/>
      <c r="CC9" s="213"/>
      <c r="CD9" s="213"/>
      <c r="CE9" s="213"/>
      <c r="CF9" s="213"/>
      <c r="CG9" s="213"/>
      <c r="CH9" s="213"/>
      <c r="CI9" s="213"/>
      <c r="CJ9" s="213"/>
      <c r="CK9" s="213"/>
      <c r="CL9" s="213"/>
      <c r="CM9" s="213"/>
      <c r="CN9" s="213"/>
      <c r="CO9" s="213"/>
      <c r="CP9" s="213"/>
      <c r="CQ9" s="213"/>
      <c r="CR9" s="213"/>
      <c r="CS9" s="213"/>
      <c r="CT9" s="213"/>
      <c r="CU9" s="213"/>
      <c r="CV9" s="213"/>
      <c r="CW9" s="213"/>
      <c r="CX9" s="213"/>
      <c r="CY9" s="213"/>
      <c r="CZ9" s="213"/>
      <c r="DA9" s="213"/>
      <c r="DB9" s="213"/>
      <c r="DC9" s="213"/>
      <c r="DD9" s="213"/>
      <c r="DE9" s="213"/>
      <c r="DF9" s="213"/>
      <c r="DG9" s="213"/>
      <c r="DH9" s="213"/>
      <c r="DI9" s="213"/>
      <c r="DJ9" s="213"/>
      <c r="DK9" s="213"/>
      <c r="DL9" s="213"/>
      <c r="DM9" s="213"/>
      <c r="DN9" s="213"/>
      <c r="DO9" s="213"/>
      <c r="DP9" s="213"/>
      <c r="DQ9" s="213"/>
      <c r="DR9" s="213"/>
      <c r="DS9" s="213"/>
      <c r="DT9" s="213"/>
      <c r="DU9" s="213"/>
      <c r="DV9" s="213"/>
      <c r="DW9" s="213"/>
      <c r="DX9" s="213"/>
      <c r="DY9" s="213"/>
      <c r="DZ9" s="213"/>
      <c r="EA9" s="213"/>
      <c r="EB9" s="213"/>
      <c r="EC9" s="213"/>
      <c r="ED9" s="213"/>
      <c r="EE9" s="213"/>
      <c r="EF9" s="213"/>
      <c r="EG9" s="213"/>
      <c r="EH9" s="213"/>
      <c r="EI9" s="213"/>
      <c r="EJ9" s="213"/>
      <c r="EK9" s="213"/>
      <c r="EL9" s="213"/>
      <c r="EM9" s="213"/>
      <c r="EN9" s="213"/>
      <c r="EO9" s="213"/>
      <c r="EP9" s="213"/>
      <c r="EQ9" s="213"/>
      <c r="ER9" s="213"/>
      <c r="ES9" s="213"/>
      <c r="ET9" s="213"/>
      <c r="EU9" s="213"/>
      <c r="EV9" s="213"/>
      <c r="EW9" s="213"/>
      <c r="EX9" s="213"/>
      <c r="EY9" s="213"/>
      <c r="EZ9" s="213"/>
      <c r="FA9" s="213"/>
      <c r="FB9" s="213"/>
      <c r="FC9" s="213"/>
      <c r="FD9" s="213"/>
      <c r="FE9" s="213"/>
      <c r="FF9" s="213"/>
      <c r="FG9" s="213"/>
      <c r="FH9" s="213"/>
      <c r="FI9" s="213"/>
      <c r="FJ9" s="213"/>
      <c r="FK9" s="213"/>
      <c r="FL9" s="213"/>
      <c r="FM9" s="213"/>
      <c r="FN9" s="213"/>
      <c r="FO9" s="213"/>
      <c r="FP9" s="213"/>
      <c r="FQ9" s="213"/>
      <c r="FR9" s="213"/>
      <c r="FS9" s="213"/>
      <c r="FT9" s="213"/>
      <c r="FU9" s="213"/>
      <c r="FV9" s="213"/>
      <c r="FW9" s="213"/>
      <c r="FX9" s="213"/>
      <c r="FY9" s="213"/>
      <c r="FZ9" s="213"/>
      <c r="GA9" s="213"/>
      <c r="GB9" s="213"/>
      <c r="GC9" s="213"/>
      <c r="GD9" s="213"/>
      <c r="GE9" s="213"/>
      <c r="GF9" s="213"/>
      <c r="GG9" s="213"/>
      <c r="GH9" s="213"/>
      <c r="GI9" s="213"/>
      <c r="GJ9" s="213"/>
      <c r="GK9" s="213"/>
      <c r="GL9" s="213"/>
      <c r="GM9" s="213"/>
      <c r="GN9" s="213"/>
      <c r="GO9" s="213"/>
      <c r="GP9" s="213"/>
      <c r="GQ9" s="213"/>
      <c r="GR9" s="213"/>
      <c r="GS9" s="213"/>
      <c r="GT9" s="213"/>
      <c r="GU9" s="213"/>
      <c r="GV9" s="213"/>
      <c r="GW9" s="213"/>
      <c r="GX9" s="213"/>
      <c r="GY9" s="213"/>
      <c r="GZ9" s="213"/>
      <c r="HA9" s="213"/>
      <c r="HB9" s="213"/>
      <c r="HC9" s="213"/>
      <c r="HD9" s="213"/>
      <c r="HE9" s="213"/>
      <c r="HF9" s="213"/>
      <c r="HG9" s="213"/>
      <c r="HH9" s="213"/>
      <c r="HI9" s="213"/>
      <c r="HJ9" s="213"/>
      <c r="HK9" s="213"/>
      <c r="HL9" s="213"/>
      <c r="HM9" s="213"/>
      <c r="HN9" s="213"/>
      <c r="HO9" s="213"/>
      <c r="HP9" s="213"/>
      <c r="HQ9" s="213"/>
      <c r="HR9" s="213"/>
      <c r="HS9" s="213"/>
      <c r="HT9" s="213"/>
      <c r="HU9" s="213"/>
      <c r="HV9" s="213"/>
      <c r="HW9" s="213"/>
      <c r="HX9" s="213"/>
      <c r="HY9" s="213"/>
      <c r="HZ9" s="213"/>
      <c r="IA9" s="213"/>
      <c r="IB9" s="213"/>
      <c r="IC9" s="213"/>
      <c r="ID9" s="213"/>
      <c r="IE9" s="213"/>
      <c r="IF9" s="213"/>
      <c r="IG9" s="213"/>
      <c r="IH9" s="213"/>
      <c r="II9" s="213"/>
      <c r="IJ9" s="213"/>
      <c r="IK9" s="213"/>
      <c r="IL9" s="213"/>
      <c r="IM9" s="213"/>
      <c r="IN9" s="213"/>
      <c r="IO9" s="213"/>
      <c r="IP9" s="213"/>
      <c r="IQ9" s="213"/>
      <c r="IR9" s="213"/>
      <c r="IS9" s="213"/>
      <c r="IT9" s="213"/>
      <c r="IU9" s="213"/>
      <c r="IV9" s="213"/>
    </row>
    <row r="10" s="156" customFormat="1" ht="31.15" customHeight="1" spans="1:256">
      <c r="A10" s="225"/>
      <c r="B10" s="226" t="s">
        <v>47</v>
      </c>
      <c r="C10" s="227" t="s">
        <v>48</v>
      </c>
      <c r="D10" s="22" t="s">
        <v>49</v>
      </c>
      <c r="E10" s="228" t="s">
        <v>50</v>
      </c>
      <c r="F10" s="221"/>
      <c r="G10" s="224"/>
      <c r="H10" s="224"/>
      <c r="I10" s="301"/>
      <c r="J10" s="221"/>
      <c r="K10" s="33"/>
      <c r="L10" s="33"/>
      <c r="M10" s="33"/>
      <c r="N10" s="33"/>
      <c r="O10" s="33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5"/>
      <c r="AZ10" s="225"/>
      <c r="BA10" s="225"/>
      <c r="BB10" s="225"/>
      <c r="BC10" s="225"/>
      <c r="BD10" s="225"/>
      <c r="BE10" s="225"/>
      <c r="BF10" s="225"/>
      <c r="BG10" s="225"/>
      <c r="BH10" s="225"/>
      <c r="BI10" s="225"/>
      <c r="BJ10" s="225"/>
      <c r="BK10" s="225"/>
      <c r="BL10" s="225"/>
      <c r="BM10" s="225"/>
      <c r="BN10" s="225"/>
      <c r="BO10" s="225"/>
      <c r="BP10" s="225"/>
      <c r="BQ10" s="225"/>
      <c r="BR10" s="225"/>
      <c r="BS10" s="225"/>
      <c r="BT10" s="225"/>
      <c r="BU10" s="225"/>
      <c r="BV10" s="225"/>
      <c r="BW10" s="225"/>
      <c r="BX10" s="225"/>
      <c r="BY10" s="225"/>
      <c r="BZ10" s="225"/>
      <c r="CA10" s="225"/>
      <c r="CB10" s="225"/>
      <c r="CC10" s="225"/>
      <c r="CD10" s="225"/>
      <c r="CE10" s="225"/>
      <c r="CF10" s="225"/>
      <c r="CG10" s="225"/>
      <c r="CH10" s="225"/>
      <c r="CI10" s="225"/>
      <c r="CJ10" s="225"/>
      <c r="CK10" s="225"/>
      <c r="CL10" s="225"/>
      <c r="CM10" s="225"/>
      <c r="CN10" s="225"/>
      <c r="CO10" s="225"/>
      <c r="CP10" s="225"/>
      <c r="CQ10" s="225"/>
      <c r="CR10" s="225"/>
      <c r="CS10" s="225"/>
      <c r="CT10" s="225"/>
      <c r="CU10" s="225"/>
      <c r="CV10" s="225"/>
      <c r="CW10" s="225"/>
      <c r="CX10" s="225"/>
      <c r="CY10" s="225"/>
      <c r="CZ10" s="225"/>
      <c r="DA10" s="225"/>
      <c r="DB10" s="225"/>
      <c r="DC10" s="225"/>
      <c r="DD10" s="225"/>
      <c r="DE10" s="225"/>
      <c r="DF10" s="225"/>
      <c r="DG10" s="225"/>
      <c r="DH10" s="225"/>
      <c r="DI10" s="225"/>
      <c r="DJ10" s="225"/>
      <c r="DK10" s="225"/>
      <c r="DL10" s="225"/>
      <c r="DM10" s="225"/>
      <c r="DN10" s="225"/>
      <c r="DO10" s="225"/>
      <c r="DP10" s="225"/>
      <c r="DQ10" s="225"/>
      <c r="DR10" s="225"/>
      <c r="DS10" s="225"/>
      <c r="DT10" s="225"/>
      <c r="DU10" s="225"/>
      <c r="DV10" s="225"/>
      <c r="DW10" s="225"/>
      <c r="DX10" s="225"/>
      <c r="DY10" s="225"/>
      <c r="DZ10" s="225"/>
      <c r="EA10" s="225"/>
      <c r="EB10" s="225"/>
      <c r="EC10" s="225"/>
      <c r="ED10" s="225"/>
      <c r="EE10" s="225"/>
      <c r="EF10" s="225"/>
      <c r="EG10" s="225"/>
      <c r="EH10" s="225"/>
      <c r="EI10" s="225"/>
      <c r="EJ10" s="225"/>
      <c r="EK10" s="225"/>
      <c r="EL10" s="225"/>
      <c r="EM10" s="225"/>
      <c r="EN10" s="225"/>
      <c r="EO10" s="225"/>
      <c r="EP10" s="225"/>
      <c r="EQ10" s="225"/>
      <c r="ER10" s="225"/>
      <c r="ES10" s="225"/>
      <c r="ET10" s="225"/>
      <c r="EU10" s="225"/>
      <c r="EV10" s="225"/>
      <c r="EW10" s="225"/>
      <c r="EX10" s="225"/>
      <c r="EY10" s="225"/>
      <c r="EZ10" s="225"/>
      <c r="FA10" s="225"/>
      <c r="FB10" s="225"/>
      <c r="FC10" s="225"/>
      <c r="FD10" s="225"/>
      <c r="FE10" s="225"/>
      <c r="FF10" s="225"/>
      <c r="FG10" s="225"/>
      <c r="FH10" s="225"/>
      <c r="FI10" s="225"/>
      <c r="FJ10" s="225"/>
      <c r="FK10" s="225"/>
      <c r="FL10" s="225"/>
      <c r="FM10" s="225"/>
      <c r="FN10" s="225"/>
      <c r="FO10" s="225"/>
      <c r="FP10" s="225"/>
      <c r="FQ10" s="225"/>
      <c r="FR10" s="225"/>
      <c r="FS10" s="225"/>
      <c r="FT10" s="225"/>
      <c r="FU10" s="225"/>
      <c r="FV10" s="225"/>
      <c r="FW10" s="225"/>
      <c r="FX10" s="225"/>
      <c r="FY10" s="225"/>
      <c r="FZ10" s="225"/>
      <c r="GA10" s="225"/>
      <c r="GB10" s="225"/>
      <c r="GC10" s="225"/>
      <c r="GD10" s="225"/>
      <c r="GE10" s="225"/>
      <c r="GF10" s="225"/>
      <c r="GG10" s="225"/>
      <c r="GH10" s="225"/>
      <c r="GI10" s="225"/>
      <c r="GJ10" s="225"/>
      <c r="GK10" s="225"/>
      <c r="GL10" s="225"/>
      <c r="GM10" s="225"/>
      <c r="GN10" s="225"/>
      <c r="GO10" s="225"/>
      <c r="GP10" s="225"/>
      <c r="GQ10" s="225"/>
      <c r="GR10" s="225"/>
      <c r="GS10" s="225"/>
      <c r="GT10" s="225"/>
      <c r="GU10" s="225"/>
      <c r="GV10" s="225"/>
      <c r="GW10" s="225"/>
      <c r="GX10" s="225"/>
      <c r="GY10" s="225"/>
      <c r="GZ10" s="225"/>
      <c r="HA10" s="225"/>
      <c r="HB10" s="225"/>
      <c r="HC10" s="225"/>
      <c r="HD10" s="225"/>
      <c r="HE10" s="225"/>
      <c r="HF10" s="225"/>
      <c r="HG10" s="225"/>
      <c r="HH10" s="225"/>
      <c r="HI10" s="225"/>
      <c r="HJ10" s="225"/>
      <c r="HK10" s="225"/>
      <c r="HL10" s="225"/>
      <c r="HM10" s="225"/>
      <c r="HN10" s="225"/>
      <c r="HO10" s="225"/>
      <c r="HP10" s="225"/>
      <c r="HQ10" s="225"/>
      <c r="HR10" s="225"/>
      <c r="HS10" s="225"/>
      <c r="HT10" s="225"/>
      <c r="HU10" s="225"/>
      <c r="HV10" s="225"/>
      <c r="HW10" s="225"/>
      <c r="HX10" s="225"/>
      <c r="HY10" s="225"/>
      <c r="HZ10" s="225"/>
      <c r="IA10" s="225"/>
      <c r="IB10" s="225"/>
      <c r="IC10" s="225"/>
      <c r="ID10" s="225"/>
      <c r="IE10" s="225"/>
      <c r="IF10" s="225"/>
      <c r="IG10" s="225"/>
      <c r="IH10" s="225"/>
      <c r="II10" s="225"/>
      <c r="IJ10" s="225"/>
      <c r="IK10" s="225"/>
      <c r="IL10" s="225"/>
      <c r="IM10" s="225"/>
      <c r="IN10" s="225"/>
      <c r="IO10" s="225"/>
      <c r="IP10" s="225"/>
      <c r="IQ10" s="225"/>
      <c r="IR10" s="225"/>
      <c r="IS10" s="225"/>
      <c r="IT10" s="225"/>
      <c r="IU10" s="225"/>
      <c r="IV10" s="225"/>
    </row>
    <row r="11" s="156" customFormat="1" ht="16.9" hidden="1" customHeight="1" spans="1:256">
      <c r="A11" s="225"/>
      <c r="B11" s="226"/>
      <c r="C11" s="229"/>
      <c r="D11" s="22" t="s">
        <v>49</v>
      </c>
      <c r="E11" s="228"/>
      <c r="F11" s="221"/>
      <c r="G11" s="224"/>
      <c r="H11" s="224"/>
      <c r="I11" s="301"/>
      <c r="J11" s="221"/>
      <c r="K11" s="33"/>
      <c r="L11" s="33"/>
      <c r="M11" s="33"/>
      <c r="N11" s="33"/>
      <c r="O11" s="33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5"/>
      <c r="AX11" s="225"/>
      <c r="AY11" s="225"/>
      <c r="AZ11" s="225"/>
      <c r="BA11" s="225"/>
      <c r="BB11" s="225"/>
      <c r="BC11" s="225"/>
      <c r="BD11" s="225"/>
      <c r="BE11" s="225"/>
      <c r="BF11" s="225"/>
      <c r="BG11" s="225"/>
      <c r="BH11" s="225"/>
      <c r="BI11" s="225"/>
      <c r="BJ11" s="225"/>
      <c r="BK11" s="225"/>
      <c r="BL11" s="225"/>
      <c r="BM11" s="225"/>
      <c r="BN11" s="225"/>
      <c r="BO11" s="225"/>
      <c r="BP11" s="225"/>
      <c r="BQ11" s="225"/>
      <c r="BR11" s="225"/>
      <c r="BS11" s="225"/>
      <c r="BT11" s="225"/>
      <c r="BU11" s="225"/>
      <c r="BV11" s="225"/>
      <c r="BW11" s="225"/>
      <c r="BX11" s="225"/>
      <c r="BY11" s="225"/>
      <c r="BZ11" s="225"/>
      <c r="CA11" s="225"/>
      <c r="CB11" s="225"/>
      <c r="CC11" s="225"/>
      <c r="CD11" s="225"/>
      <c r="CE11" s="225"/>
      <c r="CF11" s="225"/>
      <c r="CG11" s="225"/>
      <c r="CH11" s="225"/>
      <c r="CI11" s="225"/>
      <c r="CJ11" s="225"/>
      <c r="CK11" s="225"/>
      <c r="CL11" s="225"/>
      <c r="CM11" s="225"/>
      <c r="CN11" s="225"/>
      <c r="CO11" s="225"/>
      <c r="CP11" s="225"/>
      <c r="CQ11" s="225"/>
      <c r="CR11" s="225"/>
      <c r="CS11" s="225"/>
      <c r="CT11" s="225"/>
      <c r="CU11" s="225"/>
      <c r="CV11" s="225"/>
      <c r="CW11" s="225"/>
      <c r="CX11" s="225"/>
      <c r="CY11" s="225"/>
      <c r="CZ11" s="225"/>
      <c r="DA11" s="225"/>
      <c r="DB11" s="225"/>
      <c r="DC11" s="225"/>
      <c r="DD11" s="225"/>
      <c r="DE11" s="225"/>
      <c r="DF11" s="225"/>
      <c r="DG11" s="225"/>
      <c r="DH11" s="225"/>
      <c r="DI11" s="225"/>
      <c r="DJ11" s="225"/>
      <c r="DK11" s="225"/>
      <c r="DL11" s="225"/>
      <c r="DM11" s="225"/>
      <c r="DN11" s="225"/>
      <c r="DO11" s="225"/>
      <c r="DP11" s="225"/>
      <c r="DQ11" s="225"/>
      <c r="DR11" s="225"/>
      <c r="DS11" s="225"/>
      <c r="DT11" s="225"/>
      <c r="DU11" s="225"/>
      <c r="DV11" s="225"/>
      <c r="DW11" s="225"/>
      <c r="DX11" s="225"/>
      <c r="DY11" s="225"/>
      <c r="DZ11" s="225"/>
      <c r="EA11" s="225"/>
      <c r="EB11" s="225"/>
      <c r="EC11" s="225"/>
      <c r="ED11" s="225"/>
      <c r="EE11" s="225"/>
      <c r="EF11" s="225"/>
      <c r="EG11" s="225"/>
      <c r="EH11" s="225"/>
      <c r="EI11" s="225"/>
      <c r="EJ11" s="225"/>
      <c r="EK11" s="225"/>
      <c r="EL11" s="225"/>
      <c r="EM11" s="225"/>
      <c r="EN11" s="225"/>
      <c r="EO11" s="225"/>
      <c r="EP11" s="225"/>
      <c r="EQ11" s="225"/>
      <c r="ER11" s="225"/>
      <c r="ES11" s="225"/>
      <c r="ET11" s="225"/>
      <c r="EU11" s="225"/>
      <c r="EV11" s="225"/>
      <c r="EW11" s="225"/>
      <c r="EX11" s="225"/>
      <c r="EY11" s="225"/>
      <c r="EZ11" s="225"/>
      <c r="FA11" s="225"/>
      <c r="FB11" s="225"/>
      <c r="FC11" s="225"/>
      <c r="FD11" s="225"/>
      <c r="FE11" s="225"/>
      <c r="FF11" s="225"/>
      <c r="FG11" s="225"/>
      <c r="FH11" s="225"/>
      <c r="FI11" s="225"/>
      <c r="FJ11" s="225"/>
      <c r="FK11" s="225"/>
      <c r="FL11" s="225"/>
      <c r="FM11" s="225"/>
      <c r="FN11" s="225"/>
      <c r="FO11" s="225"/>
      <c r="FP11" s="225"/>
      <c r="FQ11" s="225"/>
      <c r="FR11" s="225"/>
      <c r="FS11" s="225"/>
      <c r="FT11" s="225"/>
      <c r="FU11" s="225"/>
      <c r="FV11" s="225"/>
      <c r="FW11" s="225"/>
      <c r="FX11" s="225"/>
      <c r="FY11" s="225"/>
      <c r="FZ11" s="225"/>
      <c r="GA11" s="225"/>
      <c r="GB11" s="225"/>
      <c r="GC11" s="225"/>
      <c r="GD11" s="225"/>
      <c r="GE11" s="225"/>
      <c r="GF11" s="225"/>
      <c r="GG11" s="225"/>
      <c r="GH11" s="225"/>
      <c r="GI11" s="225"/>
      <c r="GJ11" s="225"/>
      <c r="GK11" s="225"/>
      <c r="GL11" s="225"/>
      <c r="GM11" s="225"/>
      <c r="GN11" s="225"/>
      <c r="GO11" s="225"/>
      <c r="GP11" s="225"/>
      <c r="GQ11" s="225"/>
      <c r="GR11" s="225"/>
      <c r="GS11" s="225"/>
      <c r="GT11" s="225"/>
      <c r="GU11" s="225"/>
      <c r="GV11" s="225"/>
      <c r="GW11" s="225"/>
      <c r="GX11" s="225"/>
      <c r="GY11" s="225"/>
      <c r="GZ11" s="225"/>
      <c r="HA11" s="225"/>
      <c r="HB11" s="225"/>
      <c r="HC11" s="225"/>
      <c r="HD11" s="225"/>
      <c r="HE11" s="225"/>
      <c r="HF11" s="225"/>
      <c r="HG11" s="225"/>
      <c r="HH11" s="225"/>
      <c r="HI11" s="225"/>
      <c r="HJ11" s="225"/>
      <c r="HK11" s="225"/>
      <c r="HL11" s="225"/>
      <c r="HM11" s="225"/>
      <c r="HN11" s="225"/>
      <c r="HO11" s="225"/>
      <c r="HP11" s="225"/>
      <c r="HQ11" s="225"/>
      <c r="HR11" s="225"/>
      <c r="HS11" s="225"/>
      <c r="HT11" s="225"/>
      <c r="HU11" s="225"/>
      <c r="HV11" s="225"/>
      <c r="HW11" s="225"/>
      <c r="HX11" s="225"/>
      <c r="HY11" s="225"/>
      <c r="HZ11" s="225"/>
      <c r="IA11" s="225"/>
      <c r="IB11" s="225"/>
      <c r="IC11" s="225"/>
      <c r="ID11" s="225"/>
      <c r="IE11" s="225"/>
      <c r="IF11" s="225"/>
      <c r="IG11" s="225"/>
      <c r="IH11" s="225"/>
      <c r="II11" s="225"/>
      <c r="IJ11" s="225"/>
      <c r="IK11" s="225"/>
      <c r="IL11" s="225"/>
      <c r="IM11" s="225"/>
      <c r="IN11" s="225"/>
      <c r="IO11" s="225"/>
      <c r="IP11" s="225"/>
      <c r="IQ11" s="225"/>
      <c r="IR11" s="225"/>
      <c r="IS11" s="225"/>
      <c r="IT11" s="225"/>
      <c r="IU11" s="225"/>
      <c r="IV11" s="225"/>
    </row>
    <row r="12" s="156" customFormat="1" spans="1:256">
      <c r="A12" s="213"/>
      <c r="B12" s="230"/>
      <c r="C12" s="230"/>
      <c r="D12" s="230"/>
      <c r="E12" s="230"/>
      <c r="F12" s="33"/>
      <c r="G12" s="221"/>
      <c r="H12" s="231"/>
      <c r="I12" s="221"/>
      <c r="J12" s="221"/>
      <c r="K12" s="33"/>
      <c r="L12" s="33"/>
      <c r="M12" s="33"/>
      <c r="N12" s="33"/>
      <c r="O12" s="3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3"/>
      <c r="BP12" s="213"/>
      <c r="BQ12" s="213"/>
      <c r="BR12" s="213"/>
      <c r="BS12" s="213"/>
      <c r="BT12" s="213"/>
      <c r="BU12" s="213"/>
      <c r="BV12" s="213"/>
      <c r="BW12" s="213"/>
      <c r="BX12" s="213"/>
      <c r="BY12" s="213"/>
      <c r="BZ12" s="213"/>
      <c r="CA12" s="213"/>
      <c r="CB12" s="213"/>
      <c r="CC12" s="213"/>
      <c r="CD12" s="213"/>
      <c r="CE12" s="213"/>
      <c r="CF12" s="213"/>
      <c r="CG12" s="213"/>
      <c r="CH12" s="213"/>
      <c r="CI12" s="213"/>
      <c r="CJ12" s="213"/>
      <c r="CK12" s="213"/>
      <c r="CL12" s="213"/>
      <c r="CM12" s="213"/>
      <c r="CN12" s="213"/>
      <c r="CO12" s="213"/>
      <c r="CP12" s="213"/>
      <c r="CQ12" s="213"/>
      <c r="CR12" s="213"/>
      <c r="CS12" s="213"/>
      <c r="CT12" s="213"/>
      <c r="CU12" s="213"/>
      <c r="CV12" s="213"/>
      <c r="CW12" s="213"/>
      <c r="CX12" s="213"/>
      <c r="CY12" s="213"/>
      <c r="CZ12" s="213"/>
      <c r="DA12" s="213"/>
      <c r="DB12" s="213"/>
      <c r="DC12" s="213"/>
      <c r="DD12" s="213"/>
      <c r="DE12" s="213"/>
      <c r="DF12" s="213"/>
      <c r="DG12" s="213"/>
      <c r="DH12" s="213"/>
      <c r="DI12" s="213"/>
      <c r="DJ12" s="213"/>
      <c r="DK12" s="213"/>
      <c r="DL12" s="213"/>
      <c r="DM12" s="213"/>
      <c r="DN12" s="213"/>
      <c r="DO12" s="213"/>
      <c r="DP12" s="213"/>
      <c r="DQ12" s="213"/>
      <c r="DR12" s="213"/>
      <c r="DS12" s="213"/>
      <c r="DT12" s="213"/>
      <c r="DU12" s="213"/>
      <c r="DV12" s="213"/>
      <c r="DW12" s="213"/>
      <c r="DX12" s="213"/>
      <c r="DY12" s="213"/>
      <c r="DZ12" s="213"/>
      <c r="EA12" s="213"/>
      <c r="EB12" s="213"/>
      <c r="EC12" s="213"/>
      <c r="ED12" s="213"/>
      <c r="EE12" s="213"/>
      <c r="EF12" s="213"/>
      <c r="EG12" s="213"/>
      <c r="EH12" s="213"/>
      <c r="EI12" s="213"/>
      <c r="EJ12" s="213"/>
      <c r="EK12" s="213"/>
      <c r="EL12" s="213"/>
      <c r="EM12" s="213"/>
      <c r="EN12" s="213"/>
      <c r="EO12" s="213"/>
      <c r="EP12" s="213"/>
      <c r="EQ12" s="213"/>
      <c r="ER12" s="213"/>
      <c r="ES12" s="213"/>
      <c r="ET12" s="213"/>
      <c r="EU12" s="213"/>
      <c r="EV12" s="213"/>
      <c r="EW12" s="213"/>
      <c r="EX12" s="213"/>
      <c r="EY12" s="213"/>
      <c r="EZ12" s="213"/>
      <c r="FA12" s="213"/>
      <c r="FB12" s="213"/>
      <c r="FC12" s="213"/>
      <c r="FD12" s="213"/>
      <c r="FE12" s="213"/>
      <c r="FF12" s="213"/>
      <c r="FG12" s="213"/>
      <c r="FH12" s="213"/>
      <c r="FI12" s="213"/>
      <c r="FJ12" s="213"/>
      <c r="FK12" s="213"/>
      <c r="FL12" s="213"/>
      <c r="FM12" s="213"/>
      <c r="FN12" s="213"/>
      <c r="FO12" s="213"/>
      <c r="FP12" s="213"/>
      <c r="FQ12" s="213"/>
      <c r="FR12" s="213"/>
      <c r="FS12" s="213"/>
      <c r="FT12" s="213"/>
      <c r="FU12" s="213"/>
      <c r="FV12" s="213"/>
      <c r="FW12" s="213"/>
      <c r="FX12" s="213"/>
      <c r="FY12" s="213"/>
      <c r="FZ12" s="213"/>
      <c r="GA12" s="213"/>
      <c r="GB12" s="213"/>
      <c r="GC12" s="213"/>
      <c r="GD12" s="213"/>
      <c r="GE12" s="213"/>
      <c r="GF12" s="213"/>
      <c r="GG12" s="213"/>
      <c r="GH12" s="213"/>
      <c r="GI12" s="213"/>
      <c r="GJ12" s="213"/>
      <c r="GK12" s="213"/>
      <c r="GL12" s="213"/>
      <c r="GM12" s="213"/>
      <c r="GN12" s="213"/>
      <c r="GO12" s="213"/>
      <c r="GP12" s="213"/>
      <c r="GQ12" s="213"/>
      <c r="GR12" s="213"/>
      <c r="GS12" s="213"/>
      <c r="GT12" s="213"/>
      <c r="GU12" s="213"/>
      <c r="GV12" s="213"/>
      <c r="GW12" s="213"/>
      <c r="GX12" s="213"/>
      <c r="GY12" s="213"/>
      <c r="GZ12" s="213"/>
      <c r="HA12" s="213"/>
      <c r="HB12" s="213"/>
      <c r="HC12" s="213"/>
      <c r="HD12" s="213"/>
      <c r="HE12" s="213"/>
      <c r="HF12" s="213"/>
      <c r="HG12" s="213"/>
      <c r="HH12" s="213"/>
      <c r="HI12" s="213"/>
      <c r="HJ12" s="213"/>
      <c r="HK12" s="213"/>
      <c r="HL12" s="213"/>
      <c r="HM12" s="213"/>
      <c r="HN12" s="213"/>
      <c r="HO12" s="213"/>
      <c r="HP12" s="213"/>
      <c r="HQ12" s="213"/>
      <c r="HR12" s="213"/>
      <c r="HS12" s="213"/>
      <c r="HT12" s="213"/>
      <c r="HU12" s="213"/>
      <c r="HV12" s="213"/>
      <c r="HW12" s="213"/>
      <c r="HX12" s="213"/>
      <c r="HY12" s="213"/>
      <c r="HZ12" s="213"/>
      <c r="IA12" s="213"/>
      <c r="IB12" s="213"/>
      <c r="IC12" s="213"/>
      <c r="ID12" s="213"/>
      <c r="IE12" s="213"/>
      <c r="IF12" s="213"/>
      <c r="IG12" s="213"/>
      <c r="IH12" s="213"/>
      <c r="II12" s="213"/>
      <c r="IJ12" s="213"/>
      <c r="IK12" s="213"/>
      <c r="IL12" s="213"/>
      <c r="IM12" s="213"/>
      <c r="IN12" s="213"/>
      <c r="IO12" s="213"/>
      <c r="IP12" s="213"/>
      <c r="IQ12" s="213"/>
      <c r="IR12" s="213"/>
      <c r="IS12" s="213"/>
      <c r="IT12" s="213"/>
      <c r="IU12" s="213"/>
      <c r="IV12" s="213"/>
    </row>
    <row r="13" s="156" customFormat="1" spans="1:256">
      <c r="A13" s="213"/>
      <c r="B13" s="33"/>
      <c r="C13" s="33"/>
      <c r="D13" s="33"/>
      <c r="E13" s="33"/>
      <c r="F13" s="33"/>
      <c r="G13" s="33"/>
      <c r="H13" s="231"/>
      <c r="I13" s="33"/>
      <c r="J13" s="33"/>
      <c r="K13" s="33"/>
      <c r="L13" s="33"/>
      <c r="M13" s="33"/>
      <c r="N13" s="33"/>
      <c r="O13" s="3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  <c r="CE13" s="213"/>
      <c r="CF13" s="213"/>
      <c r="CG13" s="213"/>
      <c r="CH13" s="213"/>
      <c r="CI13" s="213"/>
      <c r="CJ13" s="213"/>
      <c r="CK13" s="213"/>
      <c r="CL13" s="213"/>
      <c r="CM13" s="213"/>
      <c r="CN13" s="213"/>
      <c r="CO13" s="213"/>
      <c r="CP13" s="213"/>
      <c r="CQ13" s="213"/>
      <c r="CR13" s="213"/>
      <c r="CS13" s="213"/>
      <c r="CT13" s="213"/>
      <c r="CU13" s="213"/>
      <c r="CV13" s="213"/>
      <c r="CW13" s="213"/>
      <c r="CX13" s="213"/>
      <c r="CY13" s="213"/>
      <c r="CZ13" s="213"/>
      <c r="DA13" s="213"/>
      <c r="DB13" s="213"/>
      <c r="DC13" s="213"/>
      <c r="DD13" s="213"/>
      <c r="DE13" s="213"/>
      <c r="DF13" s="213"/>
      <c r="DG13" s="213"/>
      <c r="DH13" s="213"/>
      <c r="DI13" s="213"/>
      <c r="DJ13" s="213"/>
      <c r="DK13" s="213"/>
      <c r="DL13" s="213"/>
      <c r="DM13" s="213"/>
      <c r="DN13" s="213"/>
      <c r="DO13" s="213"/>
      <c r="DP13" s="213"/>
      <c r="DQ13" s="213"/>
      <c r="DR13" s="213"/>
      <c r="DS13" s="213"/>
      <c r="DT13" s="213"/>
      <c r="DU13" s="213"/>
      <c r="DV13" s="213"/>
      <c r="DW13" s="213"/>
      <c r="DX13" s="213"/>
      <c r="DY13" s="213"/>
      <c r="DZ13" s="213"/>
      <c r="EA13" s="213"/>
      <c r="EB13" s="213"/>
      <c r="EC13" s="213"/>
      <c r="ED13" s="213"/>
      <c r="EE13" s="213"/>
      <c r="EF13" s="213"/>
      <c r="EG13" s="213"/>
      <c r="EH13" s="213"/>
      <c r="EI13" s="213"/>
      <c r="EJ13" s="213"/>
      <c r="EK13" s="213"/>
      <c r="EL13" s="213"/>
      <c r="EM13" s="213"/>
      <c r="EN13" s="213"/>
      <c r="EO13" s="213"/>
      <c r="EP13" s="213"/>
      <c r="EQ13" s="213"/>
      <c r="ER13" s="213"/>
      <c r="ES13" s="213"/>
      <c r="ET13" s="213"/>
      <c r="EU13" s="213"/>
      <c r="EV13" s="213"/>
      <c r="EW13" s="213"/>
      <c r="EX13" s="213"/>
      <c r="EY13" s="213"/>
      <c r="EZ13" s="213"/>
      <c r="FA13" s="213"/>
      <c r="FB13" s="213"/>
      <c r="FC13" s="213"/>
      <c r="FD13" s="213"/>
      <c r="FE13" s="213"/>
      <c r="FF13" s="213"/>
      <c r="FG13" s="213"/>
      <c r="FH13" s="213"/>
      <c r="FI13" s="213"/>
      <c r="FJ13" s="213"/>
      <c r="FK13" s="213"/>
      <c r="FL13" s="213"/>
      <c r="FM13" s="213"/>
      <c r="FN13" s="213"/>
      <c r="FO13" s="213"/>
      <c r="FP13" s="213"/>
      <c r="FQ13" s="213"/>
      <c r="FR13" s="213"/>
      <c r="FS13" s="213"/>
      <c r="FT13" s="213"/>
      <c r="FU13" s="213"/>
      <c r="FV13" s="213"/>
      <c r="FW13" s="213"/>
      <c r="FX13" s="213"/>
      <c r="FY13" s="213"/>
      <c r="FZ13" s="213"/>
      <c r="GA13" s="213"/>
      <c r="GB13" s="213"/>
      <c r="GC13" s="213"/>
      <c r="GD13" s="213"/>
      <c r="GE13" s="213"/>
      <c r="GF13" s="213"/>
      <c r="GG13" s="213"/>
      <c r="GH13" s="213"/>
      <c r="GI13" s="213"/>
      <c r="GJ13" s="213"/>
      <c r="GK13" s="213"/>
      <c r="GL13" s="213"/>
      <c r="GM13" s="213"/>
      <c r="GN13" s="213"/>
      <c r="GO13" s="213"/>
      <c r="GP13" s="213"/>
      <c r="GQ13" s="213"/>
      <c r="GR13" s="213"/>
      <c r="GS13" s="213"/>
      <c r="GT13" s="213"/>
      <c r="GU13" s="213"/>
      <c r="GV13" s="213"/>
      <c r="GW13" s="213"/>
      <c r="GX13" s="213"/>
      <c r="GY13" s="213"/>
      <c r="GZ13" s="213"/>
      <c r="HA13" s="213"/>
      <c r="HB13" s="213"/>
      <c r="HC13" s="213"/>
      <c r="HD13" s="213"/>
      <c r="HE13" s="213"/>
      <c r="HF13" s="213"/>
      <c r="HG13" s="213"/>
      <c r="HH13" s="213"/>
      <c r="HI13" s="213"/>
      <c r="HJ13" s="213"/>
      <c r="HK13" s="213"/>
      <c r="HL13" s="213"/>
      <c r="HM13" s="213"/>
      <c r="HN13" s="213"/>
      <c r="HO13" s="213"/>
      <c r="HP13" s="213"/>
      <c r="HQ13" s="213"/>
      <c r="HR13" s="213"/>
      <c r="HS13" s="213"/>
      <c r="HT13" s="213"/>
      <c r="HU13" s="213"/>
      <c r="HV13" s="213"/>
      <c r="HW13" s="213"/>
      <c r="HX13" s="213"/>
      <c r="HY13" s="213"/>
      <c r="HZ13" s="213"/>
      <c r="IA13" s="213"/>
      <c r="IB13" s="213"/>
      <c r="IC13" s="213"/>
      <c r="ID13" s="213"/>
      <c r="IE13" s="213"/>
      <c r="IF13" s="213"/>
      <c r="IG13" s="213"/>
      <c r="IH13" s="213"/>
      <c r="II13" s="213"/>
      <c r="IJ13" s="213"/>
      <c r="IK13" s="213"/>
      <c r="IL13" s="213"/>
      <c r="IM13" s="213"/>
      <c r="IN13" s="213"/>
      <c r="IO13" s="213"/>
      <c r="IP13" s="213"/>
      <c r="IQ13" s="213"/>
      <c r="IR13" s="213"/>
      <c r="IS13" s="213"/>
      <c r="IT13" s="213"/>
      <c r="IU13" s="213"/>
      <c r="IV13" s="213"/>
    </row>
    <row r="14" s="156" customFormat="1" ht="16.25" spans="1:256">
      <c r="A14" s="213"/>
      <c r="B14" s="217" t="s">
        <v>51</v>
      </c>
      <c r="C14" s="217"/>
      <c r="D14" s="217"/>
      <c r="E14" s="217"/>
      <c r="F14" s="232"/>
      <c r="G14" s="232"/>
      <c r="H14" s="232"/>
      <c r="I14" s="232"/>
      <c r="J14" s="33"/>
      <c r="K14" s="33"/>
      <c r="L14" s="33"/>
      <c r="M14" s="33"/>
      <c r="N14" s="33"/>
      <c r="O14" s="3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3"/>
      <c r="CR14" s="213"/>
      <c r="CS14" s="213"/>
      <c r="CT14" s="213"/>
      <c r="CU14" s="213"/>
      <c r="CV14" s="213"/>
      <c r="CW14" s="213"/>
      <c r="CX14" s="213"/>
      <c r="CY14" s="213"/>
      <c r="CZ14" s="213"/>
      <c r="DA14" s="213"/>
      <c r="DB14" s="213"/>
      <c r="DC14" s="213"/>
      <c r="DD14" s="213"/>
      <c r="DE14" s="213"/>
      <c r="DF14" s="213"/>
      <c r="DG14" s="213"/>
      <c r="DH14" s="213"/>
      <c r="DI14" s="213"/>
      <c r="DJ14" s="213"/>
      <c r="DK14" s="213"/>
      <c r="DL14" s="213"/>
      <c r="DM14" s="213"/>
      <c r="DN14" s="213"/>
      <c r="DO14" s="213"/>
      <c r="DP14" s="213"/>
      <c r="DQ14" s="213"/>
      <c r="DR14" s="213"/>
      <c r="DS14" s="213"/>
      <c r="DT14" s="213"/>
      <c r="DU14" s="213"/>
      <c r="DV14" s="213"/>
      <c r="DW14" s="213"/>
      <c r="DX14" s="213"/>
      <c r="DY14" s="213"/>
      <c r="DZ14" s="213"/>
      <c r="EA14" s="213"/>
      <c r="EB14" s="213"/>
      <c r="EC14" s="213"/>
      <c r="ED14" s="213"/>
      <c r="EE14" s="213"/>
      <c r="EF14" s="213"/>
      <c r="EG14" s="213"/>
      <c r="EH14" s="213"/>
      <c r="EI14" s="213"/>
      <c r="EJ14" s="213"/>
      <c r="EK14" s="213"/>
      <c r="EL14" s="213"/>
      <c r="EM14" s="213"/>
      <c r="EN14" s="213"/>
      <c r="EO14" s="213"/>
      <c r="EP14" s="213"/>
      <c r="EQ14" s="213"/>
      <c r="ER14" s="213"/>
      <c r="ES14" s="213"/>
      <c r="ET14" s="213"/>
      <c r="EU14" s="213"/>
      <c r="EV14" s="213"/>
      <c r="EW14" s="213"/>
      <c r="EX14" s="213"/>
      <c r="EY14" s="213"/>
      <c r="EZ14" s="213"/>
      <c r="FA14" s="213"/>
      <c r="FB14" s="213"/>
      <c r="FC14" s="213"/>
      <c r="FD14" s="213"/>
      <c r="FE14" s="213"/>
      <c r="FF14" s="213"/>
      <c r="FG14" s="213"/>
      <c r="FH14" s="213"/>
      <c r="FI14" s="213"/>
      <c r="FJ14" s="213"/>
      <c r="FK14" s="213"/>
      <c r="FL14" s="213"/>
      <c r="FM14" s="213"/>
      <c r="FN14" s="213"/>
      <c r="FO14" s="213"/>
      <c r="FP14" s="213"/>
      <c r="FQ14" s="213"/>
      <c r="FR14" s="213"/>
      <c r="FS14" s="213"/>
      <c r="FT14" s="213"/>
      <c r="FU14" s="213"/>
      <c r="FV14" s="213"/>
      <c r="FW14" s="213"/>
      <c r="FX14" s="213"/>
      <c r="FY14" s="213"/>
      <c r="FZ14" s="213"/>
      <c r="GA14" s="213"/>
      <c r="GB14" s="213"/>
      <c r="GC14" s="213"/>
      <c r="GD14" s="213"/>
      <c r="GE14" s="213"/>
      <c r="GF14" s="213"/>
      <c r="GG14" s="213"/>
      <c r="GH14" s="213"/>
      <c r="GI14" s="213"/>
      <c r="GJ14" s="213"/>
      <c r="GK14" s="213"/>
      <c r="GL14" s="213"/>
      <c r="GM14" s="213"/>
      <c r="GN14" s="213"/>
      <c r="GO14" s="213"/>
      <c r="GP14" s="213"/>
      <c r="GQ14" s="213"/>
      <c r="GR14" s="213"/>
      <c r="GS14" s="213"/>
      <c r="GT14" s="213"/>
      <c r="GU14" s="213"/>
      <c r="GV14" s="213"/>
      <c r="GW14" s="213"/>
      <c r="GX14" s="213"/>
      <c r="GY14" s="213"/>
      <c r="GZ14" s="213"/>
      <c r="HA14" s="213"/>
      <c r="HB14" s="213"/>
      <c r="HC14" s="213"/>
      <c r="HD14" s="213"/>
      <c r="HE14" s="213"/>
      <c r="HF14" s="213"/>
      <c r="HG14" s="213"/>
      <c r="HH14" s="213"/>
      <c r="HI14" s="213"/>
      <c r="HJ14" s="213"/>
      <c r="HK14" s="213"/>
      <c r="HL14" s="213"/>
      <c r="HM14" s="213"/>
      <c r="HN14" s="213"/>
      <c r="HO14" s="213"/>
      <c r="HP14" s="213"/>
      <c r="HQ14" s="213"/>
      <c r="HR14" s="213"/>
      <c r="HS14" s="213"/>
      <c r="HT14" s="213"/>
      <c r="HU14" s="213"/>
      <c r="HV14" s="213"/>
      <c r="HW14" s="213"/>
      <c r="HX14" s="213"/>
      <c r="HY14" s="213"/>
      <c r="HZ14" s="213"/>
      <c r="IA14" s="213"/>
      <c r="IB14" s="213"/>
      <c r="IC14" s="213"/>
      <c r="ID14" s="213"/>
      <c r="IE14" s="213"/>
      <c r="IF14" s="213"/>
      <c r="IG14" s="213"/>
      <c r="IH14" s="213"/>
      <c r="II14" s="213"/>
      <c r="IJ14" s="213"/>
      <c r="IK14" s="213"/>
      <c r="IL14" s="213"/>
      <c r="IM14" s="213"/>
      <c r="IN14" s="213"/>
      <c r="IO14" s="213"/>
      <c r="IP14" s="213"/>
      <c r="IQ14" s="213"/>
      <c r="IR14" s="213"/>
      <c r="IS14" s="213"/>
      <c r="IT14" s="213"/>
      <c r="IU14" s="213"/>
      <c r="IV14" s="213"/>
    </row>
    <row r="15" s="156" customFormat="1" ht="42" customHeight="1" spans="1:256">
      <c r="A15" s="213"/>
      <c r="B15" s="233" t="s">
        <v>52</v>
      </c>
      <c r="C15" s="228" t="s">
        <v>53</v>
      </c>
      <c r="D15" s="228"/>
      <c r="E15" s="228"/>
      <c r="F15" s="233"/>
      <c r="G15" s="234"/>
      <c r="H15" s="234"/>
      <c r="I15" s="234"/>
      <c r="J15" s="33"/>
      <c r="K15" s="33"/>
      <c r="L15" s="33"/>
      <c r="M15" s="33"/>
      <c r="N15" s="33"/>
      <c r="O15" s="3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  <c r="CE15" s="213"/>
      <c r="CF15" s="213"/>
      <c r="CG15" s="213"/>
      <c r="CH15" s="213"/>
      <c r="CI15" s="213"/>
      <c r="CJ15" s="213"/>
      <c r="CK15" s="213"/>
      <c r="CL15" s="213"/>
      <c r="CM15" s="213"/>
      <c r="CN15" s="213"/>
      <c r="CO15" s="213"/>
      <c r="CP15" s="213"/>
      <c r="CQ15" s="213"/>
      <c r="CR15" s="213"/>
      <c r="CS15" s="213"/>
      <c r="CT15" s="213"/>
      <c r="CU15" s="213"/>
      <c r="CV15" s="213"/>
      <c r="CW15" s="213"/>
      <c r="CX15" s="213"/>
      <c r="CY15" s="213"/>
      <c r="CZ15" s="213"/>
      <c r="DA15" s="213"/>
      <c r="DB15" s="213"/>
      <c r="DC15" s="213"/>
      <c r="DD15" s="213"/>
      <c r="DE15" s="213"/>
      <c r="DF15" s="213"/>
      <c r="DG15" s="213"/>
      <c r="DH15" s="213"/>
      <c r="DI15" s="213"/>
      <c r="DJ15" s="213"/>
      <c r="DK15" s="213"/>
      <c r="DL15" s="213"/>
      <c r="DM15" s="213"/>
      <c r="DN15" s="213"/>
      <c r="DO15" s="213"/>
      <c r="DP15" s="213"/>
      <c r="DQ15" s="213"/>
      <c r="DR15" s="213"/>
      <c r="DS15" s="213"/>
      <c r="DT15" s="213"/>
      <c r="DU15" s="213"/>
      <c r="DV15" s="213"/>
      <c r="DW15" s="213"/>
      <c r="DX15" s="213"/>
      <c r="DY15" s="213"/>
      <c r="DZ15" s="213"/>
      <c r="EA15" s="213"/>
      <c r="EB15" s="213"/>
      <c r="EC15" s="213"/>
      <c r="ED15" s="213"/>
      <c r="EE15" s="213"/>
      <c r="EF15" s="213"/>
      <c r="EG15" s="213"/>
      <c r="EH15" s="213"/>
      <c r="EI15" s="213"/>
      <c r="EJ15" s="213"/>
      <c r="EK15" s="213"/>
      <c r="EL15" s="213"/>
      <c r="EM15" s="213"/>
      <c r="EN15" s="213"/>
      <c r="EO15" s="213"/>
      <c r="EP15" s="213"/>
      <c r="EQ15" s="213"/>
      <c r="ER15" s="213"/>
      <c r="ES15" s="213"/>
      <c r="ET15" s="213"/>
      <c r="EU15" s="213"/>
      <c r="EV15" s="213"/>
      <c r="EW15" s="213"/>
      <c r="EX15" s="213"/>
      <c r="EY15" s="213"/>
      <c r="EZ15" s="213"/>
      <c r="FA15" s="213"/>
      <c r="FB15" s="213"/>
      <c r="FC15" s="213"/>
      <c r="FD15" s="213"/>
      <c r="FE15" s="213"/>
      <c r="FF15" s="213"/>
      <c r="FG15" s="213"/>
      <c r="FH15" s="213"/>
      <c r="FI15" s="213"/>
      <c r="FJ15" s="213"/>
      <c r="FK15" s="213"/>
      <c r="FL15" s="213"/>
      <c r="FM15" s="213"/>
      <c r="FN15" s="213"/>
      <c r="FO15" s="213"/>
      <c r="FP15" s="213"/>
      <c r="FQ15" s="213"/>
      <c r="FR15" s="213"/>
      <c r="FS15" s="213"/>
      <c r="FT15" s="213"/>
      <c r="FU15" s="213"/>
      <c r="FV15" s="213"/>
      <c r="FW15" s="213"/>
      <c r="FX15" s="213"/>
      <c r="FY15" s="213"/>
      <c r="FZ15" s="213"/>
      <c r="GA15" s="213"/>
      <c r="GB15" s="213"/>
      <c r="GC15" s="213"/>
      <c r="GD15" s="213"/>
      <c r="GE15" s="213"/>
      <c r="GF15" s="213"/>
      <c r="GG15" s="213"/>
      <c r="GH15" s="213"/>
      <c r="GI15" s="213"/>
      <c r="GJ15" s="213"/>
      <c r="GK15" s="213"/>
      <c r="GL15" s="213"/>
      <c r="GM15" s="213"/>
      <c r="GN15" s="213"/>
      <c r="GO15" s="213"/>
      <c r="GP15" s="213"/>
      <c r="GQ15" s="213"/>
      <c r="GR15" s="213"/>
      <c r="GS15" s="213"/>
      <c r="GT15" s="213"/>
      <c r="GU15" s="213"/>
      <c r="GV15" s="213"/>
      <c r="GW15" s="213"/>
      <c r="GX15" s="213"/>
      <c r="GY15" s="213"/>
      <c r="GZ15" s="213"/>
      <c r="HA15" s="213"/>
      <c r="HB15" s="213"/>
      <c r="HC15" s="213"/>
      <c r="HD15" s="213"/>
      <c r="HE15" s="213"/>
      <c r="HF15" s="213"/>
      <c r="HG15" s="213"/>
      <c r="HH15" s="213"/>
      <c r="HI15" s="213"/>
      <c r="HJ15" s="213"/>
      <c r="HK15" s="213"/>
      <c r="HL15" s="213"/>
      <c r="HM15" s="213"/>
      <c r="HN15" s="213"/>
      <c r="HO15" s="213"/>
      <c r="HP15" s="213"/>
      <c r="HQ15" s="213"/>
      <c r="HR15" s="213"/>
      <c r="HS15" s="213"/>
      <c r="HT15" s="213"/>
      <c r="HU15" s="213"/>
      <c r="HV15" s="213"/>
      <c r="HW15" s="213"/>
      <c r="HX15" s="213"/>
      <c r="HY15" s="213"/>
      <c r="HZ15" s="213"/>
      <c r="IA15" s="213"/>
      <c r="IB15" s="213"/>
      <c r="IC15" s="213"/>
      <c r="ID15" s="213"/>
      <c r="IE15" s="213"/>
      <c r="IF15" s="213"/>
      <c r="IG15" s="213"/>
      <c r="IH15" s="213"/>
      <c r="II15" s="213"/>
      <c r="IJ15" s="213"/>
      <c r="IK15" s="213"/>
      <c r="IL15" s="213"/>
      <c r="IM15" s="213"/>
      <c r="IN15" s="213"/>
      <c r="IO15" s="213"/>
      <c r="IP15" s="213"/>
      <c r="IQ15" s="213"/>
      <c r="IR15" s="213"/>
      <c r="IS15" s="213"/>
      <c r="IT15" s="213"/>
      <c r="IU15" s="213"/>
      <c r="IV15" s="213"/>
    </row>
    <row r="16" s="156" customFormat="1" ht="15.75" customHeight="1" spans="1:256">
      <c r="A16" s="213"/>
      <c r="B16" s="233" t="s">
        <v>54</v>
      </c>
      <c r="C16" s="235" t="s">
        <v>55</v>
      </c>
      <c r="D16" s="235"/>
      <c r="E16" s="235"/>
      <c r="F16" s="233"/>
      <c r="G16" s="234"/>
      <c r="H16" s="234"/>
      <c r="I16" s="234"/>
      <c r="J16" s="33"/>
      <c r="K16" s="33"/>
      <c r="L16" s="33"/>
      <c r="M16" s="33"/>
      <c r="N16" s="33"/>
      <c r="O16" s="3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  <c r="CE16" s="213"/>
      <c r="CF16" s="213"/>
      <c r="CG16" s="213"/>
      <c r="CH16" s="213"/>
      <c r="CI16" s="213"/>
      <c r="CJ16" s="213"/>
      <c r="CK16" s="213"/>
      <c r="CL16" s="213"/>
      <c r="CM16" s="213"/>
      <c r="CN16" s="213"/>
      <c r="CO16" s="213"/>
      <c r="CP16" s="213"/>
      <c r="CQ16" s="213"/>
      <c r="CR16" s="213"/>
      <c r="CS16" s="213"/>
      <c r="CT16" s="213"/>
      <c r="CU16" s="213"/>
      <c r="CV16" s="213"/>
      <c r="CW16" s="213"/>
      <c r="CX16" s="213"/>
      <c r="CY16" s="213"/>
      <c r="CZ16" s="213"/>
      <c r="DA16" s="213"/>
      <c r="DB16" s="213"/>
      <c r="DC16" s="213"/>
      <c r="DD16" s="213"/>
      <c r="DE16" s="213"/>
      <c r="DF16" s="213"/>
      <c r="DG16" s="213"/>
      <c r="DH16" s="213"/>
      <c r="DI16" s="213"/>
      <c r="DJ16" s="213"/>
      <c r="DK16" s="213"/>
      <c r="DL16" s="213"/>
      <c r="DM16" s="213"/>
      <c r="DN16" s="213"/>
      <c r="DO16" s="213"/>
      <c r="DP16" s="213"/>
      <c r="DQ16" s="213"/>
      <c r="DR16" s="213"/>
      <c r="DS16" s="213"/>
      <c r="DT16" s="213"/>
      <c r="DU16" s="213"/>
      <c r="DV16" s="213"/>
      <c r="DW16" s="213"/>
      <c r="DX16" s="213"/>
      <c r="DY16" s="213"/>
      <c r="DZ16" s="213"/>
      <c r="EA16" s="213"/>
      <c r="EB16" s="213"/>
      <c r="EC16" s="213"/>
      <c r="ED16" s="213"/>
      <c r="EE16" s="213"/>
      <c r="EF16" s="213"/>
      <c r="EG16" s="213"/>
      <c r="EH16" s="213"/>
      <c r="EI16" s="213"/>
      <c r="EJ16" s="213"/>
      <c r="EK16" s="213"/>
      <c r="EL16" s="213"/>
      <c r="EM16" s="213"/>
      <c r="EN16" s="213"/>
      <c r="EO16" s="213"/>
      <c r="EP16" s="213"/>
      <c r="EQ16" s="213"/>
      <c r="ER16" s="213"/>
      <c r="ES16" s="213"/>
      <c r="ET16" s="213"/>
      <c r="EU16" s="213"/>
      <c r="EV16" s="213"/>
      <c r="EW16" s="213"/>
      <c r="EX16" s="213"/>
      <c r="EY16" s="213"/>
      <c r="EZ16" s="213"/>
      <c r="FA16" s="213"/>
      <c r="FB16" s="213"/>
      <c r="FC16" s="213"/>
      <c r="FD16" s="213"/>
      <c r="FE16" s="213"/>
      <c r="FF16" s="213"/>
      <c r="FG16" s="213"/>
      <c r="FH16" s="213"/>
      <c r="FI16" s="213"/>
      <c r="FJ16" s="213"/>
      <c r="FK16" s="213"/>
      <c r="FL16" s="213"/>
      <c r="FM16" s="213"/>
      <c r="FN16" s="213"/>
      <c r="FO16" s="213"/>
      <c r="FP16" s="213"/>
      <c r="FQ16" s="213"/>
      <c r="FR16" s="213"/>
      <c r="FS16" s="213"/>
      <c r="FT16" s="213"/>
      <c r="FU16" s="213"/>
      <c r="FV16" s="213"/>
      <c r="FW16" s="213"/>
      <c r="FX16" s="213"/>
      <c r="FY16" s="213"/>
      <c r="FZ16" s="213"/>
      <c r="GA16" s="213"/>
      <c r="GB16" s="213"/>
      <c r="GC16" s="213"/>
      <c r="GD16" s="213"/>
      <c r="GE16" s="213"/>
      <c r="GF16" s="213"/>
      <c r="GG16" s="213"/>
      <c r="GH16" s="213"/>
      <c r="GI16" s="213"/>
      <c r="GJ16" s="213"/>
      <c r="GK16" s="213"/>
      <c r="GL16" s="213"/>
      <c r="GM16" s="213"/>
      <c r="GN16" s="213"/>
      <c r="GO16" s="213"/>
      <c r="GP16" s="213"/>
      <c r="GQ16" s="213"/>
      <c r="GR16" s="213"/>
      <c r="GS16" s="213"/>
      <c r="GT16" s="213"/>
      <c r="GU16" s="213"/>
      <c r="GV16" s="213"/>
      <c r="GW16" s="213"/>
      <c r="GX16" s="213"/>
      <c r="GY16" s="213"/>
      <c r="GZ16" s="213"/>
      <c r="HA16" s="213"/>
      <c r="HB16" s="213"/>
      <c r="HC16" s="213"/>
      <c r="HD16" s="213"/>
      <c r="HE16" s="213"/>
      <c r="HF16" s="213"/>
      <c r="HG16" s="213"/>
      <c r="HH16" s="213"/>
      <c r="HI16" s="213"/>
      <c r="HJ16" s="213"/>
      <c r="HK16" s="213"/>
      <c r="HL16" s="213"/>
      <c r="HM16" s="213"/>
      <c r="HN16" s="213"/>
      <c r="HO16" s="213"/>
      <c r="HP16" s="213"/>
      <c r="HQ16" s="213"/>
      <c r="HR16" s="213"/>
      <c r="HS16" s="213"/>
      <c r="HT16" s="213"/>
      <c r="HU16" s="213"/>
      <c r="HV16" s="213"/>
      <c r="HW16" s="213"/>
      <c r="HX16" s="213"/>
      <c r="HY16" s="213"/>
      <c r="HZ16" s="213"/>
      <c r="IA16" s="213"/>
      <c r="IB16" s="213"/>
      <c r="IC16" s="213"/>
      <c r="ID16" s="213"/>
      <c r="IE16" s="213"/>
      <c r="IF16" s="213"/>
      <c r="IG16" s="213"/>
      <c r="IH16" s="213"/>
      <c r="II16" s="213"/>
      <c r="IJ16" s="213"/>
      <c r="IK16" s="213"/>
      <c r="IL16" s="213"/>
      <c r="IM16" s="213"/>
      <c r="IN16" s="213"/>
      <c r="IO16" s="213"/>
      <c r="IP16" s="213"/>
      <c r="IQ16" s="213"/>
      <c r="IR16" s="213"/>
      <c r="IS16" s="213"/>
      <c r="IT16" s="213"/>
      <c r="IU16" s="213"/>
      <c r="IV16" s="213"/>
    </row>
    <row r="17" s="156" customFormat="1" ht="15.75" customHeight="1" spans="1:256">
      <c r="A17" s="213"/>
      <c r="B17" s="233" t="s">
        <v>56</v>
      </c>
      <c r="C17" s="228" t="s">
        <v>57</v>
      </c>
      <c r="D17" s="228"/>
      <c r="E17" s="228"/>
      <c r="F17" s="233"/>
      <c r="G17" s="234"/>
      <c r="H17" s="234"/>
      <c r="I17" s="234"/>
      <c r="J17" s="33"/>
      <c r="K17" s="33"/>
      <c r="L17" s="33"/>
      <c r="M17" s="33"/>
      <c r="N17" s="33"/>
      <c r="O17" s="3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  <c r="CE17" s="213"/>
      <c r="CF17" s="213"/>
      <c r="CG17" s="213"/>
      <c r="CH17" s="213"/>
      <c r="CI17" s="213"/>
      <c r="CJ17" s="213"/>
      <c r="CK17" s="213"/>
      <c r="CL17" s="213"/>
      <c r="CM17" s="213"/>
      <c r="CN17" s="213"/>
      <c r="CO17" s="213"/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3"/>
      <c r="DA17" s="213"/>
      <c r="DB17" s="213"/>
      <c r="DC17" s="213"/>
      <c r="DD17" s="213"/>
      <c r="DE17" s="213"/>
      <c r="DF17" s="213"/>
      <c r="DG17" s="213"/>
      <c r="DH17" s="213"/>
      <c r="DI17" s="213"/>
      <c r="DJ17" s="213"/>
      <c r="DK17" s="213"/>
      <c r="DL17" s="213"/>
      <c r="DM17" s="213"/>
      <c r="DN17" s="213"/>
      <c r="DO17" s="213"/>
      <c r="DP17" s="213"/>
      <c r="DQ17" s="213"/>
      <c r="DR17" s="213"/>
      <c r="DS17" s="213"/>
      <c r="DT17" s="213"/>
      <c r="DU17" s="213"/>
      <c r="DV17" s="213"/>
      <c r="DW17" s="213"/>
      <c r="DX17" s="213"/>
      <c r="DY17" s="213"/>
      <c r="DZ17" s="213"/>
      <c r="EA17" s="213"/>
      <c r="EB17" s="213"/>
      <c r="EC17" s="213"/>
      <c r="ED17" s="213"/>
      <c r="EE17" s="213"/>
      <c r="EF17" s="213"/>
      <c r="EG17" s="213"/>
      <c r="EH17" s="213"/>
      <c r="EI17" s="213"/>
      <c r="EJ17" s="213"/>
      <c r="EK17" s="213"/>
      <c r="EL17" s="213"/>
      <c r="EM17" s="213"/>
      <c r="EN17" s="213"/>
      <c r="EO17" s="213"/>
      <c r="EP17" s="213"/>
      <c r="EQ17" s="213"/>
      <c r="ER17" s="213"/>
      <c r="ES17" s="213"/>
      <c r="ET17" s="213"/>
      <c r="EU17" s="213"/>
      <c r="EV17" s="213"/>
      <c r="EW17" s="213"/>
      <c r="EX17" s="213"/>
      <c r="EY17" s="213"/>
      <c r="EZ17" s="213"/>
      <c r="FA17" s="213"/>
      <c r="FB17" s="213"/>
      <c r="FC17" s="213"/>
      <c r="FD17" s="213"/>
      <c r="FE17" s="213"/>
      <c r="FF17" s="213"/>
      <c r="FG17" s="213"/>
      <c r="FH17" s="213"/>
      <c r="FI17" s="213"/>
      <c r="FJ17" s="213"/>
      <c r="FK17" s="213"/>
      <c r="FL17" s="213"/>
      <c r="FM17" s="213"/>
      <c r="FN17" s="213"/>
      <c r="FO17" s="213"/>
      <c r="FP17" s="213"/>
      <c r="FQ17" s="213"/>
      <c r="FR17" s="213"/>
      <c r="FS17" s="213"/>
      <c r="FT17" s="213"/>
      <c r="FU17" s="213"/>
      <c r="FV17" s="213"/>
      <c r="FW17" s="213"/>
      <c r="FX17" s="213"/>
      <c r="FY17" s="213"/>
      <c r="FZ17" s="213"/>
      <c r="GA17" s="213"/>
      <c r="GB17" s="213"/>
      <c r="GC17" s="213"/>
      <c r="GD17" s="213"/>
      <c r="GE17" s="213"/>
      <c r="GF17" s="213"/>
      <c r="GG17" s="213"/>
      <c r="GH17" s="213"/>
      <c r="GI17" s="213"/>
      <c r="GJ17" s="213"/>
      <c r="GK17" s="213"/>
      <c r="GL17" s="213"/>
      <c r="GM17" s="213"/>
      <c r="GN17" s="213"/>
      <c r="GO17" s="213"/>
      <c r="GP17" s="213"/>
      <c r="GQ17" s="213"/>
      <c r="GR17" s="213"/>
      <c r="GS17" s="213"/>
      <c r="GT17" s="213"/>
      <c r="GU17" s="213"/>
      <c r="GV17" s="213"/>
      <c r="GW17" s="213"/>
      <c r="GX17" s="213"/>
      <c r="GY17" s="213"/>
      <c r="GZ17" s="213"/>
      <c r="HA17" s="213"/>
      <c r="HB17" s="213"/>
      <c r="HC17" s="213"/>
      <c r="HD17" s="213"/>
      <c r="HE17" s="213"/>
      <c r="HF17" s="213"/>
      <c r="HG17" s="213"/>
      <c r="HH17" s="213"/>
      <c r="HI17" s="213"/>
      <c r="HJ17" s="213"/>
      <c r="HK17" s="213"/>
      <c r="HL17" s="213"/>
      <c r="HM17" s="213"/>
      <c r="HN17" s="213"/>
      <c r="HO17" s="213"/>
      <c r="HP17" s="213"/>
      <c r="HQ17" s="213"/>
      <c r="HR17" s="213"/>
      <c r="HS17" s="213"/>
      <c r="HT17" s="213"/>
      <c r="HU17" s="213"/>
      <c r="HV17" s="213"/>
      <c r="HW17" s="213"/>
      <c r="HX17" s="213"/>
      <c r="HY17" s="213"/>
      <c r="HZ17" s="213"/>
      <c r="IA17" s="213"/>
      <c r="IB17" s="213"/>
      <c r="IC17" s="213"/>
      <c r="ID17" s="213"/>
      <c r="IE17" s="213"/>
      <c r="IF17" s="213"/>
      <c r="IG17" s="213"/>
      <c r="IH17" s="213"/>
      <c r="II17" s="213"/>
      <c r="IJ17" s="213"/>
      <c r="IK17" s="213"/>
      <c r="IL17" s="213"/>
      <c r="IM17" s="213"/>
      <c r="IN17" s="213"/>
      <c r="IO17" s="213"/>
      <c r="IP17" s="213"/>
      <c r="IQ17" s="213"/>
      <c r="IR17" s="213"/>
      <c r="IS17" s="213"/>
      <c r="IT17" s="213"/>
      <c r="IU17" s="213"/>
      <c r="IV17" s="213"/>
    </row>
    <row r="18" s="156" customFormat="1" ht="33" customHeight="1" spans="1:256">
      <c r="A18" s="213"/>
      <c r="B18" s="233" t="s">
        <v>58</v>
      </c>
      <c r="C18" s="228" t="s">
        <v>59</v>
      </c>
      <c r="D18" s="228"/>
      <c r="E18" s="228"/>
      <c r="F18" s="236"/>
      <c r="G18" s="234"/>
      <c r="H18" s="234"/>
      <c r="I18" s="302"/>
      <c r="J18" s="303"/>
      <c r="K18" s="304"/>
      <c r="L18" s="33"/>
      <c r="M18" s="33"/>
      <c r="N18" s="33"/>
      <c r="O18" s="3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13"/>
      <c r="BZ18" s="213"/>
      <c r="CA18" s="213"/>
      <c r="CB18" s="213"/>
      <c r="CC18" s="213"/>
      <c r="CD18" s="213"/>
      <c r="CE18" s="213"/>
      <c r="CF18" s="213"/>
      <c r="CG18" s="213"/>
      <c r="CH18" s="213"/>
      <c r="CI18" s="213"/>
      <c r="CJ18" s="213"/>
      <c r="CK18" s="213"/>
      <c r="CL18" s="213"/>
      <c r="CM18" s="213"/>
      <c r="CN18" s="213"/>
      <c r="CO18" s="213"/>
      <c r="CP18" s="213"/>
      <c r="CQ18" s="213"/>
      <c r="CR18" s="213"/>
      <c r="CS18" s="213"/>
      <c r="CT18" s="213"/>
      <c r="CU18" s="213"/>
      <c r="CV18" s="213"/>
      <c r="CW18" s="213"/>
      <c r="CX18" s="213"/>
      <c r="CY18" s="213"/>
      <c r="CZ18" s="213"/>
      <c r="DA18" s="213"/>
      <c r="DB18" s="213"/>
      <c r="DC18" s="213"/>
      <c r="DD18" s="213"/>
      <c r="DE18" s="213"/>
      <c r="DF18" s="213"/>
      <c r="DG18" s="213"/>
      <c r="DH18" s="213"/>
      <c r="DI18" s="213"/>
      <c r="DJ18" s="213"/>
      <c r="DK18" s="213"/>
      <c r="DL18" s="213"/>
      <c r="DM18" s="213"/>
      <c r="DN18" s="213"/>
      <c r="DO18" s="213"/>
      <c r="DP18" s="213"/>
      <c r="DQ18" s="213"/>
      <c r="DR18" s="213"/>
      <c r="DS18" s="213"/>
      <c r="DT18" s="213"/>
      <c r="DU18" s="213"/>
      <c r="DV18" s="213"/>
      <c r="DW18" s="213"/>
      <c r="DX18" s="213"/>
      <c r="DY18" s="213"/>
      <c r="DZ18" s="213"/>
      <c r="EA18" s="213"/>
      <c r="EB18" s="213"/>
      <c r="EC18" s="213"/>
      <c r="ED18" s="213"/>
      <c r="EE18" s="213"/>
      <c r="EF18" s="213"/>
      <c r="EG18" s="213"/>
      <c r="EH18" s="213"/>
      <c r="EI18" s="213"/>
      <c r="EJ18" s="213"/>
      <c r="EK18" s="213"/>
      <c r="EL18" s="213"/>
      <c r="EM18" s="213"/>
      <c r="EN18" s="213"/>
      <c r="EO18" s="213"/>
      <c r="EP18" s="213"/>
      <c r="EQ18" s="213"/>
      <c r="ER18" s="213"/>
      <c r="ES18" s="213"/>
      <c r="ET18" s="213"/>
      <c r="EU18" s="213"/>
      <c r="EV18" s="213"/>
      <c r="EW18" s="213"/>
      <c r="EX18" s="213"/>
      <c r="EY18" s="213"/>
      <c r="EZ18" s="213"/>
      <c r="FA18" s="213"/>
      <c r="FB18" s="213"/>
      <c r="FC18" s="213"/>
      <c r="FD18" s="213"/>
      <c r="FE18" s="213"/>
      <c r="FF18" s="213"/>
      <c r="FG18" s="213"/>
      <c r="FH18" s="213"/>
      <c r="FI18" s="213"/>
      <c r="FJ18" s="213"/>
      <c r="FK18" s="213"/>
      <c r="FL18" s="213"/>
      <c r="FM18" s="213"/>
      <c r="FN18" s="213"/>
      <c r="FO18" s="213"/>
      <c r="FP18" s="213"/>
      <c r="FQ18" s="213"/>
      <c r="FR18" s="213"/>
      <c r="FS18" s="213"/>
      <c r="FT18" s="213"/>
      <c r="FU18" s="213"/>
      <c r="FV18" s="213"/>
      <c r="FW18" s="213"/>
      <c r="FX18" s="213"/>
      <c r="FY18" s="213"/>
      <c r="FZ18" s="213"/>
      <c r="GA18" s="213"/>
      <c r="GB18" s="213"/>
      <c r="GC18" s="213"/>
      <c r="GD18" s="213"/>
      <c r="GE18" s="213"/>
      <c r="GF18" s="213"/>
      <c r="GG18" s="213"/>
      <c r="GH18" s="213"/>
      <c r="GI18" s="213"/>
      <c r="GJ18" s="213"/>
      <c r="GK18" s="213"/>
      <c r="GL18" s="213"/>
      <c r="GM18" s="213"/>
      <c r="GN18" s="213"/>
      <c r="GO18" s="213"/>
      <c r="GP18" s="213"/>
      <c r="GQ18" s="213"/>
      <c r="GR18" s="213"/>
      <c r="GS18" s="213"/>
      <c r="GT18" s="213"/>
      <c r="GU18" s="213"/>
      <c r="GV18" s="213"/>
      <c r="GW18" s="213"/>
      <c r="GX18" s="213"/>
      <c r="GY18" s="213"/>
      <c r="GZ18" s="213"/>
      <c r="HA18" s="213"/>
      <c r="HB18" s="213"/>
      <c r="HC18" s="213"/>
      <c r="HD18" s="213"/>
      <c r="HE18" s="213"/>
      <c r="HF18" s="213"/>
      <c r="HG18" s="213"/>
      <c r="HH18" s="213"/>
      <c r="HI18" s="213"/>
      <c r="HJ18" s="213"/>
      <c r="HK18" s="213"/>
      <c r="HL18" s="213"/>
      <c r="HM18" s="213"/>
      <c r="HN18" s="213"/>
      <c r="HO18" s="213"/>
      <c r="HP18" s="213"/>
      <c r="HQ18" s="213"/>
      <c r="HR18" s="213"/>
      <c r="HS18" s="213"/>
      <c r="HT18" s="213"/>
      <c r="HU18" s="213"/>
      <c r="HV18" s="213"/>
      <c r="HW18" s="213"/>
      <c r="HX18" s="213"/>
      <c r="HY18" s="213"/>
      <c r="HZ18" s="213"/>
      <c r="IA18" s="213"/>
      <c r="IB18" s="213"/>
      <c r="IC18" s="213"/>
      <c r="ID18" s="213"/>
      <c r="IE18" s="213"/>
      <c r="IF18" s="213"/>
      <c r="IG18" s="213"/>
      <c r="IH18" s="213"/>
      <c r="II18" s="213"/>
      <c r="IJ18" s="213"/>
      <c r="IK18" s="213"/>
      <c r="IL18" s="213"/>
      <c r="IM18" s="213"/>
      <c r="IN18" s="213"/>
      <c r="IO18" s="213"/>
      <c r="IP18" s="213"/>
      <c r="IQ18" s="213"/>
      <c r="IR18" s="213"/>
      <c r="IS18" s="213"/>
      <c r="IT18" s="213"/>
      <c r="IU18" s="213"/>
      <c r="IV18" s="213"/>
    </row>
    <row r="19" s="156" customFormat="1" ht="36.75" customHeight="1" spans="1:256">
      <c r="A19" s="213"/>
      <c r="B19" s="233" t="s">
        <v>60</v>
      </c>
      <c r="C19" s="228" t="s">
        <v>61</v>
      </c>
      <c r="D19" s="228"/>
      <c r="E19" s="228"/>
      <c r="F19" s="236"/>
      <c r="G19" s="234"/>
      <c r="H19" s="234"/>
      <c r="I19" s="305"/>
      <c r="J19" s="306"/>
      <c r="K19" s="304"/>
      <c r="L19" s="33"/>
      <c r="M19" s="33"/>
      <c r="N19" s="33"/>
      <c r="O19" s="3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  <c r="CE19" s="213"/>
      <c r="CF19" s="213"/>
      <c r="CG19" s="213"/>
      <c r="CH19" s="213"/>
      <c r="CI19" s="213"/>
      <c r="CJ19" s="213"/>
      <c r="CK19" s="213"/>
      <c r="CL19" s="213"/>
      <c r="CM19" s="213"/>
      <c r="CN19" s="213"/>
      <c r="CO19" s="213"/>
      <c r="CP19" s="213"/>
      <c r="CQ19" s="213"/>
      <c r="CR19" s="213"/>
      <c r="CS19" s="213"/>
      <c r="CT19" s="213"/>
      <c r="CU19" s="213"/>
      <c r="CV19" s="213"/>
      <c r="CW19" s="213"/>
      <c r="CX19" s="213"/>
      <c r="CY19" s="213"/>
      <c r="CZ19" s="213"/>
      <c r="DA19" s="213"/>
      <c r="DB19" s="213"/>
      <c r="DC19" s="213"/>
      <c r="DD19" s="213"/>
      <c r="DE19" s="213"/>
      <c r="DF19" s="213"/>
      <c r="DG19" s="213"/>
      <c r="DH19" s="213"/>
      <c r="DI19" s="213"/>
      <c r="DJ19" s="213"/>
      <c r="DK19" s="213"/>
      <c r="DL19" s="213"/>
      <c r="DM19" s="213"/>
      <c r="DN19" s="213"/>
      <c r="DO19" s="213"/>
      <c r="DP19" s="213"/>
      <c r="DQ19" s="213"/>
      <c r="DR19" s="213"/>
      <c r="DS19" s="213"/>
      <c r="DT19" s="213"/>
      <c r="DU19" s="213"/>
      <c r="DV19" s="213"/>
      <c r="DW19" s="213"/>
      <c r="DX19" s="213"/>
      <c r="DY19" s="213"/>
      <c r="DZ19" s="213"/>
      <c r="EA19" s="213"/>
      <c r="EB19" s="213"/>
      <c r="EC19" s="213"/>
      <c r="ED19" s="213"/>
      <c r="EE19" s="213"/>
      <c r="EF19" s="213"/>
      <c r="EG19" s="213"/>
      <c r="EH19" s="213"/>
      <c r="EI19" s="213"/>
      <c r="EJ19" s="213"/>
      <c r="EK19" s="213"/>
      <c r="EL19" s="213"/>
      <c r="EM19" s="213"/>
      <c r="EN19" s="213"/>
      <c r="EO19" s="213"/>
      <c r="EP19" s="213"/>
      <c r="EQ19" s="213"/>
      <c r="ER19" s="213"/>
      <c r="ES19" s="213"/>
      <c r="ET19" s="213"/>
      <c r="EU19" s="213"/>
      <c r="EV19" s="213"/>
      <c r="EW19" s="213"/>
      <c r="EX19" s="213"/>
      <c r="EY19" s="213"/>
      <c r="EZ19" s="213"/>
      <c r="FA19" s="213"/>
      <c r="FB19" s="213"/>
      <c r="FC19" s="213"/>
      <c r="FD19" s="213"/>
      <c r="FE19" s="213"/>
      <c r="FF19" s="213"/>
      <c r="FG19" s="213"/>
      <c r="FH19" s="213"/>
      <c r="FI19" s="213"/>
      <c r="FJ19" s="213"/>
      <c r="FK19" s="213"/>
      <c r="FL19" s="213"/>
      <c r="FM19" s="213"/>
      <c r="FN19" s="213"/>
      <c r="FO19" s="213"/>
      <c r="FP19" s="213"/>
      <c r="FQ19" s="213"/>
      <c r="FR19" s="213"/>
      <c r="FS19" s="213"/>
      <c r="FT19" s="213"/>
      <c r="FU19" s="213"/>
      <c r="FV19" s="213"/>
      <c r="FW19" s="213"/>
      <c r="FX19" s="213"/>
      <c r="FY19" s="213"/>
      <c r="FZ19" s="213"/>
      <c r="GA19" s="213"/>
      <c r="GB19" s="213"/>
      <c r="GC19" s="213"/>
      <c r="GD19" s="213"/>
      <c r="GE19" s="213"/>
      <c r="GF19" s="213"/>
      <c r="GG19" s="213"/>
      <c r="GH19" s="213"/>
      <c r="GI19" s="213"/>
      <c r="GJ19" s="213"/>
      <c r="GK19" s="213"/>
      <c r="GL19" s="213"/>
      <c r="GM19" s="213"/>
      <c r="GN19" s="213"/>
      <c r="GO19" s="213"/>
      <c r="GP19" s="213"/>
      <c r="GQ19" s="213"/>
      <c r="GR19" s="213"/>
      <c r="GS19" s="213"/>
      <c r="GT19" s="213"/>
      <c r="GU19" s="213"/>
      <c r="GV19" s="213"/>
      <c r="GW19" s="213"/>
      <c r="GX19" s="213"/>
      <c r="GY19" s="213"/>
      <c r="GZ19" s="213"/>
      <c r="HA19" s="213"/>
      <c r="HB19" s="213"/>
      <c r="HC19" s="213"/>
      <c r="HD19" s="213"/>
      <c r="HE19" s="213"/>
      <c r="HF19" s="213"/>
      <c r="HG19" s="213"/>
      <c r="HH19" s="213"/>
      <c r="HI19" s="213"/>
      <c r="HJ19" s="213"/>
      <c r="HK19" s="213"/>
      <c r="HL19" s="213"/>
      <c r="HM19" s="213"/>
      <c r="HN19" s="213"/>
      <c r="HO19" s="213"/>
      <c r="HP19" s="213"/>
      <c r="HQ19" s="213"/>
      <c r="HR19" s="213"/>
      <c r="HS19" s="213"/>
      <c r="HT19" s="213"/>
      <c r="HU19" s="213"/>
      <c r="HV19" s="213"/>
      <c r="HW19" s="213"/>
      <c r="HX19" s="213"/>
      <c r="HY19" s="213"/>
      <c r="HZ19" s="213"/>
      <c r="IA19" s="213"/>
      <c r="IB19" s="213"/>
      <c r="IC19" s="213"/>
      <c r="ID19" s="213"/>
      <c r="IE19" s="213"/>
      <c r="IF19" s="213"/>
      <c r="IG19" s="213"/>
      <c r="IH19" s="213"/>
      <c r="II19" s="213"/>
      <c r="IJ19" s="213"/>
      <c r="IK19" s="213"/>
      <c r="IL19" s="213"/>
      <c r="IM19" s="213"/>
      <c r="IN19" s="213"/>
      <c r="IO19" s="213"/>
      <c r="IP19" s="213"/>
      <c r="IQ19" s="213"/>
      <c r="IR19" s="213"/>
      <c r="IS19" s="213"/>
      <c r="IT19" s="213"/>
      <c r="IU19" s="213"/>
      <c r="IV19" s="213"/>
    </row>
    <row r="20" s="156" customFormat="1" ht="19.5" spans="1:256">
      <c r="A20" s="213"/>
      <c r="B20" s="233" t="s">
        <v>62</v>
      </c>
      <c r="C20" s="228" t="s">
        <v>63</v>
      </c>
      <c r="D20" s="228"/>
      <c r="E20" s="228"/>
      <c r="F20" s="236"/>
      <c r="G20" s="234"/>
      <c r="H20" s="234"/>
      <c r="I20" s="305"/>
      <c r="J20" s="306"/>
      <c r="K20" s="304"/>
      <c r="L20" s="33"/>
      <c r="M20" s="33"/>
      <c r="N20" s="33"/>
      <c r="O20" s="3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3"/>
      <c r="BK20" s="213"/>
      <c r="BL20" s="213"/>
      <c r="BM20" s="213"/>
      <c r="BN20" s="213"/>
      <c r="BO20" s="213"/>
      <c r="BP20" s="213"/>
      <c r="BQ20" s="213"/>
      <c r="BR20" s="213"/>
      <c r="BS20" s="213"/>
      <c r="BT20" s="213"/>
      <c r="BU20" s="213"/>
      <c r="BV20" s="213"/>
      <c r="BW20" s="213"/>
      <c r="BX20" s="213"/>
      <c r="BY20" s="213"/>
      <c r="BZ20" s="213"/>
      <c r="CA20" s="213"/>
      <c r="CB20" s="213"/>
      <c r="CC20" s="213"/>
      <c r="CD20" s="213"/>
      <c r="CE20" s="213"/>
      <c r="CF20" s="213"/>
      <c r="CG20" s="213"/>
      <c r="CH20" s="213"/>
      <c r="CI20" s="213"/>
      <c r="CJ20" s="213"/>
      <c r="CK20" s="213"/>
      <c r="CL20" s="213"/>
      <c r="CM20" s="213"/>
      <c r="CN20" s="213"/>
      <c r="CO20" s="213"/>
      <c r="CP20" s="213"/>
      <c r="CQ20" s="213"/>
      <c r="CR20" s="213"/>
      <c r="CS20" s="213"/>
      <c r="CT20" s="213"/>
      <c r="CU20" s="213"/>
      <c r="CV20" s="213"/>
      <c r="CW20" s="213"/>
      <c r="CX20" s="213"/>
      <c r="CY20" s="213"/>
      <c r="CZ20" s="213"/>
      <c r="DA20" s="213"/>
      <c r="DB20" s="213"/>
      <c r="DC20" s="213"/>
      <c r="DD20" s="213"/>
      <c r="DE20" s="213"/>
      <c r="DF20" s="213"/>
      <c r="DG20" s="213"/>
      <c r="DH20" s="213"/>
      <c r="DI20" s="213"/>
      <c r="DJ20" s="213"/>
      <c r="DK20" s="213"/>
      <c r="DL20" s="213"/>
      <c r="DM20" s="213"/>
      <c r="DN20" s="213"/>
      <c r="DO20" s="213"/>
      <c r="DP20" s="213"/>
      <c r="DQ20" s="213"/>
      <c r="DR20" s="213"/>
      <c r="DS20" s="213"/>
      <c r="DT20" s="213"/>
      <c r="DU20" s="213"/>
      <c r="DV20" s="213"/>
      <c r="DW20" s="213"/>
      <c r="DX20" s="213"/>
      <c r="DY20" s="213"/>
      <c r="DZ20" s="213"/>
      <c r="EA20" s="213"/>
      <c r="EB20" s="213"/>
      <c r="EC20" s="213"/>
      <c r="ED20" s="213"/>
      <c r="EE20" s="213"/>
      <c r="EF20" s="213"/>
      <c r="EG20" s="213"/>
      <c r="EH20" s="213"/>
      <c r="EI20" s="213"/>
      <c r="EJ20" s="213"/>
      <c r="EK20" s="213"/>
      <c r="EL20" s="213"/>
      <c r="EM20" s="213"/>
      <c r="EN20" s="213"/>
      <c r="EO20" s="213"/>
      <c r="EP20" s="213"/>
      <c r="EQ20" s="213"/>
      <c r="ER20" s="213"/>
      <c r="ES20" s="213"/>
      <c r="ET20" s="213"/>
      <c r="EU20" s="213"/>
      <c r="EV20" s="213"/>
      <c r="EW20" s="213"/>
      <c r="EX20" s="213"/>
      <c r="EY20" s="213"/>
      <c r="EZ20" s="213"/>
      <c r="FA20" s="213"/>
      <c r="FB20" s="213"/>
      <c r="FC20" s="213"/>
      <c r="FD20" s="213"/>
      <c r="FE20" s="213"/>
      <c r="FF20" s="213"/>
      <c r="FG20" s="213"/>
      <c r="FH20" s="213"/>
      <c r="FI20" s="213"/>
      <c r="FJ20" s="213"/>
      <c r="FK20" s="213"/>
      <c r="FL20" s="213"/>
      <c r="FM20" s="213"/>
      <c r="FN20" s="213"/>
      <c r="FO20" s="213"/>
      <c r="FP20" s="213"/>
      <c r="FQ20" s="213"/>
      <c r="FR20" s="213"/>
      <c r="FS20" s="213"/>
      <c r="FT20" s="213"/>
      <c r="FU20" s="213"/>
      <c r="FV20" s="213"/>
      <c r="FW20" s="213"/>
      <c r="FX20" s="213"/>
      <c r="FY20" s="213"/>
      <c r="FZ20" s="213"/>
      <c r="GA20" s="213"/>
      <c r="GB20" s="213"/>
      <c r="GC20" s="213"/>
      <c r="GD20" s="213"/>
      <c r="GE20" s="213"/>
      <c r="GF20" s="213"/>
      <c r="GG20" s="213"/>
      <c r="GH20" s="213"/>
      <c r="GI20" s="213"/>
      <c r="GJ20" s="213"/>
      <c r="GK20" s="213"/>
      <c r="GL20" s="213"/>
      <c r="GM20" s="213"/>
      <c r="GN20" s="213"/>
      <c r="GO20" s="213"/>
      <c r="GP20" s="213"/>
      <c r="GQ20" s="213"/>
      <c r="GR20" s="213"/>
      <c r="GS20" s="213"/>
      <c r="GT20" s="213"/>
      <c r="GU20" s="213"/>
      <c r="GV20" s="213"/>
      <c r="GW20" s="213"/>
      <c r="GX20" s="213"/>
      <c r="GY20" s="213"/>
      <c r="GZ20" s="213"/>
      <c r="HA20" s="213"/>
      <c r="HB20" s="213"/>
      <c r="HC20" s="213"/>
      <c r="HD20" s="213"/>
      <c r="HE20" s="213"/>
      <c r="HF20" s="213"/>
      <c r="HG20" s="213"/>
      <c r="HH20" s="213"/>
      <c r="HI20" s="213"/>
      <c r="HJ20" s="213"/>
      <c r="HK20" s="213"/>
      <c r="HL20" s="213"/>
      <c r="HM20" s="213"/>
      <c r="HN20" s="213"/>
      <c r="HO20" s="213"/>
      <c r="HP20" s="213"/>
      <c r="HQ20" s="213"/>
      <c r="HR20" s="213"/>
      <c r="HS20" s="213"/>
      <c r="HT20" s="213"/>
      <c r="HU20" s="213"/>
      <c r="HV20" s="213"/>
      <c r="HW20" s="213"/>
      <c r="HX20" s="213"/>
      <c r="HY20" s="213"/>
      <c r="HZ20" s="213"/>
      <c r="IA20" s="213"/>
      <c r="IB20" s="213"/>
      <c r="IC20" s="213"/>
      <c r="ID20" s="213"/>
      <c r="IE20" s="213"/>
      <c r="IF20" s="213"/>
      <c r="IG20" s="213"/>
      <c r="IH20" s="213"/>
      <c r="II20" s="213"/>
      <c r="IJ20" s="213"/>
      <c r="IK20" s="213"/>
      <c r="IL20" s="213"/>
      <c r="IM20" s="213"/>
      <c r="IN20" s="213"/>
      <c r="IO20" s="213"/>
      <c r="IP20" s="213"/>
      <c r="IQ20" s="213"/>
      <c r="IR20" s="213"/>
      <c r="IS20" s="213"/>
      <c r="IT20" s="213"/>
      <c r="IU20" s="213"/>
      <c r="IV20" s="213"/>
    </row>
    <row r="21" s="156" customFormat="1" spans="1:256">
      <c r="A21" s="213"/>
      <c r="B21" s="233" t="s">
        <v>43</v>
      </c>
      <c r="C21" s="228" t="s">
        <v>64</v>
      </c>
      <c r="D21" s="228"/>
      <c r="E21" s="228"/>
      <c r="F21" s="236"/>
      <c r="G21" s="234"/>
      <c r="H21" s="234"/>
      <c r="I21" s="305"/>
      <c r="J21" s="306"/>
      <c r="K21" s="304"/>
      <c r="L21" s="33"/>
      <c r="M21" s="33"/>
      <c r="N21" s="33"/>
      <c r="O21" s="3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  <c r="CE21" s="213"/>
      <c r="CF21" s="213"/>
      <c r="CG21" s="213"/>
      <c r="CH21" s="213"/>
      <c r="CI21" s="213"/>
      <c r="CJ21" s="213"/>
      <c r="CK21" s="213"/>
      <c r="CL21" s="213"/>
      <c r="CM21" s="213"/>
      <c r="CN21" s="213"/>
      <c r="CO21" s="213"/>
      <c r="CP21" s="213"/>
      <c r="CQ21" s="213"/>
      <c r="CR21" s="213"/>
      <c r="CS21" s="213"/>
      <c r="CT21" s="213"/>
      <c r="CU21" s="213"/>
      <c r="CV21" s="213"/>
      <c r="CW21" s="213"/>
      <c r="CX21" s="213"/>
      <c r="CY21" s="213"/>
      <c r="CZ21" s="213"/>
      <c r="DA21" s="213"/>
      <c r="DB21" s="213"/>
      <c r="DC21" s="213"/>
      <c r="DD21" s="213"/>
      <c r="DE21" s="213"/>
      <c r="DF21" s="213"/>
      <c r="DG21" s="213"/>
      <c r="DH21" s="213"/>
      <c r="DI21" s="213"/>
      <c r="DJ21" s="213"/>
      <c r="DK21" s="213"/>
      <c r="DL21" s="213"/>
      <c r="DM21" s="213"/>
      <c r="DN21" s="213"/>
      <c r="DO21" s="213"/>
      <c r="DP21" s="213"/>
      <c r="DQ21" s="213"/>
      <c r="DR21" s="213"/>
      <c r="DS21" s="213"/>
      <c r="DT21" s="213"/>
      <c r="DU21" s="213"/>
      <c r="DV21" s="213"/>
      <c r="DW21" s="213"/>
      <c r="DX21" s="213"/>
      <c r="DY21" s="213"/>
      <c r="DZ21" s="213"/>
      <c r="EA21" s="213"/>
      <c r="EB21" s="213"/>
      <c r="EC21" s="213"/>
      <c r="ED21" s="213"/>
      <c r="EE21" s="213"/>
      <c r="EF21" s="213"/>
      <c r="EG21" s="213"/>
      <c r="EH21" s="213"/>
      <c r="EI21" s="213"/>
      <c r="EJ21" s="213"/>
      <c r="EK21" s="213"/>
      <c r="EL21" s="213"/>
      <c r="EM21" s="213"/>
      <c r="EN21" s="213"/>
      <c r="EO21" s="213"/>
      <c r="EP21" s="213"/>
      <c r="EQ21" s="213"/>
      <c r="ER21" s="213"/>
      <c r="ES21" s="213"/>
      <c r="ET21" s="213"/>
      <c r="EU21" s="213"/>
      <c r="EV21" s="213"/>
      <c r="EW21" s="213"/>
      <c r="EX21" s="213"/>
      <c r="EY21" s="213"/>
      <c r="EZ21" s="213"/>
      <c r="FA21" s="213"/>
      <c r="FB21" s="213"/>
      <c r="FC21" s="213"/>
      <c r="FD21" s="213"/>
      <c r="FE21" s="213"/>
      <c r="FF21" s="213"/>
      <c r="FG21" s="213"/>
      <c r="FH21" s="213"/>
      <c r="FI21" s="213"/>
      <c r="FJ21" s="213"/>
      <c r="FK21" s="213"/>
      <c r="FL21" s="213"/>
      <c r="FM21" s="213"/>
      <c r="FN21" s="213"/>
      <c r="FO21" s="213"/>
      <c r="FP21" s="213"/>
      <c r="FQ21" s="213"/>
      <c r="FR21" s="213"/>
      <c r="FS21" s="213"/>
      <c r="FT21" s="213"/>
      <c r="FU21" s="213"/>
      <c r="FV21" s="213"/>
      <c r="FW21" s="213"/>
      <c r="FX21" s="213"/>
      <c r="FY21" s="213"/>
      <c r="FZ21" s="213"/>
      <c r="GA21" s="213"/>
      <c r="GB21" s="213"/>
      <c r="GC21" s="213"/>
      <c r="GD21" s="213"/>
      <c r="GE21" s="213"/>
      <c r="GF21" s="213"/>
      <c r="GG21" s="213"/>
      <c r="GH21" s="213"/>
      <c r="GI21" s="213"/>
      <c r="GJ21" s="213"/>
      <c r="GK21" s="213"/>
      <c r="GL21" s="213"/>
      <c r="GM21" s="213"/>
      <c r="GN21" s="213"/>
      <c r="GO21" s="213"/>
      <c r="GP21" s="213"/>
      <c r="GQ21" s="213"/>
      <c r="GR21" s="213"/>
      <c r="GS21" s="213"/>
      <c r="GT21" s="213"/>
      <c r="GU21" s="213"/>
      <c r="GV21" s="213"/>
      <c r="GW21" s="213"/>
      <c r="GX21" s="213"/>
      <c r="GY21" s="213"/>
      <c r="GZ21" s="213"/>
      <c r="HA21" s="213"/>
      <c r="HB21" s="213"/>
      <c r="HC21" s="213"/>
      <c r="HD21" s="213"/>
      <c r="HE21" s="213"/>
      <c r="HF21" s="213"/>
      <c r="HG21" s="213"/>
      <c r="HH21" s="213"/>
      <c r="HI21" s="213"/>
      <c r="HJ21" s="213"/>
      <c r="HK21" s="213"/>
      <c r="HL21" s="213"/>
      <c r="HM21" s="213"/>
      <c r="HN21" s="213"/>
      <c r="HO21" s="213"/>
      <c r="HP21" s="213"/>
      <c r="HQ21" s="213"/>
      <c r="HR21" s="213"/>
      <c r="HS21" s="213"/>
      <c r="HT21" s="213"/>
      <c r="HU21" s="213"/>
      <c r="HV21" s="213"/>
      <c r="HW21" s="213"/>
      <c r="HX21" s="213"/>
      <c r="HY21" s="213"/>
      <c r="HZ21" s="213"/>
      <c r="IA21" s="213"/>
      <c r="IB21" s="213"/>
      <c r="IC21" s="213"/>
      <c r="ID21" s="213"/>
      <c r="IE21" s="213"/>
      <c r="IF21" s="213"/>
      <c r="IG21" s="213"/>
      <c r="IH21" s="213"/>
      <c r="II21" s="213"/>
      <c r="IJ21" s="213"/>
      <c r="IK21" s="213"/>
      <c r="IL21" s="213"/>
      <c r="IM21" s="213"/>
      <c r="IN21" s="213"/>
      <c r="IO21" s="213"/>
      <c r="IP21" s="213"/>
      <c r="IQ21" s="213"/>
      <c r="IR21" s="213"/>
      <c r="IS21" s="213"/>
      <c r="IT21" s="213"/>
      <c r="IU21" s="213"/>
      <c r="IV21" s="213"/>
    </row>
    <row r="22" s="156" customFormat="1" ht="16.25" spans="1:256">
      <c r="A22" s="213"/>
      <c r="B22" s="237" t="s">
        <v>65</v>
      </c>
      <c r="C22" s="238" t="s">
        <v>66</v>
      </c>
      <c r="D22" s="238"/>
      <c r="E22" s="238"/>
      <c r="F22" s="233"/>
      <c r="G22" s="234"/>
      <c r="H22" s="234"/>
      <c r="I22" s="305"/>
      <c r="J22" s="306"/>
      <c r="K22" s="304"/>
      <c r="L22" s="33"/>
      <c r="M22" s="33"/>
      <c r="N22" s="33"/>
      <c r="O22" s="3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/>
      <c r="BF22" s="213"/>
      <c r="BG22" s="213"/>
      <c r="BH22" s="213"/>
      <c r="BI22" s="213"/>
      <c r="BJ22" s="213"/>
      <c r="BK22" s="213"/>
      <c r="BL22" s="213"/>
      <c r="BM22" s="213"/>
      <c r="BN22" s="213"/>
      <c r="BO22" s="213"/>
      <c r="BP22" s="213"/>
      <c r="BQ22" s="213"/>
      <c r="BR22" s="213"/>
      <c r="BS22" s="213"/>
      <c r="BT22" s="213"/>
      <c r="BU22" s="213"/>
      <c r="BV22" s="213"/>
      <c r="BW22" s="213"/>
      <c r="BX22" s="213"/>
      <c r="BY22" s="213"/>
      <c r="BZ22" s="213"/>
      <c r="CA22" s="213"/>
      <c r="CB22" s="213"/>
      <c r="CC22" s="213"/>
      <c r="CD22" s="213"/>
      <c r="CE22" s="213"/>
      <c r="CF22" s="213"/>
      <c r="CG22" s="213"/>
      <c r="CH22" s="213"/>
      <c r="CI22" s="213"/>
      <c r="CJ22" s="213"/>
      <c r="CK22" s="213"/>
      <c r="CL22" s="213"/>
      <c r="CM22" s="213"/>
      <c r="CN22" s="213"/>
      <c r="CO22" s="213"/>
      <c r="CP22" s="213"/>
      <c r="CQ22" s="213"/>
      <c r="CR22" s="213"/>
      <c r="CS22" s="213"/>
      <c r="CT22" s="213"/>
      <c r="CU22" s="213"/>
      <c r="CV22" s="213"/>
      <c r="CW22" s="213"/>
      <c r="CX22" s="213"/>
      <c r="CY22" s="213"/>
      <c r="CZ22" s="213"/>
      <c r="DA22" s="213"/>
      <c r="DB22" s="213"/>
      <c r="DC22" s="213"/>
      <c r="DD22" s="213"/>
      <c r="DE22" s="213"/>
      <c r="DF22" s="213"/>
      <c r="DG22" s="213"/>
      <c r="DH22" s="213"/>
      <c r="DI22" s="213"/>
      <c r="DJ22" s="213"/>
      <c r="DK22" s="213"/>
      <c r="DL22" s="213"/>
      <c r="DM22" s="213"/>
      <c r="DN22" s="213"/>
      <c r="DO22" s="213"/>
      <c r="DP22" s="213"/>
      <c r="DQ22" s="213"/>
      <c r="DR22" s="213"/>
      <c r="DS22" s="213"/>
      <c r="DT22" s="213"/>
      <c r="DU22" s="213"/>
      <c r="DV22" s="213"/>
      <c r="DW22" s="213"/>
      <c r="DX22" s="213"/>
      <c r="DY22" s="213"/>
      <c r="DZ22" s="213"/>
      <c r="EA22" s="213"/>
      <c r="EB22" s="213"/>
      <c r="EC22" s="213"/>
      <c r="ED22" s="213"/>
      <c r="EE22" s="213"/>
      <c r="EF22" s="213"/>
      <c r="EG22" s="213"/>
      <c r="EH22" s="213"/>
      <c r="EI22" s="213"/>
      <c r="EJ22" s="213"/>
      <c r="EK22" s="213"/>
      <c r="EL22" s="213"/>
      <c r="EM22" s="213"/>
      <c r="EN22" s="213"/>
      <c r="EO22" s="213"/>
      <c r="EP22" s="213"/>
      <c r="EQ22" s="213"/>
      <c r="ER22" s="213"/>
      <c r="ES22" s="213"/>
      <c r="ET22" s="213"/>
      <c r="EU22" s="213"/>
      <c r="EV22" s="213"/>
      <c r="EW22" s="213"/>
      <c r="EX22" s="213"/>
      <c r="EY22" s="213"/>
      <c r="EZ22" s="213"/>
      <c r="FA22" s="213"/>
      <c r="FB22" s="213"/>
      <c r="FC22" s="213"/>
      <c r="FD22" s="213"/>
      <c r="FE22" s="213"/>
      <c r="FF22" s="213"/>
      <c r="FG22" s="213"/>
      <c r="FH22" s="213"/>
      <c r="FI22" s="213"/>
      <c r="FJ22" s="213"/>
      <c r="FK22" s="213"/>
      <c r="FL22" s="213"/>
      <c r="FM22" s="213"/>
      <c r="FN22" s="213"/>
      <c r="FO22" s="213"/>
      <c r="FP22" s="213"/>
      <c r="FQ22" s="213"/>
      <c r="FR22" s="213"/>
      <c r="FS22" s="213"/>
      <c r="FT22" s="213"/>
      <c r="FU22" s="213"/>
      <c r="FV22" s="213"/>
      <c r="FW22" s="213"/>
      <c r="FX22" s="213"/>
      <c r="FY22" s="213"/>
      <c r="FZ22" s="213"/>
      <c r="GA22" s="213"/>
      <c r="GB22" s="213"/>
      <c r="GC22" s="213"/>
      <c r="GD22" s="213"/>
      <c r="GE22" s="213"/>
      <c r="GF22" s="213"/>
      <c r="GG22" s="213"/>
      <c r="GH22" s="213"/>
      <c r="GI22" s="213"/>
      <c r="GJ22" s="213"/>
      <c r="GK22" s="213"/>
      <c r="GL22" s="213"/>
      <c r="GM22" s="213"/>
      <c r="GN22" s="213"/>
      <c r="GO22" s="213"/>
      <c r="GP22" s="213"/>
      <c r="GQ22" s="213"/>
      <c r="GR22" s="213"/>
      <c r="GS22" s="213"/>
      <c r="GT22" s="213"/>
      <c r="GU22" s="213"/>
      <c r="GV22" s="213"/>
      <c r="GW22" s="213"/>
      <c r="GX22" s="213"/>
      <c r="GY22" s="213"/>
      <c r="GZ22" s="213"/>
      <c r="HA22" s="213"/>
      <c r="HB22" s="213"/>
      <c r="HC22" s="213"/>
      <c r="HD22" s="213"/>
      <c r="HE22" s="213"/>
      <c r="HF22" s="213"/>
      <c r="HG22" s="213"/>
      <c r="HH22" s="213"/>
      <c r="HI22" s="213"/>
      <c r="HJ22" s="213"/>
      <c r="HK22" s="213"/>
      <c r="HL22" s="213"/>
      <c r="HM22" s="213"/>
      <c r="HN22" s="213"/>
      <c r="HO22" s="213"/>
      <c r="HP22" s="213"/>
      <c r="HQ22" s="213"/>
      <c r="HR22" s="213"/>
      <c r="HS22" s="213"/>
      <c r="HT22" s="213"/>
      <c r="HU22" s="213"/>
      <c r="HV22" s="213"/>
      <c r="HW22" s="213"/>
      <c r="HX22" s="213"/>
      <c r="HY22" s="213"/>
      <c r="HZ22" s="213"/>
      <c r="IA22" s="213"/>
      <c r="IB22" s="213"/>
      <c r="IC22" s="213"/>
      <c r="ID22" s="213"/>
      <c r="IE22" s="213"/>
      <c r="IF22" s="213"/>
      <c r="IG22" s="213"/>
      <c r="IH22" s="213"/>
      <c r="II22" s="213"/>
      <c r="IJ22" s="213"/>
      <c r="IK22" s="213"/>
      <c r="IL22" s="213"/>
      <c r="IM22" s="213"/>
      <c r="IN22" s="213"/>
      <c r="IO22" s="213"/>
      <c r="IP22" s="213"/>
      <c r="IQ22" s="213"/>
      <c r="IR22" s="213"/>
      <c r="IS22" s="213"/>
      <c r="IT22" s="213"/>
      <c r="IU22" s="213"/>
      <c r="IV22" s="213"/>
    </row>
    <row r="23" s="156" customFormat="1" spans="1:256">
      <c r="A23" s="213"/>
      <c r="B23" s="233"/>
      <c r="C23" s="228"/>
      <c r="D23" s="228"/>
      <c r="E23" s="228"/>
      <c r="I23" s="304"/>
      <c r="J23" s="304"/>
      <c r="K23" s="304"/>
      <c r="L23" s="33"/>
      <c r="M23" s="33"/>
      <c r="N23" s="33"/>
      <c r="O23" s="3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3"/>
      <c r="BK23" s="213"/>
      <c r="BL23" s="213"/>
      <c r="BM23" s="213"/>
      <c r="BN23" s="213"/>
      <c r="BO23" s="213"/>
      <c r="BP23" s="213"/>
      <c r="BQ23" s="213"/>
      <c r="BR23" s="213"/>
      <c r="BS23" s="213"/>
      <c r="BT23" s="213"/>
      <c r="BU23" s="213"/>
      <c r="BV23" s="213"/>
      <c r="BW23" s="213"/>
      <c r="BX23" s="213"/>
      <c r="BY23" s="213"/>
      <c r="BZ23" s="213"/>
      <c r="CA23" s="213"/>
      <c r="CB23" s="213"/>
      <c r="CC23" s="213"/>
      <c r="CD23" s="213"/>
      <c r="CE23" s="213"/>
      <c r="CF23" s="213"/>
      <c r="CG23" s="213"/>
      <c r="CH23" s="213"/>
      <c r="CI23" s="213"/>
      <c r="CJ23" s="213"/>
      <c r="CK23" s="213"/>
      <c r="CL23" s="213"/>
      <c r="CM23" s="213"/>
      <c r="CN23" s="213"/>
      <c r="CO23" s="213"/>
      <c r="CP23" s="213"/>
      <c r="CQ23" s="213"/>
      <c r="CR23" s="213"/>
      <c r="CS23" s="213"/>
      <c r="CT23" s="213"/>
      <c r="CU23" s="213"/>
      <c r="CV23" s="213"/>
      <c r="CW23" s="213"/>
      <c r="CX23" s="213"/>
      <c r="CY23" s="213"/>
      <c r="CZ23" s="213"/>
      <c r="DA23" s="213"/>
      <c r="DB23" s="213"/>
      <c r="DC23" s="213"/>
      <c r="DD23" s="213"/>
      <c r="DE23" s="213"/>
      <c r="DF23" s="213"/>
      <c r="DG23" s="213"/>
      <c r="DH23" s="213"/>
      <c r="DI23" s="213"/>
      <c r="DJ23" s="213"/>
      <c r="DK23" s="213"/>
      <c r="DL23" s="213"/>
      <c r="DM23" s="213"/>
      <c r="DN23" s="213"/>
      <c r="DO23" s="213"/>
      <c r="DP23" s="213"/>
      <c r="DQ23" s="213"/>
      <c r="DR23" s="213"/>
      <c r="DS23" s="213"/>
      <c r="DT23" s="213"/>
      <c r="DU23" s="213"/>
      <c r="DV23" s="213"/>
      <c r="DW23" s="213"/>
      <c r="DX23" s="213"/>
      <c r="DY23" s="213"/>
      <c r="DZ23" s="213"/>
      <c r="EA23" s="213"/>
      <c r="EB23" s="213"/>
      <c r="EC23" s="213"/>
      <c r="ED23" s="213"/>
      <c r="EE23" s="213"/>
      <c r="EF23" s="213"/>
      <c r="EG23" s="213"/>
      <c r="EH23" s="213"/>
      <c r="EI23" s="213"/>
      <c r="EJ23" s="213"/>
      <c r="EK23" s="213"/>
      <c r="EL23" s="213"/>
      <c r="EM23" s="213"/>
      <c r="EN23" s="213"/>
      <c r="EO23" s="213"/>
      <c r="EP23" s="213"/>
      <c r="EQ23" s="213"/>
      <c r="ER23" s="213"/>
      <c r="ES23" s="213"/>
      <c r="ET23" s="213"/>
      <c r="EU23" s="213"/>
      <c r="EV23" s="213"/>
      <c r="EW23" s="213"/>
      <c r="EX23" s="213"/>
      <c r="EY23" s="213"/>
      <c r="EZ23" s="213"/>
      <c r="FA23" s="213"/>
      <c r="FB23" s="213"/>
      <c r="FC23" s="213"/>
      <c r="FD23" s="213"/>
      <c r="FE23" s="213"/>
      <c r="FF23" s="213"/>
      <c r="FG23" s="213"/>
      <c r="FH23" s="213"/>
      <c r="FI23" s="213"/>
      <c r="FJ23" s="213"/>
      <c r="FK23" s="213"/>
      <c r="FL23" s="213"/>
      <c r="FM23" s="213"/>
      <c r="FN23" s="213"/>
      <c r="FO23" s="213"/>
      <c r="FP23" s="213"/>
      <c r="FQ23" s="213"/>
      <c r="FR23" s="213"/>
      <c r="FS23" s="213"/>
      <c r="FT23" s="213"/>
      <c r="FU23" s="213"/>
      <c r="FV23" s="213"/>
      <c r="FW23" s="213"/>
      <c r="FX23" s="213"/>
      <c r="FY23" s="213"/>
      <c r="FZ23" s="213"/>
      <c r="GA23" s="213"/>
      <c r="GB23" s="213"/>
      <c r="GC23" s="213"/>
      <c r="GD23" s="213"/>
      <c r="GE23" s="213"/>
      <c r="GF23" s="213"/>
      <c r="GG23" s="213"/>
      <c r="GH23" s="213"/>
      <c r="GI23" s="213"/>
      <c r="GJ23" s="213"/>
      <c r="GK23" s="213"/>
      <c r="GL23" s="213"/>
      <c r="GM23" s="213"/>
      <c r="GN23" s="213"/>
      <c r="GO23" s="213"/>
      <c r="GP23" s="213"/>
      <c r="GQ23" s="213"/>
      <c r="GR23" s="213"/>
      <c r="GS23" s="213"/>
      <c r="GT23" s="213"/>
      <c r="GU23" s="213"/>
      <c r="GV23" s="213"/>
      <c r="GW23" s="213"/>
      <c r="GX23" s="213"/>
      <c r="GY23" s="213"/>
      <c r="GZ23" s="213"/>
      <c r="HA23" s="213"/>
      <c r="HB23" s="213"/>
      <c r="HC23" s="213"/>
      <c r="HD23" s="213"/>
      <c r="HE23" s="213"/>
      <c r="HF23" s="213"/>
      <c r="HG23" s="213"/>
      <c r="HH23" s="213"/>
      <c r="HI23" s="213"/>
      <c r="HJ23" s="213"/>
      <c r="HK23" s="213"/>
      <c r="HL23" s="213"/>
      <c r="HM23" s="213"/>
      <c r="HN23" s="213"/>
      <c r="HO23" s="213"/>
      <c r="HP23" s="213"/>
      <c r="HQ23" s="213"/>
      <c r="HR23" s="213"/>
      <c r="HS23" s="213"/>
      <c r="HT23" s="213"/>
      <c r="HU23" s="213"/>
      <c r="HV23" s="213"/>
      <c r="HW23" s="213"/>
      <c r="HX23" s="213"/>
      <c r="HY23" s="213"/>
      <c r="HZ23" s="213"/>
      <c r="IA23" s="213"/>
      <c r="IB23" s="213"/>
      <c r="IC23" s="213"/>
      <c r="ID23" s="213"/>
      <c r="IE23" s="213"/>
      <c r="IF23" s="213"/>
      <c r="IG23" s="213"/>
      <c r="IH23" s="213"/>
      <c r="II23" s="213"/>
      <c r="IJ23" s="213"/>
      <c r="IK23" s="213"/>
      <c r="IL23" s="213"/>
      <c r="IM23" s="213"/>
      <c r="IN23" s="213"/>
      <c r="IO23" s="213"/>
      <c r="IP23" s="213"/>
      <c r="IQ23" s="213"/>
      <c r="IR23" s="213"/>
      <c r="IS23" s="213"/>
      <c r="IT23" s="213"/>
      <c r="IU23" s="213"/>
      <c r="IV23" s="213"/>
    </row>
    <row r="24" s="156" customFormat="1" ht="15" customHeight="1" spans="1:256">
      <c r="A24" s="213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3"/>
      <c r="CD24" s="213"/>
      <c r="CE24" s="213"/>
      <c r="CF24" s="213"/>
      <c r="CG24" s="213"/>
      <c r="CH24" s="213"/>
      <c r="CI24" s="213"/>
      <c r="CJ24" s="213"/>
      <c r="CK24" s="213"/>
      <c r="CL24" s="213"/>
      <c r="CM24" s="213"/>
      <c r="CN24" s="213"/>
      <c r="CO24" s="213"/>
      <c r="CP24" s="213"/>
      <c r="CQ24" s="213"/>
      <c r="CR24" s="213"/>
      <c r="CS24" s="213"/>
      <c r="CT24" s="213"/>
      <c r="CU24" s="213"/>
      <c r="CV24" s="213"/>
      <c r="CW24" s="213"/>
      <c r="CX24" s="213"/>
      <c r="CY24" s="213"/>
      <c r="CZ24" s="213"/>
      <c r="DA24" s="213"/>
      <c r="DB24" s="213"/>
      <c r="DC24" s="213"/>
      <c r="DD24" s="213"/>
      <c r="DE24" s="213"/>
      <c r="DF24" s="213"/>
      <c r="DG24" s="213"/>
      <c r="DH24" s="213"/>
      <c r="DI24" s="213"/>
      <c r="DJ24" s="213"/>
      <c r="DK24" s="213"/>
      <c r="DL24" s="213"/>
      <c r="DM24" s="213"/>
      <c r="DN24" s="213"/>
      <c r="DO24" s="213"/>
      <c r="DP24" s="213"/>
      <c r="DQ24" s="213"/>
      <c r="DR24" s="213"/>
      <c r="DS24" s="213"/>
      <c r="DT24" s="213"/>
      <c r="DU24" s="213"/>
      <c r="DV24" s="213"/>
      <c r="DW24" s="213"/>
      <c r="DX24" s="213"/>
      <c r="DY24" s="213"/>
      <c r="DZ24" s="213"/>
      <c r="EA24" s="213"/>
      <c r="EB24" s="213"/>
      <c r="EC24" s="213"/>
      <c r="ED24" s="213"/>
      <c r="EE24" s="213"/>
      <c r="EF24" s="213"/>
      <c r="EG24" s="213"/>
      <c r="EH24" s="213"/>
      <c r="EI24" s="213"/>
      <c r="EJ24" s="213"/>
      <c r="EK24" s="213"/>
      <c r="EL24" s="213"/>
      <c r="EM24" s="213"/>
      <c r="EN24" s="213"/>
      <c r="EO24" s="213"/>
      <c r="EP24" s="213"/>
      <c r="EQ24" s="213"/>
      <c r="ER24" s="213"/>
      <c r="ES24" s="213"/>
      <c r="ET24" s="213"/>
      <c r="EU24" s="213"/>
      <c r="EV24" s="213"/>
      <c r="EW24" s="213"/>
      <c r="EX24" s="213"/>
      <c r="EY24" s="213"/>
      <c r="EZ24" s="213"/>
      <c r="FA24" s="213"/>
      <c r="FB24" s="213"/>
      <c r="FC24" s="213"/>
      <c r="FD24" s="213"/>
      <c r="FE24" s="213"/>
      <c r="FF24" s="213"/>
      <c r="FG24" s="213"/>
      <c r="FH24" s="213"/>
      <c r="FI24" s="213"/>
      <c r="FJ24" s="213"/>
      <c r="FK24" s="213"/>
      <c r="FL24" s="213"/>
      <c r="FM24" s="213"/>
      <c r="FN24" s="213"/>
      <c r="FO24" s="213"/>
      <c r="FP24" s="213"/>
      <c r="FQ24" s="213"/>
      <c r="FR24" s="213"/>
      <c r="FS24" s="213"/>
      <c r="FT24" s="213"/>
      <c r="FU24" s="213"/>
      <c r="FV24" s="213"/>
      <c r="FW24" s="213"/>
      <c r="FX24" s="213"/>
      <c r="FY24" s="213"/>
      <c r="FZ24" s="213"/>
      <c r="GA24" s="213"/>
      <c r="GB24" s="213"/>
      <c r="GC24" s="213"/>
      <c r="GD24" s="213"/>
      <c r="GE24" s="213"/>
      <c r="GF24" s="213"/>
      <c r="GG24" s="213"/>
      <c r="GH24" s="213"/>
      <c r="GI24" s="213"/>
      <c r="GJ24" s="213"/>
      <c r="GK24" s="213"/>
      <c r="GL24" s="213"/>
      <c r="GM24" s="213"/>
      <c r="GN24" s="213"/>
      <c r="GO24" s="213"/>
      <c r="GP24" s="213"/>
      <c r="GQ24" s="213"/>
      <c r="GR24" s="213"/>
      <c r="GS24" s="213"/>
      <c r="GT24" s="213"/>
      <c r="GU24" s="213"/>
      <c r="GV24" s="213"/>
      <c r="GW24" s="213"/>
      <c r="GX24" s="213"/>
      <c r="GY24" s="213"/>
      <c r="GZ24" s="213"/>
      <c r="HA24" s="213"/>
      <c r="HB24" s="213"/>
      <c r="HC24" s="213"/>
      <c r="HD24" s="213"/>
      <c r="HE24" s="213"/>
      <c r="HF24" s="213"/>
      <c r="HG24" s="213"/>
      <c r="HH24" s="213"/>
      <c r="HI24" s="213"/>
      <c r="HJ24" s="213"/>
      <c r="HK24" s="213"/>
      <c r="HL24" s="213"/>
      <c r="HM24" s="213"/>
      <c r="HN24" s="213"/>
      <c r="HO24" s="213"/>
      <c r="HP24" s="213"/>
      <c r="HQ24" s="213"/>
      <c r="HR24" s="213"/>
      <c r="HS24" s="213"/>
      <c r="HT24" s="213"/>
      <c r="HU24" s="213"/>
      <c r="HV24" s="213"/>
      <c r="HW24" s="213"/>
      <c r="HX24" s="213"/>
      <c r="HY24" s="213"/>
      <c r="HZ24" s="213"/>
      <c r="IA24" s="213"/>
      <c r="IB24" s="213"/>
      <c r="IC24" s="213"/>
      <c r="ID24" s="213"/>
      <c r="IE24" s="213"/>
      <c r="IF24" s="213"/>
      <c r="IG24" s="213"/>
      <c r="IH24" s="213"/>
      <c r="II24" s="213"/>
      <c r="IJ24" s="213"/>
      <c r="IK24" s="213"/>
      <c r="IL24" s="213"/>
      <c r="IM24" s="213"/>
      <c r="IN24" s="213"/>
      <c r="IO24" s="213"/>
      <c r="IP24" s="213"/>
      <c r="IQ24" s="213"/>
      <c r="IR24" s="213"/>
      <c r="IS24" s="213"/>
      <c r="IT24" s="213"/>
      <c r="IU24" s="213"/>
      <c r="IV24" s="213"/>
    </row>
    <row r="25" s="156" customFormat="1" ht="15" customHeight="1" spans="1:256">
      <c r="A25" s="213"/>
      <c r="B25" s="239" t="s">
        <v>67</v>
      </c>
      <c r="C25" s="239"/>
      <c r="D25" s="239"/>
      <c r="E25" s="239"/>
      <c r="F25" s="239"/>
      <c r="G25" s="239"/>
      <c r="H25" s="31"/>
      <c r="I25" s="31"/>
      <c r="J25" s="31"/>
      <c r="K25" s="31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3"/>
      <c r="BN25" s="213"/>
      <c r="BO25" s="213"/>
      <c r="BP25" s="213"/>
      <c r="BQ25" s="213"/>
      <c r="BR25" s="213"/>
      <c r="BS25" s="213"/>
      <c r="BT25" s="213"/>
      <c r="BU25" s="213"/>
      <c r="BV25" s="213"/>
      <c r="BW25" s="213"/>
      <c r="BX25" s="213"/>
      <c r="BY25" s="213"/>
      <c r="BZ25" s="213"/>
      <c r="CA25" s="213"/>
      <c r="CB25" s="213"/>
      <c r="CC25" s="213"/>
      <c r="CD25" s="213"/>
      <c r="CE25" s="213"/>
      <c r="CF25" s="213"/>
      <c r="CG25" s="213"/>
      <c r="CH25" s="213"/>
      <c r="CI25" s="213"/>
      <c r="CJ25" s="213"/>
      <c r="CK25" s="213"/>
      <c r="CL25" s="213"/>
      <c r="CM25" s="213"/>
      <c r="CN25" s="213"/>
      <c r="CO25" s="213"/>
      <c r="CP25" s="213"/>
      <c r="CQ25" s="213"/>
      <c r="CR25" s="213"/>
      <c r="CS25" s="213"/>
      <c r="CT25" s="213"/>
      <c r="CU25" s="213"/>
      <c r="CV25" s="213"/>
      <c r="CW25" s="213"/>
      <c r="CX25" s="213"/>
      <c r="CY25" s="213"/>
      <c r="CZ25" s="213"/>
      <c r="DA25" s="213"/>
      <c r="DB25" s="213"/>
      <c r="DC25" s="213"/>
      <c r="DD25" s="213"/>
      <c r="DE25" s="213"/>
      <c r="DF25" s="213"/>
      <c r="DG25" s="213"/>
      <c r="DH25" s="213"/>
      <c r="DI25" s="213"/>
      <c r="DJ25" s="213"/>
      <c r="DK25" s="213"/>
      <c r="DL25" s="213"/>
      <c r="DM25" s="213"/>
      <c r="DN25" s="213"/>
      <c r="DO25" s="213"/>
      <c r="DP25" s="213"/>
      <c r="DQ25" s="213"/>
      <c r="DR25" s="213"/>
      <c r="DS25" s="213"/>
      <c r="DT25" s="213"/>
      <c r="DU25" s="213"/>
      <c r="DV25" s="213"/>
      <c r="DW25" s="213"/>
      <c r="DX25" s="213"/>
      <c r="DY25" s="213"/>
      <c r="DZ25" s="213"/>
      <c r="EA25" s="213"/>
      <c r="EB25" s="213"/>
      <c r="EC25" s="213"/>
      <c r="ED25" s="213"/>
      <c r="EE25" s="213"/>
      <c r="EF25" s="213"/>
      <c r="EG25" s="213"/>
      <c r="EH25" s="213"/>
      <c r="EI25" s="213"/>
      <c r="EJ25" s="213"/>
      <c r="EK25" s="213"/>
      <c r="EL25" s="213"/>
      <c r="EM25" s="213"/>
      <c r="EN25" s="213"/>
      <c r="EO25" s="213"/>
      <c r="EP25" s="213"/>
      <c r="EQ25" s="213"/>
      <c r="ER25" s="213"/>
      <c r="ES25" s="213"/>
      <c r="ET25" s="213"/>
      <c r="EU25" s="213"/>
      <c r="EV25" s="213"/>
      <c r="EW25" s="213"/>
      <c r="EX25" s="213"/>
      <c r="EY25" s="213"/>
      <c r="EZ25" s="213"/>
      <c r="FA25" s="213"/>
      <c r="FB25" s="213"/>
      <c r="FC25" s="213"/>
      <c r="FD25" s="213"/>
      <c r="FE25" s="213"/>
      <c r="FF25" s="213"/>
      <c r="FG25" s="213"/>
      <c r="FH25" s="213"/>
      <c r="FI25" s="213"/>
      <c r="FJ25" s="213"/>
      <c r="FK25" s="213"/>
      <c r="FL25" s="213"/>
      <c r="FM25" s="213"/>
      <c r="FN25" s="213"/>
      <c r="FO25" s="213"/>
      <c r="FP25" s="213"/>
      <c r="FQ25" s="213"/>
      <c r="FR25" s="213"/>
      <c r="FS25" s="213"/>
      <c r="FT25" s="213"/>
      <c r="FU25" s="213"/>
      <c r="FV25" s="213"/>
      <c r="FW25" s="213"/>
      <c r="FX25" s="213"/>
      <c r="FY25" s="213"/>
      <c r="FZ25" s="213"/>
      <c r="GA25" s="213"/>
      <c r="GB25" s="213"/>
      <c r="GC25" s="213"/>
      <c r="GD25" s="213"/>
      <c r="GE25" s="213"/>
      <c r="GF25" s="213"/>
      <c r="GG25" s="213"/>
      <c r="GH25" s="213"/>
      <c r="GI25" s="213"/>
      <c r="GJ25" s="213"/>
      <c r="GK25" s="213"/>
      <c r="GL25" s="213"/>
      <c r="GM25" s="213"/>
      <c r="GN25" s="213"/>
      <c r="GO25" s="213"/>
      <c r="GP25" s="213"/>
      <c r="GQ25" s="213"/>
      <c r="GR25" s="213"/>
      <c r="GS25" s="213"/>
      <c r="GT25" s="213"/>
      <c r="GU25" s="213"/>
      <c r="GV25" s="213"/>
      <c r="GW25" s="213"/>
      <c r="GX25" s="213"/>
      <c r="GY25" s="213"/>
      <c r="GZ25" s="213"/>
      <c r="HA25" s="213"/>
      <c r="HB25" s="213"/>
      <c r="HC25" s="213"/>
      <c r="HD25" s="213"/>
      <c r="HE25" s="213"/>
      <c r="HF25" s="213"/>
      <c r="HG25" s="213"/>
      <c r="HH25" s="213"/>
      <c r="HI25" s="213"/>
      <c r="HJ25" s="213"/>
      <c r="HK25" s="213"/>
      <c r="HL25" s="213"/>
      <c r="HM25" s="213"/>
      <c r="HN25" s="213"/>
      <c r="HO25" s="213"/>
      <c r="HP25" s="213"/>
      <c r="HQ25" s="213"/>
      <c r="HR25" s="213"/>
      <c r="HS25" s="213"/>
      <c r="HT25" s="213"/>
      <c r="HU25" s="213"/>
      <c r="HV25" s="213"/>
      <c r="HW25" s="213"/>
      <c r="HX25" s="213"/>
      <c r="HY25" s="213"/>
      <c r="HZ25" s="213"/>
      <c r="IA25" s="213"/>
      <c r="IB25" s="213"/>
      <c r="IC25" s="213"/>
      <c r="ID25" s="213"/>
      <c r="IE25" s="213"/>
      <c r="IF25" s="213"/>
      <c r="IG25" s="213"/>
      <c r="IH25" s="213"/>
      <c r="II25" s="213"/>
      <c r="IJ25" s="213"/>
      <c r="IK25" s="213"/>
      <c r="IL25" s="213"/>
      <c r="IM25" s="213"/>
      <c r="IN25" s="213"/>
      <c r="IO25" s="213"/>
      <c r="IP25" s="213"/>
      <c r="IQ25" s="213"/>
      <c r="IR25" s="213"/>
      <c r="IS25" s="213"/>
      <c r="IT25" s="213"/>
      <c r="IU25" s="213"/>
      <c r="IV25" s="213"/>
    </row>
    <row r="26" s="156" customFormat="1" ht="54" customHeight="1" spans="1:251">
      <c r="A26" s="213"/>
      <c r="B26" s="240" t="s">
        <v>68</v>
      </c>
      <c r="C26" s="241" t="s">
        <v>69</v>
      </c>
      <c r="D26" s="241" t="s">
        <v>70</v>
      </c>
      <c r="E26" s="242" t="s">
        <v>71</v>
      </c>
      <c r="F26" s="241" t="s">
        <v>72</v>
      </c>
      <c r="G26" s="243" t="s">
        <v>73</v>
      </c>
      <c r="H26" s="244"/>
      <c r="I26" s="244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13"/>
      <c r="BJ26" s="213"/>
      <c r="BK26" s="213"/>
      <c r="BL26" s="213"/>
      <c r="BM26" s="213"/>
      <c r="BN26" s="213"/>
      <c r="BO26" s="213"/>
      <c r="BP26" s="213"/>
      <c r="BQ26" s="213"/>
      <c r="BR26" s="213"/>
      <c r="BS26" s="213"/>
      <c r="BT26" s="213"/>
      <c r="BU26" s="213"/>
      <c r="BV26" s="213"/>
      <c r="BW26" s="213"/>
      <c r="BX26" s="213"/>
      <c r="BY26" s="213"/>
      <c r="BZ26" s="213"/>
      <c r="CA26" s="213"/>
      <c r="CB26" s="213"/>
      <c r="CC26" s="213"/>
      <c r="CD26" s="213"/>
      <c r="CE26" s="213"/>
      <c r="CF26" s="213"/>
      <c r="CG26" s="213"/>
      <c r="CH26" s="213"/>
      <c r="CI26" s="213"/>
      <c r="CJ26" s="213"/>
      <c r="CK26" s="213"/>
      <c r="CL26" s="213"/>
      <c r="CM26" s="213"/>
      <c r="CN26" s="213"/>
      <c r="CO26" s="213"/>
      <c r="CP26" s="213"/>
      <c r="CQ26" s="213"/>
      <c r="CR26" s="213"/>
      <c r="CS26" s="213"/>
      <c r="CT26" s="213"/>
      <c r="CU26" s="213"/>
      <c r="CV26" s="213"/>
      <c r="CW26" s="213"/>
      <c r="CX26" s="213"/>
      <c r="CY26" s="213"/>
      <c r="CZ26" s="213"/>
      <c r="DA26" s="213"/>
      <c r="DB26" s="213"/>
      <c r="DC26" s="213"/>
      <c r="DD26" s="213"/>
      <c r="DE26" s="213"/>
      <c r="DF26" s="213"/>
      <c r="DG26" s="213"/>
      <c r="DH26" s="213"/>
      <c r="DI26" s="213"/>
      <c r="DJ26" s="213"/>
      <c r="DK26" s="213"/>
      <c r="DL26" s="213"/>
      <c r="DM26" s="213"/>
      <c r="DN26" s="213"/>
      <c r="DO26" s="213"/>
      <c r="DP26" s="213"/>
      <c r="DQ26" s="213"/>
      <c r="DR26" s="213"/>
      <c r="DS26" s="213"/>
      <c r="DT26" s="213"/>
      <c r="DU26" s="213"/>
      <c r="DV26" s="213"/>
      <c r="DW26" s="213"/>
      <c r="DX26" s="213"/>
      <c r="DY26" s="213"/>
      <c r="DZ26" s="213"/>
      <c r="EA26" s="213"/>
      <c r="EB26" s="213"/>
      <c r="EC26" s="213"/>
      <c r="ED26" s="213"/>
      <c r="EE26" s="213"/>
      <c r="EF26" s="213"/>
      <c r="EG26" s="213"/>
      <c r="EH26" s="213"/>
      <c r="EI26" s="213"/>
      <c r="EJ26" s="213"/>
      <c r="EK26" s="213"/>
      <c r="EL26" s="213"/>
      <c r="EM26" s="213"/>
      <c r="EN26" s="213"/>
      <c r="EO26" s="213"/>
      <c r="EP26" s="213"/>
      <c r="EQ26" s="213"/>
      <c r="ER26" s="213"/>
      <c r="ES26" s="213"/>
      <c r="ET26" s="213"/>
      <c r="EU26" s="213"/>
      <c r="EV26" s="213"/>
      <c r="EW26" s="213"/>
      <c r="EX26" s="213"/>
      <c r="EY26" s="213"/>
      <c r="EZ26" s="213"/>
      <c r="FA26" s="213"/>
      <c r="FB26" s="213"/>
      <c r="FC26" s="213"/>
      <c r="FD26" s="213"/>
      <c r="FE26" s="213"/>
      <c r="FF26" s="213"/>
      <c r="FG26" s="213"/>
      <c r="FH26" s="213"/>
      <c r="FI26" s="213"/>
      <c r="FJ26" s="213"/>
      <c r="FK26" s="213"/>
      <c r="FL26" s="213"/>
      <c r="FM26" s="213"/>
      <c r="FN26" s="213"/>
      <c r="FO26" s="213"/>
      <c r="FP26" s="213"/>
      <c r="FQ26" s="213"/>
      <c r="FR26" s="213"/>
      <c r="FS26" s="213"/>
      <c r="FT26" s="213"/>
      <c r="FU26" s="213"/>
      <c r="FV26" s="213"/>
      <c r="FW26" s="213"/>
      <c r="FX26" s="213"/>
      <c r="FY26" s="213"/>
      <c r="FZ26" s="213"/>
      <c r="GA26" s="213"/>
      <c r="GB26" s="213"/>
      <c r="GC26" s="213"/>
      <c r="GD26" s="213"/>
      <c r="GE26" s="213"/>
      <c r="GF26" s="213"/>
      <c r="GG26" s="213"/>
      <c r="GH26" s="213"/>
      <c r="GI26" s="213"/>
      <c r="GJ26" s="213"/>
      <c r="GK26" s="213"/>
      <c r="GL26" s="213"/>
      <c r="GM26" s="213"/>
      <c r="GN26" s="213"/>
      <c r="GO26" s="213"/>
      <c r="GP26" s="213"/>
      <c r="GQ26" s="213"/>
      <c r="GR26" s="213"/>
      <c r="GS26" s="213"/>
      <c r="GT26" s="213"/>
      <c r="GU26" s="213"/>
      <c r="GV26" s="213"/>
      <c r="GW26" s="213"/>
      <c r="GX26" s="213"/>
      <c r="GY26" s="213"/>
      <c r="GZ26" s="213"/>
      <c r="HA26" s="213"/>
      <c r="HB26" s="213"/>
      <c r="HC26" s="213"/>
      <c r="HD26" s="213"/>
      <c r="HE26" s="213"/>
      <c r="HF26" s="213"/>
      <c r="HG26" s="213"/>
      <c r="HH26" s="213"/>
      <c r="HI26" s="213"/>
      <c r="HJ26" s="213"/>
      <c r="HK26" s="213"/>
      <c r="HL26" s="213"/>
      <c r="HM26" s="213"/>
      <c r="HN26" s="213"/>
      <c r="HO26" s="213"/>
      <c r="HP26" s="213"/>
      <c r="HQ26" s="213"/>
      <c r="HR26" s="213"/>
      <c r="HS26" s="213"/>
      <c r="HT26" s="213"/>
      <c r="HU26" s="213"/>
      <c r="HV26" s="213"/>
      <c r="HW26" s="213"/>
      <c r="HX26" s="213"/>
      <c r="HY26" s="213"/>
      <c r="HZ26" s="213"/>
      <c r="IA26" s="213"/>
      <c r="IB26" s="213"/>
      <c r="IC26" s="213"/>
      <c r="ID26" s="213"/>
      <c r="IE26" s="213"/>
      <c r="IF26" s="213"/>
      <c r="IG26" s="213"/>
      <c r="IH26" s="213"/>
      <c r="II26" s="213"/>
      <c r="IJ26" s="213"/>
      <c r="IK26" s="213"/>
      <c r="IL26" s="213"/>
      <c r="IM26" s="213"/>
      <c r="IN26" s="213"/>
      <c r="IO26" s="213"/>
      <c r="IP26" s="213"/>
      <c r="IQ26" s="213"/>
    </row>
    <row r="27" s="156" customFormat="1" ht="15.75" customHeight="1" spans="1:251">
      <c r="A27" s="213"/>
      <c r="B27" s="245" t="str">
        <f>B10</f>
        <v>HW356060</v>
      </c>
      <c r="C27" s="246" t="s">
        <v>74</v>
      </c>
      <c r="D27" s="177">
        <f>'HW356060'!D19</f>
        <v>0.000557537738700993</v>
      </c>
      <c r="E27" s="247">
        <f>'HW356060'!E19</f>
        <v>1504.10253388186</v>
      </c>
      <c r="F27" s="119">
        <f>'HW356060'!F19</f>
        <v>1.11507547740199</v>
      </c>
      <c r="G27" s="248">
        <f>IFERROR(F27*VLOOKUP($C27,$B$54:$F$60,4,0)*VLOOKUP($C27,$B$54:$F$60,5,0)/1000,"NA")</f>
        <v>1.05374632614488</v>
      </c>
      <c r="H27" s="244"/>
      <c r="I27" s="244"/>
      <c r="J27" s="307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  <c r="BC27" s="213"/>
      <c r="BD27" s="213"/>
      <c r="BE27" s="213"/>
      <c r="BF27" s="213"/>
      <c r="BG27" s="213"/>
      <c r="BH27" s="213"/>
      <c r="BI27" s="213"/>
      <c r="BJ27" s="213"/>
      <c r="BK27" s="213"/>
      <c r="BL27" s="213"/>
      <c r="BM27" s="213"/>
      <c r="BN27" s="213"/>
      <c r="BO27" s="213"/>
      <c r="BP27" s="213"/>
      <c r="BQ27" s="213"/>
      <c r="BR27" s="213"/>
      <c r="BS27" s="213"/>
      <c r="BT27" s="213"/>
      <c r="BU27" s="213"/>
      <c r="BV27" s="213"/>
      <c r="BW27" s="213"/>
      <c r="BX27" s="213"/>
      <c r="BY27" s="213"/>
      <c r="BZ27" s="213"/>
      <c r="CA27" s="213"/>
      <c r="CB27" s="213"/>
      <c r="CC27" s="213"/>
      <c r="CD27" s="213"/>
      <c r="CE27" s="213"/>
      <c r="CF27" s="213"/>
      <c r="CG27" s="213"/>
      <c r="CH27" s="213"/>
      <c r="CI27" s="213"/>
      <c r="CJ27" s="213"/>
      <c r="CK27" s="213"/>
      <c r="CL27" s="213"/>
      <c r="CM27" s="213"/>
      <c r="CN27" s="213"/>
      <c r="CO27" s="213"/>
      <c r="CP27" s="213"/>
      <c r="CQ27" s="213"/>
      <c r="CR27" s="213"/>
      <c r="CS27" s="213"/>
      <c r="CT27" s="213"/>
      <c r="CU27" s="213"/>
      <c r="CV27" s="213"/>
      <c r="CW27" s="213"/>
      <c r="CX27" s="213"/>
      <c r="CY27" s="213"/>
      <c r="CZ27" s="213"/>
      <c r="DA27" s="213"/>
      <c r="DB27" s="213"/>
      <c r="DC27" s="213"/>
      <c r="DD27" s="213"/>
      <c r="DE27" s="213"/>
      <c r="DF27" s="213"/>
      <c r="DG27" s="213"/>
      <c r="DH27" s="213"/>
      <c r="DI27" s="213"/>
      <c r="DJ27" s="213"/>
      <c r="DK27" s="213"/>
      <c r="DL27" s="213"/>
      <c r="DM27" s="213"/>
      <c r="DN27" s="213"/>
      <c r="DO27" s="213"/>
      <c r="DP27" s="213"/>
      <c r="DQ27" s="213"/>
      <c r="DR27" s="213"/>
      <c r="DS27" s="213"/>
      <c r="DT27" s="213"/>
      <c r="DU27" s="213"/>
      <c r="DV27" s="213"/>
      <c r="DW27" s="213"/>
      <c r="DX27" s="213"/>
      <c r="DY27" s="213"/>
      <c r="DZ27" s="213"/>
      <c r="EA27" s="213"/>
      <c r="EB27" s="213"/>
      <c r="EC27" s="213"/>
      <c r="ED27" s="213"/>
      <c r="EE27" s="213"/>
      <c r="EF27" s="213"/>
      <c r="EG27" s="213"/>
      <c r="EH27" s="213"/>
      <c r="EI27" s="213"/>
      <c r="EJ27" s="213"/>
      <c r="EK27" s="213"/>
      <c r="EL27" s="213"/>
      <c r="EM27" s="213"/>
      <c r="EN27" s="213"/>
      <c r="EO27" s="213"/>
      <c r="EP27" s="213"/>
      <c r="EQ27" s="213"/>
      <c r="ER27" s="213"/>
      <c r="ES27" s="213"/>
      <c r="ET27" s="213"/>
      <c r="EU27" s="213"/>
      <c r="EV27" s="213"/>
      <c r="EW27" s="213"/>
      <c r="EX27" s="213"/>
      <c r="EY27" s="213"/>
      <c r="EZ27" s="213"/>
      <c r="FA27" s="213"/>
      <c r="FB27" s="213"/>
      <c r="FC27" s="213"/>
      <c r="FD27" s="213"/>
      <c r="FE27" s="213"/>
      <c r="FF27" s="213"/>
      <c r="FG27" s="213"/>
      <c r="FH27" s="213"/>
      <c r="FI27" s="213"/>
      <c r="FJ27" s="213"/>
      <c r="FK27" s="213"/>
      <c r="FL27" s="213"/>
      <c r="FM27" s="213"/>
      <c r="FN27" s="213"/>
      <c r="FO27" s="213"/>
      <c r="FP27" s="213"/>
      <c r="FQ27" s="213"/>
      <c r="FR27" s="213"/>
      <c r="FS27" s="213"/>
      <c r="FT27" s="213"/>
      <c r="FU27" s="213"/>
      <c r="FV27" s="213"/>
      <c r="FW27" s="213"/>
      <c r="FX27" s="213"/>
      <c r="FY27" s="213"/>
      <c r="FZ27" s="213"/>
      <c r="GA27" s="213"/>
      <c r="GB27" s="213"/>
      <c r="GC27" s="213"/>
      <c r="GD27" s="213"/>
      <c r="GE27" s="213"/>
      <c r="GF27" s="213"/>
      <c r="GG27" s="213"/>
      <c r="GH27" s="213"/>
      <c r="GI27" s="213"/>
      <c r="GJ27" s="213"/>
      <c r="GK27" s="213"/>
      <c r="GL27" s="213"/>
      <c r="GM27" s="213"/>
      <c r="GN27" s="213"/>
      <c r="GO27" s="213"/>
      <c r="GP27" s="213"/>
      <c r="GQ27" s="213"/>
      <c r="GR27" s="213"/>
      <c r="GS27" s="213"/>
      <c r="GT27" s="213"/>
      <c r="GU27" s="213"/>
      <c r="GV27" s="213"/>
      <c r="GW27" s="213"/>
      <c r="GX27" s="213"/>
      <c r="GY27" s="213"/>
      <c r="GZ27" s="213"/>
      <c r="HA27" s="213"/>
      <c r="HB27" s="213"/>
      <c r="HC27" s="213"/>
      <c r="HD27" s="213"/>
      <c r="HE27" s="213"/>
      <c r="HF27" s="213"/>
      <c r="HG27" s="213"/>
      <c r="HH27" s="213"/>
      <c r="HI27" s="213"/>
      <c r="HJ27" s="213"/>
      <c r="HK27" s="213"/>
      <c r="HL27" s="213"/>
      <c r="HM27" s="213"/>
      <c r="HN27" s="213"/>
      <c r="HO27" s="213"/>
      <c r="HP27" s="213"/>
      <c r="HQ27" s="213"/>
      <c r="HR27" s="213"/>
      <c r="HS27" s="213"/>
      <c r="HT27" s="213"/>
      <c r="HU27" s="213"/>
      <c r="HV27" s="213"/>
      <c r="HW27" s="213"/>
      <c r="HX27" s="213"/>
      <c r="HY27" s="213"/>
      <c r="HZ27" s="213"/>
      <c r="IA27" s="213"/>
      <c r="IB27" s="213"/>
      <c r="IC27" s="213"/>
      <c r="ID27" s="213"/>
      <c r="IE27" s="213"/>
      <c r="IF27" s="213"/>
      <c r="IG27" s="213"/>
      <c r="IH27" s="213"/>
      <c r="II27" s="213"/>
      <c r="IJ27" s="213"/>
      <c r="IK27" s="213"/>
      <c r="IL27" s="213"/>
      <c r="IM27" s="213"/>
      <c r="IN27" s="213"/>
      <c r="IO27" s="213"/>
      <c r="IP27" s="213"/>
      <c r="IQ27" s="213"/>
    </row>
    <row r="28" s="156" customFormat="1" ht="15.75" customHeight="1" spans="1:251">
      <c r="A28" s="213"/>
      <c r="B28" s="249"/>
      <c r="C28" s="250" t="s">
        <v>75</v>
      </c>
      <c r="D28" s="251" t="str">
        <f>'HW356060'!D38</f>
        <v>NA</v>
      </c>
      <c r="E28" s="252" t="str">
        <f>'HW356060'!E38</f>
        <v>NA</v>
      </c>
      <c r="F28" s="252" t="str">
        <f>'HW356060'!F38</f>
        <v>NA</v>
      </c>
      <c r="G28" s="253" t="str">
        <f>IFERROR(F28*VLOOKUP($C28,$B$54:$F$60,4,0)*VLOOKUP($C28,$B$54:$F$60,5,0)/1000,"NA")</f>
        <v>NA</v>
      </c>
      <c r="H28" s="244"/>
      <c r="I28" s="244"/>
      <c r="J28" s="308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  <c r="BC28" s="213"/>
      <c r="BD28" s="213"/>
      <c r="BE28" s="213"/>
      <c r="BF28" s="213"/>
      <c r="BG28" s="213"/>
      <c r="BH28" s="213"/>
      <c r="BI28" s="213"/>
      <c r="BJ28" s="213"/>
      <c r="BK28" s="213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3"/>
      <c r="CB28" s="213"/>
      <c r="CC28" s="213"/>
      <c r="CD28" s="213"/>
      <c r="CE28" s="213"/>
      <c r="CF28" s="213"/>
      <c r="CG28" s="213"/>
      <c r="CH28" s="213"/>
      <c r="CI28" s="213"/>
      <c r="CJ28" s="213"/>
      <c r="CK28" s="213"/>
      <c r="CL28" s="213"/>
      <c r="CM28" s="213"/>
      <c r="CN28" s="213"/>
      <c r="CO28" s="213"/>
      <c r="CP28" s="213"/>
      <c r="CQ28" s="213"/>
      <c r="CR28" s="213"/>
      <c r="CS28" s="213"/>
      <c r="CT28" s="213"/>
      <c r="CU28" s="213"/>
      <c r="CV28" s="213"/>
      <c r="CW28" s="213"/>
      <c r="CX28" s="213"/>
      <c r="CY28" s="213"/>
      <c r="CZ28" s="213"/>
      <c r="DA28" s="213"/>
      <c r="DB28" s="213"/>
      <c r="DC28" s="213"/>
      <c r="DD28" s="213"/>
      <c r="DE28" s="213"/>
      <c r="DF28" s="213"/>
      <c r="DG28" s="213"/>
      <c r="DH28" s="213"/>
      <c r="DI28" s="213"/>
      <c r="DJ28" s="213"/>
      <c r="DK28" s="213"/>
      <c r="DL28" s="213"/>
      <c r="DM28" s="213"/>
      <c r="DN28" s="213"/>
      <c r="DO28" s="213"/>
      <c r="DP28" s="213"/>
      <c r="DQ28" s="213"/>
      <c r="DR28" s="213"/>
      <c r="DS28" s="213"/>
      <c r="DT28" s="213"/>
      <c r="DU28" s="213"/>
      <c r="DV28" s="213"/>
      <c r="DW28" s="213"/>
      <c r="DX28" s="213"/>
      <c r="DY28" s="213"/>
      <c r="DZ28" s="213"/>
      <c r="EA28" s="213"/>
      <c r="EB28" s="213"/>
      <c r="EC28" s="213"/>
      <c r="ED28" s="213"/>
      <c r="EE28" s="213"/>
      <c r="EF28" s="213"/>
      <c r="EG28" s="213"/>
      <c r="EH28" s="213"/>
      <c r="EI28" s="213"/>
      <c r="EJ28" s="213"/>
      <c r="EK28" s="213"/>
      <c r="EL28" s="213"/>
      <c r="EM28" s="213"/>
      <c r="EN28" s="213"/>
      <c r="EO28" s="213"/>
      <c r="EP28" s="213"/>
      <c r="EQ28" s="213"/>
      <c r="ER28" s="213"/>
      <c r="ES28" s="213"/>
      <c r="ET28" s="213"/>
      <c r="EU28" s="213"/>
      <c r="EV28" s="213"/>
      <c r="EW28" s="213"/>
      <c r="EX28" s="213"/>
      <c r="EY28" s="213"/>
      <c r="EZ28" s="213"/>
      <c r="FA28" s="213"/>
      <c r="FB28" s="213"/>
      <c r="FC28" s="213"/>
      <c r="FD28" s="213"/>
      <c r="FE28" s="213"/>
      <c r="FF28" s="213"/>
      <c r="FG28" s="213"/>
      <c r="FH28" s="213"/>
      <c r="FI28" s="213"/>
      <c r="FJ28" s="213"/>
      <c r="FK28" s="213"/>
      <c r="FL28" s="213"/>
      <c r="FM28" s="213"/>
      <c r="FN28" s="213"/>
      <c r="FO28" s="213"/>
      <c r="FP28" s="213"/>
      <c r="FQ28" s="213"/>
      <c r="FR28" s="213"/>
      <c r="FS28" s="213"/>
      <c r="FT28" s="213"/>
      <c r="FU28" s="213"/>
      <c r="FV28" s="213"/>
      <c r="FW28" s="213"/>
      <c r="FX28" s="213"/>
      <c r="FY28" s="213"/>
      <c r="FZ28" s="213"/>
      <c r="GA28" s="213"/>
      <c r="GB28" s="213"/>
      <c r="GC28" s="213"/>
      <c r="GD28" s="213"/>
      <c r="GE28" s="213"/>
      <c r="GF28" s="213"/>
      <c r="GG28" s="213"/>
      <c r="GH28" s="213"/>
      <c r="GI28" s="213"/>
      <c r="GJ28" s="213"/>
      <c r="GK28" s="213"/>
      <c r="GL28" s="213"/>
      <c r="GM28" s="213"/>
      <c r="GN28" s="213"/>
      <c r="GO28" s="213"/>
      <c r="GP28" s="213"/>
      <c r="GQ28" s="213"/>
      <c r="GR28" s="213"/>
      <c r="GS28" s="213"/>
      <c r="GT28" s="213"/>
      <c r="GU28" s="213"/>
      <c r="GV28" s="213"/>
      <c r="GW28" s="213"/>
      <c r="GX28" s="213"/>
      <c r="GY28" s="213"/>
      <c r="GZ28" s="213"/>
      <c r="HA28" s="213"/>
      <c r="HB28" s="213"/>
      <c r="HC28" s="213"/>
      <c r="HD28" s="213"/>
      <c r="HE28" s="213"/>
      <c r="HF28" s="213"/>
      <c r="HG28" s="213"/>
      <c r="HH28" s="213"/>
      <c r="HI28" s="213"/>
      <c r="HJ28" s="213"/>
      <c r="HK28" s="213"/>
      <c r="HL28" s="213"/>
      <c r="HM28" s="213"/>
      <c r="HN28" s="213"/>
      <c r="HO28" s="213"/>
      <c r="HP28" s="213"/>
      <c r="HQ28" s="213"/>
      <c r="HR28" s="213"/>
      <c r="HS28" s="213"/>
      <c r="HT28" s="213"/>
      <c r="HU28" s="213"/>
      <c r="HV28" s="213"/>
      <c r="HW28" s="213"/>
      <c r="HX28" s="213"/>
      <c r="HY28" s="213"/>
      <c r="HZ28" s="213"/>
      <c r="IA28" s="213"/>
      <c r="IB28" s="213"/>
      <c r="IC28" s="213"/>
      <c r="ID28" s="213"/>
      <c r="IE28" s="213"/>
      <c r="IF28" s="213"/>
      <c r="IG28" s="213"/>
      <c r="IH28" s="213"/>
      <c r="II28" s="213"/>
      <c r="IJ28" s="213"/>
      <c r="IK28" s="213"/>
      <c r="IL28" s="213"/>
      <c r="IM28" s="213"/>
      <c r="IN28" s="213"/>
      <c r="IO28" s="213"/>
      <c r="IP28" s="213"/>
      <c r="IQ28" s="213"/>
    </row>
    <row r="29" s="156" customFormat="1" ht="15.75" customHeight="1" spans="1:251">
      <c r="A29" s="213"/>
      <c r="B29" s="249"/>
      <c r="C29" s="250" t="s">
        <v>76</v>
      </c>
      <c r="D29" s="251" t="str">
        <f>'HW356060'!D57</f>
        <v>NA</v>
      </c>
      <c r="E29" s="89" t="str">
        <f>'HW356060'!E57</f>
        <v>NA</v>
      </c>
      <c r="F29" s="252" t="str">
        <f>'HW356060'!F57</f>
        <v>NA</v>
      </c>
      <c r="G29" s="253" t="str">
        <f>IFERROR(F29*VLOOKUP($C29,$B$54:$F$60,4,0)*VLOOKUP($C29,$B$54:$F$60,5,0)/1000,"NA")</f>
        <v>NA</v>
      </c>
      <c r="H29" s="244"/>
      <c r="I29" s="244"/>
      <c r="J29" s="308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  <c r="BC29" s="213"/>
      <c r="BD29" s="213"/>
      <c r="BE29" s="213"/>
      <c r="BF29" s="213"/>
      <c r="BG29" s="213"/>
      <c r="BH29" s="213"/>
      <c r="BI29" s="213"/>
      <c r="BJ29" s="213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3"/>
      <c r="CF29" s="213"/>
      <c r="CG29" s="213"/>
      <c r="CH29" s="213"/>
      <c r="CI29" s="213"/>
      <c r="CJ29" s="213"/>
      <c r="CK29" s="213"/>
      <c r="CL29" s="213"/>
      <c r="CM29" s="213"/>
      <c r="CN29" s="213"/>
      <c r="CO29" s="213"/>
      <c r="CP29" s="213"/>
      <c r="CQ29" s="213"/>
      <c r="CR29" s="213"/>
      <c r="CS29" s="213"/>
      <c r="CT29" s="213"/>
      <c r="CU29" s="213"/>
      <c r="CV29" s="213"/>
      <c r="CW29" s="213"/>
      <c r="CX29" s="213"/>
      <c r="CY29" s="213"/>
      <c r="CZ29" s="213"/>
      <c r="DA29" s="213"/>
      <c r="DB29" s="213"/>
      <c r="DC29" s="213"/>
      <c r="DD29" s="213"/>
      <c r="DE29" s="213"/>
      <c r="DF29" s="213"/>
      <c r="DG29" s="213"/>
      <c r="DH29" s="213"/>
      <c r="DI29" s="213"/>
      <c r="DJ29" s="213"/>
      <c r="DK29" s="213"/>
      <c r="DL29" s="213"/>
      <c r="DM29" s="213"/>
      <c r="DN29" s="213"/>
      <c r="DO29" s="213"/>
      <c r="DP29" s="213"/>
      <c r="DQ29" s="213"/>
      <c r="DR29" s="213"/>
      <c r="DS29" s="213"/>
      <c r="DT29" s="213"/>
      <c r="DU29" s="213"/>
      <c r="DV29" s="213"/>
      <c r="DW29" s="213"/>
      <c r="DX29" s="213"/>
      <c r="DY29" s="213"/>
      <c r="DZ29" s="213"/>
      <c r="EA29" s="213"/>
      <c r="EB29" s="213"/>
      <c r="EC29" s="213"/>
      <c r="ED29" s="213"/>
      <c r="EE29" s="213"/>
      <c r="EF29" s="213"/>
      <c r="EG29" s="213"/>
      <c r="EH29" s="213"/>
      <c r="EI29" s="213"/>
      <c r="EJ29" s="213"/>
      <c r="EK29" s="213"/>
      <c r="EL29" s="213"/>
      <c r="EM29" s="213"/>
      <c r="EN29" s="213"/>
      <c r="EO29" s="213"/>
      <c r="EP29" s="213"/>
      <c r="EQ29" s="213"/>
      <c r="ER29" s="213"/>
      <c r="ES29" s="213"/>
      <c r="ET29" s="213"/>
      <c r="EU29" s="213"/>
      <c r="EV29" s="213"/>
      <c r="EW29" s="213"/>
      <c r="EX29" s="213"/>
      <c r="EY29" s="213"/>
      <c r="EZ29" s="213"/>
      <c r="FA29" s="213"/>
      <c r="FB29" s="213"/>
      <c r="FC29" s="213"/>
      <c r="FD29" s="213"/>
      <c r="FE29" s="213"/>
      <c r="FF29" s="213"/>
      <c r="FG29" s="213"/>
      <c r="FH29" s="213"/>
      <c r="FI29" s="213"/>
      <c r="FJ29" s="213"/>
      <c r="FK29" s="213"/>
      <c r="FL29" s="213"/>
      <c r="FM29" s="213"/>
      <c r="FN29" s="213"/>
      <c r="FO29" s="213"/>
      <c r="FP29" s="213"/>
      <c r="FQ29" s="213"/>
      <c r="FR29" s="213"/>
      <c r="FS29" s="213"/>
      <c r="FT29" s="213"/>
      <c r="FU29" s="213"/>
      <c r="FV29" s="213"/>
      <c r="FW29" s="213"/>
      <c r="FX29" s="213"/>
      <c r="FY29" s="213"/>
      <c r="FZ29" s="213"/>
      <c r="GA29" s="213"/>
      <c r="GB29" s="213"/>
      <c r="GC29" s="213"/>
      <c r="GD29" s="213"/>
      <c r="GE29" s="213"/>
      <c r="GF29" s="213"/>
      <c r="GG29" s="213"/>
      <c r="GH29" s="213"/>
      <c r="GI29" s="213"/>
      <c r="GJ29" s="213"/>
      <c r="GK29" s="213"/>
      <c r="GL29" s="213"/>
      <c r="GM29" s="213"/>
      <c r="GN29" s="213"/>
      <c r="GO29" s="213"/>
      <c r="GP29" s="213"/>
      <c r="GQ29" s="213"/>
      <c r="GR29" s="213"/>
      <c r="GS29" s="213"/>
      <c r="GT29" s="213"/>
      <c r="GU29" s="213"/>
      <c r="GV29" s="213"/>
      <c r="GW29" s="213"/>
      <c r="GX29" s="213"/>
      <c r="GY29" s="213"/>
      <c r="GZ29" s="213"/>
      <c r="HA29" s="213"/>
      <c r="HB29" s="213"/>
      <c r="HC29" s="213"/>
      <c r="HD29" s="213"/>
      <c r="HE29" s="213"/>
      <c r="HF29" s="213"/>
      <c r="HG29" s="213"/>
      <c r="HH29" s="213"/>
      <c r="HI29" s="213"/>
      <c r="HJ29" s="213"/>
      <c r="HK29" s="213"/>
      <c r="HL29" s="213"/>
      <c r="HM29" s="213"/>
      <c r="HN29" s="213"/>
      <c r="HO29" s="213"/>
      <c r="HP29" s="213"/>
      <c r="HQ29" s="213"/>
      <c r="HR29" s="213"/>
      <c r="HS29" s="213"/>
      <c r="HT29" s="213"/>
      <c r="HU29" s="213"/>
      <c r="HV29" s="213"/>
      <c r="HW29" s="213"/>
      <c r="HX29" s="213"/>
      <c r="HY29" s="213"/>
      <c r="HZ29" s="213"/>
      <c r="IA29" s="213"/>
      <c r="IB29" s="213"/>
      <c r="IC29" s="213"/>
      <c r="ID29" s="213"/>
      <c r="IE29" s="213"/>
      <c r="IF29" s="213"/>
      <c r="IG29" s="213"/>
      <c r="IH29" s="213"/>
      <c r="II29" s="213"/>
      <c r="IJ29" s="213"/>
      <c r="IK29" s="213"/>
      <c r="IL29" s="213"/>
      <c r="IM29" s="213"/>
      <c r="IN29" s="213"/>
      <c r="IO29" s="213"/>
      <c r="IP29" s="213"/>
      <c r="IQ29" s="213"/>
    </row>
    <row r="30" s="156" customFormat="1" ht="15.75" customHeight="1" spans="1:251">
      <c r="A30" s="213"/>
      <c r="B30" s="249"/>
      <c r="C30" s="250" t="s">
        <v>77</v>
      </c>
      <c r="D30" s="179" t="str">
        <f>'HW356060'!D76</f>
        <v>NA</v>
      </c>
      <c r="E30" s="89" t="str">
        <f>'HW356060'!E76</f>
        <v>NA</v>
      </c>
      <c r="F30" s="141" t="str">
        <f>'HW356060'!F76</f>
        <v>NA</v>
      </c>
      <c r="G30" s="254" t="str">
        <f>IFERROR(F30*VLOOKUP($C30,$B$54:$F$60,4,0)*VLOOKUP($C30,$B$54:$F$60,5,0)/1000,"NA")</f>
        <v>NA</v>
      </c>
      <c r="H30" s="244"/>
      <c r="I30" s="244"/>
      <c r="J30" s="308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  <c r="BD30" s="213"/>
      <c r="BE30" s="213"/>
      <c r="BF30" s="213"/>
      <c r="BG30" s="213"/>
      <c r="BH30" s="213"/>
      <c r="BI30" s="213"/>
      <c r="BJ30" s="213"/>
      <c r="BK30" s="213"/>
      <c r="BL30" s="213"/>
      <c r="BM30" s="213"/>
      <c r="BN30" s="213"/>
      <c r="BO30" s="213"/>
      <c r="BP30" s="213"/>
      <c r="BQ30" s="213"/>
      <c r="BR30" s="213"/>
      <c r="BS30" s="213"/>
      <c r="BT30" s="213"/>
      <c r="BU30" s="213"/>
      <c r="BV30" s="213"/>
      <c r="BW30" s="213"/>
      <c r="BX30" s="213"/>
      <c r="BY30" s="213"/>
      <c r="BZ30" s="213"/>
      <c r="CA30" s="213"/>
      <c r="CB30" s="213"/>
      <c r="CC30" s="213"/>
      <c r="CD30" s="213"/>
      <c r="CE30" s="213"/>
      <c r="CF30" s="213"/>
      <c r="CG30" s="213"/>
      <c r="CH30" s="213"/>
      <c r="CI30" s="213"/>
      <c r="CJ30" s="213"/>
      <c r="CK30" s="213"/>
      <c r="CL30" s="213"/>
      <c r="CM30" s="213"/>
      <c r="CN30" s="213"/>
      <c r="CO30" s="213"/>
      <c r="CP30" s="213"/>
      <c r="CQ30" s="213"/>
      <c r="CR30" s="213"/>
      <c r="CS30" s="213"/>
      <c r="CT30" s="213"/>
      <c r="CU30" s="213"/>
      <c r="CV30" s="213"/>
      <c r="CW30" s="213"/>
      <c r="CX30" s="213"/>
      <c r="CY30" s="213"/>
      <c r="CZ30" s="213"/>
      <c r="DA30" s="213"/>
      <c r="DB30" s="213"/>
      <c r="DC30" s="213"/>
      <c r="DD30" s="213"/>
      <c r="DE30" s="213"/>
      <c r="DF30" s="213"/>
      <c r="DG30" s="213"/>
      <c r="DH30" s="213"/>
      <c r="DI30" s="213"/>
      <c r="DJ30" s="213"/>
      <c r="DK30" s="213"/>
      <c r="DL30" s="213"/>
      <c r="DM30" s="213"/>
      <c r="DN30" s="213"/>
      <c r="DO30" s="213"/>
      <c r="DP30" s="213"/>
      <c r="DQ30" s="213"/>
      <c r="DR30" s="213"/>
      <c r="DS30" s="213"/>
      <c r="DT30" s="213"/>
      <c r="DU30" s="213"/>
      <c r="DV30" s="213"/>
      <c r="DW30" s="213"/>
      <c r="DX30" s="213"/>
      <c r="DY30" s="213"/>
      <c r="DZ30" s="213"/>
      <c r="EA30" s="213"/>
      <c r="EB30" s="213"/>
      <c r="EC30" s="213"/>
      <c r="ED30" s="213"/>
      <c r="EE30" s="213"/>
      <c r="EF30" s="213"/>
      <c r="EG30" s="213"/>
      <c r="EH30" s="213"/>
      <c r="EI30" s="213"/>
      <c r="EJ30" s="213"/>
      <c r="EK30" s="213"/>
      <c r="EL30" s="213"/>
      <c r="EM30" s="213"/>
      <c r="EN30" s="213"/>
      <c r="EO30" s="213"/>
      <c r="EP30" s="213"/>
      <c r="EQ30" s="213"/>
      <c r="ER30" s="213"/>
      <c r="ES30" s="213"/>
      <c r="ET30" s="213"/>
      <c r="EU30" s="213"/>
      <c r="EV30" s="213"/>
      <c r="EW30" s="213"/>
      <c r="EX30" s="213"/>
      <c r="EY30" s="213"/>
      <c r="EZ30" s="213"/>
      <c r="FA30" s="213"/>
      <c r="FB30" s="213"/>
      <c r="FC30" s="213"/>
      <c r="FD30" s="213"/>
      <c r="FE30" s="213"/>
      <c r="FF30" s="213"/>
      <c r="FG30" s="213"/>
      <c r="FH30" s="213"/>
      <c r="FI30" s="213"/>
      <c r="FJ30" s="213"/>
      <c r="FK30" s="213"/>
      <c r="FL30" s="213"/>
      <c r="FM30" s="213"/>
      <c r="FN30" s="213"/>
      <c r="FO30" s="213"/>
      <c r="FP30" s="213"/>
      <c r="FQ30" s="213"/>
      <c r="FR30" s="213"/>
      <c r="FS30" s="213"/>
      <c r="FT30" s="213"/>
      <c r="FU30" s="213"/>
      <c r="FV30" s="213"/>
      <c r="FW30" s="213"/>
      <c r="FX30" s="213"/>
      <c r="FY30" s="213"/>
      <c r="FZ30" s="213"/>
      <c r="GA30" s="213"/>
      <c r="GB30" s="213"/>
      <c r="GC30" s="213"/>
      <c r="GD30" s="213"/>
      <c r="GE30" s="213"/>
      <c r="GF30" s="213"/>
      <c r="GG30" s="213"/>
      <c r="GH30" s="213"/>
      <c r="GI30" s="213"/>
      <c r="GJ30" s="213"/>
      <c r="GK30" s="213"/>
      <c r="GL30" s="213"/>
      <c r="GM30" s="213"/>
      <c r="GN30" s="213"/>
      <c r="GO30" s="213"/>
      <c r="GP30" s="213"/>
      <c r="GQ30" s="213"/>
      <c r="GR30" s="213"/>
      <c r="GS30" s="213"/>
      <c r="GT30" s="213"/>
      <c r="GU30" s="213"/>
      <c r="GV30" s="213"/>
      <c r="GW30" s="213"/>
      <c r="GX30" s="213"/>
      <c r="GY30" s="213"/>
      <c r="GZ30" s="213"/>
      <c r="HA30" s="213"/>
      <c r="HB30" s="213"/>
      <c r="HC30" s="213"/>
      <c r="HD30" s="213"/>
      <c r="HE30" s="213"/>
      <c r="HF30" s="213"/>
      <c r="HG30" s="213"/>
      <c r="HH30" s="213"/>
      <c r="HI30" s="213"/>
      <c r="HJ30" s="213"/>
      <c r="HK30" s="213"/>
      <c r="HL30" s="213"/>
      <c r="HM30" s="213"/>
      <c r="HN30" s="213"/>
      <c r="HO30" s="213"/>
      <c r="HP30" s="213"/>
      <c r="HQ30" s="213"/>
      <c r="HR30" s="213"/>
      <c r="HS30" s="213"/>
      <c r="HT30" s="213"/>
      <c r="HU30" s="213"/>
      <c r="HV30" s="213"/>
      <c r="HW30" s="213"/>
      <c r="HX30" s="213"/>
      <c r="HY30" s="213"/>
      <c r="HZ30" s="213"/>
      <c r="IA30" s="213"/>
      <c r="IB30" s="213"/>
      <c r="IC30" s="213"/>
      <c r="ID30" s="213"/>
      <c r="IE30" s="213"/>
      <c r="IF30" s="213"/>
      <c r="IG30" s="213"/>
      <c r="IH30" s="213"/>
      <c r="II30" s="213"/>
      <c r="IJ30" s="213"/>
      <c r="IK30" s="213"/>
      <c r="IL30" s="213"/>
      <c r="IM30" s="213"/>
      <c r="IN30" s="213"/>
      <c r="IO30" s="213"/>
      <c r="IP30" s="213"/>
      <c r="IQ30" s="213"/>
    </row>
    <row r="31" s="156" customFormat="1" ht="16.15" customHeight="1" spans="1:251">
      <c r="A31" s="213"/>
      <c r="B31" s="255"/>
      <c r="C31" s="256" t="s">
        <v>78</v>
      </c>
      <c r="D31" s="257">
        <f>'HW356060'!D96</f>
        <v>0.000902138515856094</v>
      </c>
      <c r="E31" s="107">
        <f>'HW356060'!E96</f>
        <v>768.174717983712</v>
      </c>
      <c r="F31" s="258">
        <f>'HW356060'!F96</f>
        <v>1.80427703171219</v>
      </c>
      <c r="G31" s="259">
        <f>IFERROR(F31*VLOOKUP($C31,$B$54:$F$60,4,0)*VLOOKUP($C31,$B$54:$F$60,5,0)/1000,"NA")</f>
        <v>7.10434081236674</v>
      </c>
      <c r="H31" s="260"/>
      <c r="I31" s="244"/>
      <c r="J31" s="308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/>
      <c r="BX31" s="213"/>
      <c r="BY31" s="213"/>
      <c r="BZ31" s="213"/>
      <c r="CA31" s="213"/>
      <c r="CB31" s="213"/>
      <c r="CC31" s="213"/>
      <c r="CD31" s="213"/>
      <c r="CE31" s="213"/>
      <c r="CF31" s="213"/>
      <c r="CG31" s="213"/>
      <c r="CH31" s="213"/>
      <c r="CI31" s="213"/>
      <c r="CJ31" s="213"/>
      <c r="CK31" s="213"/>
      <c r="CL31" s="213"/>
      <c r="CM31" s="213"/>
      <c r="CN31" s="213"/>
      <c r="CO31" s="213"/>
      <c r="CP31" s="213"/>
      <c r="CQ31" s="213"/>
      <c r="CR31" s="213"/>
      <c r="CS31" s="213"/>
      <c r="CT31" s="213"/>
      <c r="CU31" s="213"/>
      <c r="CV31" s="213"/>
      <c r="CW31" s="213"/>
      <c r="CX31" s="213"/>
      <c r="CY31" s="213"/>
      <c r="CZ31" s="213"/>
      <c r="DA31" s="213"/>
      <c r="DB31" s="213"/>
      <c r="DC31" s="213"/>
      <c r="DD31" s="213"/>
      <c r="DE31" s="213"/>
      <c r="DF31" s="213"/>
      <c r="DG31" s="213"/>
      <c r="DH31" s="213"/>
      <c r="DI31" s="213"/>
      <c r="DJ31" s="213"/>
      <c r="DK31" s="213"/>
      <c r="DL31" s="213"/>
      <c r="DM31" s="213"/>
      <c r="DN31" s="213"/>
      <c r="DO31" s="213"/>
      <c r="DP31" s="213"/>
      <c r="DQ31" s="213"/>
      <c r="DR31" s="213"/>
      <c r="DS31" s="213"/>
      <c r="DT31" s="213"/>
      <c r="DU31" s="213"/>
      <c r="DV31" s="213"/>
      <c r="DW31" s="213"/>
      <c r="DX31" s="213"/>
      <c r="DY31" s="213"/>
      <c r="DZ31" s="213"/>
      <c r="EA31" s="213"/>
      <c r="EB31" s="213"/>
      <c r="EC31" s="213"/>
      <c r="ED31" s="213"/>
      <c r="EE31" s="213"/>
      <c r="EF31" s="213"/>
      <c r="EG31" s="213"/>
      <c r="EH31" s="213"/>
      <c r="EI31" s="213"/>
      <c r="EJ31" s="213"/>
      <c r="EK31" s="213"/>
      <c r="EL31" s="213"/>
      <c r="EM31" s="213"/>
      <c r="EN31" s="213"/>
      <c r="EO31" s="213"/>
      <c r="EP31" s="213"/>
      <c r="EQ31" s="213"/>
      <c r="ER31" s="213"/>
      <c r="ES31" s="213"/>
      <c r="ET31" s="213"/>
      <c r="EU31" s="213"/>
      <c r="EV31" s="213"/>
      <c r="EW31" s="213"/>
      <c r="EX31" s="213"/>
      <c r="EY31" s="213"/>
      <c r="EZ31" s="213"/>
      <c r="FA31" s="213"/>
      <c r="FB31" s="213"/>
      <c r="FC31" s="213"/>
      <c r="FD31" s="213"/>
      <c r="FE31" s="213"/>
      <c r="FF31" s="213"/>
      <c r="FG31" s="213"/>
      <c r="FH31" s="213"/>
      <c r="FI31" s="213"/>
      <c r="FJ31" s="213"/>
      <c r="FK31" s="213"/>
      <c r="FL31" s="213"/>
      <c r="FM31" s="213"/>
      <c r="FN31" s="213"/>
      <c r="FO31" s="213"/>
      <c r="FP31" s="213"/>
      <c r="FQ31" s="213"/>
      <c r="FR31" s="213"/>
      <c r="FS31" s="213"/>
      <c r="FT31" s="213"/>
      <c r="FU31" s="213"/>
      <c r="FV31" s="213"/>
      <c r="FW31" s="213"/>
      <c r="FX31" s="213"/>
      <c r="FY31" s="213"/>
      <c r="FZ31" s="213"/>
      <c r="GA31" s="213"/>
      <c r="GB31" s="213"/>
      <c r="GC31" s="213"/>
      <c r="GD31" s="213"/>
      <c r="GE31" s="213"/>
      <c r="GF31" s="213"/>
      <c r="GG31" s="213"/>
      <c r="GH31" s="213"/>
      <c r="GI31" s="213"/>
      <c r="GJ31" s="213"/>
      <c r="GK31" s="213"/>
      <c r="GL31" s="213"/>
      <c r="GM31" s="213"/>
      <c r="GN31" s="213"/>
      <c r="GO31" s="213"/>
      <c r="GP31" s="213"/>
      <c r="GQ31" s="213"/>
      <c r="GR31" s="213"/>
      <c r="GS31" s="213"/>
      <c r="GT31" s="213"/>
      <c r="GU31" s="213"/>
      <c r="GV31" s="213"/>
      <c r="GW31" s="213"/>
      <c r="GX31" s="213"/>
      <c r="GY31" s="213"/>
      <c r="GZ31" s="213"/>
      <c r="HA31" s="213"/>
      <c r="HB31" s="213"/>
      <c r="HC31" s="213"/>
      <c r="HD31" s="213"/>
      <c r="HE31" s="213"/>
      <c r="HF31" s="213"/>
      <c r="HG31" s="213"/>
      <c r="HH31" s="213"/>
      <c r="HI31" s="213"/>
      <c r="HJ31" s="213"/>
      <c r="HK31" s="213"/>
      <c r="HL31" s="213"/>
      <c r="HM31" s="213"/>
      <c r="HN31" s="213"/>
      <c r="HO31" s="213"/>
      <c r="HP31" s="213"/>
      <c r="HQ31" s="213"/>
      <c r="HR31" s="213"/>
      <c r="HS31" s="213"/>
      <c r="HT31" s="213"/>
      <c r="HU31" s="213"/>
      <c r="HV31" s="213"/>
      <c r="HW31" s="213"/>
      <c r="HX31" s="213"/>
      <c r="HY31" s="213"/>
      <c r="HZ31" s="213"/>
      <c r="IA31" s="213"/>
      <c r="IB31" s="213"/>
      <c r="IC31" s="213"/>
      <c r="ID31" s="213"/>
      <c r="IE31" s="213"/>
      <c r="IF31" s="213"/>
      <c r="IG31" s="213"/>
      <c r="IH31" s="213"/>
      <c r="II31" s="213"/>
      <c r="IJ31" s="213"/>
      <c r="IK31" s="213"/>
      <c r="IL31" s="213"/>
      <c r="IM31" s="213"/>
      <c r="IN31" s="213"/>
      <c r="IO31" s="213"/>
      <c r="IP31" s="213"/>
      <c r="IQ31" s="213"/>
    </row>
    <row r="32" s="156" customFormat="1" spans="1:251">
      <c r="A32" s="213"/>
      <c r="B32" s="261" t="s">
        <v>79</v>
      </c>
      <c r="C32" s="250" t="s">
        <v>74</v>
      </c>
      <c r="D32" s="92">
        <f>Midazolam!D15</f>
        <v>0.0907101638176563</v>
      </c>
      <c r="E32" s="120">
        <f>Midazolam!E15</f>
        <v>7.63984735442797</v>
      </c>
      <c r="F32" s="89">
        <f>Midazolam!F15</f>
        <v>453.550819088281</v>
      </c>
      <c r="G32" s="262">
        <f t="shared" ref="G32:G41" si="0">F32*VLOOKUP($C32,$B$54:$F$60,4,0)*VLOOKUP($C32,$B$54:$F$60,5,0)/1000</f>
        <v>428.605524038426</v>
      </c>
      <c r="H32" s="260"/>
      <c r="I32" s="244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  <c r="BM32" s="213"/>
      <c r="BN32" s="213"/>
      <c r="BO32" s="213"/>
      <c r="BP32" s="213"/>
      <c r="BQ32" s="213"/>
      <c r="BR32" s="213"/>
      <c r="BS32" s="213"/>
      <c r="BT32" s="213"/>
      <c r="BU32" s="213"/>
      <c r="BV32" s="213"/>
      <c r="BW32" s="213"/>
      <c r="BX32" s="213"/>
      <c r="BY32" s="213"/>
      <c r="BZ32" s="213"/>
      <c r="CA32" s="213"/>
      <c r="CB32" s="213"/>
      <c r="CC32" s="213"/>
      <c r="CD32" s="213"/>
      <c r="CE32" s="213"/>
      <c r="CF32" s="213"/>
      <c r="CG32" s="213"/>
      <c r="CH32" s="213"/>
      <c r="CI32" s="213"/>
      <c r="CJ32" s="213"/>
      <c r="CK32" s="213"/>
      <c r="CL32" s="213"/>
      <c r="CM32" s="213"/>
      <c r="CN32" s="213"/>
      <c r="CO32" s="213"/>
      <c r="CP32" s="213"/>
      <c r="CQ32" s="213"/>
      <c r="CR32" s="213"/>
      <c r="CS32" s="213"/>
      <c r="CT32" s="213"/>
      <c r="CU32" s="213"/>
      <c r="CV32" s="213"/>
      <c r="CW32" s="213"/>
      <c r="CX32" s="213"/>
      <c r="CY32" s="213"/>
      <c r="CZ32" s="213"/>
      <c r="DA32" s="213"/>
      <c r="DB32" s="213"/>
      <c r="DC32" s="213"/>
      <c r="DD32" s="213"/>
      <c r="DE32" s="213"/>
      <c r="DF32" s="213"/>
      <c r="DG32" s="213"/>
      <c r="DH32" s="213"/>
      <c r="DI32" s="213"/>
      <c r="DJ32" s="213"/>
      <c r="DK32" s="213"/>
      <c r="DL32" s="213"/>
      <c r="DM32" s="213"/>
      <c r="DN32" s="213"/>
      <c r="DO32" s="213"/>
      <c r="DP32" s="213"/>
      <c r="DQ32" s="213"/>
      <c r="DR32" s="213"/>
      <c r="DS32" s="213"/>
      <c r="DT32" s="213"/>
      <c r="DU32" s="213"/>
      <c r="DV32" s="213"/>
      <c r="DW32" s="213"/>
      <c r="DX32" s="213"/>
      <c r="DY32" s="213"/>
      <c r="DZ32" s="213"/>
      <c r="EA32" s="213"/>
      <c r="EB32" s="213"/>
      <c r="EC32" s="213"/>
      <c r="ED32" s="213"/>
      <c r="EE32" s="213"/>
      <c r="EF32" s="213"/>
      <c r="EG32" s="213"/>
      <c r="EH32" s="213"/>
      <c r="EI32" s="213"/>
      <c r="EJ32" s="213"/>
      <c r="EK32" s="213"/>
      <c r="EL32" s="213"/>
      <c r="EM32" s="213"/>
      <c r="EN32" s="213"/>
      <c r="EO32" s="213"/>
      <c r="EP32" s="213"/>
      <c r="EQ32" s="213"/>
      <c r="ER32" s="213"/>
      <c r="ES32" s="213"/>
      <c r="ET32" s="213"/>
      <c r="EU32" s="213"/>
      <c r="EV32" s="213"/>
      <c r="EW32" s="213"/>
      <c r="EX32" s="213"/>
      <c r="EY32" s="213"/>
      <c r="EZ32" s="213"/>
      <c r="FA32" s="213"/>
      <c r="FB32" s="213"/>
      <c r="FC32" s="213"/>
      <c r="FD32" s="213"/>
      <c r="FE32" s="213"/>
      <c r="FF32" s="213"/>
      <c r="FG32" s="213"/>
      <c r="FH32" s="213"/>
      <c r="FI32" s="213"/>
      <c r="FJ32" s="213"/>
      <c r="FK32" s="213"/>
      <c r="FL32" s="213"/>
      <c r="FM32" s="213"/>
      <c r="FN32" s="213"/>
      <c r="FO32" s="213"/>
      <c r="FP32" s="213"/>
      <c r="FQ32" s="213"/>
      <c r="FR32" s="213"/>
      <c r="FS32" s="213"/>
      <c r="FT32" s="213"/>
      <c r="FU32" s="213"/>
      <c r="FV32" s="213"/>
      <c r="FW32" s="213"/>
      <c r="FX32" s="213"/>
      <c r="FY32" s="213"/>
      <c r="FZ32" s="213"/>
      <c r="GA32" s="213"/>
      <c r="GB32" s="213"/>
      <c r="GC32" s="213"/>
      <c r="GD32" s="213"/>
      <c r="GE32" s="213"/>
      <c r="GF32" s="213"/>
      <c r="GG32" s="213"/>
      <c r="GH32" s="213"/>
      <c r="GI32" s="213"/>
      <c r="GJ32" s="213"/>
      <c r="GK32" s="213"/>
      <c r="GL32" s="213"/>
      <c r="GM32" s="213"/>
      <c r="GN32" s="213"/>
      <c r="GO32" s="213"/>
      <c r="GP32" s="213"/>
      <c r="GQ32" s="213"/>
      <c r="GR32" s="213"/>
      <c r="GS32" s="213"/>
      <c r="GT32" s="213"/>
      <c r="GU32" s="213"/>
      <c r="GV32" s="213"/>
      <c r="GW32" s="213"/>
      <c r="GX32" s="213"/>
      <c r="GY32" s="213"/>
      <c r="GZ32" s="213"/>
      <c r="HA32" s="213"/>
      <c r="HB32" s="213"/>
      <c r="HC32" s="213"/>
      <c r="HD32" s="213"/>
      <c r="HE32" s="213"/>
      <c r="HF32" s="213"/>
      <c r="HG32" s="213"/>
      <c r="HH32" s="213"/>
      <c r="HI32" s="213"/>
      <c r="HJ32" s="213"/>
      <c r="HK32" s="213"/>
      <c r="HL32" s="213"/>
      <c r="HM32" s="213"/>
      <c r="HN32" s="213"/>
      <c r="HO32" s="213"/>
      <c r="HP32" s="213"/>
      <c r="HQ32" s="213"/>
      <c r="HR32" s="213"/>
      <c r="HS32" s="213"/>
      <c r="HT32" s="213"/>
      <c r="HU32" s="213"/>
      <c r="HV32" s="213"/>
      <c r="HW32" s="213"/>
      <c r="HX32" s="213"/>
      <c r="HY32" s="213"/>
      <c r="HZ32" s="213"/>
      <c r="IA32" s="213"/>
      <c r="IB32" s="213"/>
      <c r="IC32" s="213"/>
      <c r="ID32" s="213"/>
      <c r="IE32" s="213"/>
      <c r="IF32" s="213"/>
      <c r="IG32" s="213"/>
      <c r="IH32" s="213"/>
      <c r="II32" s="213"/>
      <c r="IJ32" s="213"/>
      <c r="IK32" s="213"/>
      <c r="IL32" s="213"/>
      <c r="IM32" s="213"/>
      <c r="IN32" s="213"/>
      <c r="IO32" s="213"/>
      <c r="IP32" s="213"/>
      <c r="IQ32" s="213"/>
    </row>
    <row r="33" s="156" customFormat="1" spans="1:251">
      <c r="A33" s="213"/>
      <c r="B33" s="261"/>
      <c r="C33" s="250" t="s">
        <v>75</v>
      </c>
      <c r="D33" s="141">
        <f>Midazolam!D30</f>
        <v>0.136850705359983</v>
      </c>
      <c r="E33" s="120">
        <f>Midazolam!E30</f>
        <v>5.06391405908515</v>
      </c>
      <c r="F33" s="89">
        <f>Midazolam!F30</f>
        <v>684.253526799912</v>
      </c>
      <c r="G33" s="262">
        <f t="shared" si="0"/>
        <v>985.325078591874</v>
      </c>
      <c r="H33" s="260"/>
      <c r="I33" s="244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  <c r="BD33" s="213"/>
      <c r="BE33" s="213"/>
      <c r="BF33" s="213"/>
      <c r="BG33" s="213"/>
      <c r="BH33" s="213"/>
      <c r="BI33" s="213"/>
      <c r="BJ33" s="213"/>
      <c r="BK33" s="213"/>
      <c r="BL33" s="213"/>
      <c r="BM33" s="213"/>
      <c r="BN33" s="213"/>
      <c r="BO33" s="213"/>
      <c r="BP33" s="213"/>
      <c r="BQ33" s="213"/>
      <c r="BR33" s="213"/>
      <c r="BS33" s="213"/>
      <c r="BT33" s="213"/>
      <c r="BU33" s="213"/>
      <c r="BV33" s="213"/>
      <c r="BW33" s="213"/>
      <c r="BX33" s="213"/>
      <c r="BY33" s="213"/>
      <c r="BZ33" s="213"/>
      <c r="CA33" s="213"/>
      <c r="CB33" s="213"/>
      <c r="CC33" s="213"/>
      <c r="CD33" s="213"/>
      <c r="CE33" s="213"/>
      <c r="CF33" s="213"/>
      <c r="CG33" s="213"/>
      <c r="CH33" s="213"/>
      <c r="CI33" s="213"/>
      <c r="CJ33" s="213"/>
      <c r="CK33" s="213"/>
      <c r="CL33" s="213"/>
      <c r="CM33" s="213"/>
      <c r="CN33" s="213"/>
      <c r="CO33" s="213"/>
      <c r="CP33" s="213"/>
      <c r="CQ33" s="213"/>
      <c r="CR33" s="213"/>
      <c r="CS33" s="213"/>
      <c r="CT33" s="213"/>
      <c r="CU33" s="213"/>
      <c r="CV33" s="213"/>
      <c r="CW33" s="213"/>
      <c r="CX33" s="213"/>
      <c r="CY33" s="213"/>
      <c r="CZ33" s="213"/>
      <c r="DA33" s="213"/>
      <c r="DB33" s="213"/>
      <c r="DC33" s="213"/>
      <c r="DD33" s="213"/>
      <c r="DE33" s="213"/>
      <c r="DF33" s="213"/>
      <c r="DG33" s="213"/>
      <c r="DH33" s="213"/>
      <c r="DI33" s="213"/>
      <c r="DJ33" s="213"/>
      <c r="DK33" s="213"/>
      <c r="DL33" s="213"/>
      <c r="DM33" s="213"/>
      <c r="DN33" s="213"/>
      <c r="DO33" s="213"/>
      <c r="DP33" s="213"/>
      <c r="DQ33" s="213"/>
      <c r="DR33" s="213"/>
      <c r="DS33" s="213"/>
      <c r="DT33" s="213"/>
      <c r="DU33" s="213"/>
      <c r="DV33" s="213"/>
      <c r="DW33" s="213"/>
      <c r="DX33" s="213"/>
      <c r="DY33" s="213"/>
      <c r="DZ33" s="213"/>
      <c r="EA33" s="213"/>
      <c r="EB33" s="213"/>
      <c r="EC33" s="213"/>
      <c r="ED33" s="213"/>
      <c r="EE33" s="213"/>
      <c r="EF33" s="213"/>
      <c r="EG33" s="213"/>
      <c r="EH33" s="213"/>
      <c r="EI33" s="213"/>
      <c r="EJ33" s="213"/>
      <c r="EK33" s="213"/>
      <c r="EL33" s="213"/>
      <c r="EM33" s="213"/>
      <c r="EN33" s="213"/>
      <c r="EO33" s="213"/>
      <c r="EP33" s="213"/>
      <c r="EQ33" s="213"/>
      <c r="ER33" s="213"/>
      <c r="ES33" s="213"/>
      <c r="ET33" s="213"/>
      <c r="EU33" s="213"/>
      <c r="EV33" s="213"/>
      <c r="EW33" s="213"/>
      <c r="EX33" s="213"/>
      <c r="EY33" s="213"/>
      <c r="EZ33" s="213"/>
      <c r="FA33" s="213"/>
      <c r="FB33" s="213"/>
      <c r="FC33" s="213"/>
      <c r="FD33" s="213"/>
      <c r="FE33" s="213"/>
      <c r="FF33" s="213"/>
      <c r="FG33" s="213"/>
      <c r="FH33" s="213"/>
      <c r="FI33" s="213"/>
      <c r="FJ33" s="213"/>
      <c r="FK33" s="213"/>
      <c r="FL33" s="213"/>
      <c r="FM33" s="213"/>
      <c r="FN33" s="213"/>
      <c r="FO33" s="213"/>
      <c r="FP33" s="213"/>
      <c r="FQ33" s="213"/>
      <c r="FR33" s="213"/>
      <c r="FS33" s="213"/>
      <c r="FT33" s="213"/>
      <c r="FU33" s="213"/>
      <c r="FV33" s="213"/>
      <c r="FW33" s="213"/>
      <c r="FX33" s="213"/>
      <c r="FY33" s="213"/>
      <c r="FZ33" s="213"/>
      <c r="GA33" s="213"/>
      <c r="GB33" s="213"/>
      <c r="GC33" s="213"/>
      <c r="GD33" s="213"/>
      <c r="GE33" s="213"/>
      <c r="GF33" s="213"/>
      <c r="GG33" s="213"/>
      <c r="GH33" s="213"/>
      <c r="GI33" s="213"/>
      <c r="GJ33" s="213"/>
      <c r="GK33" s="213"/>
      <c r="GL33" s="213"/>
      <c r="GM33" s="213"/>
      <c r="GN33" s="213"/>
      <c r="GO33" s="213"/>
      <c r="GP33" s="213"/>
      <c r="GQ33" s="213"/>
      <c r="GR33" s="213"/>
      <c r="GS33" s="213"/>
      <c r="GT33" s="213"/>
      <c r="GU33" s="213"/>
      <c r="GV33" s="213"/>
      <c r="GW33" s="213"/>
      <c r="GX33" s="213"/>
      <c r="GY33" s="213"/>
      <c r="GZ33" s="213"/>
      <c r="HA33" s="213"/>
      <c r="HB33" s="213"/>
      <c r="HC33" s="213"/>
      <c r="HD33" s="213"/>
      <c r="HE33" s="213"/>
      <c r="HF33" s="213"/>
      <c r="HG33" s="213"/>
      <c r="HH33" s="213"/>
      <c r="HI33" s="213"/>
      <c r="HJ33" s="213"/>
      <c r="HK33" s="213"/>
      <c r="HL33" s="213"/>
      <c r="HM33" s="213"/>
      <c r="HN33" s="213"/>
      <c r="HO33" s="213"/>
      <c r="HP33" s="213"/>
      <c r="HQ33" s="213"/>
      <c r="HR33" s="213"/>
      <c r="HS33" s="213"/>
      <c r="HT33" s="213"/>
      <c r="HU33" s="213"/>
      <c r="HV33" s="213"/>
      <c r="HW33" s="213"/>
      <c r="HX33" s="213"/>
      <c r="HY33" s="213"/>
      <c r="HZ33" s="213"/>
      <c r="IA33" s="213"/>
      <c r="IB33" s="213"/>
      <c r="IC33" s="213"/>
      <c r="ID33" s="213"/>
      <c r="IE33" s="213"/>
      <c r="IF33" s="213"/>
      <c r="IG33" s="213"/>
      <c r="IH33" s="213"/>
      <c r="II33" s="213"/>
      <c r="IJ33" s="213"/>
      <c r="IK33" s="213"/>
      <c r="IL33" s="213"/>
      <c r="IM33" s="213"/>
      <c r="IN33" s="213"/>
      <c r="IO33" s="213"/>
      <c r="IP33" s="213"/>
      <c r="IQ33" s="213"/>
    </row>
    <row r="34" s="156" customFormat="1" spans="1:251">
      <c r="A34" s="213"/>
      <c r="B34" s="22"/>
      <c r="C34" s="250" t="s">
        <v>76</v>
      </c>
      <c r="D34" s="141">
        <f>Midazolam!D45</f>
        <v>0.147824086264342</v>
      </c>
      <c r="E34" s="120">
        <f>Midazolam!E45</f>
        <v>4.68811348523697</v>
      </c>
      <c r="F34" s="89">
        <f>Midazolam!F45</f>
        <v>739.12043132171</v>
      </c>
      <c r="G34" s="262">
        <f t="shared" si="0"/>
        <v>1064.33342110326</v>
      </c>
      <c r="H34" s="260"/>
      <c r="I34" s="244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  <c r="BC34" s="213"/>
      <c r="BD34" s="213"/>
      <c r="BE34" s="213"/>
      <c r="BF34" s="213"/>
      <c r="BG34" s="213"/>
      <c r="BH34" s="213"/>
      <c r="BI34" s="213"/>
      <c r="BJ34" s="213"/>
      <c r="BK34" s="213"/>
      <c r="BL34" s="213"/>
      <c r="BM34" s="213"/>
      <c r="BN34" s="213"/>
      <c r="BO34" s="213"/>
      <c r="BP34" s="213"/>
      <c r="BQ34" s="213"/>
      <c r="BR34" s="213"/>
      <c r="BS34" s="213"/>
      <c r="BT34" s="213"/>
      <c r="BU34" s="213"/>
      <c r="BV34" s="213"/>
      <c r="BW34" s="213"/>
      <c r="BX34" s="213"/>
      <c r="BY34" s="213"/>
      <c r="BZ34" s="213"/>
      <c r="CA34" s="213"/>
      <c r="CB34" s="213"/>
      <c r="CC34" s="213"/>
      <c r="CD34" s="213"/>
      <c r="CE34" s="213"/>
      <c r="CF34" s="213"/>
      <c r="CG34" s="213"/>
      <c r="CH34" s="213"/>
      <c r="CI34" s="213"/>
      <c r="CJ34" s="213"/>
      <c r="CK34" s="213"/>
      <c r="CL34" s="213"/>
      <c r="CM34" s="213"/>
      <c r="CN34" s="213"/>
      <c r="CO34" s="213"/>
      <c r="CP34" s="213"/>
      <c r="CQ34" s="213"/>
      <c r="CR34" s="213"/>
      <c r="CS34" s="213"/>
      <c r="CT34" s="213"/>
      <c r="CU34" s="213"/>
      <c r="CV34" s="213"/>
      <c r="CW34" s="213"/>
      <c r="CX34" s="213"/>
      <c r="CY34" s="213"/>
      <c r="CZ34" s="213"/>
      <c r="DA34" s="213"/>
      <c r="DB34" s="213"/>
      <c r="DC34" s="213"/>
      <c r="DD34" s="213"/>
      <c r="DE34" s="213"/>
      <c r="DF34" s="213"/>
      <c r="DG34" s="213"/>
      <c r="DH34" s="213"/>
      <c r="DI34" s="213"/>
      <c r="DJ34" s="213"/>
      <c r="DK34" s="213"/>
      <c r="DL34" s="213"/>
      <c r="DM34" s="213"/>
      <c r="DN34" s="213"/>
      <c r="DO34" s="213"/>
      <c r="DP34" s="213"/>
      <c r="DQ34" s="213"/>
      <c r="DR34" s="213"/>
      <c r="DS34" s="213"/>
      <c r="DT34" s="213"/>
      <c r="DU34" s="213"/>
      <c r="DV34" s="213"/>
      <c r="DW34" s="213"/>
      <c r="DX34" s="213"/>
      <c r="DY34" s="213"/>
      <c r="DZ34" s="213"/>
      <c r="EA34" s="213"/>
      <c r="EB34" s="213"/>
      <c r="EC34" s="213"/>
      <c r="ED34" s="213"/>
      <c r="EE34" s="213"/>
      <c r="EF34" s="213"/>
      <c r="EG34" s="213"/>
      <c r="EH34" s="213"/>
      <c r="EI34" s="213"/>
      <c r="EJ34" s="213"/>
      <c r="EK34" s="213"/>
      <c r="EL34" s="213"/>
      <c r="EM34" s="213"/>
      <c r="EN34" s="213"/>
      <c r="EO34" s="213"/>
      <c r="EP34" s="213"/>
      <c r="EQ34" s="213"/>
      <c r="ER34" s="213"/>
      <c r="ES34" s="213"/>
      <c r="ET34" s="213"/>
      <c r="EU34" s="213"/>
      <c r="EV34" s="213"/>
      <c r="EW34" s="213"/>
      <c r="EX34" s="213"/>
      <c r="EY34" s="213"/>
      <c r="EZ34" s="213"/>
      <c r="FA34" s="213"/>
      <c r="FB34" s="213"/>
      <c r="FC34" s="213"/>
      <c r="FD34" s="213"/>
      <c r="FE34" s="213"/>
      <c r="FF34" s="213"/>
      <c r="FG34" s="213"/>
      <c r="FH34" s="213"/>
      <c r="FI34" s="213"/>
      <c r="FJ34" s="213"/>
      <c r="FK34" s="213"/>
      <c r="FL34" s="213"/>
      <c r="FM34" s="213"/>
      <c r="FN34" s="213"/>
      <c r="FO34" s="213"/>
      <c r="FP34" s="213"/>
      <c r="FQ34" s="213"/>
      <c r="FR34" s="213"/>
      <c r="FS34" s="213"/>
      <c r="FT34" s="213"/>
      <c r="FU34" s="213"/>
      <c r="FV34" s="213"/>
      <c r="FW34" s="213"/>
      <c r="FX34" s="213"/>
      <c r="FY34" s="213"/>
      <c r="FZ34" s="213"/>
      <c r="GA34" s="213"/>
      <c r="GB34" s="213"/>
      <c r="GC34" s="213"/>
      <c r="GD34" s="213"/>
      <c r="GE34" s="213"/>
      <c r="GF34" s="213"/>
      <c r="GG34" s="213"/>
      <c r="GH34" s="213"/>
      <c r="GI34" s="213"/>
      <c r="GJ34" s="213"/>
      <c r="GK34" s="213"/>
      <c r="GL34" s="213"/>
      <c r="GM34" s="213"/>
      <c r="GN34" s="213"/>
      <c r="GO34" s="213"/>
      <c r="GP34" s="213"/>
      <c r="GQ34" s="213"/>
      <c r="GR34" s="213"/>
      <c r="GS34" s="213"/>
      <c r="GT34" s="213"/>
      <c r="GU34" s="213"/>
      <c r="GV34" s="213"/>
      <c r="GW34" s="213"/>
      <c r="GX34" s="213"/>
      <c r="GY34" s="213"/>
      <c r="GZ34" s="213"/>
      <c r="HA34" s="213"/>
      <c r="HB34" s="213"/>
      <c r="HC34" s="213"/>
      <c r="HD34" s="213"/>
      <c r="HE34" s="213"/>
      <c r="HF34" s="213"/>
      <c r="HG34" s="213"/>
      <c r="HH34" s="213"/>
      <c r="HI34" s="213"/>
      <c r="HJ34" s="213"/>
      <c r="HK34" s="213"/>
      <c r="HL34" s="213"/>
      <c r="HM34" s="213"/>
      <c r="HN34" s="213"/>
      <c r="HO34" s="213"/>
      <c r="HP34" s="213"/>
      <c r="HQ34" s="213"/>
      <c r="HR34" s="213"/>
      <c r="HS34" s="213"/>
      <c r="HT34" s="213"/>
      <c r="HU34" s="213"/>
      <c r="HV34" s="213"/>
      <c r="HW34" s="213"/>
      <c r="HX34" s="213"/>
      <c r="HY34" s="213"/>
      <c r="HZ34" s="213"/>
      <c r="IA34" s="213"/>
      <c r="IB34" s="213"/>
      <c r="IC34" s="213"/>
      <c r="ID34" s="213"/>
      <c r="IE34" s="213"/>
      <c r="IF34" s="213"/>
      <c r="IG34" s="213"/>
      <c r="IH34" s="213"/>
      <c r="II34" s="213"/>
      <c r="IJ34" s="213"/>
      <c r="IK34" s="213"/>
      <c r="IL34" s="213"/>
      <c r="IM34" s="213"/>
      <c r="IN34" s="213"/>
      <c r="IO34" s="213"/>
      <c r="IP34" s="213"/>
      <c r="IQ34" s="213"/>
    </row>
    <row r="35" s="156" customFormat="1" spans="1:251">
      <c r="A35" s="213"/>
      <c r="B35" s="261"/>
      <c r="C35" s="250" t="s">
        <v>77</v>
      </c>
      <c r="D35" s="92">
        <f>Midazolam!D60</f>
        <v>0.0954231213543768</v>
      </c>
      <c r="E35" s="120">
        <f>Midazolam!E60</f>
        <v>7.26696979168491</v>
      </c>
      <c r="F35" s="89">
        <f>Midazolam!F60</f>
        <v>477.115606771884</v>
      </c>
      <c r="G35" s="262">
        <f t="shared" si="0"/>
        <v>858.808092189391</v>
      </c>
      <c r="H35" s="260"/>
      <c r="I35" s="244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/>
      <c r="BN35" s="213"/>
      <c r="BO35" s="213"/>
      <c r="BP35" s="213"/>
      <c r="BQ35" s="213"/>
      <c r="BR35" s="213"/>
      <c r="BS35" s="213"/>
      <c r="BT35" s="213"/>
      <c r="BU35" s="213"/>
      <c r="BV35" s="213"/>
      <c r="BW35" s="213"/>
      <c r="BX35" s="213"/>
      <c r="BY35" s="213"/>
      <c r="BZ35" s="213"/>
      <c r="CA35" s="213"/>
      <c r="CB35" s="213"/>
      <c r="CC35" s="213"/>
      <c r="CD35" s="213"/>
      <c r="CE35" s="213"/>
      <c r="CF35" s="213"/>
      <c r="CG35" s="213"/>
      <c r="CH35" s="213"/>
      <c r="CI35" s="213"/>
      <c r="CJ35" s="213"/>
      <c r="CK35" s="213"/>
      <c r="CL35" s="213"/>
      <c r="CM35" s="213"/>
      <c r="CN35" s="213"/>
      <c r="CO35" s="213"/>
      <c r="CP35" s="213"/>
      <c r="CQ35" s="213"/>
      <c r="CR35" s="213"/>
      <c r="CS35" s="213"/>
      <c r="CT35" s="213"/>
      <c r="CU35" s="213"/>
      <c r="CV35" s="213"/>
      <c r="CW35" s="213"/>
      <c r="CX35" s="213"/>
      <c r="CY35" s="213"/>
      <c r="CZ35" s="213"/>
      <c r="DA35" s="213"/>
      <c r="DB35" s="213"/>
      <c r="DC35" s="213"/>
      <c r="DD35" s="213"/>
      <c r="DE35" s="213"/>
      <c r="DF35" s="213"/>
      <c r="DG35" s="213"/>
      <c r="DH35" s="213"/>
      <c r="DI35" s="213"/>
      <c r="DJ35" s="213"/>
      <c r="DK35" s="213"/>
      <c r="DL35" s="213"/>
      <c r="DM35" s="213"/>
      <c r="DN35" s="213"/>
      <c r="DO35" s="213"/>
      <c r="DP35" s="213"/>
      <c r="DQ35" s="213"/>
      <c r="DR35" s="213"/>
      <c r="DS35" s="213"/>
      <c r="DT35" s="213"/>
      <c r="DU35" s="213"/>
      <c r="DV35" s="213"/>
      <c r="DW35" s="213"/>
      <c r="DX35" s="213"/>
      <c r="DY35" s="213"/>
      <c r="DZ35" s="213"/>
      <c r="EA35" s="213"/>
      <c r="EB35" s="213"/>
      <c r="EC35" s="213"/>
      <c r="ED35" s="213"/>
      <c r="EE35" s="213"/>
      <c r="EF35" s="213"/>
      <c r="EG35" s="213"/>
      <c r="EH35" s="213"/>
      <c r="EI35" s="213"/>
      <c r="EJ35" s="213"/>
      <c r="EK35" s="213"/>
      <c r="EL35" s="213"/>
      <c r="EM35" s="213"/>
      <c r="EN35" s="213"/>
      <c r="EO35" s="213"/>
      <c r="EP35" s="213"/>
      <c r="EQ35" s="213"/>
      <c r="ER35" s="213"/>
      <c r="ES35" s="213"/>
      <c r="ET35" s="213"/>
      <c r="EU35" s="213"/>
      <c r="EV35" s="213"/>
      <c r="EW35" s="213"/>
      <c r="EX35" s="213"/>
      <c r="EY35" s="213"/>
      <c r="EZ35" s="213"/>
      <c r="FA35" s="213"/>
      <c r="FB35" s="213"/>
      <c r="FC35" s="213"/>
      <c r="FD35" s="213"/>
      <c r="FE35" s="213"/>
      <c r="FF35" s="213"/>
      <c r="FG35" s="213"/>
      <c r="FH35" s="213"/>
      <c r="FI35" s="213"/>
      <c r="FJ35" s="213"/>
      <c r="FK35" s="213"/>
      <c r="FL35" s="213"/>
      <c r="FM35" s="213"/>
      <c r="FN35" s="213"/>
      <c r="FO35" s="213"/>
      <c r="FP35" s="213"/>
      <c r="FQ35" s="213"/>
      <c r="FR35" s="213"/>
      <c r="FS35" s="213"/>
      <c r="FT35" s="213"/>
      <c r="FU35" s="213"/>
      <c r="FV35" s="213"/>
      <c r="FW35" s="213"/>
      <c r="FX35" s="213"/>
      <c r="FY35" s="213"/>
      <c r="FZ35" s="213"/>
      <c r="GA35" s="213"/>
      <c r="GB35" s="213"/>
      <c r="GC35" s="213"/>
      <c r="GD35" s="213"/>
      <c r="GE35" s="213"/>
      <c r="GF35" s="213"/>
      <c r="GG35" s="213"/>
      <c r="GH35" s="213"/>
      <c r="GI35" s="213"/>
      <c r="GJ35" s="213"/>
      <c r="GK35" s="213"/>
      <c r="GL35" s="213"/>
      <c r="GM35" s="213"/>
      <c r="GN35" s="213"/>
      <c r="GO35" s="213"/>
      <c r="GP35" s="213"/>
      <c r="GQ35" s="213"/>
      <c r="GR35" s="213"/>
      <c r="GS35" s="213"/>
      <c r="GT35" s="213"/>
      <c r="GU35" s="213"/>
      <c r="GV35" s="213"/>
      <c r="GW35" s="213"/>
      <c r="GX35" s="213"/>
      <c r="GY35" s="213"/>
      <c r="GZ35" s="213"/>
      <c r="HA35" s="213"/>
      <c r="HB35" s="213"/>
      <c r="HC35" s="213"/>
      <c r="HD35" s="213"/>
      <c r="HE35" s="213"/>
      <c r="HF35" s="213"/>
      <c r="HG35" s="213"/>
      <c r="HH35" s="213"/>
      <c r="HI35" s="213"/>
      <c r="HJ35" s="213"/>
      <c r="HK35" s="213"/>
      <c r="HL35" s="213"/>
      <c r="HM35" s="213"/>
      <c r="HN35" s="213"/>
      <c r="HO35" s="213"/>
      <c r="HP35" s="213"/>
      <c r="HQ35" s="213"/>
      <c r="HR35" s="213"/>
      <c r="HS35" s="213"/>
      <c r="HT35" s="213"/>
      <c r="HU35" s="213"/>
      <c r="HV35" s="213"/>
      <c r="HW35" s="213"/>
      <c r="HX35" s="213"/>
      <c r="HY35" s="213"/>
      <c r="HZ35" s="213"/>
      <c r="IA35" s="213"/>
      <c r="IB35" s="213"/>
      <c r="IC35" s="213"/>
      <c r="ID35" s="213"/>
      <c r="IE35" s="213"/>
      <c r="IF35" s="213"/>
      <c r="IG35" s="213"/>
      <c r="IH35" s="213"/>
      <c r="II35" s="213"/>
      <c r="IJ35" s="213"/>
      <c r="IK35" s="213"/>
      <c r="IL35" s="213"/>
      <c r="IM35" s="213"/>
      <c r="IN35" s="213"/>
      <c r="IO35" s="213"/>
      <c r="IP35" s="213"/>
      <c r="IQ35" s="213"/>
    </row>
    <row r="36" s="156" customFormat="1" ht="16.25" spans="1:251">
      <c r="A36" s="213"/>
      <c r="B36" s="263"/>
      <c r="C36" s="264" t="s">
        <v>78</v>
      </c>
      <c r="D36" s="265">
        <f>Midazolam!D75</f>
        <v>0.305783615023607</v>
      </c>
      <c r="E36" s="266">
        <f>Midazolam!E75</f>
        <v>2.26744209320673</v>
      </c>
      <c r="F36" s="99">
        <f>Midazolam!F75</f>
        <v>1528.91807511803</v>
      </c>
      <c r="G36" s="267">
        <f t="shared" si="0"/>
        <v>6020.11492077725</v>
      </c>
      <c r="H36" s="260"/>
      <c r="I36" s="244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213"/>
      <c r="BF36" s="213"/>
      <c r="BG36" s="213"/>
      <c r="BH36" s="213"/>
      <c r="BI36" s="213"/>
      <c r="BJ36" s="213"/>
      <c r="BK36" s="213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  <c r="CB36" s="213"/>
      <c r="CC36" s="213"/>
      <c r="CD36" s="213"/>
      <c r="CE36" s="213"/>
      <c r="CF36" s="213"/>
      <c r="CG36" s="213"/>
      <c r="CH36" s="213"/>
      <c r="CI36" s="213"/>
      <c r="CJ36" s="213"/>
      <c r="CK36" s="213"/>
      <c r="CL36" s="213"/>
      <c r="CM36" s="213"/>
      <c r="CN36" s="213"/>
      <c r="CO36" s="213"/>
      <c r="CP36" s="213"/>
      <c r="CQ36" s="213"/>
      <c r="CR36" s="213"/>
      <c r="CS36" s="213"/>
      <c r="CT36" s="213"/>
      <c r="CU36" s="213"/>
      <c r="CV36" s="213"/>
      <c r="CW36" s="213"/>
      <c r="CX36" s="213"/>
      <c r="CY36" s="213"/>
      <c r="CZ36" s="213"/>
      <c r="DA36" s="213"/>
      <c r="DB36" s="213"/>
      <c r="DC36" s="213"/>
      <c r="DD36" s="213"/>
      <c r="DE36" s="213"/>
      <c r="DF36" s="213"/>
      <c r="DG36" s="213"/>
      <c r="DH36" s="213"/>
      <c r="DI36" s="213"/>
      <c r="DJ36" s="213"/>
      <c r="DK36" s="213"/>
      <c r="DL36" s="213"/>
      <c r="DM36" s="213"/>
      <c r="DN36" s="213"/>
      <c r="DO36" s="213"/>
      <c r="DP36" s="213"/>
      <c r="DQ36" s="213"/>
      <c r="DR36" s="213"/>
      <c r="DS36" s="213"/>
      <c r="DT36" s="213"/>
      <c r="DU36" s="213"/>
      <c r="DV36" s="213"/>
      <c r="DW36" s="213"/>
      <c r="DX36" s="213"/>
      <c r="DY36" s="213"/>
      <c r="DZ36" s="213"/>
      <c r="EA36" s="213"/>
      <c r="EB36" s="213"/>
      <c r="EC36" s="213"/>
      <c r="ED36" s="213"/>
      <c r="EE36" s="213"/>
      <c r="EF36" s="213"/>
      <c r="EG36" s="213"/>
      <c r="EH36" s="213"/>
      <c r="EI36" s="213"/>
      <c r="EJ36" s="213"/>
      <c r="EK36" s="213"/>
      <c r="EL36" s="213"/>
      <c r="EM36" s="213"/>
      <c r="EN36" s="213"/>
      <c r="EO36" s="213"/>
      <c r="EP36" s="213"/>
      <c r="EQ36" s="213"/>
      <c r="ER36" s="213"/>
      <c r="ES36" s="213"/>
      <c r="ET36" s="213"/>
      <c r="EU36" s="213"/>
      <c r="EV36" s="213"/>
      <c r="EW36" s="213"/>
      <c r="EX36" s="213"/>
      <c r="EY36" s="213"/>
      <c r="EZ36" s="213"/>
      <c r="FA36" s="213"/>
      <c r="FB36" s="213"/>
      <c r="FC36" s="213"/>
      <c r="FD36" s="213"/>
      <c r="FE36" s="213"/>
      <c r="FF36" s="213"/>
      <c r="FG36" s="213"/>
      <c r="FH36" s="213"/>
      <c r="FI36" s="213"/>
      <c r="FJ36" s="213"/>
      <c r="FK36" s="213"/>
      <c r="FL36" s="213"/>
      <c r="FM36" s="213"/>
      <c r="FN36" s="213"/>
      <c r="FO36" s="213"/>
      <c r="FP36" s="213"/>
      <c r="FQ36" s="213"/>
      <c r="FR36" s="213"/>
      <c r="FS36" s="213"/>
      <c r="FT36" s="213"/>
      <c r="FU36" s="213"/>
      <c r="FV36" s="213"/>
      <c r="FW36" s="213"/>
      <c r="FX36" s="213"/>
      <c r="FY36" s="213"/>
      <c r="FZ36" s="213"/>
      <c r="GA36" s="213"/>
      <c r="GB36" s="213"/>
      <c r="GC36" s="213"/>
      <c r="GD36" s="213"/>
      <c r="GE36" s="213"/>
      <c r="GF36" s="213"/>
      <c r="GG36" s="213"/>
      <c r="GH36" s="213"/>
      <c r="GI36" s="213"/>
      <c r="GJ36" s="213"/>
      <c r="GK36" s="213"/>
      <c r="GL36" s="213"/>
      <c r="GM36" s="213"/>
      <c r="GN36" s="213"/>
      <c r="GO36" s="213"/>
      <c r="GP36" s="213"/>
      <c r="GQ36" s="213"/>
      <c r="GR36" s="213"/>
      <c r="GS36" s="213"/>
      <c r="GT36" s="213"/>
      <c r="GU36" s="213"/>
      <c r="GV36" s="213"/>
      <c r="GW36" s="213"/>
      <c r="GX36" s="213"/>
      <c r="GY36" s="213"/>
      <c r="GZ36" s="213"/>
      <c r="HA36" s="213"/>
      <c r="HB36" s="213"/>
      <c r="HC36" s="213"/>
      <c r="HD36" s="213"/>
      <c r="HE36" s="213"/>
      <c r="HF36" s="213"/>
      <c r="HG36" s="213"/>
      <c r="HH36" s="213"/>
      <c r="HI36" s="213"/>
      <c r="HJ36" s="213"/>
      <c r="HK36" s="213"/>
      <c r="HL36" s="213"/>
      <c r="HM36" s="213"/>
      <c r="HN36" s="213"/>
      <c r="HO36" s="213"/>
      <c r="HP36" s="213"/>
      <c r="HQ36" s="213"/>
      <c r="HR36" s="213"/>
      <c r="HS36" s="213"/>
      <c r="HT36" s="213"/>
      <c r="HU36" s="213"/>
      <c r="HV36" s="213"/>
      <c r="HW36" s="213"/>
      <c r="HX36" s="213"/>
      <c r="HY36" s="213"/>
      <c r="HZ36" s="213"/>
      <c r="IA36" s="213"/>
      <c r="IB36" s="213"/>
      <c r="IC36" s="213"/>
      <c r="ID36" s="213"/>
      <c r="IE36" s="213"/>
      <c r="IF36" s="213"/>
      <c r="IG36" s="213"/>
      <c r="IH36" s="213"/>
      <c r="II36" s="213"/>
      <c r="IJ36" s="213"/>
      <c r="IK36" s="213"/>
      <c r="IL36" s="213"/>
      <c r="IM36" s="213"/>
      <c r="IN36" s="213"/>
      <c r="IO36" s="213"/>
      <c r="IP36" s="213"/>
      <c r="IQ36" s="213"/>
    </row>
    <row r="37" s="156" customFormat="1" spans="1:251">
      <c r="A37" s="213"/>
      <c r="B37" s="261" t="s">
        <v>80</v>
      </c>
      <c r="C37" s="250" t="s">
        <v>74</v>
      </c>
      <c r="D37" s="92">
        <f>'7-HC'!D15</f>
        <v>0.0438277439992798</v>
      </c>
      <c r="E37" s="252">
        <f>'7-HC'!E15</f>
        <v>16.0044963005665</v>
      </c>
      <c r="F37" s="89">
        <f>'7-HC'!F15</f>
        <v>219.138719996399</v>
      </c>
      <c r="G37" s="262">
        <f t="shared" si="0"/>
        <v>207.086090396597</v>
      </c>
      <c r="H37" s="260"/>
      <c r="I37" s="244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  <c r="BC37" s="213"/>
      <c r="BD37" s="213"/>
      <c r="BE37" s="213"/>
      <c r="BF37" s="213"/>
      <c r="BG37" s="213"/>
      <c r="BH37" s="213"/>
      <c r="BI37" s="213"/>
      <c r="BJ37" s="213"/>
      <c r="BK37" s="213"/>
      <c r="BL37" s="213"/>
      <c r="BM37" s="213"/>
      <c r="BN37" s="213"/>
      <c r="BO37" s="213"/>
      <c r="BP37" s="213"/>
      <c r="BQ37" s="213"/>
      <c r="BR37" s="213"/>
      <c r="BS37" s="213"/>
      <c r="BT37" s="213"/>
      <c r="BU37" s="213"/>
      <c r="BV37" s="213"/>
      <c r="BW37" s="213"/>
      <c r="BX37" s="213"/>
      <c r="BY37" s="213"/>
      <c r="BZ37" s="213"/>
      <c r="CA37" s="213"/>
      <c r="CB37" s="213"/>
      <c r="CC37" s="213"/>
      <c r="CD37" s="213"/>
      <c r="CE37" s="213"/>
      <c r="CF37" s="213"/>
      <c r="CG37" s="213"/>
      <c r="CH37" s="213"/>
      <c r="CI37" s="213"/>
      <c r="CJ37" s="213"/>
      <c r="CK37" s="213"/>
      <c r="CL37" s="213"/>
      <c r="CM37" s="213"/>
      <c r="CN37" s="213"/>
      <c r="CO37" s="213"/>
      <c r="CP37" s="213"/>
      <c r="CQ37" s="213"/>
      <c r="CR37" s="213"/>
      <c r="CS37" s="213"/>
      <c r="CT37" s="213"/>
      <c r="CU37" s="213"/>
      <c r="CV37" s="213"/>
      <c r="CW37" s="213"/>
      <c r="CX37" s="213"/>
      <c r="CY37" s="213"/>
      <c r="CZ37" s="213"/>
      <c r="DA37" s="213"/>
      <c r="DB37" s="213"/>
      <c r="DC37" s="213"/>
      <c r="DD37" s="213"/>
      <c r="DE37" s="213"/>
      <c r="DF37" s="213"/>
      <c r="DG37" s="213"/>
      <c r="DH37" s="213"/>
      <c r="DI37" s="213"/>
      <c r="DJ37" s="213"/>
      <c r="DK37" s="213"/>
      <c r="DL37" s="213"/>
      <c r="DM37" s="213"/>
      <c r="DN37" s="213"/>
      <c r="DO37" s="213"/>
      <c r="DP37" s="213"/>
      <c r="DQ37" s="213"/>
      <c r="DR37" s="213"/>
      <c r="DS37" s="213"/>
      <c r="DT37" s="213"/>
      <c r="DU37" s="213"/>
      <c r="DV37" s="213"/>
      <c r="DW37" s="213"/>
      <c r="DX37" s="213"/>
      <c r="DY37" s="213"/>
      <c r="DZ37" s="213"/>
      <c r="EA37" s="213"/>
      <c r="EB37" s="213"/>
      <c r="EC37" s="213"/>
      <c r="ED37" s="213"/>
      <c r="EE37" s="213"/>
      <c r="EF37" s="213"/>
      <c r="EG37" s="213"/>
      <c r="EH37" s="213"/>
      <c r="EI37" s="213"/>
      <c r="EJ37" s="213"/>
      <c r="EK37" s="213"/>
      <c r="EL37" s="213"/>
      <c r="EM37" s="213"/>
      <c r="EN37" s="213"/>
      <c r="EO37" s="213"/>
      <c r="EP37" s="213"/>
      <c r="EQ37" s="213"/>
      <c r="ER37" s="213"/>
      <c r="ES37" s="213"/>
      <c r="ET37" s="213"/>
      <c r="EU37" s="213"/>
      <c r="EV37" s="213"/>
      <c r="EW37" s="213"/>
      <c r="EX37" s="213"/>
      <c r="EY37" s="213"/>
      <c r="EZ37" s="213"/>
      <c r="FA37" s="213"/>
      <c r="FB37" s="213"/>
      <c r="FC37" s="213"/>
      <c r="FD37" s="213"/>
      <c r="FE37" s="213"/>
      <c r="FF37" s="213"/>
      <c r="FG37" s="213"/>
      <c r="FH37" s="213"/>
      <c r="FI37" s="213"/>
      <c r="FJ37" s="213"/>
      <c r="FK37" s="213"/>
      <c r="FL37" s="213"/>
      <c r="FM37" s="213"/>
      <c r="FN37" s="213"/>
      <c r="FO37" s="213"/>
      <c r="FP37" s="213"/>
      <c r="FQ37" s="213"/>
      <c r="FR37" s="213"/>
      <c r="FS37" s="213"/>
      <c r="FT37" s="213"/>
      <c r="FU37" s="213"/>
      <c r="FV37" s="213"/>
      <c r="FW37" s="213"/>
      <c r="FX37" s="213"/>
      <c r="FY37" s="213"/>
      <c r="FZ37" s="213"/>
      <c r="GA37" s="213"/>
      <c r="GB37" s="213"/>
      <c r="GC37" s="213"/>
      <c r="GD37" s="213"/>
      <c r="GE37" s="213"/>
      <c r="GF37" s="213"/>
      <c r="GG37" s="213"/>
      <c r="GH37" s="213"/>
      <c r="GI37" s="213"/>
      <c r="GJ37" s="213"/>
      <c r="GK37" s="213"/>
      <c r="GL37" s="213"/>
      <c r="GM37" s="213"/>
      <c r="GN37" s="213"/>
      <c r="GO37" s="213"/>
      <c r="GP37" s="213"/>
      <c r="GQ37" s="213"/>
      <c r="GR37" s="213"/>
      <c r="GS37" s="213"/>
      <c r="GT37" s="213"/>
      <c r="GU37" s="213"/>
      <c r="GV37" s="213"/>
      <c r="GW37" s="213"/>
      <c r="GX37" s="213"/>
      <c r="GY37" s="213"/>
      <c r="GZ37" s="213"/>
      <c r="HA37" s="213"/>
      <c r="HB37" s="213"/>
      <c r="HC37" s="213"/>
      <c r="HD37" s="213"/>
      <c r="HE37" s="213"/>
      <c r="HF37" s="213"/>
      <c r="HG37" s="213"/>
      <c r="HH37" s="213"/>
      <c r="HI37" s="213"/>
      <c r="HJ37" s="213"/>
      <c r="HK37" s="213"/>
      <c r="HL37" s="213"/>
      <c r="HM37" s="213"/>
      <c r="HN37" s="213"/>
      <c r="HO37" s="213"/>
      <c r="HP37" s="213"/>
      <c r="HQ37" s="213"/>
      <c r="HR37" s="213"/>
      <c r="HS37" s="213"/>
      <c r="HT37" s="213"/>
      <c r="HU37" s="213"/>
      <c r="HV37" s="213"/>
      <c r="HW37" s="213"/>
      <c r="HX37" s="213"/>
      <c r="HY37" s="213"/>
      <c r="HZ37" s="213"/>
      <c r="IA37" s="213"/>
      <c r="IB37" s="213"/>
      <c r="IC37" s="213"/>
      <c r="ID37" s="213"/>
      <c r="IE37" s="213"/>
      <c r="IF37" s="213"/>
      <c r="IG37" s="213"/>
      <c r="IH37" s="213"/>
      <c r="II37" s="213"/>
      <c r="IJ37" s="213"/>
      <c r="IK37" s="213"/>
      <c r="IL37" s="213"/>
      <c r="IM37" s="213"/>
      <c r="IN37" s="213"/>
      <c r="IO37" s="213"/>
      <c r="IP37" s="213"/>
      <c r="IQ37" s="213"/>
    </row>
    <row r="38" s="156" customFormat="1" spans="1:251">
      <c r="A38" s="213"/>
      <c r="B38" s="261"/>
      <c r="C38" s="250" t="s">
        <v>75</v>
      </c>
      <c r="D38" s="92">
        <f>'7-HC'!D30</f>
        <v>0.0276222206274697</v>
      </c>
      <c r="E38" s="252">
        <f>'7-HC'!E30</f>
        <v>25.3349071220676</v>
      </c>
      <c r="F38" s="89">
        <f>'7-HC'!F30</f>
        <v>138.111103137349</v>
      </c>
      <c r="G38" s="262">
        <f t="shared" si="0"/>
        <v>198.879988517782</v>
      </c>
      <c r="H38" s="260"/>
      <c r="I38" s="244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213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213"/>
      <c r="BS38" s="213"/>
      <c r="BT38" s="213"/>
      <c r="BU38" s="213"/>
      <c r="BV38" s="213"/>
      <c r="BW38" s="213"/>
      <c r="BX38" s="213"/>
      <c r="BY38" s="213"/>
      <c r="BZ38" s="213"/>
      <c r="CA38" s="213"/>
      <c r="CB38" s="213"/>
      <c r="CC38" s="213"/>
      <c r="CD38" s="213"/>
      <c r="CE38" s="213"/>
      <c r="CF38" s="213"/>
      <c r="CG38" s="213"/>
      <c r="CH38" s="213"/>
      <c r="CI38" s="213"/>
      <c r="CJ38" s="213"/>
      <c r="CK38" s="213"/>
      <c r="CL38" s="213"/>
      <c r="CM38" s="213"/>
      <c r="CN38" s="213"/>
      <c r="CO38" s="213"/>
      <c r="CP38" s="213"/>
      <c r="CQ38" s="213"/>
      <c r="CR38" s="213"/>
      <c r="CS38" s="213"/>
      <c r="CT38" s="213"/>
      <c r="CU38" s="213"/>
      <c r="CV38" s="213"/>
      <c r="CW38" s="213"/>
      <c r="CX38" s="213"/>
      <c r="CY38" s="213"/>
      <c r="CZ38" s="213"/>
      <c r="DA38" s="213"/>
      <c r="DB38" s="213"/>
      <c r="DC38" s="213"/>
      <c r="DD38" s="213"/>
      <c r="DE38" s="213"/>
      <c r="DF38" s="213"/>
      <c r="DG38" s="213"/>
      <c r="DH38" s="213"/>
      <c r="DI38" s="213"/>
      <c r="DJ38" s="213"/>
      <c r="DK38" s="213"/>
      <c r="DL38" s="213"/>
      <c r="DM38" s="213"/>
      <c r="DN38" s="213"/>
      <c r="DO38" s="213"/>
      <c r="DP38" s="213"/>
      <c r="DQ38" s="213"/>
      <c r="DR38" s="213"/>
      <c r="DS38" s="213"/>
      <c r="DT38" s="213"/>
      <c r="DU38" s="213"/>
      <c r="DV38" s="213"/>
      <c r="DW38" s="213"/>
      <c r="DX38" s="213"/>
      <c r="DY38" s="213"/>
      <c r="DZ38" s="213"/>
      <c r="EA38" s="213"/>
      <c r="EB38" s="213"/>
      <c r="EC38" s="213"/>
      <c r="ED38" s="213"/>
      <c r="EE38" s="213"/>
      <c r="EF38" s="213"/>
      <c r="EG38" s="213"/>
      <c r="EH38" s="213"/>
      <c r="EI38" s="213"/>
      <c r="EJ38" s="213"/>
      <c r="EK38" s="213"/>
      <c r="EL38" s="213"/>
      <c r="EM38" s="213"/>
      <c r="EN38" s="213"/>
      <c r="EO38" s="213"/>
      <c r="EP38" s="213"/>
      <c r="EQ38" s="213"/>
      <c r="ER38" s="213"/>
      <c r="ES38" s="213"/>
      <c r="ET38" s="213"/>
      <c r="EU38" s="213"/>
      <c r="EV38" s="213"/>
      <c r="EW38" s="213"/>
      <c r="EX38" s="213"/>
      <c r="EY38" s="213"/>
      <c r="EZ38" s="213"/>
      <c r="FA38" s="213"/>
      <c r="FB38" s="213"/>
      <c r="FC38" s="213"/>
      <c r="FD38" s="213"/>
      <c r="FE38" s="213"/>
      <c r="FF38" s="213"/>
      <c r="FG38" s="213"/>
      <c r="FH38" s="213"/>
      <c r="FI38" s="213"/>
      <c r="FJ38" s="213"/>
      <c r="FK38" s="213"/>
      <c r="FL38" s="213"/>
      <c r="FM38" s="213"/>
      <c r="FN38" s="213"/>
      <c r="FO38" s="213"/>
      <c r="FP38" s="213"/>
      <c r="FQ38" s="213"/>
      <c r="FR38" s="213"/>
      <c r="FS38" s="213"/>
      <c r="FT38" s="213"/>
      <c r="FU38" s="213"/>
      <c r="FV38" s="213"/>
      <c r="FW38" s="213"/>
      <c r="FX38" s="213"/>
      <c r="FY38" s="213"/>
      <c r="FZ38" s="213"/>
      <c r="GA38" s="213"/>
      <c r="GB38" s="213"/>
      <c r="GC38" s="213"/>
      <c r="GD38" s="213"/>
      <c r="GE38" s="213"/>
      <c r="GF38" s="213"/>
      <c r="GG38" s="213"/>
      <c r="GH38" s="213"/>
      <c r="GI38" s="213"/>
      <c r="GJ38" s="213"/>
      <c r="GK38" s="213"/>
      <c r="GL38" s="213"/>
      <c r="GM38" s="213"/>
      <c r="GN38" s="213"/>
      <c r="GO38" s="213"/>
      <c r="GP38" s="213"/>
      <c r="GQ38" s="213"/>
      <c r="GR38" s="213"/>
      <c r="GS38" s="213"/>
      <c r="GT38" s="213"/>
      <c r="GU38" s="213"/>
      <c r="GV38" s="213"/>
      <c r="GW38" s="213"/>
      <c r="GX38" s="213"/>
      <c r="GY38" s="213"/>
      <c r="GZ38" s="213"/>
      <c r="HA38" s="213"/>
      <c r="HB38" s="213"/>
      <c r="HC38" s="213"/>
      <c r="HD38" s="213"/>
      <c r="HE38" s="213"/>
      <c r="HF38" s="213"/>
      <c r="HG38" s="213"/>
      <c r="HH38" s="213"/>
      <c r="HI38" s="213"/>
      <c r="HJ38" s="213"/>
      <c r="HK38" s="213"/>
      <c r="HL38" s="213"/>
      <c r="HM38" s="213"/>
      <c r="HN38" s="213"/>
      <c r="HO38" s="213"/>
      <c r="HP38" s="213"/>
      <c r="HQ38" s="213"/>
      <c r="HR38" s="213"/>
      <c r="HS38" s="213"/>
      <c r="HT38" s="213"/>
      <c r="HU38" s="213"/>
      <c r="HV38" s="213"/>
      <c r="HW38" s="213"/>
      <c r="HX38" s="213"/>
      <c r="HY38" s="213"/>
      <c r="HZ38" s="213"/>
      <c r="IA38" s="213"/>
      <c r="IB38" s="213"/>
      <c r="IC38" s="213"/>
      <c r="ID38" s="213"/>
      <c r="IE38" s="213"/>
      <c r="IF38" s="213"/>
      <c r="IG38" s="213"/>
      <c r="IH38" s="213"/>
      <c r="II38" s="213"/>
      <c r="IJ38" s="213"/>
      <c r="IK38" s="213"/>
      <c r="IL38" s="213"/>
      <c r="IM38" s="213"/>
      <c r="IN38" s="213"/>
      <c r="IO38" s="213"/>
      <c r="IP38" s="213"/>
      <c r="IQ38" s="213"/>
    </row>
    <row r="39" s="156" customFormat="1" spans="1:251">
      <c r="A39" s="213"/>
      <c r="B39" s="22"/>
      <c r="C39" s="250" t="s">
        <v>76</v>
      </c>
      <c r="D39" s="92">
        <f>'7-HC'!D45</f>
        <v>0.0399343674908925</v>
      </c>
      <c r="E39" s="252">
        <f>'7-HC'!E45</f>
        <v>17.4149496233686</v>
      </c>
      <c r="F39" s="89">
        <f>'7-HC'!F45</f>
        <v>199.671837454462</v>
      </c>
      <c r="G39" s="262">
        <f t="shared" si="0"/>
        <v>287.527445934426</v>
      </c>
      <c r="H39" s="260"/>
      <c r="I39" s="244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13"/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  <c r="BY39" s="213"/>
      <c r="BZ39" s="213"/>
      <c r="CA39" s="213"/>
      <c r="CB39" s="213"/>
      <c r="CC39" s="213"/>
      <c r="CD39" s="213"/>
      <c r="CE39" s="213"/>
      <c r="CF39" s="213"/>
      <c r="CG39" s="213"/>
      <c r="CH39" s="213"/>
      <c r="CI39" s="213"/>
      <c r="CJ39" s="213"/>
      <c r="CK39" s="213"/>
      <c r="CL39" s="213"/>
      <c r="CM39" s="213"/>
      <c r="CN39" s="213"/>
      <c r="CO39" s="213"/>
      <c r="CP39" s="213"/>
      <c r="CQ39" s="213"/>
      <c r="CR39" s="213"/>
      <c r="CS39" s="213"/>
      <c r="CT39" s="213"/>
      <c r="CU39" s="213"/>
      <c r="CV39" s="213"/>
      <c r="CW39" s="213"/>
      <c r="CX39" s="213"/>
      <c r="CY39" s="213"/>
      <c r="CZ39" s="213"/>
      <c r="DA39" s="213"/>
      <c r="DB39" s="213"/>
      <c r="DC39" s="213"/>
      <c r="DD39" s="213"/>
      <c r="DE39" s="213"/>
      <c r="DF39" s="213"/>
      <c r="DG39" s="213"/>
      <c r="DH39" s="213"/>
      <c r="DI39" s="213"/>
      <c r="DJ39" s="213"/>
      <c r="DK39" s="213"/>
      <c r="DL39" s="213"/>
      <c r="DM39" s="213"/>
      <c r="DN39" s="213"/>
      <c r="DO39" s="213"/>
      <c r="DP39" s="213"/>
      <c r="DQ39" s="213"/>
      <c r="DR39" s="213"/>
      <c r="DS39" s="213"/>
      <c r="DT39" s="213"/>
      <c r="DU39" s="213"/>
      <c r="DV39" s="213"/>
      <c r="DW39" s="213"/>
      <c r="DX39" s="213"/>
      <c r="DY39" s="213"/>
      <c r="DZ39" s="213"/>
      <c r="EA39" s="213"/>
      <c r="EB39" s="213"/>
      <c r="EC39" s="213"/>
      <c r="ED39" s="213"/>
      <c r="EE39" s="213"/>
      <c r="EF39" s="213"/>
      <c r="EG39" s="213"/>
      <c r="EH39" s="213"/>
      <c r="EI39" s="213"/>
      <c r="EJ39" s="213"/>
      <c r="EK39" s="213"/>
      <c r="EL39" s="213"/>
      <c r="EM39" s="213"/>
      <c r="EN39" s="213"/>
      <c r="EO39" s="213"/>
      <c r="EP39" s="213"/>
      <c r="EQ39" s="213"/>
      <c r="ER39" s="213"/>
      <c r="ES39" s="213"/>
      <c r="ET39" s="213"/>
      <c r="EU39" s="213"/>
      <c r="EV39" s="213"/>
      <c r="EW39" s="213"/>
      <c r="EX39" s="213"/>
      <c r="EY39" s="213"/>
      <c r="EZ39" s="213"/>
      <c r="FA39" s="213"/>
      <c r="FB39" s="213"/>
      <c r="FC39" s="213"/>
      <c r="FD39" s="213"/>
      <c r="FE39" s="213"/>
      <c r="FF39" s="213"/>
      <c r="FG39" s="213"/>
      <c r="FH39" s="213"/>
      <c r="FI39" s="213"/>
      <c r="FJ39" s="213"/>
      <c r="FK39" s="213"/>
      <c r="FL39" s="213"/>
      <c r="FM39" s="213"/>
      <c r="FN39" s="213"/>
      <c r="FO39" s="213"/>
      <c r="FP39" s="213"/>
      <c r="FQ39" s="213"/>
      <c r="FR39" s="213"/>
      <c r="FS39" s="213"/>
      <c r="FT39" s="213"/>
      <c r="FU39" s="213"/>
      <c r="FV39" s="213"/>
      <c r="FW39" s="213"/>
      <c r="FX39" s="213"/>
      <c r="FY39" s="213"/>
      <c r="FZ39" s="213"/>
      <c r="GA39" s="213"/>
      <c r="GB39" s="213"/>
      <c r="GC39" s="213"/>
      <c r="GD39" s="213"/>
      <c r="GE39" s="213"/>
      <c r="GF39" s="213"/>
      <c r="GG39" s="213"/>
      <c r="GH39" s="213"/>
      <c r="GI39" s="213"/>
      <c r="GJ39" s="213"/>
      <c r="GK39" s="213"/>
      <c r="GL39" s="213"/>
      <c r="GM39" s="213"/>
      <c r="GN39" s="213"/>
      <c r="GO39" s="213"/>
      <c r="GP39" s="213"/>
      <c r="GQ39" s="213"/>
      <c r="GR39" s="213"/>
      <c r="GS39" s="213"/>
      <c r="GT39" s="213"/>
      <c r="GU39" s="213"/>
      <c r="GV39" s="213"/>
      <c r="GW39" s="213"/>
      <c r="GX39" s="213"/>
      <c r="GY39" s="213"/>
      <c r="GZ39" s="213"/>
      <c r="HA39" s="213"/>
      <c r="HB39" s="213"/>
      <c r="HC39" s="213"/>
      <c r="HD39" s="213"/>
      <c r="HE39" s="213"/>
      <c r="HF39" s="213"/>
      <c r="HG39" s="213"/>
      <c r="HH39" s="213"/>
      <c r="HI39" s="213"/>
      <c r="HJ39" s="213"/>
      <c r="HK39" s="213"/>
      <c r="HL39" s="213"/>
      <c r="HM39" s="213"/>
      <c r="HN39" s="213"/>
      <c r="HO39" s="213"/>
      <c r="HP39" s="213"/>
      <c r="HQ39" s="213"/>
      <c r="HR39" s="213"/>
      <c r="HS39" s="213"/>
      <c r="HT39" s="213"/>
      <c r="HU39" s="213"/>
      <c r="HV39" s="213"/>
      <c r="HW39" s="213"/>
      <c r="HX39" s="213"/>
      <c r="HY39" s="213"/>
      <c r="HZ39" s="213"/>
      <c r="IA39" s="213"/>
      <c r="IB39" s="213"/>
      <c r="IC39" s="213"/>
      <c r="ID39" s="213"/>
      <c r="IE39" s="213"/>
      <c r="IF39" s="213"/>
      <c r="IG39" s="213"/>
      <c r="IH39" s="213"/>
      <c r="II39" s="213"/>
      <c r="IJ39" s="213"/>
      <c r="IK39" s="213"/>
      <c r="IL39" s="213"/>
      <c r="IM39" s="213"/>
      <c r="IN39" s="213"/>
      <c r="IO39" s="213"/>
      <c r="IP39" s="213"/>
      <c r="IQ39" s="213"/>
    </row>
    <row r="40" s="156" customFormat="1" spans="1:251">
      <c r="A40" s="213"/>
      <c r="B40" s="261"/>
      <c r="C40" s="250" t="s">
        <v>77</v>
      </c>
      <c r="D40" s="92">
        <f>'7-HC'!D60</f>
        <v>0.0347048321055361</v>
      </c>
      <c r="E40" s="252">
        <f>'7-HC'!E60</f>
        <v>19.9684013321229</v>
      </c>
      <c r="F40" s="89">
        <f>'7-HC'!F60</f>
        <v>173.52416052768</v>
      </c>
      <c r="G40" s="262">
        <f t="shared" si="0"/>
        <v>312.343488949825</v>
      </c>
      <c r="H40" s="260"/>
      <c r="I40" s="244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  <c r="BC40" s="213"/>
      <c r="BD40" s="213"/>
      <c r="BE40" s="213"/>
      <c r="BF40" s="213"/>
      <c r="BG40" s="213"/>
      <c r="BH40" s="213"/>
      <c r="BI40" s="213"/>
      <c r="BJ40" s="213"/>
      <c r="BK40" s="213"/>
      <c r="BL40" s="213"/>
      <c r="BM40" s="213"/>
      <c r="BN40" s="213"/>
      <c r="BO40" s="213"/>
      <c r="BP40" s="213"/>
      <c r="BQ40" s="213"/>
      <c r="BR40" s="213"/>
      <c r="BS40" s="213"/>
      <c r="BT40" s="213"/>
      <c r="BU40" s="213"/>
      <c r="BV40" s="213"/>
      <c r="BW40" s="213"/>
      <c r="BX40" s="213"/>
      <c r="BY40" s="213"/>
      <c r="BZ40" s="213"/>
      <c r="CA40" s="213"/>
      <c r="CB40" s="213"/>
      <c r="CC40" s="213"/>
      <c r="CD40" s="213"/>
      <c r="CE40" s="213"/>
      <c r="CF40" s="213"/>
      <c r="CG40" s="213"/>
      <c r="CH40" s="213"/>
      <c r="CI40" s="213"/>
      <c r="CJ40" s="213"/>
      <c r="CK40" s="213"/>
      <c r="CL40" s="213"/>
      <c r="CM40" s="213"/>
      <c r="CN40" s="213"/>
      <c r="CO40" s="213"/>
      <c r="CP40" s="213"/>
      <c r="CQ40" s="213"/>
      <c r="CR40" s="213"/>
      <c r="CS40" s="213"/>
      <c r="CT40" s="213"/>
      <c r="CU40" s="213"/>
      <c r="CV40" s="213"/>
      <c r="CW40" s="213"/>
      <c r="CX40" s="213"/>
      <c r="CY40" s="213"/>
      <c r="CZ40" s="213"/>
      <c r="DA40" s="213"/>
      <c r="DB40" s="213"/>
      <c r="DC40" s="213"/>
      <c r="DD40" s="213"/>
      <c r="DE40" s="213"/>
      <c r="DF40" s="213"/>
      <c r="DG40" s="213"/>
      <c r="DH40" s="213"/>
      <c r="DI40" s="213"/>
      <c r="DJ40" s="213"/>
      <c r="DK40" s="213"/>
      <c r="DL40" s="213"/>
      <c r="DM40" s="213"/>
      <c r="DN40" s="213"/>
      <c r="DO40" s="213"/>
      <c r="DP40" s="213"/>
      <c r="DQ40" s="213"/>
      <c r="DR40" s="213"/>
      <c r="DS40" s="213"/>
      <c r="DT40" s="213"/>
      <c r="DU40" s="213"/>
      <c r="DV40" s="213"/>
      <c r="DW40" s="213"/>
      <c r="DX40" s="213"/>
      <c r="DY40" s="213"/>
      <c r="DZ40" s="213"/>
      <c r="EA40" s="213"/>
      <c r="EB40" s="213"/>
      <c r="EC40" s="213"/>
      <c r="ED40" s="213"/>
      <c r="EE40" s="213"/>
      <c r="EF40" s="213"/>
      <c r="EG40" s="213"/>
      <c r="EH40" s="213"/>
      <c r="EI40" s="213"/>
      <c r="EJ40" s="213"/>
      <c r="EK40" s="213"/>
      <c r="EL40" s="213"/>
      <c r="EM40" s="213"/>
      <c r="EN40" s="213"/>
      <c r="EO40" s="213"/>
      <c r="EP40" s="213"/>
      <c r="EQ40" s="213"/>
      <c r="ER40" s="213"/>
      <c r="ES40" s="213"/>
      <c r="ET40" s="213"/>
      <c r="EU40" s="213"/>
      <c r="EV40" s="213"/>
      <c r="EW40" s="213"/>
      <c r="EX40" s="213"/>
      <c r="EY40" s="213"/>
      <c r="EZ40" s="213"/>
      <c r="FA40" s="213"/>
      <c r="FB40" s="213"/>
      <c r="FC40" s="213"/>
      <c r="FD40" s="213"/>
      <c r="FE40" s="213"/>
      <c r="FF40" s="213"/>
      <c r="FG40" s="213"/>
      <c r="FH40" s="213"/>
      <c r="FI40" s="213"/>
      <c r="FJ40" s="213"/>
      <c r="FK40" s="213"/>
      <c r="FL40" s="213"/>
      <c r="FM40" s="213"/>
      <c r="FN40" s="213"/>
      <c r="FO40" s="213"/>
      <c r="FP40" s="213"/>
      <c r="FQ40" s="213"/>
      <c r="FR40" s="213"/>
      <c r="FS40" s="213"/>
      <c r="FT40" s="213"/>
      <c r="FU40" s="213"/>
      <c r="FV40" s="213"/>
      <c r="FW40" s="213"/>
      <c r="FX40" s="213"/>
      <c r="FY40" s="213"/>
      <c r="FZ40" s="213"/>
      <c r="GA40" s="213"/>
      <c r="GB40" s="213"/>
      <c r="GC40" s="213"/>
      <c r="GD40" s="213"/>
      <c r="GE40" s="213"/>
      <c r="GF40" s="213"/>
      <c r="GG40" s="213"/>
      <c r="GH40" s="213"/>
      <c r="GI40" s="213"/>
      <c r="GJ40" s="213"/>
      <c r="GK40" s="213"/>
      <c r="GL40" s="213"/>
      <c r="GM40" s="213"/>
      <c r="GN40" s="213"/>
      <c r="GO40" s="213"/>
      <c r="GP40" s="213"/>
      <c r="GQ40" s="213"/>
      <c r="GR40" s="213"/>
      <c r="GS40" s="213"/>
      <c r="GT40" s="213"/>
      <c r="GU40" s="213"/>
      <c r="GV40" s="213"/>
      <c r="GW40" s="213"/>
      <c r="GX40" s="213"/>
      <c r="GY40" s="213"/>
      <c r="GZ40" s="213"/>
      <c r="HA40" s="213"/>
      <c r="HB40" s="213"/>
      <c r="HC40" s="213"/>
      <c r="HD40" s="213"/>
      <c r="HE40" s="213"/>
      <c r="HF40" s="213"/>
      <c r="HG40" s="213"/>
      <c r="HH40" s="213"/>
      <c r="HI40" s="213"/>
      <c r="HJ40" s="213"/>
      <c r="HK40" s="213"/>
      <c r="HL40" s="213"/>
      <c r="HM40" s="213"/>
      <c r="HN40" s="213"/>
      <c r="HO40" s="213"/>
      <c r="HP40" s="213"/>
      <c r="HQ40" s="213"/>
      <c r="HR40" s="213"/>
      <c r="HS40" s="213"/>
      <c r="HT40" s="213"/>
      <c r="HU40" s="213"/>
      <c r="HV40" s="213"/>
      <c r="HW40" s="213"/>
      <c r="HX40" s="213"/>
      <c r="HY40" s="213"/>
      <c r="HZ40" s="213"/>
      <c r="IA40" s="213"/>
      <c r="IB40" s="213"/>
      <c r="IC40" s="213"/>
      <c r="ID40" s="213"/>
      <c r="IE40" s="213"/>
      <c r="IF40" s="213"/>
      <c r="IG40" s="213"/>
      <c r="IH40" s="213"/>
      <c r="II40" s="213"/>
      <c r="IJ40" s="213"/>
      <c r="IK40" s="213"/>
      <c r="IL40" s="213"/>
      <c r="IM40" s="213"/>
      <c r="IN40" s="213"/>
      <c r="IO40" s="213"/>
      <c r="IP40" s="213"/>
      <c r="IQ40" s="213"/>
    </row>
    <row r="41" s="156" customFormat="1" ht="16.25" spans="1:251">
      <c r="A41" s="213"/>
      <c r="B41" s="263"/>
      <c r="C41" s="264" t="s">
        <v>78</v>
      </c>
      <c r="D41" s="268">
        <f>'7-HC'!D75</f>
        <v>0.0876950382215227</v>
      </c>
      <c r="E41" s="266">
        <f>'7-HC'!E75</f>
        <v>7.90638292928803</v>
      </c>
      <c r="F41" s="99">
        <f>'7-HC'!F75</f>
        <v>438.475191107614</v>
      </c>
      <c r="G41" s="267">
        <f t="shared" si="0"/>
        <v>1726.49606498623</v>
      </c>
      <c r="H41" s="260"/>
      <c r="I41" s="244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3"/>
      <c r="BM41" s="213"/>
      <c r="BN41" s="213"/>
      <c r="BO41" s="213"/>
      <c r="BP41" s="213"/>
      <c r="BQ41" s="213"/>
      <c r="BR41" s="213"/>
      <c r="BS41" s="213"/>
      <c r="BT41" s="213"/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  <c r="CE41" s="213"/>
      <c r="CF41" s="213"/>
      <c r="CG41" s="213"/>
      <c r="CH41" s="213"/>
      <c r="CI41" s="213"/>
      <c r="CJ41" s="213"/>
      <c r="CK41" s="213"/>
      <c r="CL41" s="213"/>
      <c r="CM41" s="213"/>
      <c r="CN41" s="213"/>
      <c r="CO41" s="213"/>
      <c r="CP41" s="213"/>
      <c r="CQ41" s="213"/>
      <c r="CR41" s="213"/>
      <c r="CS41" s="213"/>
      <c r="CT41" s="213"/>
      <c r="CU41" s="213"/>
      <c r="CV41" s="213"/>
      <c r="CW41" s="213"/>
      <c r="CX41" s="213"/>
      <c r="CY41" s="213"/>
      <c r="CZ41" s="213"/>
      <c r="DA41" s="213"/>
      <c r="DB41" s="213"/>
      <c r="DC41" s="213"/>
      <c r="DD41" s="213"/>
      <c r="DE41" s="213"/>
      <c r="DF41" s="213"/>
      <c r="DG41" s="213"/>
      <c r="DH41" s="213"/>
      <c r="DI41" s="213"/>
      <c r="DJ41" s="213"/>
      <c r="DK41" s="213"/>
      <c r="DL41" s="213"/>
      <c r="DM41" s="213"/>
      <c r="DN41" s="213"/>
      <c r="DO41" s="213"/>
      <c r="DP41" s="213"/>
      <c r="DQ41" s="213"/>
      <c r="DR41" s="213"/>
      <c r="DS41" s="213"/>
      <c r="DT41" s="213"/>
      <c r="DU41" s="213"/>
      <c r="DV41" s="213"/>
      <c r="DW41" s="213"/>
      <c r="DX41" s="213"/>
      <c r="DY41" s="213"/>
      <c r="DZ41" s="213"/>
      <c r="EA41" s="213"/>
      <c r="EB41" s="213"/>
      <c r="EC41" s="213"/>
      <c r="ED41" s="213"/>
      <c r="EE41" s="213"/>
      <c r="EF41" s="213"/>
      <c r="EG41" s="213"/>
      <c r="EH41" s="213"/>
      <c r="EI41" s="213"/>
      <c r="EJ41" s="213"/>
      <c r="EK41" s="213"/>
      <c r="EL41" s="213"/>
      <c r="EM41" s="213"/>
      <c r="EN41" s="213"/>
      <c r="EO41" s="213"/>
      <c r="EP41" s="213"/>
      <c r="EQ41" s="213"/>
      <c r="ER41" s="213"/>
      <c r="ES41" s="213"/>
      <c r="ET41" s="213"/>
      <c r="EU41" s="213"/>
      <c r="EV41" s="213"/>
      <c r="EW41" s="213"/>
      <c r="EX41" s="213"/>
      <c r="EY41" s="213"/>
      <c r="EZ41" s="213"/>
      <c r="FA41" s="213"/>
      <c r="FB41" s="213"/>
      <c r="FC41" s="213"/>
      <c r="FD41" s="213"/>
      <c r="FE41" s="213"/>
      <c r="FF41" s="213"/>
      <c r="FG41" s="213"/>
      <c r="FH41" s="213"/>
      <c r="FI41" s="213"/>
      <c r="FJ41" s="213"/>
      <c r="FK41" s="213"/>
      <c r="FL41" s="213"/>
      <c r="FM41" s="213"/>
      <c r="FN41" s="213"/>
      <c r="FO41" s="213"/>
      <c r="FP41" s="213"/>
      <c r="FQ41" s="213"/>
      <c r="FR41" s="213"/>
      <c r="FS41" s="213"/>
      <c r="FT41" s="213"/>
      <c r="FU41" s="213"/>
      <c r="FV41" s="213"/>
      <c r="FW41" s="213"/>
      <c r="FX41" s="213"/>
      <c r="FY41" s="213"/>
      <c r="FZ41" s="213"/>
      <c r="GA41" s="213"/>
      <c r="GB41" s="213"/>
      <c r="GC41" s="213"/>
      <c r="GD41" s="213"/>
      <c r="GE41" s="213"/>
      <c r="GF41" s="213"/>
      <c r="GG41" s="213"/>
      <c r="GH41" s="213"/>
      <c r="GI41" s="213"/>
      <c r="GJ41" s="213"/>
      <c r="GK41" s="213"/>
      <c r="GL41" s="213"/>
      <c r="GM41" s="213"/>
      <c r="GN41" s="213"/>
      <c r="GO41" s="213"/>
      <c r="GP41" s="213"/>
      <c r="GQ41" s="213"/>
      <c r="GR41" s="213"/>
      <c r="GS41" s="213"/>
      <c r="GT41" s="213"/>
      <c r="GU41" s="213"/>
      <c r="GV41" s="213"/>
      <c r="GW41" s="213"/>
      <c r="GX41" s="213"/>
      <c r="GY41" s="213"/>
      <c r="GZ41" s="213"/>
      <c r="HA41" s="213"/>
      <c r="HB41" s="213"/>
      <c r="HC41" s="213"/>
      <c r="HD41" s="213"/>
      <c r="HE41" s="213"/>
      <c r="HF41" s="213"/>
      <c r="HG41" s="213"/>
      <c r="HH41" s="213"/>
      <c r="HI41" s="213"/>
      <c r="HJ41" s="213"/>
      <c r="HK41" s="213"/>
      <c r="HL41" s="213"/>
      <c r="HM41" s="213"/>
      <c r="HN41" s="213"/>
      <c r="HO41" s="213"/>
      <c r="HP41" s="213"/>
      <c r="HQ41" s="213"/>
      <c r="HR41" s="213"/>
      <c r="HS41" s="213"/>
      <c r="HT41" s="213"/>
      <c r="HU41" s="213"/>
      <c r="HV41" s="213"/>
      <c r="HW41" s="213"/>
      <c r="HX41" s="213"/>
      <c r="HY41" s="213"/>
      <c r="HZ41" s="213"/>
      <c r="IA41" s="213"/>
      <c r="IB41" s="213"/>
      <c r="IC41" s="213"/>
      <c r="ID41" s="213"/>
      <c r="IE41" s="213"/>
      <c r="IF41" s="213"/>
      <c r="IG41" s="213"/>
      <c r="IH41" s="213"/>
      <c r="II41" s="213"/>
      <c r="IJ41" s="213"/>
      <c r="IK41" s="213"/>
      <c r="IL41" s="213"/>
      <c r="IM41" s="213"/>
      <c r="IN41" s="213"/>
      <c r="IO41" s="213"/>
      <c r="IP41" s="213"/>
      <c r="IQ41" s="213"/>
    </row>
    <row r="42" spans="2:9">
      <c r="B42" s="269"/>
      <c r="C42" s="269"/>
      <c r="D42" s="270"/>
      <c r="E42" s="270"/>
      <c r="F42" s="270"/>
      <c r="G42" s="270"/>
      <c r="H42" s="244"/>
      <c r="I42" s="244"/>
    </row>
    <row r="43" ht="15.6" customHeight="1" spans="2:13">
      <c r="B43" s="271" t="s">
        <v>81</v>
      </c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</row>
    <row r="44" s="211" customFormat="1" spans="2:13"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</row>
    <row r="45" s="211" customFormat="1" spans="2:13"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</row>
    <row r="46" s="211" customFormat="1" spans="2:13">
      <c r="B46" s="271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</row>
    <row r="47" s="211" customFormat="1" spans="2:13"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</row>
    <row r="48" s="211" customFormat="1" spans="2:13"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</row>
    <row r="49" s="211" customFormat="1" spans="2:13"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</row>
    <row r="50" s="211" customFormat="1" ht="17.25" customHeight="1" spans="2:10">
      <c r="B50" s="272" t="s">
        <v>82</v>
      </c>
      <c r="C50" s="273"/>
      <c r="D50" s="274"/>
      <c r="E50" s="274"/>
      <c r="F50" s="274"/>
      <c r="G50" s="274"/>
      <c r="H50" s="274"/>
      <c r="I50" s="274"/>
      <c r="J50" s="274"/>
    </row>
    <row r="51" s="211" customFormat="1" ht="19.5" spans="2:10">
      <c r="B51" s="275" t="s">
        <v>83</v>
      </c>
      <c r="C51" s="273"/>
      <c r="D51" s="274"/>
      <c r="E51" s="274"/>
      <c r="F51" s="274"/>
      <c r="G51" s="274"/>
      <c r="H51" s="274"/>
      <c r="I51" s="274"/>
      <c r="J51" s="274"/>
    </row>
    <row r="52" s="212" customFormat="1" ht="14.25" customHeight="1" spans="1:256">
      <c r="A52" s="274"/>
      <c r="B52" s="276"/>
      <c r="C52" s="276"/>
      <c r="D52" s="276"/>
      <c r="E52" s="276"/>
      <c r="F52" s="276"/>
      <c r="G52" s="276"/>
      <c r="H52" s="276"/>
      <c r="I52" s="276"/>
      <c r="J52" s="276"/>
      <c r="K52" s="276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  <c r="AT52" s="274"/>
      <c r="AU52" s="274"/>
      <c r="AV52" s="274"/>
      <c r="AW52" s="274"/>
      <c r="AX52" s="274"/>
      <c r="AY52" s="274"/>
      <c r="AZ52" s="274"/>
      <c r="BA52" s="274"/>
      <c r="BB52" s="274"/>
      <c r="BC52" s="274"/>
      <c r="BD52" s="274"/>
      <c r="BE52" s="274"/>
      <c r="BF52" s="274"/>
      <c r="BG52" s="274"/>
      <c r="BH52" s="274"/>
      <c r="BI52" s="274"/>
      <c r="BJ52" s="274"/>
      <c r="BK52" s="274"/>
      <c r="BL52" s="274"/>
      <c r="BM52" s="274"/>
      <c r="BN52" s="274"/>
      <c r="BO52" s="274"/>
      <c r="BP52" s="274"/>
      <c r="BQ52" s="274"/>
      <c r="BR52" s="274"/>
      <c r="BS52" s="274"/>
      <c r="BT52" s="274"/>
      <c r="BU52" s="274"/>
      <c r="BV52" s="274"/>
      <c r="BW52" s="274"/>
      <c r="BX52" s="274"/>
      <c r="BY52" s="274"/>
      <c r="BZ52" s="274"/>
      <c r="CA52" s="274"/>
      <c r="CB52" s="274"/>
      <c r="CC52" s="274"/>
      <c r="CD52" s="274"/>
      <c r="CE52" s="274"/>
      <c r="CF52" s="274"/>
      <c r="CG52" s="274"/>
      <c r="CH52" s="274"/>
      <c r="CI52" s="274"/>
      <c r="CJ52" s="274"/>
      <c r="CK52" s="274"/>
      <c r="CL52" s="274"/>
      <c r="CM52" s="274"/>
      <c r="CN52" s="274"/>
      <c r="CO52" s="274"/>
      <c r="CP52" s="274"/>
      <c r="CQ52" s="274"/>
      <c r="CR52" s="274"/>
      <c r="CS52" s="274"/>
      <c r="CT52" s="274"/>
      <c r="CU52" s="274"/>
      <c r="CV52" s="274"/>
      <c r="CW52" s="274"/>
      <c r="CX52" s="274"/>
      <c r="CY52" s="274"/>
      <c r="CZ52" s="274"/>
      <c r="DA52" s="274"/>
      <c r="DB52" s="274"/>
      <c r="DC52" s="274"/>
      <c r="DD52" s="274"/>
      <c r="DE52" s="274"/>
      <c r="DF52" s="274"/>
      <c r="DG52" s="274"/>
      <c r="DH52" s="274"/>
      <c r="DI52" s="274"/>
      <c r="DJ52" s="274"/>
      <c r="DK52" s="274"/>
      <c r="DL52" s="274"/>
      <c r="DM52" s="274"/>
      <c r="DN52" s="274"/>
      <c r="DO52" s="274"/>
      <c r="DP52" s="274"/>
      <c r="DQ52" s="274"/>
      <c r="DR52" s="274"/>
      <c r="DS52" s="274"/>
      <c r="DT52" s="274"/>
      <c r="DU52" s="274"/>
      <c r="DV52" s="274"/>
      <c r="DW52" s="274"/>
      <c r="DX52" s="274"/>
      <c r="DY52" s="274"/>
      <c r="DZ52" s="274"/>
      <c r="EA52" s="274"/>
      <c r="EB52" s="274"/>
      <c r="EC52" s="274"/>
      <c r="ED52" s="274"/>
      <c r="EE52" s="274"/>
      <c r="EF52" s="274"/>
      <c r="EG52" s="274"/>
      <c r="EH52" s="274"/>
      <c r="EI52" s="274"/>
      <c r="EJ52" s="274"/>
      <c r="EK52" s="274"/>
      <c r="EL52" s="274"/>
      <c r="EM52" s="274"/>
      <c r="EN52" s="274"/>
      <c r="EO52" s="274"/>
      <c r="EP52" s="274"/>
      <c r="EQ52" s="274"/>
      <c r="ER52" s="274"/>
      <c r="ES52" s="274"/>
      <c r="ET52" s="274"/>
      <c r="EU52" s="274"/>
      <c r="EV52" s="274"/>
      <c r="EW52" s="274"/>
      <c r="EX52" s="274"/>
      <c r="EY52" s="274"/>
      <c r="EZ52" s="274"/>
      <c r="FA52" s="274"/>
      <c r="FB52" s="274"/>
      <c r="FC52" s="274"/>
      <c r="FD52" s="274"/>
      <c r="FE52" s="274"/>
      <c r="FF52" s="274"/>
      <c r="FG52" s="274"/>
      <c r="FH52" s="274"/>
      <c r="FI52" s="274"/>
      <c r="FJ52" s="274"/>
      <c r="FK52" s="274"/>
      <c r="FL52" s="274"/>
      <c r="FM52" s="274"/>
      <c r="FN52" s="274"/>
      <c r="FO52" s="274"/>
      <c r="FP52" s="274"/>
      <c r="FQ52" s="274"/>
      <c r="FR52" s="274"/>
      <c r="FS52" s="274"/>
      <c r="FT52" s="274"/>
      <c r="FU52" s="274"/>
      <c r="FV52" s="274"/>
      <c r="FW52" s="274"/>
      <c r="FX52" s="274"/>
      <c r="FY52" s="274"/>
      <c r="FZ52" s="274"/>
      <c r="GA52" s="274"/>
      <c r="GB52" s="274"/>
      <c r="GC52" s="274"/>
      <c r="GD52" s="274"/>
      <c r="GE52" s="274"/>
      <c r="GF52" s="274"/>
      <c r="GG52" s="274"/>
      <c r="GH52" s="274"/>
      <c r="GI52" s="274"/>
      <c r="GJ52" s="274"/>
      <c r="GK52" s="274"/>
      <c r="GL52" s="274"/>
      <c r="GM52" s="274"/>
      <c r="GN52" s="274"/>
      <c r="GO52" s="274"/>
      <c r="GP52" s="274"/>
      <c r="GQ52" s="274"/>
      <c r="GR52" s="274"/>
      <c r="GS52" s="274"/>
      <c r="GT52" s="274"/>
      <c r="GU52" s="274"/>
      <c r="GV52" s="274"/>
      <c r="GW52" s="274"/>
      <c r="GX52" s="274"/>
      <c r="GY52" s="274"/>
      <c r="GZ52" s="274"/>
      <c r="HA52" s="274"/>
      <c r="HB52" s="274"/>
      <c r="HC52" s="274"/>
      <c r="HD52" s="274"/>
      <c r="HE52" s="274"/>
      <c r="HF52" s="274"/>
      <c r="HG52" s="274"/>
      <c r="HH52" s="274"/>
      <c r="HI52" s="274"/>
      <c r="HJ52" s="274"/>
      <c r="HK52" s="274"/>
      <c r="HL52" s="274"/>
      <c r="HM52" s="274"/>
      <c r="HN52" s="274"/>
      <c r="HO52" s="274"/>
      <c r="HP52" s="274"/>
      <c r="HQ52" s="274"/>
      <c r="HR52" s="274"/>
      <c r="HS52" s="274"/>
      <c r="HT52" s="274"/>
      <c r="HU52" s="274"/>
      <c r="HV52" s="274"/>
      <c r="HW52" s="274"/>
      <c r="HX52" s="274"/>
      <c r="HY52" s="274"/>
      <c r="HZ52" s="274"/>
      <c r="IA52" s="274"/>
      <c r="IB52" s="274"/>
      <c r="IC52" s="274"/>
      <c r="ID52" s="274"/>
      <c r="IE52" s="274"/>
      <c r="IF52" s="274"/>
      <c r="IG52" s="274"/>
      <c r="IH52" s="274"/>
      <c r="II52" s="274"/>
      <c r="IJ52" s="274"/>
      <c r="IK52" s="274"/>
      <c r="IL52" s="274"/>
      <c r="IM52" s="274"/>
      <c r="IN52" s="274"/>
      <c r="IO52" s="274"/>
      <c r="IP52" s="274"/>
      <c r="IQ52" s="274"/>
      <c r="IR52" s="274"/>
      <c r="IS52" s="274"/>
      <c r="IT52" s="274"/>
      <c r="IU52" s="274"/>
      <c r="IV52" s="274"/>
    </row>
    <row r="53" s="211" customFormat="1" ht="16.25" spans="2:20">
      <c r="B53" s="212"/>
      <c r="C53" s="277"/>
      <c r="D53" s="277"/>
      <c r="E53" s="277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</row>
    <row r="54" s="211" customFormat="1" ht="19.5" spans="2:19">
      <c r="B54" s="278" t="s">
        <v>84</v>
      </c>
      <c r="C54" s="278" t="s">
        <v>85</v>
      </c>
      <c r="D54" s="279" t="s">
        <v>86</v>
      </c>
      <c r="E54" s="279" t="s">
        <v>87</v>
      </c>
      <c r="F54" s="278" t="s">
        <v>88</v>
      </c>
      <c r="G54" s="280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</row>
    <row r="55" s="211" customFormat="1" ht="18.75" customHeight="1" spans="2:19">
      <c r="B55" s="281"/>
      <c r="C55" s="282" t="s">
        <v>89</v>
      </c>
      <c r="D55" s="283" t="s">
        <v>90</v>
      </c>
      <c r="E55" s="283" t="s">
        <v>91</v>
      </c>
      <c r="F55" s="282" t="s">
        <v>92</v>
      </c>
      <c r="G55" s="280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</row>
    <row r="56" s="211" customFormat="1" spans="2:19">
      <c r="B56" s="284" t="s">
        <v>78</v>
      </c>
      <c r="C56" s="284">
        <v>0.02</v>
      </c>
      <c r="D56" s="285">
        <v>90</v>
      </c>
      <c r="E56" s="285">
        <v>45</v>
      </c>
      <c r="F56" s="286">
        <v>87.5</v>
      </c>
      <c r="G56" s="287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</row>
    <row r="57" s="211" customFormat="1" spans="2:19">
      <c r="B57" s="288" t="s">
        <v>77</v>
      </c>
      <c r="C57" s="288">
        <v>0.25</v>
      </c>
      <c r="D57" s="289">
        <v>70</v>
      </c>
      <c r="E57" s="289">
        <v>45</v>
      </c>
      <c r="F57" s="290">
        <v>40</v>
      </c>
      <c r="G57" s="287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</row>
    <row r="58" s="211" customFormat="1" spans="2:19">
      <c r="B58" s="291" t="s">
        <v>75</v>
      </c>
      <c r="C58" s="291">
        <v>3.5</v>
      </c>
      <c r="D58" s="292">
        <v>44</v>
      </c>
      <c r="E58" s="292">
        <v>45</v>
      </c>
      <c r="F58" s="293">
        <v>32</v>
      </c>
      <c r="G58" s="287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</row>
    <row r="59" s="211" customFormat="1" spans="2:19">
      <c r="B59" s="291" t="s">
        <v>76</v>
      </c>
      <c r="C59" s="291">
        <v>12.5</v>
      </c>
      <c r="D59" s="292">
        <v>40</v>
      </c>
      <c r="E59" s="292">
        <v>45</v>
      </c>
      <c r="F59" s="293">
        <v>32</v>
      </c>
      <c r="G59" s="287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</row>
    <row r="60" s="211" customFormat="1" ht="16.25" spans="2:19">
      <c r="B60" s="294" t="s">
        <v>74</v>
      </c>
      <c r="C60" s="294">
        <v>70</v>
      </c>
      <c r="D60" s="295">
        <v>20</v>
      </c>
      <c r="E60" s="295">
        <v>45</v>
      </c>
      <c r="F60" s="296">
        <v>21</v>
      </c>
      <c r="G60" s="287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</row>
    <row r="61" spans="2:20">
      <c r="B61" s="297" t="s">
        <v>93</v>
      </c>
      <c r="C61" s="298"/>
      <c r="D61" s="299"/>
      <c r="E61" s="299"/>
      <c r="F61" s="299"/>
      <c r="G61" s="299"/>
      <c r="H61" s="299"/>
      <c r="I61" s="299"/>
      <c r="J61" s="299"/>
      <c r="K61" s="309"/>
      <c r="L61" s="309"/>
      <c r="M61" s="309"/>
      <c r="N61" s="309"/>
      <c r="O61" s="309"/>
      <c r="P61" s="309"/>
      <c r="Q61" s="309"/>
      <c r="R61" s="309"/>
      <c r="S61" s="309"/>
      <c r="T61" s="309"/>
    </row>
    <row r="62" s="211" customFormat="1" spans="2:10">
      <c r="B62" s="274"/>
      <c r="C62" s="273"/>
      <c r="D62" s="274"/>
      <c r="E62" s="274"/>
      <c r="F62" s="274"/>
      <c r="G62" s="274"/>
      <c r="H62" s="274"/>
      <c r="I62" s="274"/>
      <c r="J62" s="274"/>
    </row>
  </sheetData>
  <mergeCells count="18">
    <mergeCell ref="B2:E2"/>
    <mergeCell ref="B14:E14"/>
    <mergeCell ref="C15:E15"/>
    <mergeCell ref="C16:E16"/>
    <mergeCell ref="C17:E17"/>
    <mergeCell ref="C18:E18"/>
    <mergeCell ref="C19:E19"/>
    <mergeCell ref="C20:E20"/>
    <mergeCell ref="C21:E21"/>
    <mergeCell ref="C22:E22"/>
    <mergeCell ref="B24:K24"/>
    <mergeCell ref="B25:G25"/>
    <mergeCell ref="B27:B31"/>
    <mergeCell ref="B32:B36"/>
    <mergeCell ref="B37:B41"/>
    <mergeCell ref="B54:B55"/>
    <mergeCell ref="C10:C11"/>
    <mergeCell ref="B43:M49"/>
  </mergeCells>
  <pageMargins left="0.393700787401575" right="0.393700787401575" top="1.45669291338583" bottom="0.984251968503937" header="0.78740157480315" footer="0.511811023622047"/>
  <pageSetup paperSize="9" scale="95" firstPageNumber="4294963191" orientation="landscape" useFirstPageNumber="1"/>
  <headerFooter alignWithMargins="0">
    <oddHeader>&amp;L&amp;10笔记编号/Notebook No.__________________页码/Page__________编号/No.________________
课题编号/Study No._______________</oddHeader>
    <oddFooter>&amp;R&amp;10操作人和日期/Operator and Date_________________________    复核人和日期/Verifier and Date_________________________</oddFooter>
  </headerFooter>
  <ignoredErrors>
    <ignoredError sqref="E5:E9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99"/>
  <sheetViews>
    <sheetView workbookViewId="0">
      <selection activeCell="M98" sqref="M98"/>
    </sheetView>
  </sheetViews>
  <sheetFormatPr defaultColWidth="9" defaultRowHeight="15.5"/>
  <cols>
    <col min="1" max="1" width="3.75" style="18" customWidth="1"/>
    <col min="2" max="2" width="16.75" style="18" customWidth="1"/>
    <col min="3" max="3" width="27.75" style="145" hidden="1" customWidth="1"/>
    <col min="4" max="5" width="16.25" style="18" customWidth="1"/>
    <col min="6" max="6" width="19.125" style="18" customWidth="1"/>
    <col min="7" max="7" width="12.125" style="146" customWidth="1"/>
    <col min="8" max="10" width="9.25" style="18" customWidth="1"/>
    <col min="11" max="16384" width="9" style="18"/>
  </cols>
  <sheetData>
    <row r="2" s="22" customFormat="1" ht="18.25" spans="2:10">
      <c r="B2" s="43" t="str">
        <f>CONCATENATE(Summary!$B$10,"在人肝微粒体中的代谢稳定性评估")</f>
        <v>HW356060在人肝微粒体中的代谢稳定性评估</v>
      </c>
      <c r="C2" s="43"/>
      <c r="D2" s="43"/>
      <c r="E2" s="43"/>
      <c r="F2" s="43"/>
      <c r="G2" s="43"/>
      <c r="H2" s="43"/>
      <c r="I2" s="43"/>
      <c r="J2" s="43"/>
    </row>
    <row r="3" ht="15.75" customHeight="1" spans="1:13">
      <c r="A3" s="147"/>
      <c r="B3" s="44" t="s">
        <v>94</v>
      </c>
      <c r="C3" s="148"/>
      <c r="D3" s="149" t="s">
        <v>95</v>
      </c>
      <c r="E3" s="47" t="s">
        <v>96</v>
      </c>
      <c r="F3" s="47" t="s">
        <v>97</v>
      </c>
      <c r="G3" s="150" t="s">
        <v>98</v>
      </c>
      <c r="H3" s="48" t="s">
        <v>99</v>
      </c>
      <c r="I3" s="194"/>
      <c r="J3" s="116" t="s">
        <v>97</v>
      </c>
      <c r="K3" s="117"/>
      <c r="L3" s="113"/>
      <c r="M3" s="113"/>
    </row>
    <row r="4" spans="1:13">
      <c r="A4" s="147"/>
      <c r="B4" s="49"/>
      <c r="C4" s="151"/>
      <c r="D4" s="152"/>
      <c r="E4" s="52"/>
      <c r="F4" s="52"/>
      <c r="G4" s="153"/>
      <c r="H4" s="154" t="s">
        <v>100</v>
      </c>
      <c r="I4" s="154" t="s">
        <v>101</v>
      </c>
      <c r="J4" s="118"/>
      <c r="K4" s="117"/>
      <c r="L4" s="113"/>
      <c r="M4" s="113"/>
    </row>
    <row r="5" ht="15.75" customHeight="1" spans="1:13">
      <c r="A5" s="147"/>
      <c r="B5" s="155" t="str">
        <f>B2</f>
        <v>HW356060在人肝微粒体中的代谢稳定性评估</v>
      </c>
      <c r="C5" s="156" t="s">
        <v>102</v>
      </c>
      <c r="D5" s="157">
        <v>60</v>
      </c>
      <c r="E5" s="158">
        <f>VLOOKUP($C5,'Raw Data'!$A$1:$S$2198,7,0)</f>
        <v>1.01</v>
      </c>
      <c r="F5" s="68">
        <f>AVERAGE(E5:E6)</f>
        <v>1.03</v>
      </c>
      <c r="G5" s="159">
        <f>E5/E13*100</f>
        <v>97.1153846153846</v>
      </c>
      <c r="H5" s="68">
        <f t="shared" ref="H5" si="0">LN(G5)</f>
        <v>4.57589980368798</v>
      </c>
      <c r="I5" s="68">
        <f t="shared" ref="I5" si="1">LN(G6)</f>
        <v>4.54960033483328</v>
      </c>
      <c r="J5" s="119">
        <f t="shared" ref="J5" si="2">AVERAGE(H5:I6)</f>
        <v>4.56275006926063</v>
      </c>
      <c r="K5" s="117"/>
      <c r="L5" s="113"/>
      <c r="M5" s="113"/>
    </row>
    <row r="6" spans="1:13">
      <c r="A6" s="147"/>
      <c r="B6" s="54"/>
      <c r="C6" s="156" t="s">
        <v>103</v>
      </c>
      <c r="D6" s="160"/>
      <c r="E6" s="158">
        <f>VLOOKUP($C6,'Raw Data'!$A$1:$S$2198,7,0)</f>
        <v>1.05</v>
      </c>
      <c r="F6" s="114"/>
      <c r="G6" s="159">
        <f>E6/E14*100</f>
        <v>94.5945945945946</v>
      </c>
      <c r="H6" s="114"/>
      <c r="I6" s="114"/>
      <c r="J6" s="107"/>
      <c r="K6" s="117"/>
      <c r="L6" s="113"/>
      <c r="M6" s="113"/>
    </row>
    <row r="7" spans="1:13">
      <c r="A7" s="147"/>
      <c r="B7" s="54"/>
      <c r="C7" s="156" t="s">
        <v>104</v>
      </c>
      <c r="D7" s="157">
        <v>30</v>
      </c>
      <c r="E7" s="158">
        <f>VLOOKUP($C7,'Raw Data'!$A$1:$S$2198,7,0)</f>
        <v>1.09</v>
      </c>
      <c r="F7" s="68">
        <f>AVERAGE(E7:E8)</f>
        <v>1.045</v>
      </c>
      <c r="G7" s="161">
        <f>E7/E13*100</f>
        <v>104.807692307692</v>
      </c>
      <c r="H7" s="68">
        <f t="shared" ref="H7" si="3">LN(G7)</f>
        <v>4.65212716907586</v>
      </c>
      <c r="I7" s="68">
        <f t="shared" ref="I7" si="4">LN(G8)</f>
        <v>4.50081017066385</v>
      </c>
      <c r="J7" s="119">
        <f t="shared" ref="J7" si="5">AVERAGE(H7:I8)</f>
        <v>4.57646866986986</v>
      </c>
      <c r="K7" s="117"/>
      <c r="L7" s="113"/>
      <c r="M7" s="113"/>
    </row>
    <row r="8" spans="1:13">
      <c r="A8" s="147"/>
      <c r="B8" s="54"/>
      <c r="C8" s="156" t="s">
        <v>105</v>
      </c>
      <c r="D8" s="160"/>
      <c r="E8" s="158">
        <f>VLOOKUP($C8,'Raw Data'!$A$1:$S$2198,7,0)</f>
        <v>1</v>
      </c>
      <c r="F8" s="114"/>
      <c r="G8" s="159">
        <f>E8/E14*100</f>
        <v>90.0900900900901</v>
      </c>
      <c r="H8" s="114"/>
      <c r="I8" s="114"/>
      <c r="J8" s="107"/>
      <c r="K8" s="117"/>
      <c r="L8" s="113"/>
      <c r="M8" s="113"/>
    </row>
    <row r="9" spans="1:13">
      <c r="A9" s="147"/>
      <c r="B9" s="54"/>
      <c r="C9" s="156" t="s">
        <v>106</v>
      </c>
      <c r="D9" s="157">
        <v>15</v>
      </c>
      <c r="E9" s="158">
        <f>VLOOKUP($C9,'Raw Data'!$A$1:$S$2198,7,0)</f>
        <v>1.12</v>
      </c>
      <c r="F9" s="68">
        <f>AVERAGE(E9:E10)</f>
        <v>1.09</v>
      </c>
      <c r="G9" s="161">
        <f>E9/E13*100</f>
        <v>107.692307692308</v>
      </c>
      <c r="H9" s="68">
        <f t="shared" ref="H9" si="6">LN(G9)</f>
        <v>4.67927815814181</v>
      </c>
      <c r="I9" s="68">
        <f t="shared" ref="I9" si="7">LN(G10)</f>
        <v>4.55907907878782</v>
      </c>
      <c r="J9" s="119">
        <f t="shared" ref="J9" si="8">AVERAGE(H9:I10)</f>
        <v>4.61917861846482</v>
      </c>
      <c r="K9" s="117"/>
      <c r="L9" s="113"/>
      <c r="M9" s="113"/>
    </row>
    <row r="10" spans="1:13">
      <c r="A10" s="147"/>
      <c r="B10" s="54"/>
      <c r="C10" s="156" t="s">
        <v>107</v>
      </c>
      <c r="D10" s="160"/>
      <c r="E10" s="158">
        <f>VLOOKUP($C10,'Raw Data'!$A$1:$S$2198,7,0)</f>
        <v>1.06</v>
      </c>
      <c r="F10" s="114"/>
      <c r="G10" s="159">
        <f>E10/E14*100</f>
        <v>95.4954954954955</v>
      </c>
      <c r="H10" s="114"/>
      <c r="I10" s="114"/>
      <c r="J10" s="107"/>
      <c r="K10" s="117"/>
      <c r="L10" s="113"/>
      <c r="M10" s="113"/>
    </row>
    <row r="11" spans="1:13">
      <c r="A11" s="147"/>
      <c r="B11" s="54"/>
      <c r="C11" s="156" t="s">
        <v>108</v>
      </c>
      <c r="D11" s="157">
        <v>5</v>
      </c>
      <c r="E11" s="158">
        <f>VLOOKUP($C11,'Raw Data'!$A$1:$S$2198,7,0)</f>
        <v>1.01</v>
      </c>
      <c r="F11" s="68">
        <f>AVERAGE(E11:E12)</f>
        <v>1.035</v>
      </c>
      <c r="G11" s="159">
        <f>E11/E13*100</f>
        <v>97.1153846153846</v>
      </c>
      <c r="H11" s="68">
        <f>LN(G11)</f>
        <v>4.57589980368798</v>
      </c>
      <c r="I11" s="68">
        <f>LN(G12)</f>
        <v>4.55907907878782</v>
      </c>
      <c r="J11" s="119">
        <f>AVERAGE(H11:I12)</f>
        <v>4.5674894412379</v>
      </c>
      <c r="K11" s="117"/>
      <c r="L11" s="113"/>
      <c r="M11" s="113"/>
    </row>
    <row r="12" spans="1:13">
      <c r="A12" s="147"/>
      <c r="B12" s="54"/>
      <c r="C12" s="156" t="s">
        <v>109</v>
      </c>
      <c r="D12" s="160"/>
      <c r="E12" s="158">
        <f>VLOOKUP($C12,'Raw Data'!$A$1:$S$2198,7,0)</f>
        <v>1.06</v>
      </c>
      <c r="F12" s="114"/>
      <c r="G12" s="159">
        <f>E12/E14*100</f>
        <v>95.4954954954955</v>
      </c>
      <c r="H12" s="114"/>
      <c r="I12" s="114"/>
      <c r="J12" s="107"/>
      <c r="K12" s="117"/>
      <c r="L12" s="113"/>
      <c r="M12" s="113"/>
    </row>
    <row r="13" spans="1:13">
      <c r="A13" s="147"/>
      <c r="B13" s="54"/>
      <c r="C13" s="156" t="s">
        <v>110</v>
      </c>
      <c r="D13" s="157">
        <v>0</v>
      </c>
      <c r="E13" s="158">
        <f>VLOOKUP($C13,'Raw Data'!$A$1:$S$2198,7,0)</f>
        <v>1.04</v>
      </c>
      <c r="F13" s="68">
        <f>AVERAGE(E13:E14)</f>
        <v>1.075</v>
      </c>
      <c r="G13" s="161">
        <f>E13/E13*100</f>
        <v>100</v>
      </c>
      <c r="H13" s="68">
        <f>LN(G13)</f>
        <v>4.60517018598809</v>
      </c>
      <c r="I13" s="68">
        <f>LN(G14)</f>
        <v>4.60517018598809</v>
      </c>
      <c r="J13" s="119">
        <f>AVERAGE(H13:I14)</f>
        <v>4.60517018598809</v>
      </c>
      <c r="K13" s="117"/>
      <c r="L13" s="113"/>
      <c r="M13" s="113"/>
    </row>
    <row r="14" ht="16.25" spans="1:13">
      <c r="A14" s="147"/>
      <c r="B14" s="72"/>
      <c r="C14" s="156" t="s">
        <v>111</v>
      </c>
      <c r="D14" s="162"/>
      <c r="E14" s="163">
        <f>VLOOKUP($C14,'Raw Data'!$A$1:$S$2198,7,0)</f>
        <v>1.11</v>
      </c>
      <c r="F14" s="76"/>
      <c r="G14" s="164">
        <f>E14/E14*100</f>
        <v>100</v>
      </c>
      <c r="H14" s="76"/>
      <c r="I14" s="76"/>
      <c r="J14" s="99"/>
      <c r="K14" s="117"/>
      <c r="L14" s="113"/>
      <c r="M14" s="113"/>
    </row>
    <row r="15" spans="2:11">
      <c r="B15" s="165" t="s">
        <v>112</v>
      </c>
      <c r="C15" s="166"/>
      <c r="D15" s="167" t="str">
        <f>B5</f>
        <v>HW356060在人肝微粒体中的代谢稳定性评估</v>
      </c>
      <c r="E15" s="168"/>
      <c r="F15" s="169"/>
      <c r="G15" s="170"/>
      <c r="H15" s="171"/>
      <c r="I15" s="171"/>
      <c r="J15" s="171"/>
      <c r="K15" s="122"/>
    </row>
    <row r="16" ht="49.5" spans="2:11">
      <c r="B16" s="172"/>
      <c r="C16" s="173"/>
      <c r="D16" s="174" t="s">
        <v>113</v>
      </c>
      <c r="E16" s="175" t="s">
        <v>114</v>
      </c>
      <c r="F16" s="88" t="s">
        <v>115</v>
      </c>
      <c r="G16" s="176"/>
      <c r="H16" s="85"/>
      <c r="I16" s="85"/>
      <c r="J16" s="85"/>
      <c r="K16" s="122"/>
    </row>
    <row r="17" spans="2:11">
      <c r="B17" s="91" t="s">
        <v>100</v>
      </c>
      <c r="C17" s="173"/>
      <c r="D17" s="177">
        <f>IF(-SLOPE(H5:H14,D5:D14)&lt;0,"NA",-SLOPE(H5:H14,D5:D14))</f>
        <v>0.000325226595998403</v>
      </c>
      <c r="E17" s="90">
        <f>IFERROR(0.693/D17,"NA")</f>
        <v>2130.82204385094</v>
      </c>
      <c r="F17" s="178">
        <f>IFERROR(D17/0.5*1000,"NA")</f>
        <v>0.650453191996806</v>
      </c>
      <c r="G17" s="176"/>
      <c r="H17" s="85"/>
      <c r="I17" s="85"/>
      <c r="J17" s="85"/>
      <c r="K17" s="122"/>
    </row>
    <row r="18" spans="2:11">
      <c r="B18" s="91" t="s">
        <v>101</v>
      </c>
      <c r="C18" s="173"/>
      <c r="D18" s="179">
        <f>IF(-SLOPE(I5:I14,D5:D14)&lt;0,"NA",-SLOPE(I5:I14,D5:D14))</f>
        <v>0.000789848881403583</v>
      </c>
      <c r="E18" s="90">
        <f>IFERROR(0.693/D18,"NA")</f>
        <v>877.383023912777</v>
      </c>
      <c r="F18" s="180">
        <f>IFERROR(D18/0.5*1000,"NA")</f>
        <v>1.57969776280717</v>
      </c>
      <c r="G18" s="176"/>
      <c r="H18" s="85"/>
      <c r="I18" s="85"/>
      <c r="J18" s="85"/>
      <c r="K18" s="122"/>
    </row>
    <row r="19" ht="16.25" spans="2:11">
      <c r="B19" s="94" t="s">
        <v>97</v>
      </c>
      <c r="C19" s="181"/>
      <c r="D19" s="182">
        <f>IFERROR(AVERAGE(D17:D18),"NA")</f>
        <v>0.000557537738700993</v>
      </c>
      <c r="E19" s="183">
        <f>IFERROR(AVERAGE(E17:E18),"NA")</f>
        <v>1504.10253388186</v>
      </c>
      <c r="F19" s="184">
        <f>IFERROR(AVERAGE(F17:F18),"NA")</f>
        <v>1.11507547740199</v>
      </c>
      <c r="G19" s="185"/>
      <c r="H19" s="186"/>
      <c r="I19" s="186"/>
      <c r="J19" s="186"/>
      <c r="K19" s="122"/>
    </row>
    <row r="20" s="22" customFormat="1" spans="2:10">
      <c r="B20" s="100"/>
      <c r="C20" s="173"/>
      <c r="D20" s="90"/>
      <c r="E20" s="100"/>
      <c r="F20" s="90"/>
      <c r="G20" s="187"/>
      <c r="H20" s="90"/>
      <c r="I20" s="90"/>
      <c r="J20" s="90"/>
    </row>
    <row r="21" ht="18.25" spans="2:10">
      <c r="B21" s="43" t="str">
        <f>CONCATENATE(Summary!$B$10,"在猴肝微粒体中的代谢稳定性评估")</f>
        <v>HW356060在猴肝微粒体中的代谢稳定性评估</v>
      </c>
      <c r="C21" s="101"/>
      <c r="D21" s="101"/>
      <c r="E21" s="101"/>
      <c r="F21" s="101"/>
      <c r="G21" s="101"/>
      <c r="H21" s="101"/>
      <c r="I21" s="101"/>
      <c r="J21" s="101"/>
    </row>
    <row r="22" ht="15.75" customHeight="1" spans="2:12">
      <c r="B22" s="44" t="s">
        <v>94</v>
      </c>
      <c r="C22" s="188"/>
      <c r="D22" s="149" t="s">
        <v>95</v>
      </c>
      <c r="E22" s="47" t="s">
        <v>96</v>
      </c>
      <c r="F22" s="47" t="s">
        <v>97</v>
      </c>
      <c r="G22" s="150" t="s">
        <v>98</v>
      </c>
      <c r="H22" s="48" t="s">
        <v>99</v>
      </c>
      <c r="I22" s="194"/>
      <c r="J22" s="132" t="s">
        <v>97</v>
      </c>
      <c r="K22" s="113"/>
      <c r="L22" s="113"/>
    </row>
    <row r="23" spans="2:12">
      <c r="B23" s="103"/>
      <c r="C23" s="189"/>
      <c r="D23" s="52"/>
      <c r="E23" s="52"/>
      <c r="F23" s="52"/>
      <c r="G23" s="153"/>
      <c r="H23" s="154" t="s">
        <v>100</v>
      </c>
      <c r="I23" s="154" t="s">
        <v>101</v>
      </c>
      <c r="J23" s="133"/>
      <c r="K23" s="113"/>
      <c r="L23" s="113"/>
    </row>
    <row r="24" ht="15.75" customHeight="1" spans="2:12">
      <c r="B24" s="155" t="str">
        <f>B21</f>
        <v>HW356060在猴肝微粒体中的代谢稳定性评估</v>
      </c>
      <c r="C24" s="156" t="s">
        <v>116</v>
      </c>
      <c r="D24" s="190">
        <v>60</v>
      </c>
      <c r="E24" s="158">
        <f>VLOOKUP($C24,'Raw Data'!$A$1:$S$2198,7,0)</f>
        <v>1.18</v>
      </c>
      <c r="F24" s="68">
        <f>AVERAGE(E24:E25)</f>
        <v>1.15</v>
      </c>
      <c r="G24" s="161">
        <f>E24/E32*100</f>
        <v>112.380952380952</v>
      </c>
      <c r="H24" s="68">
        <f>LN(G24)</f>
        <v>4.72189446029623</v>
      </c>
      <c r="I24" s="68">
        <f>LN(G25)</f>
        <v>4.70854854044193</v>
      </c>
      <c r="J24" s="124">
        <f>AVERAGE(H24:I25)</f>
        <v>4.71522150036908</v>
      </c>
      <c r="K24" s="113"/>
      <c r="L24" s="113"/>
    </row>
    <row r="25" spans="2:12">
      <c r="B25" s="109"/>
      <c r="C25" s="156" t="s">
        <v>117</v>
      </c>
      <c r="D25" s="114"/>
      <c r="E25" s="158">
        <f>VLOOKUP($C25,'Raw Data'!$A$1:$S$2198,7,0)</f>
        <v>1.12</v>
      </c>
      <c r="F25" s="114"/>
      <c r="G25" s="161">
        <f>E25/E33*100</f>
        <v>110.891089108911</v>
      </c>
      <c r="H25" s="114"/>
      <c r="I25" s="114"/>
      <c r="J25" s="125"/>
      <c r="K25" s="113"/>
      <c r="L25" s="113"/>
    </row>
    <row r="26" spans="2:12">
      <c r="B26" s="109"/>
      <c r="C26" s="156" t="s">
        <v>118</v>
      </c>
      <c r="D26" s="190">
        <v>30</v>
      </c>
      <c r="E26" s="158">
        <f>VLOOKUP($C26,'Raw Data'!$A$1:$S$2198,7,0)</f>
        <v>1.08</v>
      </c>
      <c r="F26" s="68">
        <f>AVERAGE(E26:E27)</f>
        <v>1.045</v>
      </c>
      <c r="G26" s="161">
        <f>E26/E32*100</f>
        <v>102.857142857143</v>
      </c>
      <c r="H26" s="68">
        <f>LN(G26)</f>
        <v>4.63334106295479</v>
      </c>
      <c r="I26" s="68">
        <f>LN(G27)</f>
        <v>4.60517018598809</v>
      </c>
      <c r="J26" s="124">
        <f>AVERAGE(H26:I27)</f>
        <v>4.61925562447144</v>
      </c>
      <c r="K26" s="113"/>
      <c r="L26" s="113"/>
    </row>
    <row r="27" spans="2:12">
      <c r="B27" s="109"/>
      <c r="C27" s="156" t="s">
        <v>119</v>
      </c>
      <c r="D27" s="114"/>
      <c r="E27" s="158">
        <f>VLOOKUP($C27,'Raw Data'!$A$1:$S$2198,7,0)</f>
        <v>1.01</v>
      </c>
      <c r="F27" s="114"/>
      <c r="G27" s="161">
        <f>E27/E33*100</f>
        <v>100</v>
      </c>
      <c r="H27" s="114"/>
      <c r="I27" s="114"/>
      <c r="J27" s="125"/>
      <c r="K27" s="113"/>
      <c r="L27" s="113"/>
    </row>
    <row r="28" spans="2:12">
      <c r="B28" s="109"/>
      <c r="C28" s="156" t="s">
        <v>120</v>
      </c>
      <c r="D28" s="190">
        <v>15</v>
      </c>
      <c r="E28" s="158">
        <f>VLOOKUP($C28,'Raw Data'!$A$1:$S$2198,7,0)</f>
        <v>1.12</v>
      </c>
      <c r="F28" s="68">
        <f>AVERAGE(E28:E29)</f>
        <v>1.11</v>
      </c>
      <c r="G28" s="161">
        <f>E28/E32*100</f>
        <v>106.666666666667</v>
      </c>
      <c r="H28" s="68">
        <f>LN(G28)</f>
        <v>4.66970870712566</v>
      </c>
      <c r="I28" s="68">
        <f>LN(G29)</f>
        <v>4.69053003493925</v>
      </c>
      <c r="J28" s="124">
        <f>AVERAGE(H28:I29)</f>
        <v>4.68011937103246</v>
      </c>
      <c r="K28" s="113"/>
      <c r="L28" s="113"/>
    </row>
    <row r="29" spans="2:12">
      <c r="B29" s="109"/>
      <c r="C29" s="156" t="s">
        <v>121</v>
      </c>
      <c r="D29" s="114"/>
      <c r="E29" s="158">
        <f>VLOOKUP($C29,'Raw Data'!$A$1:$S$2198,7,0)</f>
        <v>1.1</v>
      </c>
      <c r="F29" s="114"/>
      <c r="G29" s="161">
        <f>E29/E33*100</f>
        <v>108.910891089109</v>
      </c>
      <c r="H29" s="114"/>
      <c r="I29" s="114"/>
      <c r="J29" s="125"/>
      <c r="K29" s="113"/>
      <c r="L29" s="113"/>
    </row>
    <row r="30" spans="2:12">
      <c r="B30" s="109"/>
      <c r="C30" s="156" t="s">
        <v>122</v>
      </c>
      <c r="D30" s="190">
        <v>5</v>
      </c>
      <c r="E30" s="158">
        <f>VLOOKUP($C30,'Raw Data'!$A$1:$S$2198,7,0)</f>
        <v>1.04</v>
      </c>
      <c r="F30" s="68">
        <f>AVERAGE(E30:E31)</f>
        <v>1.04</v>
      </c>
      <c r="G30" s="159">
        <f>E30/E32*100</f>
        <v>99.0476190476191</v>
      </c>
      <c r="H30" s="68">
        <f>LN(G30)</f>
        <v>4.59560073497194</v>
      </c>
      <c r="I30" s="68">
        <f>LN(G31)</f>
        <v>4.6344405682882</v>
      </c>
      <c r="J30" s="124">
        <f>AVERAGE(H30:I31)</f>
        <v>4.61502065163007</v>
      </c>
      <c r="K30" s="113"/>
      <c r="L30" s="113"/>
    </row>
    <row r="31" spans="2:12">
      <c r="B31" s="109"/>
      <c r="C31" s="156" t="s">
        <v>123</v>
      </c>
      <c r="D31" s="114"/>
      <c r="E31" s="158">
        <f>VLOOKUP($C31,'Raw Data'!$A$1:$S$2198,7,0)</f>
        <v>1.04</v>
      </c>
      <c r="F31" s="114"/>
      <c r="G31" s="161">
        <f>E31/E33*100</f>
        <v>102.970297029703</v>
      </c>
      <c r="H31" s="114"/>
      <c r="I31" s="114"/>
      <c r="J31" s="125"/>
      <c r="K31" s="113"/>
      <c r="L31" s="113"/>
    </row>
    <row r="32" spans="2:12">
      <c r="B32" s="109"/>
      <c r="C32" s="156" t="s">
        <v>124</v>
      </c>
      <c r="D32" s="190">
        <v>0</v>
      </c>
      <c r="E32" s="158">
        <f>VLOOKUP($C32,'Raw Data'!$A$1:$S$2198,7,0)</f>
        <v>1.05</v>
      </c>
      <c r="F32" s="68">
        <f>AVERAGE(E32:E33)</f>
        <v>1.03</v>
      </c>
      <c r="G32" s="161">
        <f>E32/E32*100</f>
        <v>100</v>
      </c>
      <c r="H32" s="68">
        <f>LN(G32)</f>
        <v>4.60517018598809</v>
      </c>
      <c r="I32" s="68">
        <f>LN(G33)</f>
        <v>4.60517018598809</v>
      </c>
      <c r="J32" s="124">
        <f>AVERAGE(H32:I33)</f>
        <v>4.60517018598809</v>
      </c>
      <c r="K32" s="113"/>
      <c r="L32" s="113"/>
    </row>
    <row r="33" ht="16.25" spans="2:12">
      <c r="B33" s="111"/>
      <c r="C33" s="156" t="s">
        <v>125</v>
      </c>
      <c r="D33" s="76"/>
      <c r="E33" s="163">
        <f>VLOOKUP($C33,'Raw Data'!$A$1:$S$2198,7,0)</f>
        <v>1.01</v>
      </c>
      <c r="F33" s="76"/>
      <c r="G33" s="164">
        <f>E33/E33*100</f>
        <v>100</v>
      </c>
      <c r="H33" s="76"/>
      <c r="I33" s="76"/>
      <c r="J33" s="128"/>
      <c r="K33" s="113"/>
      <c r="L33" s="113"/>
    </row>
    <row r="34" spans="2:10">
      <c r="B34" s="165" t="s">
        <v>112</v>
      </c>
      <c r="C34" s="166"/>
      <c r="D34" s="167" t="str">
        <f>B24</f>
        <v>HW356060在猴肝微粒体中的代谢稳定性评估</v>
      </c>
      <c r="E34" s="168"/>
      <c r="F34" s="169"/>
      <c r="G34" s="170"/>
      <c r="H34" s="171"/>
      <c r="I34" s="171"/>
      <c r="J34" s="195"/>
    </row>
    <row r="35" ht="49.5" spans="2:10">
      <c r="B35" s="172"/>
      <c r="C35" s="173"/>
      <c r="D35" s="174" t="s">
        <v>113</v>
      </c>
      <c r="E35" s="175" t="s">
        <v>114</v>
      </c>
      <c r="F35" s="88" t="s">
        <v>115</v>
      </c>
      <c r="G35" s="176"/>
      <c r="H35" s="85"/>
      <c r="I35" s="85"/>
      <c r="J35" s="196"/>
    </row>
    <row r="36" spans="2:11">
      <c r="B36" s="91" t="s">
        <v>100</v>
      </c>
      <c r="C36" s="173"/>
      <c r="D36" s="177" t="str">
        <f>IF(-SLOPE(H24:H33,D24:D33)&lt;0,"NA",-SLOPE(H24:H33,D24:D33))</f>
        <v>NA</v>
      </c>
      <c r="E36" s="90" t="str">
        <f>IFERROR(0.693/D36,"NA")</f>
        <v>NA</v>
      </c>
      <c r="F36" s="178" t="str">
        <f>IFERROR(D36/0.5*1000,"NA")</f>
        <v>NA</v>
      </c>
      <c r="G36" s="176"/>
      <c r="H36" s="85"/>
      <c r="I36" s="85"/>
      <c r="J36" s="196"/>
      <c r="K36" s="122"/>
    </row>
    <row r="37" spans="2:11">
      <c r="B37" s="91" t="s">
        <v>101</v>
      </c>
      <c r="C37" s="173"/>
      <c r="D37" s="179" t="str">
        <f>IF(-SLOPE(I24:I33,D24:D33)&lt;0,"NA",-SLOPE(I24:I33,D24:D33))</f>
        <v>NA</v>
      </c>
      <c r="E37" s="90" t="str">
        <f>IFERROR(0.693/D37,"NA")</f>
        <v>NA</v>
      </c>
      <c r="F37" s="93" t="str">
        <f>IFERROR(D37/0.5*1000,"NA")</f>
        <v>NA</v>
      </c>
      <c r="G37" s="176"/>
      <c r="H37" s="85"/>
      <c r="I37" s="85"/>
      <c r="J37" s="196"/>
      <c r="K37" s="122"/>
    </row>
    <row r="38" ht="16.25" spans="2:10">
      <c r="B38" s="94" t="s">
        <v>97</v>
      </c>
      <c r="C38" s="181"/>
      <c r="D38" s="182" t="str">
        <f>IFERROR(AVERAGE(D36:D37),"NA")</f>
        <v>NA</v>
      </c>
      <c r="E38" s="183" t="str">
        <f>IFERROR(AVERAGE(E36:E37),"NA")</f>
        <v>NA</v>
      </c>
      <c r="F38" s="191" t="str">
        <f>IFERROR(AVERAGE(F36:F37),"NA")</f>
        <v>NA</v>
      </c>
      <c r="G38" s="185"/>
      <c r="H38" s="186"/>
      <c r="I38" s="186"/>
      <c r="J38" s="197"/>
    </row>
    <row r="39" spans="2:10">
      <c r="B39" s="113"/>
      <c r="C39" s="173"/>
      <c r="D39" s="113"/>
      <c r="E39" s="113"/>
      <c r="F39" s="113"/>
      <c r="G39" s="192"/>
      <c r="H39" s="113"/>
      <c r="I39" s="113"/>
      <c r="J39" s="113"/>
    </row>
    <row r="40" ht="18.25" spans="2:10">
      <c r="B40" s="43" t="str">
        <f>CONCATENATE(Summary!$B$10,"在犬肝微粒体中的代谢稳定性评估")</f>
        <v>HW356060在犬肝微粒体中的代谢稳定性评估</v>
      </c>
      <c r="C40" s="101"/>
      <c r="D40" s="101"/>
      <c r="E40" s="101"/>
      <c r="F40" s="101"/>
      <c r="G40" s="101"/>
      <c r="H40" s="101"/>
      <c r="I40" s="101"/>
      <c r="J40" s="101"/>
    </row>
    <row r="41" spans="2:12">
      <c r="B41" s="44" t="s">
        <v>94</v>
      </c>
      <c r="C41" s="188"/>
      <c r="D41" s="149" t="s">
        <v>95</v>
      </c>
      <c r="E41" s="47" t="s">
        <v>96</v>
      </c>
      <c r="F41" s="47" t="s">
        <v>97</v>
      </c>
      <c r="G41" s="150" t="s">
        <v>98</v>
      </c>
      <c r="H41" s="48" t="s">
        <v>99</v>
      </c>
      <c r="I41" s="194"/>
      <c r="J41" s="132" t="s">
        <v>97</v>
      </c>
      <c r="K41" s="113"/>
      <c r="L41" s="113"/>
    </row>
    <row r="42" spans="2:12">
      <c r="B42" s="103"/>
      <c r="C42" s="189"/>
      <c r="D42" s="52"/>
      <c r="E42" s="52"/>
      <c r="F42" s="52"/>
      <c r="G42" s="153"/>
      <c r="H42" s="154" t="s">
        <v>100</v>
      </c>
      <c r="I42" s="154" t="s">
        <v>101</v>
      </c>
      <c r="J42" s="133"/>
      <c r="K42" s="113"/>
      <c r="L42" s="113"/>
    </row>
    <row r="43" spans="2:12">
      <c r="B43" s="155" t="str">
        <f>B40</f>
        <v>HW356060在犬肝微粒体中的代谢稳定性评估</v>
      </c>
      <c r="C43" s="156" t="s">
        <v>126</v>
      </c>
      <c r="D43" s="190">
        <v>60</v>
      </c>
      <c r="E43" s="158">
        <f>VLOOKUP($C43,'Raw Data'!$A$1:$S$2198,7,0)</f>
        <v>1.26</v>
      </c>
      <c r="F43" s="68">
        <f>AVERAGE(E43:E44)</f>
        <v>1.275</v>
      </c>
      <c r="G43" s="161">
        <f>E43/E51*100</f>
        <v>100</v>
      </c>
      <c r="H43" s="68">
        <f>LN(G43)</f>
        <v>4.60517018598809</v>
      </c>
      <c r="I43" s="68">
        <f>LN(G44)</f>
        <v>4.7113923992434</v>
      </c>
      <c r="J43" s="124">
        <f>AVERAGE(H43:I44)</f>
        <v>4.65828129261575</v>
      </c>
      <c r="K43" s="113"/>
      <c r="L43" s="113"/>
    </row>
    <row r="44" spans="2:12">
      <c r="B44" s="109"/>
      <c r="C44" s="156" t="s">
        <v>127</v>
      </c>
      <c r="D44" s="114"/>
      <c r="E44" s="158">
        <f>VLOOKUP($C44,'Raw Data'!$A$1:$S$2198,7,0)</f>
        <v>1.29</v>
      </c>
      <c r="F44" s="114"/>
      <c r="G44" s="161">
        <f>E44/E52*100</f>
        <v>111.206896551724</v>
      </c>
      <c r="H44" s="114"/>
      <c r="I44" s="114"/>
      <c r="J44" s="125"/>
      <c r="K44" s="113"/>
      <c r="L44" s="113"/>
    </row>
    <row r="45" spans="2:12">
      <c r="B45" s="109"/>
      <c r="C45" s="156" t="s">
        <v>128</v>
      </c>
      <c r="D45" s="190">
        <v>30</v>
      </c>
      <c r="E45" s="158">
        <f>VLOOKUP($C45,'Raw Data'!$A$1:$S$2198,7,0)</f>
        <v>1.17</v>
      </c>
      <c r="F45" s="68">
        <f>AVERAGE(E45:E46)</f>
        <v>1.14</v>
      </c>
      <c r="G45" s="159">
        <f>E45/E51*100</f>
        <v>92.8571428571428</v>
      </c>
      <c r="H45" s="68">
        <f>LN(G45)</f>
        <v>4.53106221383437</v>
      </c>
      <c r="I45" s="68">
        <f>LN(G46)</f>
        <v>4.56111019619406</v>
      </c>
      <c r="J45" s="124">
        <f>AVERAGE(H45:I46)</f>
        <v>4.54608620501422</v>
      </c>
      <c r="K45" s="113"/>
      <c r="L45" s="113"/>
    </row>
    <row r="46" spans="2:12">
      <c r="B46" s="109"/>
      <c r="C46" s="156" t="s">
        <v>129</v>
      </c>
      <c r="D46" s="114"/>
      <c r="E46" s="158">
        <f>VLOOKUP($C46,'Raw Data'!$A$1:$S$2198,7,0)</f>
        <v>1.11</v>
      </c>
      <c r="F46" s="114"/>
      <c r="G46" s="159">
        <f>E46/E52*100</f>
        <v>95.6896551724138</v>
      </c>
      <c r="H46" s="114"/>
      <c r="I46" s="114"/>
      <c r="J46" s="125"/>
      <c r="K46" s="113"/>
      <c r="L46" s="113"/>
    </row>
    <row r="47" spans="2:12">
      <c r="B47" s="109"/>
      <c r="C47" s="156" t="s">
        <v>130</v>
      </c>
      <c r="D47" s="190">
        <v>15</v>
      </c>
      <c r="E47" s="158">
        <f>VLOOKUP($C47,'Raw Data'!$A$1:$S$2198,7,0)</f>
        <v>1.22</v>
      </c>
      <c r="F47" s="68">
        <f>AVERAGE(E47:E48)</f>
        <v>1.185</v>
      </c>
      <c r="G47" s="159">
        <f>E47/E51*100</f>
        <v>96.8253968253968</v>
      </c>
      <c r="H47" s="68">
        <f>LN(G47)</f>
        <v>4.57290932376987</v>
      </c>
      <c r="I47" s="68">
        <f>LN(G48)</f>
        <v>4.59651212324498</v>
      </c>
      <c r="J47" s="124">
        <f>AVERAGE(H47:I48)</f>
        <v>4.58471072350742</v>
      </c>
      <c r="K47" s="113"/>
      <c r="L47" s="113"/>
    </row>
    <row r="48" spans="2:12">
      <c r="B48" s="109"/>
      <c r="C48" s="156" t="s">
        <v>131</v>
      </c>
      <c r="D48" s="114"/>
      <c r="E48" s="158">
        <f>VLOOKUP($C48,'Raw Data'!$A$1:$S$2198,7,0)</f>
        <v>1.15</v>
      </c>
      <c r="F48" s="114"/>
      <c r="G48" s="159">
        <f>E48/E52*100</f>
        <v>99.1379310344828</v>
      </c>
      <c r="H48" s="114"/>
      <c r="I48" s="114"/>
      <c r="J48" s="125"/>
      <c r="K48" s="113"/>
      <c r="L48" s="113"/>
    </row>
    <row r="49" spans="2:12">
      <c r="B49" s="109"/>
      <c r="C49" s="156" t="s">
        <v>132</v>
      </c>
      <c r="D49" s="190">
        <v>5</v>
      </c>
      <c r="E49" s="158">
        <f>VLOOKUP($C49,'Raw Data'!$A$1:$S$2198,7,0)</f>
        <v>1.19</v>
      </c>
      <c r="F49" s="68">
        <f>AVERAGE(E49:E50)</f>
        <v>1.175</v>
      </c>
      <c r="G49" s="159">
        <f>E49/E51*100</f>
        <v>94.4444444444444</v>
      </c>
      <c r="H49" s="68">
        <f>LN(G49)</f>
        <v>4.54801177214814</v>
      </c>
      <c r="I49" s="68">
        <f>LN(G50)</f>
        <v>4.60517018598809</v>
      </c>
      <c r="J49" s="124">
        <f>AVERAGE(H49:I50)</f>
        <v>4.57659097906812</v>
      </c>
      <c r="K49" s="113"/>
      <c r="L49" s="113"/>
    </row>
    <row r="50" spans="2:12">
      <c r="B50" s="109"/>
      <c r="C50" s="156" t="s">
        <v>133</v>
      </c>
      <c r="D50" s="114"/>
      <c r="E50" s="158">
        <f>VLOOKUP($C50,'Raw Data'!$A$1:$S$2198,7,0)</f>
        <v>1.16</v>
      </c>
      <c r="F50" s="114"/>
      <c r="G50" s="161">
        <f>E50/E52*100</f>
        <v>100</v>
      </c>
      <c r="H50" s="114"/>
      <c r="I50" s="114"/>
      <c r="J50" s="125"/>
      <c r="K50" s="113"/>
      <c r="L50" s="113"/>
    </row>
    <row r="51" spans="2:12">
      <c r="B51" s="109"/>
      <c r="C51" s="156" t="s">
        <v>134</v>
      </c>
      <c r="D51" s="190">
        <v>0</v>
      </c>
      <c r="E51" s="158">
        <f>VLOOKUP($C51,'Raw Data'!$A$1:$S$2198,7,0)</f>
        <v>1.26</v>
      </c>
      <c r="F51" s="68">
        <f>AVERAGE(E51:E52)</f>
        <v>1.21</v>
      </c>
      <c r="G51" s="161">
        <f>E51/E51*100</f>
        <v>100</v>
      </c>
      <c r="H51" s="68">
        <f>LN(G51)</f>
        <v>4.60517018598809</v>
      </c>
      <c r="I51" s="68">
        <f>LN(G52)</f>
        <v>4.60517018598809</v>
      </c>
      <c r="J51" s="124">
        <f>AVERAGE(H51:I52)</f>
        <v>4.60517018598809</v>
      </c>
      <c r="K51" s="113"/>
      <c r="L51" s="113"/>
    </row>
    <row r="52" ht="16.25" spans="2:12">
      <c r="B52" s="111"/>
      <c r="C52" s="156" t="s">
        <v>135</v>
      </c>
      <c r="D52" s="76"/>
      <c r="E52" s="163">
        <f>VLOOKUP($C52,'Raw Data'!$A$1:$S$2198,7,0)</f>
        <v>1.16</v>
      </c>
      <c r="F52" s="76"/>
      <c r="G52" s="164">
        <f>E52/E52*100</f>
        <v>100</v>
      </c>
      <c r="H52" s="76"/>
      <c r="I52" s="76"/>
      <c r="J52" s="128"/>
      <c r="K52" s="113"/>
      <c r="L52" s="113"/>
    </row>
    <row r="53" spans="2:10">
      <c r="B53" s="165" t="s">
        <v>112</v>
      </c>
      <c r="C53" s="166"/>
      <c r="D53" s="167" t="str">
        <f>B43</f>
        <v>HW356060在犬肝微粒体中的代谢稳定性评估</v>
      </c>
      <c r="E53" s="168"/>
      <c r="F53" s="169"/>
      <c r="G53" s="170"/>
      <c r="H53" s="171"/>
      <c r="I53" s="171"/>
      <c r="J53" s="195"/>
    </row>
    <row r="54" ht="40.9" customHeight="1" spans="2:10">
      <c r="B54" s="172"/>
      <c r="C54" s="173"/>
      <c r="D54" s="174" t="s">
        <v>113</v>
      </c>
      <c r="E54" s="175" t="s">
        <v>114</v>
      </c>
      <c r="F54" s="88" t="s">
        <v>115</v>
      </c>
      <c r="G54" s="176"/>
      <c r="H54" s="85"/>
      <c r="I54" s="85"/>
      <c r="J54" s="196"/>
    </row>
    <row r="55" spans="2:11">
      <c r="B55" s="91" t="s">
        <v>100</v>
      </c>
      <c r="C55" s="173"/>
      <c r="D55" s="177" t="str">
        <f>IF(-SLOPE(H43:H52,D43:D52)&lt;0,"NA",-SLOPE(H43:H52,D43:D52))</f>
        <v>NA</v>
      </c>
      <c r="E55" s="90" t="str">
        <f>IFERROR(0.693/D55,"NA")</f>
        <v>NA</v>
      </c>
      <c r="F55" s="180" t="str">
        <f>IFERROR(D55/0.5*1000,"NA")</f>
        <v>NA</v>
      </c>
      <c r="G55" s="176"/>
      <c r="H55" s="85"/>
      <c r="I55" s="85"/>
      <c r="J55" s="196"/>
      <c r="K55" s="122"/>
    </row>
    <row r="56" spans="2:11">
      <c r="B56" s="91" t="s">
        <v>101</v>
      </c>
      <c r="C56" s="173"/>
      <c r="D56" s="179" t="str">
        <f>IF(-SLOPE(I43:I52,D43:D52)&lt;0,"NA",-SLOPE(I43:I52,D43:D52))</f>
        <v>NA</v>
      </c>
      <c r="E56" s="90" t="str">
        <f>IFERROR(0.693/D56,"NA")</f>
        <v>NA</v>
      </c>
      <c r="F56" s="180" t="str">
        <f>IFERROR(D56/0.5*1000,"NA")</f>
        <v>NA</v>
      </c>
      <c r="G56" s="176"/>
      <c r="H56" s="85"/>
      <c r="I56" s="85"/>
      <c r="J56" s="196"/>
      <c r="K56" s="122"/>
    </row>
    <row r="57" ht="16.25" spans="2:10">
      <c r="B57" s="94" t="s">
        <v>97</v>
      </c>
      <c r="C57" s="181"/>
      <c r="D57" s="193" t="str">
        <f>IFERROR(AVERAGE(D55:D56),"NA")</f>
        <v>NA</v>
      </c>
      <c r="E57" s="183" t="str">
        <f>IFERROR(AVERAGE(E55:E56),"NA")</f>
        <v>NA</v>
      </c>
      <c r="F57" s="184" t="str">
        <f>IFERROR(AVERAGE(F55:F56),"NA")</f>
        <v>NA</v>
      </c>
      <c r="G57" s="185"/>
      <c r="H57" s="186"/>
      <c r="I57" s="186"/>
      <c r="J57" s="197"/>
    </row>
    <row r="58" spans="2:10">
      <c r="B58" s="113"/>
      <c r="C58" s="173"/>
      <c r="D58" s="113"/>
      <c r="E58" s="113"/>
      <c r="F58" s="113"/>
      <c r="G58" s="192"/>
      <c r="H58" s="113"/>
      <c r="I58" s="113"/>
      <c r="J58" s="113"/>
    </row>
    <row r="59" s="22" customFormat="1" ht="18.25" spans="2:10">
      <c r="B59" s="43" t="str">
        <f>CONCATENATE(Summary!$B$10,"在大鼠肝微粒体中的代谢稳定性评估")</f>
        <v>HW356060在大鼠肝微粒体中的代谢稳定性评估</v>
      </c>
      <c r="C59" s="101"/>
      <c r="D59" s="101"/>
      <c r="E59" s="101"/>
      <c r="F59" s="101"/>
      <c r="G59" s="101"/>
      <c r="H59" s="101"/>
      <c r="I59" s="101"/>
      <c r="J59" s="101"/>
    </row>
    <row r="60" ht="15.75" customHeight="1" spans="1:12">
      <c r="A60" s="147"/>
      <c r="B60" s="44" t="s">
        <v>94</v>
      </c>
      <c r="C60" s="188"/>
      <c r="D60" s="149" t="s">
        <v>95</v>
      </c>
      <c r="E60" s="47" t="s">
        <v>96</v>
      </c>
      <c r="F60" s="47" t="s">
        <v>97</v>
      </c>
      <c r="G60" s="150" t="s">
        <v>98</v>
      </c>
      <c r="H60" s="48" t="s">
        <v>99</v>
      </c>
      <c r="I60" s="194"/>
      <c r="J60" s="132" t="s">
        <v>97</v>
      </c>
      <c r="K60" s="113"/>
      <c r="L60" s="113"/>
    </row>
    <row r="61" spans="1:12">
      <c r="A61" s="147"/>
      <c r="B61" s="103"/>
      <c r="C61" s="189"/>
      <c r="D61" s="52"/>
      <c r="E61" s="52"/>
      <c r="F61" s="52"/>
      <c r="G61" s="153"/>
      <c r="H61" s="154" t="s">
        <v>100</v>
      </c>
      <c r="I61" s="154" t="s">
        <v>101</v>
      </c>
      <c r="J61" s="133"/>
      <c r="K61" s="113"/>
      <c r="L61" s="113"/>
    </row>
    <row r="62" ht="15.75" customHeight="1" spans="1:12">
      <c r="A62" s="147"/>
      <c r="B62" s="155" t="str">
        <f>B59</f>
        <v>HW356060在大鼠肝微粒体中的代谢稳定性评估</v>
      </c>
      <c r="C62" s="17" t="s">
        <v>136</v>
      </c>
      <c r="D62" s="190">
        <v>60</v>
      </c>
      <c r="E62" s="158">
        <f>VLOOKUP($C62,'Raw Data'!$A$1:$S$2198,7,0)</f>
        <v>1.26</v>
      </c>
      <c r="F62" s="68">
        <f>AVERAGE(E62:E63)</f>
        <v>1.275</v>
      </c>
      <c r="G62" s="161">
        <f>E62/E70*100</f>
        <v>102.439024390244</v>
      </c>
      <c r="H62" s="68">
        <f t="shared" ref="H62" si="9">LN(G62)</f>
        <v>4.62926773756715</v>
      </c>
      <c r="I62" s="68">
        <f t="shared" ref="I62" si="10">LN(G63)</f>
        <v>4.59744813989418</v>
      </c>
      <c r="J62" s="124">
        <f t="shared" ref="J62" si="11">AVERAGE(H62:I63)</f>
        <v>4.61335793873067</v>
      </c>
      <c r="K62" s="113"/>
      <c r="L62" s="113"/>
    </row>
    <row r="63" spans="1:12">
      <c r="A63" s="147"/>
      <c r="B63" s="109"/>
      <c r="C63" s="17" t="s">
        <v>137</v>
      </c>
      <c r="D63" s="114"/>
      <c r="E63" s="158">
        <f>VLOOKUP($C63,'Raw Data'!$A$1:$S$2198,7,0)</f>
        <v>1.29</v>
      </c>
      <c r="F63" s="114"/>
      <c r="G63" s="159">
        <f>E63/E71*100</f>
        <v>99.2307692307692</v>
      </c>
      <c r="H63" s="114"/>
      <c r="I63" s="114"/>
      <c r="J63" s="125"/>
      <c r="K63" s="113"/>
      <c r="L63" s="113"/>
    </row>
    <row r="64" spans="1:12">
      <c r="A64" s="147"/>
      <c r="B64" s="109"/>
      <c r="C64" s="17" t="s">
        <v>138</v>
      </c>
      <c r="D64" s="190">
        <v>30</v>
      </c>
      <c r="E64" s="158">
        <f>VLOOKUP($C64,'Raw Data'!$A$1:$S$2198,7,0)</f>
        <v>1.21</v>
      </c>
      <c r="F64" s="68">
        <f>AVERAGE(E64:E65)</f>
        <v>1.245</v>
      </c>
      <c r="G64" s="159">
        <f>E64/E70*100</f>
        <v>98.3739837398374</v>
      </c>
      <c r="H64" s="68">
        <f t="shared" ref="H64" si="12">LN(G64)</f>
        <v>4.58877637621242</v>
      </c>
      <c r="I64" s="68">
        <f t="shared" ref="I64" si="13">LN(G65)</f>
        <v>4.58966599945213</v>
      </c>
      <c r="J64" s="124">
        <f t="shared" ref="J64" si="14">AVERAGE(H64:I65)</f>
        <v>4.58922118783227</v>
      </c>
      <c r="K64" s="113"/>
      <c r="L64" s="113"/>
    </row>
    <row r="65" spans="1:12">
      <c r="A65" s="147"/>
      <c r="B65" s="109"/>
      <c r="C65" s="17" t="s">
        <v>139</v>
      </c>
      <c r="D65" s="114"/>
      <c r="E65" s="158">
        <f>VLOOKUP($C65,'Raw Data'!$A$1:$S$2198,7,0)</f>
        <v>1.28</v>
      </c>
      <c r="F65" s="114"/>
      <c r="G65" s="159">
        <f>E65/E71*100</f>
        <v>98.4615384615385</v>
      </c>
      <c r="H65" s="114"/>
      <c r="I65" s="114"/>
      <c r="J65" s="125"/>
      <c r="K65" s="113"/>
      <c r="L65" s="113"/>
    </row>
    <row r="66" spans="1:12">
      <c r="A66" s="147"/>
      <c r="B66" s="109"/>
      <c r="C66" s="17" t="s">
        <v>140</v>
      </c>
      <c r="D66" s="190">
        <v>15</v>
      </c>
      <c r="E66" s="158">
        <f>VLOOKUP($C66,'Raw Data'!$A$1:$S$2198,7,0)</f>
        <v>1.22</v>
      </c>
      <c r="F66" s="68">
        <f>AVERAGE(E66:E67)</f>
        <v>1.235</v>
      </c>
      <c r="G66" s="159">
        <f>E66/E70*100</f>
        <v>99.1869918699187</v>
      </c>
      <c r="H66" s="68">
        <f t="shared" ref="H66" si="15">LN(G66)</f>
        <v>4.59700687534893</v>
      </c>
      <c r="I66" s="68">
        <f t="shared" ref="I66" si="16">LN(G67)</f>
        <v>4.56594947283481</v>
      </c>
      <c r="J66" s="124">
        <f t="shared" ref="J66" si="17">AVERAGE(H66:I67)</f>
        <v>4.58147817409187</v>
      </c>
      <c r="K66" s="113"/>
      <c r="L66" s="113"/>
    </row>
    <row r="67" spans="1:12">
      <c r="A67" s="147"/>
      <c r="B67" s="109"/>
      <c r="C67" s="17" t="s">
        <v>141</v>
      </c>
      <c r="D67" s="114"/>
      <c r="E67" s="158">
        <f>VLOOKUP($C67,'Raw Data'!$A$1:$S$2198,7,0)</f>
        <v>1.25</v>
      </c>
      <c r="F67" s="114"/>
      <c r="G67" s="159">
        <f>E67/E71*100</f>
        <v>96.1538461538461</v>
      </c>
      <c r="H67" s="114"/>
      <c r="I67" s="114"/>
      <c r="J67" s="125"/>
      <c r="K67" s="113"/>
      <c r="L67" s="113"/>
    </row>
    <row r="68" spans="1:12">
      <c r="A68" s="147"/>
      <c r="B68" s="109"/>
      <c r="C68" s="17" t="s">
        <v>142</v>
      </c>
      <c r="D68" s="190">
        <v>5</v>
      </c>
      <c r="E68" s="158">
        <f>VLOOKUP($C68,'Raw Data'!$A$1:$S$2198,7,0)</f>
        <v>1.2</v>
      </c>
      <c r="F68" s="68">
        <f>AVERAGE(E68:E69)</f>
        <v>1.195</v>
      </c>
      <c r="G68" s="159">
        <f>E68/E70*100</f>
        <v>97.5609756097561</v>
      </c>
      <c r="H68" s="68">
        <f>LN(G68)</f>
        <v>4.58047757339772</v>
      </c>
      <c r="I68" s="68">
        <f>LN(G69)</f>
        <v>4.51675922864404</v>
      </c>
      <c r="J68" s="124">
        <f>AVERAGE(H68:I69)</f>
        <v>4.54861840102088</v>
      </c>
      <c r="K68" s="113"/>
      <c r="L68" s="113"/>
    </row>
    <row r="69" spans="1:12">
      <c r="A69" s="147"/>
      <c r="B69" s="109"/>
      <c r="C69" s="17" t="s">
        <v>143</v>
      </c>
      <c r="D69" s="114"/>
      <c r="E69" s="158">
        <f>VLOOKUP($C69,'Raw Data'!$A$1:$S$2198,7,0)</f>
        <v>1.19</v>
      </c>
      <c r="F69" s="114"/>
      <c r="G69" s="159">
        <f>E69/E71*100</f>
        <v>91.5384615384615</v>
      </c>
      <c r="H69" s="114"/>
      <c r="I69" s="114"/>
      <c r="J69" s="125"/>
      <c r="K69" s="113"/>
      <c r="L69" s="113"/>
    </row>
    <row r="70" spans="1:12">
      <c r="A70" s="147"/>
      <c r="B70" s="109"/>
      <c r="C70" s="17" t="s">
        <v>144</v>
      </c>
      <c r="D70" s="190">
        <v>0</v>
      </c>
      <c r="E70" s="158">
        <f>VLOOKUP($C70,'Raw Data'!$A$1:$S$2198,7,0)</f>
        <v>1.23</v>
      </c>
      <c r="F70" s="68">
        <f>AVERAGE(E70:E71)</f>
        <v>1.265</v>
      </c>
      <c r="G70" s="161">
        <f>E70/E70*100</f>
        <v>100</v>
      </c>
      <c r="H70" s="68">
        <f>LN(G70)</f>
        <v>4.60517018598809</v>
      </c>
      <c r="I70" s="68">
        <f>LN(G71)</f>
        <v>4.60517018598809</v>
      </c>
      <c r="J70" s="124">
        <f>AVERAGE(H70:I71)</f>
        <v>4.60517018598809</v>
      </c>
      <c r="K70" s="113"/>
      <c r="L70" s="113"/>
    </row>
    <row r="71" ht="16.25" spans="1:12">
      <c r="A71" s="147"/>
      <c r="B71" s="111"/>
      <c r="C71" s="17" t="s">
        <v>145</v>
      </c>
      <c r="D71" s="76"/>
      <c r="E71" s="163">
        <f>VLOOKUP($C71,'Raw Data'!$A$1:$S$2198,7,0)</f>
        <v>1.3</v>
      </c>
      <c r="F71" s="76"/>
      <c r="G71" s="164">
        <f>E71/E71*100</f>
        <v>100</v>
      </c>
      <c r="H71" s="76"/>
      <c r="I71" s="76"/>
      <c r="J71" s="128"/>
      <c r="K71" s="113"/>
      <c r="L71" s="113"/>
    </row>
    <row r="72" ht="33" customHeight="1" spans="2:10">
      <c r="B72" s="165" t="s">
        <v>112</v>
      </c>
      <c r="C72" s="166"/>
      <c r="D72" s="198" t="str">
        <f>B62</f>
        <v>HW356060在大鼠肝微粒体中的代谢稳定性评估</v>
      </c>
      <c r="E72" s="115"/>
      <c r="F72" s="194"/>
      <c r="G72" s="170"/>
      <c r="H72" s="171"/>
      <c r="I72" s="171"/>
      <c r="J72" s="195"/>
    </row>
    <row r="73" ht="49.5" spans="2:10">
      <c r="B73" s="172"/>
      <c r="C73" s="173"/>
      <c r="D73" s="174" t="s">
        <v>113</v>
      </c>
      <c r="E73" s="175" t="s">
        <v>114</v>
      </c>
      <c r="F73" s="88" t="s">
        <v>115</v>
      </c>
      <c r="G73" s="176"/>
      <c r="H73" s="85"/>
      <c r="I73" s="85"/>
      <c r="J73" s="196"/>
    </row>
    <row r="74" spans="2:11">
      <c r="B74" s="91" t="s">
        <v>100</v>
      </c>
      <c r="C74" s="173"/>
      <c r="D74" s="177" t="str">
        <f>IF(-SLOPE(H62:H71,D62:D71)&lt;0,"NA",-SLOPE(H62:H71,D62:D71))</f>
        <v>NA</v>
      </c>
      <c r="E74" s="90" t="str">
        <f>IFERROR(0.693/D74,"NA")</f>
        <v>NA</v>
      </c>
      <c r="F74" s="180" t="str">
        <f>IFERROR(D74/0.5*1000,"NA")</f>
        <v>NA</v>
      </c>
      <c r="G74" s="176"/>
      <c r="H74" s="85"/>
      <c r="I74" s="85"/>
      <c r="J74" s="196"/>
      <c r="K74" s="122"/>
    </row>
    <row r="75" spans="2:11">
      <c r="B75" s="91" t="s">
        <v>101</v>
      </c>
      <c r="C75" s="173"/>
      <c r="D75" s="179" t="str">
        <f>IF(-SLOPE(I62:I71,D62:D71)&lt;0,"NA",-SLOPE(I62:I71,D62:D71))</f>
        <v>NA</v>
      </c>
      <c r="E75" s="90" t="str">
        <f>IFERROR(0.693/D75,"NA")</f>
        <v>NA</v>
      </c>
      <c r="F75" s="178" t="str">
        <f>IFERROR(D75/0.5*1000,"NA")</f>
        <v>NA</v>
      </c>
      <c r="G75" s="176"/>
      <c r="H75" s="85"/>
      <c r="I75" s="85"/>
      <c r="J75" s="196"/>
      <c r="K75" s="122"/>
    </row>
    <row r="76" ht="16.25" spans="2:10">
      <c r="B76" s="94" t="s">
        <v>97</v>
      </c>
      <c r="C76" s="181"/>
      <c r="D76" s="182" t="str">
        <f>IFERROR(AVERAGE(D74:D75),"NA")</f>
        <v>NA</v>
      </c>
      <c r="E76" s="183" t="str">
        <f>IFERROR(AVERAGE(E74:E75),"NA")</f>
        <v>NA</v>
      </c>
      <c r="F76" s="191" t="str">
        <f>IFERROR(AVERAGE(F74:F75),"NA")</f>
        <v>NA</v>
      </c>
      <c r="G76" s="185"/>
      <c r="H76" s="186"/>
      <c r="I76" s="186"/>
      <c r="J76" s="197"/>
    </row>
    <row r="77" spans="2:10">
      <c r="B77" s="113"/>
      <c r="C77" s="173"/>
      <c r="D77" s="113"/>
      <c r="E77" s="113"/>
      <c r="F77" s="113"/>
      <c r="G77" s="192"/>
      <c r="H77" s="113"/>
      <c r="I77" s="113"/>
      <c r="J77" s="113"/>
    </row>
    <row r="78" spans="2:10">
      <c r="B78" s="113"/>
      <c r="C78" s="173"/>
      <c r="D78" s="113"/>
      <c r="E78" s="113"/>
      <c r="F78" s="113"/>
      <c r="G78" s="192"/>
      <c r="H78" s="113"/>
      <c r="I78" s="113"/>
      <c r="J78" s="113"/>
    </row>
    <row r="79" s="22" customFormat="1" ht="18.25" spans="2:10">
      <c r="B79" s="43" t="str">
        <f>CONCATENATE(Summary!$B$10,"在小鼠肝微粒体中的代谢稳定性评估")</f>
        <v>HW356060在小鼠肝微粒体中的代谢稳定性评估</v>
      </c>
      <c r="C79" s="101"/>
      <c r="D79" s="101"/>
      <c r="E79" s="101"/>
      <c r="F79" s="101"/>
      <c r="G79" s="101"/>
      <c r="H79" s="101"/>
      <c r="I79" s="101"/>
      <c r="J79" s="101"/>
    </row>
    <row r="80" ht="15.75" customHeight="1" spans="1:14">
      <c r="A80" s="147"/>
      <c r="B80" s="44" t="s">
        <v>94</v>
      </c>
      <c r="C80" s="148"/>
      <c r="D80" s="149" t="s">
        <v>95</v>
      </c>
      <c r="E80" s="47" t="s">
        <v>96</v>
      </c>
      <c r="F80" s="47" t="s">
        <v>97</v>
      </c>
      <c r="G80" s="150" t="s">
        <v>98</v>
      </c>
      <c r="H80" s="48" t="s">
        <v>99</v>
      </c>
      <c r="I80" s="194"/>
      <c r="J80" s="132" t="s">
        <v>97</v>
      </c>
      <c r="K80" s="113"/>
      <c r="L80" s="113"/>
      <c r="M80" s="113"/>
      <c r="N80" s="113"/>
    </row>
    <row r="81" spans="1:14">
      <c r="A81" s="147"/>
      <c r="B81" s="49"/>
      <c r="C81" s="151"/>
      <c r="D81" s="152"/>
      <c r="E81" s="52"/>
      <c r="F81" s="52"/>
      <c r="G81" s="153"/>
      <c r="H81" s="154" t="s">
        <v>100</v>
      </c>
      <c r="I81" s="154" t="s">
        <v>101</v>
      </c>
      <c r="J81" s="133"/>
      <c r="K81" s="113"/>
      <c r="L81" s="113"/>
      <c r="M81" s="113"/>
      <c r="N81" s="113"/>
    </row>
    <row r="82" ht="15.75" customHeight="1" spans="1:14">
      <c r="A82" s="147"/>
      <c r="B82" s="155" t="str">
        <f>B79</f>
        <v>HW356060在小鼠肝微粒体中的代谢稳定性评估</v>
      </c>
      <c r="C82" s="17" t="s">
        <v>146</v>
      </c>
      <c r="D82" s="157">
        <v>60</v>
      </c>
      <c r="E82" s="158">
        <f>VLOOKUP($C82,'Raw Data'!$A$1:$S$2198,7,0)</f>
        <v>1.39</v>
      </c>
      <c r="F82" s="68">
        <f>AVERAGE(E82:E83)</f>
        <v>1.34</v>
      </c>
      <c r="G82" s="161">
        <f>E82/E90*100</f>
        <v>105.30303030303</v>
      </c>
      <c r="H82" s="68">
        <f t="shared" ref="H82" si="18">LN(G82)</f>
        <v>4.65684219653241</v>
      </c>
      <c r="I82" s="68">
        <f t="shared" ref="I82" si="19">LN(G83)</f>
        <v>4.53772890519256</v>
      </c>
      <c r="J82" s="124">
        <f t="shared" ref="J82" si="20">AVERAGE(H82:I83)</f>
        <v>4.59728555086249</v>
      </c>
      <c r="K82" s="113"/>
      <c r="L82" s="113"/>
      <c r="M82" s="113"/>
      <c r="N82" s="113"/>
    </row>
    <row r="83" spans="1:14">
      <c r="A83" s="147"/>
      <c r="B83" s="54"/>
      <c r="C83" s="17" t="s">
        <v>147</v>
      </c>
      <c r="D83" s="160"/>
      <c r="E83" s="158">
        <f>VLOOKUP($C83,'Raw Data'!$A$1:$S$2198,7,0)</f>
        <v>1.29</v>
      </c>
      <c r="F83" s="114"/>
      <c r="G83" s="159">
        <f>E83/E91*100</f>
        <v>93.4782608695652</v>
      </c>
      <c r="H83" s="114"/>
      <c r="I83" s="114"/>
      <c r="J83" s="125"/>
      <c r="K83" s="113"/>
      <c r="L83" s="113"/>
      <c r="M83" s="113"/>
      <c r="N83" s="113"/>
    </row>
    <row r="84" spans="1:14">
      <c r="A84" s="147"/>
      <c r="B84" s="54"/>
      <c r="C84" s="17" t="s">
        <v>148</v>
      </c>
      <c r="D84" s="157">
        <v>30</v>
      </c>
      <c r="E84" s="158">
        <f>VLOOKUP($C84,'Raw Data'!$A$1:$S$2198,7,0)</f>
        <v>1.29</v>
      </c>
      <c r="F84" s="68">
        <f>AVERAGE(E84:E85)</f>
        <v>1.295</v>
      </c>
      <c r="G84" s="159">
        <f>E84/E90*100</f>
        <v>97.7272727272727</v>
      </c>
      <c r="H84" s="68">
        <f t="shared" ref="H84" si="21">LN(G84)</f>
        <v>4.58218066776339</v>
      </c>
      <c r="I84" s="68">
        <f t="shared" ref="I84" si="22">LN(G85)</f>
        <v>4.54545095128647</v>
      </c>
      <c r="J84" s="124">
        <f t="shared" ref="J84" si="23">AVERAGE(H84:I85)</f>
        <v>4.56381580952493</v>
      </c>
      <c r="K84" s="113"/>
      <c r="L84" s="113"/>
      <c r="M84" s="113"/>
      <c r="N84" s="113"/>
    </row>
    <row r="85" spans="1:14">
      <c r="A85" s="147"/>
      <c r="B85" s="54"/>
      <c r="C85" s="17" t="s">
        <v>149</v>
      </c>
      <c r="D85" s="160"/>
      <c r="E85" s="158">
        <f>VLOOKUP($C85,'Raw Data'!$A$1:$S$2198,7,0)</f>
        <v>1.3</v>
      </c>
      <c r="F85" s="114"/>
      <c r="G85" s="159">
        <f>E85/E91*100</f>
        <v>94.2028985507246</v>
      </c>
      <c r="H85" s="114"/>
      <c r="I85" s="114"/>
      <c r="J85" s="125"/>
      <c r="K85" s="113"/>
      <c r="L85" s="113"/>
      <c r="M85" s="113"/>
      <c r="N85" s="113"/>
    </row>
    <row r="86" spans="1:14">
      <c r="A86" s="147"/>
      <c r="B86" s="54"/>
      <c r="C86" s="17" t="s">
        <v>150</v>
      </c>
      <c r="D86" s="157">
        <v>15</v>
      </c>
      <c r="E86" s="158">
        <f>VLOOKUP($C86,'Raw Data'!$A$1:$S$2198,7,0)</f>
        <v>1.3</v>
      </c>
      <c r="F86" s="68">
        <f>AVERAGE(E86:E87)</f>
        <v>1.31</v>
      </c>
      <c r="G86" s="159">
        <f>E86/E90*100</f>
        <v>98.4848484848485</v>
      </c>
      <c r="H86" s="68">
        <f t="shared" ref="H86" si="24">LN(G86)</f>
        <v>4.5899027138573</v>
      </c>
      <c r="I86" s="68">
        <f t="shared" ref="I86" si="25">LN(G87)</f>
        <v>4.56071842341726</v>
      </c>
      <c r="J86" s="124">
        <f t="shared" ref="J86" si="26">AVERAGE(H86:I87)</f>
        <v>4.57531056863728</v>
      </c>
      <c r="K86" s="113"/>
      <c r="L86" s="113"/>
      <c r="M86" s="113"/>
      <c r="N86" s="113"/>
    </row>
    <row r="87" spans="1:14">
      <c r="A87" s="147"/>
      <c r="B87" s="54"/>
      <c r="C87" s="17" t="s">
        <v>151</v>
      </c>
      <c r="D87" s="160"/>
      <c r="E87" s="158">
        <f>VLOOKUP($C87,'Raw Data'!$A$1:$S$2198,7,0)</f>
        <v>1.32</v>
      </c>
      <c r="F87" s="114"/>
      <c r="G87" s="159">
        <f>E87/E91*100</f>
        <v>95.6521739130435</v>
      </c>
      <c r="H87" s="114"/>
      <c r="I87" s="114"/>
      <c r="J87" s="125"/>
      <c r="K87" s="113"/>
      <c r="L87" s="113"/>
      <c r="M87" s="113"/>
      <c r="N87" s="113"/>
    </row>
    <row r="88" spans="1:14">
      <c r="A88" s="147"/>
      <c r="B88" s="54"/>
      <c r="C88" s="17" t="s">
        <v>152</v>
      </c>
      <c r="D88" s="157">
        <v>5</v>
      </c>
      <c r="E88" s="158">
        <f>VLOOKUP($C88,'Raw Data'!$A$1:$S$2198,7,0)</f>
        <v>1.34</v>
      </c>
      <c r="F88" s="68">
        <f>AVERAGE(E88:E89)</f>
        <v>1.335</v>
      </c>
      <c r="G88" s="161">
        <f>E88/E90*100</f>
        <v>101.515151515152</v>
      </c>
      <c r="H88" s="68">
        <f>LN(G88)</f>
        <v>4.62020806335263</v>
      </c>
      <c r="I88" s="68">
        <f>LN(G89)</f>
        <v>4.56826562905264</v>
      </c>
      <c r="J88" s="124">
        <f>AVERAGE(H88:I89)</f>
        <v>4.59423684620264</v>
      </c>
      <c r="K88" s="113"/>
      <c r="L88" s="113"/>
      <c r="M88" s="113"/>
      <c r="N88" s="113"/>
    </row>
    <row r="89" spans="1:14">
      <c r="A89" s="147"/>
      <c r="B89" s="54"/>
      <c r="C89" s="17" t="s">
        <v>153</v>
      </c>
      <c r="D89" s="160"/>
      <c r="E89" s="158">
        <f>VLOOKUP($C89,'Raw Data'!$A$1:$S$2198,7,0)</f>
        <v>1.33</v>
      </c>
      <c r="F89" s="114"/>
      <c r="G89" s="159">
        <f>E89/E91*100</f>
        <v>96.3768115942029</v>
      </c>
      <c r="H89" s="114"/>
      <c r="I89" s="114"/>
      <c r="J89" s="125"/>
      <c r="K89" s="113"/>
      <c r="L89" s="113"/>
      <c r="M89" s="113"/>
      <c r="N89" s="113"/>
    </row>
    <row r="90" spans="1:14">
      <c r="A90" s="147"/>
      <c r="B90" s="54"/>
      <c r="C90" s="17" t="s">
        <v>154</v>
      </c>
      <c r="D90" s="157">
        <v>0</v>
      </c>
      <c r="E90" s="158">
        <f>VLOOKUP($C90,'Raw Data'!$A$1:$S$2198,7,0)</f>
        <v>1.32</v>
      </c>
      <c r="F90" s="68">
        <f>AVERAGE(E90:E91)</f>
        <v>1.35</v>
      </c>
      <c r="G90" s="161">
        <f>E90/E90*100</f>
        <v>100</v>
      </c>
      <c r="H90" s="68">
        <f>LN(G90)</f>
        <v>4.60517018598809</v>
      </c>
      <c r="I90" s="68">
        <f>LN(G91)</f>
        <v>4.60517018598809</v>
      </c>
      <c r="J90" s="124">
        <f>AVERAGE(H90:I91)</f>
        <v>4.60517018598809</v>
      </c>
      <c r="K90" s="113"/>
      <c r="L90" s="113"/>
      <c r="M90" s="113"/>
      <c r="N90" s="113"/>
    </row>
    <row r="91" ht="16.25" spans="1:14">
      <c r="A91" s="147"/>
      <c r="B91" s="72"/>
      <c r="C91" s="17" t="s">
        <v>155</v>
      </c>
      <c r="D91" s="162"/>
      <c r="E91" s="163">
        <f>VLOOKUP($C91,'Raw Data'!$A$1:$S$2198,7,0)</f>
        <v>1.38</v>
      </c>
      <c r="F91" s="76"/>
      <c r="G91" s="164">
        <f>E91/E91*100</f>
        <v>100</v>
      </c>
      <c r="H91" s="76"/>
      <c r="I91" s="76"/>
      <c r="J91" s="128"/>
      <c r="K91" s="113"/>
      <c r="L91" s="113"/>
      <c r="M91" s="113"/>
      <c r="N91" s="113"/>
    </row>
    <row r="92" ht="33" customHeight="1" spans="2:10">
      <c r="B92" s="165" t="s">
        <v>112</v>
      </c>
      <c r="C92" s="199"/>
      <c r="D92" s="198" t="str">
        <f>B82</f>
        <v>HW356060在小鼠肝微粒体中的代谢稳定性评估</v>
      </c>
      <c r="E92" s="200"/>
      <c r="F92" s="201"/>
      <c r="G92" s="202"/>
      <c r="H92" s="203"/>
      <c r="I92" s="203"/>
      <c r="J92" s="208"/>
    </row>
    <row r="93" ht="49.5" spans="2:10">
      <c r="B93" s="204"/>
      <c r="D93" s="174" t="s">
        <v>113</v>
      </c>
      <c r="E93" s="175" t="s">
        <v>114</v>
      </c>
      <c r="F93" s="88" t="s">
        <v>115</v>
      </c>
      <c r="G93" s="176"/>
      <c r="H93" s="205"/>
      <c r="I93" s="205"/>
      <c r="J93" s="209"/>
    </row>
    <row r="94" spans="2:11">
      <c r="B94" s="91" t="s">
        <v>100</v>
      </c>
      <c r="D94" s="177" t="str">
        <f>IF(-SLOPE(H82:H91,D82:D91)&lt;0,"NA",-SLOPE(H82:H91,D82:D91))</f>
        <v>NA</v>
      </c>
      <c r="E94" s="90" t="str">
        <f>IFERROR(0.693/D94,"NA")</f>
        <v>NA</v>
      </c>
      <c r="F94" s="180" t="str">
        <f>IFERROR(D94/0.5*1000,"NA")</f>
        <v>NA</v>
      </c>
      <c r="G94" s="176"/>
      <c r="H94" s="205"/>
      <c r="I94" s="205"/>
      <c r="J94" s="209"/>
      <c r="K94" s="122"/>
    </row>
    <row r="95" spans="2:11">
      <c r="B95" s="91" t="s">
        <v>101</v>
      </c>
      <c r="D95" s="179">
        <f>IF(-SLOPE(I82:I91,D82:D91)&lt;0,"NA",-SLOPE(I82:I91,D82:D91))</f>
        <v>0.000902138515856094</v>
      </c>
      <c r="E95" s="90">
        <f>IFERROR(0.693/D95,"NA")</f>
        <v>768.174717983712</v>
      </c>
      <c r="F95" s="180">
        <f>D95/0.5*1000</f>
        <v>1.80427703171219</v>
      </c>
      <c r="G95" s="176"/>
      <c r="H95" s="205"/>
      <c r="I95" s="205"/>
      <c r="J95" s="209"/>
      <c r="K95" s="122"/>
    </row>
    <row r="96" ht="16.25" spans="2:10">
      <c r="B96" s="94" t="s">
        <v>97</v>
      </c>
      <c r="C96" s="206"/>
      <c r="D96" s="182">
        <f>AVERAGE(D94:D95)</f>
        <v>0.000902138515856094</v>
      </c>
      <c r="E96" s="183">
        <f>AVERAGE(E94:E95)</f>
        <v>768.174717983712</v>
      </c>
      <c r="F96" s="184">
        <f>AVERAGE(F94:F95)</f>
        <v>1.80427703171219</v>
      </c>
      <c r="G96" s="185"/>
      <c r="H96" s="207"/>
      <c r="I96" s="207"/>
      <c r="J96" s="210"/>
    </row>
    <row r="97" spans="4:7">
      <c r="D97" s="113"/>
      <c r="E97" s="113"/>
      <c r="F97" s="113"/>
      <c r="G97" s="192"/>
    </row>
    <row r="98" spans="4:7">
      <c r="D98" s="113"/>
      <c r="E98" s="113"/>
      <c r="F98" s="113"/>
      <c r="G98" s="192"/>
    </row>
    <row r="99" spans="4:6">
      <c r="D99" s="113"/>
      <c r="E99" s="113"/>
      <c r="F99" s="113"/>
    </row>
  </sheetData>
  <mergeCells count="185">
    <mergeCell ref="B2:J2"/>
    <mergeCell ref="H3:I3"/>
    <mergeCell ref="D15:F15"/>
    <mergeCell ref="B21:J21"/>
    <mergeCell ref="H22:I22"/>
    <mergeCell ref="D34:F34"/>
    <mergeCell ref="B40:J40"/>
    <mergeCell ref="H41:I41"/>
    <mergeCell ref="D53:F53"/>
    <mergeCell ref="B59:J59"/>
    <mergeCell ref="H60:I60"/>
    <mergeCell ref="D72:F72"/>
    <mergeCell ref="B79:J79"/>
    <mergeCell ref="H80:I80"/>
    <mergeCell ref="D92:F92"/>
    <mergeCell ref="B3:B4"/>
    <mergeCell ref="B5:B14"/>
    <mergeCell ref="B15:B16"/>
    <mergeCell ref="B22:B23"/>
    <mergeCell ref="B24:B33"/>
    <mergeCell ref="B34:B35"/>
    <mergeCell ref="B41:B42"/>
    <mergeCell ref="B43:B52"/>
    <mergeCell ref="B53:B54"/>
    <mergeCell ref="B60:B61"/>
    <mergeCell ref="B62:B71"/>
    <mergeCell ref="B72:B73"/>
    <mergeCell ref="B80:B81"/>
    <mergeCell ref="B82:B91"/>
    <mergeCell ref="B92:B93"/>
    <mergeCell ref="C3:C4"/>
    <mergeCell ref="C22:C23"/>
    <mergeCell ref="C41:C42"/>
    <mergeCell ref="C60:C61"/>
    <mergeCell ref="C80:C81"/>
    <mergeCell ref="D3:D4"/>
    <mergeCell ref="D5:D6"/>
    <mergeCell ref="D7:D8"/>
    <mergeCell ref="D9:D10"/>
    <mergeCell ref="D11:D12"/>
    <mergeCell ref="D13:D14"/>
    <mergeCell ref="D22:D23"/>
    <mergeCell ref="D24:D25"/>
    <mergeCell ref="D26:D27"/>
    <mergeCell ref="D28:D29"/>
    <mergeCell ref="D30:D31"/>
    <mergeCell ref="D32:D33"/>
    <mergeCell ref="D41:D42"/>
    <mergeCell ref="D43:D44"/>
    <mergeCell ref="D45:D46"/>
    <mergeCell ref="D47:D48"/>
    <mergeCell ref="D49:D50"/>
    <mergeCell ref="D51:D52"/>
    <mergeCell ref="D60:D61"/>
    <mergeCell ref="D62:D63"/>
    <mergeCell ref="D64:D65"/>
    <mergeCell ref="D66:D67"/>
    <mergeCell ref="D68:D69"/>
    <mergeCell ref="D70:D71"/>
    <mergeCell ref="D80:D81"/>
    <mergeCell ref="D82:D83"/>
    <mergeCell ref="D84:D85"/>
    <mergeCell ref="D86:D87"/>
    <mergeCell ref="D88:D89"/>
    <mergeCell ref="D90:D91"/>
    <mergeCell ref="E3:E4"/>
    <mergeCell ref="E22:E23"/>
    <mergeCell ref="E41:E42"/>
    <mergeCell ref="E60:E61"/>
    <mergeCell ref="E80:E81"/>
    <mergeCell ref="F3:F4"/>
    <mergeCell ref="F5:F6"/>
    <mergeCell ref="F7:F8"/>
    <mergeCell ref="F9:F10"/>
    <mergeCell ref="F11:F12"/>
    <mergeCell ref="F13:F14"/>
    <mergeCell ref="F22:F23"/>
    <mergeCell ref="F24:F25"/>
    <mergeCell ref="F26:F27"/>
    <mergeCell ref="F28:F29"/>
    <mergeCell ref="F30:F31"/>
    <mergeCell ref="F32:F33"/>
    <mergeCell ref="F41:F42"/>
    <mergeCell ref="F43:F44"/>
    <mergeCell ref="F45:F46"/>
    <mergeCell ref="F47:F48"/>
    <mergeCell ref="F49:F50"/>
    <mergeCell ref="F51:F52"/>
    <mergeCell ref="F60:F61"/>
    <mergeCell ref="F62:F63"/>
    <mergeCell ref="F64:F65"/>
    <mergeCell ref="F66:F67"/>
    <mergeCell ref="F68:F69"/>
    <mergeCell ref="F70:F71"/>
    <mergeCell ref="F80:F81"/>
    <mergeCell ref="F82:F83"/>
    <mergeCell ref="F84:F85"/>
    <mergeCell ref="F86:F87"/>
    <mergeCell ref="F88:F89"/>
    <mergeCell ref="F90:F91"/>
    <mergeCell ref="G3:G4"/>
    <mergeCell ref="G22:G23"/>
    <mergeCell ref="G41:G42"/>
    <mergeCell ref="G60:G61"/>
    <mergeCell ref="G80:G81"/>
    <mergeCell ref="H5:H6"/>
    <mergeCell ref="H7:H8"/>
    <mergeCell ref="H9:H10"/>
    <mergeCell ref="H11:H12"/>
    <mergeCell ref="H13:H14"/>
    <mergeCell ref="H24:H25"/>
    <mergeCell ref="H26:H27"/>
    <mergeCell ref="H28:H29"/>
    <mergeCell ref="H30:H31"/>
    <mergeCell ref="H32:H33"/>
    <mergeCell ref="H43:H44"/>
    <mergeCell ref="H45:H46"/>
    <mergeCell ref="H47:H48"/>
    <mergeCell ref="H49:H50"/>
    <mergeCell ref="H51:H52"/>
    <mergeCell ref="H62:H63"/>
    <mergeCell ref="H64:H65"/>
    <mergeCell ref="H66:H67"/>
    <mergeCell ref="H68:H69"/>
    <mergeCell ref="H70:H71"/>
    <mergeCell ref="H82:H83"/>
    <mergeCell ref="H84:H85"/>
    <mergeCell ref="H86:H87"/>
    <mergeCell ref="H88:H89"/>
    <mergeCell ref="H90:H91"/>
    <mergeCell ref="I5:I6"/>
    <mergeCell ref="I7:I8"/>
    <mergeCell ref="I9:I10"/>
    <mergeCell ref="I11:I12"/>
    <mergeCell ref="I13:I14"/>
    <mergeCell ref="I24:I25"/>
    <mergeCell ref="I26:I27"/>
    <mergeCell ref="I28:I29"/>
    <mergeCell ref="I30:I31"/>
    <mergeCell ref="I32:I33"/>
    <mergeCell ref="I43:I44"/>
    <mergeCell ref="I45:I46"/>
    <mergeCell ref="I47:I48"/>
    <mergeCell ref="I49:I50"/>
    <mergeCell ref="I51:I52"/>
    <mergeCell ref="I62:I63"/>
    <mergeCell ref="I64:I65"/>
    <mergeCell ref="I66:I67"/>
    <mergeCell ref="I68:I69"/>
    <mergeCell ref="I70:I71"/>
    <mergeCell ref="I82:I83"/>
    <mergeCell ref="I84:I85"/>
    <mergeCell ref="I86:I87"/>
    <mergeCell ref="I88:I89"/>
    <mergeCell ref="I90:I91"/>
    <mergeCell ref="J3:J4"/>
    <mergeCell ref="J5:J6"/>
    <mergeCell ref="J7:J8"/>
    <mergeCell ref="J9:J10"/>
    <mergeCell ref="J11:J12"/>
    <mergeCell ref="J13:J14"/>
    <mergeCell ref="J22:J23"/>
    <mergeCell ref="J24:J25"/>
    <mergeCell ref="J26:J27"/>
    <mergeCell ref="J28:J29"/>
    <mergeCell ref="J30:J31"/>
    <mergeCell ref="J32:J33"/>
    <mergeCell ref="J41:J42"/>
    <mergeCell ref="J43:J44"/>
    <mergeCell ref="J45:J46"/>
    <mergeCell ref="J47:J48"/>
    <mergeCell ref="J49:J50"/>
    <mergeCell ref="J51:J52"/>
    <mergeCell ref="J60:J61"/>
    <mergeCell ref="J62:J63"/>
    <mergeCell ref="J64:J65"/>
    <mergeCell ref="J66:J67"/>
    <mergeCell ref="J68:J69"/>
    <mergeCell ref="J70:J71"/>
    <mergeCell ref="J80:J81"/>
    <mergeCell ref="J82:J83"/>
    <mergeCell ref="J84:J85"/>
    <mergeCell ref="J86:J87"/>
    <mergeCell ref="J88:J89"/>
    <mergeCell ref="J90:J9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M77"/>
  <sheetViews>
    <sheetView workbookViewId="0">
      <selection activeCell="M74" sqref="M74"/>
    </sheetView>
  </sheetViews>
  <sheetFormatPr defaultColWidth="9" defaultRowHeight="15.5"/>
  <cols>
    <col min="1" max="1" width="3.75" style="18" customWidth="1"/>
    <col min="2" max="2" width="19.25" style="18" customWidth="1"/>
    <col min="3" max="3" width="28.5" style="18" hidden="1" customWidth="1"/>
    <col min="4" max="4" width="12.75" style="18" customWidth="1"/>
    <col min="5" max="5" width="12.25" style="18" customWidth="1"/>
    <col min="6" max="6" width="20" style="18" customWidth="1"/>
    <col min="7" max="7" width="11.5" style="18" customWidth="1"/>
    <col min="8" max="10" width="8.75" style="18" customWidth="1"/>
    <col min="11" max="16384" width="9" style="18"/>
  </cols>
  <sheetData>
    <row r="2" s="22" customFormat="1" ht="18.25" spans="2:10">
      <c r="B2" s="42" t="s">
        <v>156</v>
      </c>
      <c r="C2" s="43"/>
      <c r="D2" s="43"/>
      <c r="E2" s="43"/>
      <c r="F2" s="43"/>
      <c r="G2" s="43"/>
      <c r="H2" s="43"/>
      <c r="I2" s="43"/>
      <c r="J2" s="43"/>
    </row>
    <row r="3" ht="16.5" customHeight="1" spans="2:12">
      <c r="B3" s="44" t="s">
        <v>94</v>
      </c>
      <c r="C3" s="45"/>
      <c r="D3" s="46" t="s">
        <v>95</v>
      </c>
      <c r="E3" s="47" t="s">
        <v>96</v>
      </c>
      <c r="F3" s="47" t="s">
        <v>97</v>
      </c>
      <c r="G3" s="47" t="s">
        <v>157</v>
      </c>
      <c r="H3" s="48" t="s">
        <v>99</v>
      </c>
      <c r="I3" s="115"/>
      <c r="J3" s="116" t="s">
        <v>97</v>
      </c>
      <c r="K3" s="117"/>
      <c r="L3" s="113"/>
    </row>
    <row r="4" spans="2:12">
      <c r="B4" s="49"/>
      <c r="C4" s="50"/>
      <c r="D4" s="51"/>
      <c r="E4" s="52"/>
      <c r="F4" s="52"/>
      <c r="G4" s="52"/>
      <c r="H4" s="53" t="s">
        <v>100</v>
      </c>
      <c r="I4" s="53" t="s">
        <v>101</v>
      </c>
      <c r="J4" s="118"/>
      <c r="K4" s="117"/>
      <c r="L4" s="113"/>
    </row>
    <row r="5" spans="2:12">
      <c r="B5" s="54" t="s">
        <v>158</v>
      </c>
      <c r="C5" s="55" t="s">
        <v>159</v>
      </c>
      <c r="D5" s="56">
        <v>20</v>
      </c>
      <c r="E5" s="66">
        <f>VLOOKUP($C5,'Raw Data'!$A$92:$S$1716,7,0)</f>
        <v>0.567</v>
      </c>
      <c r="F5" s="108">
        <f>AVERAGE(E5:E6)</f>
        <v>0.579</v>
      </c>
      <c r="G5" s="59">
        <f>E5/E9*100</f>
        <v>16.1079545454545</v>
      </c>
      <c r="H5" s="60">
        <f>LN(G5)</f>
        <v>2.7793132211237</v>
      </c>
      <c r="I5" s="60">
        <f>LN(G6)</f>
        <v>2.82361488693428</v>
      </c>
      <c r="J5" s="119">
        <f>AVERAGE(H5:I6)</f>
        <v>2.80146405402899</v>
      </c>
      <c r="K5" s="117"/>
      <c r="L5" s="113"/>
    </row>
    <row r="6" spans="2:12">
      <c r="B6" s="54"/>
      <c r="C6" s="61" t="s">
        <v>160</v>
      </c>
      <c r="D6" s="62"/>
      <c r="E6" s="66">
        <f>VLOOKUP($C6,'Raw Data'!$A$92:$S$1716,7,0)</f>
        <v>0.591</v>
      </c>
      <c r="F6" s="63"/>
      <c r="G6" s="64">
        <f>E6/E10*100</f>
        <v>16.8376068376068</v>
      </c>
      <c r="H6" s="65"/>
      <c r="I6" s="65"/>
      <c r="J6" s="107"/>
      <c r="K6" s="117"/>
      <c r="L6" s="113"/>
    </row>
    <row r="7" spans="2:12">
      <c r="B7" s="54"/>
      <c r="C7" s="55" t="s">
        <v>161</v>
      </c>
      <c r="D7" s="62">
        <v>5</v>
      </c>
      <c r="E7" s="138">
        <f>VLOOKUP($C7,'Raw Data'!$A$92:$S$1716,7,0)</f>
        <v>2.2</v>
      </c>
      <c r="F7" s="139">
        <f>AVERAGE(E7:E8)</f>
        <v>2.32</v>
      </c>
      <c r="G7" s="64">
        <f>E7/E9*100</f>
        <v>62.5</v>
      </c>
      <c r="H7" s="68">
        <f>LN(G7)</f>
        <v>4.13516655674236</v>
      </c>
      <c r="I7" s="68">
        <f>LN(G8)</f>
        <v>4.24155218781543</v>
      </c>
      <c r="J7" s="120">
        <f>AVERAGE(H7:I8)</f>
        <v>4.18835937227889</v>
      </c>
      <c r="K7" s="117"/>
      <c r="L7" s="113"/>
    </row>
    <row r="8" spans="2:12">
      <c r="B8" s="54"/>
      <c r="C8" s="55" t="s">
        <v>162</v>
      </c>
      <c r="D8" s="62"/>
      <c r="E8" s="138">
        <f>VLOOKUP($C8,'Raw Data'!$A$92:$S$1716,7,0)</f>
        <v>2.44</v>
      </c>
      <c r="F8" s="63"/>
      <c r="G8" s="64">
        <f>E8/E10*100</f>
        <v>69.5156695156695</v>
      </c>
      <c r="H8" s="65"/>
      <c r="I8" s="65"/>
      <c r="J8" s="89"/>
      <c r="K8" s="117"/>
      <c r="L8" s="113"/>
    </row>
    <row r="9" spans="2:12">
      <c r="B9" s="54"/>
      <c r="C9" s="69" t="s">
        <v>163</v>
      </c>
      <c r="D9" s="62">
        <v>0</v>
      </c>
      <c r="E9" s="138">
        <f>VLOOKUP($C9,'Raw Data'!$A$92:$S$1716,7,0)</f>
        <v>3.52</v>
      </c>
      <c r="F9" s="140">
        <f>AVERAGE(E9:E10)</f>
        <v>3.515</v>
      </c>
      <c r="G9" s="71">
        <f>E9/E9*100</f>
        <v>100</v>
      </c>
      <c r="H9" s="68">
        <f>LN(G9)</f>
        <v>4.60517018598809</v>
      </c>
      <c r="I9" s="68">
        <f>LN(G10)</f>
        <v>4.60517018598809</v>
      </c>
      <c r="J9" s="119">
        <f>AVERAGE(H9:I10)</f>
        <v>4.60517018598809</v>
      </c>
      <c r="K9" s="117"/>
      <c r="L9" s="113"/>
    </row>
    <row r="10" ht="16.25" spans="2:12">
      <c r="B10" s="72"/>
      <c r="C10" s="73" t="s">
        <v>164</v>
      </c>
      <c r="D10" s="74"/>
      <c r="E10" s="138">
        <f>VLOOKUP($C10,'Raw Data'!$A$92:$S$1716,7,0)</f>
        <v>3.51</v>
      </c>
      <c r="F10" s="75"/>
      <c r="G10" s="75">
        <f>E10/E10*100</f>
        <v>100</v>
      </c>
      <c r="H10" s="76"/>
      <c r="I10" s="76"/>
      <c r="J10" s="99"/>
      <c r="K10" s="117"/>
      <c r="L10" s="113"/>
    </row>
    <row r="11" ht="16.25" spans="2:11">
      <c r="B11" s="77" t="s">
        <v>112</v>
      </c>
      <c r="C11" s="78"/>
      <c r="D11" s="79" t="str">
        <f>B5</f>
        <v>咪达唑仑
人肝微粒体</v>
      </c>
      <c r="E11" s="80"/>
      <c r="F11" s="81"/>
      <c r="G11" s="82"/>
      <c r="H11" s="83"/>
      <c r="I11" s="83"/>
      <c r="J11" s="83"/>
      <c r="K11" s="121"/>
    </row>
    <row r="12" ht="34.5" spans="2:11">
      <c r="B12" s="84"/>
      <c r="C12" s="85"/>
      <c r="D12" s="86" t="s">
        <v>113</v>
      </c>
      <c r="E12" s="87" t="s">
        <v>114</v>
      </c>
      <c r="F12" s="88" t="s">
        <v>115</v>
      </c>
      <c r="G12" s="89"/>
      <c r="H12" s="90"/>
      <c r="I12" s="90"/>
      <c r="J12" s="90"/>
      <c r="K12" s="121"/>
    </row>
    <row r="13" spans="2:11">
      <c r="B13" s="91" t="s">
        <v>100</v>
      </c>
      <c r="C13" s="90"/>
      <c r="D13" s="92">
        <f>-SLOPE(H5:H10,D5:D10)</f>
        <v>0.0910845499658405</v>
      </c>
      <c r="E13" s="136">
        <f>0.693/D13</f>
        <v>7.60831557338644</v>
      </c>
      <c r="F13" s="93">
        <f>D13/0.2*1000</f>
        <v>455.422749829203</v>
      </c>
      <c r="G13" s="89"/>
      <c r="H13" s="90"/>
      <c r="I13" s="90"/>
      <c r="J13" s="90"/>
      <c r="K13" s="121"/>
    </row>
    <row r="14" spans="2:11">
      <c r="B14" s="91" t="s">
        <v>101</v>
      </c>
      <c r="C14" s="90"/>
      <c r="D14" s="92">
        <f>-SLOPE(I5:I10,D5:D10)</f>
        <v>0.0903357776694721</v>
      </c>
      <c r="E14" s="136">
        <f>0.693/D14</f>
        <v>7.6713791354695</v>
      </c>
      <c r="F14" s="93">
        <f>D14/0.2*1000</f>
        <v>451.67888834736</v>
      </c>
      <c r="G14" s="89"/>
      <c r="H14" s="90"/>
      <c r="I14" s="90"/>
      <c r="J14" s="90"/>
      <c r="K14" s="121"/>
    </row>
    <row r="15" ht="16.25" spans="2:11">
      <c r="B15" s="94" t="s">
        <v>97</v>
      </c>
      <c r="C15" s="95"/>
      <c r="D15" s="96">
        <f>AVERAGE(D13:D14)</f>
        <v>0.0907101638176563</v>
      </c>
      <c r="E15" s="137">
        <f>AVERAGE(E13:E14)</f>
        <v>7.63984735442797</v>
      </c>
      <c r="F15" s="98">
        <f>AVERAGE(F13:F14)</f>
        <v>453.550819088281</v>
      </c>
      <c r="G15" s="99"/>
      <c r="H15" s="95"/>
      <c r="I15" s="95"/>
      <c r="J15" s="95"/>
      <c r="K15" s="122"/>
    </row>
    <row r="16" s="22" customFormat="1" spans="2:10">
      <c r="B16" s="100"/>
      <c r="C16" s="100"/>
      <c r="D16" s="90"/>
      <c r="E16" s="90"/>
      <c r="F16" s="90"/>
      <c r="G16" s="90"/>
      <c r="H16" s="90"/>
      <c r="I16" s="90"/>
      <c r="J16" s="83"/>
    </row>
    <row r="17" ht="16.9" customHeight="1" spans="2:11">
      <c r="B17" s="42" t="s">
        <v>165</v>
      </c>
      <c r="C17" s="101"/>
      <c r="D17" s="101"/>
      <c r="E17" s="101"/>
      <c r="F17" s="101"/>
      <c r="G17" s="101"/>
      <c r="H17" s="101"/>
      <c r="I17" s="101"/>
      <c r="J17" s="101"/>
      <c r="K17" s="22"/>
    </row>
    <row r="18" ht="15.75" customHeight="1" spans="2:11">
      <c r="B18" s="44" t="s">
        <v>94</v>
      </c>
      <c r="C18" s="102"/>
      <c r="D18" s="46" t="s">
        <v>95</v>
      </c>
      <c r="E18" s="47" t="s">
        <v>96</v>
      </c>
      <c r="F18" s="47" t="s">
        <v>97</v>
      </c>
      <c r="G18" s="47" t="s">
        <v>157</v>
      </c>
      <c r="H18" s="48" t="s">
        <v>99</v>
      </c>
      <c r="I18" s="115"/>
      <c r="J18" s="116" t="s">
        <v>97</v>
      </c>
      <c r="K18" s="123"/>
    </row>
    <row r="19" spans="2:11">
      <c r="B19" s="103"/>
      <c r="C19" s="104"/>
      <c r="D19" s="105"/>
      <c r="E19" s="52"/>
      <c r="F19" s="52"/>
      <c r="G19" s="52"/>
      <c r="H19" s="53" t="s">
        <v>100</v>
      </c>
      <c r="I19" s="53" t="s">
        <v>101</v>
      </c>
      <c r="J19" s="118"/>
      <c r="K19" s="123"/>
    </row>
    <row r="20" spans="2:12">
      <c r="B20" s="106" t="s">
        <v>166</v>
      </c>
      <c r="C20" s="55" t="s">
        <v>167</v>
      </c>
      <c r="D20" s="107">
        <v>20</v>
      </c>
      <c r="E20" s="66">
        <f>VLOOKUP($C20,'Raw Data'!$A$92:$S$1716,7,0)</f>
        <v>0.216</v>
      </c>
      <c r="F20" s="108">
        <f>AVERAGE(E20:E21)</f>
        <v>0.216</v>
      </c>
      <c r="G20" s="138">
        <f>E20/E24*100</f>
        <v>6.66666666666667</v>
      </c>
      <c r="H20" s="60">
        <f>LN(G20)</f>
        <v>1.89711998488588</v>
      </c>
      <c r="I20" s="60">
        <f>LN(G21)</f>
        <v>1.8909661193115</v>
      </c>
      <c r="J20" s="124">
        <f>AVERAGE(H20:I21)</f>
        <v>1.89404305209869</v>
      </c>
      <c r="K20" s="113"/>
      <c r="L20" s="113"/>
    </row>
    <row r="21" spans="2:12">
      <c r="B21" s="109"/>
      <c r="C21" s="61" t="s">
        <v>168</v>
      </c>
      <c r="D21" s="110"/>
      <c r="E21" s="66">
        <f>VLOOKUP($C21,'Raw Data'!$A$92:$S$1716,7,0)</f>
        <v>0.216</v>
      </c>
      <c r="F21" s="63"/>
      <c r="G21" s="140">
        <f>E21/E25*100</f>
        <v>6.62576687116564</v>
      </c>
      <c r="H21" s="65"/>
      <c r="I21" s="65"/>
      <c r="J21" s="125"/>
      <c r="K21" s="113"/>
      <c r="L21" s="113"/>
    </row>
    <row r="22" spans="2:12">
      <c r="B22" s="109"/>
      <c r="C22" s="55" t="s">
        <v>169</v>
      </c>
      <c r="D22" s="110">
        <v>5</v>
      </c>
      <c r="E22" s="138">
        <f>VLOOKUP($C22,'Raw Data'!$A$92:$S$1716,7,0)</f>
        <v>1.8</v>
      </c>
      <c r="F22" s="139">
        <f>AVERAGE(E22:E23)</f>
        <v>1.795</v>
      </c>
      <c r="G22" s="64">
        <f>E22/E24*100</f>
        <v>55.5555555555556</v>
      </c>
      <c r="H22" s="68">
        <f>LN(G22)</f>
        <v>4.01738352108597</v>
      </c>
      <c r="I22" s="68">
        <f>LN(G23)</f>
        <v>4.00565861046214</v>
      </c>
      <c r="J22" s="126">
        <f>AVERAGE(H22:I23)</f>
        <v>4.01152106577406</v>
      </c>
      <c r="K22" s="113"/>
      <c r="L22" s="113"/>
    </row>
    <row r="23" spans="2:12">
      <c r="B23" s="109"/>
      <c r="C23" s="55" t="s">
        <v>170</v>
      </c>
      <c r="D23" s="110"/>
      <c r="E23" s="138">
        <f>VLOOKUP($C23,'Raw Data'!$A$92:$S$1716,7,0)</f>
        <v>1.79</v>
      </c>
      <c r="F23" s="63"/>
      <c r="G23" s="64">
        <f>E23/E25*100</f>
        <v>54.9079754601227</v>
      </c>
      <c r="H23" s="65"/>
      <c r="I23" s="65"/>
      <c r="J23" s="127"/>
      <c r="K23" s="113"/>
      <c r="L23" s="113"/>
    </row>
    <row r="24" spans="2:12">
      <c r="B24" s="109"/>
      <c r="C24" s="69" t="s">
        <v>171</v>
      </c>
      <c r="D24" s="110">
        <v>0</v>
      </c>
      <c r="E24" s="138">
        <f>VLOOKUP($C24,'Raw Data'!$A$92:$S$1716,7,0)</f>
        <v>3.24</v>
      </c>
      <c r="F24" s="140">
        <f>AVERAGE(E24:E25)</f>
        <v>3.25</v>
      </c>
      <c r="G24" s="71">
        <f>E24/E24*100</f>
        <v>100</v>
      </c>
      <c r="H24" s="68">
        <f>LN(G24)</f>
        <v>4.60517018598809</v>
      </c>
      <c r="I24" s="68">
        <f>LN(G25)</f>
        <v>4.60517018598809</v>
      </c>
      <c r="J24" s="124">
        <f>AVERAGE(H24:I25)</f>
        <v>4.60517018598809</v>
      </c>
      <c r="K24" s="113"/>
      <c r="L24" s="113"/>
    </row>
    <row r="25" ht="16.25" spans="2:12">
      <c r="B25" s="111"/>
      <c r="C25" s="73" t="s">
        <v>172</v>
      </c>
      <c r="D25" s="112"/>
      <c r="E25" s="138">
        <f>VLOOKUP($C25,'Raw Data'!$A$92:$S$1716,7,0)</f>
        <v>3.26</v>
      </c>
      <c r="F25" s="75"/>
      <c r="G25" s="75">
        <f>E25/E25*100</f>
        <v>100</v>
      </c>
      <c r="H25" s="76"/>
      <c r="I25" s="76"/>
      <c r="J25" s="128"/>
      <c r="K25" s="113"/>
      <c r="L25" s="113"/>
    </row>
    <row r="26" ht="16.25" spans="2:10">
      <c r="B26" s="77" t="s">
        <v>112</v>
      </c>
      <c r="C26" s="78"/>
      <c r="D26" s="79" t="str">
        <f>B20</f>
        <v>咪达唑仑
猴肝微粒体</v>
      </c>
      <c r="E26" s="80"/>
      <c r="F26" s="81"/>
      <c r="G26" s="82"/>
      <c r="H26" s="83"/>
      <c r="I26" s="83"/>
      <c r="J26" s="129"/>
    </row>
    <row r="27" ht="34.5" spans="2:10">
      <c r="B27" s="84"/>
      <c r="C27" s="85"/>
      <c r="D27" s="86" t="s">
        <v>113</v>
      </c>
      <c r="E27" s="87" t="s">
        <v>114</v>
      </c>
      <c r="F27" s="88" t="s">
        <v>173</v>
      </c>
      <c r="G27" s="89"/>
      <c r="H27" s="90"/>
      <c r="I27" s="90"/>
      <c r="J27" s="130"/>
    </row>
    <row r="28" spans="2:10">
      <c r="B28" s="91" t="s">
        <v>100</v>
      </c>
      <c r="C28" s="90"/>
      <c r="D28" s="141">
        <f>-SLOPE(H20:H25,D20:D25)</f>
        <v>0.136775215983933</v>
      </c>
      <c r="E28" s="136">
        <f>0.693/D28</f>
        <v>5.06670740758625</v>
      </c>
      <c r="F28" s="93">
        <f>D28/0.2*1000</f>
        <v>683.876079919663</v>
      </c>
      <c r="G28" s="89"/>
      <c r="H28" s="90"/>
      <c r="I28" s="90"/>
      <c r="J28" s="130"/>
    </row>
    <row r="29" spans="2:10">
      <c r="B29" s="91" t="s">
        <v>101</v>
      </c>
      <c r="C29" s="90"/>
      <c r="D29" s="141">
        <f>-SLOPE(I20:I25,D20:D25)</f>
        <v>0.136926194736032</v>
      </c>
      <c r="E29" s="136">
        <f>0.693/D29</f>
        <v>5.06112071058406</v>
      </c>
      <c r="F29" s="93">
        <f>D29/0.2*1000</f>
        <v>684.630973680162</v>
      </c>
      <c r="G29" s="89"/>
      <c r="H29" s="90"/>
      <c r="I29" s="90"/>
      <c r="J29" s="130"/>
    </row>
    <row r="30" ht="16.25" spans="2:10">
      <c r="B30" s="94" t="s">
        <v>97</v>
      </c>
      <c r="C30" s="95"/>
      <c r="D30" s="142">
        <f>AVERAGE(D28:D29)</f>
        <v>0.136850705359983</v>
      </c>
      <c r="E30" s="137">
        <f>AVERAGE(E28:E29)</f>
        <v>5.06391405908515</v>
      </c>
      <c r="F30" s="98">
        <f>AVERAGE(F28:F29)</f>
        <v>684.253526799912</v>
      </c>
      <c r="G30" s="99"/>
      <c r="H30" s="95"/>
      <c r="I30" s="95"/>
      <c r="J30" s="131"/>
    </row>
    <row r="31" spans="2:10">
      <c r="B31" s="113"/>
      <c r="C31" s="113"/>
      <c r="D31" s="113"/>
      <c r="E31" s="113"/>
      <c r="F31" s="113"/>
      <c r="G31" s="113"/>
      <c r="H31" s="113"/>
      <c r="I31" s="113"/>
      <c r="J31" s="113"/>
    </row>
    <row r="32" ht="18.25" spans="2:10">
      <c r="B32" s="42" t="s">
        <v>174</v>
      </c>
      <c r="C32" s="101"/>
      <c r="D32" s="101"/>
      <c r="E32" s="101"/>
      <c r="F32" s="101"/>
      <c r="G32" s="101"/>
      <c r="H32" s="101"/>
      <c r="I32" s="101"/>
      <c r="J32" s="101"/>
    </row>
    <row r="33" spans="2:12">
      <c r="B33" s="44" t="s">
        <v>94</v>
      </c>
      <c r="C33" s="102"/>
      <c r="D33" s="46" t="s">
        <v>95</v>
      </c>
      <c r="E33" s="47" t="s">
        <v>96</v>
      </c>
      <c r="F33" s="47" t="s">
        <v>97</v>
      </c>
      <c r="G33" s="47" t="s">
        <v>157</v>
      </c>
      <c r="H33" s="48" t="s">
        <v>99</v>
      </c>
      <c r="I33" s="115"/>
      <c r="J33" s="132" t="s">
        <v>97</v>
      </c>
      <c r="K33" s="113"/>
      <c r="L33" s="113"/>
    </row>
    <row r="34" spans="2:12">
      <c r="B34" s="103"/>
      <c r="C34" s="104"/>
      <c r="D34" s="105"/>
      <c r="E34" s="52"/>
      <c r="F34" s="52"/>
      <c r="G34" s="52"/>
      <c r="H34" s="53" t="s">
        <v>100</v>
      </c>
      <c r="I34" s="53" t="s">
        <v>101</v>
      </c>
      <c r="J34" s="133"/>
      <c r="K34" s="113"/>
      <c r="L34" s="113"/>
    </row>
    <row r="35" spans="2:12">
      <c r="B35" s="106" t="s">
        <v>175</v>
      </c>
      <c r="C35" s="55" t="s">
        <v>176</v>
      </c>
      <c r="D35" s="107">
        <v>20</v>
      </c>
      <c r="E35" s="66">
        <f>VLOOKUP($C35,'Raw Data'!$A$92:$S$1716,7,0)</f>
        <v>0.169</v>
      </c>
      <c r="F35" s="108">
        <f>AVERAGE(E35:E36)</f>
        <v>0.174</v>
      </c>
      <c r="G35" s="138">
        <f>E35/E39*100</f>
        <v>5.41666666666667</v>
      </c>
      <c r="H35" s="68">
        <f>LN(G35)</f>
        <v>1.68948062010764</v>
      </c>
      <c r="I35" s="68">
        <f>LN(G36)</f>
        <v>1.71231857561214</v>
      </c>
      <c r="J35" s="124">
        <f>AVERAGE(H35:I36)</f>
        <v>1.70089959785989</v>
      </c>
      <c r="K35" s="113"/>
      <c r="L35" s="113"/>
    </row>
    <row r="36" spans="2:12">
      <c r="B36" s="109"/>
      <c r="C36" s="61" t="s">
        <v>177</v>
      </c>
      <c r="D36" s="110"/>
      <c r="E36" s="66">
        <f>VLOOKUP($C36,'Raw Data'!$A$92:$S$1716,7,0)</f>
        <v>0.179</v>
      </c>
      <c r="F36" s="63"/>
      <c r="G36" s="140">
        <f>E36/E40*100</f>
        <v>5.54179566563467</v>
      </c>
      <c r="H36" s="114"/>
      <c r="I36" s="114"/>
      <c r="J36" s="125"/>
      <c r="K36" s="113"/>
      <c r="L36" s="113"/>
    </row>
    <row r="37" spans="2:12">
      <c r="B37" s="109"/>
      <c r="C37" s="55" t="s">
        <v>178</v>
      </c>
      <c r="D37" s="110">
        <v>5</v>
      </c>
      <c r="E37" s="138">
        <f>VLOOKUP($C37,'Raw Data'!$A$92:$S$1716,7,0)</f>
        <v>1.8</v>
      </c>
      <c r="F37" s="139">
        <f>AVERAGE(E37:E38)</f>
        <v>1.82</v>
      </c>
      <c r="G37" s="64">
        <f>E37/E39*100</f>
        <v>57.6923076923077</v>
      </c>
      <c r="H37" s="68">
        <f>LN(G37)</f>
        <v>4.05512384906882</v>
      </c>
      <c r="I37" s="68">
        <f>LN(G38)</f>
        <v>4.04245362037442</v>
      </c>
      <c r="J37" s="126">
        <f>AVERAGE(H37:I38)</f>
        <v>4.04878873472162</v>
      </c>
      <c r="K37" s="113"/>
      <c r="L37" s="113"/>
    </row>
    <row r="38" spans="2:12">
      <c r="B38" s="109"/>
      <c r="C38" s="55" t="s">
        <v>179</v>
      </c>
      <c r="D38" s="110"/>
      <c r="E38" s="138">
        <f>VLOOKUP($C38,'Raw Data'!$A$92:$S$1716,7,0)</f>
        <v>1.84</v>
      </c>
      <c r="F38" s="63"/>
      <c r="G38" s="64">
        <f>E38/E40*100</f>
        <v>56.9659442724458</v>
      </c>
      <c r="H38" s="65"/>
      <c r="I38" s="65"/>
      <c r="J38" s="127"/>
      <c r="K38" s="113"/>
      <c r="L38" s="113"/>
    </row>
    <row r="39" spans="2:12">
      <c r="B39" s="109"/>
      <c r="C39" s="69" t="s">
        <v>180</v>
      </c>
      <c r="D39" s="110">
        <v>0</v>
      </c>
      <c r="E39" s="138">
        <f>VLOOKUP($C39,'Raw Data'!$A$92:$S$1716,7,0)</f>
        <v>3.12</v>
      </c>
      <c r="F39" s="140">
        <f>AVERAGE(E39:E40)</f>
        <v>3.175</v>
      </c>
      <c r="G39" s="71">
        <f>E39/E39*100</f>
        <v>100</v>
      </c>
      <c r="H39" s="68">
        <f>LN(G39)</f>
        <v>4.60517018598809</v>
      </c>
      <c r="I39" s="68">
        <f>LN(G40)</f>
        <v>4.60517018598809</v>
      </c>
      <c r="J39" s="124">
        <f>AVERAGE(H39:I40)</f>
        <v>4.60517018598809</v>
      </c>
      <c r="K39" s="113"/>
      <c r="L39" s="113"/>
    </row>
    <row r="40" ht="16.25" spans="2:12">
      <c r="B40" s="111"/>
      <c r="C40" s="73" t="s">
        <v>181</v>
      </c>
      <c r="D40" s="112"/>
      <c r="E40" s="138">
        <f>VLOOKUP($C40,'Raw Data'!$A$92:$S$1716,7,0)</f>
        <v>3.23</v>
      </c>
      <c r="F40" s="75"/>
      <c r="G40" s="75">
        <f>E40/E40*100</f>
        <v>100</v>
      </c>
      <c r="H40" s="76"/>
      <c r="I40" s="76"/>
      <c r="J40" s="128"/>
      <c r="K40" s="113"/>
      <c r="L40" s="113"/>
    </row>
    <row r="41" ht="16.25" spans="2:10">
      <c r="B41" s="77" t="s">
        <v>112</v>
      </c>
      <c r="C41" s="78"/>
      <c r="D41" s="79" t="str">
        <f>B35</f>
        <v>咪达唑仑
犬肝微粒体</v>
      </c>
      <c r="E41" s="80"/>
      <c r="F41" s="81"/>
      <c r="G41" s="82"/>
      <c r="H41" s="83"/>
      <c r="I41" s="83"/>
      <c r="J41" s="129"/>
    </row>
    <row r="42" ht="34.5" spans="2:10">
      <c r="B42" s="84"/>
      <c r="C42" s="85"/>
      <c r="D42" s="86" t="s">
        <v>113</v>
      </c>
      <c r="E42" s="87" t="s">
        <v>114</v>
      </c>
      <c r="F42" s="88" t="s">
        <v>173</v>
      </c>
      <c r="G42" s="89"/>
      <c r="H42" s="90"/>
      <c r="I42" s="90"/>
      <c r="J42" s="130"/>
    </row>
    <row r="43" spans="2:10">
      <c r="B43" s="91" t="s">
        <v>100</v>
      </c>
      <c r="C43" s="90"/>
      <c r="D43" s="141">
        <f>-SLOPE(H35:H40,D35:D40)</f>
        <v>0.148536417594805</v>
      </c>
      <c r="E43" s="136">
        <f>0.693/D43</f>
        <v>4.66552251105481</v>
      </c>
      <c r="F43" s="93">
        <f>D43/0.2*1000</f>
        <v>742.682087974025</v>
      </c>
      <c r="G43" s="89"/>
      <c r="H43" s="90"/>
      <c r="I43" s="90"/>
      <c r="J43" s="130"/>
    </row>
    <row r="44" spans="2:10">
      <c r="B44" s="91" t="s">
        <v>101</v>
      </c>
      <c r="C44" s="90"/>
      <c r="D44" s="141">
        <f>-SLOPE(I35:I40,D35:D40)</f>
        <v>0.147111754933879</v>
      </c>
      <c r="E44" s="136">
        <f>0.693/D44</f>
        <v>4.71070445941914</v>
      </c>
      <c r="F44" s="93">
        <f>D44/0.2*1000</f>
        <v>735.558774669396</v>
      </c>
      <c r="G44" s="89"/>
      <c r="H44" s="90"/>
      <c r="I44" s="90"/>
      <c r="J44" s="130"/>
    </row>
    <row r="45" ht="16.25" spans="2:10">
      <c r="B45" s="94" t="s">
        <v>97</v>
      </c>
      <c r="C45" s="95"/>
      <c r="D45" s="142">
        <f>AVERAGE(D43:D44)</f>
        <v>0.147824086264342</v>
      </c>
      <c r="E45" s="137">
        <f>AVERAGE(E43:E44)</f>
        <v>4.68811348523697</v>
      </c>
      <c r="F45" s="98">
        <f>AVERAGE(F43:F44)</f>
        <v>739.12043132171</v>
      </c>
      <c r="G45" s="99"/>
      <c r="H45" s="95"/>
      <c r="I45" s="95"/>
      <c r="J45" s="131"/>
    </row>
    <row r="46" spans="2:10">
      <c r="B46" s="113"/>
      <c r="C46" s="113"/>
      <c r="D46" s="113"/>
      <c r="E46" s="113"/>
      <c r="F46" s="113"/>
      <c r="G46" s="113"/>
      <c r="H46" s="113"/>
      <c r="I46" s="113"/>
      <c r="J46" s="113"/>
    </row>
    <row r="47" ht="18.25" spans="2:10">
      <c r="B47" s="42" t="s">
        <v>182</v>
      </c>
      <c r="C47" s="101"/>
      <c r="D47" s="101"/>
      <c r="E47" s="101"/>
      <c r="F47" s="101"/>
      <c r="G47" s="101"/>
      <c r="H47" s="101"/>
      <c r="I47" s="101"/>
      <c r="J47" s="101"/>
    </row>
    <row r="48" spans="2:13">
      <c r="B48" s="44" t="s">
        <v>94</v>
      </c>
      <c r="C48" s="102"/>
      <c r="D48" s="46" t="s">
        <v>95</v>
      </c>
      <c r="E48" s="47" t="s">
        <v>96</v>
      </c>
      <c r="F48" s="47" t="s">
        <v>97</v>
      </c>
      <c r="G48" s="47" t="s">
        <v>157</v>
      </c>
      <c r="H48" s="48" t="s">
        <v>99</v>
      </c>
      <c r="I48" s="115"/>
      <c r="J48" s="132" t="s">
        <v>97</v>
      </c>
      <c r="K48" s="113"/>
      <c r="L48" s="113"/>
      <c r="M48" s="113"/>
    </row>
    <row r="49" spans="2:13">
      <c r="B49" s="103"/>
      <c r="C49" s="104"/>
      <c r="D49" s="105"/>
      <c r="E49" s="52"/>
      <c r="F49" s="52"/>
      <c r="G49" s="52"/>
      <c r="H49" s="53" t="s">
        <v>100</v>
      </c>
      <c r="I49" s="53" t="s">
        <v>101</v>
      </c>
      <c r="J49" s="133"/>
      <c r="K49" s="113"/>
      <c r="L49" s="113"/>
      <c r="M49" s="113"/>
    </row>
    <row r="50" spans="2:13">
      <c r="B50" s="106" t="s">
        <v>183</v>
      </c>
      <c r="C50" s="55" t="s">
        <v>184</v>
      </c>
      <c r="D50" s="107">
        <v>20</v>
      </c>
      <c r="E50" s="66">
        <f>VLOOKUP($C50,'Raw Data'!$A$92:$S$1716,7,0)</f>
        <v>0.473</v>
      </c>
      <c r="F50" s="108">
        <f>AVERAGE(E50:E51)</f>
        <v>0.496</v>
      </c>
      <c r="G50" s="59">
        <f>E50/E54*100</f>
        <v>14.077380952381</v>
      </c>
      <c r="H50" s="68">
        <f>LN(G50)</f>
        <v>2.64456932152277</v>
      </c>
      <c r="I50" s="68">
        <f>LN(G51)</f>
        <v>2.74935400724345</v>
      </c>
      <c r="J50" s="124">
        <f>AVERAGE(H50:I51)</f>
        <v>2.69696166438311</v>
      </c>
      <c r="K50" s="113"/>
      <c r="L50" s="113"/>
      <c r="M50" s="113"/>
    </row>
    <row r="51" spans="2:13">
      <c r="B51" s="109"/>
      <c r="C51" s="61" t="s">
        <v>185</v>
      </c>
      <c r="D51" s="110"/>
      <c r="E51" s="66">
        <f>VLOOKUP($C51,'Raw Data'!$A$92:$S$1716,7,0)</f>
        <v>0.519</v>
      </c>
      <c r="F51" s="63"/>
      <c r="G51" s="64">
        <f>E51/E55*100</f>
        <v>15.6325301204819</v>
      </c>
      <c r="H51" s="114"/>
      <c r="I51" s="114"/>
      <c r="J51" s="125"/>
      <c r="K51" s="113"/>
      <c r="L51" s="113"/>
      <c r="M51" s="113"/>
    </row>
    <row r="52" spans="2:13">
      <c r="B52" s="109"/>
      <c r="C52" s="55" t="s">
        <v>186</v>
      </c>
      <c r="D52" s="110">
        <v>5</v>
      </c>
      <c r="E52" s="138">
        <f>VLOOKUP($C52,'Raw Data'!$A$92:$S$1716,7,0)</f>
        <v>2.03</v>
      </c>
      <c r="F52" s="139">
        <f>AVERAGE(E52:E53)</f>
        <v>2.075</v>
      </c>
      <c r="G52" s="64">
        <f>E52/E54*100</f>
        <v>60.4166666666667</v>
      </c>
      <c r="H52" s="68">
        <f>LN(G52)</f>
        <v>4.10126500506667</v>
      </c>
      <c r="I52" s="68">
        <f>LN(G53)</f>
        <v>4.15662149174362</v>
      </c>
      <c r="J52" s="126">
        <f>AVERAGE(H52:I53)</f>
        <v>4.12894324840514</v>
      </c>
      <c r="K52" s="113"/>
      <c r="L52" s="113"/>
      <c r="M52" s="113"/>
    </row>
    <row r="53" spans="2:13">
      <c r="B53" s="109"/>
      <c r="C53" s="55" t="s">
        <v>187</v>
      </c>
      <c r="D53" s="110"/>
      <c r="E53" s="138">
        <f>VLOOKUP($C53,'Raw Data'!$A$92:$S$1716,7,0)</f>
        <v>2.12</v>
      </c>
      <c r="F53" s="63"/>
      <c r="G53" s="64">
        <f>E53/E55*100</f>
        <v>63.855421686747</v>
      </c>
      <c r="H53" s="65"/>
      <c r="I53" s="65"/>
      <c r="J53" s="127"/>
      <c r="K53" s="113"/>
      <c r="L53" s="113"/>
      <c r="M53" s="113"/>
    </row>
    <row r="54" spans="2:13">
      <c r="B54" s="109"/>
      <c r="C54" s="69" t="s">
        <v>188</v>
      </c>
      <c r="D54" s="110">
        <v>0</v>
      </c>
      <c r="E54" s="138">
        <f>VLOOKUP($C54,'Raw Data'!$A$92:$S$1716,7,0)</f>
        <v>3.36</v>
      </c>
      <c r="F54" s="140">
        <f>AVERAGE(E54:E55)</f>
        <v>3.34</v>
      </c>
      <c r="G54" s="71">
        <f>E54/E54*100</f>
        <v>100</v>
      </c>
      <c r="H54" s="68">
        <f>LN(G54)</f>
        <v>4.60517018598809</v>
      </c>
      <c r="I54" s="68">
        <f>LN(G55)</f>
        <v>4.60517018598809</v>
      </c>
      <c r="J54" s="124">
        <f>AVERAGE(H54:I55)</f>
        <v>4.60517018598809</v>
      </c>
      <c r="K54" s="113"/>
      <c r="L54" s="113"/>
      <c r="M54" s="113"/>
    </row>
    <row r="55" ht="16.25" spans="2:13">
      <c r="B55" s="111"/>
      <c r="C55" s="73" t="s">
        <v>189</v>
      </c>
      <c r="D55" s="112"/>
      <c r="E55" s="138">
        <f>VLOOKUP($C55,'Raw Data'!$A$92:$S$1716,7,0)</f>
        <v>3.32</v>
      </c>
      <c r="F55" s="75"/>
      <c r="G55" s="75">
        <f>E55/E55*100</f>
        <v>100</v>
      </c>
      <c r="H55" s="76"/>
      <c r="I55" s="76"/>
      <c r="J55" s="128"/>
      <c r="K55" s="113"/>
      <c r="L55" s="113"/>
      <c r="M55" s="113"/>
    </row>
    <row r="56" ht="16.25" spans="2:10">
      <c r="B56" s="77" t="s">
        <v>112</v>
      </c>
      <c r="C56" s="78"/>
      <c r="D56" s="79" t="str">
        <f>B50</f>
        <v>咪达唑仑
大鼠肝微粒体</v>
      </c>
      <c r="E56" s="80"/>
      <c r="F56" s="81"/>
      <c r="G56" s="82"/>
      <c r="H56" s="83"/>
      <c r="I56" s="83"/>
      <c r="J56" s="129"/>
    </row>
    <row r="57" ht="34.5" spans="2:10">
      <c r="B57" s="84"/>
      <c r="C57" s="85"/>
      <c r="D57" s="86" t="s">
        <v>113</v>
      </c>
      <c r="E57" s="87" t="s">
        <v>114</v>
      </c>
      <c r="F57" s="88" t="s">
        <v>115</v>
      </c>
      <c r="G57" s="89"/>
      <c r="H57" s="90"/>
      <c r="I57" s="90"/>
      <c r="J57" s="130"/>
    </row>
    <row r="58" spans="2:10">
      <c r="B58" s="91" t="s">
        <v>100</v>
      </c>
      <c r="C58" s="90"/>
      <c r="D58" s="92">
        <f>-SLOPE(H50:H55,D50:D55)</f>
        <v>0.0978184283801107</v>
      </c>
      <c r="E58" s="136">
        <f>0.693/D58</f>
        <v>7.08455463327508</v>
      </c>
      <c r="F58" s="93">
        <f>D58/0.2*1000</f>
        <v>489.092141900553</v>
      </c>
      <c r="G58" s="89"/>
      <c r="H58" s="90"/>
      <c r="I58" s="90"/>
      <c r="J58" s="130"/>
    </row>
    <row r="59" spans="2:10">
      <c r="B59" s="91" t="s">
        <v>101</v>
      </c>
      <c r="C59" s="90"/>
      <c r="D59" s="92">
        <f>-SLOPE(I50:I55,D50:D55)</f>
        <v>0.0930278143286428</v>
      </c>
      <c r="E59" s="136">
        <f>0.693/D59</f>
        <v>7.44938495009474</v>
      </c>
      <c r="F59" s="93">
        <f>D59/0.2*1000</f>
        <v>465.139071643214</v>
      </c>
      <c r="G59" s="89"/>
      <c r="H59" s="90"/>
      <c r="I59" s="90"/>
      <c r="J59" s="130"/>
    </row>
    <row r="60" ht="16.25" spans="2:10">
      <c r="B60" s="94" t="s">
        <v>97</v>
      </c>
      <c r="C60" s="95"/>
      <c r="D60" s="96">
        <f>AVERAGE(D58:D59)</f>
        <v>0.0954231213543768</v>
      </c>
      <c r="E60" s="137">
        <f>AVERAGE(E58:E59)</f>
        <v>7.26696979168491</v>
      </c>
      <c r="F60" s="98">
        <f>AVERAGE(F58:F59)</f>
        <v>477.115606771884</v>
      </c>
      <c r="G60" s="99"/>
      <c r="H60" s="95"/>
      <c r="I60" s="95"/>
      <c r="J60" s="131"/>
    </row>
    <row r="61" spans="2:10">
      <c r="B61" s="113"/>
      <c r="C61" s="113"/>
      <c r="D61" s="113"/>
      <c r="E61" s="113"/>
      <c r="F61" s="113"/>
      <c r="G61" s="113"/>
      <c r="H61" s="113"/>
      <c r="I61" s="113"/>
      <c r="J61" s="113"/>
    </row>
    <row r="62" ht="18.25" spans="2:10">
      <c r="B62" s="42" t="s">
        <v>190</v>
      </c>
      <c r="C62" s="101"/>
      <c r="D62" s="101"/>
      <c r="E62" s="101"/>
      <c r="F62" s="101"/>
      <c r="G62" s="101"/>
      <c r="H62" s="101"/>
      <c r="I62" s="101"/>
      <c r="J62" s="101"/>
    </row>
    <row r="63" spans="2:12">
      <c r="B63" s="44" t="s">
        <v>94</v>
      </c>
      <c r="C63" s="45"/>
      <c r="D63" s="46" t="s">
        <v>95</v>
      </c>
      <c r="E63" s="47" t="s">
        <v>96</v>
      </c>
      <c r="F63" s="47" t="s">
        <v>97</v>
      </c>
      <c r="G63" s="47" t="s">
        <v>157</v>
      </c>
      <c r="H63" s="48" t="s">
        <v>99</v>
      </c>
      <c r="I63" s="115"/>
      <c r="J63" s="132" t="s">
        <v>97</v>
      </c>
      <c r="K63" s="113"/>
      <c r="L63" s="113"/>
    </row>
    <row r="64" spans="2:12">
      <c r="B64" s="49"/>
      <c r="C64" s="50"/>
      <c r="D64" s="51"/>
      <c r="E64" s="52"/>
      <c r="F64" s="52"/>
      <c r="G64" s="52"/>
      <c r="H64" s="53" t="s">
        <v>100</v>
      </c>
      <c r="I64" s="53" t="s">
        <v>101</v>
      </c>
      <c r="J64" s="133"/>
      <c r="K64" s="113"/>
      <c r="L64" s="113"/>
    </row>
    <row r="65" spans="2:13">
      <c r="B65" s="106" t="s">
        <v>191</v>
      </c>
      <c r="C65" s="55" t="s">
        <v>192</v>
      </c>
      <c r="D65" s="56">
        <v>20</v>
      </c>
      <c r="E65" s="143">
        <f>VLOOKUP($C65,'Raw Data'!$A$92:$S$1716,7,0)</f>
        <v>0.00741</v>
      </c>
      <c r="F65" s="144">
        <f>AVERAGE(E65:E66)</f>
        <v>0.006645</v>
      </c>
      <c r="G65" s="66">
        <f>E65/E69*100</f>
        <v>0.25551724137931</v>
      </c>
      <c r="H65" s="68">
        <f>LN(G65)</f>
        <v>-1.36446539067848</v>
      </c>
      <c r="I65" s="68">
        <f>LN(G66)</f>
        <v>-1.62630171848611</v>
      </c>
      <c r="J65" s="126">
        <f>AVERAGE(H65:I66)</f>
        <v>-1.49538355458229</v>
      </c>
      <c r="K65" s="113"/>
      <c r="L65" s="113"/>
      <c r="M65" s="113"/>
    </row>
    <row r="66" spans="2:13">
      <c r="B66" s="54"/>
      <c r="C66" s="61" t="s">
        <v>193</v>
      </c>
      <c r="D66" s="62"/>
      <c r="E66" s="143">
        <f>VLOOKUP($C66,'Raw Data'!$A$92:$S$1716,7,0)</f>
        <v>0.00588</v>
      </c>
      <c r="F66" s="63"/>
      <c r="G66" s="70">
        <f>E66/E70*100</f>
        <v>0.196655518394649</v>
      </c>
      <c r="H66" s="65"/>
      <c r="I66" s="65"/>
      <c r="J66" s="127"/>
      <c r="K66" s="113"/>
      <c r="L66" s="113"/>
      <c r="M66" s="113"/>
    </row>
    <row r="67" spans="2:13">
      <c r="B67" s="54"/>
      <c r="C67" s="55" t="s">
        <v>194</v>
      </c>
      <c r="D67" s="62">
        <v>5</v>
      </c>
      <c r="E67" s="66">
        <f>VLOOKUP($C67,'Raw Data'!$A$92:$S$1716,7,0)</f>
        <v>0.672</v>
      </c>
      <c r="F67" s="67">
        <f>AVERAGE(E67:E68)</f>
        <v>0.673</v>
      </c>
      <c r="G67" s="64">
        <f>E67/E69*100</f>
        <v>23.1724137931034</v>
      </c>
      <c r="H67" s="68">
        <f>LN(G67)</f>
        <v>3.14296251053668</v>
      </c>
      <c r="I67" s="68">
        <f>LN(G68)</f>
        <v>3.11537163051567</v>
      </c>
      <c r="J67" s="126">
        <f>AVERAGE(H67:I68)</f>
        <v>3.12916707052617</v>
      </c>
      <c r="K67" s="113"/>
      <c r="L67" s="113"/>
      <c r="M67" s="113"/>
    </row>
    <row r="68" spans="2:13">
      <c r="B68" s="54"/>
      <c r="C68" s="55" t="s">
        <v>195</v>
      </c>
      <c r="D68" s="62"/>
      <c r="E68" s="66">
        <f>VLOOKUP($C68,'Raw Data'!$A$92:$S$1716,7,0)</f>
        <v>0.674</v>
      </c>
      <c r="F68" s="63"/>
      <c r="G68" s="64">
        <f>E68/E70*100</f>
        <v>22.5418060200669</v>
      </c>
      <c r="H68" s="65"/>
      <c r="I68" s="65"/>
      <c r="J68" s="127"/>
      <c r="K68" s="113"/>
      <c r="L68" s="113"/>
      <c r="M68" s="113"/>
    </row>
    <row r="69" spans="2:13">
      <c r="B69" s="54"/>
      <c r="C69" s="69" t="s">
        <v>196</v>
      </c>
      <c r="D69" s="62">
        <v>0</v>
      </c>
      <c r="E69" s="138">
        <f>VLOOKUP($C69,'Raw Data'!$A$92:$S$1716,7,0)</f>
        <v>2.9</v>
      </c>
      <c r="F69" s="140">
        <f>AVERAGE(E69:E70)</f>
        <v>2.945</v>
      </c>
      <c r="G69" s="71">
        <f>E69/E69*100</f>
        <v>100</v>
      </c>
      <c r="H69" s="68">
        <f>LN(G69)</f>
        <v>4.60517018598809</v>
      </c>
      <c r="I69" s="68">
        <f>LN(G70)</f>
        <v>4.60517018598809</v>
      </c>
      <c r="J69" s="124">
        <f>AVERAGE(H69:I70)</f>
        <v>4.60517018598809</v>
      </c>
      <c r="K69" s="113"/>
      <c r="L69" s="113"/>
      <c r="M69" s="113"/>
    </row>
    <row r="70" ht="16.25" spans="2:13">
      <c r="B70" s="72"/>
      <c r="C70" s="73" t="s">
        <v>197</v>
      </c>
      <c r="D70" s="74"/>
      <c r="E70" s="138">
        <f>VLOOKUP($C70,'Raw Data'!$A$92:$S$1716,7,0)</f>
        <v>2.99</v>
      </c>
      <c r="F70" s="75"/>
      <c r="G70" s="75">
        <f>E70/E70*100</f>
        <v>100</v>
      </c>
      <c r="H70" s="76"/>
      <c r="I70" s="76"/>
      <c r="J70" s="128"/>
      <c r="K70" s="113"/>
      <c r="L70" s="113"/>
      <c r="M70" s="113"/>
    </row>
    <row r="71" ht="16.25" spans="2:10">
      <c r="B71" s="77" t="s">
        <v>112</v>
      </c>
      <c r="C71" s="134"/>
      <c r="D71" s="79" t="str">
        <f>B65</f>
        <v>咪达唑仑
小鼠肝微粒体</v>
      </c>
      <c r="E71" s="80"/>
      <c r="F71" s="81"/>
      <c r="G71" s="82"/>
      <c r="H71" s="83"/>
      <c r="I71" s="83"/>
      <c r="J71" s="129"/>
    </row>
    <row r="72" ht="34.5" spans="2:10">
      <c r="B72" s="135"/>
      <c r="C72" s="85"/>
      <c r="D72" s="86" t="s">
        <v>113</v>
      </c>
      <c r="E72" s="87" t="s">
        <v>114</v>
      </c>
      <c r="F72" s="88" t="s">
        <v>115</v>
      </c>
      <c r="G72" s="89"/>
      <c r="H72" s="90"/>
      <c r="I72" s="90"/>
      <c r="J72" s="130"/>
    </row>
    <row r="73" spans="2:10">
      <c r="B73" s="91" t="s">
        <v>100</v>
      </c>
      <c r="C73" s="90"/>
      <c r="D73" s="141">
        <f>-SLOPE(H65:H70,D65:D70)</f>
        <v>0.298946412967409</v>
      </c>
      <c r="E73" s="136">
        <f>0.693/D73</f>
        <v>2.31814121173466</v>
      </c>
      <c r="F73" s="93">
        <f>D73/0.2*1000</f>
        <v>1494.73206483704</v>
      </c>
      <c r="G73" s="89"/>
      <c r="H73" s="90"/>
      <c r="I73" s="90"/>
      <c r="J73" s="130"/>
    </row>
    <row r="74" spans="2:10">
      <c r="B74" s="91" t="s">
        <v>101</v>
      </c>
      <c r="C74" s="90"/>
      <c r="D74" s="141">
        <f>-SLOPE(I65:I70,D65:D70)</f>
        <v>0.312620817079804</v>
      </c>
      <c r="E74" s="136">
        <f>0.693/D74</f>
        <v>2.21674297467879</v>
      </c>
      <c r="F74" s="93">
        <f>D74/0.2*1000</f>
        <v>1563.10408539902</v>
      </c>
      <c r="G74" s="89"/>
      <c r="H74" s="90"/>
      <c r="I74" s="90"/>
      <c r="J74" s="130"/>
    </row>
    <row r="75" ht="16.25" spans="2:10">
      <c r="B75" s="94" t="s">
        <v>97</v>
      </c>
      <c r="C75" s="95"/>
      <c r="D75" s="142">
        <f>AVERAGE(D73:D74)</f>
        <v>0.305783615023607</v>
      </c>
      <c r="E75" s="137">
        <f>AVERAGE(E73:E74)</f>
        <v>2.26744209320673</v>
      </c>
      <c r="F75" s="98">
        <f>AVERAGE(F73:F74)</f>
        <v>1528.91807511803</v>
      </c>
      <c r="G75" s="99"/>
      <c r="H75" s="95"/>
      <c r="I75" s="95"/>
      <c r="J75" s="131"/>
    </row>
    <row r="76" spans="3:10">
      <c r="C76" s="113"/>
      <c r="D76" s="113"/>
      <c r="E76" s="113"/>
      <c r="F76" s="113"/>
      <c r="G76" s="113"/>
      <c r="H76" s="113"/>
      <c r="I76" s="113"/>
      <c r="J76" s="113"/>
    </row>
    <row r="77" spans="3:10">
      <c r="C77" s="113"/>
      <c r="D77" s="113"/>
      <c r="E77" s="113"/>
      <c r="F77" s="113"/>
      <c r="G77" s="113"/>
      <c r="H77" s="113"/>
      <c r="I77" s="113"/>
      <c r="J77" s="113"/>
    </row>
  </sheetData>
  <mergeCells count="140">
    <mergeCell ref="B2:J2"/>
    <mergeCell ref="H3:I3"/>
    <mergeCell ref="D11:F11"/>
    <mergeCell ref="B17:J17"/>
    <mergeCell ref="H18:I18"/>
    <mergeCell ref="D26:F26"/>
    <mergeCell ref="B32:J32"/>
    <mergeCell ref="H33:I33"/>
    <mergeCell ref="D41:F41"/>
    <mergeCell ref="B47:J47"/>
    <mergeCell ref="H48:I48"/>
    <mergeCell ref="D56:F56"/>
    <mergeCell ref="B62:J62"/>
    <mergeCell ref="H63:I63"/>
    <mergeCell ref="D71:F71"/>
    <mergeCell ref="B3:B4"/>
    <mergeCell ref="B5:B10"/>
    <mergeCell ref="B11:B12"/>
    <mergeCell ref="B18:B19"/>
    <mergeCell ref="B20:B25"/>
    <mergeCell ref="B26:B27"/>
    <mergeCell ref="B33:B34"/>
    <mergeCell ref="B35:B40"/>
    <mergeCell ref="B41:B42"/>
    <mergeCell ref="B48:B49"/>
    <mergeCell ref="B50:B55"/>
    <mergeCell ref="B56:B57"/>
    <mergeCell ref="B63:B64"/>
    <mergeCell ref="B65:B70"/>
    <mergeCell ref="B71:B72"/>
    <mergeCell ref="C3:C4"/>
    <mergeCell ref="C18:C19"/>
    <mergeCell ref="C33:C34"/>
    <mergeCell ref="C48:C49"/>
    <mergeCell ref="C63:C64"/>
    <mergeCell ref="D3:D4"/>
    <mergeCell ref="D5:D6"/>
    <mergeCell ref="D7:D8"/>
    <mergeCell ref="D9:D10"/>
    <mergeCell ref="D18:D19"/>
    <mergeCell ref="D20:D21"/>
    <mergeCell ref="D22:D23"/>
    <mergeCell ref="D24:D25"/>
    <mergeCell ref="D33:D34"/>
    <mergeCell ref="D35:D36"/>
    <mergeCell ref="D37:D38"/>
    <mergeCell ref="D39:D40"/>
    <mergeCell ref="D48:D49"/>
    <mergeCell ref="D50:D51"/>
    <mergeCell ref="D52:D53"/>
    <mergeCell ref="D54:D55"/>
    <mergeCell ref="D63:D64"/>
    <mergeCell ref="D65:D66"/>
    <mergeCell ref="D67:D68"/>
    <mergeCell ref="D69:D70"/>
    <mergeCell ref="E3:E4"/>
    <mergeCell ref="E18:E19"/>
    <mergeCell ref="E33:E34"/>
    <mergeCell ref="E48:E49"/>
    <mergeCell ref="E63:E64"/>
    <mergeCell ref="F3:F4"/>
    <mergeCell ref="F5:F6"/>
    <mergeCell ref="F7:F8"/>
    <mergeCell ref="F9:F10"/>
    <mergeCell ref="F18:F19"/>
    <mergeCell ref="F20:F21"/>
    <mergeCell ref="F22:F23"/>
    <mergeCell ref="F24:F25"/>
    <mergeCell ref="F33:F34"/>
    <mergeCell ref="F35:F36"/>
    <mergeCell ref="F37:F38"/>
    <mergeCell ref="F39:F40"/>
    <mergeCell ref="F48:F49"/>
    <mergeCell ref="F50:F51"/>
    <mergeCell ref="F52:F53"/>
    <mergeCell ref="F54:F55"/>
    <mergeCell ref="F63:F64"/>
    <mergeCell ref="F65:F66"/>
    <mergeCell ref="F67:F68"/>
    <mergeCell ref="F69:F70"/>
    <mergeCell ref="G3:G4"/>
    <mergeCell ref="G18:G19"/>
    <mergeCell ref="G33:G34"/>
    <mergeCell ref="G48:G49"/>
    <mergeCell ref="G63:G64"/>
    <mergeCell ref="H5:H6"/>
    <mergeCell ref="H7:H8"/>
    <mergeCell ref="H9:H10"/>
    <mergeCell ref="H20:H21"/>
    <mergeCell ref="H22:H23"/>
    <mergeCell ref="H24:H25"/>
    <mergeCell ref="H35:H36"/>
    <mergeCell ref="H37:H38"/>
    <mergeCell ref="H39:H40"/>
    <mergeCell ref="H50:H51"/>
    <mergeCell ref="H52:H53"/>
    <mergeCell ref="H54:H55"/>
    <mergeCell ref="H65:H66"/>
    <mergeCell ref="H67:H68"/>
    <mergeCell ref="H69:H70"/>
    <mergeCell ref="I5:I6"/>
    <mergeCell ref="I7:I8"/>
    <mergeCell ref="I9:I10"/>
    <mergeCell ref="I20:I21"/>
    <mergeCell ref="I22:I23"/>
    <mergeCell ref="I24:I25"/>
    <mergeCell ref="I35:I36"/>
    <mergeCell ref="I37:I38"/>
    <mergeCell ref="I39:I40"/>
    <mergeCell ref="I50:I51"/>
    <mergeCell ref="I52:I53"/>
    <mergeCell ref="I54:I55"/>
    <mergeCell ref="I65:I66"/>
    <mergeCell ref="I67:I68"/>
    <mergeCell ref="I69:I70"/>
    <mergeCell ref="J3:J4"/>
    <mergeCell ref="J5:J6"/>
    <mergeCell ref="J7:J8"/>
    <mergeCell ref="J9:J10"/>
    <mergeCell ref="J18:J19"/>
    <mergeCell ref="J20:J21"/>
    <mergeCell ref="J22:J23"/>
    <mergeCell ref="J24:J25"/>
    <mergeCell ref="J33:J34"/>
    <mergeCell ref="J35:J36"/>
    <mergeCell ref="J37:J38"/>
    <mergeCell ref="J39:J40"/>
    <mergeCell ref="J48:J49"/>
    <mergeCell ref="J50:J51"/>
    <mergeCell ref="J52:J53"/>
    <mergeCell ref="J54:J55"/>
    <mergeCell ref="J63:J64"/>
    <mergeCell ref="J65:J66"/>
    <mergeCell ref="J67:J68"/>
    <mergeCell ref="J69:J70"/>
    <mergeCell ref="G56:J60"/>
    <mergeCell ref="G26:J30"/>
    <mergeCell ref="G11:J15"/>
    <mergeCell ref="G41:J45"/>
    <mergeCell ref="G71:J75"/>
  </mergeCells>
  <printOptions horizontalCentered="1"/>
  <pageMargins left="0.393700787401575" right="0.393700787401575" top="1.45669291338583" bottom="0.984251968503937" header="0.78740157480315" footer="0.511811023622047"/>
  <pageSetup paperSize="9" scale="85" firstPageNumber="4294963191" orientation="landscape" useFirstPageNumber="1"/>
  <headerFooter>
    <oddHeader>&amp;L&amp;10笔记编号/Notebook No.__________________页码/Page__________编号/No.________________
课题编号/Study No._______________</oddHeader>
    <oddFooter>&amp;R&amp;10操作人和日期/Operator and Date_________________________    复核人和日期/Verifier and Date_________________________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77"/>
  <sheetViews>
    <sheetView topLeftCell="A55" workbookViewId="0">
      <selection activeCell="M22" sqref="M22"/>
    </sheetView>
  </sheetViews>
  <sheetFormatPr defaultColWidth="9" defaultRowHeight="15.5"/>
  <cols>
    <col min="1" max="1" width="3.75" style="18" customWidth="1"/>
    <col min="2" max="2" width="19.25" style="18" customWidth="1"/>
    <col min="3" max="3" width="22.5" style="18" hidden="1" customWidth="1"/>
    <col min="4" max="4" width="12.75" style="18" customWidth="1"/>
    <col min="5" max="5" width="12.25" style="18" customWidth="1"/>
    <col min="6" max="6" width="20" style="18" customWidth="1"/>
    <col min="7" max="7" width="11.5" style="18" customWidth="1"/>
    <col min="8" max="10" width="8.75" style="18" customWidth="1"/>
    <col min="11" max="16384" width="9" style="18"/>
  </cols>
  <sheetData>
    <row r="2" s="22" customFormat="1" ht="18.25" spans="2:10">
      <c r="B2" s="42" t="s">
        <v>198</v>
      </c>
      <c r="C2" s="43"/>
      <c r="D2" s="43"/>
      <c r="E2" s="43"/>
      <c r="F2" s="43"/>
      <c r="G2" s="43"/>
      <c r="H2" s="43"/>
      <c r="I2" s="43"/>
      <c r="J2" s="43"/>
    </row>
    <row r="3" ht="16.5" customHeight="1" spans="2:12">
      <c r="B3" s="44" t="s">
        <v>94</v>
      </c>
      <c r="C3" s="45"/>
      <c r="D3" s="46" t="s">
        <v>95</v>
      </c>
      <c r="E3" s="47" t="s">
        <v>96</v>
      </c>
      <c r="F3" s="47" t="s">
        <v>97</v>
      </c>
      <c r="G3" s="47" t="s">
        <v>157</v>
      </c>
      <c r="H3" s="48" t="s">
        <v>99</v>
      </c>
      <c r="I3" s="115"/>
      <c r="J3" s="116" t="s">
        <v>97</v>
      </c>
      <c r="K3" s="117"/>
      <c r="L3" s="113"/>
    </row>
    <row r="4" spans="2:12">
      <c r="B4" s="49"/>
      <c r="C4" s="50"/>
      <c r="D4" s="51"/>
      <c r="E4" s="52"/>
      <c r="F4" s="52"/>
      <c r="G4" s="52"/>
      <c r="H4" s="53" t="s">
        <v>100</v>
      </c>
      <c r="I4" s="53" t="s">
        <v>101</v>
      </c>
      <c r="J4" s="118"/>
      <c r="K4" s="117"/>
      <c r="L4" s="113"/>
    </row>
    <row r="5" spans="2:12">
      <c r="B5" s="54" t="s">
        <v>199</v>
      </c>
      <c r="C5" s="55" t="s">
        <v>200</v>
      </c>
      <c r="D5" s="56">
        <v>20</v>
      </c>
      <c r="E5" s="57">
        <f>VLOOKUP($C5,'Raw Data'!$A$92:$S$1716,7,0)</f>
        <v>0.081</v>
      </c>
      <c r="F5" s="58">
        <f>AVERAGE(E5:E6)</f>
        <v>0.0758</v>
      </c>
      <c r="G5" s="59">
        <f>E5/E9*100</f>
        <v>45</v>
      </c>
      <c r="H5" s="60">
        <f>LN(G5)</f>
        <v>3.80666248977032</v>
      </c>
      <c r="I5" s="60">
        <f>LN(G6)</f>
        <v>3.62575836765734</v>
      </c>
      <c r="J5" s="119">
        <f>AVERAGE(H5:I6)</f>
        <v>3.71621042871383</v>
      </c>
      <c r="K5" s="117"/>
      <c r="L5" s="113"/>
    </row>
    <row r="6" spans="2:12">
      <c r="B6" s="54"/>
      <c r="C6" s="61" t="s">
        <v>201</v>
      </c>
      <c r="D6" s="62"/>
      <c r="E6" s="57">
        <f>VLOOKUP($C6,'Raw Data'!$A$92:$S$1716,7,0)</f>
        <v>0.0706</v>
      </c>
      <c r="F6" s="63"/>
      <c r="G6" s="64">
        <f>E6/E10*100</f>
        <v>37.5531914893617</v>
      </c>
      <c r="H6" s="65"/>
      <c r="I6" s="65"/>
      <c r="J6" s="107"/>
      <c r="K6" s="117"/>
      <c r="L6" s="113"/>
    </row>
    <row r="7" spans="2:12">
      <c r="B7" s="54"/>
      <c r="C7" s="55" t="s">
        <v>202</v>
      </c>
      <c r="D7" s="62">
        <v>5</v>
      </c>
      <c r="E7" s="66">
        <f>VLOOKUP($C7,'Raw Data'!$A$92:$S$1716,7,0)</f>
        <v>0.139</v>
      </c>
      <c r="F7" s="67">
        <f>AVERAGE(E7:E8)</f>
        <v>0.1415</v>
      </c>
      <c r="G7" s="64">
        <f>E7/E9*100</f>
        <v>77.2222222222222</v>
      </c>
      <c r="H7" s="68">
        <f>LN(G7)</f>
        <v>4.34668726822857</v>
      </c>
      <c r="I7" s="68">
        <f>LN(G8)</f>
        <v>4.33854152273414</v>
      </c>
      <c r="J7" s="120">
        <f>AVERAGE(H7:I8)</f>
        <v>4.34261439548136</v>
      </c>
      <c r="K7" s="117"/>
      <c r="L7" s="113"/>
    </row>
    <row r="8" spans="2:12">
      <c r="B8" s="54"/>
      <c r="C8" s="55" t="s">
        <v>203</v>
      </c>
      <c r="D8" s="62"/>
      <c r="E8" s="66">
        <f>VLOOKUP($C8,'Raw Data'!$A$92:$S$1716,7,0)</f>
        <v>0.144</v>
      </c>
      <c r="F8" s="63"/>
      <c r="G8" s="64">
        <f>E8/E10*100</f>
        <v>76.5957446808511</v>
      </c>
      <c r="H8" s="65"/>
      <c r="I8" s="65"/>
      <c r="J8" s="89"/>
      <c r="K8" s="117"/>
      <c r="L8" s="113"/>
    </row>
    <row r="9" spans="2:12">
      <c r="B9" s="54"/>
      <c r="C9" s="69" t="s">
        <v>204</v>
      </c>
      <c r="D9" s="62">
        <v>0</v>
      </c>
      <c r="E9" s="66">
        <f>VLOOKUP($C9,'Raw Data'!$A$92:$S$1716,7,0)</f>
        <v>0.18</v>
      </c>
      <c r="F9" s="70">
        <f>AVERAGE(E9:E10)</f>
        <v>0.184</v>
      </c>
      <c r="G9" s="71">
        <f>E9/E9*100</f>
        <v>100</v>
      </c>
      <c r="H9" s="68">
        <f>LN(G9)</f>
        <v>4.60517018598809</v>
      </c>
      <c r="I9" s="68">
        <f>LN(G10)</f>
        <v>4.60517018598809</v>
      </c>
      <c r="J9" s="119">
        <f>AVERAGE(H9:I10)</f>
        <v>4.60517018598809</v>
      </c>
      <c r="K9" s="117"/>
      <c r="L9" s="113"/>
    </row>
    <row r="10" ht="16.25" spans="2:12">
      <c r="B10" s="72"/>
      <c r="C10" s="73" t="s">
        <v>205</v>
      </c>
      <c r="D10" s="74"/>
      <c r="E10" s="66">
        <f>VLOOKUP($C10,'Raw Data'!$A$92:$S$1716,7,0)</f>
        <v>0.188</v>
      </c>
      <c r="F10" s="75"/>
      <c r="G10" s="75">
        <f>E10/E10*100</f>
        <v>100</v>
      </c>
      <c r="H10" s="76"/>
      <c r="I10" s="76"/>
      <c r="J10" s="99"/>
      <c r="K10" s="117"/>
      <c r="L10" s="113"/>
    </row>
    <row r="11" ht="16.25" spans="2:11">
      <c r="B11" s="77" t="s">
        <v>112</v>
      </c>
      <c r="C11" s="78"/>
      <c r="D11" s="79" t="str">
        <f>B5</f>
        <v>7-HC
人肝微粒体</v>
      </c>
      <c r="E11" s="80"/>
      <c r="F11" s="81"/>
      <c r="G11" s="82"/>
      <c r="H11" s="83"/>
      <c r="I11" s="83"/>
      <c r="J11" s="83"/>
      <c r="K11" s="121"/>
    </row>
    <row r="12" ht="34.5" spans="2:11">
      <c r="B12" s="84"/>
      <c r="C12" s="85"/>
      <c r="D12" s="86" t="s">
        <v>113</v>
      </c>
      <c r="E12" s="87" t="s">
        <v>114</v>
      </c>
      <c r="F12" s="88" t="s">
        <v>115</v>
      </c>
      <c r="G12" s="89"/>
      <c r="H12" s="90"/>
      <c r="I12" s="90"/>
      <c r="J12" s="90"/>
      <c r="K12" s="121"/>
    </row>
    <row r="13" spans="2:11">
      <c r="B13" s="91" t="s">
        <v>100</v>
      </c>
      <c r="C13" s="90"/>
      <c r="D13" s="92">
        <f>-SLOPE(H5:H10,D5:D10)</f>
        <v>0.0390199079846566</v>
      </c>
      <c r="E13" s="25">
        <f>0.693/D13</f>
        <v>17.7601648951223</v>
      </c>
      <c r="F13" s="93">
        <f>D13/0.2*1000</f>
        <v>195.099539923283</v>
      </c>
      <c r="G13" s="89"/>
      <c r="H13" s="90"/>
      <c r="I13" s="90"/>
      <c r="J13" s="90"/>
      <c r="K13" s="121"/>
    </row>
    <row r="14" spans="2:11">
      <c r="B14" s="91" t="s">
        <v>101</v>
      </c>
      <c r="C14" s="90"/>
      <c r="D14" s="92">
        <f>-SLOPE(I5:I10,D5:D10)</f>
        <v>0.0486355800139029</v>
      </c>
      <c r="E14" s="25">
        <f>0.693/D14</f>
        <v>14.2488277060107</v>
      </c>
      <c r="F14" s="93">
        <f>D14/0.2*1000</f>
        <v>243.177900069514</v>
      </c>
      <c r="G14" s="89"/>
      <c r="H14" s="90"/>
      <c r="I14" s="90"/>
      <c r="J14" s="90"/>
      <c r="K14" s="121"/>
    </row>
    <row r="15" ht="16.25" spans="2:11">
      <c r="B15" s="94" t="s">
        <v>97</v>
      </c>
      <c r="C15" s="95"/>
      <c r="D15" s="96">
        <f>AVERAGE(D13:D14)</f>
        <v>0.0438277439992798</v>
      </c>
      <c r="E15" s="97">
        <f>AVERAGE(E13:E14)</f>
        <v>16.0044963005665</v>
      </c>
      <c r="F15" s="98">
        <f>AVERAGE(F13:F14)</f>
        <v>219.138719996399</v>
      </c>
      <c r="G15" s="99"/>
      <c r="H15" s="95"/>
      <c r="I15" s="95"/>
      <c r="J15" s="95"/>
      <c r="K15" s="122"/>
    </row>
    <row r="16" s="22" customFormat="1" spans="2:10">
      <c r="B16" s="100"/>
      <c r="C16" s="100"/>
      <c r="D16" s="90"/>
      <c r="E16" s="90"/>
      <c r="F16" s="90"/>
      <c r="G16" s="90"/>
      <c r="H16" s="90"/>
      <c r="I16" s="90"/>
      <c r="J16" s="83"/>
    </row>
    <row r="17" ht="16.9" customHeight="1" spans="2:11">
      <c r="B17" s="42" t="s">
        <v>206</v>
      </c>
      <c r="C17" s="101"/>
      <c r="D17" s="101"/>
      <c r="E17" s="101"/>
      <c r="F17" s="101"/>
      <c r="G17" s="101"/>
      <c r="H17" s="101"/>
      <c r="I17" s="101"/>
      <c r="J17" s="101"/>
      <c r="K17" s="22"/>
    </row>
    <row r="18" ht="15.75" customHeight="1" spans="2:11">
      <c r="B18" s="44" t="s">
        <v>94</v>
      </c>
      <c r="C18" s="102"/>
      <c r="D18" s="46" t="s">
        <v>95</v>
      </c>
      <c r="E18" s="47" t="s">
        <v>96</v>
      </c>
      <c r="F18" s="47" t="s">
        <v>97</v>
      </c>
      <c r="G18" s="47" t="s">
        <v>157</v>
      </c>
      <c r="H18" s="48" t="s">
        <v>99</v>
      </c>
      <c r="I18" s="115"/>
      <c r="J18" s="116" t="s">
        <v>97</v>
      </c>
      <c r="K18" s="123"/>
    </row>
    <row r="19" spans="2:11">
      <c r="B19" s="103"/>
      <c r="C19" s="104"/>
      <c r="D19" s="105"/>
      <c r="E19" s="52"/>
      <c r="F19" s="52"/>
      <c r="G19" s="52"/>
      <c r="H19" s="53" t="s">
        <v>100</v>
      </c>
      <c r="I19" s="53" t="s">
        <v>101</v>
      </c>
      <c r="J19" s="118"/>
      <c r="K19" s="123"/>
    </row>
    <row r="20" spans="2:12">
      <c r="B20" s="106" t="s">
        <v>207</v>
      </c>
      <c r="C20" s="55" t="s">
        <v>208</v>
      </c>
      <c r="D20" s="107">
        <v>20</v>
      </c>
      <c r="E20" s="66">
        <f>VLOOKUP($C20,'Raw Data'!$A$92:$S$1716,7,0)</f>
        <v>0.106</v>
      </c>
      <c r="F20" s="108">
        <f>AVERAGE(E20:E21)</f>
        <v>0.1095</v>
      </c>
      <c r="G20" s="59">
        <f>E20/E24*100</f>
        <v>52.4752475247525</v>
      </c>
      <c r="H20" s="60">
        <f>LN(G20)</f>
        <v>3.96034158269895</v>
      </c>
      <c r="I20" s="60">
        <f>LN(G21)</f>
        <v>4.10681133098723</v>
      </c>
      <c r="J20" s="124">
        <f>AVERAGE(H20:I21)</f>
        <v>4.03357645684309</v>
      </c>
      <c r="K20" s="113"/>
      <c r="L20" s="113"/>
    </row>
    <row r="21" spans="2:12">
      <c r="B21" s="109"/>
      <c r="C21" s="61" t="s">
        <v>209</v>
      </c>
      <c r="D21" s="110"/>
      <c r="E21" s="66">
        <f>VLOOKUP($C21,'Raw Data'!$A$92:$S$1716,7,0)</f>
        <v>0.113</v>
      </c>
      <c r="F21" s="63"/>
      <c r="G21" s="64">
        <f>E21/E25*100</f>
        <v>60.752688172043</v>
      </c>
      <c r="H21" s="65"/>
      <c r="I21" s="65"/>
      <c r="J21" s="125"/>
      <c r="K21" s="113"/>
      <c r="L21" s="113"/>
    </row>
    <row r="22" spans="2:12">
      <c r="B22" s="109"/>
      <c r="C22" s="55" t="s">
        <v>210</v>
      </c>
      <c r="D22" s="110">
        <v>5</v>
      </c>
      <c r="E22" s="66">
        <f>VLOOKUP($C22,'Raw Data'!$A$92:$S$1716,7,0)</f>
        <v>0.152</v>
      </c>
      <c r="F22" s="67">
        <f>AVERAGE(E22:E23)</f>
        <v>0.158</v>
      </c>
      <c r="G22" s="64">
        <f>E22/E24*100</f>
        <v>75.2475247524752</v>
      </c>
      <c r="H22" s="68">
        <f>LN(G22)</f>
        <v>4.32078300943316</v>
      </c>
      <c r="I22" s="68">
        <f>LN(G23)</f>
        <v>4.47928994009909</v>
      </c>
      <c r="J22" s="126">
        <f>AVERAGE(H22:I23)</f>
        <v>4.40003647476613</v>
      </c>
      <c r="K22" s="113"/>
      <c r="L22" s="113"/>
    </row>
    <row r="23" spans="2:12">
      <c r="B23" s="109"/>
      <c r="C23" s="55" t="s">
        <v>211</v>
      </c>
      <c r="D23" s="110"/>
      <c r="E23" s="66">
        <f>VLOOKUP($C23,'Raw Data'!$A$92:$S$1716,7,0)</f>
        <v>0.164</v>
      </c>
      <c r="F23" s="63"/>
      <c r="G23" s="64">
        <f>E23/E25*100</f>
        <v>88.1720430107527</v>
      </c>
      <c r="H23" s="65"/>
      <c r="I23" s="65"/>
      <c r="J23" s="127"/>
      <c r="K23" s="113"/>
      <c r="L23" s="113"/>
    </row>
    <row r="24" spans="2:12">
      <c r="B24" s="109"/>
      <c r="C24" s="69" t="s">
        <v>212</v>
      </c>
      <c r="D24" s="110">
        <v>0</v>
      </c>
      <c r="E24" s="66">
        <f>VLOOKUP($C24,'Raw Data'!$A$92:$S$1716,7,0)</f>
        <v>0.202</v>
      </c>
      <c r="F24" s="70">
        <f>AVERAGE(E24:E25)</f>
        <v>0.194</v>
      </c>
      <c r="G24" s="71">
        <f>E24/E24*100</f>
        <v>100</v>
      </c>
      <c r="H24" s="68">
        <f>LN(G24)</f>
        <v>4.60517018598809</v>
      </c>
      <c r="I24" s="68">
        <f>LN(G25)</f>
        <v>4.60517018598809</v>
      </c>
      <c r="J24" s="124">
        <f>AVERAGE(H24:I25)</f>
        <v>4.60517018598809</v>
      </c>
      <c r="K24" s="113"/>
      <c r="L24" s="113"/>
    </row>
    <row r="25" ht="16.25" spans="2:12">
      <c r="B25" s="111"/>
      <c r="C25" s="73" t="s">
        <v>213</v>
      </c>
      <c r="D25" s="112"/>
      <c r="E25" s="66">
        <f>VLOOKUP($C25,'Raw Data'!$A$92:$S$1716,7,0)</f>
        <v>0.186</v>
      </c>
      <c r="F25" s="75"/>
      <c r="G25" s="75">
        <f>E25/E25*100</f>
        <v>100</v>
      </c>
      <c r="H25" s="76"/>
      <c r="I25" s="76"/>
      <c r="J25" s="128"/>
      <c r="K25" s="113"/>
      <c r="L25" s="113"/>
    </row>
    <row r="26" ht="16.25" spans="2:10">
      <c r="B26" s="77" t="s">
        <v>112</v>
      </c>
      <c r="C26" s="78"/>
      <c r="D26" s="79" t="str">
        <f>B20</f>
        <v>7-HC
猴肝微粒体</v>
      </c>
      <c r="E26" s="80"/>
      <c r="F26" s="81"/>
      <c r="G26" s="82"/>
      <c r="H26" s="83"/>
      <c r="I26" s="83"/>
      <c r="J26" s="129"/>
    </row>
    <row r="27" ht="34.5" spans="2:10">
      <c r="B27" s="84"/>
      <c r="C27" s="85"/>
      <c r="D27" s="86" t="s">
        <v>113</v>
      </c>
      <c r="E27" s="87" t="s">
        <v>114</v>
      </c>
      <c r="F27" s="88" t="s">
        <v>173</v>
      </c>
      <c r="G27" s="89"/>
      <c r="H27" s="90"/>
      <c r="I27" s="90"/>
      <c r="J27" s="130"/>
    </row>
    <row r="28" spans="2:10">
      <c r="B28" s="91" t="s">
        <v>100</v>
      </c>
      <c r="C28" s="90"/>
      <c r="D28" s="92">
        <f>-SLOPE(H20:H25,D20:D25)</f>
        <v>0.0303463528454931</v>
      </c>
      <c r="E28" s="25">
        <f>0.693/D28</f>
        <v>22.8363521484237</v>
      </c>
      <c r="F28" s="93">
        <f>D28/0.2*1000</f>
        <v>151.731764227466</v>
      </c>
      <c r="G28" s="89"/>
      <c r="H28" s="90"/>
      <c r="I28" s="90"/>
      <c r="J28" s="130"/>
    </row>
    <row r="29" spans="2:10">
      <c r="B29" s="91" t="s">
        <v>101</v>
      </c>
      <c r="C29" s="90"/>
      <c r="D29" s="92">
        <f>-SLOPE(I20:I25,D20:D25)</f>
        <v>0.0248980884094463</v>
      </c>
      <c r="E29" s="25">
        <f>0.693/D29</f>
        <v>27.8334620957116</v>
      </c>
      <c r="F29" s="93">
        <f>D29/0.2*1000</f>
        <v>124.490442047231</v>
      </c>
      <c r="G29" s="89"/>
      <c r="H29" s="90"/>
      <c r="I29" s="90"/>
      <c r="J29" s="130"/>
    </row>
    <row r="30" ht="16.25" spans="2:10">
      <c r="B30" s="94" t="s">
        <v>97</v>
      </c>
      <c r="C30" s="95"/>
      <c r="D30" s="96">
        <f>AVERAGE(D28:D29)</f>
        <v>0.0276222206274697</v>
      </c>
      <c r="E30" s="97">
        <f>AVERAGE(E28:E29)</f>
        <v>25.3349071220676</v>
      </c>
      <c r="F30" s="98">
        <f>AVERAGE(F28:F29)</f>
        <v>138.111103137349</v>
      </c>
      <c r="G30" s="99"/>
      <c r="H30" s="95"/>
      <c r="I30" s="95"/>
      <c r="J30" s="131"/>
    </row>
    <row r="31" spans="2:10">
      <c r="B31" s="113"/>
      <c r="C31" s="113"/>
      <c r="D31" s="113"/>
      <c r="E31" s="113"/>
      <c r="F31" s="113"/>
      <c r="G31" s="113"/>
      <c r="H31" s="113"/>
      <c r="I31" s="113"/>
      <c r="J31" s="113"/>
    </row>
    <row r="32" ht="18.25" spans="2:10">
      <c r="B32" s="42" t="s">
        <v>214</v>
      </c>
      <c r="C32" s="101"/>
      <c r="D32" s="101"/>
      <c r="E32" s="101"/>
      <c r="F32" s="101"/>
      <c r="G32" s="101"/>
      <c r="H32" s="101"/>
      <c r="I32" s="101"/>
      <c r="J32" s="101"/>
    </row>
    <row r="33" spans="2:12">
      <c r="B33" s="44" t="s">
        <v>94</v>
      </c>
      <c r="C33" s="102"/>
      <c r="D33" s="46" t="s">
        <v>95</v>
      </c>
      <c r="E33" s="47" t="s">
        <v>96</v>
      </c>
      <c r="F33" s="47" t="s">
        <v>97</v>
      </c>
      <c r="G33" s="47" t="s">
        <v>157</v>
      </c>
      <c r="H33" s="48" t="s">
        <v>99</v>
      </c>
      <c r="I33" s="115"/>
      <c r="J33" s="132" t="s">
        <v>97</v>
      </c>
      <c r="K33" s="113"/>
      <c r="L33" s="113"/>
    </row>
    <row r="34" spans="2:12">
      <c r="B34" s="103"/>
      <c r="C34" s="104"/>
      <c r="D34" s="105"/>
      <c r="E34" s="52"/>
      <c r="F34" s="52"/>
      <c r="G34" s="52"/>
      <c r="H34" s="53" t="s">
        <v>100</v>
      </c>
      <c r="I34" s="53" t="s">
        <v>101</v>
      </c>
      <c r="J34" s="133"/>
      <c r="K34" s="113"/>
      <c r="L34" s="113"/>
    </row>
    <row r="35" spans="2:12">
      <c r="B35" s="106" t="s">
        <v>215</v>
      </c>
      <c r="C35" s="55" t="s">
        <v>216</v>
      </c>
      <c r="D35" s="107">
        <v>20</v>
      </c>
      <c r="E35" s="57">
        <f>VLOOKUP($C35,'Raw Data'!$A$92:$S$1716,7,0)</f>
        <v>0.0879</v>
      </c>
      <c r="F35" s="58">
        <f>AVERAGE(E35:E36)</f>
        <v>0.08175</v>
      </c>
      <c r="G35" s="59">
        <f>E35/E39*100</f>
        <v>47.0053475935829</v>
      </c>
      <c r="H35" s="68">
        <f>LN(G35)</f>
        <v>3.85026137382464</v>
      </c>
      <c r="I35" s="68">
        <f>LN(G36)</f>
        <v>3.76014247413543</v>
      </c>
      <c r="J35" s="124">
        <f>AVERAGE(H35:I36)</f>
        <v>3.80520192398003</v>
      </c>
      <c r="K35" s="113"/>
      <c r="L35" s="113"/>
    </row>
    <row r="36" spans="2:12">
      <c r="B36" s="109"/>
      <c r="C36" s="61" t="s">
        <v>217</v>
      </c>
      <c r="D36" s="110"/>
      <c r="E36" s="57">
        <f>VLOOKUP($C36,'Raw Data'!$A$92:$S$1716,7,0)</f>
        <v>0.0756</v>
      </c>
      <c r="F36" s="63"/>
      <c r="G36" s="64">
        <f>E36/E40*100</f>
        <v>42.9545454545455</v>
      </c>
      <c r="H36" s="114"/>
      <c r="I36" s="114"/>
      <c r="J36" s="125"/>
      <c r="K36" s="113"/>
      <c r="L36" s="113"/>
    </row>
    <row r="37" spans="2:12">
      <c r="B37" s="109"/>
      <c r="C37" s="55" t="s">
        <v>218</v>
      </c>
      <c r="D37" s="110">
        <v>5</v>
      </c>
      <c r="E37" s="66">
        <f>VLOOKUP($C37,'Raw Data'!$A$92:$S$1716,7,0)</f>
        <v>0.153</v>
      </c>
      <c r="F37" s="67">
        <f>AVERAGE(E37:E38)</f>
        <v>0.148</v>
      </c>
      <c r="G37" s="64">
        <f>E37/E39*100</f>
        <v>81.8181818181818</v>
      </c>
      <c r="H37" s="68">
        <f>LN(G37)</f>
        <v>4.40449949052594</v>
      </c>
      <c r="I37" s="68">
        <f>LN(G38)</f>
        <v>4.39753082120985</v>
      </c>
      <c r="J37" s="126">
        <f>AVERAGE(H37:I38)</f>
        <v>4.40101515586789</v>
      </c>
      <c r="K37" s="113"/>
      <c r="L37" s="113"/>
    </row>
    <row r="38" spans="2:12">
      <c r="B38" s="109"/>
      <c r="C38" s="55" t="s">
        <v>219</v>
      </c>
      <c r="D38" s="110"/>
      <c r="E38" s="66">
        <f>VLOOKUP($C38,'Raw Data'!$A$92:$S$1716,7,0)</f>
        <v>0.143</v>
      </c>
      <c r="F38" s="63"/>
      <c r="G38" s="64">
        <f>E38/E40*100</f>
        <v>81.25</v>
      </c>
      <c r="H38" s="65"/>
      <c r="I38" s="65"/>
      <c r="J38" s="127"/>
      <c r="K38" s="113"/>
      <c r="L38" s="113"/>
    </row>
    <row r="39" spans="2:12">
      <c r="B39" s="109"/>
      <c r="C39" s="69" t="s">
        <v>220</v>
      </c>
      <c r="D39" s="110">
        <v>0</v>
      </c>
      <c r="E39" s="66">
        <f>VLOOKUP($C39,'Raw Data'!$A$92:$S$1716,7,0)</f>
        <v>0.187</v>
      </c>
      <c r="F39" s="70">
        <f>AVERAGE(E39:E40)</f>
        <v>0.1815</v>
      </c>
      <c r="G39" s="71">
        <f>E39/E39*100</f>
        <v>100</v>
      </c>
      <c r="H39" s="68">
        <f>LN(G39)</f>
        <v>4.60517018598809</v>
      </c>
      <c r="I39" s="68">
        <f>LN(G40)</f>
        <v>4.60517018598809</v>
      </c>
      <c r="J39" s="124">
        <f>AVERAGE(H39:I40)</f>
        <v>4.60517018598809</v>
      </c>
      <c r="K39" s="113"/>
      <c r="L39" s="113"/>
    </row>
    <row r="40" ht="16.25" spans="2:12">
      <c r="B40" s="111"/>
      <c r="C40" s="73" t="s">
        <v>221</v>
      </c>
      <c r="D40" s="112"/>
      <c r="E40" s="66">
        <f>VLOOKUP($C40,'Raw Data'!$A$92:$S$1716,7,0)</f>
        <v>0.176</v>
      </c>
      <c r="F40" s="75"/>
      <c r="G40" s="75">
        <f>E40/E40*100</f>
        <v>100</v>
      </c>
      <c r="H40" s="76"/>
      <c r="I40" s="76"/>
      <c r="J40" s="128"/>
      <c r="K40" s="113"/>
      <c r="L40" s="113"/>
    </row>
    <row r="41" ht="16.25" spans="2:10">
      <c r="B41" s="77" t="s">
        <v>112</v>
      </c>
      <c r="C41" s="78"/>
      <c r="D41" s="79" t="str">
        <f>B35</f>
        <v>7-HC
犬肝微粒体</v>
      </c>
      <c r="E41" s="80"/>
      <c r="F41" s="81"/>
      <c r="G41" s="82"/>
      <c r="H41" s="83"/>
      <c r="I41" s="83"/>
      <c r="J41" s="129"/>
    </row>
    <row r="42" ht="34.5" spans="2:10">
      <c r="B42" s="84"/>
      <c r="C42" s="85"/>
      <c r="D42" s="86" t="s">
        <v>113</v>
      </c>
      <c r="E42" s="87" t="s">
        <v>114</v>
      </c>
      <c r="F42" s="88" t="s">
        <v>173</v>
      </c>
      <c r="G42" s="89"/>
      <c r="H42" s="90"/>
      <c r="I42" s="90"/>
      <c r="J42" s="130"/>
    </row>
    <row r="43" spans="2:10">
      <c r="B43" s="91" t="s">
        <v>100</v>
      </c>
      <c r="C43" s="90"/>
      <c r="D43" s="92">
        <f>-SLOPE(H35:H40,D35:D40)</f>
        <v>0.0375616945709222</v>
      </c>
      <c r="E43" s="25">
        <f>0.693/D43</f>
        <v>18.4496468521012</v>
      </c>
      <c r="F43" s="93">
        <f>D43/0.2*1000</f>
        <v>187.808472854611</v>
      </c>
      <c r="G43" s="89"/>
      <c r="H43" s="90"/>
      <c r="I43" s="90"/>
      <c r="J43" s="130"/>
    </row>
    <row r="44" spans="2:10">
      <c r="B44" s="91" t="s">
        <v>101</v>
      </c>
      <c r="C44" s="90"/>
      <c r="D44" s="92">
        <f>-SLOPE(I35:I40,D35:D40)</f>
        <v>0.0423070404108628</v>
      </c>
      <c r="E44" s="25">
        <f>0.693/D44</f>
        <v>16.3802523946361</v>
      </c>
      <c r="F44" s="93">
        <f>D44/0.2*1000</f>
        <v>211.535202054314</v>
      </c>
      <c r="G44" s="89"/>
      <c r="H44" s="90"/>
      <c r="I44" s="90"/>
      <c r="J44" s="130"/>
    </row>
    <row r="45" ht="16.25" spans="2:10">
      <c r="B45" s="94" t="s">
        <v>97</v>
      </c>
      <c r="C45" s="95"/>
      <c r="D45" s="96">
        <f>AVERAGE(D43:D44)</f>
        <v>0.0399343674908925</v>
      </c>
      <c r="E45" s="97">
        <f>AVERAGE(E43:E44)</f>
        <v>17.4149496233686</v>
      </c>
      <c r="F45" s="98">
        <f>AVERAGE(F43:F44)</f>
        <v>199.671837454462</v>
      </c>
      <c r="G45" s="99"/>
      <c r="H45" s="95"/>
      <c r="I45" s="95"/>
      <c r="J45" s="131"/>
    </row>
    <row r="46" spans="2:10">
      <c r="B46" s="113"/>
      <c r="C46" s="113"/>
      <c r="D46" s="113"/>
      <c r="E46" s="113"/>
      <c r="F46" s="113"/>
      <c r="G46" s="113"/>
      <c r="H46" s="113"/>
      <c r="I46" s="113"/>
      <c r="J46" s="113"/>
    </row>
    <row r="47" ht="18.25" spans="2:10">
      <c r="B47" s="42" t="s">
        <v>222</v>
      </c>
      <c r="C47" s="101"/>
      <c r="D47" s="101"/>
      <c r="E47" s="101"/>
      <c r="F47" s="101"/>
      <c r="G47" s="101"/>
      <c r="H47" s="101"/>
      <c r="I47" s="101"/>
      <c r="J47" s="101"/>
    </row>
    <row r="48" spans="2:13">
      <c r="B48" s="44" t="s">
        <v>94</v>
      </c>
      <c r="C48" s="102"/>
      <c r="D48" s="46" t="s">
        <v>95</v>
      </c>
      <c r="E48" s="47" t="s">
        <v>96</v>
      </c>
      <c r="F48" s="47" t="s">
        <v>97</v>
      </c>
      <c r="G48" s="47" t="s">
        <v>157</v>
      </c>
      <c r="H48" s="48" t="s">
        <v>99</v>
      </c>
      <c r="I48" s="115"/>
      <c r="J48" s="132" t="s">
        <v>97</v>
      </c>
      <c r="K48" s="113"/>
      <c r="L48" s="113"/>
      <c r="M48" s="113"/>
    </row>
    <row r="49" spans="2:13">
      <c r="B49" s="103"/>
      <c r="C49" s="104"/>
      <c r="D49" s="105"/>
      <c r="E49" s="52"/>
      <c r="F49" s="52"/>
      <c r="G49" s="52"/>
      <c r="H49" s="53" t="s">
        <v>100</v>
      </c>
      <c r="I49" s="53" t="s">
        <v>101</v>
      </c>
      <c r="J49" s="133"/>
      <c r="K49" s="113"/>
      <c r="L49" s="113"/>
      <c r="M49" s="113"/>
    </row>
    <row r="50" spans="2:13">
      <c r="B50" s="106" t="s">
        <v>223</v>
      </c>
      <c r="C50" s="55" t="s">
        <v>224</v>
      </c>
      <c r="D50" s="107">
        <v>20</v>
      </c>
      <c r="E50" s="57">
        <f>VLOOKUP($C50,'Raw Data'!$A$92:$S$1716,7,0)</f>
        <v>0.0883</v>
      </c>
      <c r="F50" s="58">
        <f>AVERAGE(E50:E51)</f>
        <v>0.0882</v>
      </c>
      <c r="G50" s="59">
        <f>E50/E54*100</f>
        <v>49.6067415730337</v>
      </c>
      <c r="H50" s="68">
        <f>LN(G50)</f>
        <v>3.90412674330592</v>
      </c>
      <c r="I50" s="68">
        <f>LN(G51)</f>
        <v>3.9074929863564</v>
      </c>
      <c r="J50" s="124">
        <f>AVERAGE(H50:I51)</f>
        <v>3.90580986483116</v>
      </c>
      <c r="K50" s="113"/>
      <c r="L50" s="113"/>
      <c r="M50" s="113"/>
    </row>
    <row r="51" spans="2:13">
      <c r="B51" s="109"/>
      <c r="C51" s="61" t="s">
        <v>225</v>
      </c>
      <c r="D51" s="110"/>
      <c r="E51" s="57">
        <f>VLOOKUP($C51,'Raw Data'!$A$92:$S$1716,7,0)</f>
        <v>0.0881</v>
      </c>
      <c r="F51" s="63"/>
      <c r="G51" s="64">
        <f>E51/E55*100</f>
        <v>49.774011299435</v>
      </c>
      <c r="H51" s="114"/>
      <c r="I51" s="114"/>
      <c r="J51" s="125"/>
      <c r="K51" s="113"/>
      <c r="L51" s="113"/>
      <c r="M51" s="113"/>
    </row>
    <row r="52" spans="2:13">
      <c r="B52" s="109"/>
      <c r="C52" s="55" t="s">
        <v>226</v>
      </c>
      <c r="D52" s="110">
        <v>5</v>
      </c>
      <c r="E52" s="66">
        <f>VLOOKUP($C52,'Raw Data'!$A$92:$S$1716,7,0)</f>
        <v>0.146</v>
      </c>
      <c r="F52" s="67">
        <f>AVERAGE(E52:E53)</f>
        <v>0.1465</v>
      </c>
      <c r="G52" s="64">
        <f>E52/E54*100</f>
        <v>82.0224719101124</v>
      </c>
      <c r="H52" s="68">
        <f>LN(G52)</f>
        <v>4.40699325740434</v>
      </c>
      <c r="I52" s="68">
        <f>LN(G53)</f>
        <v>4.419453040193</v>
      </c>
      <c r="J52" s="126">
        <f>AVERAGE(H52:I53)</f>
        <v>4.41322314879867</v>
      </c>
      <c r="K52" s="113"/>
      <c r="L52" s="113"/>
      <c r="M52" s="113"/>
    </row>
    <row r="53" spans="2:13">
      <c r="B53" s="109"/>
      <c r="C53" s="55" t="s">
        <v>227</v>
      </c>
      <c r="D53" s="110"/>
      <c r="E53" s="66">
        <f>VLOOKUP($C53,'Raw Data'!$A$92:$S$1716,7,0)</f>
        <v>0.147</v>
      </c>
      <c r="F53" s="63"/>
      <c r="G53" s="64">
        <f>E53/E55*100</f>
        <v>83.0508474576271</v>
      </c>
      <c r="H53" s="65"/>
      <c r="I53" s="65"/>
      <c r="J53" s="127"/>
      <c r="K53" s="113"/>
      <c r="L53" s="113"/>
      <c r="M53" s="113"/>
    </row>
    <row r="54" spans="2:13">
      <c r="B54" s="109"/>
      <c r="C54" s="69" t="s">
        <v>228</v>
      </c>
      <c r="D54" s="110">
        <v>0</v>
      </c>
      <c r="E54" s="66">
        <f>VLOOKUP($C54,'Raw Data'!$A$92:$S$1716,7,0)</f>
        <v>0.178</v>
      </c>
      <c r="F54" s="70">
        <f>AVERAGE(E54:E55)</f>
        <v>0.1775</v>
      </c>
      <c r="G54" s="71">
        <f>E54/E54*100</f>
        <v>100</v>
      </c>
      <c r="H54" s="68">
        <f>LN(G54)</f>
        <v>4.60517018598809</v>
      </c>
      <c r="I54" s="68">
        <f>LN(G55)</f>
        <v>4.60517018598809</v>
      </c>
      <c r="J54" s="124">
        <f>AVERAGE(H54:I55)</f>
        <v>4.60517018598809</v>
      </c>
      <c r="K54" s="113"/>
      <c r="L54" s="113"/>
      <c r="M54" s="113"/>
    </row>
    <row r="55" ht="16.25" spans="2:13">
      <c r="B55" s="111"/>
      <c r="C55" s="73" t="s">
        <v>229</v>
      </c>
      <c r="D55" s="112"/>
      <c r="E55" s="66">
        <f>VLOOKUP($C55,'Raw Data'!$A$92:$S$1716,7,0)</f>
        <v>0.177</v>
      </c>
      <c r="F55" s="75"/>
      <c r="G55" s="75">
        <f>E55/E55*100</f>
        <v>100</v>
      </c>
      <c r="H55" s="76"/>
      <c r="I55" s="76"/>
      <c r="J55" s="128"/>
      <c r="K55" s="113"/>
      <c r="L55" s="113"/>
      <c r="M55" s="113"/>
    </row>
    <row r="56" ht="16.25" spans="2:10">
      <c r="B56" s="77" t="s">
        <v>112</v>
      </c>
      <c r="C56" s="78"/>
      <c r="D56" s="79" t="str">
        <f>B50</f>
        <v>7-HC
大鼠肝微粒体</v>
      </c>
      <c r="E56" s="80"/>
      <c r="F56" s="81"/>
      <c r="G56" s="82"/>
      <c r="H56" s="83"/>
      <c r="I56" s="83"/>
      <c r="J56" s="129"/>
    </row>
    <row r="57" ht="34.5" spans="2:10">
      <c r="B57" s="84"/>
      <c r="C57" s="85"/>
      <c r="D57" s="86" t="s">
        <v>113</v>
      </c>
      <c r="E57" s="87" t="s">
        <v>114</v>
      </c>
      <c r="F57" s="88" t="s">
        <v>115</v>
      </c>
      <c r="G57" s="89"/>
      <c r="H57" s="90"/>
      <c r="I57" s="90"/>
      <c r="J57" s="130"/>
    </row>
    <row r="58" spans="2:10">
      <c r="B58" s="91" t="s">
        <v>100</v>
      </c>
      <c r="C58" s="90"/>
      <c r="D58" s="92">
        <f>-SLOPE(H50:H55,D50:D55)</f>
        <v>0.0346996172431361</v>
      </c>
      <c r="E58" s="25">
        <f>0.693/D58</f>
        <v>19.9714018498887</v>
      </c>
      <c r="F58" s="93">
        <f>D58/0.2*1000</f>
        <v>173.498086215681</v>
      </c>
      <c r="G58" s="89"/>
      <c r="H58" s="90"/>
      <c r="I58" s="90"/>
      <c r="J58" s="130"/>
    </row>
    <row r="59" spans="2:10">
      <c r="B59" s="91" t="s">
        <v>101</v>
      </c>
      <c r="C59" s="90"/>
      <c r="D59" s="92">
        <f>-SLOPE(I50:I55,D50:D55)</f>
        <v>0.034710046967936</v>
      </c>
      <c r="E59" s="25">
        <f>0.693/D59</f>
        <v>19.965400814357</v>
      </c>
      <c r="F59" s="93">
        <f>D59/0.2*1000</f>
        <v>173.55023483968</v>
      </c>
      <c r="G59" s="89"/>
      <c r="H59" s="90"/>
      <c r="I59" s="90"/>
      <c r="J59" s="130"/>
    </row>
    <row r="60" ht="16.25" spans="2:10">
      <c r="B60" s="94" t="s">
        <v>97</v>
      </c>
      <c r="C60" s="95"/>
      <c r="D60" s="96">
        <f>AVERAGE(D58:D59)</f>
        <v>0.0347048321055361</v>
      </c>
      <c r="E60" s="97">
        <f>AVERAGE(E58:E59)</f>
        <v>19.9684013321229</v>
      </c>
      <c r="F60" s="98">
        <f>AVERAGE(F58:F59)</f>
        <v>173.52416052768</v>
      </c>
      <c r="G60" s="99"/>
      <c r="H60" s="95"/>
      <c r="I60" s="95"/>
      <c r="J60" s="131"/>
    </row>
    <row r="61" spans="2:10">
      <c r="B61" s="113"/>
      <c r="C61" s="113"/>
      <c r="D61" s="113"/>
      <c r="E61" s="113"/>
      <c r="F61" s="113"/>
      <c r="G61" s="113"/>
      <c r="H61" s="113"/>
      <c r="I61" s="113"/>
      <c r="J61" s="113"/>
    </row>
    <row r="62" ht="18.25" spans="2:10">
      <c r="B62" s="42" t="s">
        <v>230</v>
      </c>
      <c r="C62" s="101"/>
      <c r="D62" s="101"/>
      <c r="E62" s="101"/>
      <c r="F62" s="101"/>
      <c r="G62" s="101"/>
      <c r="H62" s="101"/>
      <c r="I62" s="101"/>
      <c r="J62" s="101"/>
    </row>
    <row r="63" spans="2:12">
      <c r="B63" s="44" t="s">
        <v>94</v>
      </c>
      <c r="C63" s="45"/>
      <c r="D63" s="46" t="s">
        <v>95</v>
      </c>
      <c r="E63" s="47" t="s">
        <v>96</v>
      </c>
      <c r="F63" s="47" t="s">
        <v>97</v>
      </c>
      <c r="G63" s="47" t="s">
        <v>157</v>
      </c>
      <c r="H63" s="48" t="s">
        <v>99</v>
      </c>
      <c r="I63" s="115"/>
      <c r="J63" s="132" t="s">
        <v>97</v>
      </c>
      <c r="K63" s="113"/>
      <c r="L63" s="113"/>
    </row>
    <row r="64" spans="2:12">
      <c r="B64" s="49"/>
      <c r="C64" s="50"/>
      <c r="D64" s="51"/>
      <c r="E64" s="52"/>
      <c r="F64" s="52"/>
      <c r="G64" s="52"/>
      <c r="H64" s="53" t="s">
        <v>100</v>
      </c>
      <c r="I64" s="53" t="s">
        <v>101</v>
      </c>
      <c r="J64" s="133"/>
      <c r="K64" s="113"/>
      <c r="L64" s="113"/>
    </row>
    <row r="65" spans="2:13">
      <c r="B65" s="106" t="s">
        <v>231</v>
      </c>
      <c r="C65" s="55" t="s">
        <v>232</v>
      </c>
      <c r="D65" s="56">
        <v>20</v>
      </c>
      <c r="E65" s="57">
        <f>VLOOKUP($C65,'Raw Data'!$A$92:$S$1716,7,0)</f>
        <v>0.0306</v>
      </c>
      <c r="F65" s="58">
        <f>AVERAGE(E65:E66)</f>
        <v>0.02995</v>
      </c>
      <c r="G65" s="59">
        <f>E65/E69*100</f>
        <v>17.8947368421053</v>
      </c>
      <c r="H65" s="68">
        <f>LN(G65)</f>
        <v>2.88450663844377</v>
      </c>
      <c r="I65" s="68">
        <f>LN(G66)</f>
        <v>2.80660796943728</v>
      </c>
      <c r="J65" s="126">
        <f>AVERAGE(H65:I66)</f>
        <v>2.84555730394053</v>
      </c>
      <c r="K65" s="113"/>
      <c r="L65" s="113"/>
      <c r="M65" s="113"/>
    </row>
    <row r="66" spans="2:13">
      <c r="B66" s="54"/>
      <c r="C66" s="61" t="s">
        <v>233</v>
      </c>
      <c r="D66" s="62"/>
      <c r="E66" s="57">
        <f>VLOOKUP($C66,'Raw Data'!$A$92:$S$1716,7,0)</f>
        <v>0.0293</v>
      </c>
      <c r="F66" s="63"/>
      <c r="G66" s="64">
        <f>E66/E70*100</f>
        <v>16.5536723163842</v>
      </c>
      <c r="H66" s="65"/>
      <c r="I66" s="65"/>
      <c r="J66" s="127"/>
      <c r="K66" s="113"/>
      <c r="L66" s="113"/>
      <c r="M66" s="113"/>
    </row>
    <row r="67" spans="2:13">
      <c r="B67" s="54"/>
      <c r="C67" s="55" t="s">
        <v>234</v>
      </c>
      <c r="D67" s="62">
        <v>5</v>
      </c>
      <c r="E67" s="66">
        <f>VLOOKUP($C67,'Raw Data'!$A$92:$S$1716,7,0)</f>
        <v>0.109</v>
      </c>
      <c r="F67" s="67">
        <f>AVERAGE(E67:E68)</f>
        <v>0.11</v>
      </c>
      <c r="G67" s="64">
        <f>E67/E69*100</f>
        <v>63.7426900584795</v>
      </c>
      <c r="H67" s="68">
        <f>LN(G67)</f>
        <v>4.15485451171457</v>
      </c>
      <c r="I67" s="68">
        <f>LN(G68)</f>
        <v>4.1385506547266</v>
      </c>
      <c r="J67" s="126">
        <f>AVERAGE(H67:I68)</f>
        <v>4.14670258322059</v>
      </c>
      <c r="K67" s="113"/>
      <c r="L67" s="113"/>
      <c r="M67" s="113"/>
    </row>
    <row r="68" spans="2:13">
      <c r="B68" s="54"/>
      <c r="C68" s="55" t="s">
        <v>235</v>
      </c>
      <c r="D68" s="62"/>
      <c r="E68" s="66">
        <f>VLOOKUP($C68,'Raw Data'!$A$92:$S$1716,7,0)</f>
        <v>0.111</v>
      </c>
      <c r="F68" s="63"/>
      <c r="G68" s="64">
        <f>E68/E70*100</f>
        <v>62.7118644067797</v>
      </c>
      <c r="H68" s="65"/>
      <c r="I68" s="65"/>
      <c r="J68" s="127"/>
      <c r="K68" s="113"/>
      <c r="L68" s="113"/>
      <c r="M68" s="113"/>
    </row>
    <row r="69" spans="2:13">
      <c r="B69" s="54"/>
      <c r="C69" s="69" t="s">
        <v>236</v>
      </c>
      <c r="D69" s="62">
        <v>0</v>
      </c>
      <c r="E69" s="66">
        <f>VLOOKUP($C69,'Raw Data'!$A$92:$S$1716,7,0)</f>
        <v>0.171</v>
      </c>
      <c r="F69" s="70">
        <f>AVERAGE(E69:E70)</f>
        <v>0.174</v>
      </c>
      <c r="G69" s="71">
        <f>E69/E69*100</f>
        <v>100</v>
      </c>
      <c r="H69" s="68">
        <f>LN(G69)</f>
        <v>4.60517018598809</v>
      </c>
      <c r="I69" s="68">
        <f>LN(G70)</f>
        <v>4.60517018598809</v>
      </c>
      <c r="J69" s="124">
        <f>AVERAGE(H69:I70)</f>
        <v>4.60517018598809</v>
      </c>
      <c r="K69" s="113"/>
      <c r="L69" s="113"/>
      <c r="M69" s="113"/>
    </row>
    <row r="70" ht="16.25" spans="2:13">
      <c r="B70" s="72"/>
      <c r="C70" s="73" t="s">
        <v>237</v>
      </c>
      <c r="D70" s="74"/>
      <c r="E70" s="66">
        <f>VLOOKUP($C70,'Raw Data'!$A$92:$S$1716,7,0)</f>
        <v>0.177</v>
      </c>
      <c r="F70" s="75"/>
      <c r="G70" s="75">
        <f>E70/E70*100</f>
        <v>100</v>
      </c>
      <c r="H70" s="76"/>
      <c r="I70" s="76"/>
      <c r="J70" s="128"/>
      <c r="K70" s="113"/>
      <c r="L70" s="113"/>
      <c r="M70" s="113"/>
    </row>
    <row r="71" ht="16.25" spans="2:10">
      <c r="B71" s="77" t="s">
        <v>112</v>
      </c>
      <c r="C71" s="134"/>
      <c r="D71" s="79" t="str">
        <f>B65</f>
        <v>7-HC
小鼠肝微粒体</v>
      </c>
      <c r="E71" s="80"/>
      <c r="F71" s="81"/>
      <c r="G71" s="82"/>
      <c r="H71" s="83"/>
      <c r="I71" s="83"/>
      <c r="J71" s="129"/>
    </row>
    <row r="72" ht="34.5" spans="2:10">
      <c r="B72" s="135"/>
      <c r="C72" s="85"/>
      <c r="D72" s="86" t="s">
        <v>113</v>
      </c>
      <c r="E72" s="87" t="s">
        <v>114</v>
      </c>
      <c r="F72" s="88" t="s">
        <v>115</v>
      </c>
      <c r="G72" s="89"/>
      <c r="H72" s="90"/>
      <c r="I72" s="90"/>
      <c r="J72" s="130"/>
    </row>
    <row r="73" spans="2:10">
      <c r="B73" s="91" t="s">
        <v>100</v>
      </c>
      <c r="C73" s="90"/>
      <c r="D73" s="92">
        <f>-SLOPE(H65:H70,D65:D70)</f>
        <v>0.0857231806481788</v>
      </c>
      <c r="E73" s="136">
        <f>0.693/D73</f>
        <v>8.0841610724196</v>
      </c>
      <c r="F73" s="93">
        <f>D73/0.2*1000</f>
        <v>428.615903240894</v>
      </c>
      <c r="G73" s="89"/>
      <c r="H73" s="90"/>
      <c r="I73" s="90"/>
      <c r="J73" s="130"/>
    </row>
    <row r="74" spans="2:10">
      <c r="B74" s="91" t="s">
        <v>101</v>
      </c>
      <c r="C74" s="90"/>
      <c r="D74" s="92">
        <f>-SLOPE(I65:I70,D65:D70)</f>
        <v>0.0896668957948666</v>
      </c>
      <c r="E74" s="136">
        <f>0.693/D74</f>
        <v>7.72860478615647</v>
      </c>
      <c r="F74" s="93">
        <f>D74/0.2*1000</f>
        <v>448.334478974333</v>
      </c>
      <c r="G74" s="89"/>
      <c r="H74" s="90"/>
      <c r="I74" s="90"/>
      <c r="J74" s="130"/>
    </row>
    <row r="75" ht="16.25" spans="2:10">
      <c r="B75" s="94" t="s">
        <v>97</v>
      </c>
      <c r="C75" s="95"/>
      <c r="D75" s="96">
        <f>AVERAGE(D73:D74)</f>
        <v>0.0876950382215227</v>
      </c>
      <c r="E75" s="137">
        <f>AVERAGE(E73:E74)</f>
        <v>7.90638292928803</v>
      </c>
      <c r="F75" s="98">
        <f>AVERAGE(F73:F74)</f>
        <v>438.475191107614</v>
      </c>
      <c r="G75" s="99"/>
      <c r="H75" s="95"/>
      <c r="I75" s="95"/>
      <c r="J75" s="131"/>
    </row>
    <row r="76" spans="3:10">
      <c r="C76" s="113"/>
      <c r="D76" s="113"/>
      <c r="E76" s="113"/>
      <c r="F76" s="113"/>
      <c r="G76" s="113"/>
      <c r="H76" s="113"/>
      <c r="I76" s="113"/>
      <c r="J76" s="113"/>
    </row>
    <row r="77" spans="3:10">
      <c r="C77" s="113"/>
      <c r="D77" s="113"/>
      <c r="E77" s="113"/>
      <c r="F77" s="113"/>
      <c r="G77" s="113"/>
      <c r="H77" s="113"/>
      <c r="I77" s="113"/>
      <c r="J77" s="113"/>
    </row>
  </sheetData>
  <mergeCells count="140">
    <mergeCell ref="B2:J2"/>
    <mergeCell ref="H3:I3"/>
    <mergeCell ref="D11:F11"/>
    <mergeCell ref="B17:J17"/>
    <mergeCell ref="H18:I18"/>
    <mergeCell ref="D26:F26"/>
    <mergeCell ref="B32:J32"/>
    <mergeCell ref="H33:I33"/>
    <mergeCell ref="D41:F41"/>
    <mergeCell ref="B47:J47"/>
    <mergeCell ref="H48:I48"/>
    <mergeCell ref="D56:F56"/>
    <mergeCell ref="B62:J62"/>
    <mergeCell ref="H63:I63"/>
    <mergeCell ref="D71:F71"/>
    <mergeCell ref="B3:B4"/>
    <mergeCell ref="B5:B10"/>
    <mergeCell ref="B11:B12"/>
    <mergeCell ref="B18:B19"/>
    <mergeCell ref="B20:B25"/>
    <mergeCell ref="B26:B27"/>
    <mergeCell ref="B33:B34"/>
    <mergeCell ref="B35:B40"/>
    <mergeCell ref="B41:B42"/>
    <mergeCell ref="B48:B49"/>
    <mergeCell ref="B50:B55"/>
    <mergeCell ref="B56:B57"/>
    <mergeCell ref="B63:B64"/>
    <mergeCell ref="B65:B70"/>
    <mergeCell ref="B71:B72"/>
    <mergeCell ref="C3:C4"/>
    <mergeCell ref="C18:C19"/>
    <mergeCell ref="C33:C34"/>
    <mergeCell ref="C48:C49"/>
    <mergeCell ref="C63:C64"/>
    <mergeCell ref="D3:D4"/>
    <mergeCell ref="D5:D6"/>
    <mergeCell ref="D7:D8"/>
    <mergeCell ref="D9:D10"/>
    <mergeCell ref="D18:D19"/>
    <mergeCell ref="D20:D21"/>
    <mergeCell ref="D22:D23"/>
    <mergeCell ref="D24:D25"/>
    <mergeCell ref="D33:D34"/>
    <mergeCell ref="D35:D36"/>
    <mergeCell ref="D37:D38"/>
    <mergeCell ref="D39:D40"/>
    <mergeCell ref="D48:D49"/>
    <mergeCell ref="D50:D51"/>
    <mergeCell ref="D52:D53"/>
    <mergeCell ref="D54:D55"/>
    <mergeCell ref="D63:D64"/>
    <mergeCell ref="D65:D66"/>
    <mergeCell ref="D67:D68"/>
    <mergeCell ref="D69:D70"/>
    <mergeCell ref="E3:E4"/>
    <mergeCell ref="E18:E19"/>
    <mergeCell ref="E33:E34"/>
    <mergeCell ref="E48:E49"/>
    <mergeCell ref="E63:E64"/>
    <mergeCell ref="F3:F4"/>
    <mergeCell ref="F5:F6"/>
    <mergeCell ref="F7:F8"/>
    <mergeCell ref="F9:F10"/>
    <mergeCell ref="F18:F19"/>
    <mergeCell ref="F20:F21"/>
    <mergeCell ref="F22:F23"/>
    <mergeCell ref="F24:F25"/>
    <mergeCell ref="F33:F34"/>
    <mergeCell ref="F35:F36"/>
    <mergeCell ref="F37:F38"/>
    <mergeCell ref="F39:F40"/>
    <mergeCell ref="F48:F49"/>
    <mergeCell ref="F50:F51"/>
    <mergeCell ref="F52:F53"/>
    <mergeCell ref="F54:F55"/>
    <mergeCell ref="F63:F64"/>
    <mergeCell ref="F65:F66"/>
    <mergeCell ref="F67:F68"/>
    <mergeCell ref="F69:F70"/>
    <mergeCell ref="G3:G4"/>
    <mergeCell ref="G18:G19"/>
    <mergeCell ref="G33:G34"/>
    <mergeCell ref="G48:G49"/>
    <mergeCell ref="G63:G64"/>
    <mergeCell ref="H5:H6"/>
    <mergeCell ref="H7:H8"/>
    <mergeCell ref="H9:H10"/>
    <mergeCell ref="H20:H21"/>
    <mergeCell ref="H22:H23"/>
    <mergeCell ref="H24:H25"/>
    <mergeCell ref="H35:H36"/>
    <mergeCell ref="H37:H38"/>
    <mergeCell ref="H39:H40"/>
    <mergeCell ref="H50:H51"/>
    <mergeCell ref="H52:H53"/>
    <mergeCell ref="H54:H55"/>
    <mergeCell ref="H65:H66"/>
    <mergeCell ref="H67:H68"/>
    <mergeCell ref="H69:H70"/>
    <mergeCell ref="I5:I6"/>
    <mergeCell ref="I7:I8"/>
    <mergeCell ref="I9:I10"/>
    <mergeCell ref="I20:I21"/>
    <mergeCell ref="I22:I23"/>
    <mergeCell ref="I24:I25"/>
    <mergeCell ref="I35:I36"/>
    <mergeCell ref="I37:I38"/>
    <mergeCell ref="I39:I40"/>
    <mergeCell ref="I50:I51"/>
    <mergeCell ref="I52:I53"/>
    <mergeCell ref="I54:I55"/>
    <mergeCell ref="I65:I66"/>
    <mergeCell ref="I67:I68"/>
    <mergeCell ref="I69:I70"/>
    <mergeCell ref="J3:J4"/>
    <mergeCell ref="J5:J6"/>
    <mergeCell ref="J7:J8"/>
    <mergeCell ref="J9:J10"/>
    <mergeCell ref="J18:J19"/>
    <mergeCell ref="J20:J21"/>
    <mergeCell ref="J22:J23"/>
    <mergeCell ref="J24:J25"/>
    <mergeCell ref="J33:J34"/>
    <mergeCell ref="J35:J36"/>
    <mergeCell ref="J37:J38"/>
    <mergeCell ref="J39:J40"/>
    <mergeCell ref="J48:J49"/>
    <mergeCell ref="J50:J51"/>
    <mergeCell ref="J52:J53"/>
    <mergeCell ref="J54:J55"/>
    <mergeCell ref="J63:J64"/>
    <mergeCell ref="J65:J66"/>
    <mergeCell ref="J67:J68"/>
    <mergeCell ref="J69:J70"/>
    <mergeCell ref="G71:J75"/>
    <mergeCell ref="G56:J60"/>
    <mergeCell ref="G41:J45"/>
    <mergeCell ref="G26:J30"/>
    <mergeCell ref="G11:J15"/>
  </mergeCells>
  <printOptions horizontalCentered="1"/>
  <pageMargins left="0.393700787401575" right="0.393700787401575" top="1.45669291338583" bottom="0.984251968503937" header="0.78740157480315" footer="0.511811023622047"/>
  <pageSetup paperSize="9" scale="85" firstPageNumber="4294963191" orientation="landscape" useFirstPageNumber="1"/>
  <headerFooter>
    <oddHeader>&amp;L&amp;10笔记编号/Notebook No.__________________页码/Page__________编号/No.________________
课题编号/Study No._______________</oddHeader>
    <oddFooter>&amp;R&amp;10操作人和日期/Operator and Date_________________________    复核人和日期/Verifier and Date_________________________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44"/>
  <sheetViews>
    <sheetView zoomScale="90" zoomScaleNormal="90" zoomScaleSheetLayoutView="85" workbookViewId="0">
      <selection activeCell="M112" sqref="M112"/>
    </sheetView>
  </sheetViews>
  <sheetFormatPr defaultColWidth="9" defaultRowHeight="15.5"/>
  <cols>
    <col min="1" max="1" width="43.75" style="33" customWidth="1"/>
    <col min="2" max="2" width="9" style="33" customWidth="1"/>
    <col min="3" max="3" width="12.125" style="34" customWidth="1"/>
    <col min="4" max="5" width="10" style="34" customWidth="1"/>
    <col min="6" max="6" width="11.25" style="34" customWidth="1"/>
    <col min="7" max="7" width="9.75" style="34" customWidth="1"/>
    <col min="8" max="9" width="9" style="34"/>
    <col min="10" max="10" width="11.75" style="34" customWidth="1"/>
    <col min="11" max="13" width="9" style="34"/>
    <col min="14" max="14" width="21.5" style="33" customWidth="1"/>
    <col min="15" max="15" width="9" style="33" customWidth="1"/>
    <col min="16" max="16384" width="9" style="33"/>
  </cols>
  <sheetData>
    <row r="1" s="30" customFormat="1" spans="1:13">
      <c r="A1" s="35" t="str">
        <f>Summary!B10</f>
        <v>HW356060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">
      <c r="A2" s="33" t="s">
        <v>238</v>
      </c>
    </row>
    <row r="3" spans="1:1">
      <c r="A3" s="33" t="s">
        <v>239</v>
      </c>
    </row>
    <row r="4" spans="1:1">
      <c r="A4" s="33" t="s">
        <v>240</v>
      </c>
    </row>
    <row r="5" spans="1:1">
      <c r="A5" s="33" t="s">
        <v>241</v>
      </c>
    </row>
    <row r="6" spans="1:1">
      <c r="A6" s="33" t="s">
        <v>239</v>
      </c>
    </row>
    <row r="7" spans="1:1">
      <c r="A7" s="33" t="s">
        <v>242</v>
      </c>
    </row>
    <row r="9" spans="1:1">
      <c r="A9" s="33" t="s">
        <v>243</v>
      </c>
    </row>
    <row r="10" spans="1:1">
      <c r="A10" s="33" t="s">
        <v>244</v>
      </c>
    </row>
    <row r="11" spans="1:1">
      <c r="A11" s="33" t="s">
        <v>245</v>
      </c>
    </row>
    <row r="13" spans="1:6">
      <c r="A13" s="33" t="s">
        <v>246</v>
      </c>
      <c r="B13" s="33" t="s">
        <v>247</v>
      </c>
      <c r="C13" s="34" t="s">
        <v>248</v>
      </c>
      <c r="D13" s="34" t="s">
        <v>249</v>
      </c>
      <c r="E13" s="34" t="s">
        <v>250</v>
      </c>
      <c r="F13" s="34" t="s">
        <v>251</v>
      </c>
    </row>
    <row r="14" spans="1:2">
      <c r="A14" s="33" t="s">
        <v>252</v>
      </c>
      <c r="B14" s="33" t="s">
        <v>253</v>
      </c>
    </row>
    <row r="15" spans="1:1">
      <c r="A15" s="33" t="s">
        <v>254</v>
      </c>
    </row>
    <row r="16" s="31" customFormat="1" spans="3:13"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spans="1:1">
      <c r="A17" s="33" t="s">
        <v>255</v>
      </c>
    </row>
    <row r="18" spans="1:1">
      <c r="A18" s="33" t="s">
        <v>256</v>
      </c>
    </row>
    <row r="19" spans="1:1">
      <c r="A19" s="33" t="s">
        <v>245</v>
      </c>
    </row>
    <row r="21" spans="1:6">
      <c r="A21" s="33" t="s">
        <v>246</v>
      </c>
      <c r="B21" s="33" t="s">
        <v>247</v>
      </c>
      <c r="C21" s="34" t="s">
        <v>248</v>
      </c>
      <c r="D21" s="34" t="s">
        <v>249</v>
      </c>
      <c r="E21" s="34" t="s">
        <v>250</v>
      </c>
      <c r="F21" s="34" t="s">
        <v>251</v>
      </c>
    </row>
    <row r="22" spans="1:2">
      <c r="A22" s="33" t="s">
        <v>252</v>
      </c>
      <c r="B22" s="33" t="s">
        <v>253</v>
      </c>
    </row>
    <row r="23" spans="1:1">
      <c r="A23" s="33" t="s">
        <v>254</v>
      </c>
    </row>
    <row r="27" s="31" customFormat="1" ht="46.5" spans="1:14">
      <c r="A27" s="31" t="s">
        <v>257</v>
      </c>
      <c r="B27" s="31" t="s">
        <v>258</v>
      </c>
      <c r="C27" s="37" t="s">
        <v>259</v>
      </c>
      <c r="D27" s="37" t="s">
        <v>260</v>
      </c>
      <c r="E27" s="37" t="s">
        <v>261</v>
      </c>
      <c r="F27" s="37" t="s">
        <v>262</v>
      </c>
      <c r="G27" s="37" t="s">
        <v>263</v>
      </c>
      <c r="H27" s="37" t="s">
        <v>264</v>
      </c>
      <c r="I27" s="37" t="s">
        <v>265</v>
      </c>
      <c r="J27" s="37" t="s">
        <v>266</v>
      </c>
      <c r="K27" s="37" t="s">
        <v>267</v>
      </c>
      <c r="L27" s="37" t="s">
        <v>268</v>
      </c>
      <c r="M27" s="37" t="s">
        <v>269</v>
      </c>
      <c r="N27" s="31" t="s">
        <v>270</v>
      </c>
    </row>
    <row r="28" spans="1:14">
      <c r="A28" s="33" t="s">
        <v>271</v>
      </c>
      <c r="B28" s="33" t="s">
        <v>272</v>
      </c>
      <c r="C28" s="34" t="s">
        <v>273</v>
      </c>
      <c r="D28" s="34">
        <v>1</v>
      </c>
      <c r="E28" s="38">
        <v>0</v>
      </c>
      <c r="F28" s="38">
        <v>0</v>
      </c>
      <c r="G28" s="34" t="e">
        <v>#DIV/0!</v>
      </c>
      <c r="I28" s="34">
        <v>0</v>
      </c>
      <c r="J28" s="34" t="e">
        <v>#DIV/0!</v>
      </c>
      <c r="K28" s="34" t="s">
        <v>273</v>
      </c>
      <c r="L28" s="34">
        <v>20001</v>
      </c>
      <c r="M28" s="34">
        <v>1</v>
      </c>
      <c r="N28" s="33" t="s">
        <v>274</v>
      </c>
    </row>
    <row r="29" spans="1:14">
      <c r="A29" s="33" t="s">
        <v>271</v>
      </c>
      <c r="B29" s="33" t="s">
        <v>272</v>
      </c>
      <c r="C29" s="34" t="s">
        <v>273</v>
      </c>
      <c r="D29" s="34">
        <v>1</v>
      </c>
      <c r="E29" s="38">
        <v>0</v>
      </c>
      <c r="F29" s="38">
        <v>0</v>
      </c>
      <c r="G29" s="34" t="e">
        <v>#DIV/0!</v>
      </c>
      <c r="I29" s="34">
        <v>0</v>
      </c>
      <c r="J29" s="34" t="e">
        <v>#DIV/0!</v>
      </c>
      <c r="K29" s="34" t="s">
        <v>273</v>
      </c>
      <c r="L29" s="34">
        <v>20001</v>
      </c>
      <c r="M29" s="34">
        <v>1</v>
      </c>
      <c r="N29" s="33" t="s">
        <v>275</v>
      </c>
    </row>
    <row r="30" spans="1:14">
      <c r="A30" s="33" t="s">
        <v>102</v>
      </c>
      <c r="B30" s="33" t="s">
        <v>272</v>
      </c>
      <c r="C30" s="34" t="s">
        <v>273</v>
      </c>
      <c r="D30" s="34">
        <v>1</v>
      </c>
      <c r="E30" s="38">
        <v>134000</v>
      </c>
      <c r="F30" s="38">
        <v>133000</v>
      </c>
      <c r="G30" s="34">
        <v>1.01</v>
      </c>
      <c r="I30" s="34">
        <v>0</v>
      </c>
      <c r="J30" s="34">
        <v>0</v>
      </c>
      <c r="K30" s="34" t="s">
        <v>273</v>
      </c>
      <c r="L30" s="34">
        <v>1</v>
      </c>
      <c r="M30" s="34">
        <v>1</v>
      </c>
      <c r="N30" s="33" t="s">
        <v>276</v>
      </c>
    </row>
    <row r="31" s="31" customFormat="1" spans="1:14">
      <c r="A31" s="31" t="s">
        <v>103</v>
      </c>
      <c r="B31" s="31" t="s">
        <v>272</v>
      </c>
      <c r="C31" s="37" t="s">
        <v>273</v>
      </c>
      <c r="D31" s="37">
        <v>1</v>
      </c>
      <c r="E31" s="39">
        <v>136000</v>
      </c>
      <c r="F31" s="39">
        <v>130000</v>
      </c>
      <c r="G31" s="37">
        <v>1.05</v>
      </c>
      <c r="H31" s="37"/>
      <c r="I31" s="37">
        <v>0</v>
      </c>
      <c r="J31" s="37">
        <v>0</v>
      </c>
      <c r="K31" s="37" t="s">
        <v>273</v>
      </c>
      <c r="L31" s="37">
        <v>2</v>
      </c>
      <c r="M31" s="37">
        <v>1</v>
      </c>
      <c r="N31" s="31" t="s">
        <v>277</v>
      </c>
    </row>
    <row r="32" spans="1:14">
      <c r="A32" s="33" t="s">
        <v>104</v>
      </c>
      <c r="B32" s="33" t="s">
        <v>272</v>
      </c>
      <c r="C32" s="34" t="s">
        <v>273</v>
      </c>
      <c r="D32" s="34">
        <v>1</v>
      </c>
      <c r="E32" s="38">
        <v>135000</v>
      </c>
      <c r="F32" s="38">
        <v>124000</v>
      </c>
      <c r="G32" s="34">
        <v>1.09</v>
      </c>
      <c r="I32" s="34">
        <v>0</v>
      </c>
      <c r="J32" s="34">
        <v>0</v>
      </c>
      <c r="K32" s="34" t="s">
        <v>273</v>
      </c>
      <c r="L32" s="34">
        <v>13</v>
      </c>
      <c r="M32" s="34">
        <v>1</v>
      </c>
      <c r="N32" s="33" t="s">
        <v>278</v>
      </c>
    </row>
    <row r="33" spans="1:14">
      <c r="A33" s="33" t="s">
        <v>105</v>
      </c>
      <c r="B33" s="33" t="s">
        <v>272</v>
      </c>
      <c r="C33" s="34" t="s">
        <v>273</v>
      </c>
      <c r="D33" s="34">
        <v>1</v>
      </c>
      <c r="E33" s="38">
        <v>122000</v>
      </c>
      <c r="F33" s="38">
        <v>122000</v>
      </c>
      <c r="G33" s="34">
        <v>1</v>
      </c>
      <c r="I33" s="34">
        <v>0</v>
      </c>
      <c r="J33" s="34">
        <v>0</v>
      </c>
      <c r="K33" s="34" t="s">
        <v>273</v>
      </c>
      <c r="L33" s="34">
        <v>14</v>
      </c>
      <c r="M33" s="34">
        <v>1</v>
      </c>
      <c r="N33" s="33" t="s">
        <v>279</v>
      </c>
    </row>
    <row r="34" spans="1:14">
      <c r="A34" s="33" t="s">
        <v>106</v>
      </c>
      <c r="B34" s="33" t="s">
        <v>272</v>
      </c>
      <c r="C34" s="34" t="s">
        <v>273</v>
      </c>
      <c r="D34" s="34">
        <v>1</v>
      </c>
      <c r="E34" s="38">
        <v>146000</v>
      </c>
      <c r="F34" s="38">
        <v>131000</v>
      </c>
      <c r="G34" s="34">
        <v>1.12</v>
      </c>
      <c r="I34" s="34">
        <v>0</v>
      </c>
      <c r="J34" s="34">
        <v>0</v>
      </c>
      <c r="K34" s="34" t="s">
        <v>273</v>
      </c>
      <c r="L34" s="34">
        <v>25</v>
      </c>
      <c r="M34" s="34">
        <v>1</v>
      </c>
      <c r="N34" s="33" t="s">
        <v>280</v>
      </c>
    </row>
    <row r="35" spans="1:14">
      <c r="A35" s="33" t="s">
        <v>107</v>
      </c>
      <c r="B35" s="33" t="s">
        <v>272</v>
      </c>
      <c r="C35" s="34" t="s">
        <v>273</v>
      </c>
      <c r="D35" s="34">
        <v>1</v>
      </c>
      <c r="E35" s="38">
        <v>140000</v>
      </c>
      <c r="F35" s="38">
        <v>132000</v>
      </c>
      <c r="G35" s="34">
        <v>1.06</v>
      </c>
      <c r="I35" s="34">
        <v>0</v>
      </c>
      <c r="J35" s="34">
        <v>0</v>
      </c>
      <c r="K35" s="34" t="s">
        <v>273</v>
      </c>
      <c r="L35" s="34">
        <v>26</v>
      </c>
      <c r="M35" s="34">
        <v>1</v>
      </c>
      <c r="N35" s="33" t="s">
        <v>281</v>
      </c>
    </row>
    <row r="36" spans="1:14">
      <c r="A36" s="33" t="s">
        <v>108</v>
      </c>
      <c r="B36" s="33" t="s">
        <v>272</v>
      </c>
      <c r="C36" s="34" t="s">
        <v>273</v>
      </c>
      <c r="D36" s="34">
        <v>1</v>
      </c>
      <c r="E36" s="38">
        <v>143000</v>
      </c>
      <c r="F36" s="38">
        <v>142000</v>
      </c>
      <c r="G36" s="34">
        <v>1.01</v>
      </c>
      <c r="I36" s="34">
        <v>0</v>
      </c>
      <c r="J36" s="34">
        <v>0</v>
      </c>
      <c r="K36" s="34" t="s">
        <v>273</v>
      </c>
      <c r="L36" s="34">
        <v>37</v>
      </c>
      <c r="M36" s="34">
        <v>1</v>
      </c>
      <c r="N36" s="33" t="s">
        <v>282</v>
      </c>
    </row>
    <row r="37" spans="1:14">
      <c r="A37" s="33" t="s">
        <v>109</v>
      </c>
      <c r="B37" s="33" t="s">
        <v>272</v>
      </c>
      <c r="C37" s="34" t="s">
        <v>273</v>
      </c>
      <c r="D37" s="34">
        <v>1</v>
      </c>
      <c r="E37" s="38">
        <v>143000</v>
      </c>
      <c r="F37" s="38">
        <v>135000</v>
      </c>
      <c r="G37" s="34">
        <v>1.06</v>
      </c>
      <c r="I37" s="34">
        <v>0</v>
      </c>
      <c r="J37" s="34">
        <v>0</v>
      </c>
      <c r="K37" s="34" t="s">
        <v>273</v>
      </c>
      <c r="L37" s="34">
        <v>38</v>
      </c>
      <c r="M37" s="34">
        <v>1</v>
      </c>
      <c r="N37" s="33" t="s">
        <v>283</v>
      </c>
    </row>
    <row r="38" spans="1:14">
      <c r="A38" s="33" t="s">
        <v>110</v>
      </c>
      <c r="B38" s="33" t="s">
        <v>272</v>
      </c>
      <c r="C38" s="34" t="s">
        <v>273</v>
      </c>
      <c r="D38" s="34">
        <v>1</v>
      </c>
      <c r="E38" s="38">
        <v>140000</v>
      </c>
      <c r="F38" s="38">
        <v>134000</v>
      </c>
      <c r="G38" s="34">
        <v>1.04</v>
      </c>
      <c r="I38" s="34">
        <v>0</v>
      </c>
      <c r="J38" s="34">
        <v>0</v>
      </c>
      <c r="K38" s="34" t="s">
        <v>273</v>
      </c>
      <c r="L38" s="34">
        <v>49</v>
      </c>
      <c r="M38" s="34">
        <v>1</v>
      </c>
      <c r="N38" s="33" t="s">
        <v>284</v>
      </c>
    </row>
    <row r="39" spans="1:14">
      <c r="A39" s="33" t="s">
        <v>111</v>
      </c>
      <c r="B39" s="33" t="s">
        <v>272</v>
      </c>
      <c r="C39" s="34" t="s">
        <v>273</v>
      </c>
      <c r="D39" s="34">
        <v>1</v>
      </c>
      <c r="E39" s="38">
        <v>136000</v>
      </c>
      <c r="F39" s="38">
        <v>123000</v>
      </c>
      <c r="G39" s="34">
        <v>1.11</v>
      </c>
      <c r="I39" s="34">
        <v>0</v>
      </c>
      <c r="J39" s="34">
        <v>0</v>
      </c>
      <c r="K39" s="34" t="s">
        <v>273</v>
      </c>
      <c r="L39" s="34">
        <v>50</v>
      </c>
      <c r="M39" s="34">
        <v>1</v>
      </c>
      <c r="N39" s="33" t="s">
        <v>285</v>
      </c>
    </row>
    <row r="40" spans="1:14">
      <c r="A40" s="33" t="s">
        <v>271</v>
      </c>
      <c r="B40" s="33" t="s">
        <v>272</v>
      </c>
      <c r="C40" s="34" t="s">
        <v>273</v>
      </c>
      <c r="D40" s="34">
        <v>1</v>
      </c>
      <c r="E40" s="38">
        <v>0</v>
      </c>
      <c r="F40" s="38">
        <v>0</v>
      </c>
      <c r="G40" s="34" t="e">
        <v>#DIV/0!</v>
      </c>
      <c r="I40" s="34">
        <v>0</v>
      </c>
      <c r="J40" s="34" t="e">
        <v>#DIV/0!</v>
      </c>
      <c r="K40" s="34" t="s">
        <v>273</v>
      </c>
      <c r="L40" s="34">
        <v>20001</v>
      </c>
      <c r="M40" s="34">
        <v>1</v>
      </c>
      <c r="N40" s="33" t="s">
        <v>286</v>
      </c>
    </row>
    <row r="41" spans="1:14">
      <c r="A41" s="33" t="s">
        <v>271</v>
      </c>
      <c r="B41" s="33" t="s">
        <v>272</v>
      </c>
      <c r="C41" s="34" t="s">
        <v>273</v>
      </c>
      <c r="D41" s="34">
        <v>1</v>
      </c>
      <c r="E41" s="38">
        <v>0</v>
      </c>
      <c r="F41" s="38">
        <v>0</v>
      </c>
      <c r="G41" s="34" t="e">
        <v>#DIV/0!</v>
      </c>
      <c r="I41" s="34">
        <v>0</v>
      </c>
      <c r="J41" s="34" t="e">
        <v>#DIV/0!</v>
      </c>
      <c r="K41" s="34" t="s">
        <v>273</v>
      </c>
      <c r="L41" s="34">
        <v>20001</v>
      </c>
      <c r="M41" s="34">
        <v>1</v>
      </c>
      <c r="N41" s="33" t="s">
        <v>287</v>
      </c>
    </row>
    <row r="42" spans="1:14">
      <c r="A42" s="33" t="s">
        <v>116</v>
      </c>
      <c r="B42" s="33" t="s">
        <v>272</v>
      </c>
      <c r="C42" s="34" t="s">
        <v>273</v>
      </c>
      <c r="D42" s="34">
        <v>1</v>
      </c>
      <c r="E42" s="38">
        <v>141000</v>
      </c>
      <c r="F42" s="38">
        <v>119000</v>
      </c>
      <c r="G42" s="34">
        <v>1.18</v>
      </c>
      <c r="I42" s="34">
        <v>0</v>
      </c>
      <c r="J42" s="34">
        <v>0</v>
      </c>
      <c r="K42" s="34" t="s">
        <v>273</v>
      </c>
      <c r="L42" s="34">
        <v>3</v>
      </c>
      <c r="M42" s="34">
        <v>1</v>
      </c>
      <c r="N42" s="33" t="s">
        <v>288</v>
      </c>
    </row>
    <row r="43" spans="1:14">
      <c r="A43" s="33" t="s">
        <v>117</v>
      </c>
      <c r="B43" s="33" t="s">
        <v>272</v>
      </c>
      <c r="C43" s="34" t="s">
        <v>273</v>
      </c>
      <c r="D43" s="34">
        <v>1</v>
      </c>
      <c r="E43" s="38">
        <v>134000</v>
      </c>
      <c r="F43" s="38">
        <v>120000</v>
      </c>
      <c r="G43" s="34">
        <v>1.12</v>
      </c>
      <c r="I43" s="34">
        <v>0</v>
      </c>
      <c r="J43" s="34">
        <v>0</v>
      </c>
      <c r="K43" s="34" t="s">
        <v>273</v>
      </c>
      <c r="L43" s="34">
        <v>4</v>
      </c>
      <c r="M43" s="34">
        <v>1</v>
      </c>
      <c r="N43" s="33" t="s">
        <v>289</v>
      </c>
    </row>
    <row r="44" spans="1:14">
      <c r="A44" s="33" t="s">
        <v>118</v>
      </c>
      <c r="B44" s="33" t="s">
        <v>272</v>
      </c>
      <c r="C44" s="34" t="s">
        <v>273</v>
      </c>
      <c r="D44" s="34">
        <v>1</v>
      </c>
      <c r="E44" s="38">
        <v>137000</v>
      </c>
      <c r="F44" s="38">
        <v>127000</v>
      </c>
      <c r="G44" s="34">
        <v>1.08</v>
      </c>
      <c r="I44" s="34">
        <v>0</v>
      </c>
      <c r="J44" s="34">
        <v>0</v>
      </c>
      <c r="K44" s="34" t="s">
        <v>273</v>
      </c>
      <c r="L44" s="34">
        <v>15</v>
      </c>
      <c r="M44" s="34">
        <v>1</v>
      </c>
      <c r="N44" s="33" t="s">
        <v>290</v>
      </c>
    </row>
    <row r="45" s="12" customFormat="1" spans="1:14">
      <c r="A45" s="12" t="s">
        <v>119</v>
      </c>
      <c r="B45" s="12" t="s">
        <v>272</v>
      </c>
      <c r="C45" s="18" t="s">
        <v>273</v>
      </c>
      <c r="D45" s="18">
        <v>1</v>
      </c>
      <c r="E45" s="40">
        <v>129000</v>
      </c>
      <c r="F45" s="40">
        <v>127000</v>
      </c>
      <c r="G45" s="18">
        <v>1.01</v>
      </c>
      <c r="H45" s="18"/>
      <c r="I45" s="18">
        <v>0</v>
      </c>
      <c r="J45" s="18">
        <v>0</v>
      </c>
      <c r="K45" s="18" t="s">
        <v>273</v>
      </c>
      <c r="L45" s="18">
        <v>16</v>
      </c>
      <c r="M45" s="18">
        <v>1</v>
      </c>
      <c r="N45" s="12" t="s">
        <v>291</v>
      </c>
    </row>
    <row r="46" s="12" customFormat="1" spans="1:14">
      <c r="A46" s="12" t="s">
        <v>120</v>
      </c>
      <c r="B46" s="12" t="s">
        <v>272</v>
      </c>
      <c r="C46" s="18" t="s">
        <v>273</v>
      </c>
      <c r="D46" s="18">
        <v>1</v>
      </c>
      <c r="E46" s="40">
        <v>145000</v>
      </c>
      <c r="F46" s="40">
        <v>130000</v>
      </c>
      <c r="G46" s="18">
        <v>1.12</v>
      </c>
      <c r="H46" s="18"/>
      <c r="I46" s="18">
        <v>0</v>
      </c>
      <c r="J46" s="18">
        <v>0</v>
      </c>
      <c r="K46" s="18" t="s">
        <v>273</v>
      </c>
      <c r="L46" s="18">
        <v>27</v>
      </c>
      <c r="M46" s="18">
        <v>1</v>
      </c>
      <c r="N46" s="12" t="s">
        <v>292</v>
      </c>
    </row>
    <row r="47" spans="1:14">
      <c r="A47" s="33" t="s">
        <v>121</v>
      </c>
      <c r="B47" s="33" t="s">
        <v>272</v>
      </c>
      <c r="C47" s="34" t="s">
        <v>273</v>
      </c>
      <c r="D47" s="34">
        <v>1</v>
      </c>
      <c r="E47" s="38">
        <v>146000</v>
      </c>
      <c r="F47" s="38">
        <v>133000</v>
      </c>
      <c r="G47" s="34">
        <v>1.1</v>
      </c>
      <c r="I47" s="34">
        <v>0</v>
      </c>
      <c r="J47" s="34">
        <v>0</v>
      </c>
      <c r="K47" s="34" t="s">
        <v>273</v>
      </c>
      <c r="L47" s="34">
        <v>28</v>
      </c>
      <c r="M47" s="34">
        <v>1</v>
      </c>
      <c r="N47" s="33" t="s">
        <v>293</v>
      </c>
    </row>
    <row r="48" spans="1:14">
      <c r="A48" s="33" t="s">
        <v>122</v>
      </c>
      <c r="B48" s="33" t="s">
        <v>272</v>
      </c>
      <c r="C48" s="34" t="s">
        <v>273</v>
      </c>
      <c r="D48" s="34">
        <v>1</v>
      </c>
      <c r="E48" s="38">
        <v>141000</v>
      </c>
      <c r="F48" s="38">
        <v>135000</v>
      </c>
      <c r="G48" s="34">
        <v>1.04</v>
      </c>
      <c r="I48" s="34">
        <v>0</v>
      </c>
      <c r="J48" s="34">
        <v>0</v>
      </c>
      <c r="K48" s="34" t="s">
        <v>273</v>
      </c>
      <c r="L48" s="34">
        <v>39</v>
      </c>
      <c r="M48" s="34">
        <v>1</v>
      </c>
      <c r="N48" s="33" t="s">
        <v>294</v>
      </c>
    </row>
    <row r="49" spans="1:14">
      <c r="A49" s="33" t="s">
        <v>123</v>
      </c>
      <c r="B49" s="33" t="s">
        <v>272</v>
      </c>
      <c r="C49" s="34" t="s">
        <v>273</v>
      </c>
      <c r="D49" s="34">
        <v>1</v>
      </c>
      <c r="E49" s="38">
        <v>137000</v>
      </c>
      <c r="F49" s="38">
        <v>132000</v>
      </c>
      <c r="G49" s="34">
        <v>1.04</v>
      </c>
      <c r="I49" s="34">
        <v>0</v>
      </c>
      <c r="J49" s="34">
        <v>0</v>
      </c>
      <c r="K49" s="34" t="s">
        <v>273</v>
      </c>
      <c r="L49" s="34">
        <v>40</v>
      </c>
      <c r="M49" s="34">
        <v>1</v>
      </c>
      <c r="N49" s="33" t="s">
        <v>295</v>
      </c>
    </row>
    <row r="50" spans="1:14">
      <c r="A50" s="33" t="s">
        <v>124</v>
      </c>
      <c r="B50" s="33" t="s">
        <v>272</v>
      </c>
      <c r="C50" s="34" t="s">
        <v>273</v>
      </c>
      <c r="D50" s="34">
        <v>1</v>
      </c>
      <c r="E50" s="38">
        <v>134000</v>
      </c>
      <c r="F50" s="38">
        <v>128000</v>
      </c>
      <c r="G50" s="34">
        <v>1.05</v>
      </c>
      <c r="I50" s="34">
        <v>0</v>
      </c>
      <c r="J50" s="34">
        <v>0</v>
      </c>
      <c r="K50" s="34" t="s">
        <v>273</v>
      </c>
      <c r="L50" s="34">
        <v>51</v>
      </c>
      <c r="M50" s="34">
        <v>1</v>
      </c>
      <c r="N50" s="33" t="s">
        <v>296</v>
      </c>
    </row>
    <row r="51" s="12" customFormat="1" spans="1:14">
      <c r="A51" s="12" t="s">
        <v>125</v>
      </c>
      <c r="B51" s="12" t="s">
        <v>272</v>
      </c>
      <c r="C51" s="18" t="s">
        <v>273</v>
      </c>
      <c r="D51" s="18">
        <v>1</v>
      </c>
      <c r="E51" s="40">
        <v>125000</v>
      </c>
      <c r="F51" s="40">
        <v>124000</v>
      </c>
      <c r="G51" s="18">
        <v>1.01</v>
      </c>
      <c r="H51" s="18"/>
      <c r="I51" s="18">
        <v>0</v>
      </c>
      <c r="J51" s="18">
        <v>0</v>
      </c>
      <c r="K51" s="18" t="s">
        <v>273</v>
      </c>
      <c r="L51" s="18">
        <v>52</v>
      </c>
      <c r="M51" s="18">
        <v>1</v>
      </c>
      <c r="N51" s="12" t="s">
        <v>297</v>
      </c>
    </row>
    <row r="52" s="12" customFormat="1" spans="1:14">
      <c r="A52" s="12" t="s">
        <v>271</v>
      </c>
      <c r="B52" s="12" t="s">
        <v>272</v>
      </c>
      <c r="C52" s="18" t="s">
        <v>273</v>
      </c>
      <c r="D52" s="18">
        <v>1</v>
      </c>
      <c r="E52" s="40">
        <v>0</v>
      </c>
      <c r="F52" s="40">
        <v>0</v>
      </c>
      <c r="G52" s="18" t="e">
        <v>#DIV/0!</v>
      </c>
      <c r="H52" s="18"/>
      <c r="I52" s="18">
        <v>0</v>
      </c>
      <c r="J52" s="18" t="e">
        <v>#DIV/0!</v>
      </c>
      <c r="K52" s="18" t="s">
        <v>273</v>
      </c>
      <c r="L52" s="18">
        <v>20001</v>
      </c>
      <c r="M52" s="18">
        <v>1</v>
      </c>
      <c r="N52" s="12" t="s">
        <v>298</v>
      </c>
    </row>
    <row r="53" s="12" customFormat="1" spans="1:14">
      <c r="A53" s="12" t="s">
        <v>271</v>
      </c>
      <c r="B53" s="12" t="s">
        <v>272</v>
      </c>
      <c r="C53" s="18" t="s">
        <v>273</v>
      </c>
      <c r="D53" s="18">
        <v>1</v>
      </c>
      <c r="E53" s="40">
        <v>0</v>
      </c>
      <c r="F53" s="40">
        <v>0</v>
      </c>
      <c r="G53" s="18" t="e">
        <v>#DIV/0!</v>
      </c>
      <c r="H53" s="18"/>
      <c r="I53" s="18">
        <v>0</v>
      </c>
      <c r="J53" s="18" t="e">
        <v>#DIV/0!</v>
      </c>
      <c r="K53" s="18" t="s">
        <v>273</v>
      </c>
      <c r="L53" s="18">
        <v>20001</v>
      </c>
      <c r="M53" s="18">
        <v>1</v>
      </c>
      <c r="N53" s="12" t="s">
        <v>299</v>
      </c>
    </row>
    <row r="54" s="12" customFormat="1" spans="1:14">
      <c r="A54" s="12" t="s">
        <v>126</v>
      </c>
      <c r="B54" s="12" t="s">
        <v>272</v>
      </c>
      <c r="C54" s="18" t="s">
        <v>273</v>
      </c>
      <c r="D54" s="18">
        <v>1</v>
      </c>
      <c r="E54" s="40">
        <v>142000</v>
      </c>
      <c r="F54" s="40">
        <v>113000</v>
      </c>
      <c r="G54" s="18">
        <v>1.26</v>
      </c>
      <c r="H54" s="18"/>
      <c r="I54" s="18">
        <v>0</v>
      </c>
      <c r="J54" s="18">
        <v>0</v>
      </c>
      <c r="K54" s="18" t="s">
        <v>273</v>
      </c>
      <c r="L54" s="18">
        <v>5</v>
      </c>
      <c r="M54" s="18">
        <v>1</v>
      </c>
      <c r="N54" s="12" t="s">
        <v>300</v>
      </c>
    </row>
    <row r="55" s="12" customFormat="1" spans="1:14">
      <c r="A55" s="12" t="s">
        <v>127</v>
      </c>
      <c r="B55" s="12" t="s">
        <v>272</v>
      </c>
      <c r="C55" s="18" t="s">
        <v>273</v>
      </c>
      <c r="D55" s="18">
        <v>1</v>
      </c>
      <c r="E55" s="40">
        <v>133000</v>
      </c>
      <c r="F55" s="40">
        <v>103000</v>
      </c>
      <c r="G55" s="18">
        <v>1.29</v>
      </c>
      <c r="H55" s="18"/>
      <c r="I55" s="18">
        <v>0</v>
      </c>
      <c r="J55" s="18">
        <v>0</v>
      </c>
      <c r="K55" s="18" t="s">
        <v>273</v>
      </c>
      <c r="L55" s="18">
        <v>6</v>
      </c>
      <c r="M55" s="18">
        <v>1</v>
      </c>
      <c r="N55" s="12" t="s">
        <v>301</v>
      </c>
    </row>
    <row r="56" s="12" customFormat="1" spans="1:14">
      <c r="A56" s="12" t="s">
        <v>128</v>
      </c>
      <c r="B56" s="12" t="s">
        <v>272</v>
      </c>
      <c r="C56" s="18" t="s">
        <v>273</v>
      </c>
      <c r="D56" s="18">
        <v>1</v>
      </c>
      <c r="E56" s="40">
        <v>117000</v>
      </c>
      <c r="F56" s="40">
        <v>100000</v>
      </c>
      <c r="G56" s="18">
        <v>1.17</v>
      </c>
      <c r="H56" s="18"/>
      <c r="I56" s="18">
        <v>0</v>
      </c>
      <c r="J56" s="18">
        <v>0</v>
      </c>
      <c r="K56" s="18" t="s">
        <v>273</v>
      </c>
      <c r="L56" s="18">
        <v>17</v>
      </c>
      <c r="M56" s="18">
        <v>1</v>
      </c>
      <c r="N56" s="12" t="s">
        <v>302</v>
      </c>
    </row>
    <row r="57" s="12" customFormat="1" spans="1:14">
      <c r="A57" s="12" t="s">
        <v>129</v>
      </c>
      <c r="B57" s="12" t="s">
        <v>272</v>
      </c>
      <c r="C57" s="18" t="s">
        <v>273</v>
      </c>
      <c r="D57" s="18">
        <v>1</v>
      </c>
      <c r="E57" s="40">
        <v>120000</v>
      </c>
      <c r="F57" s="40">
        <v>109000</v>
      </c>
      <c r="G57" s="18">
        <v>1.11</v>
      </c>
      <c r="H57" s="18"/>
      <c r="I57" s="18">
        <v>0</v>
      </c>
      <c r="J57" s="18">
        <v>0</v>
      </c>
      <c r="K57" s="18" t="s">
        <v>273</v>
      </c>
      <c r="L57" s="18">
        <v>18</v>
      </c>
      <c r="M57" s="18">
        <v>1</v>
      </c>
      <c r="N57" s="12" t="s">
        <v>303</v>
      </c>
    </row>
    <row r="58" s="12" customFormat="1" spans="1:14">
      <c r="A58" s="12" t="s">
        <v>130</v>
      </c>
      <c r="B58" s="12" t="s">
        <v>272</v>
      </c>
      <c r="C58" s="18" t="s">
        <v>273</v>
      </c>
      <c r="D58" s="18">
        <v>1</v>
      </c>
      <c r="E58" s="40">
        <v>130000</v>
      </c>
      <c r="F58" s="40">
        <v>107000</v>
      </c>
      <c r="G58" s="18">
        <v>1.22</v>
      </c>
      <c r="H58" s="18"/>
      <c r="I58" s="18">
        <v>0</v>
      </c>
      <c r="J58" s="18">
        <v>0</v>
      </c>
      <c r="K58" s="18" t="s">
        <v>273</v>
      </c>
      <c r="L58" s="18">
        <v>29</v>
      </c>
      <c r="M58" s="18">
        <v>1</v>
      </c>
      <c r="N58" s="12" t="s">
        <v>304</v>
      </c>
    </row>
    <row r="59" s="12" customFormat="1" spans="1:14">
      <c r="A59" s="12" t="s">
        <v>131</v>
      </c>
      <c r="B59" s="12" t="s">
        <v>272</v>
      </c>
      <c r="C59" s="18" t="s">
        <v>273</v>
      </c>
      <c r="D59" s="18">
        <v>1</v>
      </c>
      <c r="E59" s="40">
        <v>122000</v>
      </c>
      <c r="F59" s="40">
        <v>106000</v>
      </c>
      <c r="G59" s="18">
        <v>1.15</v>
      </c>
      <c r="H59" s="18"/>
      <c r="I59" s="18">
        <v>0</v>
      </c>
      <c r="J59" s="18">
        <v>0</v>
      </c>
      <c r="K59" s="18" t="s">
        <v>273</v>
      </c>
      <c r="L59" s="18">
        <v>30</v>
      </c>
      <c r="M59" s="18">
        <v>1</v>
      </c>
      <c r="N59" s="12" t="s">
        <v>305</v>
      </c>
    </row>
    <row r="60" s="12" customFormat="1" spans="1:14">
      <c r="A60" s="12" t="s">
        <v>132</v>
      </c>
      <c r="B60" s="12" t="s">
        <v>272</v>
      </c>
      <c r="C60" s="18" t="s">
        <v>273</v>
      </c>
      <c r="D60" s="18">
        <v>1</v>
      </c>
      <c r="E60" s="40">
        <v>132000</v>
      </c>
      <c r="F60" s="40">
        <v>110000</v>
      </c>
      <c r="G60" s="18">
        <v>1.19</v>
      </c>
      <c r="H60" s="18"/>
      <c r="I60" s="18">
        <v>0</v>
      </c>
      <c r="J60" s="18">
        <v>0</v>
      </c>
      <c r="K60" s="18" t="s">
        <v>273</v>
      </c>
      <c r="L60" s="18">
        <v>41</v>
      </c>
      <c r="M60" s="18">
        <v>1</v>
      </c>
      <c r="N60" s="12" t="s">
        <v>306</v>
      </c>
    </row>
    <row r="61" s="12" customFormat="1" spans="1:14">
      <c r="A61" s="12" t="s">
        <v>133</v>
      </c>
      <c r="B61" s="12" t="s">
        <v>272</v>
      </c>
      <c r="C61" s="18" t="s">
        <v>273</v>
      </c>
      <c r="D61" s="18">
        <v>1</v>
      </c>
      <c r="E61" s="40">
        <v>115000</v>
      </c>
      <c r="F61" s="40">
        <v>98800</v>
      </c>
      <c r="G61" s="18">
        <v>1.16</v>
      </c>
      <c r="H61" s="18"/>
      <c r="I61" s="18">
        <v>0</v>
      </c>
      <c r="J61" s="18">
        <v>0</v>
      </c>
      <c r="K61" s="18" t="s">
        <v>273</v>
      </c>
      <c r="L61" s="18">
        <v>42</v>
      </c>
      <c r="M61" s="18">
        <v>1</v>
      </c>
      <c r="N61" s="12" t="s">
        <v>307</v>
      </c>
    </row>
    <row r="62" s="12" customFormat="1" spans="1:14">
      <c r="A62" s="12" t="s">
        <v>134</v>
      </c>
      <c r="B62" s="12" t="s">
        <v>272</v>
      </c>
      <c r="C62" s="18" t="s">
        <v>273</v>
      </c>
      <c r="D62" s="18">
        <v>1</v>
      </c>
      <c r="E62" s="40">
        <v>126000</v>
      </c>
      <c r="F62" s="40">
        <v>100000</v>
      </c>
      <c r="G62" s="18">
        <v>1.26</v>
      </c>
      <c r="H62" s="18"/>
      <c r="I62" s="18">
        <v>0</v>
      </c>
      <c r="J62" s="18">
        <v>0</v>
      </c>
      <c r="K62" s="18" t="s">
        <v>273</v>
      </c>
      <c r="L62" s="18">
        <v>53</v>
      </c>
      <c r="M62" s="18">
        <v>1</v>
      </c>
      <c r="N62" s="12" t="s">
        <v>308</v>
      </c>
    </row>
    <row r="63" s="12" customFormat="1" spans="1:14">
      <c r="A63" s="12" t="s">
        <v>135</v>
      </c>
      <c r="B63" s="12" t="s">
        <v>272</v>
      </c>
      <c r="C63" s="18" t="s">
        <v>273</v>
      </c>
      <c r="D63" s="18">
        <v>1</v>
      </c>
      <c r="E63" s="40">
        <v>116000</v>
      </c>
      <c r="F63" s="40">
        <v>99900</v>
      </c>
      <c r="G63" s="18">
        <v>1.16</v>
      </c>
      <c r="H63" s="18"/>
      <c r="I63" s="18">
        <v>0</v>
      </c>
      <c r="J63" s="18">
        <v>0</v>
      </c>
      <c r="K63" s="18" t="s">
        <v>273</v>
      </c>
      <c r="L63" s="18">
        <v>54</v>
      </c>
      <c r="M63" s="18">
        <v>1</v>
      </c>
      <c r="N63" s="12" t="s">
        <v>309</v>
      </c>
    </row>
    <row r="64" s="12" customFormat="1" spans="1:14">
      <c r="A64" s="12" t="s">
        <v>271</v>
      </c>
      <c r="B64" s="12" t="s">
        <v>272</v>
      </c>
      <c r="C64" s="18" t="s">
        <v>273</v>
      </c>
      <c r="D64" s="18">
        <v>1</v>
      </c>
      <c r="E64" s="40">
        <v>0</v>
      </c>
      <c r="F64" s="40">
        <v>0</v>
      </c>
      <c r="G64" s="18" t="e">
        <v>#DIV/0!</v>
      </c>
      <c r="H64" s="18"/>
      <c r="I64" s="18">
        <v>0</v>
      </c>
      <c r="J64" s="18" t="e">
        <v>#DIV/0!</v>
      </c>
      <c r="K64" s="18" t="s">
        <v>273</v>
      </c>
      <c r="L64" s="18">
        <v>20001</v>
      </c>
      <c r="M64" s="18">
        <v>1</v>
      </c>
      <c r="N64" s="12" t="s">
        <v>310</v>
      </c>
    </row>
    <row r="65" s="12" customFormat="1" spans="1:14">
      <c r="A65" s="12" t="s">
        <v>271</v>
      </c>
      <c r="B65" s="12" t="s">
        <v>272</v>
      </c>
      <c r="C65" s="18" t="s">
        <v>273</v>
      </c>
      <c r="D65" s="18">
        <v>1</v>
      </c>
      <c r="E65" s="40">
        <v>0</v>
      </c>
      <c r="F65" s="40">
        <v>0</v>
      </c>
      <c r="G65" s="18" t="e">
        <v>#DIV/0!</v>
      </c>
      <c r="H65" s="18"/>
      <c r="I65" s="18">
        <v>0</v>
      </c>
      <c r="J65" s="18" t="e">
        <v>#DIV/0!</v>
      </c>
      <c r="K65" s="18" t="s">
        <v>273</v>
      </c>
      <c r="L65" s="18">
        <v>20001</v>
      </c>
      <c r="M65" s="18">
        <v>1</v>
      </c>
      <c r="N65" s="12" t="s">
        <v>311</v>
      </c>
    </row>
    <row r="66" s="12" customFormat="1" spans="1:14">
      <c r="A66" s="12" t="s">
        <v>136</v>
      </c>
      <c r="B66" s="12" t="s">
        <v>272</v>
      </c>
      <c r="C66" s="18" t="s">
        <v>273</v>
      </c>
      <c r="D66" s="18">
        <v>1</v>
      </c>
      <c r="E66" s="40">
        <v>128000</v>
      </c>
      <c r="F66" s="40">
        <v>101000</v>
      </c>
      <c r="G66" s="18">
        <v>1.26</v>
      </c>
      <c r="H66" s="18"/>
      <c r="I66" s="18">
        <v>0</v>
      </c>
      <c r="J66" s="18">
        <v>0</v>
      </c>
      <c r="K66" s="18" t="s">
        <v>273</v>
      </c>
      <c r="L66" s="18">
        <v>7</v>
      </c>
      <c r="M66" s="18">
        <v>1</v>
      </c>
      <c r="N66" s="12" t="s">
        <v>312</v>
      </c>
    </row>
    <row r="67" s="12" customFormat="1" spans="1:14">
      <c r="A67" s="12" t="s">
        <v>137</v>
      </c>
      <c r="B67" s="12" t="s">
        <v>272</v>
      </c>
      <c r="C67" s="18" t="s">
        <v>273</v>
      </c>
      <c r="D67" s="18">
        <v>1</v>
      </c>
      <c r="E67" s="40">
        <v>125000</v>
      </c>
      <c r="F67" s="40">
        <v>96500</v>
      </c>
      <c r="G67" s="18">
        <v>1.29</v>
      </c>
      <c r="H67" s="18"/>
      <c r="I67" s="18">
        <v>0</v>
      </c>
      <c r="J67" s="18">
        <v>0</v>
      </c>
      <c r="K67" s="18" t="s">
        <v>273</v>
      </c>
      <c r="L67" s="18">
        <v>8</v>
      </c>
      <c r="M67" s="18">
        <v>1</v>
      </c>
      <c r="N67" s="12" t="s">
        <v>313</v>
      </c>
    </row>
    <row r="68" s="12" customFormat="1" spans="1:14">
      <c r="A68" s="12" t="s">
        <v>138</v>
      </c>
      <c r="B68" s="12" t="s">
        <v>272</v>
      </c>
      <c r="C68" s="18" t="s">
        <v>273</v>
      </c>
      <c r="D68" s="18">
        <v>1</v>
      </c>
      <c r="E68" s="40">
        <v>123000</v>
      </c>
      <c r="F68" s="40">
        <v>102000</v>
      </c>
      <c r="G68" s="18">
        <v>1.21</v>
      </c>
      <c r="H68" s="18"/>
      <c r="I68" s="18">
        <v>0</v>
      </c>
      <c r="J68" s="18">
        <v>0</v>
      </c>
      <c r="K68" s="18" t="s">
        <v>273</v>
      </c>
      <c r="L68" s="18">
        <v>19</v>
      </c>
      <c r="M68" s="18">
        <v>1</v>
      </c>
      <c r="N68" s="12" t="s">
        <v>314</v>
      </c>
    </row>
    <row r="69" s="12" customFormat="1" spans="1:14">
      <c r="A69" s="12" t="s">
        <v>139</v>
      </c>
      <c r="B69" s="12" t="s">
        <v>272</v>
      </c>
      <c r="C69" s="18" t="s">
        <v>273</v>
      </c>
      <c r="D69" s="18">
        <v>1</v>
      </c>
      <c r="E69" s="40">
        <v>133000</v>
      </c>
      <c r="F69" s="40">
        <v>104000</v>
      </c>
      <c r="G69" s="18">
        <v>1.28</v>
      </c>
      <c r="H69" s="18"/>
      <c r="I69" s="18">
        <v>0</v>
      </c>
      <c r="J69" s="18">
        <v>0</v>
      </c>
      <c r="K69" s="18" t="s">
        <v>273</v>
      </c>
      <c r="L69" s="18">
        <v>20</v>
      </c>
      <c r="M69" s="18">
        <v>1</v>
      </c>
      <c r="N69" s="12" t="s">
        <v>315</v>
      </c>
    </row>
    <row r="70" s="12" customFormat="1" spans="1:14">
      <c r="A70" s="12" t="s">
        <v>140</v>
      </c>
      <c r="B70" s="12" t="s">
        <v>272</v>
      </c>
      <c r="C70" s="18" t="s">
        <v>273</v>
      </c>
      <c r="D70" s="18">
        <v>1</v>
      </c>
      <c r="E70" s="40">
        <v>130000</v>
      </c>
      <c r="F70" s="40">
        <v>106000</v>
      </c>
      <c r="G70" s="18">
        <v>1.22</v>
      </c>
      <c r="H70" s="18"/>
      <c r="I70" s="18">
        <v>0</v>
      </c>
      <c r="J70" s="18">
        <v>0</v>
      </c>
      <c r="K70" s="18" t="s">
        <v>273</v>
      </c>
      <c r="L70" s="18">
        <v>31</v>
      </c>
      <c r="M70" s="18">
        <v>1</v>
      </c>
      <c r="N70" s="12" t="s">
        <v>316</v>
      </c>
    </row>
    <row r="71" s="12" customFormat="1" spans="1:14">
      <c r="A71" s="12" t="s">
        <v>141</v>
      </c>
      <c r="B71" s="12" t="s">
        <v>272</v>
      </c>
      <c r="C71" s="18" t="s">
        <v>273</v>
      </c>
      <c r="D71" s="18">
        <v>1</v>
      </c>
      <c r="E71" s="40">
        <v>136000</v>
      </c>
      <c r="F71" s="40">
        <v>109000</v>
      </c>
      <c r="G71" s="18">
        <v>1.25</v>
      </c>
      <c r="H71" s="18"/>
      <c r="I71" s="18">
        <v>0</v>
      </c>
      <c r="J71" s="18">
        <v>0</v>
      </c>
      <c r="K71" s="18" t="s">
        <v>273</v>
      </c>
      <c r="L71" s="18">
        <v>32</v>
      </c>
      <c r="M71" s="18">
        <v>1</v>
      </c>
      <c r="N71" s="12" t="s">
        <v>317</v>
      </c>
    </row>
    <row r="72" s="12" customFormat="1" spans="1:14">
      <c r="A72" s="12" t="s">
        <v>142</v>
      </c>
      <c r="B72" s="12" t="s">
        <v>272</v>
      </c>
      <c r="C72" s="18" t="s">
        <v>273</v>
      </c>
      <c r="D72" s="18">
        <v>1</v>
      </c>
      <c r="E72" s="40">
        <v>125000</v>
      </c>
      <c r="F72" s="40">
        <v>104000</v>
      </c>
      <c r="G72" s="18">
        <v>1.2</v>
      </c>
      <c r="H72" s="18"/>
      <c r="I72" s="18">
        <v>0</v>
      </c>
      <c r="J72" s="18">
        <v>0</v>
      </c>
      <c r="K72" s="18" t="s">
        <v>273</v>
      </c>
      <c r="L72" s="18">
        <v>43</v>
      </c>
      <c r="M72" s="18">
        <v>1</v>
      </c>
      <c r="N72" s="12" t="s">
        <v>318</v>
      </c>
    </row>
    <row r="73" s="12" customFormat="1" spans="1:14">
      <c r="A73" s="12" t="s">
        <v>143</v>
      </c>
      <c r="B73" s="12" t="s">
        <v>272</v>
      </c>
      <c r="C73" s="18" t="s">
        <v>273</v>
      </c>
      <c r="D73" s="18">
        <v>1</v>
      </c>
      <c r="E73" s="40">
        <v>122000</v>
      </c>
      <c r="F73" s="40">
        <v>103000</v>
      </c>
      <c r="G73" s="18">
        <v>1.19</v>
      </c>
      <c r="H73" s="18"/>
      <c r="I73" s="18">
        <v>0</v>
      </c>
      <c r="J73" s="18">
        <v>0</v>
      </c>
      <c r="K73" s="18" t="s">
        <v>273</v>
      </c>
      <c r="L73" s="18">
        <v>44</v>
      </c>
      <c r="M73" s="18">
        <v>1</v>
      </c>
      <c r="N73" s="12" t="s">
        <v>319</v>
      </c>
    </row>
    <row r="74" s="12" customFormat="1" spans="1:14">
      <c r="A74" s="12" t="s">
        <v>144</v>
      </c>
      <c r="B74" s="12" t="s">
        <v>272</v>
      </c>
      <c r="C74" s="18" t="s">
        <v>273</v>
      </c>
      <c r="D74" s="18">
        <v>1</v>
      </c>
      <c r="E74" s="40">
        <v>118000</v>
      </c>
      <c r="F74" s="40">
        <v>95900</v>
      </c>
      <c r="G74" s="18">
        <v>1.23</v>
      </c>
      <c r="H74" s="18"/>
      <c r="I74" s="18">
        <v>0</v>
      </c>
      <c r="J74" s="18">
        <v>0</v>
      </c>
      <c r="K74" s="18" t="s">
        <v>273</v>
      </c>
      <c r="L74" s="18">
        <v>55</v>
      </c>
      <c r="M74" s="18">
        <v>1</v>
      </c>
      <c r="N74" s="12" t="s">
        <v>320</v>
      </c>
    </row>
    <row r="75" s="12" customFormat="1" spans="1:14">
      <c r="A75" s="12" t="s">
        <v>145</v>
      </c>
      <c r="B75" s="12" t="s">
        <v>272</v>
      </c>
      <c r="C75" s="18" t="s">
        <v>273</v>
      </c>
      <c r="D75" s="18">
        <v>1</v>
      </c>
      <c r="E75" s="40">
        <v>127000</v>
      </c>
      <c r="F75" s="40">
        <v>97300</v>
      </c>
      <c r="G75" s="18">
        <v>1.3</v>
      </c>
      <c r="H75" s="18"/>
      <c r="I75" s="18">
        <v>0</v>
      </c>
      <c r="J75" s="18">
        <v>0</v>
      </c>
      <c r="K75" s="18" t="s">
        <v>273</v>
      </c>
      <c r="L75" s="18">
        <v>56</v>
      </c>
      <c r="M75" s="18">
        <v>1</v>
      </c>
      <c r="N75" s="12" t="s">
        <v>321</v>
      </c>
    </row>
    <row r="76" s="12" customFormat="1" spans="1:14">
      <c r="A76" s="12" t="s">
        <v>271</v>
      </c>
      <c r="B76" s="12" t="s">
        <v>272</v>
      </c>
      <c r="C76" s="18" t="s">
        <v>273</v>
      </c>
      <c r="D76" s="18">
        <v>1</v>
      </c>
      <c r="E76" s="40">
        <v>0</v>
      </c>
      <c r="F76" s="40">
        <v>0</v>
      </c>
      <c r="G76" s="18" t="e">
        <v>#DIV/0!</v>
      </c>
      <c r="H76" s="18"/>
      <c r="I76" s="18">
        <v>0</v>
      </c>
      <c r="J76" s="18" t="e">
        <v>#DIV/0!</v>
      </c>
      <c r="K76" s="18" t="s">
        <v>273</v>
      </c>
      <c r="L76" s="18">
        <v>20001</v>
      </c>
      <c r="M76" s="18">
        <v>1</v>
      </c>
      <c r="N76" s="12" t="s">
        <v>322</v>
      </c>
    </row>
    <row r="77" s="12" customFormat="1" spans="1:14">
      <c r="A77" s="12" t="s">
        <v>271</v>
      </c>
      <c r="B77" s="12" t="s">
        <v>272</v>
      </c>
      <c r="C77" s="18" t="s">
        <v>273</v>
      </c>
      <c r="D77" s="18">
        <v>1</v>
      </c>
      <c r="E77" s="40">
        <v>0</v>
      </c>
      <c r="F77" s="40">
        <v>0</v>
      </c>
      <c r="G77" s="18" t="e">
        <v>#DIV/0!</v>
      </c>
      <c r="H77" s="18"/>
      <c r="I77" s="18">
        <v>0</v>
      </c>
      <c r="J77" s="18" t="e">
        <v>#DIV/0!</v>
      </c>
      <c r="K77" s="18" t="s">
        <v>273</v>
      </c>
      <c r="L77" s="18">
        <v>20001</v>
      </c>
      <c r="M77" s="18">
        <v>1</v>
      </c>
      <c r="N77" s="12" t="s">
        <v>323</v>
      </c>
    </row>
    <row r="78" s="12" customFormat="1" spans="1:14">
      <c r="A78" s="12" t="s">
        <v>146</v>
      </c>
      <c r="B78" s="12" t="s">
        <v>272</v>
      </c>
      <c r="C78" s="18" t="s">
        <v>273</v>
      </c>
      <c r="D78" s="18">
        <v>1</v>
      </c>
      <c r="E78" s="40">
        <v>138000</v>
      </c>
      <c r="F78" s="40">
        <v>99500</v>
      </c>
      <c r="G78" s="18">
        <v>1.39</v>
      </c>
      <c r="H78" s="18"/>
      <c r="I78" s="18">
        <v>0</v>
      </c>
      <c r="J78" s="18">
        <v>0</v>
      </c>
      <c r="K78" s="18" t="s">
        <v>273</v>
      </c>
      <c r="L78" s="18">
        <v>9</v>
      </c>
      <c r="M78" s="18">
        <v>1</v>
      </c>
      <c r="N78" s="12" t="s">
        <v>324</v>
      </c>
    </row>
    <row r="79" s="12" customFormat="1" spans="1:14">
      <c r="A79" s="12" t="s">
        <v>147</v>
      </c>
      <c r="B79" s="12" t="s">
        <v>272</v>
      </c>
      <c r="C79" s="18" t="s">
        <v>273</v>
      </c>
      <c r="D79" s="18">
        <v>1</v>
      </c>
      <c r="E79" s="40">
        <v>132000</v>
      </c>
      <c r="F79" s="40">
        <v>102000</v>
      </c>
      <c r="G79" s="18">
        <v>1.29</v>
      </c>
      <c r="H79" s="18"/>
      <c r="I79" s="18">
        <v>0</v>
      </c>
      <c r="J79" s="18">
        <v>0</v>
      </c>
      <c r="K79" s="18" t="s">
        <v>273</v>
      </c>
      <c r="L79" s="18">
        <v>10</v>
      </c>
      <c r="M79" s="18">
        <v>1</v>
      </c>
      <c r="N79" s="12" t="s">
        <v>325</v>
      </c>
    </row>
    <row r="80" s="12" customFormat="1" spans="1:14">
      <c r="A80" s="12" t="s">
        <v>148</v>
      </c>
      <c r="B80" s="12" t="s">
        <v>272</v>
      </c>
      <c r="C80" s="18" t="s">
        <v>273</v>
      </c>
      <c r="D80" s="18">
        <v>1</v>
      </c>
      <c r="E80" s="40">
        <v>128000</v>
      </c>
      <c r="F80" s="40">
        <v>99500</v>
      </c>
      <c r="G80" s="18">
        <v>1.29</v>
      </c>
      <c r="H80" s="18"/>
      <c r="I80" s="18">
        <v>0</v>
      </c>
      <c r="J80" s="18">
        <v>0</v>
      </c>
      <c r="K80" s="18" t="s">
        <v>273</v>
      </c>
      <c r="L80" s="18">
        <v>21</v>
      </c>
      <c r="M80" s="18">
        <v>1</v>
      </c>
      <c r="N80" s="12" t="s">
        <v>326</v>
      </c>
    </row>
    <row r="81" s="12" customFormat="1" spans="1:14">
      <c r="A81" s="12" t="s">
        <v>149</v>
      </c>
      <c r="B81" s="12" t="s">
        <v>272</v>
      </c>
      <c r="C81" s="18" t="s">
        <v>273</v>
      </c>
      <c r="D81" s="18">
        <v>1</v>
      </c>
      <c r="E81" s="40">
        <v>131000</v>
      </c>
      <c r="F81" s="40">
        <v>101000</v>
      </c>
      <c r="G81" s="18">
        <v>1.3</v>
      </c>
      <c r="H81" s="18"/>
      <c r="I81" s="18">
        <v>0</v>
      </c>
      <c r="J81" s="18">
        <v>0</v>
      </c>
      <c r="K81" s="18" t="s">
        <v>273</v>
      </c>
      <c r="L81" s="18">
        <v>22</v>
      </c>
      <c r="M81" s="18">
        <v>1</v>
      </c>
      <c r="N81" s="12" t="s">
        <v>327</v>
      </c>
    </row>
    <row r="82" s="12" customFormat="1" spans="1:14">
      <c r="A82" s="12" t="s">
        <v>150</v>
      </c>
      <c r="B82" s="12" t="s">
        <v>272</v>
      </c>
      <c r="C82" s="18" t="s">
        <v>273</v>
      </c>
      <c r="D82" s="18">
        <v>1</v>
      </c>
      <c r="E82" s="40">
        <v>131000</v>
      </c>
      <c r="F82" s="40">
        <v>101000</v>
      </c>
      <c r="G82" s="18">
        <v>1.3</v>
      </c>
      <c r="H82" s="18"/>
      <c r="I82" s="18">
        <v>0</v>
      </c>
      <c r="J82" s="18">
        <v>0</v>
      </c>
      <c r="K82" s="18" t="s">
        <v>273</v>
      </c>
      <c r="L82" s="18">
        <v>33</v>
      </c>
      <c r="M82" s="18">
        <v>1</v>
      </c>
      <c r="N82" s="12" t="s">
        <v>328</v>
      </c>
    </row>
    <row r="83" s="12" customFormat="1" spans="1:14">
      <c r="A83" s="12" t="s">
        <v>151</v>
      </c>
      <c r="B83" s="12" t="s">
        <v>272</v>
      </c>
      <c r="C83" s="18" t="s">
        <v>273</v>
      </c>
      <c r="D83" s="18">
        <v>1</v>
      </c>
      <c r="E83" s="40">
        <v>144000</v>
      </c>
      <c r="F83" s="40">
        <v>109000</v>
      </c>
      <c r="G83" s="18">
        <v>1.32</v>
      </c>
      <c r="H83" s="18"/>
      <c r="I83" s="18">
        <v>0</v>
      </c>
      <c r="J83" s="18">
        <v>0</v>
      </c>
      <c r="K83" s="18" t="s">
        <v>273</v>
      </c>
      <c r="L83" s="18">
        <v>34</v>
      </c>
      <c r="M83" s="18">
        <v>1</v>
      </c>
      <c r="N83" s="12" t="s">
        <v>329</v>
      </c>
    </row>
    <row r="84" s="12" customFormat="1" spans="1:14">
      <c r="A84" s="12" t="s">
        <v>152</v>
      </c>
      <c r="B84" s="12" t="s">
        <v>272</v>
      </c>
      <c r="C84" s="18" t="s">
        <v>273</v>
      </c>
      <c r="D84" s="18">
        <v>1</v>
      </c>
      <c r="E84" s="40">
        <v>138000</v>
      </c>
      <c r="F84" s="40">
        <v>103000</v>
      </c>
      <c r="G84" s="18">
        <v>1.34</v>
      </c>
      <c r="H84" s="18"/>
      <c r="I84" s="18">
        <v>0</v>
      </c>
      <c r="J84" s="18">
        <v>0</v>
      </c>
      <c r="K84" s="18" t="s">
        <v>273</v>
      </c>
      <c r="L84" s="18">
        <v>45</v>
      </c>
      <c r="M84" s="18">
        <v>1</v>
      </c>
      <c r="N84" s="12" t="s">
        <v>330</v>
      </c>
    </row>
    <row r="85" s="12" customFormat="1" spans="1:14">
      <c r="A85" s="12" t="s">
        <v>153</v>
      </c>
      <c r="B85" s="12" t="s">
        <v>272</v>
      </c>
      <c r="C85" s="18" t="s">
        <v>273</v>
      </c>
      <c r="D85" s="18">
        <v>1</v>
      </c>
      <c r="E85" s="40">
        <v>134000</v>
      </c>
      <c r="F85" s="40">
        <v>101000</v>
      </c>
      <c r="G85" s="18">
        <v>1.33</v>
      </c>
      <c r="H85" s="18"/>
      <c r="I85" s="18">
        <v>0</v>
      </c>
      <c r="J85" s="18">
        <v>0</v>
      </c>
      <c r="K85" s="18" t="s">
        <v>273</v>
      </c>
      <c r="L85" s="18">
        <v>46</v>
      </c>
      <c r="M85" s="18">
        <v>1</v>
      </c>
      <c r="N85" s="12" t="s">
        <v>331</v>
      </c>
    </row>
    <row r="86" s="12" customFormat="1" spans="1:14">
      <c r="A86" s="12" t="s">
        <v>154</v>
      </c>
      <c r="B86" s="12" t="s">
        <v>272</v>
      </c>
      <c r="C86" s="18" t="s">
        <v>273</v>
      </c>
      <c r="D86" s="18">
        <v>1</v>
      </c>
      <c r="E86" s="40">
        <v>130000</v>
      </c>
      <c r="F86" s="40">
        <v>98700</v>
      </c>
      <c r="G86" s="18">
        <v>1.32</v>
      </c>
      <c r="H86" s="18"/>
      <c r="I86" s="18">
        <v>0</v>
      </c>
      <c r="J86" s="18">
        <v>0</v>
      </c>
      <c r="K86" s="18" t="s">
        <v>273</v>
      </c>
      <c r="L86" s="18">
        <v>57</v>
      </c>
      <c r="M86" s="18">
        <v>1</v>
      </c>
      <c r="N86" s="12" t="s">
        <v>332</v>
      </c>
    </row>
    <row r="87" s="12" customFormat="1" spans="1:14">
      <c r="A87" s="12" t="s">
        <v>155</v>
      </c>
      <c r="B87" s="12" t="s">
        <v>272</v>
      </c>
      <c r="C87" s="18" t="s">
        <v>273</v>
      </c>
      <c r="D87" s="18">
        <v>1</v>
      </c>
      <c r="E87" s="40">
        <v>129000</v>
      </c>
      <c r="F87" s="40">
        <v>93400</v>
      </c>
      <c r="G87" s="18">
        <v>1.38</v>
      </c>
      <c r="H87" s="18"/>
      <c r="I87" s="18">
        <v>0</v>
      </c>
      <c r="J87" s="18">
        <v>0</v>
      </c>
      <c r="K87" s="18" t="s">
        <v>273</v>
      </c>
      <c r="L87" s="18">
        <v>58</v>
      </c>
      <c r="M87" s="18">
        <v>1</v>
      </c>
      <c r="N87" s="12" t="s">
        <v>333</v>
      </c>
    </row>
    <row r="91" spans="5:6">
      <c r="E91" s="38"/>
      <c r="F91" s="38"/>
    </row>
    <row r="92" s="30" customFormat="1" spans="1:13">
      <c r="A92" s="35" t="s">
        <v>79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</row>
    <row r="93" s="12" customFormat="1" spans="1:13">
      <c r="A93" s="12" t="s">
        <v>238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="12" customFormat="1" spans="1:13">
      <c r="A94" s="12" t="s">
        <v>239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="12" customFormat="1" spans="1:13">
      <c r="A95" s="12" t="s">
        <v>240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="12" customFormat="1" spans="1:13">
      <c r="A96" s="12" t="s">
        <v>241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="12" customFormat="1" spans="1:13">
      <c r="A97" s="12" t="s">
        <v>239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="12" customFormat="1" spans="1:13">
      <c r="A98" s="12" t="s">
        <v>242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="12" customFormat="1" spans="3:13"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="12" customFormat="1" spans="1:13">
      <c r="A100" s="12" t="s">
        <v>334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="12" customFormat="1" spans="1:13">
      <c r="A101" s="12" t="s">
        <v>244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="12" customFormat="1" spans="1:13">
      <c r="A102" s="12" t="s">
        <v>335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="12" customFormat="1" spans="3:13"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="12" customFormat="1" spans="1:13">
      <c r="A104" s="12" t="s">
        <v>246</v>
      </c>
      <c r="B104" s="12" t="s">
        <v>247</v>
      </c>
      <c r="C104" s="18" t="s">
        <v>248</v>
      </c>
      <c r="D104" s="18" t="s">
        <v>249</v>
      </c>
      <c r="E104" s="18" t="s">
        <v>250</v>
      </c>
      <c r="F104" s="18" t="s">
        <v>251</v>
      </c>
      <c r="G104" s="18"/>
      <c r="H104" s="18"/>
      <c r="I104" s="18"/>
      <c r="J104" s="18"/>
      <c r="K104" s="18"/>
      <c r="L104" s="18"/>
      <c r="M104" s="18"/>
    </row>
    <row r="105" s="12" customFormat="1" spans="1:13">
      <c r="A105" s="12" t="s">
        <v>252</v>
      </c>
      <c r="B105" s="12" t="s">
        <v>253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="12" customFormat="1" spans="1:13">
      <c r="A106" s="12" t="s">
        <v>254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="32" customFormat="1" spans="3:13"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</row>
    <row r="108" s="12" customFormat="1" spans="1:13">
      <c r="A108" s="12" t="s">
        <v>336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="12" customFormat="1" spans="1:13">
      <c r="A109" s="12" t="s">
        <v>256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="12" customFormat="1" spans="1:13">
      <c r="A110" s="12" t="s">
        <v>335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="12" customFormat="1" spans="3:13"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="12" customFormat="1" spans="1:13">
      <c r="A112" s="12" t="s">
        <v>246</v>
      </c>
      <c r="B112" s="12" t="s">
        <v>247</v>
      </c>
      <c r="C112" s="18" t="s">
        <v>248</v>
      </c>
      <c r="D112" s="18" t="s">
        <v>249</v>
      </c>
      <c r="E112" s="18" t="s">
        <v>250</v>
      </c>
      <c r="F112" s="18" t="s">
        <v>251</v>
      </c>
      <c r="G112" s="18"/>
      <c r="H112" s="18"/>
      <c r="I112" s="18"/>
      <c r="J112" s="18"/>
      <c r="K112" s="18"/>
      <c r="L112" s="18"/>
      <c r="M112" s="18"/>
    </row>
    <row r="113" s="12" customFormat="1" spans="1:13">
      <c r="A113" s="12" t="s">
        <v>252</v>
      </c>
      <c r="B113" s="12" t="s">
        <v>253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="12" customFormat="1" spans="1:13">
      <c r="A114" s="12" t="s">
        <v>254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="12" customFormat="1" spans="3:13"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="12" customFormat="1" spans="3:13"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="12" customFormat="1" spans="3:13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="32" customFormat="1" ht="46.5" spans="1:14">
      <c r="A118" s="32" t="s">
        <v>257</v>
      </c>
      <c r="B118" s="32" t="s">
        <v>258</v>
      </c>
      <c r="C118" s="41" t="s">
        <v>259</v>
      </c>
      <c r="D118" s="41" t="s">
        <v>260</v>
      </c>
      <c r="E118" s="41" t="s">
        <v>261</v>
      </c>
      <c r="F118" s="41" t="s">
        <v>262</v>
      </c>
      <c r="G118" s="41" t="s">
        <v>263</v>
      </c>
      <c r="H118" s="41" t="s">
        <v>264</v>
      </c>
      <c r="I118" s="41" t="s">
        <v>265</v>
      </c>
      <c r="J118" s="41" t="s">
        <v>266</v>
      </c>
      <c r="K118" s="41" t="s">
        <v>267</v>
      </c>
      <c r="L118" s="41" t="s">
        <v>268</v>
      </c>
      <c r="M118" s="41" t="s">
        <v>269</v>
      </c>
      <c r="N118" s="32" t="s">
        <v>270</v>
      </c>
    </row>
    <row r="119" s="12" customFormat="1" spans="1:14">
      <c r="A119" s="12" t="s">
        <v>271</v>
      </c>
      <c r="B119" s="12" t="s">
        <v>272</v>
      </c>
      <c r="C119" s="18" t="s">
        <v>273</v>
      </c>
      <c r="D119" s="18">
        <v>1</v>
      </c>
      <c r="E119" s="40">
        <v>0</v>
      </c>
      <c r="F119" s="40">
        <v>0</v>
      </c>
      <c r="G119" s="18" t="e">
        <v>#DIV/0!</v>
      </c>
      <c r="H119" s="18"/>
      <c r="I119" s="18">
        <v>0</v>
      </c>
      <c r="J119" s="18" t="e">
        <v>#DIV/0!</v>
      </c>
      <c r="K119" s="18" t="s">
        <v>273</v>
      </c>
      <c r="L119" s="18">
        <v>20001</v>
      </c>
      <c r="M119" s="18">
        <v>1</v>
      </c>
      <c r="N119" s="12" t="s">
        <v>337</v>
      </c>
    </row>
    <row r="120" s="12" customFormat="1" spans="1:14">
      <c r="A120" s="12" t="s">
        <v>271</v>
      </c>
      <c r="B120" s="12" t="s">
        <v>272</v>
      </c>
      <c r="C120" s="18" t="s">
        <v>273</v>
      </c>
      <c r="D120" s="18">
        <v>1</v>
      </c>
      <c r="E120" s="40">
        <v>0</v>
      </c>
      <c r="F120" s="40">
        <v>0</v>
      </c>
      <c r="G120" s="18" t="e">
        <v>#DIV/0!</v>
      </c>
      <c r="H120" s="18"/>
      <c r="I120" s="18">
        <v>0</v>
      </c>
      <c r="J120" s="18" t="e">
        <v>#DIV/0!</v>
      </c>
      <c r="K120" s="18" t="s">
        <v>273</v>
      </c>
      <c r="L120" s="18">
        <v>20001</v>
      </c>
      <c r="M120" s="18">
        <v>1</v>
      </c>
      <c r="N120" s="12" t="s">
        <v>338</v>
      </c>
    </row>
    <row r="121" s="12" customFormat="1" spans="1:14">
      <c r="A121" s="12" t="s">
        <v>159</v>
      </c>
      <c r="B121" s="12" t="s">
        <v>272</v>
      </c>
      <c r="C121" s="18" t="s">
        <v>273</v>
      </c>
      <c r="D121" s="18">
        <v>1</v>
      </c>
      <c r="E121" s="40">
        <v>177000</v>
      </c>
      <c r="F121" s="40">
        <v>313000</v>
      </c>
      <c r="G121" s="18">
        <v>0.567</v>
      </c>
      <c r="H121" s="18"/>
      <c r="I121" s="18">
        <v>0</v>
      </c>
      <c r="J121" s="18">
        <v>0</v>
      </c>
      <c r="K121" s="18" t="s">
        <v>273</v>
      </c>
      <c r="L121" s="18">
        <v>61</v>
      </c>
      <c r="M121" s="18">
        <v>1</v>
      </c>
      <c r="N121" s="12" t="s">
        <v>339</v>
      </c>
    </row>
    <row r="122" s="12" customFormat="1" spans="1:14">
      <c r="A122" s="12" t="s">
        <v>160</v>
      </c>
      <c r="B122" s="12" t="s">
        <v>272</v>
      </c>
      <c r="C122" s="18" t="s">
        <v>273</v>
      </c>
      <c r="D122" s="18">
        <v>1</v>
      </c>
      <c r="E122" s="40">
        <v>188000</v>
      </c>
      <c r="F122" s="40">
        <v>318000</v>
      </c>
      <c r="G122" s="18">
        <v>0.591</v>
      </c>
      <c r="H122" s="18"/>
      <c r="I122" s="18">
        <v>0</v>
      </c>
      <c r="J122" s="18">
        <v>0</v>
      </c>
      <c r="K122" s="18" t="s">
        <v>273</v>
      </c>
      <c r="L122" s="18">
        <v>62</v>
      </c>
      <c r="M122" s="18">
        <v>1</v>
      </c>
      <c r="N122" s="12" t="s">
        <v>340</v>
      </c>
    </row>
    <row r="123" s="12" customFormat="1" spans="1:14">
      <c r="A123" s="12" t="s">
        <v>161</v>
      </c>
      <c r="B123" s="12" t="s">
        <v>272</v>
      </c>
      <c r="C123" s="18" t="s">
        <v>273</v>
      </c>
      <c r="D123" s="18">
        <v>1</v>
      </c>
      <c r="E123" s="40">
        <v>775000</v>
      </c>
      <c r="F123" s="40">
        <v>353000</v>
      </c>
      <c r="G123" s="18">
        <v>2.2</v>
      </c>
      <c r="H123" s="18"/>
      <c r="I123" s="18">
        <v>0</v>
      </c>
      <c r="J123" s="18">
        <v>0</v>
      </c>
      <c r="K123" s="18" t="s">
        <v>273</v>
      </c>
      <c r="L123" s="18">
        <v>73</v>
      </c>
      <c r="M123" s="18">
        <v>1</v>
      </c>
      <c r="N123" s="12" t="s">
        <v>341</v>
      </c>
    </row>
    <row r="124" s="12" customFormat="1" spans="1:14">
      <c r="A124" s="12" t="s">
        <v>162</v>
      </c>
      <c r="B124" s="12" t="s">
        <v>272</v>
      </c>
      <c r="C124" s="18" t="s">
        <v>273</v>
      </c>
      <c r="D124" s="18">
        <v>1</v>
      </c>
      <c r="E124" s="40">
        <v>732000</v>
      </c>
      <c r="F124" s="40">
        <v>300000</v>
      </c>
      <c r="G124" s="18">
        <v>2.44</v>
      </c>
      <c r="H124" s="18"/>
      <c r="I124" s="18">
        <v>0</v>
      </c>
      <c r="J124" s="18">
        <v>0</v>
      </c>
      <c r="K124" s="18" t="s">
        <v>273</v>
      </c>
      <c r="L124" s="18">
        <v>74</v>
      </c>
      <c r="M124" s="18">
        <v>1</v>
      </c>
      <c r="N124" s="12" t="s">
        <v>342</v>
      </c>
    </row>
    <row r="125" s="12" customFormat="1" spans="1:14">
      <c r="A125" s="12" t="s">
        <v>163</v>
      </c>
      <c r="B125" s="12" t="s">
        <v>272</v>
      </c>
      <c r="C125" s="18" t="s">
        <v>273</v>
      </c>
      <c r="D125" s="18">
        <v>1</v>
      </c>
      <c r="E125" s="40">
        <v>1070000</v>
      </c>
      <c r="F125" s="40">
        <v>305000</v>
      </c>
      <c r="G125" s="18">
        <v>3.52</v>
      </c>
      <c r="H125" s="18"/>
      <c r="I125" s="18">
        <v>0</v>
      </c>
      <c r="J125" s="18">
        <v>0</v>
      </c>
      <c r="K125" s="18" t="s">
        <v>273</v>
      </c>
      <c r="L125" s="18">
        <v>85</v>
      </c>
      <c r="M125" s="18">
        <v>1</v>
      </c>
      <c r="N125" s="12" t="s">
        <v>343</v>
      </c>
    </row>
    <row r="126" s="12" customFormat="1" spans="1:14">
      <c r="A126" s="12" t="s">
        <v>164</v>
      </c>
      <c r="B126" s="12" t="s">
        <v>272</v>
      </c>
      <c r="C126" s="18" t="s">
        <v>273</v>
      </c>
      <c r="D126" s="18">
        <v>1</v>
      </c>
      <c r="E126" s="40">
        <v>1070000</v>
      </c>
      <c r="F126" s="40">
        <v>305000</v>
      </c>
      <c r="G126" s="18">
        <v>3.51</v>
      </c>
      <c r="H126" s="18"/>
      <c r="I126" s="18">
        <v>0</v>
      </c>
      <c r="J126" s="18">
        <v>0</v>
      </c>
      <c r="K126" s="18" t="s">
        <v>273</v>
      </c>
      <c r="L126" s="18">
        <v>86</v>
      </c>
      <c r="M126" s="18">
        <v>1</v>
      </c>
      <c r="N126" s="12" t="s">
        <v>344</v>
      </c>
    </row>
    <row r="127" s="12" customFormat="1" spans="1:14">
      <c r="A127" s="12" t="s">
        <v>271</v>
      </c>
      <c r="B127" s="12" t="s">
        <v>272</v>
      </c>
      <c r="C127" s="18" t="s">
        <v>273</v>
      </c>
      <c r="D127" s="18">
        <v>1</v>
      </c>
      <c r="E127" s="40">
        <v>0</v>
      </c>
      <c r="F127" s="40">
        <v>0</v>
      </c>
      <c r="G127" s="18" t="e">
        <v>#DIV/0!</v>
      </c>
      <c r="H127" s="18"/>
      <c r="I127" s="18">
        <v>0</v>
      </c>
      <c r="J127" s="18" t="e">
        <v>#DIV/0!</v>
      </c>
      <c r="K127" s="18" t="s">
        <v>273</v>
      </c>
      <c r="L127" s="18">
        <v>20001</v>
      </c>
      <c r="M127" s="18">
        <v>1</v>
      </c>
      <c r="N127" s="12" t="s">
        <v>345</v>
      </c>
    </row>
    <row r="128" s="12" customFormat="1" spans="1:14">
      <c r="A128" s="12" t="s">
        <v>271</v>
      </c>
      <c r="B128" s="12" t="s">
        <v>272</v>
      </c>
      <c r="C128" s="18" t="s">
        <v>273</v>
      </c>
      <c r="D128" s="18">
        <v>1</v>
      </c>
      <c r="E128" s="40">
        <v>0</v>
      </c>
      <c r="F128" s="40">
        <v>0</v>
      </c>
      <c r="G128" s="18" t="e">
        <v>#DIV/0!</v>
      </c>
      <c r="H128" s="18"/>
      <c r="I128" s="18">
        <v>0</v>
      </c>
      <c r="J128" s="18" t="e">
        <v>#DIV/0!</v>
      </c>
      <c r="K128" s="18" t="s">
        <v>273</v>
      </c>
      <c r="L128" s="18">
        <v>20001</v>
      </c>
      <c r="M128" s="18">
        <v>1</v>
      </c>
      <c r="N128" s="12" t="s">
        <v>346</v>
      </c>
    </row>
    <row r="129" s="12" customFormat="1" spans="1:14">
      <c r="A129" s="12" t="s">
        <v>167</v>
      </c>
      <c r="B129" s="12" t="s">
        <v>272</v>
      </c>
      <c r="C129" s="18" t="s">
        <v>273</v>
      </c>
      <c r="D129" s="18">
        <v>1</v>
      </c>
      <c r="E129" s="40">
        <v>69000</v>
      </c>
      <c r="F129" s="40">
        <v>320000</v>
      </c>
      <c r="G129" s="18">
        <v>0.216</v>
      </c>
      <c r="H129" s="18"/>
      <c r="I129" s="18">
        <v>0</v>
      </c>
      <c r="J129" s="18">
        <v>0</v>
      </c>
      <c r="K129" s="18" t="s">
        <v>273</v>
      </c>
      <c r="L129" s="18">
        <v>63</v>
      </c>
      <c r="M129" s="18">
        <v>1</v>
      </c>
      <c r="N129" s="12" t="s">
        <v>347</v>
      </c>
    </row>
    <row r="130" s="12" customFormat="1" spans="1:14">
      <c r="A130" s="12" t="s">
        <v>168</v>
      </c>
      <c r="B130" s="12" t="s">
        <v>272</v>
      </c>
      <c r="C130" s="18" t="s">
        <v>273</v>
      </c>
      <c r="D130" s="18">
        <v>1</v>
      </c>
      <c r="E130" s="40">
        <v>70800</v>
      </c>
      <c r="F130" s="40">
        <v>328000</v>
      </c>
      <c r="G130" s="18">
        <v>0.216</v>
      </c>
      <c r="H130" s="18"/>
      <c r="I130" s="18">
        <v>0</v>
      </c>
      <c r="J130" s="18">
        <v>0</v>
      </c>
      <c r="K130" s="18" t="s">
        <v>273</v>
      </c>
      <c r="L130" s="18">
        <v>64</v>
      </c>
      <c r="M130" s="18">
        <v>1</v>
      </c>
      <c r="N130" s="12" t="s">
        <v>348</v>
      </c>
    </row>
    <row r="131" s="12" customFormat="1" spans="1:14">
      <c r="A131" s="12" t="s">
        <v>169</v>
      </c>
      <c r="B131" s="12" t="s">
        <v>272</v>
      </c>
      <c r="C131" s="18" t="s">
        <v>273</v>
      </c>
      <c r="D131" s="18">
        <v>1</v>
      </c>
      <c r="E131" s="40">
        <v>624000</v>
      </c>
      <c r="F131" s="40">
        <v>346000</v>
      </c>
      <c r="G131" s="18">
        <v>1.8</v>
      </c>
      <c r="H131" s="18"/>
      <c r="I131" s="18">
        <v>0</v>
      </c>
      <c r="J131" s="18">
        <v>0</v>
      </c>
      <c r="K131" s="18" t="s">
        <v>273</v>
      </c>
      <c r="L131" s="18">
        <v>75</v>
      </c>
      <c r="M131" s="18">
        <v>1</v>
      </c>
      <c r="N131" s="12" t="s">
        <v>349</v>
      </c>
    </row>
    <row r="132" s="12" customFormat="1" spans="1:14">
      <c r="A132" s="12" t="s">
        <v>170</v>
      </c>
      <c r="B132" s="12" t="s">
        <v>272</v>
      </c>
      <c r="C132" s="18" t="s">
        <v>273</v>
      </c>
      <c r="D132" s="18">
        <v>1</v>
      </c>
      <c r="E132" s="40">
        <v>605000</v>
      </c>
      <c r="F132" s="40">
        <v>339000</v>
      </c>
      <c r="G132" s="18">
        <v>1.79</v>
      </c>
      <c r="H132" s="18"/>
      <c r="I132" s="18">
        <v>0</v>
      </c>
      <c r="J132" s="18">
        <v>0</v>
      </c>
      <c r="K132" s="18" t="s">
        <v>273</v>
      </c>
      <c r="L132" s="18">
        <v>76</v>
      </c>
      <c r="M132" s="18">
        <v>1</v>
      </c>
      <c r="N132" s="12" t="s">
        <v>350</v>
      </c>
    </row>
    <row r="133" s="12" customFormat="1" spans="1:14">
      <c r="A133" s="12" t="s">
        <v>171</v>
      </c>
      <c r="B133" s="12" t="s">
        <v>272</v>
      </c>
      <c r="C133" s="18" t="s">
        <v>273</v>
      </c>
      <c r="D133" s="18">
        <v>1</v>
      </c>
      <c r="E133" s="40">
        <v>1100000</v>
      </c>
      <c r="F133" s="40">
        <v>340000</v>
      </c>
      <c r="G133" s="18">
        <v>3.24</v>
      </c>
      <c r="H133" s="18"/>
      <c r="I133" s="18">
        <v>0</v>
      </c>
      <c r="J133" s="18">
        <v>0</v>
      </c>
      <c r="K133" s="18" t="s">
        <v>273</v>
      </c>
      <c r="L133" s="18">
        <v>87</v>
      </c>
      <c r="M133" s="18">
        <v>1</v>
      </c>
      <c r="N133" s="12" t="s">
        <v>351</v>
      </c>
    </row>
    <row r="134" s="12" customFormat="1" spans="1:14">
      <c r="A134" s="12" t="s">
        <v>172</v>
      </c>
      <c r="B134" s="12" t="s">
        <v>272</v>
      </c>
      <c r="C134" s="18" t="s">
        <v>273</v>
      </c>
      <c r="D134" s="18">
        <v>1</v>
      </c>
      <c r="E134" s="40">
        <v>1080000</v>
      </c>
      <c r="F134" s="40">
        <v>331000</v>
      </c>
      <c r="G134" s="18">
        <v>3.26</v>
      </c>
      <c r="H134" s="18"/>
      <c r="I134" s="18">
        <v>0</v>
      </c>
      <c r="J134" s="18">
        <v>0</v>
      </c>
      <c r="K134" s="18" t="s">
        <v>273</v>
      </c>
      <c r="L134" s="18">
        <v>88</v>
      </c>
      <c r="M134" s="18">
        <v>1</v>
      </c>
      <c r="N134" s="12" t="s">
        <v>352</v>
      </c>
    </row>
    <row r="135" s="12" customFormat="1" spans="1:14">
      <c r="A135" s="12" t="s">
        <v>271</v>
      </c>
      <c r="B135" s="12" t="s">
        <v>272</v>
      </c>
      <c r="C135" s="18" t="s">
        <v>273</v>
      </c>
      <c r="D135" s="18">
        <v>1</v>
      </c>
      <c r="E135" s="40">
        <v>0</v>
      </c>
      <c r="F135" s="40">
        <v>0</v>
      </c>
      <c r="G135" s="18" t="e">
        <v>#DIV/0!</v>
      </c>
      <c r="H135" s="18"/>
      <c r="I135" s="18">
        <v>0</v>
      </c>
      <c r="J135" s="18" t="e">
        <v>#DIV/0!</v>
      </c>
      <c r="K135" s="18" t="s">
        <v>273</v>
      </c>
      <c r="L135" s="18">
        <v>20001</v>
      </c>
      <c r="M135" s="18">
        <v>1</v>
      </c>
      <c r="N135" s="12" t="s">
        <v>353</v>
      </c>
    </row>
    <row r="136" s="12" customFormat="1" spans="1:14">
      <c r="A136" s="12" t="s">
        <v>271</v>
      </c>
      <c r="B136" s="12" t="s">
        <v>272</v>
      </c>
      <c r="C136" s="18" t="s">
        <v>273</v>
      </c>
      <c r="D136" s="18">
        <v>1</v>
      </c>
      <c r="E136" s="40">
        <v>0</v>
      </c>
      <c r="F136" s="40">
        <v>0</v>
      </c>
      <c r="G136" s="18" t="e">
        <v>#DIV/0!</v>
      </c>
      <c r="H136" s="18"/>
      <c r="I136" s="18">
        <v>0</v>
      </c>
      <c r="J136" s="18" t="e">
        <v>#DIV/0!</v>
      </c>
      <c r="K136" s="18" t="s">
        <v>273</v>
      </c>
      <c r="L136" s="18">
        <v>20001</v>
      </c>
      <c r="M136" s="18">
        <v>1</v>
      </c>
      <c r="N136" s="12" t="s">
        <v>354</v>
      </c>
    </row>
    <row r="137" s="12" customFormat="1" spans="1:14">
      <c r="A137" s="12" t="s">
        <v>176</v>
      </c>
      <c r="B137" s="12" t="s">
        <v>272</v>
      </c>
      <c r="C137" s="18" t="s">
        <v>273</v>
      </c>
      <c r="D137" s="18">
        <v>1</v>
      </c>
      <c r="E137" s="40">
        <v>53800</v>
      </c>
      <c r="F137" s="40">
        <v>318000</v>
      </c>
      <c r="G137" s="18">
        <v>0.169</v>
      </c>
      <c r="H137" s="18"/>
      <c r="I137" s="18">
        <v>0</v>
      </c>
      <c r="J137" s="18">
        <v>0</v>
      </c>
      <c r="K137" s="18" t="s">
        <v>273</v>
      </c>
      <c r="L137" s="18">
        <v>65</v>
      </c>
      <c r="M137" s="18">
        <v>1</v>
      </c>
      <c r="N137" s="12" t="s">
        <v>355</v>
      </c>
    </row>
    <row r="138" s="12" customFormat="1" spans="1:14">
      <c r="A138" s="12" t="s">
        <v>177</v>
      </c>
      <c r="B138" s="12" t="s">
        <v>272</v>
      </c>
      <c r="C138" s="18" t="s">
        <v>273</v>
      </c>
      <c r="D138" s="18">
        <v>1</v>
      </c>
      <c r="E138" s="40">
        <v>60900</v>
      </c>
      <c r="F138" s="40">
        <v>341000</v>
      </c>
      <c r="G138" s="18">
        <v>0.179</v>
      </c>
      <c r="H138" s="18"/>
      <c r="I138" s="18">
        <v>0</v>
      </c>
      <c r="J138" s="18">
        <v>0</v>
      </c>
      <c r="K138" s="18" t="s">
        <v>273</v>
      </c>
      <c r="L138" s="18">
        <v>66</v>
      </c>
      <c r="M138" s="18">
        <v>1</v>
      </c>
      <c r="N138" s="12" t="s">
        <v>356</v>
      </c>
    </row>
    <row r="139" s="12" customFormat="1" spans="1:14">
      <c r="A139" s="12" t="s">
        <v>178</v>
      </c>
      <c r="B139" s="12" t="s">
        <v>272</v>
      </c>
      <c r="C139" s="18" t="s">
        <v>273</v>
      </c>
      <c r="D139" s="18">
        <v>1</v>
      </c>
      <c r="E139" s="40">
        <v>635000</v>
      </c>
      <c r="F139" s="40">
        <v>354000</v>
      </c>
      <c r="G139" s="18">
        <v>1.8</v>
      </c>
      <c r="H139" s="18"/>
      <c r="I139" s="18">
        <v>0</v>
      </c>
      <c r="J139" s="18">
        <v>0</v>
      </c>
      <c r="K139" s="18" t="s">
        <v>273</v>
      </c>
      <c r="L139" s="18">
        <v>77</v>
      </c>
      <c r="M139" s="18">
        <v>1</v>
      </c>
      <c r="N139" s="12" t="s">
        <v>357</v>
      </c>
    </row>
    <row r="140" s="12" customFormat="1" spans="1:14">
      <c r="A140" s="12" t="s">
        <v>179</v>
      </c>
      <c r="B140" s="12" t="s">
        <v>272</v>
      </c>
      <c r="C140" s="18" t="s">
        <v>273</v>
      </c>
      <c r="D140" s="18">
        <v>1</v>
      </c>
      <c r="E140" s="40">
        <v>613000</v>
      </c>
      <c r="F140" s="40">
        <v>333000</v>
      </c>
      <c r="G140" s="18">
        <v>1.84</v>
      </c>
      <c r="H140" s="18"/>
      <c r="I140" s="18">
        <v>0</v>
      </c>
      <c r="J140" s="18">
        <v>0</v>
      </c>
      <c r="K140" s="18" t="s">
        <v>273</v>
      </c>
      <c r="L140" s="18">
        <v>78</v>
      </c>
      <c r="M140" s="18">
        <v>1</v>
      </c>
      <c r="N140" s="12" t="s">
        <v>358</v>
      </c>
    </row>
    <row r="141" s="12" customFormat="1" spans="1:14">
      <c r="A141" s="12" t="s">
        <v>180</v>
      </c>
      <c r="B141" s="12" t="s">
        <v>272</v>
      </c>
      <c r="C141" s="18" t="s">
        <v>273</v>
      </c>
      <c r="D141" s="18">
        <v>1</v>
      </c>
      <c r="E141" s="40">
        <v>1070000</v>
      </c>
      <c r="F141" s="40">
        <v>343000</v>
      </c>
      <c r="G141" s="18">
        <v>3.12</v>
      </c>
      <c r="H141" s="18"/>
      <c r="I141" s="18">
        <v>0</v>
      </c>
      <c r="J141" s="18">
        <v>0</v>
      </c>
      <c r="K141" s="18" t="s">
        <v>273</v>
      </c>
      <c r="L141" s="18">
        <v>89</v>
      </c>
      <c r="M141" s="18">
        <v>1</v>
      </c>
      <c r="N141" s="12" t="s">
        <v>359</v>
      </c>
    </row>
    <row r="142" s="12" customFormat="1" spans="1:14">
      <c r="A142" s="12" t="s">
        <v>181</v>
      </c>
      <c r="B142" s="12" t="s">
        <v>272</v>
      </c>
      <c r="C142" s="18" t="s">
        <v>273</v>
      </c>
      <c r="D142" s="18">
        <v>1</v>
      </c>
      <c r="E142" s="40">
        <v>1060000</v>
      </c>
      <c r="F142" s="40">
        <v>328000</v>
      </c>
      <c r="G142" s="18">
        <v>3.23</v>
      </c>
      <c r="H142" s="18"/>
      <c r="I142" s="18">
        <v>0</v>
      </c>
      <c r="J142" s="18">
        <v>0</v>
      </c>
      <c r="K142" s="18" t="s">
        <v>273</v>
      </c>
      <c r="L142" s="18">
        <v>90</v>
      </c>
      <c r="M142" s="18">
        <v>1</v>
      </c>
      <c r="N142" s="12" t="s">
        <v>360</v>
      </c>
    </row>
    <row r="143" s="12" customFormat="1" spans="1:14">
      <c r="A143" s="12" t="s">
        <v>271</v>
      </c>
      <c r="B143" s="12" t="s">
        <v>272</v>
      </c>
      <c r="C143" s="18" t="s">
        <v>273</v>
      </c>
      <c r="D143" s="18">
        <v>1</v>
      </c>
      <c r="E143" s="40">
        <v>0</v>
      </c>
      <c r="F143" s="40">
        <v>0</v>
      </c>
      <c r="G143" s="18" t="e">
        <v>#DIV/0!</v>
      </c>
      <c r="H143" s="18"/>
      <c r="I143" s="18">
        <v>0</v>
      </c>
      <c r="J143" s="18" t="e">
        <v>#DIV/0!</v>
      </c>
      <c r="K143" s="18" t="s">
        <v>273</v>
      </c>
      <c r="L143" s="18">
        <v>20001</v>
      </c>
      <c r="M143" s="18">
        <v>1</v>
      </c>
      <c r="N143" s="12" t="s">
        <v>361</v>
      </c>
    </row>
    <row r="144" s="12" customFormat="1" spans="1:14">
      <c r="A144" s="12" t="s">
        <v>271</v>
      </c>
      <c r="B144" s="12" t="s">
        <v>272</v>
      </c>
      <c r="C144" s="18" t="s">
        <v>273</v>
      </c>
      <c r="D144" s="18">
        <v>1</v>
      </c>
      <c r="E144" s="40">
        <v>0</v>
      </c>
      <c r="F144" s="40">
        <v>0</v>
      </c>
      <c r="G144" s="18" t="e">
        <v>#DIV/0!</v>
      </c>
      <c r="H144" s="18"/>
      <c r="I144" s="18">
        <v>0</v>
      </c>
      <c r="J144" s="18" t="e">
        <v>#DIV/0!</v>
      </c>
      <c r="K144" s="18" t="s">
        <v>273</v>
      </c>
      <c r="L144" s="18">
        <v>20001</v>
      </c>
      <c r="M144" s="18">
        <v>1</v>
      </c>
      <c r="N144" s="12" t="s">
        <v>362</v>
      </c>
    </row>
    <row r="145" s="12" customFormat="1" spans="1:14">
      <c r="A145" s="12" t="s">
        <v>184</v>
      </c>
      <c r="B145" s="12" t="s">
        <v>272</v>
      </c>
      <c r="C145" s="18" t="s">
        <v>273</v>
      </c>
      <c r="D145" s="18">
        <v>1</v>
      </c>
      <c r="E145" s="40">
        <v>157000</v>
      </c>
      <c r="F145" s="40">
        <v>332000</v>
      </c>
      <c r="G145" s="18">
        <v>0.473</v>
      </c>
      <c r="H145" s="18"/>
      <c r="I145" s="18">
        <v>0</v>
      </c>
      <c r="J145" s="18">
        <v>0</v>
      </c>
      <c r="K145" s="18" t="s">
        <v>273</v>
      </c>
      <c r="L145" s="18">
        <v>67</v>
      </c>
      <c r="M145" s="18">
        <v>1</v>
      </c>
      <c r="N145" s="12" t="s">
        <v>363</v>
      </c>
    </row>
    <row r="146" s="12" customFormat="1" spans="1:14">
      <c r="A146" s="12" t="s">
        <v>185</v>
      </c>
      <c r="B146" s="12" t="s">
        <v>272</v>
      </c>
      <c r="C146" s="18" t="s">
        <v>273</v>
      </c>
      <c r="D146" s="18">
        <v>1</v>
      </c>
      <c r="E146" s="40">
        <v>167000</v>
      </c>
      <c r="F146" s="40">
        <v>321000</v>
      </c>
      <c r="G146" s="18">
        <v>0.519</v>
      </c>
      <c r="H146" s="18"/>
      <c r="I146" s="18">
        <v>0</v>
      </c>
      <c r="J146" s="18">
        <v>0</v>
      </c>
      <c r="K146" s="18" t="s">
        <v>273</v>
      </c>
      <c r="L146" s="18">
        <v>68</v>
      </c>
      <c r="M146" s="18">
        <v>1</v>
      </c>
      <c r="N146" s="12" t="s">
        <v>364</v>
      </c>
    </row>
    <row r="147" s="12" customFormat="1" spans="1:14">
      <c r="A147" s="12" t="s">
        <v>186</v>
      </c>
      <c r="B147" s="12" t="s">
        <v>272</v>
      </c>
      <c r="C147" s="18" t="s">
        <v>273</v>
      </c>
      <c r="D147" s="18">
        <v>1</v>
      </c>
      <c r="E147" s="40">
        <v>702000</v>
      </c>
      <c r="F147" s="40">
        <v>346000</v>
      </c>
      <c r="G147" s="18">
        <v>2.03</v>
      </c>
      <c r="H147" s="18"/>
      <c r="I147" s="18">
        <v>0</v>
      </c>
      <c r="J147" s="18">
        <v>0</v>
      </c>
      <c r="K147" s="18" t="s">
        <v>273</v>
      </c>
      <c r="L147" s="18">
        <v>79</v>
      </c>
      <c r="M147" s="18">
        <v>1</v>
      </c>
      <c r="N147" s="12" t="s">
        <v>365</v>
      </c>
    </row>
    <row r="148" s="12" customFormat="1" spans="1:14">
      <c r="A148" s="12" t="s">
        <v>187</v>
      </c>
      <c r="B148" s="12" t="s">
        <v>272</v>
      </c>
      <c r="C148" s="18" t="s">
        <v>273</v>
      </c>
      <c r="D148" s="18">
        <v>1</v>
      </c>
      <c r="E148" s="40">
        <v>656000</v>
      </c>
      <c r="F148" s="40">
        <v>310000</v>
      </c>
      <c r="G148" s="18">
        <v>2.12</v>
      </c>
      <c r="H148" s="18"/>
      <c r="I148" s="18">
        <v>0</v>
      </c>
      <c r="J148" s="18">
        <v>0</v>
      </c>
      <c r="K148" s="18" t="s">
        <v>273</v>
      </c>
      <c r="L148" s="18">
        <v>80</v>
      </c>
      <c r="M148" s="18">
        <v>1</v>
      </c>
      <c r="N148" s="12" t="s">
        <v>366</v>
      </c>
    </row>
    <row r="149" spans="1:14">
      <c r="A149" s="33" t="s">
        <v>188</v>
      </c>
      <c r="B149" s="33" t="s">
        <v>272</v>
      </c>
      <c r="C149" s="34" t="s">
        <v>273</v>
      </c>
      <c r="D149" s="34">
        <v>1</v>
      </c>
      <c r="E149" s="38">
        <v>1010000</v>
      </c>
      <c r="F149" s="38">
        <v>302000</v>
      </c>
      <c r="G149" s="34">
        <v>3.36</v>
      </c>
      <c r="I149" s="34">
        <v>0</v>
      </c>
      <c r="J149" s="34">
        <v>0</v>
      </c>
      <c r="K149" s="34" t="s">
        <v>273</v>
      </c>
      <c r="L149" s="34">
        <v>91</v>
      </c>
      <c r="M149" s="34">
        <v>1</v>
      </c>
      <c r="N149" s="33" t="s">
        <v>367</v>
      </c>
    </row>
    <row r="150" spans="1:14">
      <c r="A150" s="33" t="s">
        <v>189</v>
      </c>
      <c r="B150" s="33" t="s">
        <v>272</v>
      </c>
      <c r="C150" s="34" t="s">
        <v>273</v>
      </c>
      <c r="D150" s="34">
        <v>1</v>
      </c>
      <c r="E150" s="38">
        <v>1040000</v>
      </c>
      <c r="F150" s="38">
        <v>312000</v>
      </c>
      <c r="G150" s="34">
        <v>3.32</v>
      </c>
      <c r="I150" s="34">
        <v>0</v>
      </c>
      <c r="J150" s="34">
        <v>0</v>
      </c>
      <c r="K150" s="34" t="s">
        <v>273</v>
      </c>
      <c r="L150" s="34">
        <v>92</v>
      </c>
      <c r="M150" s="34">
        <v>1</v>
      </c>
      <c r="N150" s="33" t="s">
        <v>368</v>
      </c>
    </row>
    <row r="151" spans="1:14">
      <c r="A151" s="33" t="s">
        <v>271</v>
      </c>
      <c r="B151" s="33" t="s">
        <v>272</v>
      </c>
      <c r="C151" s="34" t="s">
        <v>273</v>
      </c>
      <c r="D151" s="34">
        <v>1</v>
      </c>
      <c r="E151" s="38">
        <v>0</v>
      </c>
      <c r="F151" s="38">
        <v>0</v>
      </c>
      <c r="G151" s="34" t="e">
        <v>#DIV/0!</v>
      </c>
      <c r="I151" s="34">
        <v>0</v>
      </c>
      <c r="J151" s="34" t="e">
        <v>#DIV/0!</v>
      </c>
      <c r="K151" s="34" t="s">
        <v>273</v>
      </c>
      <c r="L151" s="34">
        <v>20001</v>
      </c>
      <c r="M151" s="34">
        <v>1</v>
      </c>
      <c r="N151" s="33" t="s">
        <v>369</v>
      </c>
    </row>
    <row r="152" spans="1:14">
      <c r="A152" s="33" t="s">
        <v>271</v>
      </c>
      <c r="B152" s="33" t="s">
        <v>272</v>
      </c>
      <c r="C152" s="34" t="s">
        <v>273</v>
      </c>
      <c r="D152" s="34">
        <v>1</v>
      </c>
      <c r="E152" s="38">
        <v>0</v>
      </c>
      <c r="F152" s="38">
        <v>0</v>
      </c>
      <c r="G152" s="34" t="e">
        <v>#DIV/0!</v>
      </c>
      <c r="I152" s="34">
        <v>0</v>
      </c>
      <c r="J152" s="34" t="e">
        <v>#DIV/0!</v>
      </c>
      <c r="K152" s="34" t="s">
        <v>273</v>
      </c>
      <c r="L152" s="34">
        <v>20001</v>
      </c>
      <c r="M152" s="34">
        <v>1</v>
      </c>
      <c r="N152" s="33" t="s">
        <v>370</v>
      </c>
    </row>
    <row r="153" spans="1:14">
      <c r="A153" s="33" t="s">
        <v>192</v>
      </c>
      <c r="B153" s="33" t="s">
        <v>272</v>
      </c>
      <c r="C153" s="34" t="s">
        <v>273</v>
      </c>
      <c r="D153" s="34">
        <v>1</v>
      </c>
      <c r="E153" s="38">
        <v>2310</v>
      </c>
      <c r="F153" s="38">
        <v>311000</v>
      </c>
      <c r="G153" s="34">
        <v>0.00741</v>
      </c>
      <c r="I153" s="34">
        <v>0</v>
      </c>
      <c r="J153" s="34">
        <v>0</v>
      </c>
      <c r="K153" s="34" t="s">
        <v>273</v>
      </c>
      <c r="L153" s="34">
        <v>69</v>
      </c>
      <c r="M153" s="34">
        <v>1</v>
      </c>
      <c r="N153" s="33" t="s">
        <v>371</v>
      </c>
    </row>
    <row r="154" spans="1:14">
      <c r="A154" s="33" t="s">
        <v>193</v>
      </c>
      <c r="B154" s="33" t="s">
        <v>272</v>
      </c>
      <c r="C154" s="34" t="s">
        <v>273</v>
      </c>
      <c r="D154" s="34">
        <v>1</v>
      </c>
      <c r="E154" s="38">
        <v>1920</v>
      </c>
      <c r="F154" s="38">
        <v>327000</v>
      </c>
      <c r="G154" s="34">
        <v>0.00588</v>
      </c>
      <c r="I154" s="34">
        <v>0</v>
      </c>
      <c r="J154" s="34">
        <v>0</v>
      </c>
      <c r="K154" s="34" t="s">
        <v>273</v>
      </c>
      <c r="L154" s="34">
        <v>70</v>
      </c>
      <c r="M154" s="34">
        <v>1</v>
      </c>
      <c r="N154" s="33" t="s">
        <v>372</v>
      </c>
    </row>
    <row r="155" spans="1:14">
      <c r="A155" s="33" t="s">
        <v>194</v>
      </c>
      <c r="B155" s="33" t="s">
        <v>272</v>
      </c>
      <c r="C155" s="34" t="s">
        <v>273</v>
      </c>
      <c r="D155" s="34">
        <v>1</v>
      </c>
      <c r="E155" s="38">
        <v>233000</v>
      </c>
      <c r="F155" s="38">
        <v>347000</v>
      </c>
      <c r="G155" s="34">
        <v>0.672</v>
      </c>
      <c r="I155" s="34">
        <v>0</v>
      </c>
      <c r="J155" s="34">
        <v>0</v>
      </c>
      <c r="K155" s="34" t="s">
        <v>273</v>
      </c>
      <c r="L155" s="34">
        <v>81</v>
      </c>
      <c r="M155" s="34">
        <v>1</v>
      </c>
      <c r="N155" s="33" t="s">
        <v>373</v>
      </c>
    </row>
    <row r="156" spans="1:14">
      <c r="A156" s="33" t="s">
        <v>195</v>
      </c>
      <c r="B156" s="33" t="s">
        <v>272</v>
      </c>
      <c r="C156" s="34" t="s">
        <v>273</v>
      </c>
      <c r="D156" s="34">
        <v>1</v>
      </c>
      <c r="E156" s="38">
        <v>211000</v>
      </c>
      <c r="F156" s="38">
        <v>313000</v>
      </c>
      <c r="G156" s="34">
        <v>0.674</v>
      </c>
      <c r="I156" s="34">
        <v>0</v>
      </c>
      <c r="J156" s="34">
        <v>0</v>
      </c>
      <c r="K156" s="34" t="s">
        <v>273</v>
      </c>
      <c r="L156" s="34">
        <v>82</v>
      </c>
      <c r="M156" s="34">
        <v>1</v>
      </c>
      <c r="N156" s="33" t="s">
        <v>374</v>
      </c>
    </row>
    <row r="157" spans="1:14">
      <c r="A157" s="33" t="s">
        <v>196</v>
      </c>
      <c r="B157" s="33" t="s">
        <v>272</v>
      </c>
      <c r="C157" s="34" t="s">
        <v>273</v>
      </c>
      <c r="D157" s="34">
        <v>1</v>
      </c>
      <c r="E157" s="38">
        <v>899000</v>
      </c>
      <c r="F157" s="38">
        <v>310000</v>
      </c>
      <c r="G157" s="34">
        <v>2.9</v>
      </c>
      <c r="I157" s="34">
        <v>0</v>
      </c>
      <c r="J157" s="34">
        <v>0</v>
      </c>
      <c r="K157" s="34" t="s">
        <v>273</v>
      </c>
      <c r="L157" s="34">
        <v>93</v>
      </c>
      <c r="M157" s="34">
        <v>1</v>
      </c>
      <c r="N157" s="33" t="s">
        <v>375</v>
      </c>
    </row>
    <row r="158" spans="1:14">
      <c r="A158" s="33" t="s">
        <v>197</v>
      </c>
      <c r="B158" s="33" t="s">
        <v>272</v>
      </c>
      <c r="C158" s="34" t="s">
        <v>273</v>
      </c>
      <c r="D158" s="34">
        <v>1</v>
      </c>
      <c r="E158" s="38">
        <v>910000</v>
      </c>
      <c r="F158" s="38">
        <v>304000</v>
      </c>
      <c r="G158" s="34">
        <v>2.99</v>
      </c>
      <c r="I158" s="34">
        <v>0</v>
      </c>
      <c r="J158" s="34">
        <v>0</v>
      </c>
      <c r="K158" s="34" t="s">
        <v>273</v>
      </c>
      <c r="L158" s="34">
        <v>94</v>
      </c>
      <c r="M158" s="34">
        <v>1</v>
      </c>
      <c r="N158" s="33" t="s">
        <v>376</v>
      </c>
    </row>
    <row r="160" s="30" customFormat="1" spans="1:13">
      <c r="A160" s="30" t="s">
        <v>80</v>
      </c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</row>
    <row r="161" spans="1:1">
      <c r="A161" s="33" t="s">
        <v>238</v>
      </c>
    </row>
    <row r="162" spans="1:1">
      <c r="A162" s="33" t="s">
        <v>239</v>
      </c>
    </row>
    <row r="163" spans="1:1">
      <c r="A163" s="33" t="s">
        <v>240</v>
      </c>
    </row>
    <row r="164" spans="1:1">
      <c r="A164" s="33" t="s">
        <v>241</v>
      </c>
    </row>
    <row r="165" spans="1:1">
      <c r="A165" s="33" t="s">
        <v>239</v>
      </c>
    </row>
    <row r="166" s="31" customFormat="1" spans="1:13">
      <c r="A166" s="31" t="s">
        <v>242</v>
      </c>
      <c r="B166" s="31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</row>
    <row r="168" spans="1:1">
      <c r="A168" s="33" t="s">
        <v>377</v>
      </c>
    </row>
    <row r="169" spans="1:1">
      <c r="A169" s="33" t="s">
        <v>244</v>
      </c>
    </row>
    <row r="170" spans="1:1">
      <c r="A170" s="33" t="s">
        <v>378</v>
      </c>
    </row>
    <row r="172" spans="1:6">
      <c r="A172" s="33" t="s">
        <v>246</v>
      </c>
      <c r="B172" s="33" t="s">
        <v>247</v>
      </c>
      <c r="C172" s="34" t="s">
        <v>248</v>
      </c>
      <c r="D172" s="34" t="s">
        <v>249</v>
      </c>
      <c r="E172" s="34" t="s">
        <v>250</v>
      </c>
      <c r="F172" s="34" t="s">
        <v>251</v>
      </c>
    </row>
    <row r="173" spans="1:2">
      <c r="A173" s="33" t="s">
        <v>252</v>
      </c>
      <c r="B173" s="33" t="s">
        <v>253</v>
      </c>
    </row>
    <row r="174" spans="1:1">
      <c r="A174" s="33" t="s">
        <v>254</v>
      </c>
    </row>
    <row r="176" spans="1:1">
      <c r="A176" s="33" t="s">
        <v>379</v>
      </c>
    </row>
    <row r="177" spans="1:1">
      <c r="A177" s="33" t="s">
        <v>256</v>
      </c>
    </row>
    <row r="178" spans="1:1">
      <c r="A178" s="33" t="s">
        <v>378</v>
      </c>
    </row>
    <row r="180" spans="1:6">
      <c r="A180" s="33" t="s">
        <v>246</v>
      </c>
      <c r="B180" s="33" t="s">
        <v>247</v>
      </c>
      <c r="C180" s="34" t="s">
        <v>248</v>
      </c>
      <c r="D180" s="34" t="s">
        <v>249</v>
      </c>
      <c r="E180" s="34" t="s">
        <v>250</v>
      </c>
      <c r="F180" s="34" t="s">
        <v>251</v>
      </c>
    </row>
    <row r="181" spans="1:2">
      <c r="A181" s="33" t="s">
        <v>252</v>
      </c>
      <c r="B181" s="33" t="s">
        <v>253</v>
      </c>
    </row>
    <row r="182" spans="1:1">
      <c r="A182" s="33" t="s">
        <v>254</v>
      </c>
    </row>
    <row r="186" s="31" customFormat="1" ht="46.5" spans="1:14">
      <c r="A186" s="31" t="s">
        <v>257</v>
      </c>
      <c r="B186" s="31" t="s">
        <v>258</v>
      </c>
      <c r="C186" s="37" t="s">
        <v>259</v>
      </c>
      <c r="D186" s="37" t="s">
        <v>260</v>
      </c>
      <c r="E186" s="37" t="s">
        <v>261</v>
      </c>
      <c r="F186" s="37" t="s">
        <v>262</v>
      </c>
      <c r="G186" s="37" t="s">
        <v>263</v>
      </c>
      <c r="H186" s="37" t="s">
        <v>264</v>
      </c>
      <c r="I186" s="37" t="s">
        <v>265</v>
      </c>
      <c r="J186" s="37" t="s">
        <v>266</v>
      </c>
      <c r="K186" s="37" t="s">
        <v>267</v>
      </c>
      <c r="L186" s="37" t="s">
        <v>268</v>
      </c>
      <c r="M186" s="37" t="s">
        <v>269</v>
      </c>
      <c r="N186" s="31" t="s">
        <v>270</v>
      </c>
    </row>
    <row r="187" spans="1:14">
      <c r="A187" s="33" t="s">
        <v>271</v>
      </c>
      <c r="B187" s="33" t="s">
        <v>272</v>
      </c>
      <c r="C187" s="34" t="s">
        <v>273</v>
      </c>
      <c r="D187" s="34">
        <v>1</v>
      </c>
      <c r="E187" s="38">
        <v>0</v>
      </c>
      <c r="F187" s="38">
        <v>0</v>
      </c>
      <c r="G187" s="34" t="e">
        <v>#DIV/0!</v>
      </c>
      <c r="I187" s="34">
        <v>0</v>
      </c>
      <c r="J187" s="34" t="e">
        <v>#DIV/0!</v>
      </c>
      <c r="K187" s="34" t="s">
        <v>273</v>
      </c>
      <c r="L187" s="34">
        <v>20001</v>
      </c>
      <c r="M187" s="34">
        <v>1</v>
      </c>
      <c r="N187" s="33" t="s">
        <v>380</v>
      </c>
    </row>
    <row r="188" spans="1:14">
      <c r="A188" s="33" t="s">
        <v>271</v>
      </c>
      <c r="B188" s="33" t="s">
        <v>272</v>
      </c>
      <c r="C188" s="34" t="s">
        <v>273</v>
      </c>
      <c r="D188" s="34">
        <v>1</v>
      </c>
      <c r="E188" s="38">
        <v>0</v>
      </c>
      <c r="F188" s="38">
        <v>0</v>
      </c>
      <c r="G188" s="34" t="e">
        <v>#DIV/0!</v>
      </c>
      <c r="I188" s="34">
        <v>0</v>
      </c>
      <c r="J188" s="34" t="e">
        <v>#DIV/0!</v>
      </c>
      <c r="K188" s="34" t="s">
        <v>273</v>
      </c>
      <c r="L188" s="34">
        <v>20001</v>
      </c>
      <c r="M188" s="34">
        <v>1</v>
      </c>
      <c r="N188" s="33" t="s">
        <v>381</v>
      </c>
    </row>
    <row r="189" spans="1:14">
      <c r="A189" s="33" t="s">
        <v>200</v>
      </c>
      <c r="B189" s="33" t="s">
        <v>272</v>
      </c>
      <c r="C189" s="34" t="s">
        <v>273</v>
      </c>
      <c r="D189" s="34">
        <v>1</v>
      </c>
      <c r="E189" s="38">
        <v>20700</v>
      </c>
      <c r="F189" s="38">
        <v>255000</v>
      </c>
      <c r="G189" s="34">
        <v>0.081</v>
      </c>
      <c r="I189" s="34">
        <v>0</v>
      </c>
      <c r="J189" s="34">
        <v>0</v>
      </c>
      <c r="K189" s="34" t="s">
        <v>273</v>
      </c>
      <c r="L189" s="34">
        <v>61</v>
      </c>
      <c r="M189" s="34">
        <v>1</v>
      </c>
      <c r="N189" s="33" t="s">
        <v>382</v>
      </c>
    </row>
    <row r="190" spans="1:14">
      <c r="A190" s="33" t="s">
        <v>201</v>
      </c>
      <c r="B190" s="33" t="s">
        <v>272</v>
      </c>
      <c r="C190" s="34" t="s">
        <v>273</v>
      </c>
      <c r="D190" s="34">
        <v>1</v>
      </c>
      <c r="E190" s="38">
        <v>19700</v>
      </c>
      <c r="F190" s="38">
        <v>279000</v>
      </c>
      <c r="G190" s="34">
        <v>0.0706</v>
      </c>
      <c r="I190" s="34">
        <v>0</v>
      </c>
      <c r="J190" s="34">
        <v>0</v>
      </c>
      <c r="K190" s="34" t="s">
        <v>273</v>
      </c>
      <c r="L190" s="34">
        <v>62</v>
      </c>
      <c r="M190" s="34">
        <v>1</v>
      </c>
      <c r="N190" s="33" t="s">
        <v>383</v>
      </c>
    </row>
    <row r="191" spans="1:14">
      <c r="A191" s="33" t="s">
        <v>202</v>
      </c>
      <c r="B191" s="33" t="s">
        <v>272</v>
      </c>
      <c r="C191" s="34" t="s">
        <v>273</v>
      </c>
      <c r="D191" s="34">
        <v>1</v>
      </c>
      <c r="E191" s="38">
        <v>38200</v>
      </c>
      <c r="F191" s="38">
        <v>275000</v>
      </c>
      <c r="G191" s="34">
        <v>0.139</v>
      </c>
      <c r="I191" s="34">
        <v>0</v>
      </c>
      <c r="J191" s="34">
        <v>0</v>
      </c>
      <c r="K191" s="34" t="s">
        <v>273</v>
      </c>
      <c r="L191" s="34">
        <v>83</v>
      </c>
      <c r="M191" s="34">
        <v>1</v>
      </c>
      <c r="N191" s="33" t="s">
        <v>384</v>
      </c>
    </row>
    <row r="192" spans="1:14">
      <c r="A192" s="33" t="s">
        <v>203</v>
      </c>
      <c r="B192" s="33" t="s">
        <v>272</v>
      </c>
      <c r="C192" s="34" t="s">
        <v>273</v>
      </c>
      <c r="D192" s="34">
        <v>1</v>
      </c>
      <c r="E192" s="38">
        <v>35400</v>
      </c>
      <c r="F192" s="38">
        <v>246000</v>
      </c>
      <c r="G192" s="34">
        <v>0.144</v>
      </c>
      <c r="I192" s="34">
        <v>0</v>
      </c>
      <c r="J192" s="34">
        <v>0</v>
      </c>
      <c r="K192" s="34" t="s">
        <v>273</v>
      </c>
      <c r="L192" s="34">
        <v>84</v>
      </c>
      <c r="M192" s="34">
        <v>1</v>
      </c>
      <c r="N192" s="33" t="s">
        <v>385</v>
      </c>
    </row>
    <row r="193" spans="1:14">
      <c r="A193" s="33" t="s">
        <v>204</v>
      </c>
      <c r="B193" s="33" t="s">
        <v>272</v>
      </c>
      <c r="C193" s="34" t="s">
        <v>273</v>
      </c>
      <c r="D193" s="34">
        <v>1</v>
      </c>
      <c r="E193" s="38">
        <v>48800</v>
      </c>
      <c r="F193" s="38">
        <v>271000</v>
      </c>
      <c r="G193" s="34">
        <v>0.18</v>
      </c>
      <c r="I193" s="34">
        <v>0</v>
      </c>
      <c r="J193" s="34">
        <v>0</v>
      </c>
      <c r="K193" s="34" t="s">
        <v>273</v>
      </c>
      <c r="L193" s="34">
        <v>85</v>
      </c>
      <c r="M193" s="34">
        <v>1</v>
      </c>
      <c r="N193" s="33" t="s">
        <v>386</v>
      </c>
    </row>
    <row r="194" spans="1:14">
      <c r="A194" s="33" t="s">
        <v>205</v>
      </c>
      <c r="B194" s="33" t="s">
        <v>272</v>
      </c>
      <c r="C194" s="34" t="s">
        <v>273</v>
      </c>
      <c r="D194" s="34">
        <v>1</v>
      </c>
      <c r="E194" s="38">
        <v>49000</v>
      </c>
      <c r="F194" s="38">
        <v>260000</v>
      </c>
      <c r="G194" s="34">
        <v>0.188</v>
      </c>
      <c r="I194" s="34">
        <v>0</v>
      </c>
      <c r="J194" s="34">
        <v>0</v>
      </c>
      <c r="K194" s="34" t="s">
        <v>273</v>
      </c>
      <c r="L194" s="34">
        <v>86</v>
      </c>
      <c r="M194" s="34">
        <v>1</v>
      </c>
      <c r="N194" s="33" t="s">
        <v>387</v>
      </c>
    </row>
    <row r="195" spans="1:14">
      <c r="A195" s="33" t="s">
        <v>271</v>
      </c>
      <c r="B195" s="33" t="s">
        <v>272</v>
      </c>
      <c r="C195" s="34" t="s">
        <v>273</v>
      </c>
      <c r="D195" s="34">
        <v>1</v>
      </c>
      <c r="E195" s="38">
        <v>0</v>
      </c>
      <c r="F195" s="38">
        <v>0</v>
      </c>
      <c r="G195" s="34" t="e">
        <v>#DIV/0!</v>
      </c>
      <c r="I195" s="34">
        <v>0</v>
      </c>
      <c r="J195" s="34" t="e">
        <v>#DIV/0!</v>
      </c>
      <c r="K195" s="34" t="s">
        <v>273</v>
      </c>
      <c r="L195" s="34">
        <v>20001</v>
      </c>
      <c r="M195" s="34">
        <v>1</v>
      </c>
      <c r="N195" s="33" t="s">
        <v>388</v>
      </c>
    </row>
    <row r="196" spans="1:14">
      <c r="A196" s="33" t="s">
        <v>271</v>
      </c>
      <c r="B196" s="33" t="s">
        <v>272</v>
      </c>
      <c r="C196" s="34" t="s">
        <v>273</v>
      </c>
      <c r="D196" s="34">
        <v>1</v>
      </c>
      <c r="E196" s="38">
        <v>0</v>
      </c>
      <c r="F196" s="38">
        <v>0</v>
      </c>
      <c r="G196" s="34" t="e">
        <v>#DIV/0!</v>
      </c>
      <c r="I196" s="34">
        <v>0</v>
      </c>
      <c r="J196" s="34" t="e">
        <v>#DIV/0!</v>
      </c>
      <c r="K196" s="34" t="s">
        <v>273</v>
      </c>
      <c r="L196" s="34">
        <v>20001</v>
      </c>
      <c r="M196" s="34">
        <v>1</v>
      </c>
      <c r="N196" s="33" t="s">
        <v>389</v>
      </c>
    </row>
    <row r="197" spans="1:14">
      <c r="A197" s="33" t="s">
        <v>208</v>
      </c>
      <c r="B197" s="33" t="s">
        <v>272</v>
      </c>
      <c r="C197" s="34" t="s">
        <v>273</v>
      </c>
      <c r="D197" s="34">
        <v>1</v>
      </c>
      <c r="E197" s="38">
        <v>29500</v>
      </c>
      <c r="F197" s="38">
        <v>279000</v>
      </c>
      <c r="G197" s="34">
        <v>0.106</v>
      </c>
      <c r="I197" s="34">
        <v>0</v>
      </c>
      <c r="J197" s="34">
        <v>0</v>
      </c>
      <c r="K197" s="34" t="s">
        <v>273</v>
      </c>
      <c r="L197" s="34">
        <v>63</v>
      </c>
      <c r="M197" s="34">
        <v>1</v>
      </c>
      <c r="N197" s="33" t="s">
        <v>390</v>
      </c>
    </row>
    <row r="198" spans="1:14">
      <c r="A198" s="33" t="s">
        <v>209</v>
      </c>
      <c r="B198" s="33" t="s">
        <v>272</v>
      </c>
      <c r="C198" s="34" t="s">
        <v>273</v>
      </c>
      <c r="D198" s="34">
        <v>1</v>
      </c>
      <c r="E198" s="38">
        <v>33600</v>
      </c>
      <c r="F198" s="38">
        <v>298000</v>
      </c>
      <c r="G198" s="34">
        <v>0.113</v>
      </c>
      <c r="I198" s="34">
        <v>0</v>
      </c>
      <c r="J198" s="34">
        <v>0</v>
      </c>
      <c r="K198" s="34" t="s">
        <v>273</v>
      </c>
      <c r="L198" s="34">
        <v>64</v>
      </c>
      <c r="M198" s="34">
        <v>1</v>
      </c>
      <c r="N198" s="33" t="s">
        <v>391</v>
      </c>
    </row>
    <row r="199" spans="1:14">
      <c r="A199" s="33" t="s">
        <v>210</v>
      </c>
      <c r="B199" s="33" t="s">
        <v>272</v>
      </c>
      <c r="C199" s="34" t="s">
        <v>273</v>
      </c>
      <c r="D199" s="34">
        <v>1</v>
      </c>
      <c r="E199" s="38">
        <v>44000</v>
      </c>
      <c r="F199" s="38">
        <v>290000</v>
      </c>
      <c r="G199" s="34">
        <v>0.152</v>
      </c>
      <c r="I199" s="34">
        <v>0</v>
      </c>
      <c r="J199" s="34">
        <v>0</v>
      </c>
      <c r="K199" s="34" t="s">
        <v>273</v>
      </c>
      <c r="L199" s="34">
        <v>95</v>
      </c>
      <c r="M199" s="34">
        <v>1</v>
      </c>
      <c r="N199" s="33" t="s">
        <v>392</v>
      </c>
    </row>
    <row r="200" spans="1:14">
      <c r="A200" s="33" t="s">
        <v>211</v>
      </c>
      <c r="B200" s="33" t="s">
        <v>272</v>
      </c>
      <c r="C200" s="34" t="s">
        <v>273</v>
      </c>
      <c r="D200" s="34">
        <v>1</v>
      </c>
      <c r="E200" s="38">
        <v>44900</v>
      </c>
      <c r="F200" s="38">
        <v>274000</v>
      </c>
      <c r="G200" s="34">
        <v>0.164</v>
      </c>
      <c r="I200" s="34">
        <v>0</v>
      </c>
      <c r="J200" s="34">
        <v>0</v>
      </c>
      <c r="K200" s="34" t="s">
        <v>273</v>
      </c>
      <c r="L200" s="34">
        <v>96</v>
      </c>
      <c r="M200" s="34">
        <v>1</v>
      </c>
      <c r="N200" s="33" t="s">
        <v>393</v>
      </c>
    </row>
    <row r="201" spans="1:14">
      <c r="A201" s="33" t="s">
        <v>212</v>
      </c>
      <c r="B201" s="33" t="s">
        <v>272</v>
      </c>
      <c r="C201" s="34" t="s">
        <v>273</v>
      </c>
      <c r="D201" s="34">
        <v>1</v>
      </c>
      <c r="E201" s="38">
        <v>55300</v>
      </c>
      <c r="F201" s="38">
        <v>274000</v>
      </c>
      <c r="G201" s="34">
        <v>0.202</v>
      </c>
      <c r="I201" s="34">
        <v>0</v>
      </c>
      <c r="J201" s="34">
        <v>0</v>
      </c>
      <c r="K201" s="34" t="s">
        <v>273</v>
      </c>
      <c r="L201" s="34">
        <v>87</v>
      </c>
      <c r="M201" s="34">
        <v>1</v>
      </c>
      <c r="N201" s="33" t="s">
        <v>394</v>
      </c>
    </row>
    <row r="202" spans="1:14">
      <c r="A202" s="33" t="s">
        <v>213</v>
      </c>
      <c r="B202" s="33" t="s">
        <v>272</v>
      </c>
      <c r="C202" s="34" t="s">
        <v>273</v>
      </c>
      <c r="D202" s="34">
        <v>1</v>
      </c>
      <c r="E202" s="38">
        <v>52300</v>
      </c>
      <c r="F202" s="38">
        <v>280000</v>
      </c>
      <c r="G202" s="34">
        <v>0.186</v>
      </c>
      <c r="I202" s="34">
        <v>0</v>
      </c>
      <c r="J202" s="34">
        <v>0</v>
      </c>
      <c r="K202" s="34" t="s">
        <v>273</v>
      </c>
      <c r="L202" s="34">
        <v>88</v>
      </c>
      <c r="M202" s="34">
        <v>1</v>
      </c>
      <c r="N202" s="33" t="s">
        <v>395</v>
      </c>
    </row>
    <row r="203" spans="1:14">
      <c r="A203" s="33" t="s">
        <v>271</v>
      </c>
      <c r="B203" s="33" t="s">
        <v>272</v>
      </c>
      <c r="C203" s="34" t="s">
        <v>273</v>
      </c>
      <c r="D203" s="34">
        <v>1</v>
      </c>
      <c r="E203" s="38">
        <v>0</v>
      </c>
      <c r="F203" s="38">
        <v>0</v>
      </c>
      <c r="G203" s="34" t="e">
        <v>#DIV/0!</v>
      </c>
      <c r="I203" s="34">
        <v>0</v>
      </c>
      <c r="J203" s="34" t="e">
        <v>#DIV/0!</v>
      </c>
      <c r="K203" s="34" t="s">
        <v>273</v>
      </c>
      <c r="L203" s="34">
        <v>20001</v>
      </c>
      <c r="M203" s="34">
        <v>1</v>
      </c>
      <c r="N203" s="33" t="s">
        <v>396</v>
      </c>
    </row>
    <row r="204" spans="1:14">
      <c r="A204" s="33" t="s">
        <v>271</v>
      </c>
      <c r="B204" s="33" t="s">
        <v>272</v>
      </c>
      <c r="C204" s="34" t="s">
        <v>273</v>
      </c>
      <c r="D204" s="34">
        <v>1</v>
      </c>
      <c r="E204" s="38">
        <v>0</v>
      </c>
      <c r="F204" s="38">
        <v>0</v>
      </c>
      <c r="G204" s="34" t="e">
        <v>#DIV/0!</v>
      </c>
      <c r="I204" s="34">
        <v>0</v>
      </c>
      <c r="J204" s="34" t="e">
        <v>#DIV/0!</v>
      </c>
      <c r="K204" s="34" t="s">
        <v>273</v>
      </c>
      <c r="L204" s="34">
        <v>20001</v>
      </c>
      <c r="M204" s="34">
        <v>1</v>
      </c>
      <c r="N204" s="33" t="s">
        <v>397</v>
      </c>
    </row>
    <row r="205" spans="1:14">
      <c r="A205" s="33" t="s">
        <v>216</v>
      </c>
      <c r="B205" s="33" t="s">
        <v>272</v>
      </c>
      <c r="C205" s="34" t="s">
        <v>273</v>
      </c>
      <c r="D205" s="34">
        <v>1</v>
      </c>
      <c r="E205" s="38">
        <v>25900</v>
      </c>
      <c r="F205" s="38">
        <v>294000</v>
      </c>
      <c r="G205" s="34">
        <v>0.0879</v>
      </c>
      <c r="I205" s="34">
        <v>0</v>
      </c>
      <c r="J205" s="34">
        <v>0</v>
      </c>
      <c r="K205" s="34" t="s">
        <v>273</v>
      </c>
      <c r="L205" s="34">
        <v>65</v>
      </c>
      <c r="M205" s="34">
        <v>1</v>
      </c>
      <c r="N205" s="33" t="s">
        <v>398</v>
      </c>
    </row>
    <row r="206" spans="1:14">
      <c r="A206" s="33" t="s">
        <v>217</v>
      </c>
      <c r="B206" s="33" t="s">
        <v>272</v>
      </c>
      <c r="C206" s="34" t="s">
        <v>273</v>
      </c>
      <c r="D206" s="34">
        <v>1</v>
      </c>
      <c r="E206" s="38">
        <v>21600</v>
      </c>
      <c r="F206" s="38">
        <v>285000</v>
      </c>
      <c r="G206" s="34">
        <v>0.0756</v>
      </c>
      <c r="I206" s="34">
        <v>0</v>
      </c>
      <c r="J206" s="34">
        <v>0</v>
      </c>
      <c r="K206" s="34" t="s">
        <v>273</v>
      </c>
      <c r="L206" s="34">
        <v>66</v>
      </c>
      <c r="M206" s="34">
        <v>1</v>
      </c>
      <c r="N206" s="33" t="s">
        <v>399</v>
      </c>
    </row>
    <row r="207" spans="1:14">
      <c r="A207" s="33" t="s">
        <v>218</v>
      </c>
      <c r="B207" s="33" t="s">
        <v>272</v>
      </c>
      <c r="C207" s="34" t="s">
        <v>273</v>
      </c>
      <c r="D207" s="34">
        <v>1</v>
      </c>
      <c r="E207" s="38">
        <v>43800</v>
      </c>
      <c r="F207" s="38">
        <v>286000</v>
      </c>
      <c r="G207" s="34">
        <v>0.153</v>
      </c>
      <c r="I207" s="34">
        <v>0</v>
      </c>
      <c r="J207" s="34">
        <v>0</v>
      </c>
      <c r="K207" s="34" t="s">
        <v>273</v>
      </c>
      <c r="L207" s="34">
        <v>77</v>
      </c>
      <c r="M207" s="34">
        <v>1</v>
      </c>
      <c r="N207" s="33" t="s">
        <v>400</v>
      </c>
    </row>
    <row r="208" spans="1:14">
      <c r="A208" s="33" t="s">
        <v>219</v>
      </c>
      <c r="B208" s="33" t="s">
        <v>272</v>
      </c>
      <c r="C208" s="34" t="s">
        <v>273</v>
      </c>
      <c r="D208" s="34">
        <v>1</v>
      </c>
      <c r="E208" s="38">
        <v>40600</v>
      </c>
      <c r="F208" s="38">
        <v>284000</v>
      </c>
      <c r="G208" s="34">
        <v>0.143</v>
      </c>
      <c r="I208" s="34">
        <v>0</v>
      </c>
      <c r="J208" s="34">
        <v>0</v>
      </c>
      <c r="K208" s="34" t="s">
        <v>273</v>
      </c>
      <c r="L208" s="34">
        <v>78</v>
      </c>
      <c r="M208" s="34">
        <v>1</v>
      </c>
      <c r="N208" s="33" t="s">
        <v>401</v>
      </c>
    </row>
    <row r="209" spans="1:14">
      <c r="A209" s="33" t="s">
        <v>220</v>
      </c>
      <c r="B209" s="33" t="s">
        <v>272</v>
      </c>
      <c r="C209" s="34" t="s">
        <v>273</v>
      </c>
      <c r="D209" s="34">
        <v>1</v>
      </c>
      <c r="E209" s="38">
        <v>51300</v>
      </c>
      <c r="F209" s="38">
        <v>274000</v>
      </c>
      <c r="G209" s="34">
        <v>0.187</v>
      </c>
      <c r="I209" s="34">
        <v>0</v>
      </c>
      <c r="J209" s="34">
        <v>0</v>
      </c>
      <c r="K209" s="34" t="s">
        <v>273</v>
      </c>
      <c r="L209" s="34">
        <v>89</v>
      </c>
      <c r="M209" s="34">
        <v>1</v>
      </c>
      <c r="N209" s="33" t="s">
        <v>402</v>
      </c>
    </row>
    <row r="210" spans="1:14">
      <c r="A210" s="33" t="s">
        <v>221</v>
      </c>
      <c r="B210" s="33" t="s">
        <v>272</v>
      </c>
      <c r="C210" s="34" t="s">
        <v>273</v>
      </c>
      <c r="D210" s="34">
        <v>1</v>
      </c>
      <c r="E210" s="38">
        <v>48200</v>
      </c>
      <c r="F210" s="38">
        <v>274000</v>
      </c>
      <c r="G210" s="34">
        <v>0.176</v>
      </c>
      <c r="I210" s="34">
        <v>0</v>
      </c>
      <c r="J210" s="34">
        <v>0</v>
      </c>
      <c r="K210" s="34" t="s">
        <v>273</v>
      </c>
      <c r="L210" s="34">
        <v>90</v>
      </c>
      <c r="M210" s="34">
        <v>1</v>
      </c>
      <c r="N210" s="33" t="s">
        <v>403</v>
      </c>
    </row>
    <row r="211" spans="1:14">
      <c r="A211" s="33" t="s">
        <v>271</v>
      </c>
      <c r="B211" s="33" t="s">
        <v>272</v>
      </c>
      <c r="C211" s="34" t="s">
        <v>273</v>
      </c>
      <c r="D211" s="34">
        <v>1</v>
      </c>
      <c r="E211" s="38">
        <v>0</v>
      </c>
      <c r="F211" s="38">
        <v>0</v>
      </c>
      <c r="G211" s="34" t="e">
        <v>#DIV/0!</v>
      </c>
      <c r="I211" s="34">
        <v>0</v>
      </c>
      <c r="J211" s="34" t="e">
        <v>#DIV/0!</v>
      </c>
      <c r="K211" s="34" t="s">
        <v>273</v>
      </c>
      <c r="L211" s="34">
        <v>20001</v>
      </c>
      <c r="M211" s="34">
        <v>1</v>
      </c>
      <c r="N211" s="33" t="s">
        <v>404</v>
      </c>
    </row>
    <row r="212" spans="1:14">
      <c r="A212" s="33" t="s">
        <v>271</v>
      </c>
      <c r="B212" s="33" t="s">
        <v>272</v>
      </c>
      <c r="C212" s="34" t="s">
        <v>273</v>
      </c>
      <c r="D212" s="34">
        <v>1</v>
      </c>
      <c r="E212" s="38">
        <v>0</v>
      </c>
      <c r="F212" s="38">
        <v>0</v>
      </c>
      <c r="G212" s="34" t="e">
        <v>#DIV/0!</v>
      </c>
      <c r="I212" s="34">
        <v>0</v>
      </c>
      <c r="J212" s="34" t="e">
        <v>#DIV/0!</v>
      </c>
      <c r="K212" s="34" t="s">
        <v>273</v>
      </c>
      <c r="L212" s="34">
        <v>20001</v>
      </c>
      <c r="M212" s="34">
        <v>1</v>
      </c>
      <c r="N212" s="33" t="s">
        <v>405</v>
      </c>
    </row>
    <row r="213" spans="1:14">
      <c r="A213" s="33" t="s">
        <v>224</v>
      </c>
      <c r="B213" s="33" t="s">
        <v>272</v>
      </c>
      <c r="C213" s="34" t="s">
        <v>273</v>
      </c>
      <c r="D213" s="34">
        <v>1</v>
      </c>
      <c r="E213" s="38">
        <v>25400</v>
      </c>
      <c r="F213" s="38">
        <v>288000</v>
      </c>
      <c r="G213" s="34">
        <v>0.0883</v>
      </c>
      <c r="I213" s="34">
        <v>0</v>
      </c>
      <c r="J213" s="34">
        <v>0</v>
      </c>
      <c r="K213" s="34" t="s">
        <v>273</v>
      </c>
      <c r="L213" s="34">
        <v>67</v>
      </c>
      <c r="M213" s="34">
        <v>1</v>
      </c>
      <c r="N213" s="33" t="s">
        <v>406</v>
      </c>
    </row>
    <row r="214" spans="1:14">
      <c r="A214" s="33" t="s">
        <v>225</v>
      </c>
      <c r="B214" s="33" t="s">
        <v>272</v>
      </c>
      <c r="C214" s="34" t="s">
        <v>273</v>
      </c>
      <c r="D214" s="34">
        <v>1</v>
      </c>
      <c r="E214" s="38">
        <v>25000</v>
      </c>
      <c r="F214" s="38">
        <v>284000</v>
      </c>
      <c r="G214" s="34">
        <v>0.0881</v>
      </c>
      <c r="I214" s="34">
        <v>0</v>
      </c>
      <c r="J214" s="34">
        <v>0</v>
      </c>
      <c r="K214" s="34" t="s">
        <v>273</v>
      </c>
      <c r="L214" s="34">
        <v>68</v>
      </c>
      <c r="M214" s="34">
        <v>1</v>
      </c>
      <c r="N214" s="33" t="s">
        <v>407</v>
      </c>
    </row>
    <row r="215" spans="1:14">
      <c r="A215" s="33" t="s">
        <v>226</v>
      </c>
      <c r="B215" s="33" t="s">
        <v>272</v>
      </c>
      <c r="C215" s="34" t="s">
        <v>273</v>
      </c>
      <c r="D215" s="34">
        <v>1</v>
      </c>
      <c r="E215" s="38">
        <v>40400</v>
      </c>
      <c r="F215" s="38">
        <v>277000</v>
      </c>
      <c r="G215" s="34">
        <v>0.146</v>
      </c>
      <c r="I215" s="34">
        <v>0</v>
      </c>
      <c r="J215" s="34">
        <v>0</v>
      </c>
      <c r="K215" s="34" t="s">
        <v>273</v>
      </c>
      <c r="L215" s="34">
        <v>79</v>
      </c>
      <c r="M215" s="34">
        <v>1</v>
      </c>
      <c r="N215" s="33" t="s">
        <v>408</v>
      </c>
    </row>
    <row r="216" spans="1:14">
      <c r="A216" s="33" t="s">
        <v>227</v>
      </c>
      <c r="B216" s="33" t="s">
        <v>272</v>
      </c>
      <c r="C216" s="34" t="s">
        <v>273</v>
      </c>
      <c r="D216" s="34">
        <v>1</v>
      </c>
      <c r="E216" s="38">
        <v>40500</v>
      </c>
      <c r="F216" s="38">
        <v>275000</v>
      </c>
      <c r="G216" s="34">
        <v>0.147</v>
      </c>
      <c r="I216" s="34">
        <v>0</v>
      </c>
      <c r="J216" s="34">
        <v>0</v>
      </c>
      <c r="K216" s="34" t="s">
        <v>273</v>
      </c>
      <c r="L216" s="34">
        <v>80</v>
      </c>
      <c r="M216" s="34">
        <v>1</v>
      </c>
      <c r="N216" s="33" t="s">
        <v>409</v>
      </c>
    </row>
    <row r="217" spans="1:14">
      <c r="A217" s="33" t="s">
        <v>228</v>
      </c>
      <c r="B217" s="33" t="s">
        <v>272</v>
      </c>
      <c r="C217" s="34" t="s">
        <v>273</v>
      </c>
      <c r="D217" s="34">
        <v>1</v>
      </c>
      <c r="E217" s="38">
        <v>46400</v>
      </c>
      <c r="F217" s="38">
        <v>260000</v>
      </c>
      <c r="G217" s="34">
        <v>0.178</v>
      </c>
      <c r="I217" s="34">
        <v>0</v>
      </c>
      <c r="J217" s="34">
        <v>0</v>
      </c>
      <c r="K217" s="34" t="s">
        <v>273</v>
      </c>
      <c r="L217" s="34">
        <v>91</v>
      </c>
      <c r="M217" s="34">
        <v>1</v>
      </c>
      <c r="N217" s="33" t="s">
        <v>410</v>
      </c>
    </row>
    <row r="218" spans="1:14">
      <c r="A218" s="33" t="s">
        <v>229</v>
      </c>
      <c r="B218" s="33" t="s">
        <v>272</v>
      </c>
      <c r="C218" s="34" t="s">
        <v>273</v>
      </c>
      <c r="D218" s="34">
        <v>1</v>
      </c>
      <c r="E218" s="38">
        <v>47200</v>
      </c>
      <c r="F218" s="38">
        <v>267000</v>
      </c>
      <c r="G218" s="34">
        <v>0.177</v>
      </c>
      <c r="I218" s="34">
        <v>0</v>
      </c>
      <c r="J218" s="34">
        <v>0</v>
      </c>
      <c r="K218" s="34" t="s">
        <v>273</v>
      </c>
      <c r="L218" s="34">
        <v>92</v>
      </c>
      <c r="M218" s="34">
        <v>1</v>
      </c>
      <c r="N218" s="33" t="s">
        <v>411</v>
      </c>
    </row>
    <row r="219" spans="1:14">
      <c r="A219" s="33" t="s">
        <v>271</v>
      </c>
      <c r="B219" s="33" t="s">
        <v>272</v>
      </c>
      <c r="C219" s="34" t="s">
        <v>273</v>
      </c>
      <c r="D219" s="34">
        <v>1</v>
      </c>
      <c r="E219" s="38">
        <v>0</v>
      </c>
      <c r="F219" s="38">
        <v>0</v>
      </c>
      <c r="G219" s="34" t="e">
        <v>#DIV/0!</v>
      </c>
      <c r="I219" s="34">
        <v>0</v>
      </c>
      <c r="J219" s="34" t="e">
        <v>#DIV/0!</v>
      </c>
      <c r="K219" s="34" t="s">
        <v>273</v>
      </c>
      <c r="L219" s="34">
        <v>20001</v>
      </c>
      <c r="M219" s="34">
        <v>1</v>
      </c>
      <c r="N219" s="33" t="s">
        <v>412</v>
      </c>
    </row>
    <row r="220" spans="1:14">
      <c r="A220" s="33" t="s">
        <v>271</v>
      </c>
      <c r="B220" s="33" t="s">
        <v>272</v>
      </c>
      <c r="C220" s="34" t="s">
        <v>273</v>
      </c>
      <c r="D220" s="34">
        <v>1</v>
      </c>
      <c r="E220" s="38">
        <v>0</v>
      </c>
      <c r="F220" s="38">
        <v>0</v>
      </c>
      <c r="G220" s="34" t="e">
        <v>#DIV/0!</v>
      </c>
      <c r="I220" s="34">
        <v>0</v>
      </c>
      <c r="J220" s="34" t="e">
        <v>#DIV/0!</v>
      </c>
      <c r="K220" s="34" t="s">
        <v>273</v>
      </c>
      <c r="L220" s="34">
        <v>20001</v>
      </c>
      <c r="M220" s="34">
        <v>1</v>
      </c>
      <c r="N220" s="33" t="s">
        <v>413</v>
      </c>
    </row>
    <row r="221" spans="1:14">
      <c r="A221" s="33" t="s">
        <v>232</v>
      </c>
      <c r="B221" s="33" t="s">
        <v>272</v>
      </c>
      <c r="C221" s="34" t="s">
        <v>273</v>
      </c>
      <c r="D221" s="34">
        <v>1</v>
      </c>
      <c r="E221" s="38">
        <v>8440</v>
      </c>
      <c r="F221" s="38">
        <v>276000</v>
      </c>
      <c r="G221" s="34">
        <v>0.0306</v>
      </c>
      <c r="I221" s="34">
        <v>0</v>
      </c>
      <c r="J221" s="34">
        <v>0</v>
      </c>
      <c r="K221" s="34" t="s">
        <v>273</v>
      </c>
      <c r="L221" s="34">
        <v>69</v>
      </c>
      <c r="M221" s="34">
        <v>1</v>
      </c>
      <c r="N221" s="33" t="s">
        <v>414</v>
      </c>
    </row>
    <row r="222" spans="1:14">
      <c r="A222" s="33" t="s">
        <v>233</v>
      </c>
      <c r="B222" s="33" t="s">
        <v>272</v>
      </c>
      <c r="C222" s="34" t="s">
        <v>273</v>
      </c>
      <c r="D222" s="34">
        <v>1</v>
      </c>
      <c r="E222" s="38">
        <v>8130</v>
      </c>
      <c r="F222" s="38">
        <v>278000</v>
      </c>
      <c r="G222" s="34">
        <v>0.0293</v>
      </c>
      <c r="I222" s="34">
        <v>0</v>
      </c>
      <c r="J222" s="34">
        <v>0</v>
      </c>
      <c r="K222" s="34" t="s">
        <v>273</v>
      </c>
      <c r="L222" s="34">
        <v>70</v>
      </c>
      <c r="M222" s="34">
        <v>1</v>
      </c>
      <c r="N222" s="33" t="s">
        <v>415</v>
      </c>
    </row>
    <row r="223" spans="1:14">
      <c r="A223" s="33" t="s">
        <v>234</v>
      </c>
      <c r="B223" s="33" t="s">
        <v>272</v>
      </c>
      <c r="C223" s="34" t="s">
        <v>273</v>
      </c>
      <c r="D223" s="34">
        <v>1</v>
      </c>
      <c r="E223" s="38">
        <v>30700</v>
      </c>
      <c r="F223" s="38">
        <v>281000</v>
      </c>
      <c r="G223" s="34">
        <v>0.109</v>
      </c>
      <c r="I223" s="34">
        <v>0</v>
      </c>
      <c r="J223" s="34">
        <v>0</v>
      </c>
      <c r="K223" s="34" t="s">
        <v>273</v>
      </c>
      <c r="L223" s="34">
        <v>81</v>
      </c>
      <c r="M223" s="34">
        <v>1</v>
      </c>
      <c r="N223" s="33" t="s">
        <v>416</v>
      </c>
    </row>
    <row r="224" spans="1:14">
      <c r="A224" s="33" t="s">
        <v>235</v>
      </c>
      <c r="B224" s="33" t="s">
        <v>272</v>
      </c>
      <c r="C224" s="34" t="s">
        <v>273</v>
      </c>
      <c r="D224" s="34">
        <v>1</v>
      </c>
      <c r="E224" s="38">
        <v>29900</v>
      </c>
      <c r="F224" s="38">
        <v>270000</v>
      </c>
      <c r="G224" s="34">
        <v>0.111</v>
      </c>
      <c r="I224" s="34">
        <v>0</v>
      </c>
      <c r="J224" s="34">
        <v>0</v>
      </c>
      <c r="K224" s="34" t="s">
        <v>273</v>
      </c>
      <c r="L224" s="34">
        <v>82</v>
      </c>
      <c r="M224" s="34">
        <v>1</v>
      </c>
      <c r="N224" s="33" t="s">
        <v>417</v>
      </c>
    </row>
    <row r="225" spans="1:14">
      <c r="A225" s="33" t="s">
        <v>236</v>
      </c>
      <c r="B225" s="33" t="s">
        <v>272</v>
      </c>
      <c r="C225" s="34" t="s">
        <v>273</v>
      </c>
      <c r="D225" s="34">
        <v>1</v>
      </c>
      <c r="E225" s="38">
        <v>44500</v>
      </c>
      <c r="F225" s="38">
        <v>260000</v>
      </c>
      <c r="G225" s="34">
        <v>0.171</v>
      </c>
      <c r="I225" s="34">
        <v>0</v>
      </c>
      <c r="J225" s="34">
        <v>0</v>
      </c>
      <c r="K225" s="34" t="s">
        <v>273</v>
      </c>
      <c r="L225" s="34">
        <v>93</v>
      </c>
      <c r="M225" s="34">
        <v>1</v>
      </c>
      <c r="N225" s="33" t="s">
        <v>418</v>
      </c>
    </row>
    <row r="226" spans="1:14">
      <c r="A226" s="33" t="s">
        <v>237</v>
      </c>
      <c r="B226" s="33" t="s">
        <v>272</v>
      </c>
      <c r="C226" s="34" t="s">
        <v>273</v>
      </c>
      <c r="D226" s="34">
        <v>1</v>
      </c>
      <c r="E226" s="38">
        <v>46700</v>
      </c>
      <c r="F226" s="38">
        <v>263000</v>
      </c>
      <c r="G226" s="34">
        <v>0.177</v>
      </c>
      <c r="I226" s="34">
        <v>0</v>
      </c>
      <c r="J226" s="34">
        <v>0</v>
      </c>
      <c r="K226" s="34" t="s">
        <v>273</v>
      </c>
      <c r="L226" s="34">
        <v>94</v>
      </c>
      <c r="M226" s="34">
        <v>1</v>
      </c>
      <c r="N226" s="33" t="s">
        <v>419</v>
      </c>
    </row>
    <row r="244" s="31" customFormat="1" spans="3:13"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</row>
  </sheetData>
  <printOptions horizontalCentered="1"/>
  <pageMargins left="0.393700787401575" right="0.393700787401575" top="1.45669291338583" bottom="0.984251968503937" header="0.78740157480315" footer="0.511811023622047"/>
  <pageSetup paperSize="9" scale="75" firstPageNumber="4294963191" orientation="landscape" useFirstPageNumber="1"/>
  <headerFooter>
    <oddHeader>&amp;L笔记编号/Notebook No.__________________页码/Page__________编号/No.________________
课题编号/Study No._______________</oddHeader>
    <oddFooter>&amp;R操作人和日期/Operator and Date_________________________    复核人和日期/Verifier and Date_________________________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6"/>
  <sheetViews>
    <sheetView workbookViewId="0">
      <selection activeCell="L21" sqref="L21"/>
    </sheetView>
  </sheetViews>
  <sheetFormatPr defaultColWidth="8.75" defaultRowHeight="15"/>
  <cols>
    <col min="1" max="1" width="8.75" style="3"/>
    <col min="2" max="2" width="24.75" style="3" customWidth="1"/>
    <col min="3" max="3" width="13.25" style="3" customWidth="1"/>
    <col min="4" max="4" width="12.125" style="3" customWidth="1"/>
    <col min="5" max="16384" width="8.75" style="3"/>
  </cols>
  <sheetData>
    <row r="1" s="1" customFormat="1"/>
    <row r="2" s="2" customFormat="1" ht="15.5" spans="1:256">
      <c r="A2" s="4"/>
      <c r="B2" s="5"/>
      <c r="C2" s="6"/>
      <c r="D2" s="6"/>
      <c r="E2" s="7"/>
      <c r="F2" s="7"/>
      <c r="G2" s="7"/>
      <c r="H2" s="7"/>
      <c r="I2" s="28"/>
      <c r="J2" s="28"/>
      <c r="K2" s="12"/>
      <c r="L2" s="12"/>
      <c r="M2" s="12"/>
      <c r="N2" s="12"/>
      <c r="O2" s="12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="2" customFormat="1" ht="18.25" spans="1:254">
      <c r="A3" s="4"/>
      <c r="B3" s="8" t="s">
        <v>420</v>
      </c>
      <c r="C3" s="9"/>
      <c r="D3" s="10"/>
      <c r="E3" s="11"/>
      <c r="F3" s="11"/>
      <c r="G3" s="12"/>
      <c r="H3" s="12"/>
      <c r="I3" s="12"/>
      <c r="J3" s="12"/>
      <c r="K3" s="12"/>
      <c r="L3" s="12"/>
      <c r="M3" s="1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</row>
    <row r="4" s="2" customFormat="1" ht="15.5" spans="1:254">
      <c r="A4" s="4"/>
      <c r="B4" s="13" t="s">
        <v>421</v>
      </c>
      <c r="C4" s="13" t="s">
        <v>422</v>
      </c>
      <c r="D4" s="14" t="s">
        <v>423</v>
      </c>
      <c r="E4" s="12" t="s">
        <v>424</v>
      </c>
      <c r="F4" s="12"/>
      <c r="G4" s="12"/>
      <c r="H4" s="12"/>
      <c r="I4" s="12"/>
      <c r="J4" s="12"/>
      <c r="K4" s="12"/>
      <c r="L4" s="12"/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 s="2" customFormat="1" ht="15.5" spans="1:254">
      <c r="A5" s="4"/>
      <c r="B5" s="15">
        <v>0.5</v>
      </c>
      <c r="C5" s="7">
        <v>15</v>
      </c>
      <c r="E5" s="12"/>
      <c r="F5" s="16"/>
      <c r="G5" s="17"/>
      <c r="H5" s="12"/>
      <c r="I5" s="12"/>
      <c r="J5" s="12"/>
      <c r="K5" s="12"/>
      <c r="L5" s="12"/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</row>
    <row r="6" s="2" customFormat="1" ht="15.5" spans="1:254">
      <c r="A6" s="4"/>
      <c r="B6" s="15">
        <v>1</v>
      </c>
      <c r="C6" s="7">
        <v>95</v>
      </c>
      <c r="D6" s="14" t="s">
        <v>425</v>
      </c>
      <c r="E6" s="16" t="s">
        <v>426</v>
      </c>
      <c r="F6" s="16"/>
      <c r="G6" s="17"/>
      <c r="H6" s="12"/>
      <c r="I6" s="12"/>
      <c r="J6" s="12"/>
      <c r="K6" s="12"/>
      <c r="L6" s="12"/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</row>
    <row r="7" s="2" customFormat="1" ht="15.5" spans="1:254">
      <c r="A7" s="4"/>
      <c r="B7" s="15">
        <v>1.8</v>
      </c>
      <c r="C7" s="7">
        <f>C6</f>
        <v>95</v>
      </c>
      <c r="D7" s="14" t="s">
        <v>427</v>
      </c>
      <c r="E7" s="16" t="s">
        <v>428</v>
      </c>
      <c r="F7" s="18"/>
      <c r="G7" s="17"/>
      <c r="H7" s="12"/>
      <c r="I7" s="12"/>
      <c r="J7" s="12"/>
      <c r="K7" s="12"/>
      <c r="L7" s="12"/>
      <c r="M7" s="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</row>
    <row r="8" ht="15.5" spans="2:3">
      <c r="B8" s="15">
        <v>1.81</v>
      </c>
      <c r="C8" s="7">
        <f>C5</f>
        <v>15</v>
      </c>
    </row>
    <row r="9" s="2" customFormat="1" ht="16.25" spans="1:254">
      <c r="A9" s="4"/>
      <c r="B9" s="19">
        <v>3</v>
      </c>
      <c r="C9" s="20" t="s">
        <v>429</v>
      </c>
      <c r="D9" s="14" t="s">
        <v>430</v>
      </c>
      <c r="E9" s="12" t="s">
        <v>431</v>
      </c>
      <c r="F9" s="17"/>
      <c r="G9" s="17"/>
      <c r="H9" s="12"/>
      <c r="I9" s="12"/>
      <c r="J9" s="12"/>
      <c r="K9" s="12"/>
      <c r="L9" s="12"/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</row>
    <row r="10" s="2" customFormat="1" ht="15.5" spans="1:256">
      <c r="A10" s="4"/>
      <c r="B10" s="21"/>
      <c r="C10" s="22"/>
      <c r="D10" s="22"/>
      <c r="E10" s="12"/>
      <c r="F10" s="22"/>
      <c r="G10" s="23"/>
      <c r="H10" s="4"/>
      <c r="I10" s="29"/>
      <c r="J10" s="4"/>
      <c r="K10" s="12"/>
      <c r="L10" s="12"/>
      <c r="M10" s="12"/>
      <c r="N10" s="12"/>
      <c r="O10" s="1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</row>
    <row r="11" s="2" customFormat="1" ht="15.5" spans="1:256">
      <c r="A11" s="4"/>
      <c r="B11" s="21"/>
      <c r="C11" s="22"/>
      <c r="D11" s="22"/>
      <c r="E11" s="22"/>
      <c r="F11" s="22"/>
      <c r="G11" s="23"/>
      <c r="H11" s="4"/>
      <c r="I11" s="29"/>
      <c r="J11" s="4"/>
      <c r="K11" s="12"/>
      <c r="L11" s="12"/>
      <c r="M11" s="12"/>
      <c r="N11" s="12"/>
      <c r="O11" s="12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</row>
    <row r="12" s="2" customFormat="1" ht="16.25" spans="1:255">
      <c r="A12" s="4"/>
      <c r="B12" s="8" t="s">
        <v>432</v>
      </c>
      <c r="C12" s="8"/>
      <c r="D12" s="8"/>
      <c r="E12" s="8"/>
      <c r="F12" s="8"/>
      <c r="G12" s="8"/>
      <c r="K12" s="12"/>
      <c r="L12" s="12"/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</row>
    <row r="13" s="2" customFormat="1" ht="15.5" spans="1:253">
      <c r="A13" s="4"/>
      <c r="B13" s="24" t="s">
        <v>433</v>
      </c>
      <c r="C13" s="24" t="s">
        <v>434</v>
      </c>
      <c r="D13" s="24" t="s">
        <v>435</v>
      </c>
      <c r="E13" s="24" t="s">
        <v>436</v>
      </c>
      <c r="F13" s="24" t="s">
        <v>437</v>
      </c>
      <c r="G13" s="24" t="s">
        <v>438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</row>
    <row r="14" s="2" customFormat="1" ht="15.5" spans="1:253">
      <c r="A14" s="4"/>
      <c r="B14" s="5" t="str">
        <f>Summary!B10</f>
        <v>HW356060</v>
      </c>
      <c r="C14" s="22">
        <v>603.1</v>
      </c>
      <c r="D14" s="25">
        <v>330</v>
      </c>
      <c r="E14" s="22">
        <v>60</v>
      </c>
      <c r="F14" s="22">
        <v>42</v>
      </c>
      <c r="G14" s="22">
        <v>15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</row>
    <row r="15" s="2" customFormat="1" ht="16.25" spans="1:253">
      <c r="A15" s="4"/>
      <c r="B15" s="26" t="s">
        <v>439</v>
      </c>
      <c r="C15" s="20">
        <v>455.2</v>
      </c>
      <c r="D15" s="20">
        <v>165.1</v>
      </c>
      <c r="E15" s="27">
        <v>70</v>
      </c>
      <c r="F15" s="27">
        <v>39</v>
      </c>
      <c r="G15" s="27">
        <v>12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</row>
    <row r="16" s="2" customFormat="1" ht="15.5" spans="1:253">
      <c r="A16" s="4"/>
      <c r="B16" s="5"/>
      <c r="C16" s="22"/>
      <c r="D16" s="25"/>
      <c r="E16" s="22"/>
      <c r="F16" s="22"/>
      <c r="G16" s="2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</row>
  </sheetData>
  <mergeCells count="2">
    <mergeCell ref="B3:C3"/>
    <mergeCell ref="B12:G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CoverPage</vt:lpstr>
      <vt:lpstr>Summary</vt:lpstr>
      <vt:lpstr>HW356060</vt:lpstr>
      <vt:lpstr>Midazolam</vt:lpstr>
      <vt:lpstr>7-HC</vt:lpstr>
      <vt:lpstr>Raw Data</vt:lpstr>
      <vt:lpstr>Analytical Method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jingjing.wang</dc:creator>
  <cp:lastModifiedBy>徐招兵</cp:lastModifiedBy>
  <dcterms:created xsi:type="dcterms:W3CDTF">2011-11-12T09:58:00Z</dcterms:created>
  <cp:lastPrinted>2013-12-17T02:41:00Z</cp:lastPrinted>
  <dcterms:modified xsi:type="dcterms:W3CDTF">2025-03-27T02:28:29Z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10BDFD2F2B4C49379D54F87F98068460_13</vt:lpwstr>
  </property>
</Properties>
</file>