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0" windowHeight="10480" tabRatio="639" activeTab="1"/>
  </bookViews>
  <sheets>
    <sheet name="Signature" sheetId="1" r:id="rId1"/>
    <sheet name="Summary" sheetId="2" r:id="rId2"/>
    <sheet name="Materials" sheetId="3" r:id="rId3"/>
    <sheet name="Study Design" sheetId="6" r:id="rId4"/>
    <sheet name="Graph" sheetId="11" r:id="rId5"/>
    <sheet name="Raw Data" sheetId="7" r:id="rId6"/>
    <sheet name="Bioanalytical Method " sheetId="5"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<sst xmlns="http://schemas.openxmlformats.org/spreadsheetml/2006/main" count="1121" uniqueCount="232">
  <si>
    <t>Study Report</t>
  </si>
  <si>
    <t>Report Name</t>
  </si>
  <si>
    <t>Stability of  HW350003A in  Human, Mouse, Rat, Dog, Monkey Plasma</t>
  </si>
  <si>
    <t>Study Number</t>
  </si>
  <si>
    <t>DM-RF-2025091203</t>
  </si>
  <si>
    <t>Report Number</t>
  </si>
  <si>
    <r>
      <rPr>
        <sz val="11"/>
        <rFont val="Times New Roman"/>
        <charset val="134"/>
      </rPr>
      <t>ADME-</t>
    </r>
    <r>
      <rPr>
        <sz val="11"/>
        <rFont val="宋体"/>
        <charset val="134"/>
      </rPr>
      <t>人福医药</t>
    </r>
    <r>
      <rPr>
        <sz val="11"/>
        <rFont val="Times New Roman"/>
        <charset val="134"/>
      </rPr>
      <t>-PLS-20250916</t>
    </r>
  </si>
  <si>
    <t>Sponsor Name</t>
  </si>
  <si>
    <t>人福医药</t>
  </si>
  <si>
    <t>Submitted by</t>
  </si>
  <si>
    <t>Mengjun Zhao</t>
  </si>
  <si>
    <t>Study Start Date</t>
  </si>
  <si>
    <t>Report Submission Date</t>
  </si>
  <si>
    <t>Study Director</t>
  </si>
  <si>
    <t>Jie Shao</t>
  </si>
  <si>
    <t>Assay Scientist</t>
  </si>
  <si>
    <t>QC for Report</t>
  </si>
  <si>
    <t>Report Approval</t>
  </si>
  <si>
    <t>Data Summary</t>
  </si>
  <si>
    <r>
      <rPr>
        <sz val="11"/>
        <rFont val="Times New Roman"/>
        <charset val="134"/>
      </rPr>
      <t>T</t>
    </r>
    <r>
      <rPr>
        <vertAlign val="subscript"/>
        <sz val="11"/>
        <rFont val="Times New Roman"/>
        <charset val="134"/>
      </rPr>
      <t>1/2</t>
    </r>
    <r>
      <rPr>
        <sz val="11"/>
        <rFont val="Times New Roman"/>
        <charset val="134"/>
      </rPr>
      <t xml:space="preserve"> = -(0.693/k) (k is the rate constant from a plot of ln [concentration] vs. incubation time)</t>
    </r>
  </si>
  <si>
    <t>Table 1. Remaining percentage and metabolic stability of test compound and control compound in plasma</t>
  </si>
  <si>
    <t>Compound ID</t>
  </si>
  <si>
    <t>Species</t>
  </si>
  <si>
    <t>Percent Remaining (%)(Mean, n=2)</t>
  </si>
  <si>
    <t xml:space="preserve"> -k</t>
  </si>
  <si>
    <r>
      <rPr>
        <b/>
        <sz val="12"/>
        <color indexed="8"/>
        <rFont val="Times New Roman"/>
        <charset val="134"/>
      </rPr>
      <t>T</t>
    </r>
    <r>
      <rPr>
        <b/>
        <vertAlign val="subscript"/>
        <sz val="12"/>
        <color rgb="FF000000"/>
        <rFont val="Times New Roman"/>
        <charset val="134"/>
      </rPr>
      <t>1/2</t>
    </r>
    <r>
      <rPr>
        <b/>
        <sz val="12"/>
        <color indexed="8"/>
        <rFont val="Times New Roman"/>
        <charset val="134"/>
      </rPr>
      <t xml:space="preserve">  (minute)</t>
    </r>
  </si>
  <si>
    <t>0 min</t>
  </si>
  <si>
    <t>5 min</t>
  </si>
  <si>
    <t>15 min</t>
  </si>
  <si>
    <t>30 min</t>
  </si>
  <si>
    <t>60 min</t>
  </si>
  <si>
    <t>120 min</t>
  </si>
  <si>
    <t>HW350003A</t>
  </si>
  <si>
    <t>Human</t>
  </si>
  <si>
    <t>Mouse</t>
  </si>
  <si>
    <t>Rat</t>
  </si>
  <si>
    <t>Monkey</t>
  </si>
  <si>
    <t>Dog</t>
  </si>
  <si>
    <t>Propantheline bromide</t>
  </si>
  <si>
    <t>Enalapril</t>
  </si>
  <si>
    <t>Bisacodyl</t>
  </si>
  <si>
    <t>Note: The rules on data processing were listed in the study design.</t>
  </si>
  <si>
    <t>Materials</t>
  </si>
  <si>
    <t>1.Test  compound information is listed in Table 2.</t>
  </si>
  <si>
    <t>Table 2. Compound information</t>
  </si>
  <si>
    <t>Lot No.</t>
  </si>
  <si>
    <t>MW (g/mol)</t>
  </si>
  <si>
    <t>FW (g/mol)</t>
  </si>
  <si>
    <t>Purity</t>
  </si>
  <si>
    <r>
      <rPr>
        <sz val="11"/>
        <color theme="1"/>
        <rFont val="Times New Roman"/>
        <charset val="134"/>
      </rPr>
      <t>437.46/</t>
    </r>
    <r>
      <rPr>
        <sz val="11"/>
        <color theme="1"/>
        <rFont val="宋体"/>
        <charset val="134"/>
      </rPr>
      <t>游离碱</t>
    </r>
  </si>
  <si>
    <t>2.The plasma was stored at -80°C prior to use, and the plasma information is listed in Table 3.</t>
  </si>
  <si>
    <t>Table 3. Plasma information</t>
  </si>
  <si>
    <t>Vendor</t>
  </si>
  <si>
    <t>Cat. No.</t>
  </si>
  <si>
    <t xml:space="preserve">Strain &amp; Gender </t>
  </si>
  <si>
    <t>Charles River</t>
  </si>
  <si>
    <t>11201011</t>
  </si>
  <si>
    <t>Pooled,  Male</t>
  </si>
  <si>
    <t>11101011</t>
  </si>
  <si>
    <t>IPHASE</t>
  </si>
  <si>
    <t>0184C1.11</t>
  </si>
  <si>
    <t>Pooled, Mixed Gender</t>
  </si>
  <si>
    <t>032B21.11</t>
  </si>
  <si>
    <t>Pooled, Male</t>
  </si>
  <si>
    <t xml:space="preserve"> SHQY</t>
  </si>
  <si>
    <t>TRP03-100E2</t>
  </si>
  <si>
    <t>Study Design</t>
  </si>
  <si>
    <t>1. Add blank plasma to each incubation plate. Add control compound or test compound working  solutions to the incubation plates.The final concentration of test cmpound was 1 μM and control compound was 1 μM.</t>
  </si>
  <si>
    <t>2. All reaction plates containing mixtures of compound and plasma were incubated at 37°C in water bath.</t>
  </si>
  <si>
    <r>
      <rPr>
        <sz val="11"/>
        <rFont val="Times New Roman"/>
        <charset val="134"/>
      </rPr>
      <t>3. Aliquots of 50 µL were taken from the reaction solution at 0, 5, 15, 30, 60 and 120 minutes. The reaction was stopped by the addition of 500  μL of cold acetonitrile/methanol(v:v=50:50) with IS (50 ng/mL labetalol, 50 ng/mL tolbutamide). Samples were centrifuged at 4000 rpm for 10 minutes. Aliquot of 50 µL of the supernatant was mixed with 150 µL of ultra-pure H</t>
    </r>
    <r>
      <rPr>
        <vertAlign val="subscript"/>
        <sz val="11"/>
        <rFont val="Times New Roman"/>
        <charset val="134"/>
      </rPr>
      <t>2</t>
    </r>
    <r>
      <rPr>
        <sz val="11"/>
        <rFont val="Times New Roman"/>
        <charset val="134"/>
      </rPr>
      <t>O and then used for LC-MS/MS analysis.</t>
    </r>
  </si>
  <si>
    <t>4. Data Analysis</t>
  </si>
  <si>
    <t>The % remaining of test compound after incubation in plasma was calculated using following equation:</t>
  </si>
  <si>
    <r>
      <rPr>
        <sz val="10"/>
        <rFont val="Times New Roman"/>
        <charset val="134"/>
      </rPr>
      <t>% Remaining= 100 x (PAR  at appointed incubation time / PAR at T</t>
    </r>
    <r>
      <rPr>
        <vertAlign val="subscript"/>
        <sz val="10"/>
        <rFont val="Times New Roman"/>
        <charset val="134"/>
      </rPr>
      <t>0</t>
    </r>
    <r>
      <rPr>
        <sz val="10"/>
        <rFont val="Times New Roman"/>
        <charset val="134"/>
      </rPr>
      <t xml:space="preserve"> time)</t>
    </r>
  </si>
  <si>
    <t>where PAR is the peak area ratio of analyte versus internal standard (IS)</t>
  </si>
  <si>
    <t>The appointed incubation time points are  T0 (0 min), Tn (n=0, 5, 15, 30, 60, 120 min)</t>
  </si>
  <si>
    <t>All calculations were carried out using Microsoft Excel.</t>
  </si>
  <si>
    <t xml:space="preserve">The slope value, k, was determined by linear regression of the natural logarithm of the remaining percentage of the parent drug vs. incubation time curve. </t>
  </si>
  <si>
    <r>
      <rPr>
        <sz val="11"/>
        <rFont val="Times New Roman"/>
        <charset val="134"/>
      </rPr>
      <t>The in vitro half-life (in vitro t</t>
    </r>
    <r>
      <rPr>
        <vertAlign val="subscript"/>
        <sz val="11"/>
        <rFont val="Times New Roman"/>
        <charset val="134"/>
      </rPr>
      <t>1/2</t>
    </r>
    <r>
      <rPr>
        <sz val="11"/>
        <rFont val="Times New Roman"/>
        <charset val="134"/>
      </rPr>
      <t>) was determined from the slope value:</t>
    </r>
  </si>
  <si>
    <t>Table 5: Raw data of test compound and control compound in plasma</t>
  </si>
  <si>
    <t>Cpd</t>
  </si>
  <si>
    <t>Time(min)</t>
  </si>
  <si>
    <t>Area Ratio 1</t>
  </si>
  <si>
    <t>Area Ratio 2</t>
  </si>
  <si>
    <t>Mean</t>
  </si>
  <si>
    <t>Percent Remaining (%)</t>
  </si>
  <si>
    <t>Ln(Percent Remaining)</t>
  </si>
  <si>
    <t>NA</t>
  </si>
  <si>
    <t>Peak Name: Tolbutamide</t>
  </si>
  <si>
    <t>Use as Internal Standard</t>
  </si>
  <si>
    <t>Q1/Q3 Masses: 271.10/155.00 Da</t>
  </si>
  <si>
    <t>Peak Name: Propantheline</t>
  </si>
  <si>
    <t>Internal Standard: Tolbutamide</t>
  </si>
  <si>
    <t>Q1/Q3 Masses: 368.20/181.10 Da</t>
  </si>
  <si>
    <t>Fit</t>
  </si>
  <si>
    <t>Linear</t>
  </si>
  <si>
    <t>Weighting</t>
  </si>
  <si>
    <t>1  / (x * x)</t>
  </si>
  <si>
    <t>Iterate</t>
  </si>
  <si>
    <t>No</t>
  </si>
  <si>
    <t>Error</t>
  </si>
  <si>
    <t>At least 2 points are required to calculate regression.</t>
  </si>
  <si>
    <t>Use Area</t>
  </si>
  <si>
    <t>Sample Name</t>
  </si>
  <si>
    <t>Sample Type</t>
  </si>
  <si>
    <t>Sample Comment</t>
  </si>
  <si>
    <t>File Name</t>
  </si>
  <si>
    <t>Analyte Peak Name</t>
  </si>
  <si>
    <t>Analyte Peak Area (counts)</t>
  </si>
  <si>
    <t>Analyte Peak Height (cps)</t>
  </si>
  <si>
    <t>Analyte Retention Time (min)</t>
  </si>
  <si>
    <t>IS Peak Name</t>
  </si>
  <si>
    <t>IS Peak Area (counts)</t>
  </si>
  <si>
    <t>IS Peak Height (cps)</t>
  </si>
  <si>
    <t>IS Retention Time (min)</t>
  </si>
  <si>
    <t>Area Ratio</t>
  </si>
  <si>
    <t>Record Modified</t>
  </si>
  <si>
    <t>BLK</t>
  </si>
  <si>
    <t>Blank</t>
  </si>
  <si>
    <t>HW350003A-PLS-20250915\SA.wiff</t>
  </si>
  <si>
    <t>Propantheline</t>
  </si>
  <si>
    <t>Tolbutamide</t>
  </si>
  <si>
    <t>Propantheline MT120</t>
  </si>
  <si>
    <t>Unknown</t>
  </si>
  <si>
    <t>Propantheline MT60</t>
  </si>
  <si>
    <t>Propantheline MT30</t>
  </si>
  <si>
    <t>Propantheline MT15</t>
  </si>
  <si>
    <t>Propantheline MT5</t>
  </si>
  <si>
    <t>Propantheline MT0</t>
  </si>
  <si>
    <t>Propantheline HT120</t>
  </si>
  <si>
    <t>Propantheline HT60</t>
  </si>
  <si>
    <t>Propantheline HT30</t>
  </si>
  <si>
    <t>Propantheline HT15</t>
  </si>
  <si>
    <t>Propantheline HT5</t>
  </si>
  <si>
    <t>Propantheline HT0</t>
  </si>
  <si>
    <t>Peak Name: Bsiacodyl</t>
  </si>
  <si>
    <t>Q1/Q3 Masses: 362.00/184.10 Da</t>
  </si>
  <si>
    <t>Bsiacodyl</t>
  </si>
  <si>
    <t>Bisacodyl MKT120</t>
  </si>
  <si>
    <t>Bisacodyl MKT60</t>
  </si>
  <si>
    <t>Bisacodyl MKT30</t>
  </si>
  <si>
    <t>Bisacodyl MKT15</t>
  </si>
  <si>
    <t>Bisacodyl MKT5</t>
  </si>
  <si>
    <t>Bisacodyl MKT0</t>
  </si>
  <si>
    <t>Bisacodyl DT120</t>
  </si>
  <si>
    <t>Bisacodyl DT60</t>
  </si>
  <si>
    <t>Bisacodyl DT30</t>
  </si>
  <si>
    <t>Bisacodyl DT15</t>
  </si>
  <si>
    <t>Bisacodyl DT5</t>
  </si>
  <si>
    <t>Bisacodyl DT0</t>
  </si>
  <si>
    <t>Peak Name: Enalapril</t>
  </si>
  <si>
    <t>Q1/Q3 Masses: 377.20/234.10 Da</t>
  </si>
  <si>
    <t>None</t>
  </si>
  <si>
    <t>Enalapril-RT120</t>
  </si>
  <si>
    <t>Enalapril-RT60</t>
  </si>
  <si>
    <t>Enalapril-RT30</t>
  </si>
  <si>
    <t>Enalapril-RT15</t>
  </si>
  <si>
    <t>Enalapril-RT5</t>
  </si>
  <si>
    <t>Enalapril-RT0</t>
  </si>
  <si>
    <t>Peak Name: HW350003A</t>
  </si>
  <si>
    <t>Q1/Q3 Masses: 438.20/79.10 Da</t>
  </si>
  <si>
    <t>HW350003A MT120</t>
  </si>
  <si>
    <t>HW350003A MT60</t>
  </si>
  <si>
    <t>HW350003A MT30</t>
  </si>
  <si>
    <t>HW350003A MT15</t>
  </si>
  <si>
    <t>HW350003A MT5</t>
  </si>
  <si>
    <t>HW350003A MT0</t>
  </si>
  <si>
    <t>HW350003A RT120</t>
  </si>
  <si>
    <t>HW350003A RT60</t>
  </si>
  <si>
    <t>HW350003A RT30</t>
  </si>
  <si>
    <t>HW350003A RT15</t>
  </si>
  <si>
    <t>HW350003A RT5</t>
  </si>
  <si>
    <t>HW350003A RT0</t>
  </si>
  <si>
    <t>HW350003A DT120</t>
  </si>
  <si>
    <t>HW350003A DT60</t>
  </si>
  <si>
    <t>HW350003A DT30</t>
  </si>
  <si>
    <t>HW350003A DT15</t>
  </si>
  <si>
    <t>HW350003A DT5</t>
  </si>
  <si>
    <t>HW350003A DT0</t>
  </si>
  <si>
    <t>HW350003A HT120</t>
  </si>
  <si>
    <t>HW350003A HT60</t>
  </si>
  <si>
    <t>HW350003A HT30</t>
  </si>
  <si>
    <t>HW350003A HT15</t>
  </si>
  <si>
    <t>HW350003A HT5</t>
  </si>
  <si>
    <t>HW350003A HT0</t>
  </si>
  <si>
    <t>HW350003A MKT120</t>
  </si>
  <si>
    <t>HW350003A MKT60</t>
  </si>
  <si>
    <t>HW350003A MKT30</t>
  </si>
  <si>
    <t>HW350003A MKT15</t>
  </si>
  <si>
    <t>HW350003A MKT5</t>
  </si>
  <si>
    <t>HW350003A MKT0</t>
  </si>
  <si>
    <t>Bioanalytical Method</t>
  </si>
  <si>
    <t>Compound</t>
  </si>
  <si>
    <t>LC Methods</t>
  </si>
  <si>
    <t>Mobile phase A</t>
  </si>
  <si>
    <t>0.1% Formic Acid in Water</t>
  </si>
  <si>
    <t>Mobile phase B</t>
  </si>
  <si>
    <t>Acetonitrile</t>
  </si>
  <si>
    <t>Column</t>
  </si>
  <si>
    <t>XBridge BEH C18 2.5μm 2.1*50mm</t>
  </si>
  <si>
    <t>Internal standard</t>
  </si>
  <si>
    <t>LC system</t>
  </si>
  <si>
    <t>ExionLC</t>
  </si>
  <si>
    <t>Autosampler</t>
  </si>
  <si>
    <t>Injection Volume</t>
  </si>
  <si>
    <t xml:space="preserve">1 µL </t>
  </si>
  <si>
    <t xml:space="preserve">3 µL </t>
  </si>
  <si>
    <t>Gradient conditions</t>
  </si>
  <si>
    <r>
      <rPr>
        <sz val="14"/>
        <rFont val="Times New Roman"/>
        <charset val="134"/>
      </rPr>
      <t xml:space="preserve">Time </t>
    </r>
    <r>
      <rPr>
        <sz val="12"/>
        <rFont val="Times New Roman"/>
        <charset val="134"/>
      </rPr>
      <t>(min)</t>
    </r>
  </si>
  <si>
    <r>
      <rPr>
        <sz val="14"/>
        <rFont val="Times New Roman"/>
        <charset val="134"/>
      </rPr>
      <t xml:space="preserve">Flow </t>
    </r>
    <r>
      <rPr>
        <sz val="12"/>
        <rFont val="Times New Roman"/>
        <charset val="134"/>
      </rPr>
      <t>(mL/min)</t>
    </r>
  </si>
  <si>
    <t>A(%)</t>
  </si>
  <si>
    <t>B(%)</t>
  </si>
  <si>
    <t>MS Methods</t>
  </si>
  <si>
    <t>MS</t>
  </si>
  <si>
    <t>Triple Quad 5500+</t>
  </si>
  <si>
    <t>Ionization model</t>
  </si>
  <si>
    <t>ESI</t>
  </si>
  <si>
    <t>Scan type</t>
  </si>
  <si>
    <t>MRM</t>
  </si>
  <si>
    <t>Polarity</t>
  </si>
  <si>
    <t>Positive</t>
  </si>
  <si>
    <t>Name</t>
  </si>
  <si>
    <t>Ion pair(m/z)</t>
  </si>
  <si>
    <t>Retention Time(min)</t>
  </si>
  <si>
    <t>DP(eV)</t>
  </si>
  <si>
    <t>CE(eV)</t>
  </si>
  <si>
    <t>368.2/181.1</t>
  </si>
  <si>
    <t xml:space="preserve"> 362.00/184.10</t>
  </si>
  <si>
    <t>271.1/155.0</t>
  </si>
  <si>
    <t xml:space="preserve">10 µL </t>
  </si>
  <si>
    <t>Negative</t>
  </si>
  <si>
    <t xml:space="preserve"> 377.20/234.10</t>
  </si>
  <si>
    <t>438.20/79.10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</si>
</sst>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2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00_ "/>
    <numFmt numFmtId="178" formatCode="0.00_);[Red]\(0.00\)"/>
    <numFmt numFmtId="179" formatCode="#,##0.00_ "/>
    <numFmt numFmtId="180" formatCode="0.000_);[Red]\(0.000\)"/>
    <numFmt numFmtId="181" formatCode="#,##0.0_ "/>
    <numFmt numFmtId="182" formatCode="0.000"/>
    <numFmt numFmtId="183" formatCode="0.0000_ "/>
    <numFmt numFmtId="184" formatCode="0.0_);[Red]\(0.0\)"/>
    <numFmt numFmtId="185" formatCode="0_ "/>
    <numFmt numFmtId="186" formatCode="0.0_ "/>
    <numFmt numFmtId="187" formatCode="0.0000_);[Red]\(0.0000\)"/>
    <numFmt numFmtId="188" formatCode="0.0"/>
    <numFmt numFmtId="189" formatCode="0.00000_ "/>
    <numFmt numFmtId="190" formatCode="0_);[Red]\(0\)"/>
    <numFmt numFmtId="191" formatCode="0.0000"/>
    <numFmt numFmtId="192" formatCode="yyyy/mm/dd"/>
  </numFmts>
  <fonts count="51">
    <font>
      <sz val="11"/>
      <color theme="1"/>
      <name val="宋体"/>
      <charset val="134"/>
      <scheme val="minor"/>
    </font>
    <font>
      <sz val="11"/>
      <color rgb="FF000000"/>
      <name val="Times New Roman"/>
      <charset val="134"/>
    </font>
    <font>
      <sz val="11"/>
      <name val="Times New Roman"/>
      <charset val="134"/>
    </font>
    <font>
      <b/>
      <sz val="15"/>
      <name val="Times New Roman"/>
      <charset val="134"/>
    </font>
    <font>
      <sz val="14"/>
      <name val="Times New Roman"/>
      <charset val="134"/>
    </font>
    <font>
      <sz val="12"/>
      <name val="Times New Roman"/>
      <charset val="134"/>
    </font>
    <font>
      <sz val="12"/>
      <color indexed="8"/>
      <name val="Times New Roman"/>
      <charset val="134"/>
    </font>
    <font>
      <sz val="11"/>
      <color theme="1"/>
      <name val="Times New Roman"/>
      <charset val="134"/>
    </font>
    <font>
      <b/>
      <sz val="11"/>
      <name val="Times New Roman"/>
      <charset val="134"/>
    </font>
    <font>
      <sz val="10"/>
      <name val="Times New Roman"/>
      <charset val="134"/>
    </font>
    <font>
      <b/>
      <sz val="10"/>
      <name val="Times New Roman"/>
      <charset val="134"/>
    </font>
    <font>
      <vertAlign val="superscript"/>
      <sz val="10"/>
      <color theme="1"/>
      <name val="Times New Roman"/>
      <charset val="134"/>
    </font>
    <font>
      <b/>
      <sz val="11"/>
      <color theme="1"/>
      <name val="Times New Roman"/>
      <charset val="134"/>
    </font>
    <font>
      <sz val="11"/>
      <color indexed="8"/>
      <name val="Times New Roman"/>
      <charset val="134"/>
    </font>
    <font>
      <b/>
      <sz val="11"/>
      <color indexed="8"/>
      <name val="Times New Roman"/>
      <charset val="134"/>
    </font>
    <font>
      <b/>
      <sz val="12"/>
      <color indexed="8"/>
      <name val="Times New Roman"/>
      <charset val="134"/>
    </font>
    <font>
      <b/>
      <sz val="12"/>
      <color rgb="FF000000"/>
      <name val="Times New Roman"/>
      <charset val="134"/>
    </font>
    <font>
      <sz val="12"/>
      <color rgb="FF000000"/>
      <name val="Times New Roman"/>
      <charset val="134"/>
    </font>
    <font>
      <sz val="11"/>
      <color rgb="FF000000"/>
      <name val="等线"/>
      <charset val="134"/>
    </font>
    <font>
      <sz val="10"/>
      <color rgb="FF000000"/>
      <name val="Times New Roman"/>
      <charset val="134"/>
    </font>
    <font>
      <b/>
      <sz val="15"/>
      <color rgb="FF000000"/>
      <name val="Times New Roman"/>
      <charset val="134"/>
    </font>
    <font>
      <b/>
      <sz val="11"/>
      <color rgb="FF000000"/>
      <name val="Times New Roman"/>
      <charset val="134"/>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10"/>
      <color indexed="8"/>
      <name val="Arial"/>
      <charset val="134"/>
    </font>
    <font>
      <sz val="12"/>
      <color theme="1"/>
      <name val="宋体"/>
      <charset val="134"/>
      <scheme val="minor"/>
    </font>
    <font>
      <sz val="11"/>
      <color indexed="8"/>
      <name val="宋体"/>
      <charset val="134"/>
    </font>
    <font>
      <vertAlign val="subscript"/>
      <sz val="11"/>
      <name val="Times New Roman"/>
      <charset val="134"/>
    </font>
    <font>
      <b/>
      <vertAlign val="subscript"/>
      <sz val="12"/>
      <color rgb="FF000000"/>
      <name val="Times New Roman"/>
      <charset val="134"/>
    </font>
    <font>
      <sz val="11"/>
      <color theme="1"/>
      <name val="宋体"/>
      <charset val="134"/>
    </font>
    <font>
      <sz val="11"/>
      <name val="宋体"/>
      <charset val="134"/>
    </font>
    <font>
      <vertAlign val="subscript"/>
      <sz val="10"/>
      <name val="Times New Roman"/>
      <charset val="134"/>
    </font>
  </fonts>
  <fills count="35">
    <fill>
      <patternFill patternType="none"/>
    </fill>
    <fill>
      <patternFill patternType="gray125"/>
    </fill>
    <fill>
      <patternFill patternType="solid">
        <fgColor indexed="9"/>
        <bgColor indexed="64"/>
      </patternFill>
    </fill>
    <fill>
      <patternFill patternType="solid">
        <fgColor rgb="FFFFFFFF"/>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7">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style="medium">
        <color auto="1"/>
      </right>
      <top/>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thin">
        <color auto="1"/>
      </right>
      <top/>
      <bottom/>
      <diagonal/>
    </border>
    <border>
      <left style="thin">
        <color auto="1"/>
      </left>
      <right style="thin">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86">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0" fillId="4" borderId="29"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30" applyNumberFormat="0" applyFill="0" applyAlignment="0" applyProtection="0">
      <alignment vertical="center"/>
    </xf>
    <xf numFmtId="0" fontId="29" fillId="0" borderId="30" applyNumberFormat="0" applyFill="0" applyAlignment="0" applyProtection="0">
      <alignment vertical="center"/>
    </xf>
    <xf numFmtId="0" fontId="30" fillId="0" borderId="31" applyNumberFormat="0" applyFill="0" applyAlignment="0" applyProtection="0">
      <alignment vertical="center"/>
    </xf>
    <xf numFmtId="0" fontId="30" fillId="0" borderId="0" applyNumberFormat="0" applyFill="0" applyBorder="0" applyAlignment="0" applyProtection="0">
      <alignment vertical="center"/>
    </xf>
    <xf numFmtId="0" fontId="31" fillId="5" borderId="32" applyNumberFormat="0" applyAlignment="0" applyProtection="0">
      <alignment vertical="center"/>
    </xf>
    <xf numFmtId="0" fontId="32" fillId="6" borderId="33" applyNumberFormat="0" applyAlignment="0" applyProtection="0">
      <alignment vertical="center"/>
    </xf>
    <xf numFmtId="0" fontId="33" fillId="6" borderId="32" applyNumberFormat="0" applyAlignment="0" applyProtection="0">
      <alignment vertical="center"/>
    </xf>
    <xf numFmtId="0" fontId="34" fillId="7" borderId="34" applyNumberFormat="0" applyAlignment="0" applyProtection="0">
      <alignment vertical="center"/>
    </xf>
    <xf numFmtId="0" fontId="35" fillId="0" borderId="35" applyNumberFormat="0" applyFill="0" applyAlignment="0" applyProtection="0">
      <alignment vertical="center"/>
    </xf>
    <xf numFmtId="0" fontId="36" fillId="0" borderId="36" applyNumberFormat="0" applyFill="0" applyAlignment="0" applyProtection="0">
      <alignment vertical="center"/>
    </xf>
    <xf numFmtId="0" fontId="37" fillId="8" borderId="0" applyNumberFormat="0" applyBorder="0" applyAlignment="0" applyProtection="0">
      <alignment vertical="center"/>
    </xf>
    <xf numFmtId="0" fontId="38" fillId="9" borderId="0" applyNumberFormat="0" applyBorder="0" applyAlignment="0" applyProtection="0">
      <alignment vertical="center"/>
    </xf>
    <xf numFmtId="0" fontId="39" fillId="10" borderId="0" applyNumberFormat="0" applyBorder="0" applyAlignment="0" applyProtection="0">
      <alignment vertical="center"/>
    </xf>
    <xf numFmtId="0" fontId="40" fillId="11" borderId="0" applyNumberFormat="0" applyBorder="0" applyAlignment="0" applyProtection="0">
      <alignment vertical="center"/>
    </xf>
    <xf numFmtId="0" fontId="41" fillId="12" borderId="0" applyNumberFormat="0" applyBorder="0" applyAlignment="0" applyProtection="0">
      <alignment vertical="center"/>
    </xf>
    <xf numFmtId="0" fontId="41" fillId="13" borderId="0" applyNumberFormat="0" applyBorder="0" applyAlignment="0" applyProtection="0">
      <alignment vertical="center"/>
    </xf>
    <xf numFmtId="0" fontId="40" fillId="14" borderId="0" applyNumberFormat="0" applyBorder="0" applyAlignment="0" applyProtection="0">
      <alignment vertical="center"/>
    </xf>
    <xf numFmtId="0" fontId="40" fillId="15" borderId="0" applyNumberFormat="0" applyBorder="0" applyAlignment="0" applyProtection="0">
      <alignment vertical="center"/>
    </xf>
    <xf numFmtId="0" fontId="41" fillId="16" borderId="0" applyNumberFormat="0" applyBorder="0" applyAlignment="0" applyProtection="0">
      <alignment vertical="center"/>
    </xf>
    <xf numFmtId="0" fontId="41" fillId="17" borderId="0" applyNumberFormat="0" applyBorder="0" applyAlignment="0" applyProtection="0">
      <alignment vertical="center"/>
    </xf>
    <xf numFmtId="0" fontId="40" fillId="18" borderId="0" applyNumberFormat="0" applyBorder="0" applyAlignment="0" applyProtection="0">
      <alignment vertical="center"/>
    </xf>
    <xf numFmtId="0" fontId="40" fillId="19" borderId="0" applyNumberFormat="0" applyBorder="0" applyAlignment="0" applyProtection="0">
      <alignment vertical="center"/>
    </xf>
    <xf numFmtId="0" fontId="41" fillId="20" borderId="0" applyNumberFormat="0" applyBorder="0" applyAlignment="0" applyProtection="0">
      <alignment vertical="center"/>
    </xf>
    <xf numFmtId="0" fontId="41" fillId="21" borderId="0" applyNumberFormat="0" applyBorder="0" applyAlignment="0" applyProtection="0">
      <alignment vertical="center"/>
    </xf>
    <xf numFmtId="0" fontId="40" fillId="22" borderId="0" applyNumberFormat="0" applyBorder="0" applyAlignment="0" applyProtection="0">
      <alignment vertical="center"/>
    </xf>
    <xf numFmtId="0" fontId="40" fillId="23" borderId="0" applyNumberFormat="0" applyBorder="0" applyAlignment="0" applyProtection="0">
      <alignment vertical="center"/>
    </xf>
    <xf numFmtId="0" fontId="41" fillId="24" borderId="0" applyNumberFormat="0" applyBorder="0" applyAlignment="0" applyProtection="0">
      <alignment vertical="center"/>
    </xf>
    <xf numFmtId="0" fontId="41" fillId="25" borderId="0" applyNumberFormat="0" applyBorder="0" applyAlignment="0" applyProtection="0">
      <alignment vertical="center"/>
    </xf>
    <xf numFmtId="0" fontId="40" fillId="26" borderId="0" applyNumberFormat="0" applyBorder="0" applyAlignment="0" applyProtection="0">
      <alignment vertical="center"/>
    </xf>
    <xf numFmtId="0" fontId="40" fillId="27" borderId="0" applyNumberFormat="0" applyBorder="0" applyAlignment="0" applyProtection="0">
      <alignment vertical="center"/>
    </xf>
    <xf numFmtId="0" fontId="41" fillId="28" borderId="0" applyNumberFormat="0" applyBorder="0" applyAlignment="0" applyProtection="0">
      <alignment vertical="center"/>
    </xf>
    <xf numFmtId="0" fontId="41" fillId="29" borderId="0" applyNumberFormat="0" applyBorder="0" applyAlignment="0" applyProtection="0">
      <alignment vertical="center"/>
    </xf>
    <xf numFmtId="0" fontId="40" fillId="30" borderId="0" applyNumberFormat="0" applyBorder="0" applyAlignment="0" applyProtection="0">
      <alignment vertical="center"/>
    </xf>
    <xf numFmtId="0" fontId="40" fillId="31" borderId="0" applyNumberFormat="0" applyBorder="0" applyAlignment="0" applyProtection="0">
      <alignment vertical="center"/>
    </xf>
    <xf numFmtId="0" fontId="41" fillId="32" borderId="0" applyNumberFormat="0" applyBorder="0" applyAlignment="0" applyProtection="0">
      <alignment vertical="center"/>
    </xf>
    <xf numFmtId="0" fontId="41" fillId="33" borderId="0" applyNumberFormat="0" applyBorder="0" applyAlignment="0" applyProtection="0">
      <alignment vertical="center"/>
    </xf>
    <xf numFmtId="0" fontId="40" fillId="34" borderId="0" applyNumberFormat="0" applyBorder="0" applyAlignment="0" applyProtection="0">
      <alignment vertical="center"/>
    </xf>
    <xf numFmtId="0" fontId="42" fillId="0" borderId="0">
      <alignment vertical="top"/>
    </xf>
    <xf numFmtId="0" fontId="0" fillId="0" borderId="0">
      <alignment vertical="center"/>
    </xf>
    <xf numFmtId="0" fontId="43" fillId="0" borderId="0">
      <alignment vertical="top"/>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44"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45"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42" fillId="0" borderId="0"/>
    <xf numFmtId="0" fontId="42" fillId="0" borderId="0"/>
    <xf numFmtId="0" fontId="0" fillId="0" borderId="0">
      <alignment vertical="center"/>
    </xf>
    <xf numFmtId="0" fontId="0" fillId="0" borderId="0">
      <alignment vertical="center"/>
    </xf>
    <xf numFmtId="0" fontId="0" fillId="0" borderId="0">
      <alignment vertical="center"/>
    </xf>
    <xf numFmtId="0" fontId="42" fillId="0" borderId="0"/>
    <xf numFmtId="0" fontId="42" fillId="0" borderId="0">
      <alignment vertical="top"/>
    </xf>
    <xf numFmtId="0" fontId="43" fillId="0" borderId="0">
      <alignment vertical="top"/>
    </xf>
  </cellStyleXfs>
  <cellXfs count="206">
    <xf numFmtId="0" fontId="0" fillId="0" borderId="0" xfId="0"/>
    <xf numFmtId="0" fontId="1" fillId="0" borderId="0" xfId="0" applyFont="1" applyFill="1" applyBorder="1"/>
    <xf numFmtId="0" fontId="2" fillId="0" borderId="0" xfId="0" applyFont="1" applyFill="1" applyBorder="1" applyAlignment="1">
      <alignment vertical="center"/>
    </xf>
    <xf numFmtId="0" fontId="3" fillId="0" borderId="0" xfId="0" applyFont="1" applyFill="1" applyBorder="1" applyAlignment="1">
      <alignment horizontal="left" vertical="center" wrapText="1"/>
    </xf>
    <xf numFmtId="0" fontId="4" fillId="0" borderId="1" xfId="0" applyFont="1" applyBorder="1" applyAlignment="1">
      <alignment horizontal="center" vertical="center"/>
    </xf>
    <xf numFmtId="3" fontId="5" fillId="0" borderId="2" xfId="0" applyNumberFormat="1"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horizontal="center" vertical="center"/>
    </xf>
    <xf numFmtId="0" fontId="5" fillId="0" borderId="0" xfId="0" applyFont="1" applyAlignment="1">
      <alignment horizontal="center" vertical="center"/>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16" xfId="0" applyFont="1" applyBorder="1" applyAlignment="1">
      <alignment horizontal="center" vertical="center"/>
    </xf>
    <xf numFmtId="0" fontId="5" fillId="0" borderId="17" xfId="0" applyFont="1" applyBorder="1" applyAlignment="1">
      <alignment horizontal="center" vertical="center"/>
    </xf>
    <xf numFmtId="0" fontId="4" fillId="0" borderId="18" xfId="0" applyFont="1" applyBorder="1" applyAlignment="1">
      <alignment horizontal="center" vertical="center" wrapText="1"/>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4" fillId="0" borderId="19" xfId="0" applyFont="1" applyBorder="1" applyAlignment="1">
      <alignment horizontal="center" vertical="center" wrapText="1"/>
    </xf>
    <xf numFmtId="176" fontId="5" fillId="0" borderId="5" xfId="0" applyNumberFormat="1" applyFont="1" applyBorder="1" applyAlignment="1">
      <alignment horizontal="center" vertical="center"/>
    </xf>
    <xf numFmtId="177" fontId="5" fillId="0" borderId="5" xfId="0" applyNumberFormat="1" applyFont="1" applyBorder="1" applyAlignment="1">
      <alignment horizontal="center" vertical="center"/>
    </xf>
    <xf numFmtId="0" fontId="5" fillId="0" borderId="4" xfId="0" applyFont="1" applyBorder="1" applyAlignment="1">
      <alignment horizontal="center" vertical="center" wrapText="1"/>
    </xf>
    <xf numFmtId="0" fontId="5" fillId="0" borderId="20" xfId="0" applyFont="1" applyBorder="1" applyAlignment="1">
      <alignment horizontal="center" vertical="center"/>
    </xf>
    <xf numFmtId="0" fontId="5" fillId="0" borderId="21" xfId="0" applyFont="1" applyBorder="1" applyAlignment="1">
      <alignment horizontal="center" vertical="center"/>
    </xf>
    <xf numFmtId="176" fontId="5" fillId="0" borderId="21" xfId="0" applyNumberFormat="1" applyFont="1" applyBorder="1" applyAlignment="1">
      <alignment horizontal="center" vertical="center"/>
    </xf>
    <xf numFmtId="0" fontId="5" fillId="0" borderId="22" xfId="0" applyFont="1" applyBorder="1" applyAlignment="1">
      <alignment horizontal="center" vertical="center"/>
    </xf>
    <xf numFmtId="3" fontId="5" fillId="0" borderId="2" xfId="0" applyNumberFormat="1"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176" fontId="5" fillId="0" borderId="23" xfId="0" applyNumberFormat="1" applyFont="1" applyBorder="1" applyAlignment="1">
      <alignment horizontal="center" vertical="center"/>
    </xf>
    <xf numFmtId="177" fontId="5" fillId="0" borderId="23" xfId="0" applyNumberFormat="1"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176" fontId="5" fillId="0" borderId="25" xfId="0" applyNumberFormat="1" applyFont="1" applyBorder="1" applyAlignment="1">
      <alignment horizontal="center" vertical="center"/>
    </xf>
    <xf numFmtId="177" fontId="5" fillId="0" borderId="25" xfId="0" applyNumberFormat="1" applyFont="1" applyBorder="1" applyAlignment="1">
      <alignment horizontal="center" vertical="center"/>
    </xf>
    <xf numFmtId="0" fontId="5" fillId="0" borderId="25" xfId="0" applyFont="1" applyBorder="1" applyAlignment="1">
      <alignment horizontal="center" vertical="center"/>
    </xf>
    <xf numFmtId="0" fontId="5" fillId="0" borderId="26" xfId="0" applyFont="1" applyBorder="1" applyAlignment="1">
      <alignment horizontal="center" vertical="center"/>
    </xf>
    <xf numFmtId="0" fontId="5" fillId="0" borderId="11" xfId="0" applyFont="1" applyFill="1" applyBorder="1" applyAlignment="1">
      <alignment horizontal="center" vertical="center"/>
    </xf>
    <xf numFmtId="0" fontId="5" fillId="0" borderId="12" xfId="0" applyFont="1" applyFill="1" applyBorder="1" applyAlignment="1">
      <alignment horizontal="center" vertical="center"/>
    </xf>
    <xf numFmtId="0" fontId="5" fillId="0" borderId="13" xfId="0" applyFont="1" applyFill="1" applyBorder="1" applyAlignment="1">
      <alignment horizontal="center" vertical="center"/>
    </xf>
    <xf numFmtId="178" fontId="6" fillId="0" borderId="4" xfId="76" applyNumberFormat="1" applyFont="1" applyFill="1" applyBorder="1" applyAlignment="1">
      <alignment horizontal="center" vertical="center"/>
    </xf>
    <xf numFmtId="179" fontId="5" fillId="0" borderId="5" xfId="3" applyNumberFormat="1" applyFont="1" applyBorder="1" applyAlignment="1">
      <alignment horizontal="center" vertical="center"/>
    </xf>
    <xf numFmtId="0" fontId="5" fillId="0" borderId="5" xfId="0" applyFont="1" applyFill="1" applyBorder="1" applyAlignment="1">
      <alignment horizontal="center" vertical="center"/>
    </xf>
    <xf numFmtId="0" fontId="5" fillId="0" borderId="6" xfId="0" applyFont="1" applyFill="1" applyBorder="1" applyAlignment="1">
      <alignment horizontal="center" vertical="center"/>
    </xf>
    <xf numFmtId="0" fontId="4" fillId="0" borderId="0" xfId="0" applyFont="1" applyBorder="1" applyAlignment="1">
      <alignment horizontal="center" vertical="center"/>
    </xf>
    <xf numFmtId="49" fontId="5" fillId="0" borderId="0" xfId="0" applyNumberFormat="1" applyFont="1" applyBorder="1" applyAlignment="1">
      <alignment horizontal="center" vertical="center"/>
    </xf>
    <xf numFmtId="0" fontId="5" fillId="0" borderId="0" xfId="0" applyFont="1" applyBorder="1" applyAlignment="1">
      <alignment horizontal="center" vertical="center"/>
    </xf>
    <xf numFmtId="0" fontId="4" fillId="0" borderId="0" xfId="0" applyFont="1" applyBorder="1" applyAlignment="1">
      <alignment horizontal="center" vertical="center" wrapText="1"/>
    </xf>
    <xf numFmtId="176" fontId="5" fillId="0" borderId="0" xfId="0" applyNumberFormat="1" applyFont="1" applyBorder="1" applyAlignment="1">
      <alignment horizontal="center" vertical="center"/>
    </xf>
    <xf numFmtId="177" fontId="5" fillId="0" borderId="0" xfId="0" applyNumberFormat="1" applyFont="1" applyBorder="1" applyAlignment="1">
      <alignment horizontal="center" vertical="center"/>
    </xf>
    <xf numFmtId="0" fontId="5" fillId="0" borderId="0" xfId="0" applyFont="1" applyFill="1" applyBorder="1" applyAlignment="1">
      <alignment horizontal="center" vertical="center"/>
    </xf>
    <xf numFmtId="0" fontId="5" fillId="0" borderId="0" xfId="0" applyFont="1" applyBorder="1" applyAlignment="1">
      <alignment horizontal="center" vertical="center" wrapText="1"/>
    </xf>
    <xf numFmtId="0" fontId="7" fillId="0" borderId="0" xfId="0" applyFont="1" applyFill="1" applyAlignment="1">
      <alignment vertical="center"/>
    </xf>
    <xf numFmtId="178" fontId="7" fillId="0" borderId="0" xfId="0" applyNumberFormat="1" applyFont="1" applyFill="1" applyAlignment="1">
      <alignment vertical="center"/>
    </xf>
    <xf numFmtId="0" fontId="7" fillId="0" borderId="0" xfId="0" applyFont="1" applyAlignment="1">
      <alignment vertical="center"/>
    </xf>
    <xf numFmtId="11" fontId="7" fillId="0" borderId="0" xfId="0" applyNumberFormat="1" applyFont="1" applyAlignment="1">
      <alignment vertical="center"/>
    </xf>
    <xf numFmtId="0" fontId="0" fillId="0" borderId="0" xfId="0" applyFill="1" applyAlignment="1">
      <alignment vertical="center"/>
    </xf>
    <xf numFmtId="178" fontId="0" fillId="0" borderId="0" xfId="0" applyNumberFormat="1" applyFill="1" applyAlignment="1">
      <alignment vertical="center"/>
    </xf>
    <xf numFmtId="0" fontId="8" fillId="2" borderId="0" xfId="0" applyFont="1" applyFill="1" applyAlignment="1">
      <alignment vertical="center"/>
    </xf>
    <xf numFmtId="0" fontId="9" fillId="0" borderId="0" xfId="0" applyFont="1" applyAlignment="1">
      <alignment horizontal="left" vertical="center"/>
    </xf>
    <xf numFmtId="11" fontId="9" fillId="0" borderId="0" xfId="0" applyNumberFormat="1" applyFont="1" applyAlignment="1">
      <alignment horizontal="left" vertical="center"/>
    </xf>
    <xf numFmtId="178" fontId="9" fillId="0" borderId="0" xfId="0" applyNumberFormat="1" applyFont="1" applyAlignment="1">
      <alignment horizontal="left" vertical="center"/>
    </xf>
    <xf numFmtId="0" fontId="10" fillId="0" borderId="1" xfId="0" applyFont="1" applyBorder="1" applyAlignment="1">
      <alignment horizontal="center" vertical="center"/>
    </xf>
    <xf numFmtId="0" fontId="10" fillId="0" borderId="2" xfId="0" applyFont="1" applyBorder="1" applyAlignment="1">
      <alignment horizontal="center" vertical="center"/>
    </xf>
    <xf numFmtId="178" fontId="10" fillId="0" borderId="2" xfId="0" applyNumberFormat="1" applyFont="1" applyBorder="1" applyAlignment="1">
      <alignment horizontal="center" vertical="center" wrapText="1"/>
    </xf>
    <xf numFmtId="178" fontId="10" fillId="0" borderId="3" xfId="0" applyNumberFormat="1" applyFont="1" applyBorder="1" applyAlignment="1">
      <alignment horizontal="center" vertical="center" wrapText="1"/>
    </xf>
    <xf numFmtId="0" fontId="10" fillId="0" borderId="4" xfId="0" applyFont="1" applyBorder="1" applyAlignment="1">
      <alignment horizontal="center" vertical="center"/>
    </xf>
    <xf numFmtId="0" fontId="10" fillId="0" borderId="5" xfId="0" applyFont="1" applyBorder="1" applyAlignment="1">
      <alignment horizontal="center" vertical="center"/>
    </xf>
    <xf numFmtId="178" fontId="10" fillId="0" borderId="5" xfId="0" applyNumberFormat="1" applyFont="1" applyBorder="1" applyAlignment="1">
      <alignment horizontal="center" vertical="center" wrapText="1"/>
    </xf>
    <xf numFmtId="178" fontId="10" fillId="0" borderId="6" xfId="0" applyNumberFormat="1" applyFont="1" applyBorder="1" applyAlignment="1">
      <alignment horizontal="center" vertical="center" wrapText="1"/>
    </xf>
    <xf numFmtId="49" fontId="9" fillId="0" borderId="4" xfId="0" applyNumberFormat="1" applyFont="1" applyBorder="1" applyAlignment="1">
      <alignment horizontal="center" vertical="center"/>
    </xf>
    <xf numFmtId="0" fontId="2" fillId="2" borderId="23" xfId="0" applyFont="1" applyFill="1" applyBorder="1" applyAlignment="1">
      <alignment horizontal="center" vertical="center"/>
    </xf>
    <xf numFmtId="0" fontId="2" fillId="2" borderId="5" xfId="0" applyFont="1" applyFill="1" applyBorder="1" applyAlignment="1">
      <alignment horizontal="center" vertical="center"/>
    </xf>
    <xf numFmtId="11" fontId="9" fillId="2" borderId="5" xfId="0" applyNumberFormat="1" applyFont="1" applyFill="1" applyBorder="1" applyAlignment="1">
      <alignment horizontal="center" vertical="center"/>
    </xf>
    <xf numFmtId="180" fontId="9" fillId="0" borderId="5" xfId="0" applyNumberFormat="1" applyFont="1" applyBorder="1" applyAlignment="1">
      <alignment horizontal="center" vertical="center"/>
    </xf>
    <xf numFmtId="179" fontId="9" fillId="0" borderId="5" xfId="0" applyNumberFormat="1" applyFont="1" applyBorder="1" applyAlignment="1">
      <alignment horizontal="center" vertical="center"/>
    </xf>
    <xf numFmtId="178" fontId="9" fillId="0" borderId="6" xfId="0" applyNumberFormat="1" applyFont="1" applyBorder="1" applyAlignment="1">
      <alignment horizontal="center" vertical="center"/>
    </xf>
    <xf numFmtId="0" fontId="2" fillId="2" borderId="27" xfId="0" applyFont="1" applyFill="1" applyBorder="1" applyAlignment="1">
      <alignment horizontal="center" vertical="center"/>
    </xf>
    <xf numFmtId="0" fontId="9" fillId="0" borderId="4" xfId="0" applyFont="1" applyBorder="1" applyAlignment="1">
      <alignment horizontal="center" vertical="center"/>
    </xf>
    <xf numFmtId="43" fontId="9" fillId="0" borderId="6" xfId="0" applyNumberFormat="1" applyFont="1" applyBorder="1" applyAlignment="1">
      <alignment horizontal="center" vertical="center"/>
    </xf>
    <xf numFmtId="0" fontId="2" fillId="2" borderId="25" xfId="0" applyFont="1" applyFill="1" applyBorder="1" applyAlignment="1">
      <alignment horizontal="center" vertical="center"/>
    </xf>
    <xf numFmtId="181" fontId="9" fillId="0" borderId="5" xfId="0" applyNumberFormat="1" applyFont="1" applyBorder="1" applyAlignment="1">
      <alignment horizontal="center" vertical="center"/>
    </xf>
    <xf numFmtId="2" fontId="9" fillId="0" borderId="6" xfId="0" applyNumberFormat="1" applyFont="1" applyBorder="1" applyAlignment="1">
      <alignment horizontal="center" vertical="center"/>
    </xf>
    <xf numFmtId="182" fontId="9" fillId="0" borderId="6" xfId="0" applyNumberFormat="1" applyFont="1" applyBorder="1" applyAlignment="1">
      <alignment horizontal="center" vertical="center"/>
    </xf>
    <xf numFmtId="0" fontId="9" fillId="0" borderId="20" xfId="0" applyFont="1" applyBorder="1" applyAlignment="1">
      <alignment horizontal="center" vertical="center"/>
    </xf>
    <xf numFmtId="0" fontId="2" fillId="2" borderId="28" xfId="0" applyFont="1" applyFill="1" applyBorder="1" applyAlignment="1">
      <alignment horizontal="center" vertical="center"/>
    </xf>
    <xf numFmtId="0" fontId="2" fillId="2" borderId="21" xfId="0" applyFont="1" applyFill="1" applyBorder="1" applyAlignment="1">
      <alignment horizontal="center" vertical="center"/>
    </xf>
    <xf numFmtId="11" fontId="9" fillId="2" borderId="21" xfId="0" applyNumberFormat="1" applyFont="1" applyFill="1" applyBorder="1" applyAlignment="1">
      <alignment horizontal="center" vertical="center"/>
    </xf>
    <xf numFmtId="180" fontId="9" fillId="0" borderId="21" xfId="0" applyNumberFormat="1" applyFont="1" applyBorder="1" applyAlignment="1">
      <alignment horizontal="center" vertical="center"/>
    </xf>
    <xf numFmtId="179" fontId="9" fillId="0" borderId="21" xfId="0" applyNumberFormat="1" applyFont="1" applyBorder="1" applyAlignment="1">
      <alignment horizontal="center" vertical="center"/>
    </xf>
    <xf numFmtId="178" fontId="9" fillId="0" borderId="22" xfId="0" applyNumberFormat="1" applyFont="1" applyBorder="1" applyAlignment="1">
      <alignment horizontal="center" vertical="center"/>
    </xf>
    <xf numFmtId="11" fontId="7" fillId="0" borderId="0" xfId="0" applyNumberFormat="1" applyFont="1" applyFill="1" applyAlignment="1">
      <alignment vertical="center"/>
    </xf>
    <xf numFmtId="178" fontId="7" fillId="0" borderId="0" xfId="0" applyNumberFormat="1" applyFont="1" applyAlignment="1">
      <alignment vertical="center"/>
    </xf>
    <xf numFmtId="0" fontId="9" fillId="0" borderId="0" xfId="85" applyFont="1" applyFill="1" applyProtection="1">
      <alignment vertical="top"/>
      <protection locked="0"/>
    </xf>
    <xf numFmtId="0" fontId="5" fillId="0" borderId="0" xfId="84" applyFont="1" applyFill="1">
      <alignment vertical="top"/>
    </xf>
    <xf numFmtId="0" fontId="2" fillId="0" borderId="0" xfId="70" applyFont="1">
      <alignment vertical="center"/>
    </xf>
    <xf numFmtId="0" fontId="2" fillId="0" borderId="0" xfId="70" applyFont="1" applyAlignment="1">
      <alignment vertical="center" wrapText="1"/>
    </xf>
    <xf numFmtId="0" fontId="3" fillId="0" borderId="0" xfId="70" applyFont="1" applyAlignment="1">
      <alignment horizontal="left" vertical="center" wrapText="1"/>
    </xf>
    <xf numFmtId="0" fontId="2" fillId="0" borderId="0" xfId="70" applyFont="1" applyAlignment="1">
      <alignment horizontal="left" vertical="center" wrapText="1"/>
    </xf>
    <xf numFmtId="0" fontId="2" fillId="0" borderId="0" xfId="70" applyFont="1" applyAlignment="1">
      <alignment vertical="center"/>
    </xf>
    <xf numFmtId="0" fontId="9" fillId="0" borderId="0" xfId="0" applyFont="1" applyFill="1" applyAlignment="1">
      <alignment horizontal="left" vertical="center"/>
    </xf>
    <xf numFmtId="0" fontId="9" fillId="0" borderId="0" xfId="0" applyFont="1" applyFill="1" applyAlignment="1">
      <alignment vertical="center"/>
    </xf>
    <xf numFmtId="0" fontId="2" fillId="0" borderId="0" xfId="70" applyFont="1" applyAlignment="1">
      <alignment horizontal="center" vertical="center" wrapText="1"/>
    </xf>
    <xf numFmtId="0" fontId="11" fillId="0" borderId="0" xfId="0" applyFont="1" applyFill="1" applyAlignment="1">
      <alignment vertical="center"/>
    </xf>
    <xf numFmtId="0" fontId="5" fillId="0" borderId="0" xfId="84" applyFont="1" applyFill="1" applyAlignment="1">
      <alignment vertical="center"/>
    </xf>
    <xf numFmtId="0" fontId="7" fillId="0" borderId="0" xfId="0" applyFont="1"/>
    <xf numFmtId="0" fontId="8" fillId="0" borderId="0" xfId="70" applyFont="1" applyAlignment="1">
      <alignment horizontal="left" vertical="center" wrapText="1"/>
    </xf>
    <xf numFmtId="0" fontId="8" fillId="0" borderId="0" xfId="70" applyFont="1" applyAlignment="1">
      <alignment vertical="center" wrapText="1"/>
    </xf>
    <xf numFmtId="0" fontId="8" fillId="0" borderId="0" xfId="80" applyFont="1" applyBorder="1" applyAlignment="1">
      <alignment horizontal="center" vertical="center" wrapText="1"/>
    </xf>
    <xf numFmtId="0" fontId="8" fillId="0" borderId="1" xfId="70" applyFont="1" applyFill="1" applyBorder="1" applyAlignment="1">
      <alignment horizontal="center" vertical="center" wrapText="1"/>
    </xf>
    <xf numFmtId="0" fontId="12" fillId="0" borderId="2" xfId="58" applyFont="1" applyBorder="1" applyAlignment="1">
      <alignment horizontal="center" vertical="center"/>
    </xf>
    <xf numFmtId="0" fontId="12" fillId="0" borderId="3" xfId="58" applyFont="1" applyBorder="1" applyAlignment="1">
      <alignment horizontal="center" vertical="center"/>
    </xf>
    <xf numFmtId="178" fontId="7" fillId="0" borderId="20" xfId="58" applyNumberFormat="1" applyFont="1" applyFill="1" applyBorder="1" applyAlignment="1">
      <alignment horizontal="center" vertical="center"/>
    </xf>
    <xf numFmtId="0" fontId="7" fillId="0" borderId="21" xfId="3" applyNumberFormat="1" applyFont="1" applyFill="1" applyBorder="1" applyAlignment="1">
      <alignment horizontal="center" vertical="center"/>
    </xf>
    <xf numFmtId="183" fontId="7" fillId="0" borderId="21" xfId="3" applyNumberFormat="1" applyFont="1" applyFill="1" applyBorder="1" applyAlignment="1">
      <alignment horizontal="center" vertical="center"/>
    </xf>
    <xf numFmtId="10" fontId="7" fillId="0" borderId="22" xfId="3" applyNumberFormat="1" applyFont="1" applyFill="1" applyBorder="1" applyAlignment="1">
      <alignment horizontal="center" vertical="center"/>
    </xf>
    <xf numFmtId="0" fontId="7" fillId="0" borderId="0" xfId="0" applyFont="1" applyBorder="1" applyAlignment="1">
      <alignment vertical="center"/>
    </xf>
    <xf numFmtId="0" fontId="8" fillId="0" borderId="0" xfId="70" applyFont="1" applyBorder="1" applyAlignment="1">
      <alignment horizontal="center" vertical="center" wrapText="1"/>
    </xf>
    <xf numFmtId="0" fontId="12" fillId="0" borderId="1" xfId="80" applyFont="1" applyFill="1" applyBorder="1" applyAlignment="1">
      <alignment horizontal="center" vertical="center" wrapText="1"/>
    </xf>
    <xf numFmtId="0" fontId="12" fillId="0" borderId="2" xfId="70" applyFont="1" applyFill="1" applyBorder="1" applyAlignment="1">
      <alignment horizontal="center" vertical="center" wrapText="1"/>
    </xf>
    <xf numFmtId="0" fontId="12" fillId="0" borderId="2" xfId="80" applyFont="1" applyFill="1" applyBorder="1" applyAlignment="1">
      <alignment horizontal="center" vertical="center" wrapText="1"/>
    </xf>
    <xf numFmtId="0" fontId="12" fillId="0" borderId="3" xfId="70" applyFont="1" applyFill="1" applyBorder="1" applyAlignment="1">
      <alignment horizontal="center" vertical="center" wrapText="1"/>
    </xf>
    <xf numFmtId="0" fontId="1" fillId="0" borderId="4" xfId="80" applyFont="1" applyFill="1" applyBorder="1" applyAlignment="1">
      <alignment horizontal="center" vertical="center" wrapText="1"/>
    </xf>
    <xf numFmtId="0" fontId="1" fillId="0" borderId="5" xfId="71" applyFont="1" applyFill="1" applyBorder="1" applyAlignment="1">
      <alignment horizontal="center" vertical="center" wrapText="1"/>
    </xf>
    <xf numFmtId="49" fontId="1" fillId="0" borderId="5" xfId="80" applyNumberFormat="1" applyFont="1" applyFill="1" applyBorder="1" applyAlignment="1">
      <alignment horizontal="center" vertical="center" wrapText="1"/>
    </xf>
    <xf numFmtId="0" fontId="1" fillId="0" borderId="6" xfId="71" applyFont="1" applyFill="1" applyBorder="1" applyAlignment="1">
      <alignment horizontal="center" vertical="center" wrapText="1"/>
    </xf>
    <xf numFmtId="0" fontId="1" fillId="0" borderId="20" xfId="80" applyFont="1" applyFill="1" applyBorder="1" applyAlignment="1">
      <alignment horizontal="center" vertical="center" wrapText="1"/>
    </xf>
    <xf numFmtId="0" fontId="1" fillId="0" borderId="21" xfId="71" applyFont="1" applyFill="1" applyBorder="1" applyAlignment="1">
      <alignment horizontal="center" vertical="center" wrapText="1"/>
    </xf>
    <xf numFmtId="49" fontId="1" fillId="0" borderId="21" xfId="80" applyNumberFormat="1" applyFont="1" applyFill="1" applyBorder="1" applyAlignment="1">
      <alignment horizontal="center" vertical="center" wrapText="1"/>
    </xf>
    <xf numFmtId="0" fontId="1" fillId="0" borderId="22" xfId="71" applyFont="1" applyFill="1" applyBorder="1" applyAlignment="1">
      <alignment horizontal="center" vertical="center" wrapText="1"/>
    </xf>
    <xf numFmtId="0" fontId="13" fillId="0" borderId="0" xfId="76" applyFont="1" applyFill="1" applyAlignment="1">
      <alignment horizontal="center" vertical="center"/>
    </xf>
    <xf numFmtId="0" fontId="14" fillId="0" borderId="0" xfId="76" applyFont="1" applyFill="1" applyBorder="1" applyAlignment="1">
      <alignment horizontal="left" vertical="center"/>
    </xf>
    <xf numFmtId="0" fontId="2" fillId="0" borderId="0" xfId="0" applyFont="1" applyFill="1" applyBorder="1" applyAlignment="1">
      <alignment horizontal="left" vertical="center" wrapText="1"/>
    </xf>
    <xf numFmtId="0" fontId="14" fillId="0" borderId="0" xfId="76" applyFont="1" applyFill="1" applyBorder="1" applyAlignment="1">
      <alignment horizontal="left" vertical="center" wrapText="1"/>
    </xf>
    <xf numFmtId="0" fontId="15" fillId="0" borderId="1" xfId="83" applyFont="1" applyFill="1" applyBorder="1" applyAlignment="1">
      <alignment horizontal="center" vertical="center"/>
    </xf>
    <xf numFmtId="0" fontId="15" fillId="0" borderId="2" xfId="83" applyFont="1" applyFill="1" applyBorder="1" applyAlignment="1">
      <alignment horizontal="center" vertical="center"/>
    </xf>
    <xf numFmtId="0" fontId="16" fillId="0" borderId="2" xfId="83" applyFont="1" applyFill="1" applyBorder="1" applyAlignment="1">
      <alignment horizontal="center" vertical="center" wrapText="1"/>
    </xf>
    <xf numFmtId="0" fontId="15" fillId="0" borderId="4" xfId="83" applyFont="1" applyFill="1" applyBorder="1" applyAlignment="1">
      <alignment horizontal="center" vertical="center"/>
    </xf>
    <xf numFmtId="0" fontId="15" fillId="0" borderId="5" xfId="83" applyFont="1" applyFill="1" applyBorder="1" applyAlignment="1">
      <alignment horizontal="center" vertical="center"/>
    </xf>
    <xf numFmtId="0" fontId="16" fillId="0" borderId="5" xfId="83" applyFont="1" applyFill="1" applyBorder="1" applyAlignment="1">
      <alignment horizontal="center" vertical="center" wrapText="1"/>
    </xf>
    <xf numFmtId="184" fontId="16" fillId="0" borderId="5" xfId="83" applyNumberFormat="1" applyFont="1" applyFill="1" applyBorder="1" applyAlignment="1">
      <alignment horizontal="center" vertical="center" wrapText="1"/>
    </xf>
    <xf numFmtId="178" fontId="16" fillId="0" borderId="5" xfId="83" applyNumberFormat="1" applyFont="1" applyFill="1" applyBorder="1" applyAlignment="1">
      <alignment horizontal="center" vertical="center" wrapText="1"/>
    </xf>
    <xf numFmtId="49" fontId="6" fillId="0" borderId="18" xfId="83" applyNumberFormat="1" applyFont="1" applyFill="1" applyBorder="1" applyAlignment="1">
      <alignment horizontal="center" vertical="center"/>
    </xf>
    <xf numFmtId="0" fontId="6" fillId="0" borderId="23" xfId="83" applyFont="1" applyFill="1" applyBorder="1" applyAlignment="1">
      <alignment horizontal="center" vertical="center"/>
    </xf>
    <xf numFmtId="185" fontId="17" fillId="0" borderId="5" xfId="83" applyNumberFormat="1" applyFont="1" applyFill="1" applyBorder="1" applyAlignment="1">
      <alignment horizontal="center" vertical="center" wrapText="1"/>
    </xf>
    <xf numFmtId="186" fontId="17" fillId="0" borderId="5" xfId="83" applyNumberFormat="1" applyFont="1" applyFill="1" applyBorder="1" applyAlignment="1">
      <alignment horizontal="center" vertical="center" wrapText="1"/>
    </xf>
    <xf numFmtId="49" fontId="6" fillId="0" borderId="19" xfId="83" applyNumberFormat="1" applyFont="1" applyFill="1" applyBorder="1" applyAlignment="1">
      <alignment horizontal="center" vertical="center"/>
    </xf>
    <xf numFmtId="176" fontId="17" fillId="0" borderId="5" xfId="83" applyNumberFormat="1" applyFont="1" applyFill="1" applyBorder="1" applyAlignment="1">
      <alignment horizontal="center" vertical="center" wrapText="1"/>
    </xf>
    <xf numFmtId="49" fontId="6" fillId="0" borderId="7" xfId="83" applyNumberFormat="1" applyFont="1" applyFill="1" applyBorder="1" applyAlignment="1">
      <alignment horizontal="center" vertical="center"/>
    </xf>
    <xf numFmtId="0" fontId="6" fillId="0" borderId="5" xfId="83" applyFont="1" applyFill="1" applyBorder="1" applyAlignment="1">
      <alignment horizontal="center" vertical="center"/>
    </xf>
    <xf numFmtId="0" fontId="6" fillId="0" borderId="4" xfId="83" applyFont="1" applyFill="1" applyBorder="1" applyAlignment="1">
      <alignment horizontal="center" vertical="center"/>
    </xf>
    <xf numFmtId="0" fontId="6" fillId="0" borderId="25" xfId="83" applyFont="1" applyFill="1" applyBorder="1" applyAlignment="1">
      <alignment horizontal="center" vertical="center"/>
    </xf>
    <xf numFmtId="177" fontId="17" fillId="0" borderId="5" xfId="83" applyNumberFormat="1" applyFont="1" applyFill="1" applyBorder="1" applyAlignment="1">
      <alignment horizontal="center" vertical="center" wrapText="1"/>
    </xf>
    <xf numFmtId="0" fontId="6" fillId="0" borderId="20" xfId="83" applyFont="1" applyFill="1" applyBorder="1" applyAlignment="1">
      <alignment horizontal="center" vertical="center"/>
    </xf>
    <xf numFmtId="0" fontId="6" fillId="0" borderId="28" xfId="83" applyFont="1" applyFill="1" applyBorder="1" applyAlignment="1">
      <alignment horizontal="center" vertical="center"/>
    </xf>
    <xf numFmtId="185" fontId="17" fillId="0" borderId="21" xfId="83" applyNumberFormat="1" applyFont="1" applyFill="1" applyBorder="1" applyAlignment="1">
      <alignment horizontal="center" vertical="center" wrapText="1"/>
    </xf>
    <xf numFmtId="186" fontId="17" fillId="0" borderId="21" xfId="83" applyNumberFormat="1" applyFont="1" applyFill="1" applyBorder="1" applyAlignment="1">
      <alignment horizontal="center" vertical="center" wrapText="1"/>
    </xf>
    <xf numFmtId="176" fontId="17" fillId="0" borderId="21" xfId="83" applyNumberFormat="1" applyFont="1" applyFill="1" applyBorder="1" applyAlignment="1">
      <alignment horizontal="center" vertical="center" wrapText="1"/>
    </xf>
    <xf numFmtId="0" fontId="13" fillId="0" borderId="0" xfId="76" applyFont="1" applyFill="1" applyBorder="1" applyAlignment="1">
      <alignment horizontal="left" vertical="center" wrapText="1"/>
    </xf>
    <xf numFmtId="0" fontId="13" fillId="0" borderId="0" xfId="76" applyFont="1" applyFill="1" applyAlignment="1">
      <alignment vertical="top" wrapText="1"/>
    </xf>
    <xf numFmtId="11" fontId="0" fillId="0" borderId="0" xfId="0" applyNumberFormat="1" applyAlignment="1">
      <alignment vertical="center"/>
    </xf>
    <xf numFmtId="11" fontId="18" fillId="0" borderId="0" xfId="0" applyNumberFormat="1" applyFont="1" applyAlignment="1">
      <alignment vertical="center"/>
    </xf>
    <xf numFmtId="187" fontId="9" fillId="0" borderId="0" xfId="0" applyNumberFormat="1" applyFont="1" applyBorder="1" applyAlignment="1">
      <alignment horizontal="left" vertical="center"/>
    </xf>
    <xf numFmtId="187" fontId="19" fillId="0" borderId="0" xfId="0" applyNumberFormat="1" applyFont="1" applyAlignment="1">
      <alignment vertical="center"/>
    </xf>
    <xf numFmtId="178" fontId="9" fillId="0" borderId="0" xfId="0" applyNumberFormat="1" applyFont="1" applyBorder="1" applyAlignment="1">
      <alignment horizontal="center" vertical="center"/>
    </xf>
    <xf numFmtId="178" fontId="13" fillId="0" borderId="0" xfId="76" applyNumberFormat="1" applyFont="1" applyFill="1" applyAlignment="1">
      <alignment horizontal="center" vertical="center"/>
    </xf>
    <xf numFmtId="11" fontId="19" fillId="0" borderId="0" xfId="0" applyNumberFormat="1" applyFont="1" applyBorder="1" applyAlignment="1">
      <alignment vertical="center"/>
    </xf>
    <xf numFmtId="0" fontId="14" fillId="0" borderId="0" xfId="76" applyFont="1" applyFill="1" applyBorder="1" applyAlignment="1">
      <alignment vertical="center"/>
    </xf>
    <xf numFmtId="188" fontId="13" fillId="0" borderId="0" xfId="76" applyNumberFormat="1" applyFont="1" applyFill="1" applyAlignment="1">
      <alignment horizontal="center" vertical="center"/>
    </xf>
    <xf numFmtId="0" fontId="15" fillId="0" borderId="2" xfId="76" applyFont="1" applyFill="1" applyBorder="1" applyAlignment="1">
      <alignment horizontal="center" vertical="center"/>
    </xf>
    <xf numFmtId="0" fontId="15" fillId="0" borderId="3" xfId="76" applyFont="1" applyFill="1" applyBorder="1" applyAlignment="1">
      <alignment horizontal="center" vertical="center"/>
    </xf>
    <xf numFmtId="0" fontId="15" fillId="0" borderId="5" xfId="76" applyFont="1" applyFill="1" applyBorder="1" applyAlignment="1">
      <alignment horizontal="center" vertical="center"/>
    </xf>
    <xf numFmtId="0" fontId="15" fillId="0" borderId="6" xfId="76" applyFont="1" applyFill="1" applyBorder="1" applyAlignment="1">
      <alignment horizontal="center" vertical="center"/>
    </xf>
    <xf numFmtId="189" fontId="6" fillId="0" borderId="5" xfId="76" applyNumberFormat="1" applyFont="1" applyFill="1" applyBorder="1" applyAlignment="1">
      <alignment horizontal="center" vertical="center"/>
    </xf>
    <xf numFmtId="184" fontId="6" fillId="0" borderId="6" xfId="76" applyNumberFormat="1" applyFont="1" applyFill="1" applyBorder="1" applyAlignment="1">
      <alignment horizontal="center" vertical="center"/>
    </xf>
    <xf numFmtId="183" fontId="6" fillId="0" borderId="5" xfId="76" applyNumberFormat="1" applyFont="1" applyFill="1" applyBorder="1" applyAlignment="1">
      <alignment horizontal="center" vertical="center"/>
    </xf>
    <xf numFmtId="190" fontId="6" fillId="0" borderId="6" xfId="76" applyNumberFormat="1" applyFont="1" applyFill="1" applyBorder="1" applyAlignment="1">
      <alignment horizontal="center" vertical="center"/>
    </xf>
    <xf numFmtId="191" fontId="6" fillId="0" borderId="5" xfId="76" applyNumberFormat="1" applyFont="1" applyFill="1" applyBorder="1" applyAlignment="1">
      <alignment horizontal="center" vertical="center"/>
    </xf>
    <xf numFmtId="0" fontId="6" fillId="0" borderId="5" xfId="76" applyFont="1" applyFill="1" applyBorder="1" applyAlignment="1">
      <alignment horizontal="center" vertical="center"/>
    </xf>
    <xf numFmtId="177" fontId="6" fillId="0" borderId="5" xfId="76" applyNumberFormat="1" applyFont="1" applyFill="1" applyBorder="1" applyAlignment="1">
      <alignment horizontal="center" vertical="center"/>
    </xf>
    <xf numFmtId="178" fontId="6" fillId="0" borderId="6" xfId="76" applyNumberFormat="1" applyFont="1" applyFill="1" applyBorder="1" applyAlignment="1">
      <alignment horizontal="center" vertical="center"/>
    </xf>
    <xf numFmtId="177" fontId="6" fillId="0" borderId="21" xfId="76" applyNumberFormat="1" applyFont="1" applyFill="1" applyBorder="1" applyAlignment="1">
      <alignment horizontal="center" vertical="center"/>
    </xf>
    <xf numFmtId="179" fontId="6" fillId="0" borderId="22" xfId="76" applyNumberFormat="1" applyFont="1" applyFill="1" applyBorder="1" applyAlignment="1">
      <alignment horizontal="center" vertical="center"/>
    </xf>
    <xf numFmtId="11" fontId="0" fillId="0" borderId="0" xfId="0" applyNumberFormat="1" applyBorder="1"/>
    <xf numFmtId="187" fontId="13" fillId="0" borderId="0" xfId="76" applyNumberFormat="1" applyFont="1" applyFill="1" applyAlignment="1">
      <alignment horizontal="center" vertical="center"/>
    </xf>
    <xf numFmtId="0" fontId="1" fillId="0" borderId="0" xfId="70" applyFont="1" applyFill="1" applyBorder="1" applyAlignment="1">
      <alignment horizontal="left" vertical="center"/>
    </xf>
    <xf numFmtId="0" fontId="7" fillId="0" borderId="0" xfId="73" applyFont="1" applyAlignment="1">
      <alignment vertical="center"/>
    </xf>
    <xf numFmtId="0" fontId="20" fillId="0" borderId="9" xfId="61" applyFont="1" applyFill="1" applyBorder="1" applyAlignment="1">
      <alignment horizontal="center" vertical="center" wrapText="1"/>
    </xf>
    <xf numFmtId="0" fontId="21" fillId="0" borderId="5" xfId="61" applyFont="1" applyFill="1" applyBorder="1" applyAlignment="1">
      <alignment horizontal="left" vertical="center" wrapText="1"/>
    </xf>
    <xf numFmtId="0" fontId="2" fillId="0" borderId="5" xfId="0" applyFont="1" applyFill="1" applyBorder="1" applyAlignment="1">
      <alignment horizontal="left" vertical="center" wrapText="1"/>
    </xf>
    <xf numFmtId="0" fontId="2" fillId="0" borderId="5" xfId="61" applyFont="1" applyFill="1" applyBorder="1" applyAlignment="1">
      <alignment horizontal="left" vertical="center" wrapText="1"/>
    </xf>
    <xf numFmtId="0" fontId="22" fillId="0" borderId="5" xfId="62" applyFont="1" applyFill="1" applyBorder="1" applyAlignment="1">
      <alignment horizontal="left" vertical="center" wrapText="1"/>
    </xf>
    <xf numFmtId="0" fontId="2" fillId="0" borderId="5" xfId="78" applyFont="1" applyFill="1" applyBorder="1" applyAlignment="1">
      <alignment horizontal="left" vertical="center"/>
    </xf>
    <xf numFmtId="14" fontId="2" fillId="0" borderId="5" xfId="61" applyNumberFormat="1" applyFont="1" applyFill="1" applyBorder="1" applyAlignment="1">
      <alignment horizontal="left" vertical="center" wrapText="1"/>
    </xf>
    <xf numFmtId="0" fontId="2" fillId="3" borderId="5" xfId="78" applyFont="1" applyFill="1" applyBorder="1" applyAlignment="1">
      <alignment horizontal="left" vertical="center"/>
    </xf>
    <xf numFmtId="0" fontId="2" fillId="0" borderId="5" xfId="61" applyFont="1" applyBorder="1" applyAlignment="1">
      <alignment horizontal="left" vertical="center" wrapText="1"/>
    </xf>
    <xf numFmtId="0" fontId="1" fillId="0" borderId="0" xfId="70" applyFont="1" applyFill="1" applyBorder="1" applyAlignment="1">
      <alignment horizontal="left" vertical="top" wrapText="1"/>
    </xf>
    <xf numFmtId="192" fontId="2" fillId="0" borderId="0" xfId="0" applyNumberFormat="1" applyFont="1" applyFill="1" applyBorder="1" applyAlignment="1">
      <alignment horizontal="center" vertical="top" wrapText="1"/>
    </xf>
  </cellXfs>
  <cellStyles count="8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10" xfId="49"/>
    <cellStyle name="Normal 31" xfId="50"/>
    <cellStyle name="Style 1" xfId="51"/>
    <cellStyle name="常规 11" xfId="52"/>
    <cellStyle name="常规 11 2" xfId="53"/>
    <cellStyle name="常规 11 3" xfId="54"/>
    <cellStyle name="常规 12" xfId="55"/>
    <cellStyle name="常规 12 2" xfId="56"/>
    <cellStyle name="常规 12 3" xfId="57"/>
    <cellStyle name="常规 16" xfId="58"/>
    <cellStyle name="常规 2" xfId="59"/>
    <cellStyle name="常规 2 10 4" xfId="60"/>
    <cellStyle name="常规 2 2" xfId="61"/>
    <cellStyle name="常规 2 2 2" xfId="62"/>
    <cellStyle name="常规 2 3" xfId="63"/>
    <cellStyle name="常规 2 3 9" xfId="64"/>
    <cellStyle name="常规 20" xfId="65"/>
    <cellStyle name="常规 20 2" xfId="66"/>
    <cellStyle name="常规 21" xfId="67"/>
    <cellStyle name="常规 21 2" xfId="68"/>
    <cellStyle name="常规 25" xfId="69"/>
    <cellStyle name="常规 3 2 2" xfId="70"/>
    <cellStyle name="常规 3 2 2 2" xfId="71"/>
    <cellStyle name="常规 3 2 2 2 2" xfId="72"/>
    <cellStyle name="常规 4 2 2 2" xfId="73"/>
    <cellStyle name="常规 4 2 2 2 2" xfId="74"/>
    <cellStyle name="常规 4 2 2 2 3" xfId="75"/>
    <cellStyle name="常规 4 4" xfId="76"/>
    <cellStyle name="常规 4 4 2" xfId="77"/>
    <cellStyle name="常规 5" xfId="78"/>
    <cellStyle name="常规 6 2" xfId="79"/>
    <cellStyle name="常规 7" xfId="80"/>
    <cellStyle name="常规 7 2" xfId="81"/>
    <cellStyle name="常规 7 3" xfId="82"/>
    <cellStyle name="常规_ADME-KWK-LM-W020" xfId="83"/>
    <cellStyle name="常规_GSK-20101124-PPB report 2010-Dec-12 (3)" xfId="84"/>
    <cellStyle name="常规_副本bioanalysis record template" xfId="85"/>
  </cellStyles>
  <dxfs count="1">
    <dxf>
      <font>
        <color rgb="FF9C0006"/>
      </font>
      <fill>
        <patternFill patternType="solid">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customXml" Target="../customXml/item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9" Type="http://schemas.openxmlformats.org/officeDocument/2006/relationships/image" Target="../media/image11.png"/><Relationship Id="rId8" Type="http://schemas.openxmlformats.org/officeDocument/2006/relationships/image" Target="../media/image10.png"/><Relationship Id="rId7" Type="http://schemas.openxmlformats.org/officeDocument/2006/relationships/image" Target="../media/image9.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 Id="rId3" Type="http://schemas.openxmlformats.org/officeDocument/2006/relationships/image" Target="../media/image5.png"/><Relationship Id="rId2" Type="http://schemas.openxmlformats.org/officeDocument/2006/relationships/image" Target="../media/image4.png"/><Relationship Id="rId10" Type="http://schemas.openxmlformats.org/officeDocument/2006/relationships/image" Target="../media/image12.png"/><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152400</xdr:colOff>
      <xdr:row>0</xdr:row>
      <xdr:rowOff>0</xdr:rowOff>
    </xdr:from>
    <xdr:to>
      <xdr:col>0</xdr:col>
      <xdr:colOff>619125</xdr:colOff>
      <xdr:row>1</xdr:row>
      <xdr:rowOff>43815</xdr:rowOff>
    </xdr:to>
    <xdr:pic>
      <xdr:nvPicPr>
        <xdr:cNvPr id="4" name="图片 3" descr="logo-01"/>
        <xdr:cNvPicPr/>
      </xdr:nvPicPr>
      <xdr:blipFill>
        <a:blip r:embed="rId1"/>
        <a:srcRect/>
        <a:stretch>
          <a:fillRect/>
        </a:stretch>
      </xdr:blipFill>
      <xdr:spPr>
        <a:xfrm>
          <a:off x="152400" y="0"/>
          <a:ext cx="466725" cy="52768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504825</xdr:colOff>
      <xdr:row>12</xdr:row>
      <xdr:rowOff>47627</xdr:rowOff>
    </xdr:from>
    <xdr:to>
      <xdr:col>2</xdr:col>
      <xdr:colOff>573496</xdr:colOff>
      <xdr:row>12</xdr:row>
      <xdr:rowOff>323850</xdr:rowOff>
    </xdr:to>
    <xdr:pic>
      <xdr:nvPicPr>
        <xdr:cNvPr id="2" name="图片 1" descr="未命名"/>
        <xdr:cNvPicPr>
          <a:picLocks noChangeAspect="1" noChangeArrowheads="1"/>
        </xdr:cNvPicPr>
      </xdr:nvPicPr>
      <xdr:blipFill>
        <a:blip r:embed="rId1" cstate="print"/>
        <a:srcRect/>
        <a:stretch>
          <a:fillRect/>
        </a:stretch>
      </xdr:blipFill>
      <xdr:spPr>
        <a:xfrm>
          <a:off x="2329815" y="3763010"/>
          <a:ext cx="1893570" cy="27622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8</xdr:col>
      <xdr:colOff>114301</xdr:colOff>
      <xdr:row>15</xdr:row>
      <xdr:rowOff>125739</xdr:rowOff>
    </xdr:from>
    <xdr:to>
      <xdr:col>12</xdr:col>
      <xdr:colOff>121921</xdr:colOff>
      <xdr:row>27</xdr:row>
      <xdr:rowOff>1743</xdr:rowOff>
    </xdr:to>
    <xdr:pic>
      <xdr:nvPicPr>
        <xdr:cNvPr id="3" name="图片 2"/>
        <xdr:cNvPicPr>
          <a:picLocks noChangeAspect="1"/>
        </xdr:cNvPicPr>
      </xdr:nvPicPr>
      <xdr:blipFill>
        <a:blip r:embed="rId1"/>
        <a:stretch>
          <a:fillRect/>
        </a:stretch>
      </xdr:blipFill>
      <xdr:spPr>
        <a:xfrm>
          <a:off x="8173085" y="3008630"/>
          <a:ext cx="3282315" cy="2009140"/>
        </a:xfrm>
        <a:prstGeom prst="rect">
          <a:avLst/>
        </a:prstGeom>
      </xdr:spPr>
    </xdr:pic>
    <xdr:clientData/>
  </xdr:twoCellAnchor>
  <xdr:twoCellAnchor editAs="oneCell">
    <xdr:from>
      <xdr:col>8</xdr:col>
      <xdr:colOff>144781</xdr:colOff>
      <xdr:row>3</xdr:row>
      <xdr:rowOff>148103</xdr:rowOff>
    </xdr:from>
    <xdr:to>
      <xdr:col>12</xdr:col>
      <xdr:colOff>7621</xdr:colOff>
      <xdr:row>14</xdr:row>
      <xdr:rowOff>114203</xdr:rowOff>
    </xdr:to>
    <xdr:pic>
      <xdr:nvPicPr>
        <xdr:cNvPr id="6" name="图片 5"/>
        <xdr:cNvPicPr>
          <a:picLocks noChangeAspect="1"/>
        </xdr:cNvPicPr>
      </xdr:nvPicPr>
      <xdr:blipFill>
        <a:blip r:embed="rId2"/>
        <a:stretch>
          <a:fillRect/>
        </a:stretch>
      </xdr:blipFill>
      <xdr:spPr>
        <a:xfrm>
          <a:off x="8203565" y="897255"/>
          <a:ext cx="3137535" cy="1921510"/>
        </a:xfrm>
        <a:prstGeom prst="rect">
          <a:avLst/>
        </a:prstGeom>
      </xdr:spPr>
    </xdr:pic>
    <xdr:clientData/>
  </xdr:twoCellAnchor>
  <xdr:twoCellAnchor editAs="oneCell">
    <xdr:from>
      <xdr:col>8</xdr:col>
      <xdr:colOff>15240</xdr:colOff>
      <xdr:row>39</xdr:row>
      <xdr:rowOff>43848</xdr:rowOff>
    </xdr:from>
    <xdr:to>
      <xdr:col>12</xdr:col>
      <xdr:colOff>56728</xdr:colOff>
      <xdr:row>49</xdr:row>
      <xdr:rowOff>103829</xdr:rowOff>
    </xdr:to>
    <xdr:pic>
      <xdr:nvPicPr>
        <xdr:cNvPr id="14" name="图片 13"/>
        <xdr:cNvPicPr>
          <a:picLocks noChangeAspect="1"/>
        </xdr:cNvPicPr>
      </xdr:nvPicPr>
      <xdr:blipFill>
        <a:blip r:embed="rId3"/>
        <a:stretch>
          <a:fillRect/>
        </a:stretch>
      </xdr:blipFill>
      <xdr:spPr>
        <a:xfrm>
          <a:off x="8074025" y="7193915"/>
          <a:ext cx="3315970" cy="1837690"/>
        </a:xfrm>
        <a:prstGeom prst="rect">
          <a:avLst/>
        </a:prstGeom>
      </xdr:spPr>
    </xdr:pic>
    <xdr:clientData/>
  </xdr:twoCellAnchor>
  <xdr:twoCellAnchor editAs="oneCell">
    <xdr:from>
      <xdr:col>8</xdr:col>
      <xdr:colOff>15240</xdr:colOff>
      <xdr:row>51</xdr:row>
      <xdr:rowOff>7621</xdr:rowOff>
    </xdr:from>
    <xdr:to>
      <xdr:col>12</xdr:col>
      <xdr:colOff>44520</xdr:colOff>
      <xdr:row>61</xdr:row>
      <xdr:rowOff>35247</xdr:rowOff>
    </xdr:to>
    <xdr:pic>
      <xdr:nvPicPr>
        <xdr:cNvPr id="15" name="图片 14"/>
        <xdr:cNvPicPr>
          <a:picLocks noChangeAspect="1"/>
        </xdr:cNvPicPr>
      </xdr:nvPicPr>
      <xdr:blipFill>
        <a:blip r:embed="rId4"/>
        <a:stretch>
          <a:fillRect/>
        </a:stretch>
      </xdr:blipFill>
      <xdr:spPr>
        <a:xfrm>
          <a:off x="8074025" y="9291320"/>
          <a:ext cx="3303905" cy="1805305"/>
        </a:xfrm>
        <a:prstGeom prst="rect">
          <a:avLst/>
        </a:prstGeom>
      </xdr:spPr>
    </xdr:pic>
    <xdr:clientData/>
  </xdr:twoCellAnchor>
  <xdr:twoCellAnchor editAs="oneCell">
    <xdr:from>
      <xdr:col>8</xdr:col>
      <xdr:colOff>76200</xdr:colOff>
      <xdr:row>27</xdr:row>
      <xdr:rowOff>83528</xdr:rowOff>
    </xdr:from>
    <xdr:to>
      <xdr:col>12</xdr:col>
      <xdr:colOff>167640</xdr:colOff>
      <xdr:row>37</xdr:row>
      <xdr:rowOff>172409</xdr:rowOff>
    </xdr:to>
    <xdr:pic>
      <xdr:nvPicPr>
        <xdr:cNvPr id="16" name="图片 15"/>
        <xdr:cNvPicPr>
          <a:picLocks noChangeAspect="1"/>
        </xdr:cNvPicPr>
      </xdr:nvPicPr>
      <xdr:blipFill>
        <a:blip r:embed="rId5"/>
        <a:stretch>
          <a:fillRect/>
        </a:stretch>
      </xdr:blipFill>
      <xdr:spPr>
        <a:xfrm>
          <a:off x="8134985" y="5099685"/>
          <a:ext cx="3366135" cy="1866900"/>
        </a:xfrm>
        <a:prstGeom prst="rect">
          <a:avLst/>
        </a:prstGeom>
      </xdr:spPr>
    </xdr:pic>
    <xdr:clientData/>
  </xdr:twoCellAnchor>
  <xdr:twoCellAnchor editAs="oneCell">
    <xdr:from>
      <xdr:col>12</xdr:col>
      <xdr:colOff>160020</xdr:colOff>
      <xdr:row>15</xdr:row>
      <xdr:rowOff>84333</xdr:rowOff>
    </xdr:from>
    <xdr:to>
      <xdr:col>15</xdr:col>
      <xdr:colOff>445345</xdr:colOff>
      <xdr:row>26</xdr:row>
      <xdr:rowOff>170933</xdr:rowOff>
    </xdr:to>
    <xdr:pic>
      <xdr:nvPicPr>
        <xdr:cNvPr id="17" name="图片 16"/>
        <xdr:cNvPicPr>
          <a:picLocks noChangeAspect="1"/>
        </xdr:cNvPicPr>
      </xdr:nvPicPr>
      <xdr:blipFill>
        <a:blip r:embed="rId6"/>
        <a:stretch>
          <a:fillRect/>
        </a:stretch>
      </xdr:blipFill>
      <xdr:spPr>
        <a:xfrm>
          <a:off x="11493500" y="2966720"/>
          <a:ext cx="2931160" cy="2042795"/>
        </a:xfrm>
        <a:prstGeom prst="rect">
          <a:avLst/>
        </a:prstGeom>
      </xdr:spPr>
    </xdr:pic>
    <xdr:clientData/>
  </xdr:twoCellAnchor>
  <xdr:twoCellAnchor editAs="oneCell">
    <xdr:from>
      <xdr:col>12</xdr:col>
      <xdr:colOff>205740</xdr:colOff>
      <xdr:row>27</xdr:row>
      <xdr:rowOff>78285</xdr:rowOff>
    </xdr:from>
    <xdr:to>
      <xdr:col>15</xdr:col>
      <xdr:colOff>830982</xdr:colOff>
      <xdr:row>38</xdr:row>
      <xdr:rowOff>73401</xdr:rowOff>
    </xdr:to>
    <xdr:pic>
      <xdr:nvPicPr>
        <xdr:cNvPr id="18" name="图片 17"/>
        <xdr:cNvPicPr>
          <a:picLocks noChangeAspect="1"/>
        </xdr:cNvPicPr>
      </xdr:nvPicPr>
      <xdr:blipFill>
        <a:blip r:embed="rId7"/>
        <a:stretch>
          <a:fillRect/>
        </a:stretch>
      </xdr:blipFill>
      <xdr:spPr>
        <a:xfrm>
          <a:off x="11539220" y="5094605"/>
          <a:ext cx="3270885" cy="1950720"/>
        </a:xfrm>
        <a:prstGeom prst="rect">
          <a:avLst/>
        </a:prstGeom>
      </xdr:spPr>
    </xdr:pic>
    <xdr:clientData/>
  </xdr:twoCellAnchor>
  <xdr:twoCellAnchor editAs="oneCell">
    <xdr:from>
      <xdr:col>12</xdr:col>
      <xdr:colOff>68580</xdr:colOff>
      <xdr:row>50</xdr:row>
      <xdr:rowOff>168847</xdr:rowOff>
    </xdr:from>
    <xdr:to>
      <xdr:col>15</xdr:col>
      <xdr:colOff>184744</xdr:colOff>
      <xdr:row>61</xdr:row>
      <xdr:rowOff>55101</xdr:rowOff>
    </xdr:to>
    <xdr:pic>
      <xdr:nvPicPr>
        <xdr:cNvPr id="19" name="图片 18"/>
        <xdr:cNvPicPr>
          <a:picLocks noChangeAspect="1"/>
        </xdr:cNvPicPr>
      </xdr:nvPicPr>
      <xdr:blipFill>
        <a:blip r:embed="rId8"/>
        <a:stretch>
          <a:fillRect/>
        </a:stretch>
      </xdr:blipFill>
      <xdr:spPr>
        <a:xfrm>
          <a:off x="11402060" y="9274175"/>
          <a:ext cx="2761615" cy="1842135"/>
        </a:xfrm>
        <a:prstGeom prst="rect">
          <a:avLst/>
        </a:prstGeom>
      </xdr:spPr>
    </xdr:pic>
    <xdr:clientData/>
  </xdr:twoCellAnchor>
  <xdr:twoCellAnchor editAs="oneCell">
    <xdr:from>
      <xdr:col>12</xdr:col>
      <xdr:colOff>76201</xdr:colOff>
      <xdr:row>3</xdr:row>
      <xdr:rowOff>166907</xdr:rowOff>
    </xdr:from>
    <xdr:to>
      <xdr:col>15</xdr:col>
      <xdr:colOff>205741</xdr:colOff>
      <xdr:row>14</xdr:row>
      <xdr:rowOff>140452</xdr:rowOff>
    </xdr:to>
    <xdr:pic>
      <xdr:nvPicPr>
        <xdr:cNvPr id="20" name="图片 19"/>
        <xdr:cNvPicPr>
          <a:picLocks noChangeAspect="1"/>
        </xdr:cNvPicPr>
      </xdr:nvPicPr>
      <xdr:blipFill>
        <a:blip r:embed="rId9"/>
        <a:stretch>
          <a:fillRect/>
        </a:stretch>
      </xdr:blipFill>
      <xdr:spPr>
        <a:xfrm>
          <a:off x="11409680" y="915670"/>
          <a:ext cx="2775585" cy="1929765"/>
        </a:xfrm>
        <a:prstGeom prst="rect">
          <a:avLst/>
        </a:prstGeom>
      </xdr:spPr>
    </xdr:pic>
    <xdr:clientData/>
  </xdr:twoCellAnchor>
  <xdr:twoCellAnchor editAs="oneCell">
    <xdr:from>
      <xdr:col>12</xdr:col>
      <xdr:colOff>121920</xdr:colOff>
      <xdr:row>38</xdr:row>
      <xdr:rowOff>173180</xdr:rowOff>
    </xdr:from>
    <xdr:to>
      <xdr:col>15</xdr:col>
      <xdr:colOff>411821</xdr:colOff>
      <xdr:row>50</xdr:row>
      <xdr:rowOff>17004</xdr:rowOff>
    </xdr:to>
    <xdr:pic>
      <xdr:nvPicPr>
        <xdr:cNvPr id="2" name="图片 1"/>
        <xdr:cNvPicPr>
          <a:picLocks noChangeAspect="1"/>
        </xdr:cNvPicPr>
      </xdr:nvPicPr>
      <xdr:blipFill>
        <a:blip r:embed="rId10"/>
        <a:stretch>
          <a:fillRect/>
        </a:stretch>
      </xdr:blipFill>
      <xdr:spPr>
        <a:xfrm>
          <a:off x="11455400" y="7145020"/>
          <a:ext cx="2935605" cy="197739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2</xdr:col>
      <xdr:colOff>0</xdr:colOff>
      <xdr:row>1</xdr:row>
      <xdr:rowOff>0</xdr:rowOff>
    </xdr:from>
    <xdr:ext cx="0" cy="172227"/>
    <xdr:sp>
      <xdr:nvSpPr>
        <xdr:cNvPr id="2" name="TextBox 1"/>
        <xdr:cNvSpPr txBox="1"/>
      </xdr:nvSpPr>
      <xdr:spPr>
        <a:xfrm>
          <a:off x="1929765" y="58356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1</xdr:row>
      <xdr:rowOff>0</xdr:rowOff>
    </xdr:from>
    <xdr:ext cx="0" cy="172227"/>
    <xdr:sp>
      <xdr:nvSpPr>
        <xdr:cNvPr id="3" name="TextBox 1"/>
        <xdr:cNvSpPr txBox="1"/>
      </xdr:nvSpPr>
      <xdr:spPr>
        <a:xfrm>
          <a:off x="8085455" y="58356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1</xdr:row>
      <xdr:rowOff>0</xdr:rowOff>
    </xdr:from>
    <xdr:ext cx="0" cy="172227"/>
    <xdr:sp>
      <xdr:nvSpPr>
        <xdr:cNvPr id="4" name="TextBox 1"/>
        <xdr:cNvSpPr txBox="1"/>
      </xdr:nvSpPr>
      <xdr:spPr>
        <a:xfrm>
          <a:off x="8085455" y="58356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1</xdr:row>
      <xdr:rowOff>0</xdr:rowOff>
    </xdr:from>
    <xdr:ext cx="0" cy="172227"/>
    <xdr:sp>
      <xdr:nvSpPr>
        <xdr:cNvPr id="5" name="TextBox 1"/>
        <xdr:cNvSpPr txBox="1"/>
      </xdr:nvSpPr>
      <xdr:spPr>
        <a:xfrm>
          <a:off x="1929765" y="58356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1</xdr:row>
      <xdr:rowOff>0</xdr:rowOff>
    </xdr:from>
    <xdr:ext cx="0" cy="172227"/>
    <xdr:sp>
      <xdr:nvSpPr>
        <xdr:cNvPr id="6" name="TextBox 1"/>
        <xdr:cNvSpPr txBox="1"/>
      </xdr:nvSpPr>
      <xdr:spPr>
        <a:xfrm>
          <a:off x="1929765" y="58356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1</xdr:row>
      <xdr:rowOff>0</xdr:rowOff>
    </xdr:from>
    <xdr:ext cx="0" cy="172227"/>
    <xdr:sp>
      <xdr:nvSpPr>
        <xdr:cNvPr id="7" name="TextBox 1"/>
        <xdr:cNvSpPr txBox="1"/>
      </xdr:nvSpPr>
      <xdr:spPr>
        <a:xfrm>
          <a:off x="8085455" y="58356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1</xdr:row>
      <xdr:rowOff>0</xdr:rowOff>
    </xdr:from>
    <xdr:ext cx="0" cy="172227"/>
    <xdr:sp>
      <xdr:nvSpPr>
        <xdr:cNvPr id="8" name="TextBox 1"/>
        <xdr:cNvSpPr txBox="1"/>
      </xdr:nvSpPr>
      <xdr:spPr>
        <a:xfrm>
          <a:off x="8085455" y="58356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1</xdr:row>
      <xdr:rowOff>0</xdr:rowOff>
    </xdr:from>
    <xdr:ext cx="0" cy="172227"/>
    <xdr:sp>
      <xdr:nvSpPr>
        <xdr:cNvPr id="9" name="TextBox 1"/>
        <xdr:cNvSpPr txBox="1"/>
      </xdr:nvSpPr>
      <xdr:spPr>
        <a:xfrm>
          <a:off x="8085455" y="58356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1</xdr:row>
      <xdr:rowOff>0</xdr:rowOff>
    </xdr:from>
    <xdr:ext cx="0" cy="172227"/>
    <xdr:sp>
      <xdr:nvSpPr>
        <xdr:cNvPr id="10" name="TextBox 1"/>
        <xdr:cNvSpPr txBox="1"/>
      </xdr:nvSpPr>
      <xdr:spPr>
        <a:xfrm>
          <a:off x="8085455" y="58356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25</xdr:row>
      <xdr:rowOff>0</xdr:rowOff>
    </xdr:from>
    <xdr:ext cx="0" cy="172227"/>
    <xdr:sp>
      <xdr:nvSpPr>
        <xdr:cNvPr id="11" name="TextBox 1"/>
        <xdr:cNvSpPr txBox="1"/>
      </xdr:nvSpPr>
      <xdr:spPr>
        <a:xfrm>
          <a:off x="1929765" y="587629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25</xdr:row>
      <xdr:rowOff>0</xdr:rowOff>
    </xdr:from>
    <xdr:ext cx="0" cy="172227"/>
    <xdr:sp>
      <xdr:nvSpPr>
        <xdr:cNvPr id="12" name="TextBox 1"/>
        <xdr:cNvSpPr txBox="1"/>
      </xdr:nvSpPr>
      <xdr:spPr>
        <a:xfrm>
          <a:off x="1929765" y="587629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25</xdr:row>
      <xdr:rowOff>0</xdr:rowOff>
    </xdr:from>
    <xdr:ext cx="0" cy="172227"/>
    <xdr:sp>
      <xdr:nvSpPr>
        <xdr:cNvPr id="13" name="TextBox 1"/>
        <xdr:cNvSpPr txBox="1"/>
      </xdr:nvSpPr>
      <xdr:spPr>
        <a:xfrm>
          <a:off x="1929765" y="587629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4" name="TextBox 1"/>
        <xdr:cNvSpPr txBox="1"/>
      </xdr:nvSpPr>
      <xdr:spPr>
        <a:xfrm>
          <a:off x="8085455" y="587629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5" name="TextBox 1"/>
        <xdr:cNvSpPr txBox="1"/>
      </xdr:nvSpPr>
      <xdr:spPr>
        <a:xfrm>
          <a:off x="8085455" y="587629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xdr:nvSpPr>
        <xdr:cNvPr id="16" name="TextBox 1"/>
        <xdr:cNvSpPr txBox="1"/>
      </xdr:nvSpPr>
      <xdr:spPr>
        <a:xfrm>
          <a:off x="8085455" y="587629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26</xdr:row>
      <xdr:rowOff>0</xdr:rowOff>
    </xdr:from>
    <xdr:ext cx="0" cy="172227"/>
    <xdr:sp>
      <xdr:nvSpPr>
        <xdr:cNvPr id="17" name="TextBox 1"/>
        <xdr:cNvSpPr txBox="1"/>
      </xdr:nvSpPr>
      <xdr:spPr>
        <a:xfrm>
          <a:off x="1929765" y="606361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26</xdr:row>
      <xdr:rowOff>0</xdr:rowOff>
    </xdr:from>
    <xdr:ext cx="0" cy="172227"/>
    <xdr:sp>
      <xdr:nvSpPr>
        <xdr:cNvPr id="18" name="TextBox 1"/>
        <xdr:cNvSpPr txBox="1"/>
      </xdr:nvSpPr>
      <xdr:spPr>
        <a:xfrm>
          <a:off x="1929765" y="606361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26</xdr:row>
      <xdr:rowOff>0</xdr:rowOff>
    </xdr:from>
    <xdr:ext cx="0" cy="172227"/>
    <xdr:sp>
      <xdr:nvSpPr>
        <xdr:cNvPr id="19" name="TextBox 1"/>
        <xdr:cNvSpPr txBox="1"/>
      </xdr:nvSpPr>
      <xdr:spPr>
        <a:xfrm>
          <a:off x="1929765" y="606361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xdr:nvSpPr>
        <xdr:cNvPr id="20" name="TextBox 1"/>
        <xdr:cNvSpPr txBox="1"/>
      </xdr:nvSpPr>
      <xdr:spPr>
        <a:xfrm>
          <a:off x="8085455" y="629221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xdr:nvSpPr>
        <xdr:cNvPr id="21" name="TextBox 1"/>
        <xdr:cNvSpPr txBox="1"/>
      </xdr:nvSpPr>
      <xdr:spPr>
        <a:xfrm>
          <a:off x="8085455" y="629221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xdr:nvSpPr>
        <xdr:cNvPr id="22" name="TextBox 1"/>
        <xdr:cNvSpPr txBox="1"/>
      </xdr:nvSpPr>
      <xdr:spPr>
        <a:xfrm>
          <a:off x="8085455" y="629221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47</xdr:row>
      <xdr:rowOff>128587</xdr:rowOff>
    </xdr:from>
    <xdr:ext cx="0" cy="420512"/>
    <xdr:sp>
      <xdr:nvSpPr>
        <xdr:cNvPr id="23" name="TextBox 1"/>
        <xdr:cNvSpPr txBox="1"/>
      </xdr:nvSpPr>
      <xdr:spPr>
        <a:xfrm>
          <a:off x="1929765" y="10833735"/>
          <a:ext cx="0" cy="420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44</xdr:row>
      <xdr:rowOff>0</xdr:rowOff>
    </xdr:from>
    <xdr:ext cx="0" cy="172227"/>
    <xdr:sp>
      <xdr:nvSpPr>
        <xdr:cNvPr id="24" name="TextBox 1"/>
        <xdr:cNvSpPr txBox="1"/>
      </xdr:nvSpPr>
      <xdr:spPr>
        <a:xfrm>
          <a:off x="1929765" y="1001966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44</xdr:row>
      <xdr:rowOff>0</xdr:rowOff>
    </xdr:from>
    <xdr:ext cx="0" cy="172227"/>
    <xdr:sp>
      <xdr:nvSpPr>
        <xdr:cNvPr id="25" name="TextBox 1"/>
        <xdr:cNvSpPr txBox="1"/>
      </xdr:nvSpPr>
      <xdr:spPr>
        <a:xfrm>
          <a:off x="1929765" y="1001966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26</xdr:row>
      <xdr:rowOff>0</xdr:rowOff>
    </xdr:from>
    <xdr:ext cx="0" cy="172227"/>
    <xdr:sp>
      <xdr:nvSpPr>
        <xdr:cNvPr id="26" name="TextBox 7"/>
        <xdr:cNvSpPr txBox="1"/>
      </xdr:nvSpPr>
      <xdr:spPr>
        <a:xfrm>
          <a:off x="1929765" y="606361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26</xdr:row>
      <xdr:rowOff>0</xdr:rowOff>
    </xdr:from>
    <xdr:ext cx="0" cy="172227"/>
    <xdr:sp>
      <xdr:nvSpPr>
        <xdr:cNvPr id="27" name="TextBox 1"/>
        <xdr:cNvSpPr txBox="1"/>
      </xdr:nvSpPr>
      <xdr:spPr>
        <a:xfrm>
          <a:off x="1929765" y="606361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26</xdr:row>
      <xdr:rowOff>0</xdr:rowOff>
    </xdr:from>
    <xdr:ext cx="0" cy="172227"/>
    <xdr:sp>
      <xdr:nvSpPr>
        <xdr:cNvPr id="28" name="TextBox 1"/>
        <xdr:cNvSpPr txBox="1"/>
      </xdr:nvSpPr>
      <xdr:spPr>
        <a:xfrm>
          <a:off x="1929765" y="606361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8</xdr:col>
      <xdr:colOff>0</xdr:colOff>
      <xdr:row>1</xdr:row>
      <xdr:rowOff>0</xdr:rowOff>
    </xdr:from>
    <xdr:ext cx="0" cy="172227"/>
    <xdr:sp>
      <xdr:nvSpPr>
        <xdr:cNvPr id="29" name="TextBox 1"/>
        <xdr:cNvSpPr txBox="1"/>
      </xdr:nvSpPr>
      <xdr:spPr>
        <a:xfrm>
          <a:off x="9403715" y="58356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8</xdr:col>
      <xdr:colOff>0</xdr:colOff>
      <xdr:row>1</xdr:row>
      <xdr:rowOff>0</xdr:rowOff>
    </xdr:from>
    <xdr:ext cx="0" cy="172227"/>
    <xdr:sp>
      <xdr:nvSpPr>
        <xdr:cNvPr id="30" name="TextBox 1"/>
        <xdr:cNvSpPr txBox="1"/>
      </xdr:nvSpPr>
      <xdr:spPr>
        <a:xfrm>
          <a:off x="9403715" y="58356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8</xdr:col>
      <xdr:colOff>0</xdr:colOff>
      <xdr:row>1</xdr:row>
      <xdr:rowOff>0</xdr:rowOff>
    </xdr:from>
    <xdr:ext cx="0" cy="172227"/>
    <xdr:sp>
      <xdr:nvSpPr>
        <xdr:cNvPr id="31" name="TextBox 1"/>
        <xdr:cNvSpPr txBox="1"/>
      </xdr:nvSpPr>
      <xdr:spPr>
        <a:xfrm>
          <a:off x="9403715" y="58356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8</xdr:col>
      <xdr:colOff>0</xdr:colOff>
      <xdr:row>26</xdr:row>
      <xdr:rowOff>0</xdr:rowOff>
    </xdr:from>
    <xdr:ext cx="0" cy="172227"/>
    <xdr:sp>
      <xdr:nvSpPr>
        <xdr:cNvPr id="32" name="TextBox 1"/>
        <xdr:cNvSpPr txBox="1"/>
      </xdr:nvSpPr>
      <xdr:spPr>
        <a:xfrm>
          <a:off x="9403715" y="606361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8</xdr:col>
      <xdr:colOff>0</xdr:colOff>
      <xdr:row>26</xdr:row>
      <xdr:rowOff>0</xdr:rowOff>
    </xdr:from>
    <xdr:ext cx="0" cy="172227"/>
    <xdr:sp>
      <xdr:nvSpPr>
        <xdr:cNvPr id="33" name="TextBox 1"/>
        <xdr:cNvSpPr txBox="1"/>
      </xdr:nvSpPr>
      <xdr:spPr>
        <a:xfrm>
          <a:off x="9403715" y="606361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8</xdr:col>
      <xdr:colOff>0</xdr:colOff>
      <xdr:row>26</xdr:row>
      <xdr:rowOff>0</xdr:rowOff>
    </xdr:from>
    <xdr:ext cx="0" cy="172227"/>
    <xdr:sp>
      <xdr:nvSpPr>
        <xdr:cNvPr id="34" name="TextBox 1"/>
        <xdr:cNvSpPr txBox="1"/>
      </xdr:nvSpPr>
      <xdr:spPr>
        <a:xfrm>
          <a:off x="9403715" y="606361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5"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6"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7"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4132"/>
    <xdr:sp>
      <xdr:nvSpPr>
        <xdr:cNvPr id="38" name="TextBox 1"/>
        <xdr:cNvSpPr txBox="1"/>
      </xdr:nvSpPr>
      <xdr:spPr>
        <a:xfrm>
          <a:off x="1929765" y="11140440"/>
          <a:ext cx="0" cy="173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9"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40"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41" name="TextBox 7"/>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42"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43"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44"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45"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46"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4132"/>
    <xdr:sp>
      <xdr:nvSpPr>
        <xdr:cNvPr id="47" name="TextBox 1"/>
        <xdr:cNvSpPr txBox="1"/>
      </xdr:nvSpPr>
      <xdr:spPr>
        <a:xfrm>
          <a:off x="1929765" y="11140440"/>
          <a:ext cx="0" cy="173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48"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49"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50" name="TextBox 7"/>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51"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52"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48</xdr:row>
      <xdr:rowOff>128587</xdr:rowOff>
    </xdr:from>
    <xdr:ext cx="0" cy="461152"/>
    <xdr:sp>
      <xdr:nvSpPr>
        <xdr:cNvPr id="53" name="TextBox 1"/>
        <xdr:cNvSpPr txBox="1"/>
      </xdr:nvSpPr>
      <xdr:spPr>
        <a:xfrm>
          <a:off x="1929765" y="11062335"/>
          <a:ext cx="0" cy="4610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50</xdr:row>
      <xdr:rowOff>0</xdr:rowOff>
    </xdr:from>
    <xdr:ext cx="0" cy="172227"/>
    <xdr:sp>
      <xdr:nvSpPr>
        <xdr:cNvPr id="54" name="TextBox 1"/>
        <xdr:cNvSpPr txBox="1"/>
      </xdr:nvSpPr>
      <xdr:spPr>
        <a:xfrm>
          <a:off x="1929765" y="1134681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50</xdr:row>
      <xdr:rowOff>0</xdr:rowOff>
    </xdr:from>
    <xdr:ext cx="0" cy="172227"/>
    <xdr:sp>
      <xdr:nvSpPr>
        <xdr:cNvPr id="55" name="TextBox 1"/>
        <xdr:cNvSpPr txBox="1"/>
      </xdr:nvSpPr>
      <xdr:spPr>
        <a:xfrm>
          <a:off x="1929765" y="1134681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50</xdr:row>
      <xdr:rowOff>0</xdr:rowOff>
    </xdr:from>
    <xdr:ext cx="0" cy="172227"/>
    <xdr:sp>
      <xdr:nvSpPr>
        <xdr:cNvPr id="56" name="TextBox 1"/>
        <xdr:cNvSpPr txBox="1"/>
      </xdr:nvSpPr>
      <xdr:spPr>
        <a:xfrm>
          <a:off x="1929765" y="1134681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71</xdr:row>
      <xdr:rowOff>128587</xdr:rowOff>
    </xdr:from>
    <xdr:ext cx="0" cy="400192"/>
    <xdr:sp>
      <xdr:nvSpPr>
        <xdr:cNvPr id="57" name="TextBox 1"/>
        <xdr:cNvSpPr txBox="1"/>
      </xdr:nvSpPr>
      <xdr:spPr>
        <a:xfrm>
          <a:off x="1929765" y="16116935"/>
          <a:ext cx="0" cy="400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68</xdr:row>
      <xdr:rowOff>0</xdr:rowOff>
    </xdr:from>
    <xdr:ext cx="0" cy="172227"/>
    <xdr:sp>
      <xdr:nvSpPr>
        <xdr:cNvPr id="58" name="TextBox 1"/>
        <xdr:cNvSpPr txBox="1"/>
      </xdr:nvSpPr>
      <xdr:spPr>
        <a:xfrm>
          <a:off x="1929765" y="1530286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68</xdr:row>
      <xdr:rowOff>0</xdr:rowOff>
    </xdr:from>
    <xdr:ext cx="0" cy="172227"/>
    <xdr:sp>
      <xdr:nvSpPr>
        <xdr:cNvPr id="59" name="TextBox 1"/>
        <xdr:cNvSpPr txBox="1"/>
      </xdr:nvSpPr>
      <xdr:spPr>
        <a:xfrm>
          <a:off x="1929765" y="1530286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50</xdr:row>
      <xdr:rowOff>0</xdr:rowOff>
    </xdr:from>
    <xdr:ext cx="0" cy="172227"/>
    <xdr:sp>
      <xdr:nvSpPr>
        <xdr:cNvPr id="60" name="TextBox 7"/>
        <xdr:cNvSpPr txBox="1"/>
      </xdr:nvSpPr>
      <xdr:spPr>
        <a:xfrm>
          <a:off x="1929765" y="1134681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50</xdr:row>
      <xdr:rowOff>0</xdr:rowOff>
    </xdr:from>
    <xdr:ext cx="0" cy="172227"/>
    <xdr:sp>
      <xdr:nvSpPr>
        <xdr:cNvPr id="61" name="TextBox 1"/>
        <xdr:cNvSpPr txBox="1"/>
      </xdr:nvSpPr>
      <xdr:spPr>
        <a:xfrm>
          <a:off x="1929765" y="1134681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50</xdr:row>
      <xdr:rowOff>0</xdr:rowOff>
    </xdr:from>
    <xdr:ext cx="0" cy="172227"/>
    <xdr:sp>
      <xdr:nvSpPr>
        <xdr:cNvPr id="62" name="TextBox 1"/>
        <xdr:cNvSpPr txBox="1"/>
      </xdr:nvSpPr>
      <xdr:spPr>
        <a:xfrm>
          <a:off x="1929765" y="1134681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47</xdr:row>
      <xdr:rowOff>128587</xdr:rowOff>
    </xdr:from>
    <xdr:ext cx="0" cy="181752"/>
    <xdr:sp>
      <xdr:nvSpPr>
        <xdr:cNvPr id="63" name="TextBox 10"/>
        <xdr:cNvSpPr txBox="1"/>
      </xdr:nvSpPr>
      <xdr:spPr>
        <a:xfrm>
          <a:off x="1929765" y="10833735"/>
          <a:ext cx="0" cy="181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44</xdr:row>
      <xdr:rowOff>0</xdr:rowOff>
    </xdr:from>
    <xdr:ext cx="0" cy="172227"/>
    <xdr:sp>
      <xdr:nvSpPr>
        <xdr:cNvPr id="64" name="TextBox 1"/>
        <xdr:cNvSpPr txBox="1"/>
      </xdr:nvSpPr>
      <xdr:spPr>
        <a:xfrm>
          <a:off x="1929765" y="1001966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44</xdr:row>
      <xdr:rowOff>0</xdr:rowOff>
    </xdr:from>
    <xdr:ext cx="0" cy="172227"/>
    <xdr:sp>
      <xdr:nvSpPr>
        <xdr:cNvPr id="65" name="TextBox 1"/>
        <xdr:cNvSpPr txBox="1"/>
      </xdr:nvSpPr>
      <xdr:spPr>
        <a:xfrm>
          <a:off x="1929765" y="1001966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26</xdr:row>
      <xdr:rowOff>0</xdr:rowOff>
    </xdr:from>
    <xdr:ext cx="0" cy="172227"/>
    <xdr:sp>
      <xdr:nvSpPr>
        <xdr:cNvPr id="66" name="TextBox 13"/>
        <xdr:cNvSpPr txBox="1"/>
      </xdr:nvSpPr>
      <xdr:spPr>
        <a:xfrm>
          <a:off x="1929765" y="606361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26</xdr:row>
      <xdr:rowOff>0</xdr:rowOff>
    </xdr:from>
    <xdr:ext cx="0" cy="172227"/>
    <xdr:sp>
      <xdr:nvSpPr>
        <xdr:cNvPr id="67" name="TextBox 1"/>
        <xdr:cNvSpPr txBox="1"/>
      </xdr:nvSpPr>
      <xdr:spPr>
        <a:xfrm>
          <a:off x="1929765" y="606361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26</xdr:row>
      <xdr:rowOff>0</xdr:rowOff>
    </xdr:from>
    <xdr:ext cx="0" cy="172227"/>
    <xdr:sp>
      <xdr:nvSpPr>
        <xdr:cNvPr id="68" name="TextBox 1"/>
        <xdr:cNvSpPr txBox="1"/>
      </xdr:nvSpPr>
      <xdr:spPr>
        <a:xfrm>
          <a:off x="1929765" y="606361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69"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70"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71"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72"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73" name="TextBox 7"/>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74"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75"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76"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77"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78"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79" name="TextBox 7"/>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80"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81"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82" name="TextBox 10"/>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83"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84"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85" name="TextBox 13"/>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86"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87"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88"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89"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90"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91" name="TextBox 10"/>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92"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93"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94" name="TextBox 13"/>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95"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96"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97"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98" name="TextBox 10"/>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99"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00"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01" name="TextBox 13"/>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02"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03"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04"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05" name="TextBox 10"/>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06"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07"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08" name="TextBox 13"/>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09"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10"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11"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12" name="TextBox 10"/>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13"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14"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15" name="TextBox 13"/>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16"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17"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18"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19"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20"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21"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22"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23"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24" name="TextBox 7"/>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25"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26"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27"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28"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29" name="TextBox 7"/>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30"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31"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32" name="TextBox 10"/>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33"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34"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35" name="TextBox 13"/>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36"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37"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38"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39" name="TextBox 10"/>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40"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41"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42" name="TextBox 13"/>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43"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44"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45"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46" name="TextBox 10"/>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47"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48"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49" name="TextBox 13"/>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50"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51"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52"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53" name="TextBox 10"/>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54"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55"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56" name="TextBox 13"/>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57"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58"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59"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46</xdr:row>
      <xdr:rowOff>128587</xdr:rowOff>
    </xdr:from>
    <xdr:ext cx="0" cy="181752"/>
    <xdr:sp>
      <xdr:nvSpPr>
        <xdr:cNvPr id="160" name="TextBox 7"/>
        <xdr:cNvSpPr txBox="1"/>
      </xdr:nvSpPr>
      <xdr:spPr>
        <a:xfrm>
          <a:off x="1929765" y="10605135"/>
          <a:ext cx="0" cy="181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43</xdr:row>
      <xdr:rowOff>0</xdr:rowOff>
    </xdr:from>
    <xdr:ext cx="0" cy="172227"/>
    <xdr:sp>
      <xdr:nvSpPr>
        <xdr:cNvPr id="161" name="TextBox 1"/>
        <xdr:cNvSpPr txBox="1"/>
      </xdr:nvSpPr>
      <xdr:spPr>
        <a:xfrm>
          <a:off x="1929765" y="979106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43</xdr:row>
      <xdr:rowOff>0</xdr:rowOff>
    </xdr:from>
    <xdr:ext cx="0" cy="172227"/>
    <xdr:sp>
      <xdr:nvSpPr>
        <xdr:cNvPr id="162" name="TextBox 1"/>
        <xdr:cNvSpPr txBox="1"/>
      </xdr:nvSpPr>
      <xdr:spPr>
        <a:xfrm>
          <a:off x="1929765" y="979106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63"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45</xdr:row>
      <xdr:rowOff>0</xdr:rowOff>
    </xdr:from>
    <xdr:ext cx="0" cy="172227"/>
    <xdr:sp>
      <xdr:nvSpPr>
        <xdr:cNvPr id="164" name="TextBox 1"/>
        <xdr:cNvSpPr txBox="1"/>
      </xdr:nvSpPr>
      <xdr:spPr>
        <a:xfrm>
          <a:off x="1929765" y="1024826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45</xdr:row>
      <xdr:rowOff>0</xdr:rowOff>
    </xdr:from>
    <xdr:ext cx="0" cy="172227"/>
    <xdr:sp>
      <xdr:nvSpPr>
        <xdr:cNvPr id="165" name="TextBox 1"/>
        <xdr:cNvSpPr txBox="1"/>
      </xdr:nvSpPr>
      <xdr:spPr>
        <a:xfrm>
          <a:off x="1929765" y="1024826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26</xdr:row>
      <xdr:rowOff>0</xdr:rowOff>
    </xdr:from>
    <xdr:ext cx="0" cy="172227"/>
    <xdr:sp>
      <xdr:nvSpPr>
        <xdr:cNvPr id="166" name="TextBox 7"/>
        <xdr:cNvSpPr txBox="1"/>
      </xdr:nvSpPr>
      <xdr:spPr>
        <a:xfrm>
          <a:off x="1929765" y="606361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26</xdr:row>
      <xdr:rowOff>0</xdr:rowOff>
    </xdr:from>
    <xdr:ext cx="0" cy="172227"/>
    <xdr:sp>
      <xdr:nvSpPr>
        <xdr:cNvPr id="167" name="TextBox 1"/>
        <xdr:cNvSpPr txBox="1"/>
      </xdr:nvSpPr>
      <xdr:spPr>
        <a:xfrm>
          <a:off x="1929765" y="606361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26</xdr:row>
      <xdr:rowOff>0</xdr:rowOff>
    </xdr:from>
    <xdr:ext cx="0" cy="172227"/>
    <xdr:sp>
      <xdr:nvSpPr>
        <xdr:cNvPr id="168" name="TextBox 1"/>
        <xdr:cNvSpPr txBox="1"/>
      </xdr:nvSpPr>
      <xdr:spPr>
        <a:xfrm>
          <a:off x="1929765" y="606361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69" name="TextBox 10"/>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70"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71"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72" name="TextBox 13"/>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73"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74"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75"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76"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77"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78" name="TextBox 10"/>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79"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80"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81" name="TextBox 13"/>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82"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83"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84"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85"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86" name="TextBox 10"/>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87"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88"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89" name="TextBox 13"/>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90"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91"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92"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93"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94"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95" name="TextBox 10"/>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96"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97"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98" name="TextBox 13"/>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199"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00"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01"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47</xdr:row>
      <xdr:rowOff>128587</xdr:rowOff>
    </xdr:from>
    <xdr:ext cx="0" cy="181752"/>
    <xdr:sp>
      <xdr:nvSpPr>
        <xdr:cNvPr id="202" name="TextBox 10"/>
        <xdr:cNvSpPr txBox="1"/>
      </xdr:nvSpPr>
      <xdr:spPr>
        <a:xfrm>
          <a:off x="1929765" y="10833735"/>
          <a:ext cx="0" cy="181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44</xdr:row>
      <xdr:rowOff>0</xdr:rowOff>
    </xdr:from>
    <xdr:ext cx="0" cy="172227"/>
    <xdr:sp>
      <xdr:nvSpPr>
        <xdr:cNvPr id="203" name="TextBox 1"/>
        <xdr:cNvSpPr txBox="1"/>
      </xdr:nvSpPr>
      <xdr:spPr>
        <a:xfrm>
          <a:off x="1929765" y="1001966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44</xdr:row>
      <xdr:rowOff>0</xdr:rowOff>
    </xdr:from>
    <xdr:ext cx="0" cy="172227"/>
    <xdr:sp>
      <xdr:nvSpPr>
        <xdr:cNvPr id="204" name="TextBox 1"/>
        <xdr:cNvSpPr txBox="1"/>
      </xdr:nvSpPr>
      <xdr:spPr>
        <a:xfrm>
          <a:off x="1929765" y="1001966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26</xdr:row>
      <xdr:rowOff>0</xdr:rowOff>
    </xdr:from>
    <xdr:ext cx="0" cy="172227"/>
    <xdr:sp>
      <xdr:nvSpPr>
        <xdr:cNvPr id="205" name="TextBox 13"/>
        <xdr:cNvSpPr txBox="1"/>
      </xdr:nvSpPr>
      <xdr:spPr>
        <a:xfrm>
          <a:off x="1929765" y="606361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26</xdr:row>
      <xdr:rowOff>0</xdr:rowOff>
    </xdr:from>
    <xdr:ext cx="0" cy="172227"/>
    <xdr:sp>
      <xdr:nvSpPr>
        <xdr:cNvPr id="206" name="TextBox 1"/>
        <xdr:cNvSpPr txBox="1"/>
      </xdr:nvSpPr>
      <xdr:spPr>
        <a:xfrm>
          <a:off x="1929765" y="606361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26</xdr:row>
      <xdr:rowOff>0</xdr:rowOff>
    </xdr:from>
    <xdr:ext cx="0" cy="172227"/>
    <xdr:sp>
      <xdr:nvSpPr>
        <xdr:cNvPr id="207" name="TextBox 1"/>
        <xdr:cNvSpPr txBox="1"/>
      </xdr:nvSpPr>
      <xdr:spPr>
        <a:xfrm>
          <a:off x="1929765" y="606361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46</xdr:row>
      <xdr:rowOff>128587</xdr:rowOff>
    </xdr:from>
    <xdr:ext cx="0" cy="181752"/>
    <xdr:sp>
      <xdr:nvSpPr>
        <xdr:cNvPr id="208" name="TextBox 7"/>
        <xdr:cNvSpPr txBox="1"/>
      </xdr:nvSpPr>
      <xdr:spPr>
        <a:xfrm>
          <a:off x="1929765" y="10605135"/>
          <a:ext cx="0" cy="181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43</xdr:row>
      <xdr:rowOff>0</xdr:rowOff>
    </xdr:from>
    <xdr:ext cx="0" cy="172227"/>
    <xdr:sp>
      <xdr:nvSpPr>
        <xdr:cNvPr id="209" name="TextBox 1"/>
        <xdr:cNvSpPr txBox="1"/>
      </xdr:nvSpPr>
      <xdr:spPr>
        <a:xfrm>
          <a:off x="1929765" y="979106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43</xdr:row>
      <xdr:rowOff>0</xdr:rowOff>
    </xdr:from>
    <xdr:ext cx="0" cy="172227"/>
    <xdr:sp>
      <xdr:nvSpPr>
        <xdr:cNvPr id="210" name="TextBox 1"/>
        <xdr:cNvSpPr txBox="1"/>
      </xdr:nvSpPr>
      <xdr:spPr>
        <a:xfrm>
          <a:off x="1929765" y="979106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11"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45</xdr:row>
      <xdr:rowOff>0</xdr:rowOff>
    </xdr:from>
    <xdr:ext cx="0" cy="172227"/>
    <xdr:sp>
      <xdr:nvSpPr>
        <xdr:cNvPr id="212" name="TextBox 1"/>
        <xdr:cNvSpPr txBox="1"/>
      </xdr:nvSpPr>
      <xdr:spPr>
        <a:xfrm>
          <a:off x="1929765" y="1024826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45</xdr:row>
      <xdr:rowOff>0</xdr:rowOff>
    </xdr:from>
    <xdr:ext cx="0" cy="172227"/>
    <xdr:sp>
      <xdr:nvSpPr>
        <xdr:cNvPr id="213" name="TextBox 1"/>
        <xdr:cNvSpPr txBox="1"/>
      </xdr:nvSpPr>
      <xdr:spPr>
        <a:xfrm>
          <a:off x="1929765" y="1024826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26</xdr:row>
      <xdr:rowOff>0</xdr:rowOff>
    </xdr:from>
    <xdr:ext cx="0" cy="172227"/>
    <xdr:sp>
      <xdr:nvSpPr>
        <xdr:cNvPr id="214" name="TextBox 7"/>
        <xdr:cNvSpPr txBox="1"/>
      </xdr:nvSpPr>
      <xdr:spPr>
        <a:xfrm>
          <a:off x="1929765" y="606361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26</xdr:row>
      <xdr:rowOff>0</xdr:rowOff>
    </xdr:from>
    <xdr:ext cx="0" cy="172227"/>
    <xdr:sp>
      <xdr:nvSpPr>
        <xdr:cNvPr id="215" name="TextBox 1"/>
        <xdr:cNvSpPr txBox="1"/>
      </xdr:nvSpPr>
      <xdr:spPr>
        <a:xfrm>
          <a:off x="1929765" y="606361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26</xdr:row>
      <xdr:rowOff>0</xdr:rowOff>
    </xdr:from>
    <xdr:ext cx="0" cy="172227"/>
    <xdr:sp>
      <xdr:nvSpPr>
        <xdr:cNvPr id="216" name="TextBox 1"/>
        <xdr:cNvSpPr txBox="1"/>
      </xdr:nvSpPr>
      <xdr:spPr>
        <a:xfrm>
          <a:off x="1929765" y="606361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17" name="TextBox 10"/>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18"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19"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20" name="TextBox 13"/>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21"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22"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23"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24"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25"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26" name="TextBox 10"/>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27"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28"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29" name="TextBox 13"/>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30"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31"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32"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33"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34" name="TextBox 10"/>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35"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36"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37" name="TextBox 13"/>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38"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39"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40"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41"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42"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43" name="TextBox 10"/>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44"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45"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46" name="TextBox 13"/>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47"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48"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49"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48</xdr:row>
      <xdr:rowOff>128587</xdr:rowOff>
    </xdr:from>
    <xdr:ext cx="0" cy="199532"/>
    <xdr:sp>
      <xdr:nvSpPr>
        <xdr:cNvPr id="250" name="TextBox 10"/>
        <xdr:cNvSpPr txBox="1"/>
      </xdr:nvSpPr>
      <xdr:spPr>
        <a:xfrm>
          <a:off x="1929765" y="11062335"/>
          <a:ext cx="0" cy="1993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51"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52" name="TextBox 10"/>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53"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54"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55" name="TextBox 13"/>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56"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57"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58"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59"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60"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61" name="TextBox 10"/>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62"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63"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64" name="TextBox 13"/>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65"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66"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67"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68"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69" name="TextBox 10"/>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70"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71"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72" name="TextBox 13"/>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73"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74"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75"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76"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77"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78" name="TextBox 10"/>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79"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80"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81" name="TextBox 13"/>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82"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83"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84"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48</xdr:row>
      <xdr:rowOff>128587</xdr:rowOff>
    </xdr:from>
    <xdr:ext cx="0" cy="199532"/>
    <xdr:sp>
      <xdr:nvSpPr>
        <xdr:cNvPr id="285" name="TextBox 10"/>
        <xdr:cNvSpPr txBox="1"/>
      </xdr:nvSpPr>
      <xdr:spPr>
        <a:xfrm>
          <a:off x="1929765" y="11062335"/>
          <a:ext cx="0" cy="1993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86"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87" name="TextBox 10"/>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88"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89"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90" name="TextBox 13"/>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91"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92"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93"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94"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95"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96" name="TextBox 10"/>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97"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98"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299" name="TextBox 13"/>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00"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01"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02"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03"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04" name="TextBox 10"/>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05"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06"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07" name="TextBox 13"/>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08"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09"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10"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11"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12"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13" name="TextBox 10"/>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14"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15"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16" name="TextBox 13"/>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17"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18"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19"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20"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21" name="TextBox 10"/>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22"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23"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24" name="TextBox 13"/>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25"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26"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27"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28"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29"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30" name="TextBox 10"/>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31"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32"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33" name="TextBox 13"/>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34"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35"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36"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37"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38" name="TextBox 10"/>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39"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40"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41" name="TextBox 13"/>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42"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43"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44"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45"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46"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47" name="TextBox 10"/>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48"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49"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50" name="TextBox 13"/>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51"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52"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53"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54"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55" name="TextBox 10"/>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56"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57"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58" name="TextBox 13"/>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59"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60"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61"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62"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63"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64" name="TextBox 10"/>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65"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66"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67" name="TextBox 13"/>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68"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69"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70"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71"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72" name="TextBox 10"/>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73"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74"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75" name="TextBox 13"/>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76"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77"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78"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79"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80"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81" name="TextBox 10"/>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82"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83"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84" name="TextBox 13"/>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85"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86"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xdr:nvSpPr>
        <xdr:cNvPr id="387" name="TextBox 1"/>
        <xdr:cNvSpPr txBox="1"/>
      </xdr:nvSpPr>
      <xdr:spPr>
        <a:xfrm>
          <a:off x="1929765" y="1114044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6"/>
  <sheetViews>
    <sheetView showGridLines="0" zoomScale="110" zoomScaleNormal="110" workbookViewId="0">
      <selection activeCell="D13" sqref="D13"/>
    </sheetView>
  </sheetViews>
  <sheetFormatPr defaultColWidth="9" defaultRowHeight="14" outlineLevelCol="1"/>
  <cols>
    <col min="1" max="1" width="38.3727272727273" style="193" customWidth="1"/>
    <col min="2" max="2" width="49" style="193" customWidth="1"/>
    <col min="3" max="16384" width="9" style="194"/>
  </cols>
  <sheetData>
    <row r="1" ht="38.1" customHeight="1" spans="1:2">
      <c r="A1" s="195" t="s">
        <v>0</v>
      </c>
      <c r="B1" s="195"/>
    </row>
    <row r="2" ht="47.45" customHeight="1" spans="1:2">
      <c r="A2" s="196" t="s">
        <v>1</v>
      </c>
      <c r="B2" s="197" t="s">
        <v>2</v>
      </c>
    </row>
    <row r="3" ht="38.1" customHeight="1" spans="1:2">
      <c r="A3" s="196" t="s">
        <v>3</v>
      </c>
      <c r="B3" s="198" t="s">
        <v>4</v>
      </c>
    </row>
    <row r="4" ht="38.1" customHeight="1" spans="1:2">
      <c r="A4" s="196" t="s">
        <v>5</v>
      </c>
      <c r="B4" s="198" t="s">
        <v>6</v>
      </c>
    </row>
    <row r="5" ht="38.1" customHeight="1" spans="1:2">
      <c r="A5" s="196" t="s">
        <v>7</v>
      </c>
      <c r="B5" s="199" t="s">
        <v>8</v>
      </c>
    </row>
    <row r="6" ht="38.1" customHeight="1" spans="1:2">
      <c r="A6" s="196" t="s">
        <v>9</v>
      </c>
      <c r="B6" s="200" t="s">
        <v>10</v>
      </c>
    </row>
    <row r="7" ht="38.1" customHeight="1" spans="1:2">
      <c r="A7" s="196" t="s">
        <v>11</v>
      </c>
      <c r="B7" s="201">
        <v>45915</v>
      </c>
    </row>
    <row r="8" ht="25.9" customHeight="1" spans="1:2">
      <c r="A8" s="196" t="s">
        <v>12</v>
      </c>
      <c r="B8" s="201">
        <v>45916</v>
      </c>
    </row>
    <row r="9" ht="25.9" customHeight="1" spans="1:2">
      <c r="A9" s="196" t="s">
        <v>13</v>
      </c>
      <c r="B9" s="202" t="s">
        <v>14</v>
      </c>
    </row>
    <row r="10" ht="27.6" customHeight="1" spans="1:2">
      <c r="A10" s="196" t="s">
        <v>15</v>
      </c>
      <c r="B10" s="200" t="s">
        <v>10</v>
      </c>
    </row>
    <row r="11" ht="27" customHeight="1" spans="1:2">
      <c r="A11" s="196" t="s">
        <v>16</v>
      </c>
      <c r="B11" s="202" t="s">
        <v>14</v>
      </c>
    </row>
    <row r="12" ht="45" customHeight="1" spans="1:2">
      <c r="A12" s="196" t="s">
        <v>17</v>
      </c>
      <c r="B12" s="203" t="s">
        <v>14</v>
      </c>
    </row>
    <row r="13" spans="1:2">
      <c r="A13" s="204"/>
      <c r="B13" s="204"/>
    </row>
    <row r="14" spans="1:2">
      <c r="A14" s="204"/>
      <c r="B14" s="204"/>
    </row>
    <row r="15" spans="1:2">
      <c r="A15" s="204"/>
      <c r="B15" s="204"/>
    </row>
    <row r="16" spans="1:2">
      <c r="A16" s="204"/>
      <c r="B16" s="204"/>
    </row>
    <row r="17" spans="1:2">
      <c r="A17" s="204"/>
      <c r="B17" s="204"/>
    </row>
    <row r="22" spans="2:2">
      <c r="B22" s="205"/>
    </row>
    <row r="23" spans="2:2">
      <c r="B23" s="205"/>
    </row>
    <row r="24" spans="2:2">
      <c r="B24" s="205"/>
    </row>
    <row r="25" spans="2:2">
      <c r="B25" s="205"/>
    </row>
    <row r="26" spans="2:2">
      <c r="B26" s="205"/>
    </row>
  </sheetData>
  <protectedRanges>
    <protectedRange sqref="B7:B8" name="Sign_1_1_1_1_1_1_2"/>
  </protectedRanges>
  <mergeCells count="1">
    <mergeCell ref="A1:B1"/>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2"/>
  <sheetViews>
    <sheetView showGridLines="0" tabSelected="1" workbookViewId="0">
      <selection activeCell="G25" sqref="G25"/>
    </sheetView>
  </sheetViews>
  <sheetFormatPr defaultColWidth="9" defaultRowHeight="14"/>
  <cols>
    <col min="1" max="1" width="22.1272727272727" style="138" customWidth="1"/>
    <col min="2" max="8" width="13.1272727272727" style="138" customWidth="1"/>
    <col min="9" max="9" width="11.2545454545455" style="138" customWidth="1"/>
    <col min="10" max="10" width="13.6272727272727" style="138" customWidth="1"/>
    <col min="11" max="11" width="10.3727272727273" style="138" customWidth="1"/>
    <col min="12" max="16384" width="9" style="138"/>
  </cols>
  <sheetData>
    <row r="1" ht="20.25" customHeight="1" spans="1:12">
      <c r="A1" s="139" t="s">
        <v>18</v>
      </c>
      <c r="B1" s="139"/>
      <c r="C1" s="139"/>
      <c r="D1" s="139"/>
      <c r="E1" s="139"/>
      <c r="F1" s="139"/>
      <c r="G1" s="139"/>
      <c r="H1" s="139"/>
      <c r="I1" s="139"/>
      <c r="J1" s="175"/>
      <c r="L1" s="176"/>
    </row>
    <row r="2" spans="1:12">
      <c r="A2" s="140" t="s">
        <v>19</v>
      </c>
      <c r="B2" s="140"/>
      <c r="C2" s="140"/>
      <c r="D2" s="140"/>
      <c r="E2" s="140"/>
      <c r="F2" s="140"/>
      <c r="G2" s="140"/>
      <c r="H2" s="140"/>
      <c r="I2" s="140"/>
      <c r="J2" s="2"/>
      <c r="L2" s="176"/>
    </row>
    <row r="3" ht="33.95" customHeight="1" spans="1:12">
      <c r="A3" s="141" t="s">
        <v>20</v>
      </c>
      <c r="B3" s="141"/>
      <c r="C3" s="141"/>
      <c r="D3" s="141"/>
      <c r="E3" s="141"/>
      <c r="F3" s="141"/>
      <c r="G3" s="141"/>
      <c r="H3" s="141"/>
      <c r="I3" s="141"/>
      <c r="J3" s="141"/>
      <c r="K3" s="176"/>
      <c r="L3" s="176"/>
    </row>
    <row r="4" ht="29.1" customHeight="1" spans="1:12">
      <c r="A4" s="142" t="s">
        <v>21</v>
      </c>
      <c r="B4" s="143" t="s">
        <v>22</v>
      </c>
      <c r="C4" s="144" t="s">
        <v>23</v>
      </c>
      <c r="D4" s="144"/>
      <c r="E4" s="144"/>
      <c r="F4" s="144"/>
      <c r="G4" s="144"/>
      <c r="H4" s="144"/>
      <c r="I4" s="177" t="s">
        <v>24</v>
      </c>
      <c r="J4" s="178" t="s">
        <v>25</v>
      </c>
      <c r="K4" s="176"/>
      <c r="L4" s="176"/>
    </row>
    <row r="5" ht="21" customHeight="1" spans="1:12">
      <c r="A5" s="145"/>
      <c r="B5" s="146"/>
      <c r="C5" s="147" t="s">
        <v>26</v>
      </c>
      <c r="D5" s="148" t="s">
        <v>27</v>
      </c>
      <c r="E5" s="148" t="s">
        <v>28</v>
      </c>
      <c r="F5" s="149" t="s">
        <v>29</v>
      </c>
      <c r="G5" s="148" t="s">
        <v>30</v>
      </c>
      <c r="H5" s="149" t="s">
        <v>31</v>
      </c>
      <c r="I5" s="179"/>
      <c r="J5" s="180"/>
      <c r="K5" s="176"/>
      <c r="L5" s="176"/>
    </row>
    <row r="6" ht="21" customHeight="1" spans="1:12">
      <c r="A6" s="150" t="s">
        <v>32</v>
      </c>
      <c r="B6" s="151" t="s">
        <v>33</v>
      </c>
      <c r="C6" s="152">
        <v>100</v>
      </c>
      <c r="D6" s="152">
        <v>93.8215102974828</v>
      </c>
      <c r="E6" s="153">
        <v>89.7025171624714</v>
      </c>
      <c r="F6" s="153">
        <v>80.5491990846682</v>
      </c>
      <c r="G6" s="153">
        <v>68.4210526315789</v>
      </c>
      <c r="H6" s="153">
        <v>41.7391304347826</v>
      </c>
      <c r="I6" s="181">
        <v>0.0071</v>
      </c>
      <c r="J6" s="182">
        <f t="shared" ref="J6" si="0">0.693/I6</f>
        <v>97.6056338028169</v>
      </c>
      <c r="K6" s="176"/>
      <c r="L6" s="176"/>
    </row>
    <row r="7" ht="21" customHeight="1" spans="1:13">
      <c r="A7" s="154"/>
      <c r="B7" s="151" t="s">
        <v>34</v>
      </c>
      <c r="C7" s="152">
        <v>100</v>
      </c>
      <c r="D7" s="153">
        <v>87.816091954023</v>
      </c>
      <c r="E7" s="153">
        <v>65.7471264367816</v>
      </c>
      <c r="F7" s="153">
        <v>26.2528735632184</v>
      </c>
      <c r="G7" s="155">
        <v>3.73333333333333</v>
      </c>
      <c r="H7" s="153">
        <v>0</v>
      </c>
      <c r="I7" s="183">
        <v>0.056</v>
      </c>
      <c r="J7" s="182">
        <f t="shared" ref="J7:J15" si="1">0.693/I7</f>
        <v>12.375</v>
      </c>
      <c r="K7" s="176"/>
      <c r="L7" s="176"/>
      <c r="M7" s="176"/>
    </row>
    <row r="8" ht="21" customHeight="1" spans="1:13">
      <c r="A8" s="154"/>
      <c r="B8" s="151" t="s">
        <v>35</v>
      </c>
      <c r="C8" s="152">
        <v>100</v>
      </c>
      <c r="D8" s="153">
        <v>94.8132780082988</v>
      </c>
      <c r="E8" s="153">
        <v>95.2282157676349</v>
      </c>
      <c r="F8" s="153">
        <v>83.6099585062241</v>
      </c>
      <c r="G8" s="153">
        <v>72.6141078838174</v>
      </c>
      <c r="H8" s="153">
        <v>45.4356846473029</v>
      </c>
      <c r="I8" s="181">
        <v>0.0065</v>
      </c>
      <c r="J8" s="184">
        <f t="shared" si="1"/>
        <v>106.615384615385</v>
      </c>
      <c r="K8" s="176"/>
      <c r="L8" s="176"/>
      <c r="M8" s="176"/>
    </row>
    <row r="9" ht="21" customHeight="1" spans="1:13">
      <c r="A9" s="154"/>
      <c r="B9" s="151" t="s">
        <v>36</v>
      </c>
      <c r="C9" s="152">
        <v>100</v>
      </c>
      <c r="D9" s="153">
        <v>84.8101265822785</v>
      </c>
      <c r="E9" s="153">
        <v>89.873417721519</v>
      </c>
      <c r="F9" s="153">
        <v>76.6726943942134</v>
      </c>
      <c r="G9" s="153">
        <v>70.1627486437613</v>
      </c>
      <c r="H9" s="153">
        <v>50.6329113924051</v>
      </c>
      <c r="I9" s="181">
        <v>0.0051</v>
      </c>
      <c r="J9" s="184">
        <f t="shared" si="1"/>
        <v>135.882352941176</v>
      </c>
      <c r="K9" s="176"/>
      <c r="L9" s="176"/>
      <c r="M9" s="176"/>
    </row>
    <row r="10" ht="21" customHeight="1" spans="1:13">
      <c r="A10" s="156"/>
      <c r="B10" s="157" t="s">
        <v>37</v>
      </c>
      <c r="C10" s="152">
        <v>100</v>
      </c>
      <c r="D10" s="153">
        <v>98.1859410430839</v>
      </c>
      <c r="E10" s="153">
        <v>91.3832199546485</v>
      </c>
      <c r="F10" s="153">
        <v>90.4761904761905</v>
      </c>
      <c r="G10" s="153">
        <v>76.6439909297052</v>
      </c>
      <c r="H10" s="153">
        <v>48.5260770975057</v>
      </c>
      <c r="I10" s="181">
        <v>0.0059</v>
      </c>
      <c r="J10" s="184">
        <f t="shared" si="1"/>
        <v>117.457627118644</v>
      </c>
      <c r="K10" s="176"/>
      <c r="L10" s="176"/>
      <c r="M10" s="176"/>
    </row>
    <row r="11" ht="21" customHeight="1" spans="1:13">
      <c r="A11" s="158" t="s">
        <v>38</v>
      </c>
      <c r="B11" s="159" t="s">
        <v>33</v>
      </c>
      <c r="C11" s="152">
        <v>100</v>
      </c>
      <c r="D11" s="153">
        <v>67.8443113772455</v>
      </c>
      <c r="E11" s="153">
        <v>37.6646706586826</v>
      </c>
      <c r="F11" s="153">
        <v>11.5449101796407</v>
      </c>
      <c r="G11" s="155">
        <v>1.70658682634731</v>
      </c>
      <c r="H11" s="160">
        <v>0</v>
      </c>
      <c r="I11" s="185">
        <v>0.068</v>
      </c>
      <c r="J11" s="182">
        <f t="shared" si="1"/>
        <v>10.1911764705882</v>
      </c>
      <c r="K11" s="176"/>
      <c r="L11" s="176"/>
      <c r="M11" s="176"/>
    </row>
    <row r="12" ht="21" customHeight="1" spans="1:13">
      <c r="A12" s="158" t="s">
        <v>38</v>
      </c>
      <c r="B12" s="159" t="s">
        <v>34</v>
      </c>
      <c r="C12" s="152">
        <v>100</v>
      </c>
      <c r="D12" s="153">
        <v>82.0770519262982</v>
      </c>
      <c r="E12" s="153">
        <v>62.0882188721385</v>
      </c>
      <c r="F12" s="153">
        <v>41.8760469011725</v>
      </c>
      <c r="G12" s="153">
        <v>24.4556113902848</v>
      </c>
      <c r="H12" s="155">
        <v>9.6035734226689</v>
      </c>
      <c r="I12" s="183">
        <v>0.0191</v>
      </c>
      <c r="J12" s="182">
        <f t="shared" si="1"/>
        <v>36.282722513089</v>
      </c>
      <c r="K12" s="176"/>
      <c r="L12" s="176"/>
      <c r="M12" s="176"/>
    </row>
    <row r="13" ht="21" customHeight="1" spans="1:13">
      <c r="A13" s="158" t="s">
        <v>39</v>
      </c>
      <c r="B13" s="159" t="s">
        <v>35</v>
      </c>
      <c r="C13" s="152">
        <v>100</v>
      </c>
      <c r="D13" s="153">
        <v>77.8604651162791</v>
      </c>
      <c r="E13" s="153">
        <v>46.3255813953488</v>
      </c>
      <c r="F13" s="153">
        <v>14.7627906976744</v>
      </c>
      <c r="G13" s="155">
        <v>1.91906976744186</v>
      </c>
      <c r="H13" s="155">
        <v>0.0274418604651163</v>
      </c>
      <c r="I13" s="186">
        <v>0.0669</v>
      </c>
      <c r="J13" s="182">
        <f t="shared" si="1"/>
        <v>10.3587443946188</v>
      </c>
      <c r="K13" s="176"/>
      <c r="L13" s="176"/>
      <c r="M13" s="176"/>
    </row>
    <row r="14" ht="21" customHeight="1" spans="1:13">
      <c r="A14" s="158" t="s">
        <v>40</v>
      </c>
      <c r="B14" s="159" t="s">
        <v>36</v>
      </c>
      <c r="C14" s="152">
        <v>100</v>
      </c>
      <c r="D14" s="153">
        <v>12.1031746031746</v>
      </c>
      <c r="E14" s="155">
        <v>0.392460317460317</v>
      </c>
      <c r="F14" s="155">
        <v>0</v>
      </c>
      <c r="G14" s="155">
        <v>0</v>
      </c>
      <c r="H14" s="155">
        <v>0</v>
      </c>
      <c r="I14" s="187">
        <v>0.3656</v>
      </c>
      <c r="J14" s="188">
        <f t="shared" si="1"/>
        <v>1.89551422319475</v>
      </c>
      <c r="K14" s="176"/>
      <c r="L14" s="176"/>
      <c r="M14" s="176"/>
    </row>
    <row r="15" ht="21" customHeight="1" spans="1:13">
      <c r="A15" s="161" t="s">
        <v>40</v>
      </c>
      <c r="B15" s="162" t="s">
        <v>37</v>
      </c>
      <c r="C15" s="163">
        <v>100</v>
      </c>
      <c r="D15" s="164">
        <v>56.2869198312236</v>
      </c>
      <c r="E15" s="164">
        <v>20.084388185654</v>
      </c>
      <c r="F15" s="165">
        <v>1.82700421940928</v>
      </c>
      <c r="G15" s="165">
        <v>0.02042194092827</v>
      </c>
      <c r="H15" s="165">
        <v>0</v>
      </c>
      <c r="I15" s="189">
        <v>0.1329</v>
      </c>
      <c r="J15" s="190">
        <f t="shared" si="1"/>
        <v>5.21444695259594</v>
      </c>
      <c r="K15" s="176"/>
      <c r="M15" s="176"/>
    </row>
    <row r="16" spans="1:13">
      <c r="A16" s="166" t="s">
        <v>41</v>
      </c>
      <c r="B16" s="166"/>
      <c r="C16" s="166"/>
      <c r="D16" s="166"/>
      <c r="E16" s="166"/>
      <c r="F16" s="167"/>
      <c r="G16" s="167"/>
      <c r="H16" s="167"/>
      <c r="I16" s="167"/>
      <c r="J16" s="167"/>
      <c r="M16" s="176"/>
    </row>
    <row r="17" spans="1:13">
      <c r="A17" s="166"/>
      <c r="B17" s="166"/>
      <c r="C17" s="166"/>
      <c r="D17" s="166"/>
      <c r="E17" s="166"/>
      <c r="M17" s="176"/>
    </row>
    <row r="18" spans="6:13">
      <c r="F18" s="168"/>
      <c r="G18" s="168"/>
      <c r="H18" s="168"/>
      <c r="I18" s="168"/>
      <c r="J18" s="171"/>
      <c r="M18" s="176"/>
    </row>
    <row r="19" spans="3:11">
      <c r="C19" s="169"/>
      <c r="D19" s="170"/>
      <c r="K19" s="169"/>
    </row>
    <row r="20" spans="3:11">
      <c r="C20" s="169"/>
      <c r="K20" s="170"/>
    </row>
    <row r="21" spans="2:12">
      <c r="B21" s="168"/>
      <c r="C21" s="169"/>
      <c r="E21" s="169"/>
      <c r="F21" s="169"/>
      <c r="G21" s="169"/>
      <c r="H21" s="171"/>
      <c r="I21" s="171"/>
      <c r="K21" s="172"/>
      <c r="L21" s="171"/>
    </row>
    <row r="22" spans="2:12">
      <c r="B22" s="168"/>
      <c r="C22" s="169"/>
      <c r="E22" s="169"/>
      <c r="F22" s="169"/>
      <c r="G22" s="169"/>
      <c r="H22" s="171"/>
      <c r="I22" s="171"/>
      <c r="K22" s="191"/>
      <c r="L22" s="168"/>
    </row>
    <row r="23" spans="2:12">
      <c r="B23" s="168"/>
      <c r="C23" s="169"/>
      <c r="D23" s="170"/>
      <c r="E23" s="172"/>
      <c r="F23" s="168"/>
      <c r="G23" s="168"/>
      <c r="H23" s="173"/>
      <c r="I23" s="192"/>
      <c r="J23" s="173"/>
      <c r="K23" s="173"/>
      <c r="L23" s="174"/>
    </row>
    <row r="24" spans="2:12">
      <c r="B24" s="171"/>
      <c r="C24" s="171"/>
      <c r="D24" s="168"/>
      <c r="E24" s="174"/>
      <c r="F24" s="172"/>
      <c r="J24" s="172"/>
      <c r="K24" s="172"/>
      <c r="L24" s="172"/>
    </row>
    <row r="25" spans="3:6">
      <c r="C25" s="171"/>
      <c r="D25" s="168"/>
      <c r="E25" s="174"/>
      <c r="F25" s="172"/>
    </row>
    <row r="26" spans="4:9">
      <c r="D26" s="173"/>
      <c r="G26" s="173"/>
      <c r="H26" s="173"/>
      <c r="I26" s="173"/>
    </row>
    <row r="28" spans="4:10">
      <c r="D28" s="173"/>
      <c r="F28" s="173"/>
      <c r="G28" s="173"/>
      <c r="H28" s="173"/>
      <c r="I28" s="173"/>
      <c r="J28" s="173"/>
    </row>
    <row r="29" spans="4:4">
      <c r="D29" s="173"/>
    </row>
    <row r="30" spans="4:4">
      <c r="D30" s="173"/>
    </row>
    <row r="31" spans="4:4">
      <c r="D31" s="173"/>
    </row>
    <row r="32" spans="4:4">
      <c r="D32" s="173"/>
    </row>
  </sheetData>
  <mergeCells count="10">
    <mergeCell ref="A1:G1"/>
    <mergeCell ref="A2:G2"/>
    <mergeCell ref="A3:J3"/>
    <mergeCell ref="C4:H4"/>
    <mergeCell ref="A16:E16"/>
    <mergeCell ref="A4:A5"/>
    <mergeCell ref="A6:A10"/>
    <mergeCell ref="B4:B5"/>
    <mergeCell ref="I4:I5"/>
    <mergeCell ref="J4:J5"/>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
  <sheetViews>
    <sheetView showGridLines="0" workbookViewId="0">
      <selection activeCell="C38" sqref="C38"/>
    </sheetView>
  </sheetViews>
  <sheetFormatPr defaultColWidth="9" defaultRowHeight="14" outlineLevelCol="5"/>
  <cols>
    <col min="1" max="2" width="21.1272727272727" style="62" customWidth="1"/>
    <col min="3" max="4" width="18.1272727272727" style="62" customWidth="1"/>
    <col min="5" max="5" width="23.6272727272727" style="62" customWidth="1"/>
    <col min="6" max="6" width="14.2545454545455" style="62" customWidth="1"/>
    <col min="7" max="16384" width="9" style="62"/>
  </cols>
  <sheetData>
    <row r="1" spans="1:6">
      <c r="A1" s="114" t="s">
        <v>42</v>
      </c>
      <c r="B1" s="114"/>
      <c r="C1" s="114"/>
      <c r="D1" s="114"/>
      <c r="E1" s="114"/>
      <c r="F1" s="115"/>
    </row>
    <row r="2" ht="15" customHeight="1" spans="1:6">
      <c r="A2" s="106" t="s">
        <v>43</v>
      </c>
      <c r="B2" s="106"/>
      <c r="C2" s="106"/>
      <c r="D2" s="106"/>
      <c r="E2" s="106"/>
      <c r="F2" s="103"/>
    </row>
    <row r="3" ht="16.5" customHeight="1" spans="1:5">
      <c r="A3" s="116" t="s">
        <v>44</v>
      </c>
      <c r="B3" s="116"/>
      <c r="C3" s="116"/>
      <c r="D3" s="116"/>
      <c r="E3" s="116"/>
    </row>
    <row r="4" spans="1:5">
      <c r="A4" s="117" t="s">
        <v>21</v>
      </c>
      <c r="B4" s="118" t="s">
        <v>45</v>
      </c>
      <c r="C4" s="118" t="s">
        <v>46</v>
      </c>
      <c r="D4" s="118" t="s">
        <v>47</v>
      </c>
      <c r="E4" s="119" t="s">
        <v>48</v>
      </c>
    </row>
    <row r="5" ht="14.75" spans="1:5">
      <c r="A5" s="120" t="s">
        <v>32</v>
      </c>
      <c r="B5" s="121">
        <v>20240618</v>
      </c>
      <c r="C5" s="122">
        <v>437.46</v>
      </c>
      <c r="D5" s="122" t="s">
        <v>49</v>
      </c>
      <c r="E5" s="123">
        <v>0.9841</v>
      </c>
    </row>
    <row r="6" spans="1:2">
      <c r="A6" s="124"/>
      <c r="B6" s="124"/>
    </row>
    <row r="7" spans="1:6">
      <c r="A7" s="106" t="s">
        <v>50</v>
      </c>
      <c r="B7" s="106"/>
      <c r="C7" s="106"/>
      <c r="D7" s="106"/>
      <c r="E7" s="106"/>
      <c r="F7" s="103"/>
    </row>
    <row r="8" ht="14.75" spans="1:6">
      <c r="A8" s="125" t="s">
        <v>51</v>
      </c>
      <c r="B8" s="125"/>
      <c r="C8" s="125"/>
      <c r="D8" s="125"/>
      <c r="E8" s="125"/>
      <c r="F8" s="103"/>
    </row>
    <row r="9" s="113" customFormat="1" spans="1:4">
      <c r="A9" s="126" t="s">
        <v>22</v>
      </c>
      <c r="B9" s="127" t="s">
        <v>52</v>
      </c>
      <c r="C9" s="128" t="s">
        <v>53</v>
      </c>
      <c r="D9" s="129" t="s">
        <v>54</v>
      </c>
    </row>
    <row r="10" s="113" customFormat="1" spans="1:4">
      <c r="A10" s="130" t="s">
        <v>34</v>
      </c>
      <c r="B10" s="131" t="s">
        <v>55</v>
      </c>
      <c r="C10" s="132" t="s">
        <v>56</v>
      </c>
      <c r="D10" s="133" t="s">
        <v>57</v>
      </c>
    </row>
    <row r="11" s="113" customFormat="1" spans="1:4">
      <c r="A11" s="130" t="s">
        <v>35</v>
      </c>
      <c r="B11" s="131" t="s">
        <v>55</v>
      </c>
      <c r="C11" s="132" t="s">
        <v>58</v>
      </c>
      <c r="D11" s="133" t="s">
        <v>57</v>
      </c>
    </row>
    <row r="12" s="113" customFormat="1" ht="28" spans="1:4">
      <c r="A12" s="130" t="s">
        <v>37</v>
      </c>
      <c r="B12" s="131" t="s">
        <v>59</v>
      </c>
      <c r="C12" s="132" t="s">
        <v>60</v>
      </c>
      <c r="D12" s="133" t="s">
        <v>61</v>
      </c>
    </row>
    <row r="13" s="113" customFormat="1" spans="1:4">
      <c r="A13" s="130" t="s">
        <v>36</v>
      </c>
      <c r="B13" s="131" t="s">
        <v>59</v>
      </c>
      <c r="C13" s="132" t="s">
        <v>62</v>
      </c>
      <c r="D13" s="133" t="s">
        <v>63</v>
      </c>
    </row>
    <row r="14" s="113" customFormat="1" ht="16.15" customHeight="1" spans="1:4">
      <c r="A14" s="134" t="s">
        <v>33</v>
      </c>
      <c r="B14" s="135" t="s">
        <v>64</v>
      </c>
      <c r="C14" s="136" t="s">
        <v>65</v>
      </c>
      <c r="D14" s="137" t="s">
        <v>61</v>
      </c>
    </row>
    <row r="15" ht="23.45" customHeight="1"/>
  </sheetData>
  <mergeCells count="5">
    <mergeCell ref="A1:E1"/>
    <mergeCell ref="A2:E2"/>
    <mergeCell ref="A3:E3"/>
    <mergeCell ref="A7:E7"/>
    <mergeCell ref="A8:E8"/>
  </mergeCells>
  <conditionalFormatting sqref="A5">
    <cfRule type="duplicateValues" dxfId="0" priority="3"/>
  </conditionalFormatting>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0"/>
  <sheetViews>
    <sheetView workbookViewId="0">
      <selection activeCell="C21" sqref="C21"/>
    </sheetView>
  </sheetViews>
  <sheetFormatPr defaultColWidth="9" defaultRowHeight="14"/>
  <cols>
    <col min="1" max="3" width="26.1272727272727" style="104" customWidth="1"/>
    <col min="4" max="4" width="48" style="104" customWidth="1"/>
    <col min="5" max="5" width="13.6272727272727" style="104" customWidth="1"/>
    <col min="6" max="16384" width="9" style="104"/>
  </cols>
  <sheetData>
    <row r="1" ht="19" spans="1:4">
      <c r="A1" s="105" t="s">
        <v>66</v>
      </c>
      <c r="B1" s="105"/>
      <c r="C1" s="105"/>
      <c r="D1" s="105"/>
    </row>
    <row r="2" ht="48" customHeight="1" spans="1:4">
      <c r="A2" s="106" t="s">
        <v>67</v>
      </c>
      <c r="B2" s="106"/>
      <c r="C2" s="106"/>
      <c r="D2" s="106"/>
    </row>
    <row r="3" ht="26.1" customHeight="1" spans="1:4">
      <c r="A3" s="107" t="s">
        <v>68</v>
      </c>
      <c r="B3" s="107"/>
      <c r="C3" s="107"/>
      <c r="D3" s="107"/>
    </row>
    <row r="4" ht="60" customHeight="1" spans="1:4">
      <c r="A4" s="106" t="s">
        <v>69</v>
      </c>
      <c r="B4" s="106"/>
      <c r="C4" s="106"/>
      <c r="D4" s="106"/>
    </row>
    <row r="5" spans="1:4">
      <c r="A5" s="106" t="s">
        <v>70</v>
      </c>
      <c r="B5" s="106"/>
      <c r="C5" s="106"/>
      <c r="D5" s="106"/>
    </row>
    <row r="6" s="101" customFormat="1" ht="15.5" spans="1:16">
      <c r="A6" s="108" t="s">
        <v>71</v>
      </c>
      <c r="B6" s="109"/>
      <c r="C6" s="109"/>
      <c r="D6" s="109"/>
      <c r="E6" s="109"/>
      <c r="F6" s="109"/>
      <c r="G6" s="109"/>
      <c r="J6" s="112"/>
      <c r="K6" s="112"/>
      <c r="L6" s="112"/>
      <c r="M6" s="112"/>
      <c r="N6" s="112"/>
      <c r="O6" s="112"/>
      <c r="P6" s="112"/>
    </row>
    <row r="7" s="101" customFormat="1" ht="16" spans="1:16">
      <c r="A7" s="108" t="s">
        <v>72</v>
      </c>
      <c r="B7" s="109"/>
      <c r="C7" s="109"/>
      <c r="D7" s="109"/>
      <c r="E7" s="109"/>
      <c r="F7" s="109"/>
      <c r="G7" s="109"/>
      <c r="J7" s="112"/>
      <c r="K7" s="112"/>
      <c r="L7" s="112"/>
      <c r="M7" s="112"/>
      <c r="N7" s="112"/>
      <c r="O7" s="112"/>
      <c r="P7" s="112"/>
    </row>
    <row r="8" s="102" customFormat="1" ht="15.5" spans="1:16">
      <c r="A8" s="108" t="s">
        <v>73</v>
      </c>
      <c r="B8" s="109"/>
      <c r="C8" s="109"/>
      <c r="D8" s="109"/>
      <c r="E8" s="109"/>
      <c r="F8" s="109"/>
      <c r="G8" s="109"/>
      <c r="J8" s="112"/>
      <c r="K8" s="112"/>
      <c r="L8" s="112"/>
      <c r="M8" s="112"/>
      <c r="N8" s="112"/>
      <c r="O8" s="112"/>
      <c r="P8" s="112"/>
    </row>
    <row r="9" s="102" customFormat="1" ht="15.5" spans="1:16">
      <c r="A9" s="108" t="s">
        <v>74</v>
      </c>
      <c r="B9" s="109"/>
      <c r="C9" s="109"/>
      <c r="D9" s="109"/>
      <c r="E9" s="109"/>
      <c r="F9" s="109"/>
      <c r="G9" s="109"/>
      <c r="J9" s="112"/>
      <c r="K9" s="112"/>
      <c r="L9" s="112"/>
      <c r="M9" s="112"/>
      <c r="N9" s="112"/>
      <c r="O9" s="112"/>
      <c r="P9" s="112"/>
    </row>
    <row r="10" s="102" customFormat="1" ht="15.5" spans="1:16">
      <c r="A10" s="106" t="s">
        <v>75</v>
      </c>
      <c r="B10" s="106"/>
      <c r="C10" s="106"/>
      <c r="D10" s="106"/>
      <c r="E10" s="104"/>
      <c r="F10" s="104"/>
      <c r="G10" s="104"/>
      <c r="J10" s="104"/>
      <c r="K10" s="104"/>
      <c r="L10" s="104"/>
      <c r="M10" s="104"/>
      <c r="N10" s="104"/>
      <c r="O10" s="104"/>
      <c r="P10" s="104"/>
    </row>
    <row r="11" ht="27.95" customHeight="1" spans="1:4">
      <c r="A11" s="106" t="s">
        <v>76</v>
      </c>
      <c r="B11" s="106"/>
      <c r="C11" s="106"/>
      <c r="D11" s="106"/>
    </row>
    <row r="12" ht="19.5" customHeight="1" spans="1:4">
      <c r="A12" s="106" t="s">
        <v>77</v>
      </c>
      <c r="B12" s="106"/>
      <c r="C12" s="106"/>
      <c r="D12" s="106"/>
    </row>
    <row r="13" ht="26.25" customHeight="1" spans="1:4">
      <c r="A13" s="110"/>
      <c r="B13" s="110"/>
      <c r="C13" s="110"/>
      <c r="D13" s="110"/>
    </row>
    <row r="14" ht="14.1" customHeight="1" spans="1:4">
      <c r="A14" s="106"/>
      <c r="B14" s="106"/>
      <c r="C14" s="106"/>
      <c r="D14" s="106"/>
    </row>
    <row r="16" spans="1:4">
      <c r="A16" s="106"/>
      <c r="B16" s="106"/>
      <c r="C16" s="106"/>
      <c r="D16" s="106"/>
    </row>
    <row r="19" ht="15" customHeight="1"/>
    <row r="20" s="103" customFormat="1" spans="1:6">
      <c r="A20" s="111"/>
      <c r="B20" s="111"/>
      <c r="C20" s="111"/>
      <c r="D20" s="111"/>
      <c r="E20" s="111"/>
      <c r="F20" s="104"/>
    </row>
  </sheetData>
  <mergeCells count="11">
    <mergeCell ref="A1:D1"/>
    <mergeCell ref="A2:D2"/>
    <mergeCell ref="A4:D4"/>
    <mergeCell ref="A5:D5"/>
    <mergeCell ref="A10:D10"/>
    <mergeCell ref="A11:D11"/>
    <mergeCell ref="A12:D12"/>
    <mergeCell ref="A13:D13"/>
    <mergeCell ref="A14:D14"/>
    <mergeCell ref="A16:D16"/>
    <mergeCell ref="A20:E20"/>
  </mergeCells>
  <pageMargins left="0.7" right="0.7" top="0.75" bottom="0.75" header="0.3" footer="0.3"/>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3"/>
  <sheetViews>
    <sheetView workbookViewId="0">
      <pane ySplit="3" topLeftCell="A34" activePane="bottomLeft" state="frozen"/>
      <selection/>
      <selection pane="bottomLeft" activeCell="I69" sqref="I69"/>
    </sheetView>
  </sheetViews>
  <sheetFormatPr defaultColWidth="9" defaultRowHeight="14"/>
  <cols>
    <col min="1" max="1" width="21" customWidth="1"/>
    <col min="2" max="2" width="16" customWidth="1"/>
    <col min="3" max="3" width="11.5" customWidth="1"/>
    <col min="4" max="4" width="14.3727272727273" customWidth="1"/>
    <col min="5" max="5" width="13.3727272727273" customWidth="1"/>
    <col min="6" max="6" width="12.2545454545455" customWidth="1"/>
    <col min="7" max="7" width="13.8727272727273" customWidth="1"/>
    <col min="8" max="8" width="13" customWidth="1"/>
    <col min="10" max="18" width="12.6272727272727"/>
  </cols>
  <sheetData>
    <row r="1" ht="21" customHeight="1" spans="1:8">
      <c r="A1" s="66" t="s">
        <v>78</v>
      </c>
      <c r="B1" s="67"/>
      <c r="C1" s="67"/>
      <c r="D1" s="67"/>
      <c r="E1" s="67"/>
      <c r="F1" s="68"/>
      <c r="G1" s="68"/>
      <c r="H1" s="69"/>
    </row>
    <row r="2" spans="1:8">
      <c r="A2" s="70" t="s">
        <v>79</v>
      </c>
      <c r="B2" s="71" t="s">
        <v>22</v>
      </c>
      <c r="C2" s="71" t="s">
        <v>80</v>
      </c>
      <c r="D2" s="72" t="s">
        <v>81</v>
      </c>
      <c r="E2" s="72" t="s">
        <v>82</v>
      </c>
      <c r="F2" s="72" t="s">
        <v>83</v>
      </c>
      <c r="G2" s="72" t="s">
        <v>84</v>
      </c>
      <c r="H2" s="73" t="s">
        <v>85</v>
      </c>
    </row>
    <row r="3" ht="24" customHeight="1" spans="1:8">
      <c r="A3" s="74"/>
      <c r="B3" s="75"/>
      <c r="C3" s="75"/>
      <c r="D3" s="76"/>
      <c r="E3" s="76"/>
      <c r="F3" s="76"/>
      <c r="G3" s="76"/>
      <c r="H3" s="77"/>
    </row>
    <row r="4" spans="1:8">
      <c r="A4" s="78" t="s">
        <v>32</v>
      </c>
      <c r="B4" s="79" t="s">
        <v>33</v>
      </c>
      <c r="C4" s="80">
        <v>120</v>
      </c>
      <c r="D4" s="81">
        <v>0.0896</v>
      </c>
      <c r="E4" s="81">
        <v>0.0928</v>
      </c>
      <c r="F4" s="82">
        <f t="shared" ref="F4:F10" si="0">AVERAGE(D4:E4)</f>
        <v>0.0912</v>
      </c>
      <c r="G4" s="83">
        <f t="shared" ref="G4:G9" si="1">F4/F$9*100</f>
        <v>41.7391304347826</v>
      </c>
      <c r="H4" s="84">
        <f t="shared" ref="H4:H9" si="2">LN(G4)</f>
        <v>3.73143906853273</v>
      </c>
    </row>
    <row r="5" spans="1:11">
      <c r="A5" s="78"/>
      <c r="B5" s="85"/>
      <c r="C5" s="80">
        <v>60</v>
      </c>
      <c r="D5" s="81">
        <v>0.143</v>
      </c>
      <c r="E5" s="81">
        <v>0.156</v>
      </c>
      <c r="F5" s="82">
        <f t="shared" si="0"/>
        <v>0.1495</v>
      </c>
      <c r="G5" s="83">
        <f t="shared" si="1"/>
        <v>68.4210526315789</v>
      </c>
      <c r="H5" s="84">
        <f t="shared" si="2"/>
        <v>4.22568056428319</v>
      </c>
      <c r="I5" s="99"/>
      <c r="J5" s="100"/>
      <c r="K5" s="100"/>
    </row>
    <row r="6" spans="1:11">
      <c r="A6" s="78"/>
      <c r="B6" s="85"/>
      <c r="C6" s="80">
        <v>30</v>
      </c>
      <c r="D6" s="81">
        <v>0.177</v>
      </c>
      <c r="E6" s="81">
        <v>0.175</v>
      </c>
      <c r="F6" s="82">
        <f t="shared" si="0"/>
        <v>0.176</v>
      </c>
      <c r="G6" s="83">
        <f t="shared" si="1"/>
        <v>80.5491990846682</v>
      </c>
      <c r="H6" s="84">
        <f t="shared" si="2"/>
        <v>4.3888681664906</v>
      </c>
      <c r="I6" s="99"/>
      <c r="J6" s="100"/>
      <c r="K6" s="100"/>
    </row>
    <row r="7" spans="1:11">
      <c r="A7" s="78"/>
      <c r="B7" s="85"/>
      <c r="C7" s="80">
        <v>15</v>
      </c>
      <c r="D7" s="81">
        <v>0.194</v>
      </c>
      <c r="E7" s="81">
        <v>0.198</v>
      </c>
      <c r="F7" s="82">
        <f t="shared" si="0"/>
        <v>0.196</v>
      </c>
      <c r="G7" s="83">
        <f t="shared" si="1"/>
        <v>89.7025171624714</v>
      </c>
      <c r="H7" s="84">
        <f t="shared" si="2"/>
        <v>4.49649883068296</v>
      </c>
      <c r="I7" s="99"/>
      <c r="J7" s="100"/>
      <c r="K7" s="100"/>
    </row>
    <row r="8" spans="1:11">
      <c r="A8" s="78"/>
      <c r="B8" s="85"/>
      <c r="C8" s="80">
        <v>5</v>
      </c>
      <c r="D8" s="81">
        <v>0.199</v>
      </c>
      <c r="E8" s="81">
        <v>0.211</v>
      </c>
      <c r="F8" s="82">
        <f t="shared" si="0"/>
        <v>0.205</v>
      </c>
      <c r="G8" s="83">
        <f t="shared" si="1"/>
        <v>93.8215102974828</v>
      </c>
      <c r="H8" s="84">
        <f t="shared" si="2"/>
        <v>4.54139415059085</v>
      </c>
      <c r="I8" s="99"/>
      <c r="J8" s="100"/>
      <c r="K8" s="100"/>
    </row>
    <row r="9" spans="1:11">
      <c r="A9" s="78"/>
      <c r="B9" s="85"/>
      <c r="C9" s="80">
        <v>0</v>
      </c>
      <c r="D9" s="81">
        <v>0.209</v>
      </c>
      <c r="E9" s="81">
        <v>0.228</v>
      </c>
      <c r="F9" s="82">
        <f t="shared" si="0"/>
        <v>0.2185</v>
      </c>
      <c r="G9" s="83">
        <f t="shared" si="1"/>
        <v>100</v>
      </c>
      <c r="H9" s="84">
        <f t="shared" si="2"/>
        <v>4.60517018598809</v>
      </c>
      <c r="I9" s="99"/>
      <c r="J9" s="100"/>
      <c r="K9" s="100"/>
    </row>
    <row r="10" spans="1:11">
      <c r="A10" s="86" t="s">
        <v>38</v>
      </c>
      <c r="B10" s="85"/>
      <c r="C10" s="80">
        <v>120</v>
      </c>
      <c r="D10" s="81">
        <v>0</v>
      </c>
      <c r="E10" s="81">
        <v>0</v>
      </c>
      <c r="F10" s="82">
        <f t="shared" si="0"/>
        <v>0</v>
      </c>
      <c r="G10" s="83">
        <f t="shared" ref="G10:G15" si="3">F10/F$15*100</f>
        <v>0</v>
      </c>
      <c r="H10" s="87" t="s">
        <v>86</v>
      </c>
      <c r="I10" s="99"/>
      <c r="J10" s="100"/>
      <c r="K10" s="100"/>
    </row>
    <row r="11" spans="1:11">
      <c r="A11" s="86"/>
      <c r="B11" s="85"/>
      <c r="C11" s="80">
        <v>60</v>
      </c>
      <c r="D11" s="81">
        <v>0.146</v>
      </c>
      <c r="E11" s="81">
        <v>0.139</v>
      </c>
      <c r="F11" s="82">
        <f t="shared" ref="F11:F22" si="4">AVERAGE(D11:E11)</f>
        <v>0.1425</v>
      </c>
      <c r="G11" s="83">
        <f t="shared" si="3"/>
        <v>1.70658682634731</v>
      </c>
      <c r="H11" s="84">
        <f t="shared" ref="H11:H25" si="5">LN(G11)</f>
        <v>0.534495367851896</v>
      </c>
      <c r="I11" s="99"/>
      <c r="J11" s="100"/>
      <c r="K11" s="99"/>
    </row>
    <row r="12" spans="1:11">
      <c r="A12" s="86"/>
      <c r="B12" s="85"/>
      <c r="C12" s="80">
        <v>30</v>
      </c>
      <c r="D12" s="81">
        <v>0.955</v>
      </c>
      <c r="E12" s="81">
        <v>0.973</v>
      </c>
      <c r="F12" s="82">
        <f t="shared" si="4"/>
        <v>0.964</v>
      </c>
      <c r="G12" s="83">
        <f t="shared" si="3"/>
        <v>11.5449101796407</v>
      </c>
      <c r="H12" s="84">
        <f t="shared" si="5"/>
        <v>2.44624466275374</v>
      </c>
      <c r="I12" s="99"/>
      <c r="J12" s="100"/>
      <c r="K12" s="99"/>
    </row>
    <row r="13" spans="1:11">
      <c r="A13" s="86"/>
      <c r="B13" s="85"/>
      <c r="C13" s="80">
        <v>15</v>
      </c>
      <c r="D13" s="81">
        <v>3.35</v>
      </c>
      <c r="E13" s="81">
        <v>2.94</v>
      </c>
      <c r="F13" s="82">
        <f t="shared" si="4"/>
        <v>3.145</v>
      </c>
      <c r="G13" s="83">
        <f t="shared" si="3"/>
        <v>37.6646706586826</v>
      </c>
      <c r="H13" s="84">
        <f t="shared" si="5"/>
        <v>3.62872253727773</v>
      </c>
      <c r="I13" s="99"/>
      <c r="J13" s="100"/>
      <c r="K13" s="100"/>
    </row>
    <row r="14" spans="1:11">
      <c r="A14" s="86"/>
      <c r="B14" s="85"/>
      <c r="C14" s="80">
        <v>5</v>
      </c>
      <c r="D14" s="81">
        <v>5.73</v>
      </c>
      <c r="E14" s="81">
        <v>5.6</v>
      </c>
      <c r="F14" s="82">
        <f t="shared" si="4"/>
        <v>5.665</v>
      </c>
      <c r="G14" s="83">
        <f t="shared" si="3"/>
        <v>67.8443113772455</v>
      </c>
      <c r="H14" s="84">
        <f t="shared" si="5"/>
        <v>4.2172155416053</v>
      </c>
      <c r="I14" s="99"/>
      <c r="J14" s="61"/>
      <c r="K14" s="61"/>
    </row>
    <row r="15" spans="1:11">
      <c r="A15" s="86"/>
      <c r="B15" s="88"/>
      <c r="C15" s="80">
        <v>0</v>
      </c>
      <c r="D15" s="81">
        <v>8</v>
      </c>
      <c r="E15" s="81">
        <v>8.7</v>
      </c>
      <c r="F15" s="82">
        <f t="shared" si="4"/>
        <v>8.35</v>
      </c>
      <c r="G15" s="83">
        <f t="shared" si="3"/>
        <v>100</v>
      </c>
      <c r="H15" s="84">
        <f t="shared" si="5"/>
        <v>4.60517018598809</v>
      </c>
      <c r="I15" s="99"/>
      <c r="J15" s="99"/>
      <c r="K15" s="99"/>
    </row>
    <row r="16" spans="1:8">
      <c r="A16" s="78" t="s">
        <v>32</v>
      </c>
      <c r="B16" s="79" t="s">
        <v>34</v>
      </c>
      <c r="C16" s="80">
        <v>120</v>
      </c>
      <c r="D16" s="81">
        <v>0</v>
      </c>
      <c r="E16" s="81">
        <v>0</v>
      </c>
      <c r="F16" s="82">
        <f t="shared" si="4"/>
        <v>0</v>
      </c>
      <c r="G16" s="83">
        <f t="shared" ref="G16:G21" si="6">F16/F$21*100</f>
        <v>0</v>
      </c>
      <c r="H16" s="87" t="s">
        <v>86</v>
      </c>
    </row>
    <row r="17" spans="1:8">
      <c r="A17" s="78"/>
      <c r="B17" s="85"/>
      <c r="C17" s="80">
        <v>60</v>
      </c>
      <c r="D17" s="81">
        <v>0.00783</v>
      </c>
      <c r="E17" s="81">
        <v>0.00841</v>
      </c>
      <c r="F17" s="82">
        <f t="shared" si="4"/>
        <v>0.00812</v>
      </c>
      <c r="G17" s="83">
        <f t="shared" si="6"/>
        <v>3.73333333333333</v>
      </c>
      <c r="H17" s="84">
        <f t="shared" si="5"/>
        <v>1.31730148963294</v>
      </c>
    </row>
    <row r="18" spans="1:8">
      <c r="A18" s="78"/>
      <c r="B18" s="85"/>
      <c r="C18" s="80">
        <v>30</v>
      </c>
      <c r="D18" s="81">
        <v>0.0529</v>
      </c>
      <c r="E18" s="81">
        <v>0.0613</v>
      </c>
      <c r="F18" s="82">
        <f t="shared" si="4"/>
        <v>0.0571</v>
      </c>
      <c r="G18" s="83">
        <f t="shared" si="6"/>
        <v>26.2528735632184</v>
      </c>
      <c r="H18" s="84">
        <f t="shared" si="5"/>
        <v>3.26777545212132</v>
      </c>
    </row>
    <row r="19" spans="1:8">
      <c r="A19" s="78"/>
      <c r="B19" s="85"/>
      <c r="C19" s="80">
        <v>15</v>
      </c>
      <c r="D19" s="81">
        <v>0.145</v>
      </c>
      <c r="E19" s="81">
        <v>0.141</v>
      </c>
      <c r="F19" s="82">
        <f t="shared" si="4"/>
        <v>0.143</v>
      </c>
      <c r="G19" s="83">
        <f t="shared" si="6"/>
        <v>65.7471264367816</v>
      </c>
      <c r="H19" s="84">
        <f t="shared" si="5"/>
        <v>4.18581596571926</v>
      </c>
    </row>
    <row r="20" spans="1:8">
      <c r="A20" s="78"/>
      <c r="B20" s="85"/>
      <c r="C20" s="80">
        <v>5</v>
      </c>
      <c r="D20" s="81">
        <v>0.189</v>
      </c>
      <c r="E20" s="81">
        <v>0.193</v>
      </c>
      <c r="F20" s="82">
        <f t="shared" si="4"/>
        <v>0.191</v>
      </c>
      <c r="G20" s="83">
        <f t="shared" si="6"/>
        <v>87.816091954023</v>
      </c>
      <c r="H20" s="84">
        <f t="shared" si="5"/>
        <v>4.47524476350598</v>
      </c>
    </row>
    <row r="21" spans="1:8">
      <c r="A21" s="78"/>
      <c r="B21" s="85"/>
      <c r="C21" s="80">
        <v>0</v>
      </c>
      <c r="D21" s="81">
        <v>0.213</v>
      </c>
      <c r="E21" s="81">
        <v>0.222</v>
      </c>
      <c r="F21" s="82">
        <f t="shared" si="4"/>
        <v>0.2175</v>
      </c>
      <c r="G21" s="83">
        <f t="shared" si="6"/>
        <v>100</v>
      </c>
      <c r="H21" s="84">
        <f t="shared" si="5"/>
        <v>4.60517018598809</v>
      </c>
    </row>
    <row r="22" spans="1:11">
      <c r="A22" s="86" t="s">
        <v>38</v>
      </c>
      <c r="B22" s="85"/>
      <c r="C22" s="80">
        <v>120</v>
      </c>
      <c r="D22" s="81">
        <v>0.821</v>
      </c>
      <c r="E22" s="81">
        <v>0.899</v>
      </c>
      <c r="F22" s="82">
        <f t="shared" si="4"/>
        <v>0.86</v>
      </c>
      <c r="G22" s="83">
        <f t="shared" ref="G22:G27" si="7">F22/F$27*100</f>
        <v>9.6035734226689</v>
      </c>
      <c r="H22" s="84">
        <f t="shared" si="5"/>
        <v>2.26213526074083</v>
      </c>
      <c r="K22" s="64"/>
    </row>
    <row r="23" spans="1:11">
      <c r="A23" s="86"/>
      <c r="B23" s="85"/>
      <c r="C23" s="80">
        <v>60</v>
      </c>
      <c r="D23" s="81">
        <v>2.21</v>
      </c>
      <c r="E23" s="81">
        <v>2.17</v>
      </c>
      <c r="F23" s="82">
        <f t="shared" ref="F23:F34" si="8">AVERAGE(D23:E23)</f>
        <v>2.19</v>
      </c>
      <c r="G23" s="89">
        <f t="shared" si="7"/>
        <v>24.4556113902848</v>
      </c>
      <c r="H23" s="84">
        <f t="shared" si="5"/>
        <v>3.19685969430383</v>
      </c>
      <c r="K23" s="64"/>
    </row>
    <row r="24" spans="1:11">
      <c r="A24" s="86"/>
      <c r="B24" s="85"/>
      <c r="C24" s="80">
        <v>30</v>
      </c>
      <c r="D24" s="81">
        <v>3.69</v>
      </c>
      <c r="E24" s="81">
        <v>3.81</v>
      </c>
      <c r="F24" s="82">
        <f t="shared" si="8"/>
        <v>3.75</v>
      </c>
      <c r="G24" s="89">
        <f t="shared" si="7"/>
        <v>41.8760469011725</v>
      </c>
      <c r="H24" s="84">
        <f t="shared" si="5"/>
        <v>3.73471399045774</v>
      </c>
      <c r="K24" s="64"/>
    </row>
    <row r="25" spans="1:11">
      <c r="A25" s="86"/>
      <c r="B25" s="85"/>
      <c r="C25" s="80">
        <v>15</v>
      </c>
      <c r="D25" s="81">
        <v>5.14</v>
      </c>
      <c r="E25" s="81">
        <v>5.98</v>
      </c>
      <c r="F25" s="82">
        <f t="shared" si="8"/>
        <v>5.56</v>
      </c>
      <c r="G25" s="89">
        <f t="shared" si="7"/>
        <v>62.0882188721385</v>
      </c>
      <c r="H25" s="84">
        <f t="shared" si="5"/>
        <v>4.12855625873791</v>
      </c>
      <c r="K25" s="64"/>
    </row>
    <row r="26" spans="1:11">
      <c r="A26" s="86"/>
      <c r="B26" s="85"/>
      <c r="C26" s="80">
        <v>5</v>
      </c>
      <c r="D26" s="81">
        <v>7.36</v>
      </c>
      <c r="E26" s="81">
        <v>7.34</v>
      </c>
      <c r="F26" s="82">
        <f t="shared" si="8"/>
        <v>7.35</v>
      </c>
      <c r="G26" s="89">
        <f t="shared" si="7"/>
        <v>82.0770519262982</v>
      </c>
      <c r="H26" s="84">
        <f t="shared" ref="H26:H33" si="9">LN(G26)</f>
        <v>4.40765846370016</v>
      </c>
      <c r="K26" s="64"/>
    </row>
    <row r="27" spans="1:8">
      <c r="A27" s="86"/>
      <c r="B27" s="88"/>
      <c r="C27" s="80">
        <v>0</v>
      </c>
      <c r="D27" s="81">
        <v>8.93</v>
      </c>
      <c r="E27" s="81">
        <v>8.98</v>
      </c>
      <c r="F27" s="82">
        <f t="shared" si="8"/>
        <v>8.955</v>
      </c>
      <c r="G27" s="83">
        <f t="shared" si="7"/>
        <v>100</v>
      </c>
      <c r="H27" s="84">
        <f t="shared" si="9"/>
        <v>4.60517018598809</v>
      </c>
    </row>
    <row r="28" spans="1:8">
      <c r="A28" s="78" t="s">
        <v>32</v>
      </c>
      <c r="B28" s="79" t="s">
        <v>35</v>
      </c>
      <c r="C28" s="80">
        <v>120</v>
      </c>
      <c r="D28" s="81">
        <v>0.105</v>
      </c>
      <c r="E28" s="81">
        <v>0.114</v>
      </c>
      <c r="F28" s="82">
        <f t="shared" si="8"/>
        <v>0.1095</v>
      </c>
      <c r="G28" s="83">
        <f t="shared" ref="G28:G33" si="10">F28/F$33*100</f>
        <v>45.4356846473029</v>
      </c>
      <c r="H28" s="84">
        <f t="shared" si="9"/>
        <v>3.81629780175399</v>
      </c>
    </row>
    <row r="29" spans="1:11">
      <c r="A29" s="78"/>
      <c r="B29" s="85"/>
      <c r="C29" s="80">
        <v>60</v>
      </c>
      <c r="D29" s="81">
        <v>0.174</v>
      </c>
      <c r="E29" s="81">
        <v>0.176</v>
      </c>
      <c r="F29" s="82">
        <f t="shared" si="8"/>
        <v>0.175</v>
      </c>
      <c r="G29" s="83">
        <f t="shared" si="10"/>
        <v>72.6141078838174</v>
      </c>
      <c r="H29" s="84">
        <f t="shared" si="9"/>
        <v>4.28515922642095</v>
      </c>
      <c r="K29" s="64"/>
    </row>
    <row r="30" spans="1:8">
      <c r="A30" s="78"/>
      <c r="B30" s="85"/>
      <c r="C30" s="80">
        <v>30</v>
      </c>
      <c r="D30" s="81">
        <v>0.2</v>
      </c>
      <c r="E30" s="81">
        <v>0.203</v>
      </c>
      <c r="F30" s="82">
        <f t="shared" si="8"/>
        <v>0.2015</v>
      </c>
      <c r="G30" s="83">
        <f t="shared" si="10"/>
        <v>83.6099585062241</v>
      </c>
      <c r="H30" s="84">
        <f t="shared" si="9"/>
        <v>4.42616263388417</v>
      </c>
    </row>
    <row r="31" spans="1:8">
      <c r="A31" s="78"/>
      <c r="B31" s="85"/>
      <c r="C31" s="80">
        <v>15</v>
      </c>
      <c r="D31" s="81">
        <v>0.232</v>
      </c>
      <c r="E31" s="81">
        <v>0.227</v>
      </c>
      <c r="F31" s="82">
        <f t="shared" si="8"/>
        <v>0.2295</v>
      </c>
      <c r="G31" s="83">
        <f t="shared" si="10"/>
        <v>95.2282157676349</v>
      </c>
      <c r="H31" s="84">
        <f t="shared" si="9"/>
        <v>4.55627628199804</v>
      </c>
    </row>
    <row r="32" spans="1:8">
      <c r="A32" s="78"/>
      <c r="B32" s="85"/>
      <c r="C32" s="80">
        <v>5</v>
      </c>
      <c r="D32" s="81">
        <v>0.226</v>
      </c>
      <c r="E32" s="81">
        <v>0.231</v>
      </c>
      <c r="F32" s="82">
        <f t="shared" si="8"/>
        <v>0.2285</v>
      </c>
      <c r="G32" s="83">
        <f t="shared" si="10"/>
        <v>94.8132780082988</v>
      </c>
      <c r="H32" s="84">
        <f t="shared" si="9"/>
        <v>4.5519094628317</v>
      </c>
    </row>
    <row r="33" spans="1:8">
      <c r="A33" s="78"/>
      <c r="B33" s="85"/>
      <c r="C33" s="80">
        <v>0</v>
      </c>
      <c r="D33" s="81">
        <v>0.237</v>
      </c>
      <c r="E33" s="81">
        <v>0.245</v>
      </c>
      <c r="F33" s="82">
        <f t="shared" si="8"/>
        <v>0.241</v>
      </c>
      <c r="G33" s="83">
        <f t="shared" si="10"/>
        <v>100</v>
      </c>
      <c r="H33" s="84">
        <f t="shared" si="9"/>
        <v>4.60517018598809</v>
      </c>
    </row>
    <row r="34" spans="1:8">
      <c r="A34" s="86" t="s">
        <v>39</v>
      </c>
      <c r="B34" s="85"/>
      <c r="C34" s="80">
        <v>120</v>
      </c>
      <c r="D34" s="81">
        <v>0.00127</v>
      </c>
      <c r="E34" s="81">
        <v>0.00168</v>
      </c>
      <c r="F34" s="82">
        <f t="shared" si="8"/>
        <v>0.001475</v>
      </c>
      <c r="G34" s="83">
        <f t="shared" ref="G34:G39" si="11">F34/F$39*100</f>
        <v>0.0274418604651163</v>
      </c>
      <c r="H34" s="90">
        <f t="shared" ref="H34:H51" si="12">LN(G34)</f>
        <v>-3.59568567721599</v>
      </c>
    </row>
    <row r="35" spans="1:8">
      <c r="A35" s="86"/>
      <c r="B35" s="85"/>
      <c r="C35" s="80">
        <v>60</v>
      </c>
      <c r="D35" s="81">
        <v>0.0983</v>
      </c>
      <c r="E35" s="81">
        <v>0.108</v>
      </c>
      <c r="F35" s="82">
        <f t="shared" ref="F35:F45" si="13">AVERAGE(D35:E35)</f>
        <v>0.10315</v>
      </c>
      <c r="G35" s="83">
        <f t="shared" si="11"/>
        <v>1.91906976744186</v>
      </c>
      <c r="H35" s="84">
        <f t="shared" si="12"/>
        <v>0.651840572509489</v>
      </c>
    </row>
    <row r="36" spans="1:8">
      <c r="A36" s="86"/>
      <c r="B36" s="85"/>
      <c r="C36" s="80">
        <v>30</v>
      </c>
      <c r="D36" s="81">
        <v>0.772</v>
      </c>
      <c r="E36" s="81">
        <v>0.815</v>
      </c>
      <c r="F36" s="82">
        <f t="shared" si="13"/>
        <v>0.7935</v>
      </c>
      <c r="G36" s="83">
        <f t="shared" si="11"/>
        <v>14.7627906976744</v>
      </c>
      <c r="H36" s="84">
        <f t="shared" si="12"/>
        <v>2.69210987295869</v>
      </c>
    </row>
    <row r="37" spans="1:8">
      <c r="A37" s="86"/>
      <c r="B37" s="85"/>
      <c r="C37" s="80">
        <v>15</v>
      </c>
      <c r="D37" s="81">
        <v>2.38</v>
      </c>
      <c r="E37" s="81">
        <v>2.6</v>
      </c>
      <c r="F37" s="82">
        <f t="shared" si="13"/>
        <v>2.49</v>
      </c>
      <c r="G37" s="83">
        <f t="shared" si="11"/>
        <v>46.3255813953488</v>
      </c>
      <c r="H37" s="84">
        <f t="shared" si="12"/>
        <v>3.83569432245098</v>
      </c>
    </row>
    <row r="38" spans="1:8">
      <c r="A38" s="86"/>
      <c r="B38" s="85"/>
      <c r="C38" s="80">
        <v>5</v>
      </c>
      <c r="D38" s="81">
        <v>4.06</v>
      </c>
      <c r="E38" s="81">
        <v>4.31</v>
      </c>
      <c r="F38" s="82">
        <f t="shared" si="13"/>
        <v>4.185</v>
      </c>
      <c r="G38" s="83">
        <f t="shared" si="11"/>
        <v>77.8604651162791</v>
      </c>
      <c r="H38" s="84">
        <f t="shared" si="12"/>
        <v>4.3549183159158</v>
      </c>
    </row>
    <row r="39" spans="1:8">
      <c r="A39" s="86"/>
      <c r="B39" s="88"/>
      <c r="C39" s="80">
        <v>0</v>
      </c>
      <c r="D39" s="81">
        <v>5.39</v>
      </c>
      <c r="E39" s="81">
        <v>5.36</v>
      </c>
      <c r="F39" s="82">
        <f t="shared" si="13"/>
        <v>5.375</v>
      </c>
      <c r="G39" s="83">
        <f t="shared" si="11"/>
        <v>100</v>
      </c>
      <c r="H39" s="84">
        <f t="shared" si="12"/>
        <v>4.60517018598809</v>
      </c>
    </row>
    <row r="40" spans="1:8">
      <c r="A40" s="78" t="s">
        <v>32</v>
      </c>
      <c r="B40" s="79" t="s">
        <v>36</v>
      </c>
      <c r="C40" s="80">
        <v>120</v>
      </c>
      <c r="D40" s="81">
        <v>0.136</v>
      </c>
      <c r="E40" s="81">
        <v>0.144</v>
      </c>
      <c r="F40" s="82">
        <f t="shared" si="13"/>
        <v>0.14</v>
      </c>
      <c r="G40" s="83">
        <f t="shared" ref="G40:G45" si="14">F40/F$45*100</f>
        <v>50.6329113924051</v>
      </c>
      <c r="H40" s="84">
        <f t="shared" si="12"/>
        <v>3.92460178763501</v>
      </c>
    </row>
    <row r="41" spans="1:8">
      <c r="A41" s="78"/>
      <c r="B41" s="85"/>
      <c r="C41" s="80">
        <v>60</v>
      </c>
      <c r="D41" s="81">
        <v>0.198</v>
      </c>
      <c r="E41" s="81">
        <v>0.19</v>
      </c>
      <c r="F41" s="82">
        <f t="shared" si="13"/>
        <v>0.194</v>
      </c>
      <c r="G41" s="83">
        <f t="shared" si="14"/>
        <v>70.1627486437613</v>
      </c>
      <c r="H41" s="84">
        <f t="shared" si="12"/>
        <v>4.25081752408903</v>
      </c>
    </row>
    <row r="42" spans="1:8">
      <c r="A42" s="78"/>
      <c r="B42" s="85"/>
      <c r="C42" s="80">
        <v>30</v>
      </c>
      <c r="D42" s="81">
        <v>0.204</v>
      </c>
      <c r="E42" s="81">
        <v>0.22</v>
      </c>
      <c r="F42" s="82">
        <f t="shared" si="13"/>
        <v>0.212</v>
      </c>
      <c r="G42" s="83">
        <f t="shared" si="14"/>
        <v>76.6726943942134</v>
      </c>
      <c r="H42" s="84">
        <f t="shared" si="12"/>
        <v>4.33954563969771</v>
      </c>
    </row>
    <row r="43" spans="1:8">
      <c r="A43" s="78"/>
      <c r="B43" s="85"/>
      <c r="C43" s="80">
        <v>15</v>
      </c>
      <c r="D43" s="81">
        <v>0.236</v>
      </c>
      <c r="E43" s="81">
        <v>0.261</v>
      </c>
      <c r="F43" s="82">
        <f t="shared" si="13"/>
        <v>0.2485</v>
      </c>
      <c r="G43" s="83">
        <f t="shared" si="14"/>
        <v>89.873417721519</v>
      </c>
      <c r="H43" s="84">
        <f t="shared" si="12"/>
        <v>4.49840221056239</v>
      </c>
    </row>
    <row r="44" spans="1:8">
      <c r="A44" s="78"/>
      <c r="B44" s="85"/>
      <c r="C44" s="80">
        <v>5</v>
      </c>
      <c r="D44" s="81">
        <v>0.231</v>
      </c>
      <c r="E44" s="81">
        <v>0.238</v>
      </c>
      <c r="F44" s="82">
        <f t="shared" si="13"/>
        <v>0.2345</v>
      </c>
      <c r="G44" s="83">
        <f t="shared" si="14"/>
        <v>84.8101265822785</v>
      </c>
      <c r="H44" s="84">
        <f t="shared" si="12"/>
        <v>4.44041495291204</v>
      </c>
    </row>
    <row r="45" spans="1:8">
      <c r="A45" s="78"/>
      <c r="B45" s="85"/>
      <c r="C45" s="80">
        <v>0</v>
      </c>
      <c r="D45" s="81">
        <v>0.256</v>
      </c>
      <c r="E45" s="81">
        <v>0.297</v>
      </c>
      <c r="F45" s="82">
        <f t="shared" si="13"/>
        <v>0.2765</v>
      </c>
      <c r="G45" s="83">
        <f t="shared" si="14"/>
        <v>100</v>
      </c>
      <c r="H45" s="84">
        <f t="shared" si="12"/>
        <v>4.60517018598809</v>
      </c>
    </row>
    <row r="46" spans="1:8">
      <c r="A46" s="86" t="s">
        <v>40</v>
      </c>
      <c r="B46" s="85"/>
      <c r="C46" s="80">
        <v>120</v>
      </c>
      <c r="D46" s="81">
        <v>0</v>
      </c>
      <c r="E46" s="81">
        <v>0</v>
      </c>
      <c r="F46" s="82">
        <f t="shared" ref="F46:F57" si="15">AVERAGE(D46:E46)</f>
        <v>0</v>
      </c>
      <c r="G46" s="83">
        <f t="shared" ref="G46:G51" si="16">F46/F$51*100</f>
        <v>0</v>
      </c>
      <c r="H46" s="84" t="s">
        <v>86</v>
      </c>
    </row>
    <row r="47" spans="1:8">
      <c r="A47" s="86"/>
      <c r="B47" s="85"/>
      <c r="C47" s="80">
        <v>60</v>
      </c>
      <c r="D47" s="81">
        <v>0</v>
      </c>
      <c r="E47" s="81">
        <v>0</v>
      </c>
      <c r="F47" s="82">
        <f t="shared" si="15"/>
        <v>0</v>
      </c>
      <c r="G47" s="83">
        <f t="shared" si="16"/>
        <v>0</v>
      </c>
      <c r="H47" s="84" t="s">
        <v>86</v>
      </c>
    </row>
    <row r="48" spans="1:8">
      <c r="A48" s="86"/>
      <c r="B48" s="85"/>
      <c r="C48" s="80">
        <v>30</v>
      </c>
      <c r="D48" s="81">
        <v>0</v>
      </c>
      <c r="E48" s="81">
        <v>0</v>
      </c>
      <c r="F48" s="82">
        <f t="shared" si="15"/>
        <v>0</v>
      </c>
      <c r="G48" s="83">
        <f t="shared" si="16"/>
        <v>0</v>
      </c>
      <c r="H48" s="84" t="s">
        <v>86</v>
      </c>
    </row>
    <row r="49" spans="1:8">
      <c r="A49" s="86"/>
      <c r="B49" s="85"/>
      <c r="C49" s="80">
        <v>15</v>
      </c>
      <c r="D49" s="81">
        <v>0.0507</v>
      </c>
      <c r="E49" s="81">
        <v>0.0482</v>
      </c>
      <c r="F49" s="82">
        <f t="shared" si="15"/>
        <v>0.04945</v>
      </c>
      <c r="G49" s="83">
        <f t="shared" si="16"/>
        <v>0.392460317460317</v>
      </c>
      <c r="H49" s="91">
        <f t="shared" si="12"/>
        <v>-0.935319848882757</v>
      </c>
    </row>
    <row r="50" spans="1:8">
      <c r="A50" s="86"/>
      <c r="B50" s="85"/>
      <c r="C50" s="80">
        <v>5</v>
      </c>
      <c r="D50" s="81">
        <v>1.48</v>
      </c>
      <c r="E50" s="81">
        <v>1.57</v>
      </c>
      <c r="F50" s="82">
        <f t="shared" si="15"/>
        <v>1.525</v>
      </c>
      <c r="G50" s="83">
        <f t="shared" si="16"/>
        <v>12.1031746031746</v>
      </c>
      <c r="H50" s="84">
        <f t="shared" si="12"/>
        <v>2.49346778209003</v>
      </c>
    </row>
    <row r="51" spans="1:8">
      <c r="A51" s="86"/>
      <c r="B51" s="88"/>
      <c r="C51" s="80">
        <v>0</v>
      </c>
      <c r="D51" s="81">
        <v>12.8</v>
      </c>
      <c r="E51" s="81">
        <v>12.4</v>
      </c>
      <c r="F51" s="82">
        <f t="shared" si="15"/>
        <v>12.6</v>
      </c>
      <c r="G51" s="83">
        <f t="shared" si="16"/>
        <v>100</v>
      </c>
      <c r="H51" s="84">
        <f t="shared" si="12"/>
        <v>4.60517018598809</v>
      </c>
    </row>
    <row r="52" spans="1:8">
      <c r="A52" s="78" t="s">
        <v>32</v>
      </c>
      <c r="B52" s="79" t="s">
        <v>37</v>
      </c>
      <c r="C52" s="80">
        <v>120</v>
      </c>
      <c r="D52" s="81">
        <v>0.107</v>
      </c>
      <c r="E52" s="81">
        <v>0.107</v>
      </c>
      <c r="F52" s="82">
        <f t="shared" si="15"/>
        <v>0.107</v>
      </c>
      <c r="G52" s="83">
        <f t="shared" ref="G52:G57" si="17">F52/F$57*100</f>
        <v>48.5260770975057</v>
      </c>
      <c r="H52" s="84">
        <f t="shared" ref="H52:H57" si="18">LN(G52)</f>
        <v>3.8821013255631</v>
      </c>
    </row>
    <row r="53" spans="1:8">
      <c r="A53" s="78"/>
      <c r="B53" s="85"/>
      <c r="C53" s="80">
        <v>60</v>
      </c>
      <c r="D53" s="81">
        <v>0.164</v>
      </c>
      <c r="E53" s="81">
        <v>0.174</v>
      </c>
      <c r="F53" s="82">
        <f t="shared" si="15"/>
        <v>0.169</v>
      </c>
      <c r="G53" s="83">
        <f t="shared" si="17"/>
        <v>76.6439909297052</v>
      </c>
      <c r="H53" s="84">
        <f t="shared" si="18"/>
        <v>4.33917120602426</v>
      </c>
    </row>
    <row r="54" spans="1:8">
      <c r="A54" s="78"/>
      <c r="B54" s="85"/>
      <c r="C54" s="80">
        <v>30</v>
      </c>
      <c r="D54" s="81">
        <v>0.203</v>
      </c>
      <c r="E54" s="81">
        <v>0.196</v>
      </c>
      <c r="F54" s="82">
        <f t="shared" si="15"/>
        <v>0.1995</v>
      </c>
      <c r="G54" s="83">
        <f t="shared" si="17"/>
        <v>90.4761904761905</v>
      </c>
      <c r="H54" s="84">
        <f t="shared" si="18"/>
        <v>4.50508672743111</v>
      </c>
    </row>
    <row r="55" spans="1:8">
      <c r="A55" s="78"/>
      <c r="B55" s="85"/>
      <c r="C55" s="80">
        <v>15</v>
      </c>
      <c r="D55" s="81">
        <v>0.201</v>
      </c>
      <c r="E55" s="81">
        <v>0.202</v>
      </c>
      <c r="F55" s="82">
        <f t="shared" si="15"/>
        <v>0.2015</v>
      </c>
      <c r="G55" s="83">
        <f t="shared" si="17"/>
        <v>91.3832199546485</v>
      </c>
      <c r="H55" s="84">
        <f t="shared" si="18"/>
        <v>4.51506187248793</v>
      </c>
    </row>
    <row r="56" spans="1:8">
      <c r="A56" s="78"/>
      <c r="B56" s="85"/>
      <c r="C56" s="80">
        <v>5</v>
      </c>
      <c r="D56" s="81">
        <v>0.209</v>
      </c>
      <c r="E56" s="81">
        <v>0.224</v>
      </c>
      <c r="F56" s="82">
        <f t="shared" si="15"/>
        <v>0.2165</v>
      </c>
      <c r="G56" s="83">
        <f t="shared" si="17"/>
        <v>98.1859410430839</v>
      </c>
      <c r="H56" s="84">
        <f t="shared" si="18"/>
        <v>4.58686303854374</v>
      </c>
    </row>
    <row r="57" spans="1:8">
      <c r="A57" s="78"/>
      <c r="B57" s="85"/>
      <c r="C57" s="80">
        <v>0</v>
      </c>
      <c r="D57" s="81">
        <v>0.224</v>
      </c>
      <c r="E57" s="81">
        <v>0.217</v>
      </c>
      <c r="F57" s="82">
        <f t="shared" si="15"/>
        <v>0.2205</v>
      </c>
      <c r="G57" s="83">
        <f t="shared" si="17"/>
        <v>100</v>
      </c>
      <c r="H57" s="84">
        <f t="shared" si="18"/>
        <v>4.60517018598809</v>
      </c>
    </row>
    <row r="58" spans="1:8">
      <c r="A58" s="86" t="s">
        <v>40</v>
      </c>
      <c r="B58" s="85"/>
      <c r="C58" s="80">
        <v>120</v>
      </c>
      <c r="D58" s="81">
        <v>0</v>
      </c>
      <c r="E58" s="81">
        <v>0</v>
      </c>
      <c r="F58" s="82">
        <f t="shared" ref="F58:F63" si="19">AVERAGE(D58:E58)</f>
        <v>0</v>
      </c>
      <c r="G58" s="83">
        <f>F58/F$63*100</f>
        <v>0</v>
      </c>
      <c r="H58" s="84" t="s">
        <v>86</v>
      </c>
    </row>
    <row r="59" spans="1:8">
      <c r="A59" s="86"/>
      <c r="B59" s="85"/>
      <c r="C59" s="80">
        <v>60</v>
      </c>
      <c r="D59" s="81">
        <v>0.00209</v>
      </c>
      <c r="E59" s="81">
        <v>0.00275</v>
      </c>
      <c r="F59" s="82">
        <f t="shared" si="19"/>
        <v>0.00242</v>
      </c>
      <c r="G59" s="83">
        <f>F59/F$63*100</f>
        <v>0.02042194092827</v>
      </c>
      <c r="H59" s="91">
        <f>LN(G59)</f>
        <v>-3.89114542040659</v>
      </c>
    </row>
    <row r="60" spans="1:8">
      <c r="A60" s="86"/>
      <c r="B60" s="85"/>
      <c r="C60" s="80">
        <v>30</v>
      </c>
      <c r="D60" s="81">
        <v>0.209</v>
      </c>
      <c r="E60" s="81">
        <v>0.224</v>
      </c>
      <c r="F60" s="82">
        <f t="shared" si="19"/>
        <v>0.2165</v>
      </c>
      <c r="G60" s="83">
        <f t="shared" ref="G60:G63" si="20">F60/F$63*100</f>
        <v>1.82700421940928</v>
      </c>
      <c r="H60" s="84">
        <f>LN(G60)</f>
        <v>0.602677586867359</v>
      </c>
    </row>
    <row r="61" spans="1:8">
      <c r="A61" s="86"/>
      <c r="B61" s="85"/>
      <c r="C61" s="80">
        <v>15</v>
      </c>
      <c r="D61" s="81">
        <v>2.38</v>
      </c>
      <c r="E61" s="81">
        <v>2.38</v>
      </c>
      <c r="F61" s="82">
        <f t="shared" si="19"/>
        <v>2.38</v>
      </c>
      <c r="G61" s="83">
        <f t="shared" si="20"/>
        <v>20.084388185654</v>
      </c>
      <c r="H61" s="84">
        <f>LN(G61)</f>
        <v>2.99994280609033</v>
      </c>
    </row>
    <row r="62" spans="1:8">
      <c r="A62" s="86"/>
      <c r="B62" s="85"/>
      <c r="C62" s="80">
        <v>5</v>
      </c>
      <c r="D62" s="81">
        <v>6.49</v>
      </c>
      <c r="E62" s="81">
        <v>6.85</v>
      </c>
      <c r="F62" s="82">
        <f t="shared" si="19"/>
        <v>6.67</v>
      </c>
      <c r="G62" s="83">
        <f t="shared" si="20"/>
        <v>56.2869198312236</v>
      </c>
      <c r="H62" s="84">
        <f>LN(G62)</f>
        <v>4.03046217833448</v>
      </c>
    </row>
    <row r="63" ht="14.75" spans="1:8">
      <c r="A63" s="92"/>
      <c r="B63" s="93"/>
      <c r="C63" s="94">
        <v>0</v>
      </c>
      <c r="D63" s="95">
        <v>11.6</v>
      </c>
      <c r="E63" s="95">
        <v>12.1</v>
      </c>
      <c r="F63" s="96">
        <f t="shared" si="19"/>
        <v>11.85</v>
      </c>
      <c r="G63" s="97">
        <f t="shared" si="20"/>
        <v>100</v>
      </c>
      <c r="H63" s="98">
        <f>LN(G63)</f>
        <v>4.60517018598809</v>
      </c>
    </row>
  </sheetData>
  <mergeCells count="23">
    <mergeCell ref="A2:A3"/>
    <mergeCell ref="A4:A9"/>
    <mergeCell ref="A10:A15"/>
    <mergeCell ref="A16:A21"/>
    <mergeCell ref="A22:A27"/>
    <mergeCell ref="A28:A33"/>
    <mergeCell ref="A34:A39"/>
    <mergeCell ref="A40:A45"/>
    <mergeCell ref="A46:A51"/>
    <mergeCell ref="A52:A57"/>
    <mergeCell ref="A58:A63"/>
    <mergeCell ref="B2:B3"/>
    <mergeCell ref="B4:B15"/>
    <mergeCell ref="B16:B27"/>
    <mergeCell ref="B28:B39"/>
    <mergeCell ref="B40:B51"/>
    <mergeCell ref="B52:B63"/>
    <mergeCell ref="C2:C3"/>
    <mergeCell ref="D2:D3"/>
    <mergeCell ref="E2:E3"/>
    <mergeCell ref="F2:F3"/>
    <mergeCell ref="G2:G3"/>
    <mergeCell ref="H2:H3"/>
  </mergeCells>
  <pageMargins left="0.7" right="0.7" top="0.75" bottom="0.75" header="0.3" footer="0.3"/>
  <pageSetup paperSize="9"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3"/>
  <sheetViews>
    <sheetView workbookViewId="0">
      <selection activeCell="P36" sqref="P36"/>
    </sheetView>
  </sheetViews>
  <sheetFormatPr defaultColWidth="9" defaultRowHeight="14"/>
  <cols>
    <col min="1" max="1" width="18.3727272727273" style="60" customWidth="1"/>
    <col min="2" max="5" width="9" style="60"/>
    <col min="6" max="7" width="9.5" style="60" customWidth="1"/>
    <col min="8" max="8" width="9.12727272727273" style="61" customWidth="1"/>
    <col min="9" max="9" width="9" style="60"/>
    <col min="10" max="11" width="9.5" style="60" customWidth="1"/>
    <col min="12" max="12" width="9.12727272727273" style="61" customWidth="1"/>
    <col min="13" max="13" width="9.5" style="60" customWidth="1"/>
    <col min="14" max="14" width="9.12727272727273" style="60" customWidth="1"/>
    <col min="15" max="16384" width="9" style="60"/>
  </cols>
  <sheetData>
    <row r="1" spans="1:14">
      <c r="A1" s="62" t="s">
        <v>87</v>
      </c>
      <c r="B1" s="62"/>
      <c r="C1" s="62"/>
      <c r="D1" s="62"/>
      <c r="E1" s="62"/>
      <c r="F1" s="62"/>
      <c r="G1" s="62"/>
      <c r="H1" s="62"/>
      <c r="I1" s="62"/>
      <c r="J1" s="62"/>
      <c r="K1" s="62"/>
      <c r="L1" s="62"/>
      <c r="M1" s="62"/>
      <c r="N1" s="62"/>
    </row>
    <row r="2" spans="1:14">
      <c r="A2" s="62" t="s">
        <v>88</v>
      </c>
      <c r="B2" s="62"/>
      <c r="C2" s="62"/>
      <c r="D2" s="62"/>
      <c r="E2" s="62"/>
      <c r="F2" s="62"/>
      <c r="G2" s="62"/>
      <c r="H2" s="62"/>
      <c r="I2" s="62"/>
      <c r="J2" s="62"/>
      <c r="K2" s="62"/>
      <c r="L2" s="62"/>
      <c r="M2" s="62"/>
      <c r="N2" s="62"/>
    </row>
    <row r="3" spans="1:14">
      <c r="A3" s="62" t="s">
        <v>89</v>
      </c>
      <c r="B3" s="62"/>
      <c r="C3" s="62"/>
      <c r="D3" s="62"/>
      <c r="E3" s="62"/>
      <c r="F3" s="62"/>
      <c r="G3" s="62"/>
      <c r="H3" s="62"/>
      <c r="I3" s="62"/>
      <c r="J3" s="62"/>
      <c r="K3" s="62"/>
      <c r="L3" s="62"/>
      <c r="M3" s="62"/>
      <c r="N3" s="62"/>
    </row>
    <row r="4" spans="1:14">
      <c r="A4" s="62"/>
      <c r="B4" s="62"/>
      <c r="C4" s="62"/>
      <c r="D4" s="62"/>
      <c r="E4" s="62"/>
      <c r="F4" s="62"/>
      <c r="G4" s="62"/>
      <c r="H4" s="62"/>
      <c r="I4" s="62"/>
      <c r="J4" s="62"/>
      <c r="K4" s="62"/>
      <c r="L4" s="62"/>
      <c r="M4" s="62"/>
      <c r="N4" s="62"/>
    </row>
    <row r="5" spans="1:14">
      <c r="A5" s="62" t="s">
        <v>90</v>
      </c>
      <c r="B5" s="62"/>
      <c r="C5" s="62"/>
      <c r="D5" s="62"/>
      <c r="E5" s="62"/>
      <c r="F5" s="62"/>
      <c r="G5" s="62"/>
      <c r="H5" s="62"/>
      <c r="I5" s="62"/>
      <c r="J5" s="62"/>
      <c r="K5" s="62"/>
      <c r="L5" s="62"/>
      <c r="M5" s="62"/>
      <c r="N5" s="62"/>
    </row>
    <row r="6" spans="1:14">
      <c r="A6" s="62" t="s">
        <v>91</v>
      </c>
      <c r="B6" s="62"/>
      <c r="C6" s="62"/>
      <c r="D6" s="62"/>
      <c r="E6" s="62"/>
      <c r="F6" s="62"/>
      <c r="G6" s="62"/>
      <c r="H6" s="62"/>
      <c r="I6" s="62"/>
      <c r="J6" s="62"/>
      <c r="K6" s="62"/>
      <c r="L6" s="62"/>
      <c r="M6" s="62"/>
      <c r="N6" s="62"/>
    </row>
    <row r="7" spans="1:14">
      <c r="A7" s="62" t="s">
        <v>92</v>
      </c>
      <c r="B7" s="62"/>
      <c r="C7" s="62"/>
      <c r="D7" s="62"/>
      <c r="E7" s="62"/>
      <c r="F7" s="62"/>
      <c r="G7" s="62"/>
      <c r="H7" s="62"/>
      <c r="I7" s="62"/>
      <c r="J7" s="62"/>
      <c r="K7" s="62"/>
      <c r="L7" s="62"/>
      <c r="M7" s="62"/>
      <c r="N7" s="62"/>
    </row>
    <row r="8" spans="1:14">
      <c r="A8" s="62"/>
      <c r="B8" s="62"/>
      <c r="C8" s="62"/>
      <c r="D8" s="62"/>
      <c r="E8" s="62"/>
      <c r="F8" s="62"/>
      <c r="G8" s="62"/>
      <c r="H8" s="62"/>
      <c r="I8" s="62"/>
      <c r="J8" s="62"/>
      <c r="K8" s="62"/>
      <c r="L8" s="62"/>
      <c r="M8" s="62"/>
      <c r="N8" s="62"/>
    </row>
    <row r="9" spans="1:14">
      <c r="A9" s="62" t="s">
        <v>93</v>
      </c>
      <c r="B9" s="62" t="s">
        <v>94</v>
      </c>
      <c r="C9" s="62" t="s">
        <v>95</v>
      </c>
      <c r="D9" s="62" t="s">
        <v>96</v>
      </c>
      <c r="E9" s="62" t="s">
        <v>97</v>
      </c>
      <c r="F9" s="62" t="s">
        <v>98</v>
      </c>
      <c r="G9" s="62"/>
      <c r="H9" s="62"/>
      <c r="I9" s="62"/>
      <c r="J9" s="62"/>
      <c r="K9" s="62"/>
      <c r="L9" s="62"/>
      <c r="M9" s="62"/>
      <c r="N9" s="62"/>
    </row>
    <row r="10" spans="1:14">
      <c r="A10" s="62" t="s">
        <v>99</v>
      </c>
      <c r="B10" s="62" t="s">
        <v>100</v>
      </c>
      <c r="C10" s="62"/>
      <c r="D10" s="62"/>
      <c r="E10" s="62"/>
      <c r="F10" s="62"/>
      <c r="G10" s="62"/>
      <c r="H10" s="62"/>
      <c r="I10" s="62"/>
      <c r="J10" s="62"/>
      <c r="K10" s="62"/>
      <c r="L10" s="62"/>
      <c r="M10" s="62"/>
      <c r="N10" s="62"/>
    </row>
    <row r="11" spans="1:14">
      <c r="A11" s="62" t="s">
        <v>101</v>
      </c>
      <c r="B11" s="62"/>
      <c r="C11" s="62"/>
      <c r="D11" s="62"/>
      <c r="E11" s="62"/>
      <c r="F11" s="62"/>
      <c r="G11" s="62"/>
      <c r="H11" s="62"/>
      <c r="I11" s="62"/>
      <c r="J11" s="62"/>
      <c r="K11" s="62"/>
      <c r="L11" s="62"/>
      <c r="M11" s="62"/>
      <c r="N11" s="62"/>
    </row>
    <row r="12" spans="1:14">
      <c r="A12" s="62"/>
      <c r="B12" s="62"/>
      <c r="C12" s="62"/>
      <c r="D12" s="62"/>
      <c r="E12" s="62"/>
      <c r="F12" s="62"/>
      <c r="G12" s="62"/>
      <c r="H12" s="62"/>
      <c r="I12" s="62"/>
      <c r="J12" s="62"/>
      <c r="K12" s="62"/>
      <c r="L12" s="62"/>
      <c r="M12" s="62"/>
      <c r="N12" s="62"/>
    </row>
    <row r="13" spans="1:14">
      <c r="A13" s="62"/>
      <c r="B13" s="62"/>
      <c r="C13" s="62"/>
      <c r="D13" s="62"/>
      <c r="E13" s="62"/>
      <c r="F13" s="62"/>
      <c r="G13" s="62"/>
      <c r="H13" s="62"/>
      <c r="I13" s="62"/>
      <c r="J13" s="62"/>
      <c r="K13" s="62"/>
      <c r="L13" s="62"/>
      <c r="M13" s="62"/>
      <c r="N13" s="62"/>
    </row>
    <row r="14" spans="1:14">
      <c r="A14" s="62"/>
      <c r="B14" s="62"/>
      <c r="C14" s="62"/>
      <c r="D14" s="62"/>
      <c r="E14" s="62"/>
      <c r="F14" s="62"/>
      <c r="G14" s="62"/>
      <c r="H14" s="62"/>
      <c r="I14" s="62"/>
      <c r="J14" s="62"/>
      <c r="K14" s="62"/>
      <c r="L14" s="62"/>
      <c r="M14" s="62"/>
      <c r="N14" s="62"/>
    </row>
    <row r="15" spans="1:14">
      <c r="A15" s="62" t="s">
        <v>102</v>
      </c>
      <c r="B15" s="62" t="s">
        <v>103</v>
      </c>
      <c r="C15" s="62" t="s">
        <v>104</v>
      </c>
      <c r="D15" s="62" t="s">
        <v>105</v>
      </c>
      <c r="E15" s="62" t="s">
        <v>106</v>
      </c>
      <c r="F15" s="62" t="s">
        <v>107</v>
      </c>
      <c r="G15" s="62" t="s">
        <v>108</v>
      </c>
      <c r="H15" s="62" t="s">
        <v>109</v>
      </c>
      <c r="I15" s="62" t="s">
        <v>110</v>
      </c>
      <c r="J15" s="62" t="s">
        <v>111</v>
      </c>
      <c r="K15" s="62" t="s">
        <v>112</v>
      </c>
      <c r="L15" s="62" t="s">
        <v>113</v>
      </c>
      <c r="M15" s="62" t="s">
        <v>114</v>
      </c>
      <c r="N15" s="62" t="s">
        <v>115</v>
      </c>
    </row>
    <row r="16" spans="1:14">
      <c r="A16" s="62" t="s">
        <v>116</v>
      </c>
      <c r="B16" s="62" t="s">
        <v>117</v>
      </c>
      <c r="C16" s="62"/>
      <c r="D16" s="62" t="s">
        <v>118</v>
      </c>
      <c r="E16" s="62" t="s">
        <v>119</v>
      </c>
      <c r="F16" s="63">
        <v>0</v>
      </c>
      <c r="G16" s="63">
        <v>0</v>
      </c>
      <c r="H16" s="62">
        <v>0</v>
      </c>
      <c r="I16" s="62" t="s">
        <v>120</v>
      </c>
      <c r="J16" s="63">
        <v>111000</v>
      </c>
      <c r="K16" s="63">
        <v>82000</v>
      </c>
      <c r="L16" s="62">
        <v>0.987</v>
      </c>
      <c r="M16" s="63">
        <v>0</v>
      </c>
      <c r="N16" s="62">
        <v>0</v>
      </c>
    </row>
    <row r="17" spans="1:14">
      <c r="A17" s="62" t="s">
        <v>116</v>
      </c>
      <c r="B17" s="62" t="s">
        <v>117</v>
      </c>
      <c r="C17" s="62"/>
      <c r="D17" s="62" t="s">
        <v>118</v>
      </c>
      <c r="E17" s="62" t="s">
        <v>119</v>
      </c>
      <c r="F17" s="63">
        <v>0</v>
      </c>
      <c r="G17" s="63">
        <v>0</v>
      </c>
      <c r="H17" s="62">
        <v>0</v>
      </c>
      <c r="I17" s="62" t="s">
        <v>120</v>
      </c>
      <c r="J17" s="63">
        <v>110000</v>
      </c>
      <c r="K17" s="63">
        <v>79000</v>
      </c>
      <c r="L17" s="62">
        <v>0.992</v>
      </c>
      <c r="M17" s="63">
        <v>0</v>
      </c>
      <c r="N17" s="62">
        <v>0</v>
      </c>
    </row>
    <row r="18" spans="1:14">
      <c r="A18" s="62" t="s">
        <v>121</v>
      </c>
      <c r="B18" s="62" t="s">
        <v>122</v>
      </c>
      <c r="C18" s="62"/>
      <c r="D18" s="62" t="s">
        <v>118</v>
      </c>
      <c r="E18" s="62" t="s">
        <v>119</v>
      </c>
      <c r="F18" s="63">
        <v>91600</v>
      </c>
      <c r="G18" s="63">
        <v>67800</v>
      </c>
      <c r="H18" s="62">
        <v>0.926</v>
      </c>
      <c r="I18" s="62" t="s">
        <v>120</v>
      </c>
      <c r="J18" s="63">
        <v>112000</v>
      </c>
      <c r="K18" s="63">
        <v>79600</v>
      </c>
      <c r="L18" s="62">
        <v>0.997</v>
      </c>
      <c r="M18" s="63">
        <v>0.821</v>
      </c>
      <c r="N18" s="62">
        <v>0</v>
      </c>
    </row>
    <row r="19" spans="1:14">
      <c r="A19" s="62" t="s">
        <v>121</v>
      </c>
      <c r="B19" s="62" t="s">
        <v>122</v>
      </c>
      <c r="C19" s="62"/>
      <c r="D19" s="62" t="s">
        <v>118</v>
      </c>
      <c r="E19" s="62" t="s">
        <v>119</v>
      </c>
      <c r="F19" s="63">
        <v>95000</v>
      </c>
      <c r="G19" s="63">
        <v>71800</v>
      </c>
      <c r="H19" s="62">
        <v>0.921</v>
      </c>
      <c r="I19" s="62" t="s">
        <v>120</v>
      </c>
      <c r="J19" s="63">
        <v>106000</v>
      </c>
      <c r="K19" s="63">
        <v>77000</v>
      </c>
      <c r="L19" s="62">
        <v>0.991</v>
      </c>
      <c r="M19" s="63">
        <v>0.899</v>
      </c>
      <c r="N19" s="62">
        <v>0</v>
      </c>
    </row>
    <row r="20" spans="1:14">
      <c r="A20" s="62" t="s">
        <v>123</v>
      </c>
      <c r="B20" s="62" t="s">
        <v>122</v>
      </c>
      <c r="C20" s="62"/>
      <c r="D20" s="62" t="s">
        <v>118</v>
      </c>
      <c r="E20" s="62" t="s">
        <v>119</v>
      </c>
      <c r="F20" s="63">
        <v>237000</v>
      </c>
      <c r="G20" s="63">
        <v>180000</v>
      </c>
      <c r="H20" s="62">
        <v>0.923</v>
      </c>
      <c r="I20" s="62" t="s">
        <v>120</v>
      </c>
      <c r="J20" s="63">
        <v>107000</v>
      </c>
      <c r="K20" s="63">
        <v>78100</v>
      </c>
      <c r="L20" s="62">
        <v>0.995</v>
      </c>
      <c r="M20" s="63">
        <v>2.21</v>
      </c>
      <c r="N20" s="62">
        <v>0</v>
      </c>
    </row>
    <row r="21" spans="1:14">
      <c r="A21" s="62" t="s">
        <v>123</v>
      </c>
      <c r="B21" s="62" t="s">
        <v>122</v>
      </c>
      <c r="C21" s="62"/>
      <c r="D21" s="62" t="s">
        <v>118</v>
      </c>
      <c r="E21" s="62" t="s">
        <v>119</v>
      </c>
      <c r="F21" s="63">
        <v>238000</v>
      </c>
      <c r="G21" s="63">
        <v>180000</v>
      </c>
      <c r="H21" s="62">
        <v>0.918</v>
      </c>
      <c r="I21" s="62" t="s">
        <v>120</v>
      </c>
      <c r="J21" s="63">
        <v>110000</v>
      </c>
      <c r="K21" s="63">
        <v>82400</v>
      </c>
      <c r="L21" s="62">
        <v>0.989</v>
      </c>
      <c r="M21" s="63">
        <v>2.17</v>
      </c>
      <c r="N21" s="62">
        <v>0</v>
      </c>
    </row>
    <row r="22" spans="1:14">
      <c r="A22" s="62" t="s">
        <v>124</v>
      </c>
      <c r="B22" s="62" t="s">
        <v>122</v>
      </c>
      <c r="C22" s="62"/>
      <c r="D22" s="62" t="s">
        <v>118</v>
      </c>
      <c r="E22" s="62" t="s">
        <v>119</v>
      </c>
      <c r="F22" s="63">
        <v>397000</v>
      </c>
      <c r="G22" s="63">
        <v>303000</v>
      </c>
      <c r="H22" s="62">
        <v>0.921</v>
      </c>
      <c r="I22" s="62" t="s">
        <v>120</v>
      </c>
      <c r="J22" s="63">
        <v>108000</v>
      </c>
      <c r="K22" s="63">
        <v>79500</v>
      </c>
      <c r="L22" s="62">
        <v>0.992</v>
      </c>
      <c r="M22" s="63">
        <v>3.69</v>
      </c>
      <c r="N22" s="62">
        <v>0</v>
      </c>
    </row>
    <row r="23" spans="1:14">
      <c r="A23" s="62" t="s">
        <v>124</v>
      </c>
      <c r="B23" s="62" t="s">
        <v>122</v>
      </c>
      <c r="C23" s="62"/>
      <c r="D23" s="62" t="s">
        <v>118</v>
      </c>
      <c r="E23" s="62" t="s">
        <v>119</v>
      </c>
      <c r="F23" s="63">
        <v>426000</v>
      </c>
      <c r="G23" s="63">
        <v>319000</v>
      </c>
      <c r="H23" s="62">
        <v>0.927</v>
      </c>
      <c r="I23" s="62" t="s">
        <v>120</v>
      </c>
      <c r="J23" s="63">
        <v>112000</v>
      </c>
      <c r="K23" s="63">
        <v>79800</v>
      </c>
      <c r="L23" s="62">
        <v>0.998</v>
      </c>
      <c r="M23" s="63">
        <v>3.81</v>
      </c>
      <c r="N23" s="62">
        <v>0</v>
      </c>
    </row>
    <row r="24" spans="1:14">
      <c r="A24" s="62" t="s">
        <v>125</v>
      </c>
      <c r="B24" s="62" t="s">
        <v>122</v>
      </c>
      <c r="C24" s="62"/>
      <c r="D24" s="62" t="s">
        <v>118</v>
      </c>
      <c r="E24" s="62" t="s">
        <v>119</v>
      </c>
      <c r="F24" s="63">
        <v>574000</v>
      </c>
      <c r="G24" s="63">
        <v>438000</v>
      </c>
      <c r="H24" s="62">
        <v>0.92</v>
      </c>
      <c r="I24" s="62" t="s">
        <v>120</v>
      </c>
      <c r="J24" s="63">
        <v>112000</v>
      </c>
      <c r="K24" s="63">
        <v>81800</v>
      </c>
      <c r="L24" s="62">
        <v>0.991</v>
      </c>
      <c r="M24" s="63">
        <v>5.14</v>
      </c>
      <c r="N24" s="62">
        <v>0</v>
      </c>
    </row>
    <row r="25" spans="1:14">
      <c r="A25" s="62" t="s">
        <v>125</v>
      </c>
      <c r="B25" s="62" t="s">
        <v>122</v>
      </c>
      <c r="C25" s="62"/>
      <c r="D25" s="62" t="s">
        <v>118</v>
      </c>
      <c r="E25" s="62" t="s">
        <v>119</v>
      </c>
      <c r="F25" s="63">
        <v>673000</v>
      </c>
      <c r="G25" s="63">
        <v>517000</v>
      </c>
      <c r="H25" s="62">
        <v>0.927</v>
      </c>
      <c r="I25" s="62" t="s">
        <v>120</v>
      </c>
      <c r="J25" s="63">
        <v>112000</v>
      </c>
      <c r="K25" s="63">
        <v>81900</v>
      </c>
      <c r="L25" s="62">
        <v>0.999</v>
      </c>
      <c r="M25" s="63">
        <v>5.98</v>
      </c>
      <c r="N25" s="62">
        <v>0</v>
      </c>
    </row>
    <row r="26" spans="1:14">
      <c r="A26" s="62" t="s">
        <v>126</v>
      </c>
      <c r="B26" s="62" t="s">
        <v>122</v>
      </c>
      <c r="C26" s="62"/>
      <c r="D26" s="62" t="s">
        <v>118</v>
      </c>
      <c r="E26" s="62" t="s">
        <v>119</v>
      </c>
      <c r="F26" s="63">
        <v>794000</v>
      </c>
      <c r="G26" s="63">
        <v>604000</v>
      </c>
      <c r="H26" s="62">
        <v>0.926</v>
      </c>
      <c r="I26" s="62" t="s">
        <v>120</v>
      </c>
      <c r="J26" s="63">
        <v>108000</v>
      </c>
      <c r="K26" s="63">
        <v>77900</v>
      </c>
      <c r="L26" s="62">
        <v>0.996</v>
      </c>
      <c r="M26" s="63">
        <v>7.36</v>
      </c>
      <c r="N26" s="62">
        <v>0</v>
      </c>
    </row>
    <row r="27" spans="1:14">
      <c r="A27" s="62" t="s">
        <v>126</v>
      </c>
      <c r="B27" s="62" t="s">
        <v>122</v>
      </c>
      <c r="C27" s="62"/>
      <c r="D27" s="62" t="s">
        <v>118</v>
      </c>
      <c r="E27" s="62" t="s">
        <v>119</v>
      </c>
      <c r="F27" s="63">
        <v>820000</v>
      </c>
      <c r="G27" s="63">
        <v>636000</v>
      </c>
      <c r="H27" s="62">
        <v>0.924</v>
      </c>
      <c r="I27" s="62" t="s">
        <v>120</v>
      </c>
      <c r="J27" s="63">
        <v>112000</v>
      </c>
      <c r="K27" s="63">
        <v>81100</v>
      </c>
      <c r="L27" s="62">
        <v>0.995</v>
      </c>
      <c r="M27" s="63">
        <v>7.34</v>
      </c>
      <c r="N27" s="62">
        <v>0</v>
      </c>
    </row>
    <row r="28" spans="1:14">
      <c r="A28" s="62" t="s">
        <v>127</v>
      </c>
      <c r="B28" s="62" t="s">
        <v>122</v>
      </c>
      <c r="C28" s="62"/>
      <c r="D28" s="62" t="s">
        <v>118</v>
      </c>
      <c r="E28" s="62" t="s">
        <v>119</v>
      </c>
      <c r="F28" s="63">
        <v>941000</v>
      </c>
      <c r="G28" s="63">
        <v>650000</v>
      </c>
      <c r="H28" s="62">
        <v>0.924</v>
      </c>
      <c r="I28" s="62" t="s">
        <v>120</v>
      </c>
      <c r="J28" s="63">
        <v>105000</v>
      </c>
      <c r="K28" s="63">
        <v>76200</v>
      </c>
      <c r="L28" s="62">
        <v>0.995</v>
      </c>
      <c r="M28" s="63">
        <v>8.93</v>
      </c>
      <c r="N28" s="62">
        <v>0</v>
      </c>
    </row>
    <row r="29" spans="1:14">
      <c r="A29" s="62" t="s">
        <v>127</v>
      </c>
      <c r="B29" s="62" t="s">
        <v>122</v>
      </c>
      <c r="C29" s="62"/>
      <c r="D29" s="62" t="s">
        <v>118</v>
      </c>
      <c r="E29" s="62" t="s">
        <v>119</v>
      </c>
      <c r="F29" s="63">
        <v>997000</v>
      </c>
      <c r="G29" s="63">
        <v>717000</v>
      </c>
      <c r="H29" s="62">
        <v>0.92</v>
      </c>
      <c r="I29" s="62" t="s">
        <v>120</v>
      </c>
      <c r="J29" s="63">
        <v>111000</v>
      </c>
      <c r="K29" s="63">
        <v>83500</v>
      </c>
      <c r="L29" s="62">
        <v>0.991</v>
      </c>
      <c r="M29" s="63">
        <v>8.98</v>
      </c>
      <c r="N29" s="62">
        <v>0</v>
      </c>
    </row>
    <row r="30" spans="1:14">
      <c r="A30" s="62" t="s">
        <v>116</v>
      </c>
      <c r="B30" s="62" t="s">
        <v>117</v>
      </c>
      <c r="C30" s="62"/>
      <c r="D30" s="62" t="s">
        <v>118</v>
      </c>
      <c r="E30" s="62" t="s">
        <v>119</v>
      </c>
      <c r="F30" s="63">
        <v>0</v>
      </c>
      <c r="G30" s="63">
        <v>0</v>
      </c>
      <c r="H30" s="62">
        <v>0</v>
      </c>
      <c r="I30" s="62" t="s">
        <v>120</v>
      </c>
      <c r="J30" s="63">
        <v>216000</v>
      </c>
      <c r="K30" s="63">
        <v>157000</v>
      </c>
      <c r="L30" s="62">
        <v>0.989</v>
      </c>
      <c r="M30" s="63">
        <v>0</v>
      </c>
      <c r="N30" s="62">
        <v>0</v>
      </c>
    </row>
    <row r="31" spans="1:14">
      <c r="A31" s="62" t="s">
        <v>116</v>
      </c>
      <c r="B31" s="62" t="s">
        <v>117</v>
      </c>
      <c r="C31" s="62"/>
      <c r="D31" s="62" t="s">
        <v>118</v>
      </c>
      <c r="E31" s="62" t="s">
        <v>119</v>
      </c>
      <c r="F31" s="63">
        <v>0</v>
      </c>
      <c r="G31" s="63">
        <v>0</v>
      </c>
      <c r="H31" s="62">
        <v>0</v>
      </c>
      <c r="I31" s="62" t="s">
        <v>120</v>
      </c>
      <c r="J31" s="63">
        <v>211000</v>
      </c>
      <c r="K31" s="63">
        <v>151000</v>
      </c>
      <c r="L31" s="62">
        <v>0.989</v>
      </c>
      <c r="M31" s="63">
        <v>0</v>
      </c>
      <c r="N31" s="62">
        <v>0</v>
      </c>
    </row>
    <row r="32" spans="1:14">
      <c r="A32" s="62" t="s">
        <v>128</v>
      </c>
      <c r="B32" s="62" t="s">
        <v>122</v>
      </c>
      <c r="C32" s="62"/>
      <c r="D32" s="62" t="s">
        <v>118</v>
      </c>
      <c r="E32" s="62" t="s">
        <v>119</v>
      </c>
      <c r="F32" s="63">
        <v>0</v>
      </c>
      <c r="G32" s="63">
        <v>0</v>
      </c>
      <c r="H32" s="62">
        <v>0</v>
      </c>
      <c r="I32" s="62" t="s">
        <v>120</v>
      </c>
      <c r="J32" s="63">
        <v>113000</v>
      </c>
      <c r="K32" s="63">
        <v>81200</v>
      </c>
      <c r="L32" s="62">
        <v>0.997</v>
      </c>
      <c r="M32" s="63">
        <v>0</v>
      </c>
      <c r="N32" s="62">
        <v>0</v>
      </c>
    </row>
    <row r="33" spans="1:14">
      <c r="A33" s="62" t="s">
        <v>128</v>
      </c>
      <c r="B33" s="62" t="s">
        <v>122</v>
      </c>
      <c r="C33" s="62"/>
      <c r="D33" s="62" t="s">
        <v>118</v>
      </c>
      <c r="E33" s="62" t="s">
        <v>119</v>
      </c>
      <c r="F33" s="63">
        <v>0</v>
      </c>
      <c r="G33" s="63">
        <v>0</v>
      </c>
      <c r="H33" s="62">
        <v>0</v>
      </c>
      <c r="I33" s="62" t="s">
        <v>120</v>
      </c>
      <c r="J33" s="63">
        <v>117000</v>
      </c>
      <c r="K33" s="63">
        <v>85000</v>
      </c>
      <c r="L33" s="62">
        <v>0.998</v>
      </c>
      <c r="M33" s="63">
        <v>0</v>
      </c>
      <c r="N33" s="62">
        <v>0</v>
      </c>
    </row>
    <row r="34" spans="1:14">
      <c r="A34" s="62" t="s">
        <v>129</v>
      </c>
      <c r="B34" s="62" t="s">
        <v>122</v>
      </c>
      <c r="C34" s="62"/>
      <c r="D34" s="62" t="s">
        <v>118</v>
      </c>
      <c r="E34" s="62" t="s">
        <v>119</v>
      </c>
      <c r="F34" s="63">
        <v>15400</v>
      </c>
      <c r="G34" s="63">
        <v>12000</v>
      </c>
      <c r="H34" s="62">
        <v>0.92</v>
      </c>
      <c r="I34" s="62" t="s">
        <v>120</v>
      </c>
      <c r="J34" s="63">
        <v>105000</v>
      </c>
      <c r="K34" s="63">
        <v>78100</v>
      </c>
      <c r="L34" s="62">
        <v>0.99</v>
      </c>
      <c r="M34" s="63">
        <v>0.146</v>
      </c>
      <c r="N34" s="62">
        <v>0</v>
      </c>
    </row>
    <row r="35" spans="1:14">
      <c r="A35" s="62" t="s">
        <v>129</v>
      </c>
      <c r="B35" s="62" t="s">
        <v>122</v>
      </c>
      <c r="C35" s="62"/>
      <c r="D35" s="62" t="s">
        <v>118</v>
      </c>
      <c r="E35" s="62" t="s">
        <v>119</v>
      </c>
      <c r="F35" s="63">
        <v>15000</v>
      </c>
      <c r="G35" s="63">
        <v>11800</v>
      </c>
      <c r="H35" s="62">
        <v>0.923</v>
      </c>
      <c r="I35" s="62" t="s">
        <v>120</v>
      </c>
      <c r="J35" s="63">
        <v>107000</v>
      </c>
      <c r="K35" s="63">
        <v>76500</v>
      </c>
      <c r="L35" s="62">
        <v>0.994</v>
      </c>
      <c r="M35" s="63">
        <v>0.139</v>
      </c>
      <c r="N35" s="62">
        <v>0</v>
      </c>
    </row>
    <row r="36" spans="1:14">
      <c r="A36" s="62" t="s">
        <v>130</v>
      </c>
      <c r="B36" s="62" t="s">
        <v>122</v>
      </c>
      <c r="C36" s="62"/>
      <c r="D36" s="62" t="s">
        <v>118</v>
      </c>
      <c r="E36" s="62" t="s">
        <v>119</v>
      </c>
      <c r="F36" s="63">
        <v>104000</v>
      </c>
      <c r="G36" s="63">
        <v>76800</v>
      </c>
      <c r="H36" s="62">
        <v>0.924</v>
      </c>
      <c r="I36" s="62" t="s">
        <v>120</v>
      </c>
      <c r="J36" s="63">
        <v>108000</v>
      </c>
      <c r="K36" s="63">
        <v>80000</v>
      </c>
      <c r="L36" s="62">
        <v>0.995</v>
      </c>
      <c r="M36" s="63">
        <v>0.955</v>
      </c>
      <c r="N36" s="62">
        <v>0</v>
      </c>
    </row>
    <row r="37" spans="1:14">
      <c r="A37" s="62" t="s">
        <v>130</v>
      </c>
      <c r="B37" s="62" t="s">
        <v>122</v>
      </c>
      <c r="C37" s="62"/>
      <c r="D37" s="62" t="s">
        <v>118</v>
      </c>
      <c r="E37" s="62" t="s">
        <v>119</v>
      </c>
      <c r="F37" s="63">
        <v>106000</v>
      </c>
      <c r="G37" s="63">
        <v>81300</v>
      </c>
      <c r="H37" s="62">
        <v>0.919</v>
      </c>
      <c r="I37" s="62" t="s">
        <v>120</v>
      </c>
      <c r="J37" s="63">
        <v>109000</v>
      </c>
      <c r="K37" s="63">
        <v>79700</v>
      </c>
      <c r="L37" s="62">
        <v>0.991</v>
      </c>
      <c r="M37" s="63">
        <v>0.973</v>
      </c>
      <c r="N37" s="62">
        <v>0</v>
      </c>
    </row>
    <row r="38" spans="1:14">
      <c r="A38" s="62" t="s">
        <v>131</v>
      </c>
      <c r="B38" s="62" t="s">
        <v>122</v>
      </c>
      <c r="C38" s="62"/>
      <c r="D38" s="62" t="s">
        <v>118</v>
      </c>
      <c r="E38" s="62" t="s">
        <v>119</v>
      </c>
      <c r="F38" s="63">
        <v>367000</v>
      </c>
      <c r="G38" s="63">
        <v>257000</v>
      </c>
      <c r="H38" s="62">
        <v>0.923</v>
      </c>
      <c r="I38" s="62" t="s">
        <v>120</v>
      </c>
      <c r="J38" s="63">
        <v>110000</v>
      </c>
      <c r="K38" s="63">
        <v>76900</v>
      </c>
      <c r="L38" s="62">
        <v>0.995</v>
      </c>
      <c r="M38" s="63">
        <v>3.35</v>
      </c>
      <c r="N38" s="62">
        <v>0</v>
      </c>
    </row>
    <row r="39" spans="1:14">
      <c r="A39" s="62" t="s">
        <v>131</v>
      </c>
      <c r="B39" s="62" t="s">
        <v>122</v>
      </c>
      <c r="C39" s="62"/>
      <c r="D39" s="62" t="s">
        <v>118</v>
      </c>
      <c r="E39" s="62" t="s">
        <v>119</v>
      </c>
      <c r="F39" s="63">
        <v>322000</v>
      </c>
      <c r="G39" s="63">
        <v>243000</v>
      </c>
      <c r="H39" s="62">
        <v>0.925</v>
      </c>
      <c r="I39" s="62" t="s">
        <v>120</v>
      </c>
      <c r="J39" s="63">
        <v>109000</v>
      </c>
      <c r="K39" s="63">
        <v>80100</v>
      </c>
      <c r="L39" s="62">
        <v>0.997</v>
      </c>
      <c r="M39" s="63">
        <v>2.94</v>
      </c>
      <c r="N39" s="62">
        <v>0</v>
      </c>
    </row>
    <row r="40" spans="1:14">
      <c r="A40" s="62" t="s">
        <v>132</v>
      </c>
      <c r="B40" s="62" t="s">
        <v>122</v>
      </c>
      <c r="C40" s="62"/>
      <c r="D40" s="62" t="s">
        <v>118</v>
      </c>
      <c r="E40" s="62" t="s">
        <v>119</v>
      </c>
      <c r="F40" s="63">
        <v>604000</v>
      </c>
      <c r="G40" s="63">
        <v>447000</v>
      </c>
      <c r="H40" s="62">
        <v>0.921</v>
      </c>
      <c r="I40" s="62" t="s">
        <v>120</v>
      </c>
      <c r="J40" s="63">
        <v>106000</v>
      </c>
      <c r="K40" s="63">
        <v>78100</v>
      </c>
      <c r="L40" s="62">
        <v>0.992</v>
      </c>
      <c r="M40" s="63">
        <v>5.73</v>
      </c>
      <c r="N40" s="62">
        <v>0</v>
      </c>
    </row>
    <row r="41" spans="1:14">
      <c r="A41" s="62" t="s">
        <v>132</v>
      </c>
      <c r="B41" s="62" t="s">
        <v>122</v>
      </c>
      <c r="C41" s="62"/>
      <c r="D41" s="62" t="s">
        <v>118</v>
      </c>
      <c r="E41" s="62" t="s">
        <v>119</v>
      </c>
      <c r="F41" s="63">
        <v>621000</v>
      </c>
      <c r="G41" s="63">
        <v>453000</v>
      </c>
      <c r="H41" s="62">
        <v>0.923</v>
      </c>
      <c r="I41" s="62" t="s">
        <v>120</v>
      </c>
      <c r="J41" s="63">
        <v>111000</v>
      </c>
      <c r="K41" s="63">
        <v>79900</v>
      </c>
      <c r="L41" s="62">
        <v>0.994</v>
      </c>
      <c r="M41" s="63">
        <v>5.6</v>
      </c>
      <c r="N41" s="62">
        <v>0</v>
      </c>
    </row>
    <row r="42" spans="1:14">
      <c r="A42" s="62" t="s">
        <v>133</v>
      </c>
      <c r="B42" s="62" t="s">
        <v>122</v>
      </c>
      <c r="C42" s="62"/>
      <c r="D42" s="62" t="s">
        <v>118</v>
      </c>
      <c r="E42" s="62" t="s">
        <v>119</v>
      </c>
      <c r="F42" s="63">
        <v>868000</v>
      </c>
      <c r="G42" s="63">
        <v>666000</v>
      </c>
      <c r="H42" s="62">
        <v>0.918</v>
      </c>
      <c r="I42" s="62" t="s">
        <v>120</v>
      </c>
      <c r="J42" s="63">
        <v>108000</v>
      </c>
      <c r="K42" s="63">
        <v>79100</v>
      </c>
      <c r="L42" s="62">
        <v>0.99</v>
      </c>
      <c r="M42" s="63">
        <v>8</v>
      </c>
      <c r="N42" s="62">
        <v>0</v>
      </c>
    </row>
    <row r="43" spans="1:14">
      <c r="A43" s="62" t="s">
        <v>133</v>
      </c>
      <c r="B43" s="62" t="s">
        <v>122</v>
      </c>
      <c r="C43" s="62"/>
      <c r="D43" s="62" t="s">
        <v>118</v>
      </c>
      <c r="E43" s="62" t="s">
        <v>119</v>
      </c>
      <c r="F43" s="63">
        <v>907000</v>
      </c>
      <c r="G43" s="63">
        <v>597000</v>
      </c>
      <c r="H43" s="62">
        <v>0.921</v>
      </c>
      <c r="I43" s="62" t="s">
        <v>120</v>
      </c>
      <c r="J43" s="63">
        <v>104000</v>
      </c>
      <c r="K43" s="63">
        <v>73000</v>
      </c>
      <c r="L43" s="62">
        <v>0.992</v>
      </c>
      <c r="M43" s="63">
        <v>8.7</v>
      </c>
      <c r="N43" s="62">
        <v>0</v>
      </c>
    </row>
    <row r="48" spans="1:14">
      <c r="A48" s="62" t="s">
        <v>87</v>
      </c>
      <c r="B48" s="62"/>
      <c r="C48" s="62"/>
      <c r="D48" s="62"/>
      <c r="E48" s="62"/>
      <c r="F48" s="62"/>
      <c r="G48" s="62"/>
      <c r="H48" s="62"/>
      <c r="I48" s="62"/>
      <c r="J48" s="62"/>
      <c r="K48" s="62"/>
      <c r="L48" s="62"/>
      <c r="M48" s="62"/>
      <c r="N48" s="62"/>
    </row>
    <row r="49" spans="1:14">
      <c r="A49" s="62" t="s">
        <v>88</v>
      </c>
      <c r="B49" s="62"/>
      <c r="C49" s="62"/>
      <c r="D49" s="62"/>
      <c r="E49" s="62"/>
      <c r="F49" s="62"/>
      <c r="G49" s="62"/>
      <c r="H49" s="62"/>
      <c r="I49" s="62"/>
      <c r="J49" s="62"/>
      <c r="K49" s="62"/>
      <c r="L49" s="62"/>
      <c r="M49" s="62"/>
      <c r="N49" s="62"/>
    </row>
    <row r="50" spans="1:14">
      <c r="A50" s="62" t="s">
        <v>89</v>
      </c>
      <c r="B50" s="62"/>
      <c r="C50" s="62"/>
      <c r="D50" s="62"/>
      <c r="E50" s="62"/>
      <c r="F50" s="62"/>
      <c r="G50" s="62"/>
      <c r="H50" s="62"/>
      <c r="I50" s="62"/>
      <c r="J50" s="62"/>
      <c r="K50" s="62"/>
      <c r="L50" s="62"/>
      <c r="M50" s="62"/>
      <c r="N50" s="62"/>
    </row>
    <row r="51" spans="1:14">
      <c r="A51" s="62"/>
      <c r="B51" s="62"/>
      <c r="C51" s="62"/>
      <c r="D51" s="62"/>
      <c r="E51" s="62"/>
      <c r="F51" s="62"/>
      <c r="G51" s="62"/>
      <c r="H51" s="62"/>
      <c r="I51" s="62"/>
      <c r="J51" s="62"/>
      <c r="K51" s="62"/>
      <c r="L51" s="62"/>
      <c r="M51" s="62"/>
      <c r="N51" s="62"/>
    </row>
    <row r="52" spans="1:14">
      <c r="A52" s="62" t="s">
        <v>134</v>
      </c>
      <c r="B52" s="62"/>
      <c r="C52" s="62"/>
      <c r="D52" s="62"/>
      <c r="E52" s="62"/>
      <c r="F52" s="62"/>
      <c r="G52" s="62"/>
      <c r="H52" s="62"/>
      <c r="I52" s="62"/>
      <c r="J52" s="62"/>
      <c r="K52" s="62"/>
      <c r="L52" s="62"/>
      <c r="M52" s="62"/>
      <c r="N52" s="62"/>
    </row>
    <row r="53" spans="1:14">
      <c r="A53" s="62" t="s">
        <v>91</v>
      </c>
      <c r="B53" s="62"/>
      <c r="C53" s="62"/>
      <c r="D53" s="62"/>
      <c r="E53" s="62"/>
      <c r="F53" s="62"/>
      <c r="G53" s="62"/>
      <c r="H53" s="62"/>
      <c r="I53" s="62"/>
      <c r="J53" s="62"/>
      <c r="K53" s="62"/>
      <c r="L53" s="62"/>
      <c r="M53" s="62"/>
      <c r="N53" s="62"/>
    </row>
    <row r="54" spans="1:14">
      <c r="A54" s="62" t="s">
        <v>135</v>
      </c>
      <c r="B54" s="62"/>
      <c r="C54" s="62"/>
      <c r="D54" s="62"/>
      <c r="E54" s="62"/>
      <c r="F54" s="62"/>
      <c r="G54" s="62"/>
      <c r="H54" s="62"/>
      <c r="I54" s="62"/>
      <c r="J54" s="62"/>
      <c r="K54" s="62"/>
      <c r="L54" s="62"/>
      <c r="M54" s="62"/>
      <c r="N54" s="62"/>
    </row>
    <row r="55" spans="1:14">
      <c r="A55" s="62"/>
      <c r="B55" s="62"/>
      <c r="C55" s="62"/>
      <c r="D55" s="62"/>
      <c r="E55" s="62"/>
      <c r="F55" s="62"/>
      <c r="G55" s="62"/>
      <c r="H55" s="62"/>
      <c r="I55" s="62"/>
      <c r="J55" s="62"/>
      <c r="K55" s="62"/>
      <c r="L55" s="62"/>
      <c r="M55" s="62"/>
      <c r="N55" s="62"/>
    </row>
    <row r="56" spans="1:14">
      <c r="A56" s="62" t="s">
        <v>93</v>
      </c>
      <c r="B56" s="62" t="s">
        <v>94</v>
      </c>
      <c r="C56" s="62" t="s">
        <v>95</v>
      </c>
      <c r="D56" s="62" t="s">
        <v>96</v>
      </c>
      <c r="E56" s="62" t="s">
        <v>97</v>
      </c>
      <c r="F56" s="62" t="s">
        <v>98</v>
      </c>
      <c r="G56" s="62"/>
      <c r="H56" s="62"/>
      <c r="I56" s="62"/>
      <c r="J56" s="62"/>
      <c r="K56" s="62"/>
      <c r="L56" s="62"/>
      <c r="M56" s="62"/>
      <c r="N56" s="62"/>
    </row>
    <row r="57" spans="1:14">
      <c r="A57" s="62" t="s">
        <v>99</v>
      </c>
      <c r="B57" s="62" t="s">
        <v>100</v>
      </c>
      <c r="C57" s="62"/>
      <c r="D57" s="62"/>
      <c r="E57" s="62"/>
      <c r="F57" s="62"/>
      <c r="G57" s="62"/>
      <c r="H57" s="62"/>
      <c r="I57" s="62"/>
      <c r="J57" s="62"/>
      <c r="K57" s="62"/>
      <c r="L57" s="62"/>
      <c r="M57" s="62"/>
      <c r="N57" s="62"/>
    </row>
    <row r="58" spans="1:14">
      <c r="A58" s="62" t="s">
        <v>101</v>
      </c>
      <c r="B58" s="62"/>
      <c r="C58" s="62"/>
      <c r="D58" s="62"/>
      <c r="E58" s="62"/>
      <c r="F58" s="62"/>
      <c r="G58" s="62"/>
      <c r="H58" s="62"/>
      <c r="I58" s="62"/>
      <c r="J58" s="62"/>
      <c r="K58" s="62"/>
      <c r="L58" s="62"/>
      <c r="M58" s="62"/>
      <c r="N58" s="62"/>
    </row>
    <row r="59" spans="1:14">
      <c r="A59" s="62"/>
      <c r="B59" s="62"/>
      <c r="C59" s="62"/>
      <c r="D59" s="62"/>
      <c r="E59" s="62"/>
      <c r="F59" s="62"/>
      <c r="G59" s="62"/>
      <c r="H59" s="62"/>
      <c r="I59" s="62"/>
      <c r="J59" s="62"/>
      <c r="K59" s="62"/>
      <c r="L59" s="62"/>
      <c r="M59" s="62"/>
      <c r="N59" s="62"/>
    </row>
    <row r="60" spans="1:14">
      <c r="A60" s="62"/>
      <c r="B60" s="62"/>
      <c r="C60" s="62"/>
      <c r="D60" s="62"/>
      <c r="E60" s="62"/>
      <c r="F60" s="62"/>
      <c r="G60" s="62"/>
      <c r="H60" s="62"/>
      <c r="I60" s="62"/>
      <c r="J60" s="62"/>
      <c r="K60" s="62"/>
      <c r="L60" s="62"/>
      <c r="M60" s="62"/>
      <c r="N60" s="62"/>
    </row>
    <row r="61" spans="1:14">
      <c r="A61" s="62"/>
      <c r="B61" s="62"/>
      <c r="C61" s="62"/>
      <c r="D61" s="62"/>
      <c r="E61" s="62"/>
      <c r="F61" s="62"/>
      <c r="G61" s="62"/>
      <c r="H61" s="62"/>
      <c r="I61" s="62"/>
      <c r="J61" s="62"/>
      <c r="K61" s="62"/>
      <c r="L61" s="62"/>
      <c r="M61" s="62"/>
      <c r="N61" s="62"/>
    </row>
    <row r="62" spans="1:14">
      <c r="A62" s="62" t="s">
        <v>102</v>
      </c>
      <c r="B62" s="62" t="s">
        <v>103</v>
      </c>
      <c r="C62" s="62" t="s">
        <v>104</v>
      </c>
      <c r="D62" s="62" t="s">
        <v>105</v>
      </c>
      <c r="E62" s="62" t="s">
        <v>106</v>
      </c>
      <c r="F62" s="62" t="s">
        <v>107</v>
      </c>
      <c r="G62" s="62" t="s">
        <v>108</v>
      </c>
      <c r="H62" s="62" t="s">
        <v>109</v>
      </c>
      <c r="I62" s="62" t="s">
        <v>110</v>
      </c>
      <c r="J62" s="62" t="s">
        <v>111</v>
      </c>
      <c r="K62" s="62" t="s">
        <v>112</v>
      </c>
      <c r="L62" s="62" t="s">
        <v>113</v>
      </c>
      <c r="M62" s="62" t="s">
        <v>114</v>
      </c>
      <c r="N62" s="62" t="s">
        <v>115</v>
      </c>
    </row>
    <row r="63" spans="1:14">
      <c r="A63" s="62" t="s">
        <v>116</v>
      </c>
      <c r="B63" s="62" t="s">
        <v>117</v>
      </c>
      <c r="C63" s="62"/>
      <c r="D63" s="62" t="s">
        <v>118</v>
      </c>
      <c r="E63" s="62" t="s">
        <v>136</v>
      </c>
      <c r="F63" s="63">
        <v>0</v>
      </c>
      <c r="G63" s="63">
        <v>0</v>
      </c>
      <c r="H63" s="62">
        <v>0</v>
      </c>
      <c r="I63" s="62" t="s">
        <v>120</v>
      </c>
      <c r="J63" s="63">
        <v>360000</v>
      </c>
      <c r="K63" s="63">
        <v>246000</v>
      </c>
      <c r="L63" s="62">
        <v>0.886</v>
      </c>
      <c r="M63" s="63">
        <v>0</v>
      </c>
      <c r="N63" s="62">
        <v>0</v>
      </c>
    </row>
    <row r="64" spans="1:14">
      <c r="A64" s="62" t="s">
        <v>116</v>
      </c>
      <c r="B64" s="62" t="s">
        <v>117</v>
      </c>
      <c r="C64" s="62"/>
      <c r="D64" s="62" t="s">
        <v>118</v>
      </c>
      <c r="E64" s="62" t="s">
        <v>136</v>
      </c>
      <c r="F64" s="63">
        <v>0</v>
      </c>
      <c r="G64" s="63">
        <v>0</v>
      </c>
      <c r="H64" s="62">
        <v>0</v>
      </c>
      <c r="I64" s="62" t="s">
        <v>120</v>
      </c>
      <c r="J64" s="63">
        <v>550000</v>
      </c>
      <c r="K64" s="63">
        <v>390000</v>
      </c>
      <c r="L64" s="62">
        <v>0.895</v>
      </c>
      <c r="M64" s="63">
        <v>0</v>
      </c>
      <c r="N64" s="62">
        <v>0</v>
      </c>
    </row>
    <row r="65" spans="1:14">
      <c r="A65" s="62" t="s">
        <v>137</v>
      </c>
      <c r="B65" s="62" t="s">
        <v>122</v>
      </c>
      <c r="C65" s="62"/>
      <c r="D65" s="62" t="s">
        <v>118</v>
      </c>
      <c r="E65" s="62" t="s">
        <v>136</v>
      </c>
      <c r="F65" s="63">
        <v>0</v>
      </c>
      <c r="G65" s="63">
        <v>0</v>
      </c>
      <c r="H65" s="62">
        <v>0</v>
      </c>
      <c r="I65" s="62" t="s">
        <v>120</v>
      </c>
      <c r="J65" s="63">
        <v>255000</v>
      </c>
      <c r="K65" s="63">
        <v>184000</v>
      </c>
      <c r="L65" s="62">
        <v>0.889</v>
      </c>
      <c r="M65" s="63">
        <v>0</v>
      </c>
      <c r="N65" s="62">
        <v>0</v>
      </c>
    </row>
    <row r="66" spans="1:14">
      <c r="A66" s="62" t="s">
        <v>137</v>
      </c>
      <c r="B66" s="62" t="s">
        <v>122</v>
      </c>
      <c r="C66" s="62"/>
      <c r="D66" s="62" t="s">
        <v>118</v>
      </c>
      <c r="E66" s="62" t="s">
        <v>136</v>
      </c>
      <c r="F66" s="63">
        <v>0</v>
      </c>
      <c r="G66" s="63">
        <v>0</v>
      </c>
      <c r="H66" s="62">
        <v>0</v>
      </c>
      <c r="I66" s="62" t="s">
        <v>120</v>
      </c>
      <c r="J66" s="63">
        <v>258000</v>
      </c>
      <c r="K66" s="63">
        <v>186000</v>
      </c>
      <c r="L66" s="62">
        <v>0.892</v>
      </c>
      <c r="M66" s="63">
        <v>0</v>
      </c>
      <c r="N66" s="62">
        <v>0</v>
      </c>
    </row>
    <row r="67" spans="1:14">
      <c r="A67" s="62" t="s">
        <v>138</v>
      </c>
      <c r="B67" s="62" t="s">
        <v>122</v>
      </c>
      <c r="C67" s="62"/>
      <c r="D67" s="62" t="s">
        <v>118</v>
      </c>
      <c r="E67" s="62" t="s">
        <v>136</v>
      </c>
      <c r="F67" s="63">
        <v>0</v>
      </c>
      <c r="G67" s="63">
        <v>0</v>
      </c>
      <c r="H67" s="62">
        <v>0</v>
      </c>
      <c r="I67" s="62" t="s">
        <v>120</v>
      </c>
      <c r="J67" s="63">
        <v>302000</v>
      </c>
      <c r="K67" s="63">
        <v>221000</v>
      </c>
      <c r="L67" s="62">
        <v>0.895</v>
      </c>
      <c r="M67" s="63">
        <v>0</v>
      </c>
      <c r="N67" s="62">
        <v>0</v>
      </c>
    </row>
    <row r="68" spans="1:14">
      <c r="A68" s="62" t="s">
        <v>138</v>
      </c>
      <c r="B68" s="62" t="s">
        <v>122</v>
      </c>
      <c r="C68" s="62"/>
      <c r="D68" s="62" t="s">
        <v>118</v>
      </c>
      <c r="E68" s="62" t="s">
        <v>136</v>
      </c>
      <c r="F68" s="63">
        <v>0</v>
      </c>
      <c r="G68" s="63">
        <v>0</v>
      </c>
      <c r="H68" s="62">
        <v>0</v>
      </c>
      <c r="I68" s="62" t="s">
        <v>120</v>
      </c>
      <c r="J68" s="63">
        <v>302000</v>
      </c>
      <c r="K68" s="63">
        <v>206000</v>
      </c>
      <c r="L68" s="62">
        <v>0.893</v>
      </c>
      <c r="M68" s="63">
        <v>0</v>
      </c>
      <c r="N68" s="62">
        <v>0</v>
      </c>
    </row>
    <row r="69" spans="1:14">
      <c r="A69" s="62" t="s">
        <v>139</v>
      </c>
      <c r="B69" s="62" t="s">
        <v>122</v>
      </c>
      <c r="C69" s="62"/>
      <c r="D69" s="62" t="s">
        <v>118</v>
      </c>
      <c r="E69" s="62" t="s">
        <v>136</v>
      </c>
      <c r="F69" s="63">
        <v>0</v>
      </c>
      <c r="G69" s="63">
        <v>0</v>
      </c>
      <c r="H69" s="62">
        <v>0</v>
      </c>
      <c r="I69" s="62" t="s">
        <v>120</v>
      </c>
      <c r="J69" s="63">
        <v>294000</v>
      </c>
      <c r="K69" s="63">
        <v>205000</v>
      </c>
      <c r="L69" s="62">
        <v>0.89</v>
      </c>
      <c r="M69" s="63">
        <v>0</v>
      </c>
      <c r="N69" s="62">
        <v>0</v>
      </c>
    </row>
    <row r="70" spans="1:14">
      <c r="A70" s="62" t="s">
        <v>139</v>
      </c>
      <c r="B70" s="62" t="s">
        <v>122</v>
      </c>
      <c r="C70" s="62"/>
      <c r="D70" s="62" t="s">
        <v>118</v>
      </c>
      <c r="E70" s="62" t="s">
        <v>136</v>
      </c>
      <c r="F70" s="63">
        <v>0</v>
      </c>
      <c r="G70" s="63">
        <v>0</v>
      </c>
      <c r="H70" s="62">
        <v>0</v>
      </c>
      <c r="I70" s="62" t="s">
        <v>120</v>
      </c>
      <c r="J70" s="63">
        <v>283000</v>
      </c>
      <c r="K70" s="63">
        <v>196000</v>
      </c>
      <c r="L70" s="62">
        <v>0.889</v>
      </c>
      <c r="M70" s="63">
        <v>0</v>
      </c>
      <c r="N70" s="62">
        <v>0</v>
      </c>
    </row>
    <row r="71" spans="1:14">
      <c r="A71" s="62" t="s">
        <v>140</v>
      </c>
      <c r="B71" s="62" t="s">
        <v>122</v>
      </c>
      <c r="C71" s="62"/>
      <c r="D71" s="62" t="s">
        <v>118</v>
      </c>
      <c r="E71" s="62" t="s">
        <v>136</v>
      </c>
      <c r="F71" s="63">
        <v>15200</v>
      </c>
      <c r="G71" s="63">
        <v>10600</v>
      </c>
      <c r="H71" s="62">
        <v>0.897</v>
      </c>
      <c r="I71" s="62" t="s">
        <v>120</v>
      </c>
      <c r="J71" s="63">
        <v>300000</v>
      </c>
      <c r="K71" s="63">
        <v>205000</v>
      </c>
      <c r="L71" s="62">
        <v>0.891</v>
      </c>
      <c r="M71" s="63">
        <v>0.0507</v>
      </c>
      <c r="N71" s="62">
        <v>0</v>
      </c>
    </row>
    <row r="72" spans="1:14">
      <c r="A72" s="62" t="s">
        <v>140</v>
      </c>
      <c r="B72" s="62" t="s">
        <v>122</v>
      </c>
      <c r="C72" s="62"/>
      <c r="D72" s="62" t="s">
        <v>118</v>
      </c>
      <c r="E72" s="62" t="s">
        <v>136</v>
      </c>
      <c r="F72" s="63">
        <v>14200</v>
      </c>
      <c r="G72" s="63">
        <v>10800</v>
      </c>
      <c r="H72" s="62">
        <v>0.895</v>
      </c>
      <c r="I72" s="62" t="s">
        <v>120</v>
      </c>
      <c r="J72" s="63">
        <v>294000</v>
      </c>
      <c r="K72" s="63">
        <v>212000</v>
      </c>
      <c r="L72" s="62">
        <v>0.889</v>
      </c>
      <c r="M72" s="63">
        <v>0.0482</v>
      </c>
      <c r="N72" s="62">
        <v>0</v>
      </c>
    </row>
    <row r="73" spans="1:14">
      <c r="A73" s="62" t="s">
        <v>141</v>
      </c>
      <c r="B73" s="62" t="s">
        <v>122</v>
      </c>
      <c r="C73" s="62"/>
      <c r="D73" s="62" t="s">
        <v>118</v>
      </c>
      <c r="E73" s="62" t="s">
        <v>136</v>
      </c>
      <c r="F73" s="63">
        <v>439000</v>
      </c>
      <c r="G73" s="63">
        <v>307000</v>
      </c>
      <c r="H73" s="62">
        <v>0.9</v>
      </c>
      <c r="I73" s="62" t="s">
        <v>120</v>
      </c>
      <c r="J73" s="63">
        <v>297000</v>
      </c>
      <c r="K73" s="63">
        <v>209000</v>
      </c>
      <c r="L73" s="62">
        <v>0.894</v>
      </c>
      <c r="M73" s="63">
        <v>1.48</v>
      </c>
      <c r="N73" s="62">
        <v>0</v>
      </c>
    </row>
    <row r="74" spans="1:14">
      <c r="A74" s="62" t="s">
        <v>141</v>
      </c>
      <c r="B74" s="62" t="s">
        <v>122</v>
      </c>
      <c r="C74" s="62"/>
      <c r="D74" s="62" t="s">
        <v>118</v>
      </c>
      <c r="E74" s="62" t="s">
        <v>136</v>
      </c>
      <c r="F74" s="63">
        <v>464000</v>
      </c>
      <c r="G74" s="63">
        <v>322000</v>
      </c>
      <c r="H74" s="62">
        <v>0.903</v>
      </c>
      <c r="I74" s="62" t="s">
        <v>120</v>
      </c>
      <c r="J74" s="63">
        <v>294000</v>
      </c>
      <c r="K74" s="63">
        <v>204000</v>
      </c>
      <c r="L74" s="62">
        <v>0.898</v>
      </c>
      <c r="M74" s="63">
        <v>1.57</v>
      </c>
      <c r="N74" s="62">
        <v>0</v>
      </c>
    </row>
    <row r="75" spans="1:14">
      <c r="A75" s="62" t="s">
        <v>142</v>
      </c>
      <c r="B75" s="62" t="s">
        <v>122</v>
      </c>
      <c r="C75" s="62"/>
      <c r="D75" s="62" t="s">
        <v>118</v>
      </c>
      <c r="E75" s="62" t="s">
        <v>136</v>
      </c>
      <c r="F75" s="63">
        <v>3540000</v>
      </c>
      <c r="G75" s="63">
        <v>2350000</v>
      </c>
      <c r="H75" s="62">
        <v>0.904</v>
      </c>
      <c r="I75" s="62" t="s">
        <v>120</v>
      </c>
      <c r="J75" s="63">
        <v>278000</v>
      </c>
      <c r="K75" s="63">
        <v>198000</v>
      </c>
      <c r="L75" s="62">
        <v>0.897</v>
      </c>
      <c r="M75" s="63">
        <v>12.8</v>
      </c>
      <c r="N75" s="62">
        <v>0</v>
      </c>
    </row>
    <row r="76" spans="1:14">
      <c r="A76" s="62" t="s">
        <v>142</v>
      </c>
      <c r="B76" s="62" t="s">
        <v>122</v>
      </c>
      <c r="C76" s="62"/>
      <c r="D76" s="62" t="s">
        <v>118</v>
      </c>
      <c r="E76" s="62" t="s">
        <v>136</v>
      </c>
      <c r="F76" s="63">
        <v>3650000</v>
      </c>
      <c r="G76" s="63">
        <v>2440000</v>
      </c>
      <c r="H76" s="62">
        <v>0.897</v>
      </c>
      <c r="I76" s="62" t="s">
        <v>120</v>
      </c>
      <c r="J76" s="63">
        <v>296000</v>
      </c>
      <c r="K76" s="63">
        <v>206000</v>
      </c>
      <c r="L76" s="62">
        <v>0.891</v>
      </c>
      <c r="M76" s="63">
        <v>12.4</v>
      </c>
      <c r="N76" s="62">
        <v>0</v>
      </c>
    </row>
    <row r="77" spans="1:14">
      <c r="A77" s="62" t="s">
        <v>116</v>
      </c>
      <c r="B77" s="62" t="s">
        <v>117</v>
      </c>
      <c r="C77" s="62"/>
      <c r="D77" s="62" t="s">
        <v>118</v>
      </c>
      <c r="E77" s="62" t="s">
        <v>136</v>
      </c>
      <c r="F77" s="63">
        <v>0</v>
      </c>
      <c r="G77" s="63">
        <v>0</v>
      </c>
      <c r="H77" s="62">
        <v>0</v>
      </c>
      <c r="I77" s="62" t="s">
        <v>120</v>
      </c>
      <c r="J77" s="63">
        <v>291000</v>
      </c>
      <c r="K77" s="63">
        <v>207000</v>
      </c>
      <c r="L77" s="62">
        <v>0.898</v>
      </c>
      <c r="M77" s="63">
        <v>0</v>
      </c>
      <c r="N77" s="62">
        <v>0</v>
      </c>
    </row>
    <row r="78" spans="1:14">
      <c r="A78" s="62" t="s">
        <v>116</v>
      </c>
      <c r="B78" s="62" t="s">
        <v>117</v>
      </c>
      <c r="C78" s="62"/>
      <c r="D78" s="62" t="s">
        <v>118</v>
      </c>
      <c r="E78" s="62" t="s">
        <v>136</v>
      </c>
      <c r="F78" s="63">
        <v>0</v>
      </c>
      <c r="G78" s="63">
        <v>0</v>
      </c>
      <c r="H78" s="62">
        <v>0</v>
      </c>
      <c r="I78" s="62" t="s">
        <v>120</v>
      </c>
      <c r="J78" s="63">
        <v>188000</v>
      </c>
      <c r="K78" s="63">
        <v>142000</v>
      </c>
      <c r="L78" s="62">
        <v>0.893</v>
      </c>
      <c r="M78" s="63">
        <v>0</v>
      </c>
      <c r="N78" s="62">
        <v>0</v>
      </c>
    </row>
    <row r="79" spans="1:14">
      <c r="A79" s="62" t="s">
        <v>116</v>
      </c>
      <c r="B79" s="62" t="s">
        <v>117</v>
      </c>
      <c r="C79" s="62"/>
      <c r="D79" s="62" t="s">
        <v>118</v>
      </c>
      <c r="E79" s="62" t="s">
        <v>136</v>
      </c>
      <c r="F79" s="63">
        <v>0</v>
      </c>
      <c r="G79" s="63">
        <v>0</v>
      </c>
      <c r="H79" s="62">
        <v>0</v>
      </c>
      <c r="I79" s="62" t="s">
        <v>120</v>
      </c>
      <c r="J79" s="63">
        <v>290000</v>
      </c>
      <c r="K79" s="63">
        <v>209000</v>
      </c>
      <c r="L79" s="62">
        <v>0.899</v>
      </c>
      <c r="M79" s="63">
        <v>0</v>
      </c>
      <c r="N79" s="62">
        <v>0</v>
      </c>
    </row>
    <row r="80" spans="1:14">
      <c r="A80" s="62" t="s">
        <v>143</v>
      </c>
      <c r="B80" s="62" t="s">
        <v>122</v>
      </c>
      <c r="C80" s="62"/>
      <c r="D80" s="62" t="s">
        <v>118</v>
      </c>
      <c r="E80" s="62" t="s">
        <v>136</v>
      </c>
      <c r="F80" s="63">
        <v>0</v>
      </c>
      <c r="G80" s="63">
        <v>0</v>
      </c>
      <c r="H80" s="62">
        <v>0</v>
      </c>
      <c r="I80" s="62" t="s">
        <v>120</v>
      </c>
      <c r="J80" s="63">
        <v>292000</v>
      </c>
      <c r="K80" s="63">
        <v>208000</v>
      </c>
      <c r="L80" s="62">
        <v>0.894</v>
      </c>
      <c r="M80" s="63">
        <v>0</v>
      </c>
      <c r="N80" s="62">
        <v>0</v>
      </c>
    </row>
    <row r="81" spans="1:14">
      <c r="A81" s="62" t="s">
        <v>143</v>
      </c>
      <c r="B81" s="62" t="s">
        <v>122</v>
      </c>
      <c r="C81" s="62"/>
      <c r="D81" s="62" t="s">
        <v>118</v>
      </c>
      <c r="E81" s="62" t="s">
        <v>136</v>
      </c>
      <c r="F81" s="63">
        <v>0</v>
      </c>
      <c r="G81" s="63">
        <v>0</v>
      </c>
      <c r="H81" s="62">
        <v>0</v>
      </c>
      <c r="I81" s="62" t="s">
        <v>120</v>
      </c>
      <c r="J81" s="63">
        <v>305000</v>
      </c>
      <c r="K81" s="63">
        <v>216000</v>
      </c>
      <c r="L81" s="62">
        <v>0.897</v>
      </c>
      <c r="M81" s="63">
        <v>0</v>
      </c>
      <c r="N81" s="62">
        <v>0</v>
      </c>
    </row>
    <row r="82" spans="1:14">
      <c r="A82" s="62" t="s">
        <v>144</v>
      </c>
      <c r="B82" s="62" t="s">
        <v>122</v>
      </c>
      <c r="C82" s="62"/>
      <c r="D82" s="62" t="s">
        <v>118</v>
      </c>
      <c r="E82" s="62" t="s">
        <v>136</v>
      </c>
      <c r="F82" s="63">
        <v>656</v>
      </c>
      <c r="G82" s="63">
        <v>576</v>
      </c>
      <c r="H82" s="62">
        <v>0.904</v>
      </c>
      <c r="I82" s="62" t="s">
        <v>120</v>
      </c>
      <c r="J82" s="63">
        <v>314000</v>
      </c>
      <c r="K82" s="63">
        <v>220000</v>
      </c>
      <c r="L82" s="62">
        <v>0.898</v>
      </c>
      <c r="M82" s="63">
        <v>0.00209</v>
      </c>
      <c r="N82" s="62">
        <v>0</v>
      </c>
    </row>
    <row r="83" spans="1:14">
      <c r="A83" s="62" t="s">
        <v>144</v>
      </c>
      <c r="B83" s="62" t="s">
        <v>122</v>
      </c>
      <c r="C83" s="62"/>
      <c r="D83" s="62" t="s">
        <v>118</v>
      </c>
      <c r="E83" s="62" t="s">
        <v>136</v>
      </c>
      <c r="F83" s="63">
        <v>833</v>
      </c>
      <c r="G83" s="63">
        <v>734</v>
      </c>
      <c r="H83" s="62">
        <v>0.907</v>
      </c>
      <c r="I83" s="62" t="s">
        <v>120</v>
      </c>
      <c r="J83" s="63">
        <v>303000</v>
      </c>
      <c r="K83" s="63">
        <v>213000</v>
      </c>
      <c r="L83" s="62">
        <v>0.898</v>
      </c>
      <c r="M83" s="63">
        <v>0.00275</v>
      </c>
      <c r="N83" s="62">
        <v>0</v>
      </c>
    </row>
    <row r="84" spans="1:14">
      <c r="A84" s="62" t="s">
        <v>145</v>
      </c>
      <c r="B84" s="62" t="s">
        <v>122</v>
      </c>
      <c r="C84" s="62"/>
      <c r="D84" s="62" t="s">
        <v>118</v>
      </c>
      <c r="E84" s="62" t="s">
        <v>136</v>
      </c>
      <c r="F84" s="63">
        <v>61400</v>
      </c>
      <c r="G84" s="63">
        <v>42900</v>
      </c>
      <c r="H84" s="62">
        <v>0.9</v>
      </c>
      <c r="I84" s="62" t="s">
        <v>120</v>
      </c>
      <c r="J84" s="63">
        <v>294000</v>
      </c>
      <c r="K84" s="63">
        <v>207000</v>
      </c>
      <c r="L84" s="62">
        <v>0.895</v>
      </c>
      <c r="M84" s="63">
        <v>0.209</v>
      </c>
      <c r="N84" s="62">
        <v>0</v>
      </c>
    </row>
    <row r="85" spans="1:14">
      <c r="A85" s="62" t="s">
        <v>145</v>
      </c>
      <c r="B85" s="62" t="s">
        <v>122</v>
      </c>
      <c r="C85" s="62"/>
      <c r="D85" s="62" t="s">
        <v>118</v>
      </c>
      <c r="E85" s="62" t="s">
        <v>136</v>
      </c>
      <c r="F85" s="63">
        <v>65900</v>
      </c>
      <c r="G85" s="63">
        <v>46900</v>
      </c>
      <c r="H85" s="62">
        <v>0.91</v>
      </c>
      <c r="I85" s="62" t="s">
        <v>120</v>
      </c>
      <c r="J85" s="63">
        <v>294000</v>
      </c>
      <c r="K85" s="63">
        <v>208000</v>
      </c>
      <c r="L85" s="62">
        <v>0.903</v>
      </c>
      <c r="M85" s="63">
        <v>0.224</v>
      </c>
      <c r="N85" s="62">
        <v>0</v>
      </c>
    </row>
    <row r="86" spans="1:14">
      <c r="A86" s="62" t="s">
        <v>146</v>
      </c>
      <c r="B86" s="62" t="s">
        <v>122</v>
      </c>
      <c r="C86" s="62"/>
      <c r="D86" s="62" t="s">
        <v>118</v>
      </c>
      <c r="E86" s="62" t="s">
        <v>136</v>
      </c>
      <c r="F86" s="63">
        <v>707000</v>
      </c>
      <c r="G86" s="63">
        <v>502000</v>
      </c>
      <c r="H86" s="62">
        <v>0.904</v>
      </c>
      <c r="I86" s="62" t="s">
        <v>120</v>
      </c>
      <c r="J86" s="63">
        <v>297000</v>
      </c>
      <c r="K86" s="63">
        <v>210000</v>
      </c>
      <c r="L86" s="62">
        <v>0.898</v>
      </c>
      <c r="M86" s="63">
        <v>2.38</v>
      </c>
      <c r="N86" s="62">
        <v>0</v>
      </c>
    </row>
    <row r="87" spans="1:14">
      <c r="A87" s="62" t="s">
        <v>146</v>
      </c>
      <c r="B87" s="62" t="s">
        <v>122</v>
      </c>
      <c r="C87" s="62"/>
      <c r="D87" s="62" t="s">
        <v>118</v>
      </c>
      <c r="E87" s="62" t="s">
        <v>136</v>
      </c>
      <c r="F87" s="63">
        <v>707000</v>
      </c>
      <c r="G87" s="63">
        <v>505000</v>
      </c>
      <c r="H87" s="62">
        <v>0.907</v>
      </c>
      <c r="I87" s="62" t="s">
        <v>120</v>
      </c>
      <c r="J87" s="63">
        <v>298000</v>
      </c>
      <c r="K87" s="63">
        <v>213000</v>
      </c>
      <c r="L87" s="62">
        <v>0.9</v>
      </c>
      <c r="M87" s="63">
        <v>2.38</v>
      </c>
      <c r="N87" s="62">
        <v>0</v>
      </c>
    </row>
    <row r="88" spans="1:14">
      <c r="A88" s="62" t="s">
        <v>147</v>
      </c>
      <c r="B88" s="62" t="s">
        <v>122</v>
      </c>
      <c r="C88" s="62"/>
      <c r="D88" s="62" t="s">
        <v>118</v>
      </c>
      <c r="E88" s="62" t="s">
        <v>136</v>
      </c>
      <c r="F88" s="63">
        <v>1930000</v>
      </c>
      <c r="G88" s="63">
        <v>1350000</v>
      </c>
      <c r="H88" s="62">
        <v>0.903</v>
      </c>
      <c r="I88" s="62" t="s">
        <v>120</v>
      </c>
      <c r="J88" s="63">
        <v>297000</v>
      </c>
      <c r="K88" s="63">
        <v>210000</v>
      </c>
      <c r="L88" s="62">
        <v>0.896</v>
      </c>
      <c r="M88" s="63">
        <v>6.49</v>
      </c>
      <c r="N88" s="62">
        <v>0</v>
      </c>
    </row>
    <row r="89" spans="1:14">
      <c r="A89" s="62" t="s">
        <v>147</v>
      </c>
      <c r="B89" s="62" t="s">
        <v>122</v>
      </c>
      <c r="C89" s="62"/>
      <c r="D89" s="62" t="s">
        <v>118</v>
      </c>
      <c r="E89" s="62" t="s">
        <v>136</v>
      </c>
      <c r="F89" s="63">
        <v>1920000</v>
      </c>
      <c r="G89" s="63">
        <v>1360000</v>
      </c>
      <c r="H89" s="62">
        <v>0.901</v>
      </c>
      <c r="I89" s="62" t="s">
        <v>120</v>
      </c>
      <c r="J89" s="63">
        <v>281000</v>
      </c>
      <c r="K89" s="63">
        <v>205000</v>
      </c>
      <c r="L89" s="62">
        <v>0.895</v>
      </c>
      <c r="M89" s="63">
        <v>6.85</v>
      </c>
      <c r="N89" s="62">
        <v>0</v>
      </c>
    </row>
    <row r="90" spans="1:14">
      <c r="A90" s="62" t="s">
        <v>148</v>
      </c>
      <c r="B90" s="62" t="s">
        <v>122</v>
      </c>
      <c r="C90" s="62"/>
      <c r="D90" s="62" t="s">
        <v>118</v>
      </c>
      <c r="E90" s="62" t="s">
        <v>136</v>
      </c>
      <c r="F90" s="63">
        <v>3360000</v>
      </c>
      <c r="G90" s="63">
        <v>2300000</v>
      </c>
      <c r="H90" s="62">
        <v>0.91</v>
      </c>
      <c r="I90" s="62" t="s">
        <v>120</v>
      </c>
      <c r="J90" s="63">
        <v>289000</v>
      </c>
      <c r="K90" s="63">
        <v>210000</v>
      </c>
      <c r="L90" s="62">
        <v>0.903</v>
      </c>
      <c r="M90" s="63">
        <v>11.6</v>
      </c>
      <c r="N90" s="62">
        <v>0</v>
      </c>
    </row>
    <row r="91" spans="1:14">
      <c r="A91" s="62" t="s">
        <v>148</v>
      </c>
      <c r="B91" s="62" t="s">
        <v>122</v>
      </c>
      <c r="C91" s="62"/>
      <c r="D91" s="62" t="s">
        <v>118</v>
      </c>
      <c r="E91" s="62" t="s">
        <v>136</v>
      </c>
      <c r="F91" s="63">
        <v>3400000</v>
      </c>
      <c r="G91" s="63">
        <v>2350000</v>
      </c>
      <c r="H91" s="62">
        <v>0.903</v>
      </c>
      <c r="I91" s="62" t="s">
        <v>120</v>
      </c>
      <c r="J91" s="63">
        <v>281000</v>
      </c>
      <c r="K91" s="63">
        <v>201000</v>
      </c>
      <c r="L91" s="62">
        <v>0.896</v>
      </c>
      <c r="M91" s="63">
        <v>12.1</v>
      </c>
      <c r="N91" s="62">
        <v>0</v>
      </c>
    </row>
    <row r="95" spans="1:14">
      <c r="A95" s="62" t="s">
        <v>87</v>
      </c>
      <c r="B95" s="62"/>
      <c r="C95" s="62"/>
      <c r="D95" s="62"/>
      <c r="E95" s="62"/>
      <c r="F95" s="62"/>
      <c r="G95" s="62"/>
      <c r="H95" s="62"/>
      <c r="I95" s="62"/>
      <c r="J95" s="62"/>
      <c r="K95" s="62"/>
      <c r="L95" s="62"/>
      <c r="M95" s="62"/>
      <c r="N95" s="62"/>
    </row>
    <row r="96" spans="1:14">
      <c r="A96" s="62" t="s">
        <v>88</v>
      </c>
      <c r="B96" s="62"/>
      <c r="C96" s="62"/>
      <c r="D96" s="62"/>
      <c r="E96" s="62"/>
      <c r="F96" s="62"/>
      <c r="G96" s="62"/>
      <c r="H96" s="62"/>
      <c r="I96" s="62"/>
      <c r="J96" s="62"/>
      <c r="K96" s="62"/>
      <c r="L96" s="62"/>
      <c r="M96" s="62"/>
      <c r="N96" s="62"/>
    </row>
    <row r="97" spans="1:14">
      <c r="A97" s="62" t="s">
        <v>89</v>
      </c>
      <c r="B97" s="62"/>
      <c r="C97" s="62"/>
      <c r="D97" s="62"/>
      <c r="E97" s="62"/>
      <c r="F97" s="62"/>
      <c r="G97" s="62"/>
      <c r="H97" s="62"/>
      <c r="I97" s="62"/>
      <c r="J97" s="62"/>
      <c r="K97" s="62"/>
      <c r="L97" s="62"/>
      <c r="M97" s="62"/>
      <c r="N97" s="62"/>
    </row>
    <row r="98" spans="1:14">
      <c r="A98" s="62"/>
      <c r="B98" s="62"/>
      <c r="C98" s="62"/>
      <c r="D98" s="62"/>
      <c r="E98" s="62"/>
      <c r="F98" s="62"/>
      <c r="G98" s="62"/>
      <c r="H98" s="62"/>
      <c r="I98" s="62"/>
      <c r="J98" s="62"/>
      <c r="K98" s="62"/>
      <c r="L98" s="62"/>
      <c r="M98" s="62"/>
      <c r="N98" s="62"/>
    </row>
    <row r="99" spans="1:14">
      <c r="A99" s="62" t="s">
        <v>149</v>
      </c>
      <c r="B99" s="62"/>
      <c r="C99" s="62"/>
      <c r="D99" s="62"/>
      <c r="E99" s="62"/>
      <c r="F99" s="62"/>
      <c r="G99" s="62"/>
      <c r="H99" s="62"/>
      <c r="I99" s="62"/>
      <c r="J99" s="62"/>
      <c r="K99" s="62"/>
      <c r="L99" s="62"/>
      <c r="M99" s="62"/>
      <c r="N99" s="62"/>
    </row>
    <row r="100" spans="1:14">
      <c r="A100" s="62" t="s">
        <v>91</v>
      </c>
      <c r="B100" s="62"/>
      <c r="C100" s="62"/>
      <c r="D100" s="62"/>
      <c r="E100" s="62"/>
      <c r="F100" s="62"/>
      <c r="G100" s="62"/>
      <c r="H100" s="62"/>
      <c r="I100" s="62"/>
      <c r="J100" s="62"/>
      <c r="K100" s="62"/>
      <c r="L100" s="62"/>
      <c r="M100" s="62"/>
      <c r="N100" s="62"/>
    </row>
    <row r="101" spans="1:14">
      <c r="A101" s="62" t="s">
        <v>150</v>
      </c>
      <c r="B101" s="62"/>
      <c r="C101" s="62"/>
      <c r="D101" s="62"/>
      <c r="E101" s="62"/>
      <c r="F101" s="62"/>
      <c r="G101" s="62"/>
      <c r="H101" s="62"/>
      <c r="I101" s="62"/>
      <c r="J101" s="62"/>
      <c r="K101" s="62"/>
      <c r="L101" s="62"/>
      <c r="M101" s="62"/>
      <c r="N101" s="62"/>
    </row>
    <row r="102" spans="1:14">
      <c r="A102" s="62"/>
      <c r="B102" s="62"/>
      <c r="C102" s="62"/>
      <c r="D102" s="62"/>
      <c r="E102" s="62"/>
      <c r="F102" s="62"/>
      <c r="G102" s="62"/>
      <c r="H102" s="62"/>
      <c r="I102" s="62"/>
      <c r="J102" s="62"/>
      <c r="K102" s="62"/>
      <c r="L102" s="62"/>
      <c r="M102" s="62"/>
      <c r="N102" s="62"/>
    </row>
    <row r="103" spans="1:14">
      <c r="A103" s="62" t="s">
        <v>93</v>
      </c>
      <c r="B103" s="62" t="s">
        <v>94</v>
      </c>
      <c r="C103" s="62" t="s">
        <v>95</v>
      </c>
      <c r="D103" s="62" t="s">
        <v>151</v>
      </c>
      <c r="E103" s="62" t="s">
        <v>97</v>
      </c>
      <c r="F103" s="62" t="s">
        <v>98</v>
      </c>
      <c r="G103" s="62"/>
      <c r="H103" s="62"/>
      <c r="I103" s="62"/>
      <c r="J103" s="62"/>
      <c r="K103" s="62"/>
      <c r="L103" s="62"/>
      <c r="M103" s="62"/>
      <c r="N103" s="62"/>
    </row>
    <row r="104" spans="1:14">
      <c r="A104" s="62" t="s">
        <v>99</v>
      </c>
      <c r="B104" s="62" t="s">
        <v>100</v>
      </c>
      <c r="C104" s="62"/>
      <c r="D104" s="62"/>
      <c r="E104" s="62"/>
      <c r="F104" s="62"/>
      <c r="G104" s="62"/>
      <c r="H104" s="62"/>
      <c r="I104" s="62"/>
      <c r="J104" s="62"/>
      <c r="K104" s="62"/>
      <c r="L104" s="62"/>
      <c r="M104" s="62"/>
      <c r="N104" s="62"/>
    </row>
    <row r="105" spans="1:14">
      <c r="A105" s="62" t="s">
        <v>101</v>
      </c>
      <c r="B105" s="62"/>
      <c r="C105" s="62"/>
      <c r="D105" s="62"/>
      <c r="E105" s="62"/>
      <c r="F105" s="62"/>
      <c r="G105" s="62"/>
      <c r="H105" s="62"/>
      <c r="I105" s="62"/>
      <c r="J105" s="62"/>
      <c r="K105" s="62"/>
      <c r="L105" s="62"/>
      <c r="M105" s="62"/>
      <c r="N105" s="62"/>
    </row>
    <row r="106" spans="1:14">
      <c r="A106" s="62"/>
      <c r="B106" s="62"/>
      <c r="C106" s="62"/>
      <c r="D106" s="62"/>
      <c r="E106" s="62"/>
      <c r="F106" s="62"/>
      <c r="G106" s="62"/>
      <c r="H106" s="62"/>
      <c r="I106" s="62"/>
      <c r="J106" s="62"/>
      <c r="K106" s="62"/>
      <c r="L106" s="62"/>
      <c r="M106" s="62"/>
      <c r="N106" s="62"/>
    </row>
    <row r="107" spans="1:14">
      <c r="A107" s="62"/>
      <c r="B107" s="62"/>
      <c r="C107" s="62"/>
      <c r="D107" s="62"/>
      <c r="E107" s="62"/>
      <c r="F107" s="62"/>
      <c r="G107" s="62"/>
      <c r="H107" s="62"/>
      <c r="I107" s="62"/>
      <c r="J107" s="62"/>
      <c r="K107" s="62"/>
      <c r="L107" s="62"/>
      <c r="M107" s="62"/>
      <c r="N107" s="62"/>
    </row>
    <row r="108" spans="1:14">
      <c r="A108" s="62"/>
      <c r="B108" s="62"/>
      <c r="C108" s="62"/>
      <c r="D108" s="62"/>
      <c r="E108" s="62"/>
      <c r="F108" s="62"/>
      <c r="G108" s="62"/>
      <c r="H108" s="62"/>
      <c r="I108" s="62"/>
      <c r="J108" s="62"/>
      <c r="K108" s="62"/>
      <c r="L108" s="62"/>
      <c r="M108" s="62"/>
      <c r="N108" s="62"/>
    </row>
    <row r="109" spans="1:14">
      <c r="A109" s="62" t="s">
        <v>102</v>
      </c>
      <c r="B109" s="62" t="s">
        <v>103</v>
      </c>
      <c r="C109" s="62" t="s">
        <v>104</v>
      </c>
      <c r="D109" s="62" t="s">
        <v>105</v>
      </c>
      <c r="E109" s="62" t="s">
        <v>106</v>
      </c>
      <c r="F109" s="62" t="s">
        <v>107</v>
      </c>
      <c r="G109" s="62" t="s">
        <v>108</v>
      </c>
      <c r="H109" s="62" t="s">
        <v>109</v>
      </c>
      <c r="I109" s="62" t="s">
        <v>110</v>
      </c>
      <c r="J109" s="62" t="s">
        <v>111</v>
      </c>
      <c r="K109" s="62" t="s">
        <v>112</v>
      </c>
      <c r="L109" s="62" t="s">
        <v>113</v>
      </c>
      <c r="M109" s="62" t="s">
        <v>114</v>
      </c>
      <c r="N109" s="62" t="s">
        <v>115</v>
      </c>
    </row>
    <row r="110" spans="1:14">
      <c r="A110" s="62" t="s">
        <v>116</v>
      </c>
      <c r="B110" s="62" t="s">
        <v>117</v>
      </c>
      <c r="C110" s="62"/>
      <c r="D110" s="62" t="s">
        <v>118</v>
      </c>
      <c r="E110" s="62" t="s">
        <v>39</v>
      </c>
      <c r="F110" s="63">
        <v>0</v>
      </c>
      <c r="G110" s="63">
        <v>0</v>
      </c>
      <c r="H110" s="62">
        <v>0</v>
      </c>
      <c r="I110" s="62" t="s">
        <v>120</v>
      </c>
      <c r="J110" s="63">
        <v>837000</v>
      </c>
      <c r="K110" s="63">
        <v>486000</v>
      </c>
      <c r="L110" s="62">
        <v>1.01</v>
      </c>
      <c r="M110" s="63">
        <v>0</v>
      </c>
      <c r="N110" s="62">
        <v>0</v>
      </c>
    </row>
    <row r="111" spans="1:14">
      <c r="A111" s="62" t="s">
        <v>116</v>
      </c>
      <c r="B111" s="62" t="s">
        <v>117</v>
      </c>
      <c r="C111" s="62"/>
      <c r="D111" s="62" t="s">
        <v>118</v>
      </c>
      <c r="E111" s="62" t="s">
        <v>39</v>
      </c>
      <c r="F111" s="63">
        <v>0</v>
      </c>
      <c r="G111" s="63">
        <v>0</v>
      </c>
      <c r="H111" s="62">
        <v>0</v>
      </c>
      <c r="I111" s="62" t="s">
        <v>120</v>
      </c>
      <c r="J111" s="63">
        <v>837000</v>
      </c>
      <c r="K111" s="63">
        <v>489000</v>
      </c>
      <c r="L111" s="62">
        <v>1.01</v>
      </c>
      <c r="M111" s="63">
        <v>0</v>
      </c>
      <c r="N111" s="62">
        <v>0</v>
      </c>
    </row>
    <row r="112" spans="1:14">
      <c r="A112" s="62" t="s">
        <v>116</v>
      </c>
      <c r="B112" s="62" t="s">
        <v>117</v>
      </c>
      <c r="C112" s="62"/>
      <c r="D112" s="62" t="s">
        <v>118</v>
      </c>
      <c r="E112" s="62" t="s">
        <v>39</v>
      </c>
      <c r="F112" s="63">
        <v>0</v>
      </c>
      <c r="G112" s="63">
        <v>0</v>
      </c>
      <c r="H112" s="62">
        <v>0</v>
      </c>
      <c r="I112" s="62" t="s">
        <v>120</v>
      </c>
      <c r="J112" s="63">
        <v>839000</v>
      </c>
      <c r="K112" s="63">
        <v>492000</v>
      </c>
      <c r="L112" s="62">
        <v>1.01</v>
      </c>
      <c r="M112" s="63">
        <v>0</v>
      </c>
      <c r="N112" s="62">
        <v>0</v>
      </c>
    </row>
    <row r="113" spans="1:14">
      <c r="A113" s="62" t="s">
        <v>152</v>
      </c>
      <c r="B113" s="62" t="s">
        <v>122</v>
      </c>
      <c r="C113" s="62"/>
      <c r="D113" s="62" t="s">
        <v>118</v>
      </c>
      <c r="E113" s="62" t="s">
        <v>39</v>
      </c>
      <c r="F113" s="63">
        <v>1080</v>
      </c>
      <c r="G113" s="63">
        <v>344</v>
      </c>
      <c r="H113" s="62">
        <v>0.818</v>
      </c>
      <c r="I113" s="62" t="s">
        <v>120</v>
      </c>
      <c r="J113" s="63">
        <v>855000</v>
      </c>
      <c r="K113" s="63">
        <v>508000</v>
      </c>
      <c r="L113" s="62">
        <v>1.02</v>
      </c>
      <c r="M113" s="63">
        <v>0.00127</v>
      </c>
      <c r="N113" s="62">
        <v>0</v>
      </c>
    </row>
    <row r="114" spans="1:14">
      <c r="A114" s="62" t="s">
        <v>152</v>
      </c>
      <c r="B114" s="62" t="s">
        <v>122</v>
      </c>
      <c r="C114" s="62"/>
      <c r="D114" s="62" t="s">
        <v>118</v>
      </c>
      <c r="E114" s="62" t="s">
        <v>39</v>
      </c>
      <c r="F114" s="63">
        <v>1440</v>
      </c>
      <c r="G114" s="63">
        <v>426</v>
      </c>
      <c r="H114" s="62">
        <v>0.807</v>
      </c>
      <c r="I114" s="62" t="s">
        <v>120</v>
      </c>
      <c r="J114" s="63">
        <v>856000</v>
      </c>
      <c r="K114" s="63">
        <v>505000</v>
      </c>
      <c r="L114" s="62">
        <v>1.01</v>
      </c>
      <c r="M114" s="63">
        <v>0.00168</v>
      </c>
      <c r="N114" s="62">
        <v>0</v>
      </c>
    </row>
    <row r="115" spans="1:14">
      <c r="A115" s="62" t="s">
        <v>153</v>
      </c>
      <c r="B115" s="62" t="s">
        <v>122</v>
      </c>
      <c r="C115" s="62"/>
      <c r="D115" s="62" t="s">
        <v>118</v>
      </c>
      <c r="E115" s="62" t="s">
        <v>39</v>
      </c>
      <c r="F115" s="63">
        <v>84700</v>
      </c>
      <c r="G115" s="63">
        <v>35400</v>
      </c>
      <c r="H115" s="62">
        <v>0.845</v>
      </c>
      <c r="I115" s="62" t="s">
        <v>120</v>
      </c>
      <c r="J115" s="63">
        <v>862000</v>
      </c>
      <c r="K115" s="63">
        <v>511000</v>
      </c>
      <c r="L115" s="62">
        <v>1.02</v>
      </c>
      <c r="M115" s="63">
        <v>0.0983</v>
      </c>
      <c r="N115" s="62">
        <v>0</v>
      </c>
    </row>
    <row r="116" spans="1:14">
      <c r="A116" s="62" t="s">
        <v>153</v>
      </c>
      <c r="B116" s="62" t="s">
        <v>122</v>
      </c>
      <c r="C116" s="62"/>
      <c r="D116" s="62" t="s">
        <v>118</v>
      </c>
      <c r="E116" s="62" t="s">
        <v>39</v>
      </c>
      <c r="F116" s="63">
        <v>94300</v>
      </c>
      <c r="G116" s="63">
        <v>39400</v>
      </c>
      <c r="H116" s="62">
        <v>0.844</v>
      </c>
      <c r="I116" s="62" t="s">
        <v>120</v>
      </c>
      <c r="J116" s="63">
        <v>873000</v>
      </c>
      <c r="K116" s="63">
        <v>512000</v>
      </c>
      <c r="L116" s="62">
        <v>1.02</v>
      </c>
      <c r="M116" s="63">
        <v>0.108</v>
      </c>
      <c r="N116" s="62">
        <v>0</v>
      </c>
    </row>
    <row r="117" spans="1:14">
      <c r="A117" s="62" t="s">
        <v>154</v>
      </c>
      <c r="B117" s="62" t="s">
        <v>122</v>
      </c>
      <c r="C117" s="62"/>
      <c r="D117" s="62" t="s">
        <v>118</v>
      </c>
      <c r="E117" s="62" t="s">
        <v>39</v>
      </c>
      <c r="F117" s="63">
        <v>673000</v>
      </c>
      <c r="G117" s="63">
        <v>280000</v>
      </c>
      <c r="H117" s="62">
        <v>0.844</v>
      </c>
      <c r="I117" s="62" t="s">
        <v>120</v>
      </c>
      <c r="J117" s="63">
        <v>872000</v>
      </c>
      <c r="K117" s="63">
        <v>516000</v>
      </c>
      <c r="L117" s="62">
        <v>1.02</v>
      </c>
      <c r="M117" s="63">
        <v>0.772</v>
      </c>
      <c r="N117" s="62">
        <v>0</v>
      </c>
    </row>
    <row r="118" spans="1:14">
      <c r="A118" s="62" t="s">
        <v>154</v>
      </c>
      <c r="B118" s="62" t="s">
        <v>122</v>
      </c>
      <c r="C118" s="62"/>
      <c r="D118" s="62" t="s">
        <v>118</v>
      </c>
      <c r="E118" s="62" t="s">
        <v>39</v>
      </c>
      <c r="F118" s="63">
        <v>709000</v>
      </c>
      <c r="G118" s="63">
        <v>293000</v>
      </c>
      <c r="H118" s="62">
        <v>0.84</v>
      </c>
      <c r="I118" s="62" t="s">
        <v>120</v>
      </c>
      <c r="J118" s="63">
        <v>870000</v>
      </c>
      <c r="K118" s="63">
        <v>513000</v>
      </c>
      <c r="L118" s="62">
        <v>1.01</v>
      </c>
      <c r="M118" s="63">
        <v>0.815</v>
      </c>
      <c r="N118" s="62">
        <v>0</v>
      </c>
    </row>
    <row r="119" spans="1:14">
      <c r="A119" s="62" t="s">
        <v>155</v>
      </c>
      <c r="B119" s="62" t="s">
        <v>122</v>
      </c>
      <c r="C119" s="62"/>
      <c r="D119" s="62" t="s">
        <v>118</v>
      </c>
      <c r="E119" s="62" t="s">
        <v>39</v>
      </c>
      <c r="F119" s="63">
        <v>2040000</v>
      </c>
      <c r="G119" s="63">
        <v>836000</v>
      </c>
      <c r="H119" s="62">
        <v>0.844</v>
      </c>
      <c r="I119" s="62" t="s">
        <v>120</v>
      </c>
      <c r="J119" s="63">
        <v>859000</v>
      </c>
      <c r="K119" s="63">
        <v>504000</v>
      </c>
      <c r="L119" s="62">
        <v>1.02</v>
      </c>
      <c r="M119" s="63">
        <v>2.38</v>
      </c>
      <c r="N119" s="62">
        <v>0</v>
      </c>
    </row>
    <row r="120" spans="1:14">
      <c r="A120" s="62" t="s">
        <v>155</v>
      </c>
      <c r="B120" s="62" t="s">
        <v>122</v>
      </c>
      <c r="C120" s="62"/>
      <c r="D120" s="62" t="s">
        <v>118</v>
      </c>
      <c r="E120" s="62" t="s">
        <v>39</v>
      </c>
      <c r="F120" s="63">
        <v>2270000</v>
      </c>
      <c r="G120" s="63">
        <v>929000</v>
      </c>
      <c r="H120" s="62">
        <v>0.845</v>
      </c>
      <c r="I120" s="62" t="s">
        <v>120</v>
      </c>
      <c r="J120" s="63">
        <v>871000</v>
      </c>
      <c r="K120" s="63">
        <v>514000</v>
      </c>
      <c r="L120" s="62">
        <v>1.02</v>
      </c>
      <c r="M120" s="63">
        <v>2.6</v>
      </c>
      <c r="N120" s="62">
        <v>0</v>
      </c>
    </row>
    <row r="121" spans="1:14">
      <c r="A121" s="62" t="s">
        <v>156</v>
      </c>
      <c r="B121" s="62" t="s">
        <v>122</v>
      </c>
      <c r="C121" s="62"/>
      <c r="D121" s="62" t="s">
        <v>118</v>
      </c>
      <c r="E121" s="62" t="s">
        <v>39</v>
      </c>
      <c r="F121" s="63">
        <v>3370000</v>
      </c>
      <c r="G121" s="63">
        <v>1380000</v>
      </c>
      <c r="H121" s="62">
        <v>0.849</v>
      </c>
      <c r="I121" s="62" t="s">
        <v>120</v>
      </c>
      <c r="J121" s="63">
        <v>830000</v>
      </c>
      <c r="K121" s="63">
        <v>489000</v>
      </c>
      <c r="L121" s="62">
        <v>1.02</v>
      </c>
      <c r="M121" s="63">
        <v>4.06</v>
      </c>
      <c r="N121" s="62">
        <v>0</v>
      </c>
    </row>
    <row r="122" spans="1:14">
      <c r="A122" s="62" t="s">
        <v>156</v>
      </c>
      <c r="B122" s="62" t="s">
        <v>122</v>
      </c>
      <c r="C122" s="62"/>
      <c r="D122" s="62" t="s">
        <v>118</v>
      </c>
      <c r="E122" s="62" t="s">
        <v>39</v>
      </c>
      <c r="F122" s="63">
        <v>3550000</v>
      </c>
      <c r="G122" s="63">
        <v>1430000</v>
      </c>
      <c r="H122" s="62">
        <v>0.839</v>
      </c>
      <c r="I122" s="62" t="s">
        <v>120</v>
      </c>
      <c r="J122" s="63">
        <v>824000</v>
      </c>
      <c r="K122" s="63">
        <v>486000</v>
      </c>
      <c r="L122" s="62">
        <v>1.01</v>
      </c>
      <c r="M122" s="63">
        <v>4.31</v>
      </c>
      <c r="N122" s="62">
        <v>0</v>
      </c>
    </row>
    <row r="123" spans="1:14">
      <c r="A123" s="62" t="s">
        <v>157</v>
      </c>
      <c r="B123" s="62" t="s">
        <v>122</v>
      </c>
      <c r="C123" s="62"/>
      <c r="D123" s="62" t="s">
        <v>118</v>
      </c>
      <c r="E123" s="62" t="s">
        <v>39</v>
      </c>
      <c r="F123" s="63">
        <v>4570000</v>
      </c>
      <c r="G123" s="63">
        <v>1840000</v>
      </c>
      <c r="H123" s="62">
        <v>0.847</v>
      </c>
      <c r="I123" s="62" t="s">
        <v>120</v>
      </c>
      <c r="J123" s="63">
        <v>847000</v>
      </c>
      <c r="K123" s="63">
        <v>507000</v>
      </c>
      <c r="L123" s="62">
        <v>1.02</v>
      </c>
      <c r="M123" s="63">
        <v>5.39</v>
      </c>
      <c r="N123" s="62">
        <v>0</v>
      </c>
    </row>
    <row r="124" spans="1:14">
      <c r="A124" s="62" t="s">
        <v>157</v>
      </c>
      <c r="B124" s="62" t="s">
        <v>122</v>
      </c>
      <c r="C124" s="62"/>
      <c r="D124" s="62" t="s">
        <v>118</v>
      </c>
      <c r="E124" s="62" t="s">
        <v>39</v>
      </c>
      <c r="F124" s="63">
        <v>4620000</v>
      </c>
      <c r="G124" s="63">
        <v>1900000</v>
      </c>
      <c r="H124" s="62">
        <v>0.846</v>
      </c>
      <c r="I124" s="62" t="s">
        <v>120</v>
      </c>
      <c r="J124" s="63">
        <v>863000</v>
      </c>
      <c r="K124" s="63">
        <v>515000</v>
      </c>
      <c r="L124" s="62">
        <v>1.02</v>
      </c>
      <c r="M124" s="63">
        <v>5.36</v>
      </c>
      <c r="N124" s="62">
        <v>0</v>
      </c>
    </row>
    <row r="128" spans="1:14">
      <c r="A128" s="62" t="s">
        <v>87</v>
      </c>
      <c r="B128" s="62"/>
      <c r="C128" s="62"/>
      <c r="D128" s="62"/>
      <c r="E128" s="62"/>
      <c r="F128" s="62"/>
      <c r="G128" s="62"/>
      <c r="H128" s="62"/>
      <c r="I128" s="62"/>
      <c r="J128" s="62"/>
      <c r="K128" s="62"/>
      <c r="L128" s="62"/>
      <c r="M128" s="62"/>
      <c r="N128" s="62"/>
    </row>
    <row r="129" spans="1:14">
      <c r="A129" s="62" t="s">
        <v>88</v>
      </c>
      <c r="B129" s="62"/>
      <c r="C129" s="62"/>
      <c r="D129" s="62"/>
      <c r="E129" s="62"/>
      <c r="F129" s="62"/>
      <c r="G129" s="62"/>
      <c r="H129" s="62"/>
      <c r="I129" s="62"/>
      <c r="J129" s="62"/>
      <c r="K129" s="62"/>
      <c r="L129" s="62"/>
      <c r="M129" s="62"/>
      <c r="N129" s="62"/>
    </row>
    <row r="130" spans="1:14">
      <c r="A130" s="62" t="s">
        <v>89</v>
      </c>
      <c r="B130" s="62"/>
      <c r="C130" s="62"/>
      <c r="D130" s="62"/>
      <c r="E130" s="62"/>
      <c r="F130" s="62"/>
      <c r="G130" s="62"/>
      <c r="H130" s="62"/>
      <c r="I130" s="62"/>
      <c r="J130" s="62"/>
      <c r="K130" s="62"/>
      <c r="L130" s="62"/>
      <c r="M130" s="62"/>
      <c r="N130" s="62"/>
    </row>
    <row r="131" spans="1:14">
      <c r="A131" s="62"/>
      <c r="B131" s="62"/>
      <c r="C131" s="62"/>
      <c r="D131" s="62"/>
      <c r="E131" s="62"/>
      <c r="F131" s="62"/>
      <c r="G131" s="62"/>
      <c r="H131" s="62"/>
      <c r="I131" s="62"/>
      <c r="J131" s="62"/>
      <c r="K131" s="62"/>
      <c r="L131" s="62"/>
      <c r="M131" s="62"/>
      <c r="N131" s="62"/>
    </row>
    <row r="132" spans="1:14">
      <c r="A132" s="62" t="s">
        <v>158</v>
      </c>
      <c r="B132" s="62"/>
      <c r="C132" s="62"/>
      <c r="D132" s="62"/>
      <c r="E132" s="62"/>
      <c r="F132" s="62"/>
      <c r="G132" s="62"/>
      <c r="H132" s="62"/>
      <c r="I132" s="62"/>
      <c r="J132" s="62"/>
      <c r="K132" s="62"/>
      <c r="L132" s="62"/>
      <c r="M132" s="62"/>
      <c r="N132" s="62"/>
    </row>
    <row r="133" spans="1:14">
      <c r="A133" s="62" t="s">
        <v>91</v>
      </c>
      <c r="B133" s="62"/>
      <c r="C133" s="62"/>
      <c r="D133" s="62"/>
      <c r="E133" s="62"/>
      <c r="F133" s="62"/>
      <c r="G133" s="62"/>
      <c r="H133" s="62"/>
      <c r="I133" s="62"/>
      <c r="J133" s="62"/>
      <c r="K133" s="62"/>
      <c r="L133" s="62"/>
      <c r="M133" s="62"/>
      <c r="N133" s="62"/>
    </row>
    <row r="134" spans="1:14">
      <c r="A134" s="62" t="s">
        <v>159</v>
      </c>
      <c r="B134" s="62"/>
      <c r="C134" s="62"/>
      <c r="D134" s="62"/>
      <c r="E134" s="62"/>
      <c r="F134" s="62"/>
      <c r="G134" s="62"/>
      <c r="H134" s="62"/>
      <c r="I134" s="62"/>
      <c r="J134" s="62"/>
      <c r="K134" s="62"/>
      <c r="L134" s="62"/>
      <c r="M134" s="62"/>
      <c r="N134" s="62"/>
    </row>
    <row r="135" spans="1:14">
      <c r="A135" s="62"/>
      <c r="B135" s="62"/>
      <c r="C135" s="62"/>
      <c r="D135" s="62"/>
      <c r="E135" s="62"/>
      <c r="F135" s="62"/>
      <c r="G135" s="62"/>
      <c r="H135" s="62"/>
      <c r="I135" s="62"/>
      <c r="J135" s="62"/>
      <c r="K135" s="62"/>
      <c r="L135" s="62"/>
      <c r="M135" s="62"/>
      <c r="N135" s="62"/>
    </row>
    <row r="136" spans="1:14">
      <c r="A136" s="62" t="s">
        <v>93</v>
      </c>
      <c r="B136" s="62" t="s">
        <v>94</v>
      </c>
      <c r="C136" s="62" t="s">
        <v>95</v>
      </c>
      <c r="D136" s="62" t="s">
        <v>96</v>
      </c>
      <c r="E136" s="62" t="s">
        <v>97</v>
      </c>
      <c r="F136" s="62" t="s">
        <v>98</v>
      </c>
      <c r="G136" s="62"/>
      <c r="H136" s="62"/>
      <c r="I136" s="62"/>
      <c r="J136" s="62"/>
      <c r="K136" s="62"/>
      <c r="L136" s="62"/>
      <c r="M136" s="62"/>
      <c r="N136" s="62"/>
    </row>
    <row r="137" spans="1:14">
      <c r="A137" s="62" t="s">
        <v>99</v>
      </c>
      <c r="B137" s="62" t="s">
        <v>100</v>
      </c>
      <c r="C137" s="62"/>
      <c r="D137" s="62"/>
      <c r="E137" s="62"/>
      <c r="F137" s="62"/>
      <c r="G137" s="62"/>
      <c r="H137" s="62"/>
      <c r="I137" s="62"/>
      <c r="J137" s="62"/>
      <c r="K137" s="62"/>
      <c r="L137" s="62"/>
      <c r="M137" s="62"/>
      <c r="N137" s="62"/>
    </row>
    <row r="138" spans="1:14">
      <c r="A138" s="62" t="s">
        <v>101</v>
      </c>
      <c r="B138" s="62"/>
      <c r="C138" s="62"/>
      <c r="D138" s="62"/>
      <c r="E138" s="62"/>
      <c r="F138" s="62"/>
      <c r="G138" s="62"/>
      <c r="H138" s="62"/>
      <c r="I138" s="62"/>
      <c r="J138" s="62"/>
      <c r="K138" s="62"/>
      <c r="L138" s="62"/>
      <c r="M138" s="62"/>
      <c r="N138" s="62"/>
    </row>
    <row r="139" spans="1:14">
      <c r="A139" s="62"/>
      <c r="B139" s="62"/>
      <c r="C139" s="62"/>
      <c r="D139" s="62"/>
      <c r="E139" s="62"/>
      <c r="F139" s="62"/>
      <c r="G139" s="62"/>
      <c r="H139" s="62"/>
      <c r="I139" s="62"/>
      <c r="J139" s="62"/>
      <c r="K139" s="62"/>
      <c r="L139" s="62"/>
      <c r="M139" s="62"/>
      <c r="N139" s="62"/>
    </row>
    <row r="140" spans="1:14">
      <c r="A140" s="62"/>
      <c r="B140" s="62"/>
      <c r="C140" s="62"/>
      <c r="D140" s="62"/>
      <c r="E140" s="62"/>
      <c r="F140" s="62"/>
      <c r="G140" s="62"/>
      <c r="H140" s="62"/>
      <c r="I140" s="62"/>
      <c r="J140" s="62"/>
      <c r="K140" s="62"/>
      <c r="L140" s="62"/>
      <c r="M140" s="62"/>
      <c r="N140" s="62"/>
    </row>
    <row r="141" spans="1:14">
      <c r="A141" s="62"/>
      <c r="B141" s="62"/>
      <c r="C141" s="62"/>
      <c r="D141" s="62"/>
      <c r="E141" s="62"/>
      <c r="F141" s="62"/>
      <c r="G141" s="62"/>
      <c r="H141" s="62"/>
      <c r="I141" s="62"/>
      <c r="J141" s="62"/>
      <c r="K141" s="62"/>
      <c r="L141" s="62"/>
      <c r="M141" s="62"/>
      <c r="N141" s="62"/>
    </row>
    <row r="142" spans="1:14">
      <c r="A142" s="62"/>
      <c r="B142" s="62"/>
      <c r="C142" s="62"/>
      <c r="D142" s="62"/>
      <c r="E142" s="62"/>
      <c r="F142" s="62"/>
      <c r="G142" s="62"/>
      <c r="H142" s="62"/>
      <c r="I142" s="62"/>
      <c r="J142" s="62"/>
      <c r="K142" s="62"/>
      <c r="L142" s="62"/>
      <c r="M142" s="62"/>
      <c r="N142" s="62"/>
    </row>
    <row r="143" spans="1:14">
      <c r="A143" s="62" t="s">
        <v>102</v>
      </c>
      <c r="B143" s="62" t="s">
        <v>103</v>
      </c>
      <c r="C143" s="62" t="s">
        <v>104</v>
      </c>
      <c r="D143" s="62" t="s">
        <v>105</v>
      </c>
      <c r="E143" s="62" t="s">
        <v>106</v>
      </c>
      <c r="F143" s="62" t="s">
        <v>107</v>
      </c>
      <c r="G143" s="62" t="s">
        <v>108</v>
      </c>
      <c r="H143" s="62" t="s">
        <v>109</v>
      </c>
      <c r="I143" s="62" t="s">
        <v>110</v>
      </c>
      <c r="J143" s="62" t="s">
        <v>111</v>
      </c>
      <c r="K143" s="62" t="s">
        <v>112</v>
      </c>
      <c r="L143" s="62" t="s">
        <v>113</v>
      </c>
      <c r="M143" s="62" t="s">
        <v>114</v>
      </c>
      <c r="N143" s="62" t="s">
        <v>115</v>
      </c>
    </row>
    <row r="144" spans="1:14">
      <c r="A144" s="62" t="s">
        <v>116</v>
      </c>
      <c r="B144" s="62" t="s">
        <v>117</v>
      </c>
      <c r="C144" s="62"/>
      <c r="D144" s="62" t="s">
        <v>118</v>
      </c>
      <c r="E144" s="62" t="s">
        <v>32</v>
      </c>
      <c r="F144" s="63">
        <v>0</v>
      </c>
      <c r="G144" s="63">
        <v>0</v>
      </c>
      <c r="H144" s="62">
        <v>0</v>
      </c>
      <c r="I144" s="62" t="s">
        <v>120</v>
      </c>
      <c r="J144" s="63">
        <v>966000</v>
      </c>
      <c r="K144" s="63">
        <v>550000</v>
      </c>
      <c r="L144" s="62">
        <v>0.974</v>
      </c>
      <c r="M144" s="63">
        <v>0</v>
      </c>
      <c r="N144" s="62">
        <v>0</v>
      </c>
    </row>
    <row r="145" spans="1:14">
      <c r="A145" s="62" t="s">
        <v>116</v>
      </c>
      <c r="B145" s="62" t="s">
        <v>117</v>
      </c>
      <c r="C145" s="62"/>
      <c r="D145" s="62" t="s">
        <v>118</v>
      </c>
      <c r="E145" s="62" t="s">
        <v>32</v>
      </c>
      <c r="F145" s="63">
        <v>0</v>
      </c>
      <c r="G145" s="63">
        <v>0</v>
      </c>
      <c r="H145" s="62">
        <v>0</v>
      </c>
      <c r="I145" s="62" t="s">
        <v>120</v>
      </c>
      <c r="J145" s="63">
        <v>950000</v>
      </c>
      <c r="K145" s="63">
        <v>537000</v>
      </c>
      <c r="L145" s="62">
        <v>0.974</v>
      </c>
      <c r="M145" s="63">
        <v>0</v>
      </c>
      <c r="N145" s="62">
        <v>0</v>
      </c>
    </row>
    <row r="146" spans="1:14">
      <c r="A146" s="62" t="s">
        <v>116</v>
      </c>
      <c r="B146" s="62" t="s">
        <v>117</v>
      </c>
      <c r="C146" s="62"/>
      <c r="D146" s="62" t="s">
        <v>118</v>
      </c>
      <c r="E146" s="62" t="s">
        <v>32</v>
      </c>
      <c r="F146" s="63">
        <v>0</v>
      </c>
      <c r="G146" s="63">
        <v>0</v>
      </c>
      <c r="H146" s="62">
        <v>0</v>
      </c>
      <c r="I146" s="62" t="s">
        <v>120</v>
      </c>
      <c r="J146" s="63">
        <v>941000</v>
      </c>
      <c r="K146" s="63">
        <v>547000</v>
      </c>
      <c r="L146" s="62">
        <v>0.979</v>
      </c>
      <c r="M146" s="63">
        <v>0</v>
      </c>
      <c r="N146" s="62">
        <v>0</v>
      </c>
    </row>
    <row r="147" spans="1:14">
      <c r="A147" s="62" t="s">
        <v>160</v>
      </c>
      <c r="B147" s="62" t="s">
        <v>122</v>
      </c>
      <c r="C147" s="62"/>
      <c r="D147" s="62" t="s">
        <v>118</v>
      </c>
      <c r="E147" s="62" t="s">
        <v>32</v>
      </c>
      <c r="F147" s="63">
        <v>0</v>
      </c>
      <c r="G147" s="63">
        <v>0</v>
      </c>
      <c r="H147" s="62">
        <v>0</v>
      </c>
      <c r="I147" s="62" t="s">
        <v>120</v>
      </c>
      <c r="J147" s="63">
        <v>902000</v>
      </c>
      <c r="K147" s="63">
        <v>523000</v>
      </c>
      <c r="L147" s="62">
        <v>0.973</v>
      </c>
      <c r="M147" s="63">
        <v>0</v>
      </c>
      <c r="N147" s="62">
        <v>0</v>
      </c>
    </row>
    <row r="148" spans="1:14">
      <c r="A148" s="62" t="s">
        <v>160</v>
      </c>
      <c r="B148" s="62" t="s">
        <v>122</v>
      </c>
      <c r="C148" s="62"/>
      <c r="D148" s="62" t="s">
        <v>118</v>
      </c>
      <c r="E148" s="62" t="s">
        <v>32</v>
      </c>
      <c r="F148" s="63">
        <v>0</v>
      </c>
      <c r="G148" s="63">
        <v>0</v>
      </c>
      <c r="H148" s="62">
        <v>0</v>
      </c>
      <c r="I148" s="62" t="s">
        <v>120</v>
      </c>
      <c r="J148" s="63">
        <v>924000</v>
      </c>
      <c r="K148" s="63">
        <v>528000</v>
      </c>
      <c r="L148" s="62">
        <v>0.973</v>
      </c>
      <c r="M148" s="63">
        <v>0</v>
      </c>
      <c r="N148" s="62">
        <v>0</v>
      </c>
    </row>
    <row r="149" spans="1:14">
      <c r="A149" s="62" t="s">
        <v>161</v>
      </c>
      <c r="B149" s="62" t="s">
        <v>122</v>
      </c>
      <c r="C149" s="62"/>
      <c r="D149" s="62" t="s">
        <v>118</v>
      </c>
      <c r="E149" s="62" t="s">
        <v>32</v>
      </c>
      <c r="F149" s="63">
        <v>7090</v>
      </c>
      <c r="G149" s="63">
        <v>4330</v>
      </c>
      <c r="H149" s="62">
        <v>1.03</v>
      </c>
      <c r="I149" s="62" t="s">
        <v>120</v>
      </c>
      <c r="J149" s="63">
        <v>905000</v>
      </c>
      <c r="K149" s="63">
        <v>517000</v>
      </c>
      <c r="L149" s="62">
        <v>0.982</v>
      </c>
      <c r="M149" s="63">
        <v>0.00783</v>
      </c>
      <c r="N149" s="62">
        <v>0</v>
      </c>
    </row>
    <row r="150" spans="1:14">
      <c r="A150" s="62" t="s">
        <v>161</v>
      </c>
      <c r="B150" s="62" t="s">
        <v>122</v>
      </c>
      <c r="C150" s="62"/>
      <c r="D150" s="62" t="s">
        <v>118</v>
      </c>
      <c r="E150" s="62" t="s">
        <v>32</v>
      </c>
      <c r="F150" s="63">
        <v>7440</v>
      </c>
      <c r="G150" s="63">
        <v>4830</v>
      </c>
      <c r="H150" s="62">
        <v>1.02</v>
      </c>
      <c r="I150" s="62" t="s">
        <v>120</v>
      </c>
      <c r="J150" s="63">
        <v>884000</v>
      </c>
      <c r="K150" s="63">
        <v>509000</v>
      </c>
      <c r="L150" s="62">
        <v>0.971</v>
      </c>
      <c r="M150" s="63">
        <v>0.00841</v>
      </c>
      <c r="N150" s="62">
        <v>0</v>
      </c>
    </row>
    <row r="151" spans="1:14">
      <c r="A151" s="62" t="s">
        <v>162</v>
      </c>
      <c r="B151" s="62" t="s">
        <v>122</v>
      </c>
      <c r="C151" s="62"/>
      <c r="D151" s="62" t="s">
        <v>118</v>
      </c>
      <c r="E151" s="62" t="s">
        <v>32</v>
      </c>
      <c r="F151" s="63">
        <v>49000</v>
      </c>
      <c r="G151" s="63">
        <v>30200</v>
      </c>
      <c r="H151" s="62">
        <v>1.02</v>
      </c>
      <c r="I151" s="62" t="s">
        <v>120</v>
      </c>
      <c r="J151" s="63">
        <v>927000</v>
      </c>
      <c r="K151" s="63">
        <v>553000</v>
      </c>
      <c r="L151" s="62">
        <v>0.975</v>
      </c>
      <c r="M151" s="63">
        <v>0.0529</v>
      </c>
      <c r="N151" s="62">
        <v>0</v>
      </c>
    </row>
    <row r="152" spans="1:14">
      <c r="A152" s="62" t="s">
        <v>162</v>
      </c>
      <c r="B152" s="62" t="s">
        <v>122</v>
      </c>
      <c r="C152" s="62"/>
      <c r="D152" s="62" t="s">
        <v>118</v>
      </c>
      <c r="E152" s="62" t="s">
        <v>32</v>
      </c>
      <c r="F152" s="63">
        <v>54900</v>
      </c>
      <c r="G152" s="63">
        <v>32600</v>
      </c>
      <c r="H152" s="62">
        <v>1.02</v>
      </c>
      <c r="I152" s="62" t="s">
        <v>120</v>
      </c>
      <c r="J152" s="63">
        <v>896000</v>
      </c>
      <c r="K152" s="63">
        <v>527000</v>
      </c>
      <c r="L152" s="62">
        <v>0.97</v>
      </c>
      <c r="M152" s="63">
        <v>0.0613</v>
      </c>
      <c r="N152" s="62">
        <v>0</v>
      </c>
    </row>
    <row r="153" spans="1:14">
      <c r="A153" s="62" t="s">
        <v>163</v>
      </c>
      <c r="B153" s="62" t="s">
        <v>122</v>
      </c>
      <c r="C153" s="62"/>
      <c r="D153" s="62" t="s">
        <v>118</v>
      </c>
      <c r="E153" s="62" t="s">
        <v>32</v>
      </c>
      <c r="F153" s="63">
        <v>133000</v>
      </c>
      <c r="G153" s="63">
        <v>79500</v>
      </c>
      <c r="H153" s="62">
        <v>1.02</v>
      </c>
      <c r="I153" s="62" t="s">
        <v>120</v>
      </c>
      <c r="J153" s="63">
        <v>916000</v>
      </c>
      <c r="K153" s="63">
        <v>525000</v>
      </c>
      <c r="L153" s="62">
        <v>0.978</v>
      </c>
      <c r="M153" s="63">
        <v>0.145</v>
      </c>
      <c r="N153" s="62">
        <v>0</v>
      </c>
    </row>
    <row r="154" spans="1:14">
      <c r="A154" s="62" t="s">
        <v>163</v>
      </c>
      <c r="B154" s="62" t="s">
        <v>122</v>
      </c>
      <c r="C154" s="62"/>
      <c r="D154" s="62" t="s">
        <v>118</v>
      </c>
      <c r="E154" s="62" t="s">
        <v>32</v>
      </c>
      <c r="F154" s="63">
        <v>125000</v>
      </c>
      <c r="G154" s="63">
        <v>75900</v>
      </c>
      <c r="H154" s="62">
        <v>1.02</v>
      </c>
      <c r="I154" s="62" t="s">
        <v>120</v>
      </c>
      <c r="J154" s="63">
        <v>888000</v>
      </c>
      <c r="K154" s="63">
        <v>504000</v>
      </c>
      <c r="L154" s="62">
        <v>0.975</v>
      </c>
      <c r="M154" s="63">
        <v>0.141</v>
      </c>
      <c r="N154" s="62">
        <v>0</v>
      </c>
    </row>
    <row r="155" spans="1:14">
      <c r="A155" s="62" t="s">
        <v>164</v>
      </c>
      <c r="B155" s="62" t="s">
        <v>122</v>
      </c>
      <c r="C155" s="62"/>
      <c r="D155" s="62" t="s">
        <v>118</v>
      </c>
      <c r="E155" s="62" t="s">
        <v>32</v>
      </c>
      <c r="F155" s="63">
        <v>163000</v>
      </c>
      <c r="G155" s="63">
        <v>95900</v>
      </c>
      <c r="H155" s="62">
        <v>1.02</v>
      </c>
      <c r="I155" s="62" t="s">
        <v>120</v>
      </c>
      <c r="J155" s="63">
        <v>863000</v>
      </c>
      <c r="K155" s="63">
        <v>491000</v>
      </c>
      <c r="L155" s="62">
        <v>0.974</v>
      </c>
      <c r="M155" s="63">
        <v>0.189</v>
      </c>
      <c r="N155" s="62">
        <v>0</v>
      </c>
    </row>
    <row r="156" spans="1:14">
      <c r="A156" s="62" t="s">
        <v>164</v>
      </c>
      <c r="B156" s="62" t="s">
        <v>122</v>
      </c>
      <c r="C156" s="62"/>
      <c r="D156" s="62" t="s">
        <v>118</v>
      </c>
      <c r="E156" s="62" t="s">
        <v>32</v>
      </c>
      <c r="F156" s="63">
        <v>164000</v>
      </c>
      <c r="G156" s="63">
        <v>97700</v>
      </c>
      <c r="H156" s="62">
        <v>1.02</v>
      </c>
      <c r="I156" s="62" t="s">
        <v>120</v>
      </c>
      <c r="J156" s="63">
        <v>848000</v>
      </c>
      <c r="K156" s="63">
        <v>494000</v>
      </c>
      <c r="L156" s="62">
        <v>0.975</v>
      </c>
      <c r="M156" s="63">
        <v>0.193</v>
      </c>
      <c r="N156" s="62">
        <v>0</v>
      </c>
    </row>
    <row r="157" spans="1:14">
      <c r="A157" s="62" t="s">
        <v>165</v>
      </c>
      <c r="B157" s="62" t="s">
        <v>122</v>
      </c>
      <c r="C157" s="62"/>
      <c r="D157" s="62" t="s">
        <v>118</v>
      </c>
      <c r="E157" s="62" t="s">
        <v>32</v>
      </c>
      <c r="F157" s="63">
        <v>183000</v>
      </c>
      <c r="G157" s="63">
        <v>108000</v>
      </c>
      <c r="H157" s="62">
        <v>1.03</v>
      </c>
      <c r="I157" s="62" t="s">
        <v>120</v>
      </c>
      <c r="J157" s="63">
        <v>858000</v>
      </c>
      <c r="K157" s="63">
        <v>493000</v>
      </c>
      <c r="L157" s="62">
        <v>0.979</v>
      </c>
      <c r="M157" s="63">
        <v>0.213</v>
      </c>
      <c r="N157" s="62">
        <v>0</v>
      </c>
    </row>
    <row r="158" spans="1:14">
      <c r="A158" s="62" t="s">
        <v>165</v>
      </c>
      <c r="B158" s="62" t="s">
        <v>122</v>
      </c>
      <c r="C158" s="62"/>
      <c r="D158" s="62" t="s">
        <v>118</v>
      </c>
      <c r="E158" s="62" t="s">
        <v>32</v>
      </c>
      <c r="F158" s="63">
        <v>185000</v>
      </c>
      <c r="G158" s="63">
        <v>109000</v>
      </c>
      <c r="H158" s="62">
        <v>1.03</v>
      </c>
      <c r="I158" s="62" t="s">
        <v>120</v>
      </c>
      <c r="J158" s="63">
        <v>835000</v>
      </c>
      <c r="K158" s="63">
        <v>484000</v>
      </c>
      <c r="L158" s="62">
        <v>0.98</v>
      </c>
      <c r="M158" s="63">
        <v>0.222</v>
      </c>
      <c r="N158" s="62">
        <v>0</v>
      </c>
    </row>
    <row r="159" spans="1:14">
      <c r="A159" s="62" t="s">
        <v>116</v>
      </c>
      <c r="B159" s="62" t="s">
        <v>117</v>
      </c>
      <c r="C159" s="62"/>
      <c r="D159" s="62" t="s">
        <v>118</v>
      </c>
      <c r="E159" s="62" t="s">
        <v>32</v>
      </c>
      <c r="F159" s="63">
        <v>0</v>
      </c>
      <c r="G159" s="63">
        <v>0</v>
      </c>
      <c r="H159" s="62">
        <v>0</v>
      </c>
      <c r="I159" s="62" t="s">
        <v>120</v>
      </c>
      <c r="J159" s="63">
        <v>883000</v>
      </c>
      <c r="K159" s="63">
        <v>509000</v>
      </c>
      <c r="L159" s="62">
        <v>0.979</v>
      </c>
      <c r="M159" s="63">
        <v>0</v>
      </c>
      <c r="N159" s="62">
        <v>0</v>
      </c>
    </row>
    <row r="160" spans="1:14">
      <c r="A160" s="62" t="s">
        <v>116</v>
      </c>
      <c r="B160" s="62" t="s">
        <v>117</v>
      </c>
      <c r="C160" s="62"/>
      <c r="D160" s="62" t="s">
        <v>118</v>
      </c>
      <c r="E160" s="62" t="s">
        <v>32</v>
      </c>
      <c r="F160" s="63">
        <v>0</v>
      </c>
      <c r="G160" s="63">
        <v>0</v>
      </c>
      <c r="H160" s="62">
        <v>0</v>
      </c>
      <c r="I160" s="62" t="s">
        <v>120</v>
      </c>
      <c r="J160" s="63">
        <v>869000</v>
      </c>
      <c r="K160" s="63">
        <v>516000</v>
      </c>
      <c r="L160" s="62">
        <v>0.975</v>
      </c>
      <c r="M160" s="63">
        <v>0</v>
      </c>
      <c r="N160" s="62">
        <v>0</v>
      </c>
    </row>
    <row r="161" spans="1:14">
      <c r="A161" s="62" t="s">
        <v>166</v>
      </c>
      <c r="B161" s="62" t="s">
        <v>122</v>
      </c>
      <c r="C161" s="62"/>
      <c r="D161" s="62" t="s">
        <v>118</v>
      </c>
      <c r="E161" s="62" t="s">
        <v>32</v>
      </c>
      <c r="F161" s="63">
        <v>91100</v>
      </c>
      <c r="G161" s="63">
        <v>53700</v>
      </c>
      <c r="H161" s="62">
        <v>1.02</v>
      </c>
      <c r="I161" s="62" t="s">
        <v>120</v>
      </c>
      <c r="J161" s="63">
        <v>865000</v>
      </c>
      <c r="K161" s="63">
        <v>498000</v>
      </c>
      <c r="L161" s="62">
        <v>0.973</v>
      </c>
      <c r="M161" s="63">
        <v>0.105</v>
      </c>
      <c r="N161" s="62">
        <v>0</v>
      </c>
    </row>
    <row r="162" spans="1:14">
      <c r="A162" s="62" t="s">
        <v>166</v>
      </c>
      <c r="B162" s="62" t="s">
        <v>122</v>
      </c>
      <c r="C162" s="62"/>
      <c r="D162" s="62" t="s">
        <v>118</v>
      </c>
      <c r="E162" s="62" t="s">
        <v>32</v>
      </c>
      <c r="F162" s="63">
        <v>94400</v>
      </c>
      <c r="G162" s="63">
        <v>55900</v>
      </c>
      <c r="H162" s="62">
        <v>1.02</v>
      </c>
      <c r="I162" s="62" t="s">
        <v>120</v>
      </c>
      <c r="J162" s="63">
        <v>832000</v>
      </c>
      <c r="K162" s="63">
        <v>480000</v>
      </c>
      <c r="L162" s="62">
        <v>0.979</v>
      </c>
      <c r="M162" s="63">
        <v>0.114</v>
      </c>
      <c r="N162" s="62">
        <v>0</v>
      </c>
    </row>
    <row r="163" spans="1:14">
      <c r="A163" s="62" t="s">
        <v>167</v>
      </c>
      <c r="B163" s="62" t="s">
        <v>122</v>
      </c>
      <c r="C163" s="62"/>
      <c r="D163" s="62" t="s">
        <v>118</v>
      </c>
      <c r="E163" s="62" t="s">
        <v>32</v>
      </c>
      <c r="F163" s="63">
        <v>145000</v>
      </c>
      <c r="G163" s="63">
        <v>88700</v>
      </c>
      <c r="H163" s="62">
        <v>1.02</v>
      </c>
      <c r="I163" s="62" t="s">
        <v>120</v>
      </c>
      <c r="J163" s="63">
        <v>833000</v>
      </c>
      <c r="K163" s="63">
        <v>474000</v>
      </c>
      <c r="L163" s="62">
        <v>0.974</v>
      </c>
      <c r="M163" s="63">
        <v>0.174</v>
      </c>
      <c r="N163" s="62">
        <v>0</v>
      </c>
    </row>
    <row r="164" spans="1:14">
      <c r="A164" s="62" t="s">
        <v>167</v>
      </c>
      <c r="B164" s="62" t="s">
        <v>122</v>
      </c>
      <c r="C164" s="62"/>
      <c r="D164" s="62" t="s">
        <v>118</v>
      </c>
      <c r="E164" s="62" t="s">
        <v>32</v>
      </c>
      <c r="F164" s="63">
        <v>143000</v>
      </c>
      <c r="G164" s="63">
        <v>85600</v>
      </c>
      <c r="H164" s="62">
        <v>1.03</v>
      </c>
      <c r="I164" s="62" t="s">
        <v>120</v>
      </c>
      <c r="J164" s="63">
        <v>810000</v>
      </c>
      <c r="K164" s="63">
        <v>466000</v>
      </c>
      <c r="L164" s="62">
        <v>0.98</v>
      </c>
      <c r="M164" s="63">
        <v>0.176</v>
      </c>
      <c r="N164" s="62">
        <v>0</v>
      </c>
    </row>
    <row r="165" spans="1:14">
      <c r="A165" s="62" t="s">
        <v>168</v>
      </c>
      <c r="B165" s="62" t="s">
        <v>122</v>
      </c>
      <c r="C165" s="62"/>
      <c r="D165" s="62" t="s">
        <v>118</v>
      </c>
      <c r="E165" s="62" t="s">
        <v>32</v>
      </c>
      <c r="F165" s="63">
        <v>164000</v>
      </c>
      <c r="G165" s="63">
        <v>96800</v>
      </c>
      <c r="H165" s="62">
        <v>1.03</v>
      </c>
      <c r="I165" s="62" t="s">
        <v>120</v>
      </c>
      <c r="J165" s="63">
        <v>822000</v>
      </c>
      <c r="K165" s="63">
        <v>478000</v>
      </c>
      <c r="L165" s="62">
        <v>0.981</v>
      </c>
      <c r="M165" s="63">
        <v>0.2</v>
      </c>
      <c r="N165" s="62">
        <v>0</v>
      </c>
    </row>
    <row r="166" spans="1:14">
      <c r="A166" s="62" t="s">
        <v>168</v>
      </c>
      <c r="B166" s="62" t="s">
        <v>122</v>
      </c>
      <c r="C166" s="62"/>
      <c r="D166" s="62" t="s">
        <v>118</v>
      </c>
      <c r="E166" s="62" t="s">
        <v>32</v>
      </c>
      <c r="F166" s="63">
        <v>165000</v>
      </c>
      <c r="G166" s="63">
        <v>98500</v>
      </c>
      <c r="H166" s="62">
        <v>1.02</v>
      </c>
      <c r="I166" s="62" t="s">
        <v>120</v>
      </c>
      <c r="J166" s="63">
        <v>810000</v>
      </c>
      <c r="K166" s="63">
        <v>484000</v>
      </c>
      <c r="L166" s="62">
        <v>0.977</v>
      </c>
      <c r="M166" s="63">
        <v>0.203</v>
      </c>
      <c r="N166" s="62">
        <v>0</v>
      </c>
    </row>
    <row r="167" spans="1:14">
      <c r="A167" s="62" t="s">
        <v>169</v>
      </c>
      <c r="B167" s="62" t="s">
        <v>122</v>
      </c>
      <c r="C167" s="62"/>
      <c r="D167" s="62" t="s">
        <v>118</v>
      </c>
      <c r="E167" s="62" t="s">
        <v>32</v>
      </c>
      <c r="F167" s="63">
        <v>183000</v>
      </c>
      <c r="G167" s="63">
        <v>109000</v>
      </c>
      <c r="H167" s="62">
        <v>1.03</v>
      </c>
      <c r="I167" s="62" t="s">
        <v>120</v>
      </c>
      <c r="J167" s="63">
        <v>788000</v>
      </c>
      <c r="K167" s="63">
        <v>461000</v>
      </c>
      <c r="L167" s="62">
        <v>0.98</v>
      </c>
      <c r="M167" s="63">
        <v>0.232</v>
      </c>
      <c r="N167" s="62">
        <v>0</v>
      </c>
    </row>
    <row r="168" spans="1:14">
      <c r="A168" s="62" t="s">
        <v>169</v>
      </c>
      <c r="B168" s="62" t="s">
        <v>122</v>
      </c>
      <c r="C168" s="62"/>
      <c r="D168" s="62" t="s">
        <v>118</v>
      </c>
      <c r="E168" s="62" t="s">
        <v>32</v>
      </c>
      <c r="F168" s="63">
        <v>184000</v>
      </c>
      <c r="G168" s="63">
        <v>107000</v>
      </c>
      <c r="H168" s="62">
        <v>1.02</v>
      </c>
      <c r="I168" s="62" t="s">
        <v>120</v>
      </c>
      <c r="J168" s="63">
        <v>810000</v>
      </c>
      <c r="K168" s="63">
        <v>484000</v>
      </c>
      <c r="L168" s="62">
        <v>0.978</v>
      </c>
      <c r="M168" s="63">
        <v>0.227</v>
      </c>
      <c r="N168" s="62">
        <v>0</v>
      </c>
    </row>
    <row r="169" spans="1:14">
      <c r="A169" s="62" t="s">
        <v>170</v>
      </c>
      <c r="B169" s="62" t="s">
        <v>122</v>
      </c>
      <c r="C169" s="62"/>
      <c r="D169" s="62" t="s">
        <v>118</v>
      </c>
      <c r="E169" s="62" t="s">
        <v>32</v>
      </c>
      <c r="F169" s="63">
        <v>188000</v>
      </c>
      <c r="G169" s="63">
        <v>113000</v>
      </c>
      <c r="H169" s="62">
        <v>1.03</v>
      </c>
      <c r="I169" s="62" t="s">
        <v>120</v>
      </c>
      <c r="J169" s="63">
        <v>835000</v>
      </c>
      <c r="K169" s="63">
        <v>486000</v>
      </c>
      <c r="L169" s="62">
        <v>0.98</v>
      </c>
      <c r="M169" s="63">
        <v>0.226</v>
      </c>
      <c r="N169" s="62">
        <v>0</v>
      </c>
    </row>
    <row r="170" spans="1:14">
      <c r="A170" s="62" t="s">
        <v>170</v>
      </c>
      <c r="B170" s="62" t="s">
        <v>122</v>
      </c>
      <c r="C170" s="62"/>
      <c r="D170" s="62" t="s">
        <v>118</v>
      </c>
      <c r="E170" s="62" t="s">
        <v>32</v>
      </c>
      <c r="F170" s="63">
        <v>187000</v>
      </c>
      <c r="G170" s="63">
        <v>112000</v>
      </c>
      <c r="H170" s="62">
        <v>1.03</v>
      </c>
      <c r="I170" s="62" t="s">
        <v>120</v>
      </c>
      <c r="J170" s="63">
        <v>809000</v>
      </c>
      <c r="K170" s="63">
        <v>476000</v>
      </c>
      <c r="L170" s="62">
        <v>0.981</v>
      </c>
      <c r="M170" s="63">
        <v>0.231</v>
      </c>
      <c r="N170" s="62">
        <v>0</v>
      </c>
    </row>
    <row r="171" spans="1:14">
      <c r="A171" s="62" t="s">
        <v>171</v>
      </c>
      <c r="B171" s="62" t="s">
        <v>122</v>
      </c>
      <c r="C171" s="62"/>
      <c r="D171" s="62" t="s">
        <v>118</v>
      </c>
      <c r="E171" s="62" t="s">
        <v>32</v>
      </c>
      <c r="F171" s="63">
        <v>196000</v>
      </c>
      <c r="G171" s="63">
        <v>116000</v>
      </c>
      <c r="H171" s="62">
        <v>1.02</v>
      </c>
      <c r="I171" s="62" t="s">
        <v>120</v>
      </c>
      <c r="J171" s="63">
        <v>828000</v>
      </c>
      <c r="K171" s="63">
        <v>478000</v>
      </c>
      <c r="L171" s="62">
        <v>0.977</v>
      </c>
      <c r="M171" s="63">
        <v>0.237</v>
      </c>
      <c r="N171" s="62">
        <v>0</v>
      </c>
    </row>
    <row r="172" spans="1:14">
      <c r="A172" s="62" t="s">
        <v>171</v>
      </c>
      <c r="B172" s="62" t="s">
        <v>122</v>
      </c>
      <c r="C172" s="62"/>
      <c r="D172" s="62" t="s">
        <v>118</v>
      </c>
      <c r="E172" s="62" t="s">
        <v>32</v>
      </c>
      <c r="F172" s="63">
        <v>206000</v>
      </c>
      <c r="G172" s="63">
        <v>121000</v>
      </c>
      <c r="H172" s="62">
        <v>1.02</v>
      </c>
      <c r="I172" s="62" t="s">
        <v>120</v>
      </c>
      <c r="J172" s="63">
        <v>840000</v>
      </c>
      <c r="K172" s="63">
        <v>486000</v>
      </c>
      <c r="L172" s="62">
        <v>0.978</v>
      </c>
      <c r="M172" s="63">
        <v>0.245</v>
      </c>
      <c r="N172" s="62">
        <v>0</v>
      </c>
    </row>
    <row r="173" spans="1:14">
      <c r="A173" s="62" t="s">
        <v>116</v>
      </c>
      <c r="B173" s="62" t="s">
        <v>117</v>
      </c>
      <c r="C173" s="62"/>
      <c r="D173" s="62" t="s">
        <v>118</v>
      </c>
      <c r="E173" s="62" t="s">
        <v>32</v>
      </c>
      <c r="F173" s="63">
        <v>0</v>
      </c>
      <c r="G173" s="63">
        <v>0</v>
      </c>
      <c r="H173" s="62">
        <v>0</v>
      </c>
      <c r="I173" s="62" t="s">
        <v>120</v>
      </c>
      <c r="J173" s="63">
        <v>876000</v>
      </c>
      <c r="K173" s="63">
        <v>502000</v>
      </c>
      <c r="L173" s="62">
        <v>0.98</v>
      </c>
      <c r="M173" s="63">
        <v>0</v>
      </c>
      <c r="N173" s="62">
        <v>0</v>
      </c>
    </row>
    <row r="174" spans="1:14">
      <c r="A174" s="62" t="s">
        <v>116</v>
      </c>
      <c r="B174" s="62" t="s">
        <v>117</v>
      </c>
      <c r="C174" s="62"/>
      <c r="D174" s="62" t="s">
        <v>118</v>
      </c>
      <c r="E174" s="62" t="s">
        <v>32</v>
      </c>
      <c r="F174" s="63">
        <v>0</v>
      </c>
      <c r="G174" s="63">
        <v>0</v>
      </c>
      <c r="H174" s="62">
        <v>0</v>
      </c>
      <c r="I174" s="62" t="s">
        <v>120</v>
      </c>
      <c r="J174" s="63">
        <v>873000</v>
      </c>
      <c r="K174" s="63">
        <v>502000</v>
      </c>
      <c r="L174" s="62">
        <v>0.972</v>
      </c>
      <c r="M174" s="63">
        <v>0</v>
      </c>
      <c r="N174" s="62">
        <v>0</v>
      </c>
    </row>
    <row r="175" spans="1:14">
      <c r="A175" s="62" t="s">
        <v>172</v>
      </c>
      <c r="B175" s="62" t="s">
        <v>122</v>
      </c>
      <c r="C175" s="62"/>
      <c r="D175" s="62" t="s">
        <v>118</v>
      </c>
      <c r="E175" s="62" t="s">
        <v>32</v>
      </c>
      <c r="F175" s="63">
        <v>91600</v>
      </c>
      <c r="G175" s="63">
        <v>54000</v>
      </c>
      <c r="H175" s="62">
        <v>1.02</v>
      </c>
      <c r="I175" s="62" t="s">
        <v>120</v>
      </c>
      <c r="J175" s="63">
        <v>852000</v>
      </c>
      <c r="K175" s="63">
        <v>508000</v>
      </c>
      <c r="L175" s="62">
        <v>0.971</v>
      </c>
      <c r="M175" s="63">
        <v>0.107</v>
      </c>
      <c r="N175" s="62">
        <v>0</v>
      </c>
    </row>
    <row r="176" spans="1:14">
      <c r="A176" s="62" t="s">
        <v>172</v>
      </c>
      <c r="B176" s="62" t="s">
        <v>122</v>
      </c>
      <c r="C176" s="62"/>
      <c r="D176" s="62" t="s">
        <v>118</v>
      </c>
      <c r="E176" s="62" t="s">
        <v>32</v>
      </c>
      <c r="F176" s="63">
        <v>93600</v>
      </c>
      <c r="G176" s="63">
        <v>57600</v>
      </c>
      <c r="H176" s="62">
        <v>1.03</v>
      </c>
      <c r="I176" s="62" t="s">
        <v>120</v>
      </c>
      <c r="J176" s="63">
        <v>873000</v>
      </c>
      <c r="K176" s="63">
        <v>509000</v>
      </c>
      <c r="L176" s="62">
        <v>0.98</v>
      </c>
      <c r="M176" s="63">
        <v>0.107</v>
      </c>
      <c r="N176" s="62">
        <v>0</v>
      </c>
    </row>
    <row r="177" spans="1:14">
      <c r="A177" s="62" t="s">
        <v>173</v>
      </c>
      <c r="B177" s="62" t="s">
        <v>122</v>
      </c>
      <c r="C177" s="62"/>
      <c r="D177" s="62" t="s">
        <v>118</v>
      </c>
      <c r="E177" s="62" t="s">
        <v>32</v>
      </c>
      <c r="F177" s="63">
        <v>149000</v>
      </c>
      <c r="G177" s="63">
        <v>88400</v>
      </c>
      <c r="H177" s="62">
        <v>1.02</v>
      </c>
      <c r="I177" s="62" t="s">
        <v>120</v>
      </c>
      <c r="J177" s="63">
        <v>912000</v>
      </c>
      <c r="K177" s="63">
        <v>534000</v>
      </c>
      <c r="L177" s="62">
        <v>0.975</v>
      </c>
      <c r="M177" s="63">
        <v>0.164</v>
      </c>
      <c r="N177" s="62">
        <v>0</v>
      </c>
    </row>
    <row r="178" spans="1:14">
      <c r="A178" s="62" t="s">
        <v>173</v>
      </c>
      <c r="B178" s="62" t="s">
        <v>122</v>
      </c>
      <c r="C178" s="62"/>
      <c r="D178" s="62" t="s">
        <v>118</v>
      </c>
      <c r="E178" s="62" t="s">
        <v>32</v>
      </c>
      <c r="F178" s="63">
        <v>150000</v>
      </c>
      <c r="G178" s="63">
        <v>91200</v>
      </c>
      <c r="H178" s="62">
        <v>1.02</v>
      </c>
      <c r="I178" s="62" t="s">
        <v>120</v>
      </c>
      <c r="J178" s="63">
        <v>862000</v>
      </c>
      <c r="K178" s="63">
        <v>516000</v>
      </c>
      <c r="L178" s="62">
        <v>0.973</v>
      </c>
      <c r="M178" s="63">
        <v>0.174</v>
      </c>
      <c r="N178" s="62">
        <v>0</v>
      </c>
    </row>
    <row r="179" spans="1:14">
      <c r="A179" s="62" t="s">
        <v>174</v>
      </c>
      <c r="B179" s="62" t="s">
        <v>122</v>
      </c>
      <c r="C179" s="62"/>
      <c r="D179" s="62" t="s">
        <v>118</v>
      </c>
      <c r="E179" s="62" t="s">
        <v>32</v>
      </c>
      <c r="F179" s="63">
        <v>168000</v>
      </c>
      <c r="G179" s="63">
        <v>98600</v>
      </c>
      <c r="H179" s="62">
        <v>1.02</v>
      </c>
      <c r="I179" s="62" t="s">
        <v>120</v>
      </c>
      <c r="J179" s="63">
        <v>830000</v>
      </c>
      <c r="K179" s="63">
        <v>490000</v>
      </c>
      <c r="L179" s="62">
        <v>0.974</v>
      </c>
      <c r="M179" s="63">
        <v>0.203</v>
      </c>
      <c r="N179" s="62">
        <v>0</v>
      </c>
    </row>
    <row r="180" spans="1:14">
      <c r="A180" s="62" t="s">
        <v>174</v>
      </c>
      <c r="B180" s="62" t="s">
        <v>122</v>
      </c>
      <c r="C180" s="62"/>
      <c r="D180" s="62" t="s">
        <v>118</v>
      </c>
      <c r="E180" s="62" t="s">
        <v>32</v>
      </c>
      <c r="F180" s="63">
        <v>171000</v>
      </c>
      <c r="G180" s="63">
        <v>102000</v>
      </c>
      <c r="H180" s="62">
        <v>1.02</v>
      </c>
      <c r="I180" s="62" t="s">
        <v>120</v>
      </c>
      <c r="J180" s="63">
        <v>873000</v>
      </c>
      <c r="K180" s="63">
        <v>503000</v>
      </c>
      <c r="L180" s="62">
        <v>0.978</v>
      </c>
      <c r="M180" s="63">
        <v>0.196</v>
      </c>
      <c r="N180" s="62">
        <v>0</v>
      </c>
    </row>
    <row r="181" spans="1:14">
      <c r="A181" s="62" t="s">
        <v>175</v>
      </c>
      <c r="B181" s="62" t="s">
        <v>122</v>
      </c>
      <c r="C181" s="62"/>
      <c r="D181" s="62" t="s">
        <v>118</v>
      </c>
      <c r="E181" s="62" t="s">
        <v>32</v>
      </c>
      <c r="F181" s="63">
        <v>174000</v>
      </c>
      <c r="G181" s="63">
        <v>103000</v>
      </c>
      <c r="H181" s="62">
        <v>1.03</v>
      </c>
      <c r="I181" s="62" t="s">
        <v>120</v>
      </c>
      <c r="J181" s="63">
        <v>867000</v>
      </c>
      <c r="K181" s="63">
        <v>496000</v>
      </c>
      <c r="L181" s="62">
        <v>0.981</v>
      </c>
      <c r="M181" s="63">
        <v>0.201</v>
      </c>
      <c r="N181" s="62">
        <v>0</v>
      </c>
    </row>
    <row r="182" spans="1:14">
      <c r="A182" s="62" t="s">
        <v>175</v>
      </c>
      <c r="B182" s="62" t="s">
        <v>122</v>
      </c>
      <c r="C182" s="62"/>
      <c r="D182" s="62" t="s">
        <v>118</v>
      </c>
      <c r="E182" s="62" t="s">
        <v>32</v>
      </c>
      <c r="F182" s="63">
        <v>170000</v>
      </c>
      <c r="G182" s="63">
        <v>105000</v>
      </c>
      <c r="H182" s="62">
        <v>1.02</v>
      </c>
      <c r="I182" s="62" t="s">
        <v>120</v>
      </c>
      <c r="J182" s="63">
        <v>841000</v>
      </c>
      <c r="K182" s="63">
        <v>503000</v>
      </c>
      <c r="L182" s="62">
        <v>0.975</v>
      </c>
      <c r="M182" s="63">
        <v>0.202</v>
      </c>
      <c r="N182" s="62">
        <v>0</v>
      </c>
    </row>
    <row r="183" spans="1:14">
      <c r="A183" s="62" t="s">
        <v>176</v>
      </c>
      <c r="B183" s="62" t="s">
        <v>122</v>
      </c>
      <c r="C183" s="62"/>
      <c r="D183" s="62" t="s">
        <v>118</v>
      </c>
      <c r="E183" s="62" t="s">
        <v>32</v>
      </c>
      <c r="F183" s="63">
        <v>178000</v>
      </c>
      <c r="G183" s="63">
        <v>106000</v>
      </c>
      <c r="H183" s="62">
        <v>1.02</v>
      </c>
      <c r="I183" s="62" t="s">
        <v>120</v>
      </c>
      <c r="J183" s="63">
        <v>852000</v>
      </c>
      <c r="K183" s="63">
        <v>497000</v>
      </c>
      <c r="L183" s="62">
        <v>0.978</v>
      </c>
      <c r="M183" s="63">
        <v>0.209</v>
      </c>
      <c r="N183" s="62">
        <v>0</v>
      </c>
    </row>
    <row r="184" spans="1:14">
      <c r="A184" s="62" t="s">
        <v>176</v>
      </c>
      <c r="B184" s="62" t="s">
        <v>122</v>
      </c>
      <c r="C184" s="62"/>
      <c r="D184" s="62" t="s">
        <v>118</v>
      </c>
      <c r="E184" s="62" t="s">
        <v>32</v>
      </c>
      <c r="F184" s="63">
        <v>187000</v>
      </c>
      <c r="G184" s="63">
        <v>110000</v>
      </c>
      <c r="H184" s="62">
        <v>1.02</v>
      </c>
      <c r="I184" s="62" t="s">
        <v>120</v>
      </c>
      <c r="J184" s="63">
        <v>832000</v>
      </c>
      <c r="K184" s="63">
        <v>476000</v>
      </c>
      <c r="L184" s="62">
        <v>0.973</v>
      </c>
      <c r="M184" s="63">
        <v>0.224</v>
      </c>
      <c r="N184" s="62">
        <v>0</v>
      </c>
    </row>
    <row r="185" spans="1:14">
      <c r="A185" s="62" t="s">
        <v>177</v>
      </c>
      <c r="B185" s="62" t="s">
        <v>122</v>
      </c>
      <c r="C185" s="62"/>
      <c r="D185" s="62" t="s">
        <v>118</v>
      </c>
      <c r="E185" s="62" t="s">
        <v>32</v>
      </c>
      <c r="F185" s="63">
        <v>184000</v>
      </c>
      <c r="G185" s="63">
        <v>110000</v>
      </c>
      <c r="H185" s="62">
        <v>1.02</v>
      </c>
      <c r="I185" s="62" t="s">
        <v>120</v>
      </c>
      <c r="J185" s="63">
        <v>820000</v>
      </c>
      <c r="K185" s="63">
        <v>472000</v>
      </c>
      <c r="L185" s="62">
        <v>0.98</v>
      </c>
      <c r="M185" s="63">
        <v>0.224</v>
      </c>
      <c r="N185" s="62">
        <v>0</v>
      </c>
    </row>
    <row r="186" spans="1:14">
      <c r="A186" s="62" t="s">
        <v>177</v>
      </c>
      <c r="B186" s="62" t="s">
        <v>122</v>
      </c>
      <c r="C186" s="62"/>
      <c r="D186" s="62" t="s">
        <v>118</v>
      </c>
      <c r="E186" s="62" t="s">
        <v>32</v>
      </c>
      <c r="F186" s="63">
        <v>182000</v>
      </c>
      <c r="G186" s="63">
        <v>107000</v>
      </c>
      <c r="H186" s="62">
        <v>1.02</v>
      </c>
      <c r="I186" s="62" t="s">
        <v>120</v>
      </c>
      <c r="J186" s="63">
        <v>842000</v>
      </c>
      <c r="K186" s="63">
        <v>492000</v>
      </c>
      <c r="L186" s="62">
        <v>0.979</v>
      </c>
      <c r="M186" s="63">
        <v>0.217</v>
      </c>
      <c r="N186" s="62">
        <v>0</v>
      </c>
    </row>
    <row r="187" spans="1:14">
      <c r="A187" s="62" t="s">
        <v>116</v>
      </c>
      <c r="B187" s="62" t="s">
        <v>117</v>
      </c>
      <c r="C187" s="62"/>
      <c r="D187" s="62" t="s">
        <v>118</v>
      </c>
      <c r="E187" s="62" t="s">
        <v>32</v>
      </c>
      <c r="F187" s="63">
        <v>0</v>
      </c>
      <c r="G187" s="63">
        <v>0</v>
      </c>
      <c r="H187" s="62">
        <v>0</v>
      </c>
      <c r="I187" s="62" t="s">
        <v>120</v>
      </c>
      <c r="J187" s="63">
        <v>1820000</v>
      </c>
      <c r="K187" s="63">
        <v>784000</v>
      </c>
      <c r="L187" s="62">
        <v>0.964</v>
      </c>
      <c r="M187" s="63">
        <v>0</v>
      </c>
      <c r="N187" s="62">
        <v>0</v>
      </c>
    </row>
    <row r="188" spans="1:14">
      <c r="A188" s="62" t="s">
        <v>116</v>
      </c>
      <c r="B188" s="62" t="s">
        <v>117</v>
      </c>
      <c r="C188" s="62"/>
      <c r="D188" s="62" t="s">
        <v>118</v>
      </c>
      <c r="E188" s="62" t="s">
        <v>32</v>
      </c>
      <c r="F188" s="63">
        <v>0</v>
      </c>
      <c r="G188" s="63">
        <v>0</v>
      </c>
      <c r="H188" s="62">
        <v>0</v>
      </c>
      <c r="I188" s="62" t="s">
        <v>120</v>
      </c>
      <c r="J188" s="63">
        <v>1930000</v>
      </c>
      <c r="K188" s="63">
        <v>872000</v>
      </c>
      <c r="L188" s="62">
        <v>0.97</v>
      </c>
      <c r="M188" s="63">
        <v>0</v>
      </c>
      <c r="N188" s="62">
        <v>0</v>
      </c>
    </row>
    <row r="189" spans="1:14">
      <c r="A189" s="62" t="s">
        <v>178</v>
      </c>
      <c r="B189" s="62" t="s">
        <v>122</v>
      </c>
      <c r="C189" s="62"/>
      <c r="D189" s="62" t="s">
        <v>118</v>
      </c>
      <c r="E189" s="62" t="s">
        <v>32</v>
      </c>
      <c r="F189" s="63">
        <v>92400</v>
      </c>
      <c r="G189" s="63">
        <v>53600</v>
      </c>
      <c r="H189" s="62">
        <v>1.02</v>
      </c>
      <c r="I189" s="62" t="s">
        <v>120</v>
      </c>
      <c r="J189" s="63">
        <v>1030000</v>
      </c>
      <c r="K189" s="63">
        <v>560000</v>
      </c>
      <c r="L189" s="62">
        <v>0.975</v>
      </c>
      <c r="M189" s="63">
        <v>0.0896</v>
      </c>
      <c r="N189" s="62">
        <v>0</v>
      </c>
    </row>
    <row r="190" spans="1:14">
      <c r="A190" s="62" t="s">
        <v>178</v>
      </c>
      <c r="B190" s="62" t="s">
        <v>122</v>
      </c>
      <c r="C190" s="62"/>
      <c r="D190" s="62" t="s">
        <v>118</v>
      </c>
      <c r="E190" s="62" t="s">
        <v>32</v>
      </c>
      <c r="F190" s="63">
        <v>96600</v>
      </c>
      <c r="G190" s="63">
        <v>56400</v>
      </c>
      <c r="H190" s="62">
        <v>1.02</v>
      </c>
      <c r="I190" s="62" t="s">
        <v>120</v>
      </c>
      <c r="J190" s="63">
        <v>1040000</v>
      </c>
      <c r="K190" s="63">
        <v>575000</v>
      </c>
      <c r="L190" s="62">
        <v>0.97</v>
      </c>
      <c r="M190" s="63">
        <v>0.0928</v>
      </c>
      <c r="N190" s="62">
        <v>0</v>
      </c>
    </row>
    <row r="191" spans="1:14">
      <c r="A191" s="62" t="s">
        <v>179</v>
      </c>
      <c r="B191" s="62" t="s">
        <v>122</v>
      </c>
      <c r="C191" s="62"/>
      <c r="D191" s="62" t="s">
        <v>118</v>
      </c>
      <c r="E191" s="62" t="s">
        <v>32</v>
      </c>
      <c r="F191" s="63">
        <v>142000</v>
      </c>
      <c r="G191" s="63">
        <v>85000</v>
      </c>
      <c r="H191" s="62">
        <v>1.02</v>
      </c>
      <c r="I191" s="62" t="s">
        <v>120</v>
      </c>
      <c r="J191" s="63">
        <v>992000</v>
      </c>
      <c r="K191" s="63">
        <v>558000</v>
      </c>
      <c r="L191" s="62">
        <v>0.97</v>
      </c>
      <c r="M191" s="63">
        <v>0.143</v>
      </c>
      <c r="N191" s="62">
        <v>0</v>
      </c>
    </row>
    <row r="192" spans="1:14">
      <c r="A192" s="62" t="s">
        <v>179</v>
      </c>
      <c r="B192" s="62" t="s">
        <v>122</v>
      </c>
      <c r="C192" s="62"/>
      <c r="D192" s="62" t="s">
        <v>118</v>
      </c>
      <c r="E192" s="62" t="s">
        <v>32</v>
      </c>
      <c r="F192" s="63">
        <v>148000</v>
      </c>
      <c r="G192" s="63">
        <v>87100</v>
      </c>
      <c r="H192" s="62">
        <v>1.01</v>
      </c>
      <c r="I192" s="62" t="s">
        <v>120</v>
      </c>
      <c r="J192" s="63">
        <v>950000</v>
      </c>
      <c r="K192" s="63">
        <v>526000</v>
      </c>
      <c r="L192" s="62">
        <v>0.969</v>
      </c>
      <c r="M192" s="63">
        <v>0.156</v>
      </c>
      <c r="N192" s="62">
        <v>0</v>
      </c>
    </row>
    <row r="193" spans="1:14">
      <c r="A193" s="62" t="s">
        <v>180</v>
      </c>
      <c r="B193" s="62" t="s">
        <v>122</v>
      </c>
      <c r="C193" s="62"/>
      <c r="D193" s="62" t="s">
        <v>118</v>
      </c>
      <c r="E193" s="62" t="s">
        <v>32</v>
      </c>
      <c r="F193" s="63">
        <v>164000</v>
      </c>
      <c r="G193" s="63">
        <v>97700</v>
      </c>
      <c r="H193" s="62">
        <v>1.02</v>
      </c>
      <c r="I193" s="62" t="s">
        <v>120</v>
      </c>
      <c r="J193" s="63">
        <v>926000</v>
      </c>
      <c r="K193" s="63">
        <v>516000</v>
      </c>
      <c r="L193" s="62">
        <v>0.969</v>
      </c>
      <c r="M193" s="63">
        <v>0.177</v>
      </c>
      <c r="N193" s="62">
        <v>0</v>
      </c>
    </row>
    <row r="194" spans="1:14">
      <c r="A194" s="62" t="s">
        <v>180</v>
      </c>
      <c r="B194" s="62" t="s">
        <v>122</v>
      </c>
      <c r="C194" s="62"/>
      <c r="D194" s="62" t="s">
        <v>118</v>
      </c>
      <c r="E194" s="62" t="s">
        <v>32</v>
      </c>
      <c r="F194" s="63">
        <v>160000</v>
      </c>
      <c r="G194" s="63">
        <v>97200</v>
      </c>
      <c r="H194" s="62">
        <v>1.02</v>
      </c>
      <c r="I194" s="62" t="s">
        <v>120</v>
      </c>
      <c r="J194" s="63">
        <v>912000</v>
      </c>
      <c r="K194" s="63">
        <v>515000</v>
      </c>
      <c r="L194" s="62">
        <v>0.976</v>
      </c>
      <c r="M194" s="63">
        <v>0.175</v>
      </c>
      <c r="N194" s="62">
        <v>0</v>
      </c>
    </row>
    <row r="195" spans="1:14">
      <c r="A195" s="62" t="s">
        <v>181</v>
      </c>
      <c r="B195" s="62" t="s">
        <v>122</v>
      </c>
      <c r="C195" s="62"/>
      <c r="D195" s="62" t="s">
        <v>118</v>
      </c>
      <c r="E195" s="62" t="s">
        <v>32</v>
      </c>
      <c r="F195" s="63">
        <v>180000</v>
      </c>
      <c r="G195" s="63">
        <v>105000</v>
      </c>
      <c r="H195" s="62">
        <v>1.02</v>
      </c>
      <c r="I195" s="62" t="s">
        <v>120</v>
      </c>
      <c r="J195" s="63">
        <v>931000</v>
      </c>
      <c r="K195" s="63">
        <v>525000</v>
      </c>
      <c r="L195" s="62">
        <v>0.972</v>
      </c>
      <c r="M195" s="63">
        <v>0.194</v>
      </c>
      <c r="N195" s="62">
        <v>0</v>
      </c>
    </row>
    <row r="196" spans="1:14">
      <c r="A196" s="62" t="s">
        <v>181</v>
      </c>
      <c r="B196" s="62" t="s">
        <v>122</v>
      </c>
      <c r="C196" s="62"/>
      <c r="D196" s="62" t="s">
        <v>118</v>
      </c>
      <c r="E196" s="62" t="s">
        <v>32</v>
      </c>
      <c r="F196" s="63">
        <v>184000</v>
      </c>
      <c r="G196" s="63">
        <v>112000</v>
      </c>
      <c r="H196" s="62">
        <v>1.01</v>
      </c>
      <c r="I196" s="62" t="s">
        <v>120</v>
      </c>
      <c r="J196" s="63">
        <v>928000</v>
      </c>
      <c r="K196" s="63">
        <v>515000</v>
      </c>
      <c r="L196" s="62">
        <v>0.968</v>
      </c>
      <c r="M196" s="63">
        <v>0.198</v>
      </c>
      <c r="N196" s="62">
        <v>0</v>
      </c>
    </row>
    <row r="197" spans="1:14">
      <c r="A197" s="62" t="s">
        <v>182</v>
      </c>
      <c r="B197" s="62" t="s">
        <v>122</v>
      </c>
      <c r="C197" s="62"/>
      <c r="D197" s="62" t="s">
        <v>118</v>
      </c>
      <c r="E197" s="62" t="s">
        <v>32</v>
      </c>
      <c r="F197" s="63">
        <v>182000</v>
      </c>
      <c r="G197" s="63">
        <v>107000</v>
      </c>
      <c r="H197" s="62">
        <v>1.02</v>
      </c>
      <c r="I197" s="62" t="s">
        <v>120</v>
      </c>
      <c r="J197" s="63">
        <v>916000</v>
      </c>
      <c r="K197" s="63">
        <v>525000</v>
      </c>
      <c r="L197" s="62">
        <v>0.97</v>
      </c>
      <c r="M197" s="63">
        <v>0.199</v>
      </c>
      <c r="N197" s="62">
        <v>0</v>
      </c>
    </row>
    <row r="198" spans="1:14">
      <c r="A198" s="62" t="s">
        <v>182</v>
      </c>
      <c r="B198" s="62" t="s">
        <v>122</v>
      </c>
      <c r="C198" s="62"/>
      <c r="D198" s="62" t="s">
        <v>118</v>
      </c>
      <c r="E198" s="62" t="s">
        <v>32</v>
      </c>
      <c r="F198" s="63">
        <v>189000</v>
      </c>
      <c r="G198" s="63">
        <v>115000</v>
      </c>
      <c r="H198" s="62">
        <v>1.02</v>
      </c>
      <c r="I198" s="62" t="s">
        <v>120</v>
      </c>
      <c r="J198" s="63">
        <v>899000</v>
      </c>
      <c r="K198" s="63">
        <v>521000</v>
      </c>
      <c r="L198" s="62">
        <v>0.975</v>
      </c>
      <c r="M198" s="63">
        <v>0.211</v>
      </c>
      <c r="N198" s="62">
        <v>0</v>
      </c>
    </row>
    <row r="199" spans="1:14">
      <c r="A199" s="62" t="s">
        <v>183</v>
      </c>
      <c r="B199" s="62" t="s">
        <v>122</v>
      </c>
      <c r="C199" s="62"/>
      <c r="D199" s="62" t="s">
        <v>118</v>
      </c>
      <c r="E199" s="62" t="s">
        <v>32</v>
      </c>
      <c r="F199" s="63">
        <v>196000</v>
      </c>
      <c r="G199" s="63">
        <v>121000</v>
      </c>
      <c r="H199" s="62">
        <v>1.02</v>
      </c>
      <c r="I199" s="62" t="s">
        <v>120</v>
      </c>
      <c r="J199" s="63">
        <v>938000</v>
      </c>
      <c r="K199" s="63">
        <v>552000</v>
      </c>
      <c r="L199" s="62">
        <v>0.975</v>
      </c>
      <c r="M199" s="63">
        <v>0.209</v>
      </c>
      <c r="N199" s="62">
        <v>0</v>
      </c>
    </row>
    <row r="200" spans="1:14">
      <c r="A200" s="62" t="s">
        <v>183</v>
      </c>
      <c r="B200" s="62" t="s">
        <v>122</v>
      </c>
      <c r="C200" s="62"/>
      <c r="D200" s="62" t="s">
        <v>118</v>
      </c>
      <c r="E200" s="62" t="s">
        <v>32</v>
      </c>
      <c r="F200" s="63">
        <v>212000</v>
      </c>
      <c r="G200" s="63">
        <v>127000</v>
      </c>
      <c r="H200" s="62">
        <v>1.02</v>
      </c>
      <c r="I200" s="62" t="s">
        <v>120</v>
      </c>
      <c r="J200" s="63">
        <v>930000</v>
      </c>
      <c r="K200" s="63">
        <v>525000</v>
      </c>
      <c r="L200" s="62">
        <v>0.975</v>
      </c>
      <c r="M200" s="63">
        <v>0.228</v>
      </c>
      <c r="N200" s="62">
        <v>0</v>
      </c>
    </row>
    <row r="201" spans="1:14">
      <c r="A201" s="62" t="s">
        <v>116</v>
      </c>
      <c r="B201" s="62" t="s">
        <v>117</v>
      </c>
      <c r="C201" s="62"/>
      <c r="D201" s="62" t="s">
        <v>118</v>
      </c>
      <c r="E201" s="62" t="s">
        <v>32</v>
      </c>
      <c r="F201" s="63">
        <v>0</v>
      </c>
      <c r="G201" s="63">
        <v>0</v>
      </c>
      <c r="H201" s="62">
        <v>0</v>
      </c>
      <c r="I201" s="62" t="s">
        <v>120</v>
      </c>
      <c r="J201" s="63">
        <v>1660000</v>
      </c>
      <c r="K201" s="63">
        <v>745000</v>
      </c>
      <c r="L201" s="62">
        <v>0.974</v>
      </c>
      <c r="M201" s="63">
        <v>0</v>
      </c>
      <c r="N201" s="62">
        <v>0</v>
      </c>
    </row>
    <row r="202" spans="1:14">
      <c r="A202" s="62" t="s">
        <v>116</v>
      </c>
      <c r="B202" s="62" t="s">
        <v>117</v>
      </c>
      <c r="C202" s="62"/>
      <c r="D202" s="62" t="s">
        <v>118</v>
      </c>
      <c r="E202" s="62" t="s">
        <v>32</v>
      </c>
      <c r="F202" s="63">
        <v>0</v>
      </c>
      <c r="G202" s="63">
        <v>0</v>
      </c>
      <c r="H202" s="62">
        <v>0</v>
      </c>
      <c r="I202" s="62" t="s">
        <v>120</v>
      </c>
      <c r="J202" s="63">
        <v>1560000</v>
      </c>
      <c r="K202" s="63">
        <v>704000</v>
      </c>
      <c r="L202" s="62">
        <v>0.964</v>
      </c>
      <c r="M202" s="63">
        <v>0</v>
      </c>
      <c r="N202" s="62">
        <v>0</v>
      </c>
    </row>
    <row r="203" spans="1:14">
      <c r="A203" s="62" t="s">
        <v>184</v>
      </c>
      <c r="B203" s="62" t="s">
        <v>122</v>
      </c>
      <c r="C203" s="62"/>
      <c r="D203" s="62" t="s">
        <v>118</v>
      </c>
      <c r="E203" s="62" t="s">
        <v>32</v>
      </c>
      <c r="F203" s="63">
        <v>110000</v>
      </c>
      <c r="G203" s="63">
        <v>66300</v>
      </c>
      <c r="H203" s="62">
        <v>1.02</v>
      </c>
      <c r="I203" s="62" t="s">
        <v>120</v>
      </c>
      <c r="J203" s="63">
        <v>810000</v>
      </c>
      <c r="K203" s="63">
        <v>450000</v>
      </c>
      <c r="L203" s="62">
        <v>0.97</v>
      </c>
      <c r="M203" s="63">
        <v>0.136</v>
      </c>
      <c r="N203" s="62">
        <v>0</v>
      </c>
    </row>
    <row r="204" spans="1:14">
      <c r="A204" s="62" t="s">
        <v>184</v>
      </c>
      <c r="B204" s="62" t="s">
        <v>122</v>
      </c>
      <c r="C204" s="62"/>
      <c r="D204" s="62" t="s">
        <v>118</v>
      </c>
      <c r="E204" s="62" t="s">
        <v>32</v>
      </c>
      <c r="F204" s="63">
        <v>124000</v>
      </c>
      <c r="G204" s="63">
        <v>72500</v>
      </c>
      <c r="H204" s="62">
        <v>1.02</v>
      </c>
      <c r="I204" s="62" t="s">
        <v>120</v>
      </c>
      <c r="J204" s="63">
        <v>860000</v>
      </c>
      <c r="K204" s="63">
        <v>471000</v>
      </c>
      <c r="L204" s="62">
        <v>0.973</v>
      </c>
      <c r="M204" s="63">
        <v>0.144</v>
      </c>
      <c r="N204" s="62">
        <v>0</v>
      </c>
    </row>
    <row r="205" spans="1:14">
      <c r="A205" s="62" t="s">
        <v>185</v>
      </c>
      <c r="B205" s="62" t="s">
        <v>122</v>
      </c>
      <c r="C205" s="62"/>
      <c r="D205" s="62" t="s">
        <v>118</v>
      </c>
      <c r="E205" s="62" t="s">
        <v>32</v>
      </c>
      <c r="F205" s="63">
        <v>167000</v>
      </c>
      <c r="G205" s="63">
        <v>96200</v>
      </c>
      <c r="H205" s="62">
        <v>1.02</v>
      </c>
      <c r="I205" s="62" t="s">
        <v>120</v>
      </c>
      <c r="J205" s="63">
        <v>841000</v>
      </c>
      <c r="K205" s="63">
        <v>464000</v>
      </c>
      <c r="L205" s="62">
        <v>0.974</v>
      </c>
      <c r="M205" s="63">
        <v>0.198</v>
      </c>
      <c r="N205" s="62">
        <v>0</v>
      </c>
    </row>
    <row r="206" spans="1:14">
      <c r="A206" s="62" t="s">
        <v>185</v>
      </c>
      <c r="B206" s="62" t="s">
        <v>122</v>
      </c>
      <c r="C206" s="62"/>
      <c r="D206" s="62" t="s">
        <v>118</v>
      </c>
      <c r="E206" s="62" t="s">
        <v>32</v>
      </c>
      <c r="F206" s="63">
        <v>161000</v>
      </c>
      <c r="G206" s="63">
        <v>91600</v>
      </c>
      <c r="H206" s="62">
        <v>1.02</v>
      </c>
      <c r="I206" s="62" t="s">
        <v>120</v>
      </c>
      <c r="J206" s="63">
        <v>848000</v>
      </c>
      <c r="K206" s="63">
        <v>455000</v>
      </c>
      <c r="L206" s="62">
        <v>0.97</v>
      </c>
      <c r="M206" s="63">
        <v>0.19</v>
      </c>
      <c r="N206" s="62">
        <v>0</v>
      </c>
    </row>
    <row r="207" spans="1:14">
      <c r="A207" s="62" t="s">
        <v>186</v>
      </c>
      <c r="B207" s="62" t="s">
        <v>122</v>
      </c>
      <c r="C207" s="62"/>
      <c r="D207" s="62" t="s">
        <v>118</v>
      </c>
      <c r="E207" s="62" t="s">
        <v>32</v>
      </c>
      <c r="F207" s="63">
        <v>175000</v>
      </c>
      <c r="G207" s="63">
        <v>100000</v>
      </c>
      <c r="H207" s="62">
        <v>1.02</v>
      </c>
      <c r="I207" s="62" t="s">
        <v>120</v>
      </c>
      <c r="J207" s="63">
        <v>857000</v>
      </c>
      <c r="K207" s="63">
        <v>475000</v>
      </c>
      <c r="L207" s="62">
        <v>0.977</v>
      </c>
      <c r="M207" s="63">
        <v>0.204</v>
      </c>
      <c r="N207" s="62">
        <v>0</v>
      </c>
    </row>
    <row r="208" spans="1:14">
      <c r="A208" s="62" t="s">
        <v>186</v>
      </c>
      <c r="B208" s="62" t="s">
        <v>122</v>
      </c>
      <c r="C208" s="62"/>
      <c r="D208" s="62" t="s">
        <v>118</v>
      </c>
      <c r="E208" s="62" t="s">
        <v>32</v>
      </c>
      <c r="F208" s="63">
        <v>178000</v>
      </c>
      <c r="G208" s="63">
        <v>102000</v>
      </c>
      <c r="H208" s="62">
        <v>1.02</v>
      </c>
      <c r="I208" s="62" t="s">
        <v>120</v>
      </c>
      <c r="J208" s="63">
        <v>809000</v>
      </c>
      <c r="K208" s="63">
        <v>445000</v>
      </c>
      <c r="L208" s="62">
        <v>0.977</v>
      </c>
      <c r="M208" s="63">
        <v>0.22</v>
      </c>
      <c r="N208" s="62">
        <v>0</v>
      </c>
    </row>
    <row r="209" spans="1:14">
      <c r="A209" s="62" t="s">
        <v>187</v>
      </c>
      <c r="B209" s="62" t="s">
        <v>122</v>
      </c>
      <c r="C209" s="62"/>
      <c r="D209" s="62" t="s">
        <v>118</v>
      </c>
      <c r="E209" s="62" t="s">
        <v>32</v>
      </c>
      <c r="F209" s="63">
        <v>208000</v>
      </c>
      <c r="G209" s="63">
        <v>119000</v>
      </c>
      <c r="H209" s="62">
        <v>1.02</v>
      </c>
      <c r="I209" s="62" t="s">
        <v>120</v>
      </c>
      <c r="J209" s="63">
        <v>879000</v>
      </c>
      <c r="K209" s="63">
        <v>482000</v>
      </c>
      <c r="L209" s="62">
        <v>0.974</v>
      </c>
      <c r="M209" s="63">
        <v>0.236</v>
      </c>
      <c r="N209" s="62">
        <v>0</v>
      </c>
    </row>
    <row r="210" spans="1:14">
      <c r="A210" s="62" t="s">
        <v>187</v>
      </c>
      <c r="B210" s="62" t="s">
        <v>122</v>
      </c>
      <c r="C210" s="62"/>
      <c r="D210" s="62" t="s">
        <v>118</v>
      </c>
      <c r="E210" s="62" t="s">
        <v>32</v>
      </c>
      <c r="F210" s="63">
        <v>216000</v>
      </c>
      <c r="G210" s="63">
        <v>124000</v>
      </c>
      <c r="H210" s="62">
        <v>1.02</v>
      </c>
      <c r="I210" s="62" t="s">
        <v>120</v>
      </c>
      <c r="J210" s="63">
        <v>826000</v>
      </c>
      <c r="K210" s="63">
        <v>442000</v>
      </c>
      <c r="L210" s="62">
        <v>0.978</v>
      </c>
      <c r="M210" s="63">
        <v>0.261</v>
      </c>
      <c r="N210" s="62">
        <v>0</v>
      </c>
    </row>
    <row r="211" spans="1:14">
      <c r="A211" s="62" t="s">
        <v>188</v>
      </c>
      <c r="B211" s="62" t="s">
        <v>122</v>
      </c>
      <c r="C211" s="62"/>
      <c r="D211" s="62" t="s">
        <v>118</v>
      </c>
      <c r="E211" s="62" t="s">
        <v>32</v>
      </c>
      <c r="F211" s="63">
        <v>182000</v>
      </c>
      <c r="G211" s="63">
        <v>104000</v>
      </c>
      <c r="H211" s="62">
        <v>1.02</v>
      </c>
      <c r="I211" s="62" t="s">
        <v>120</v>
      </c>
      <c r="J211" s="63">
        <v>790000</v>
      </c>
      <c r="K211" s="63">
        <v>436000</v>
      </c>
      <c r="L211" s="62">
        <v>0.976</v>
      </c>
      <c r="M211" s="63">
        <v>0.231</v>
      </c>
      <c r="N211" s="62">
        <v>0</v>
      </c>
    </row>
    <row r="212" spans="1:14">
      <c r="A212" s="62" t="s">
        <v>188</v>
      </c>
      <c r="B212" s="62" t="s">
        <v>122</v>
      </c>
      <c r="C212" s="62"/>
      <c r="D212" s="62" t="s">
        <v>118</v>
      </c>
      <c r="E212" s="62" t="s">
        <v>32</v>
      </c>
      <c r="F212" s="63">
        <v>190000</v>
      </c>
      <c r="G212" s="63">
        <v>110000</v>
      </c>
      <c r="H212" s="62">
        <v>1.02</v>
      </c>
      <c r="I212" s="62" t="s">
        <v>120</v>
      </c>
      <c r="J212" s="63">
        <v>800000</v>
      </c>
      <c r="K212" s="63">
        <v>447000</v>
      </c>
      <c r="L212" s="62">
        <v>0.977</v>
      </c>
      <c r="M212" s="63">
        <v>0.238</v>
      </c>
      <c r="N212" s="62">
        <v>0</v>
      </c>
    </row>
    <row r="213" spans="1:14">
      <c r="A213" s="62" t="s">
        <v>189</v>
      </c>
      <c r="B213" s="62" t="s">
        <v>122</v>
      </c>
      <c r="C213" s="62"/>
      <c r="D213" s="62" t="s">
        <v>118</v>
      </c>
      <c r="E213" s="62" t="s">
        <v>32</v>
      </c>
      <c r="F213" s="63">
        <v>206000</v>
      </c>
      <c r="G213" s="63">
        <v>121000</v>
      </c>
      <c r="H213" s="62">
        <v>1.02</v>
      </c>
      <c r="I213" s="62" t="s">
        <v>120</v>
      </c>
      <c r="J213" s="63">
        <v>804000</v>
      </c>
      <c r="K213" s="63">
        <v>449000</v>
      </c>
      <c r="L213" s="62">
        <v>0.977</v>
      </c>
      <c r="M213" s="63">
        <v>0.256</v>
      </c>
      <c r="N213" s="62">
        <v>0</v>
      </c>
    </row>
    <row r="214" spans="1:14">
      <c r="A214" s="62" t="s">
        <v>189</v>
      </c>
      <c r="B214" s="62" t="s">
        <v>122</v>
      </c>
      <c r="C214" s="62"/>
      <c r="D214" s="62" t="s">
        <v>118</v>
      </c>
      <c r="E214" s="62" t="s">
        <v>32</v>
      </c>
      <c r="F214" s="63">
        <v>360000</v>
      </c>
      <c r="G214" s="63">
        <v>212000</v>
      </c>
      <c r="H214" s="62">
        <v>1.02</v>
      </c>
      <c r="I214" s="62" t="s">
        <v>120</v>
      </c>
      <c r="J214" s="63">
        <v>1210000</v>
      </c>
      <c r="K214" s="63">
        <v>680000</v>
      </c>
      <c r="L214" s="62">
        <v>0.968</v>
      </c>
      <c r="M214" s="63">
        <v>0.297</v>
      </c>
      <c r="N214" s="62">
        <v>0</v>
      </c>
    </row>
    <row r="232" spans="1:14">
      <c r="A232" s="64"/>
      <c r="B232" s="64"/>
      <c r="C232" s="64"/>
      <c r="D232" s="64"/>
      <c r="E232" s="64"/>
      <c r="F232" s="64"/>
      <c r="G232" s="64"/>
      <c r="H232" s="65"/>
      <c r="I232" s="64"/>
      <c r="J232" s="64"/>
      <c r="K232" s="64"/>
      <c r="L232" s="65"/>
      <c r="M232" s="64"/>
      <c r="N232" s="64"/>
    </row>
    <row r="233" spans="1:14">
      <c r="A233" s="64"/>
      <c r="B233" s="64"/>
      <c r="D233" s="64"/>
      <c r="E233" s="64"/>
      <c r="F233" s="64"/>
      <c r="G233" s="64"/>
      <c r="H233" s="65"/>
      <c r="I233" s="64"/>
      <c r="J233" s="64"/>
      <c r="K233" s="64"/>
      <c r="L233" s="65"/>
      <c r="M233" s="64"/>
      <c r="N233" s="64"/>
    </row>
    <row r="234" spans="1:14">
      <c r="A234" s="64"/>
      <c r="B234" s="64"/>
      <c r="D234" s="64"/>
      <c r="E234" s="64"/>
      <c r="F234" s="64"/>
      <c r="G234" s="64"/>
      <c r="H234" s="65"/>
      <c r="I234" s="64"/>
      <c r="J234" s="64"/>
      <c r="K234" s="64"/>
      <c r="L234" s="65"/>
      <c r="M234" s="64"/>
      <c r="N234" s="64"/>
    </row>
    <row r="235" spans="1:14">
      <c r="A235" s="64"/>
      <c r="B235" s="64"/>
      <c r="D235" s="64"/>
      <c r="E235" s="64"/>
      <c r="F235" s="64"/>
      <c r="G235" s="64"/>
      <c r="H235" s="65"/>
      <c r="I235" s="64"/>
      <c r="J235" s="64"/>
      <c r="K235" s="64"/>
      <c r="L235" s="65"/>
      <c r="M235" s="64"/>
      <c r="N235" s="64"/>
    </row>
    <row r="236" spans="1:14">
      <c r="A236" s="64"/>
      <c r="B236" s="64"/>
      <c r="D236" s="64"/>
      <c r="E236" s="64"/>
      <c r="F236" s="64"/>
      <c r="G236" s="64"/>
      <c r="H236" s="65"/>
      <c r="I236" s="64"/>
      <c r="J236" s="64"/>
      <c r="K236" s="64"/>
      <c r="L236" s="65"/>
      <c r="M236" s="64"/>
      <c r="N236" s="64"/>
    </row>
    <row r="237" spans="1:14">
      <c r="A237" s="64"/>
      <c r="B237" s="64"/>
      <c r="D237" s="64"/>
      <c r="E237" s="64"/>
      <c r="F237" s="64"/>
      <c r="G237" s="64"/>
      <c r="H237" s="65"/>
      <c r="I237" s="64"/>
      <c r="J237" s="64"/>
      <c r="K237" s="64"/>
      <c r="L237" s="65"/>
      <c r="M237" s="64"/>
      <c r="N237" s="64"/>
    </row>
    <row r="238" spans="1:14">
      <c r="A238" s="64"/>
      <c r="B238" s="64"/>
      <c r="D238" s="64"/>
      <c r="E238" s="64"/>
      <c r="F238" s="64"/>
      <c r="G238" s="64"/>
      <c r="H238" s="65"/>
      <c r="I238" s="64"/>
      <c r="J238" s="64"/>
      <c r="K238" s="64"/>
      <c r="L238" s="65"/>
      <c r="M238" s="64"/>
      <c r="N238" s="64"/>
    </row>
    <row r="239" spans="1:14">
      <c r="A239" s="64"/>
      <c r="B239" s="64"/>
      <c r="D239" s="64"/>
      <c r="E239" s="64"/>
      <c r="F239" s="64"/>
      <c r="G239" s="64"/>
      <c r="H239" s="65"/>
      <c r="I239" s="64"/>
      <c r="J239" s="64"/>
      <c r="K239" s="64"/>
      <c r="L239" s="65"/>
      <c r="M239" s="64"/>
      <c r="N239" s="64"/>
    </row>
    <row r="240" spans="1:14">
      <c r="A240" s="64"/>
      <c r="B240" s="64"/>
      <c r="D240" s="64"/>
      <c r="E240" s="64"/>
      <c r="F240" s="64"/>
      <c r="G240" s="64"/>
      <c r="H240" s="65"/>
      <c r="I240" s="64"/>
      <c r="J240" s="64"/>
      <c r="K240" s="64"/>
      <c r="L240" s="65"/>
      <c r="M240" s="64"/>
      <c r="N240" s="64"/>
    </row>
    <row r="241" spans="1:14">
      <c r="A241" s="64"/>
      <c r="B241" s="64"/>
      <c r="D241" s="64"/>
      <c r="E241" s="64"/>
      <c r="F241" s="64"/>
      <c r="G241" s="64"/>
      <c r="H241" s="65"/>
      <c r="I241" s="64"/>
      <c r="J241" s="64"/>
      <c r="K241" s="64"/>
      <c r="L241" s="65"/>
      <c r="M241" s="64"/>
      <c r="N241" s="64"/>
    </row>
    <row r="242" spans="1:14">
      <c r="A242" s="64"/>
      <c r="B242" s="64"/>
      <c r="D242" s="64"/>
      <c r="E242" s="64"/>
      <c r="F242" s="64"/>
      <c r="G242" s="64"/>
      <c r="H242" s="65"/>
      <c r="I242" s="64"/>
      <c r="J242" s="64"/>
      <c r="K242" s="64"/>
      <c r="L242" s="65"/>
      <c r="M242" s="64"/>
      <c r="N242" s="64"/>
    </row>
    <row r="243" spans="1:14">
      <c r="A243" s="64"/>
      <c r="B243" s="64"/>
      <c r="D243" s="64"/>
      <c r="E243" s="64"/>
      <c r="F243" s="64"/>
      <c r="G243" s="64"/>
      <c r="H243" s="65"/>
      <c r="I243" s="64"/>
      <c r="J243" s="64"/>
      <c r="K243" s="64"/>
      <c r="L243" s="65"/>
      <c r="M243" s="64"/>
      <c r="N243" s="64"/>
    </row>
    <row r="244" spans="1:14">
      <c r="A244" s="64"/>
      <c r="B244" s="64"/>
      <c r="D244" s="64"/>
      <c r="E244" s="64"/>
      <c r="F244" s="64"/>
      <c r="G244" s="64"/>
      <c r="H244" s="65"/>
      <c r="I244" s="64"/>
      <c r="J244" s="64"/>
      <c r="K244" s="64"/>
      <c r="L244" s="65"/>
      <c r="M244" s="64"/>
      <c r="N244" s="64"/>
    </row>
    <row r="245" spans="1:14">
      <c r="A245" s="64"/>
      <c r="B245" s="64"/>
      <c r="D245" s="64"/>
      <c r="E245" s="64"/>
      <c r="F245" s="64"/>
      <c r="G245" s="64"/>
      <c r="H245" s="65"/>
      <c r="I245" s="64"/>
      <c r="J245" s="64"/>
      <c r="K245" s="64"/>
      <c r="L245" s="65"/>
      <c r="M245" s="64"/>
      <c r="N245" s="64"/>
    </row>
    <row r="246" spans="1:14">
      <c r="A246" s="64"/>
      <c r="B246" s="64"/>
      <c r="D246" s="64"/>
      <c r="E246" s="64"/>
      <c r="F246" s="64"/>
      <c r="G246" s="64"/>
      <c r="H246" s="65"/>
      <c r="I246" s="64"/>
      <c r="J246" s="64"/>
      <c r="K246" s="64"/>
      <c r="L246" s="65"/>
      <c r="M246" s="64"/>
      <c r="N246" s="64"/>
    </row>
    <row r="247" spans="1:14">
      <c r="A247" s="64"/>
      <c r="B247" s="64"/>
      <c r="D247" s="64"/>
      <c r="E247" s="64"/>
      <c r="F247" s="64"/>
      <c r="G247" s="64"/>
      <c r="H247" s="65"/>
      <c r="I247" s="64"/>
      <c r="J247" s="64"/>
      <c r="K247" s="64"/>
      <c r="L247" s="65"/>
      <c r="M247" s="64"/>
      <c r="N247" s="64"/>
    </row>
    <row r="250" spans="1:1">
      <c r="A250" s="64"/>
    </row>
    <row r="251" spans="1:1">
      <c r="A251" s="64"/>
    </row>
    <row r="252" spans="1:1">
      <c r="A252" s="64"/>
    </row>
    <row r="254" spans="1:1">
      <c r="A254" s="64"/>
    </row>
    <row r="255" spans="1:1">
      <c r="A255" s="64"/>
    </row>
    <row r="256" spans="1:1">
      <c r="A256" s="64"/>
    </row>
    <row r="258" spans="1:6">
      <c r="A258" s="64"/>
      <c r="B258" s="64"/>
      <c r="C258" s="64"/>
      <c r="D258" s="64"/>
      <c r="E258" s="64"/>
      <c r="F258" s="64"/>
    </row>
    <row r="259" spans="1:2">
      <c r="A259" s="64"/>
      <c r="B259" s="64"/>
    </row>
    <row r="260" spans="1:1">
      <c r="A260" s="64"/>
    </row>
    <row r="264" spans="1:14">
      <c r="A264" s="64"/>
      <c r="B264" s="64"/>
      <c r="C264" s="64"/>
      <c r="D264" s="64"/>
      <c r="E264" s="64"/>
      <c r="F264" s="64"/>
      <c r="G264" s="64"/>
      <c r="H264" s="65"/>
      <c r="I264" s="64"/>
      <c r="J264" s="64"/>
      <c r="K264" s="64"/>
      <c r="L264" s="65"/>
      <c r="M264" s="64"/>
      <c r="N264" s="64"/>
    </row>
    <row r="265" spans="1:14">
      <c r="A265" s="64"/>
      <c r="B265" s="64"/>
      <c r="D265" s="64"/>
      <c r="E265" s="64"/>
      <c r="F265" s="64"/>
      <c r="G265" s="64"/>
      <c r="H265" s="65"/>
      <c r="I265" s="64"/>
      <c r="J265" s="64"/>
      <c r="K265" s="64"/>
      <c r="L265" s="65"/>
      <c r="M265" s="64"/>
      <c r="N265" s="64"/>
    </row>
    <row r="266" spans="1:14">
      <c r="A266" s="64"/>
      <c r="B266" s="64"/>
      <c r="D266" s="64"/>
      <c r="E266" s="64"/>
      <c r="F266" s="64"/>
      <c r="G266" s="64"/>
      <c r="H266" s="65"/>
      <c r="I266" s="64"/>
      <c r="J266" s="64"/>
      <c r="K266" s="64"/>
      <c r="L266" s="65"/>
      <c r="M266" s="64"/>
      <c r="N266" s="64"/>
    </row>
    <row r="267" spans="1:14">
      <c r="A267" s="64"/>
      <c r="B267" s="64"/>
      <c r="D267" s="64"/>
      <c r="E267" s="64"/>
      <c r="F267" s="64"/>
      <c r="G267" s="64"/>
      <c r="H267" s="65"/>
      <c r="I267" s="64"/>
      <c r="J267" s="64"/>
      <c r="K267" s="64"/>
      <c r="L267" s="65"/>
      <c r="M267" s="64"/>
      <c r="N267" s="64"/>
    </row>
    <row r="268" spans="1:14">
      <c r="A268" s="64"/>
      <c r="B268" s="64"/>
      <c r="D268" s="64"/>
      <c r="E268" s="64"/>
      <c r="F268" s="64"/>
      <c r="G268" s="64"/>
      <c r="H268" s="65"/>
      <c r="I268" s="64"/>
      <c r="J268" s="64"/>
      <c r="K268" s="64"/>
      <c r="L268" s="65"/>
      <c r="M268" s="64"/>
      <c r="N268" s="64"/>
    </row>
    <row r="269" spans="1:14">
      <c r="A269" s="64"/>
      <c r="B269" s="64"/>
      <c r="D269" s="64"/>
      <c r="E269" s="64"/>
      <c r="F269" s="64"/>
      <c r="G269" s="64"/>
      <c r="H269" s="65"/>
      <c r="I269" s="64"/>
      <c r="J269" s="64"/>
      <c r="K269" s="64"/>
      <c r="L269" s="65"/>
      <c r="M269" s="64"/>
      <c r="N269" s="64"/>
    </row>
    <row r="270" spans="1:14">
      <c r="A270" s="64"/>
      <c r="B270" s="64"/>
      <c r="D270" s="64"/>
      <c r="E270" s="64"/>
      <c r="F270" s="64"/>
      <c r="G270" s="64"/>
      <c r="H270" s="65"/>
      <c r="I270" s="64"/>
      <c r="J270" s="64"/>
      <c r="K270" s="64"/>
      <c r="L270" s="65"/>
      <c r="M270" s="64"/>
      <c r="N270" s="64"/>
    </row>
    <row r="271" spans="1:14">
      <c r="A271" s="64"/>
      <c r="B271" s="64"/>
      <c r="D271" s="64"/>
      <c r="E271" s="64"/>
      <c r="F271" s="64"/>
      <c r="G271" s="64"/>
      <c r="H271" s="65"/>
      <c r="I271" s="64"/>
      <c r="J271" s="64"/>
      <c r="K271" s="64"/>
      <c r="L271" s="65"/>
      <c r="M271" s="64"/>
      <c r="N271" s="64"/>
    </row>
    <row r="272" spans="1:14">
      <c r="A272" s="64"/>
      <c r="B272" s="64"/>
      <c r="D272" s="64"/>
      <c r="E272" s="64"/>
      <c r="F272" s="64"/>
      <c r="G272" s="64"/>
      <c r="H272" s="65"/>
      <c r="I272" s="64"/>
      <c r="J272" s="64"/>
      <c r="K272" s="64"/>
      <c r="L272" s="65"/>
      <c r="M272" s="64"/>
      <c r="N272" s="64"/>
    </row>
    <row r="273" spans="1:14">
      <c r="A273" s="64"/>
      <c r="B273" s="64"/>
      <c r="D273" s="64"/>
      <c r="E273" s="64"/>
      <c r="F273" s="64"/>
      <c r="G273" s="64"/>
      <c r="H273" s="65"/>
      <c r="I273" s="64"/>
      <c r="J273" s="64"/>
      <c r="K273" s="64"/>
      <c r="L273" s="65"/>
      <c r="M273" s="64"/>
      <c r="N273" s="64"/>
    </row>
    <row r="274" spans="1:14">
      <c r="A274" s="64"/>
      <c r="B274" s="64"/>
      <c r="D274" s="64"/>
      <c r="E274" s="64"/>
      <c r="F274" s="64"/>
      <c r="G274" s="64"/>
      <c r="H274" s="65"/>
      <c r="I274" s="64"/>
      <c r="J274" s="64"/>
      <c r="K274" s="64"/>
      <c r="L274" s="65"/>
      <c r="M274" s="64"/>
      <c r="N274" s="64"/>
    </row>
    <row r="275" spans="1:14">
      <c r="A275" s="64"/>
      <c r="B275" s="64"/>
      <c r="D275" s="64"/>
      <c r="E275" s="64"/>
      <c r="F275" s="64"/>
      <c r="G275" s="64"/>
      <c r="H275" s="65"/>
      <c r="I275" s="64"/>
      <c r="J275" s="64"/>
      <c r="K275" s="64"/>
      <c r="L275" s="65"/>
      <c r="M275" s="64"/>
      <c r="N275" s="64"/>
    </row>
    <row r="276" spans="1:14">
      <c r="A276" s="64"/>
      <c r="B276" s="64"/>
      <c r="D276" s="64"/>
      <c r="E276" s="64"/>
      <c r="F276" s="64"/>
      <c r="G276" s="64"/>
      <c r="H276" s="65"/>
      <c r="I276" s="64"/>
      <c r="J276" s="64"/>
      <c r="K276" s="64"/>
      <c r="L276" s="65"/>
      <c r="M276" s="64"/>
      <c r="N276" s="64"/>
    </row>
    <row r="277" spans="1:14">
      <c r="A277" s="64"/>
      <c r="B277" s="64"/>
      <c r="D277" s="64"/>
      <c r="E277" s="64"/>
      <c r="F277" s="64"/>
      <c r="G277" s="64"/>
      <c r="H277" s="65"/>
      <c r="I277" s="64"/>
      <c r="J277" s="64"/>
      <c r="K277" s="64"/>
      <c r="L277" s="65"/>
      <c r="M277" s="64"/>
      <c r="N277" s="64"/>
    </row>
    <row r="278" spans="1:14">
      <c r="A278" s="64"/>
      <c r="B278" s="64"/>
      <c r="D278" s="64"/>
      <c r="E278" s="64"/>
      <c r="F278" s="64"/>
      <c r="G278" s="64"/>
      <c r="H278" s="65"/>
      <c r="I278" s="64"/>
      <c r="J278" s="64"/>
      <c r="K278" s="64"/>
      <c r="L278" s="65"/>
      <c r="M278" s="64"/>
      <c r="N278" s="64"/>
    </row>
    <row r="279" spans="1:14">
      <c r="A279" s="64"/>
      <c r="B279" s="64"/>
      <c r="D279" s="64"/>
      <c r="E279" s="64"/>
      <c r="F279" s="64"/>
      <c r="G279" s="64"/>
      <c r="H279" s="65"/>
      <c r="I279" s="64"/>
      <c r="J279" s="64"/>
      <c r="K279" s="64"/>
      <c r="L279" s="65"/>
      <c r="M279" s="64"/>
      <c r="N279" s="64"/>
    </row>
    <row r="280" spans="1:14">
      <c r="A280" s="64"/>
      <c r="B280" s="64"/>
      <c r="D280" s="64"/>
      <c r="E280" s="64"/>
      <c r="F280" s="64"/>
      <c r="G280" s="64"/>
      <c r="H280" s="65"/>
      <c r="I280" s="64"/>
      <c r="J280" s="64"/>
      <c r="K280" s="64"/>
      <c r="L280" s="65"/>
      <c r="M280" s="64"/>
      <c r="N280" s="64"/>
    </row>
    <row r="281" spans="1:14">
      <c r="A281" s="64"/>
      <c r="B281" s="64"/>
      <c r="D281" s="64"/>
      <c r="E281" s="64"/>
      <c r="F281" s="64"/>
      <c r="G281" s="64"/>
      <c r="H281" s="65"/>
      <c r="I281" s="64"/>
      <c r="J281" s="64"/>
      <c r="K281" s="64"/>
      <c r="L281" s="65"/>
      <c r="M281" s="64"/>
      <c r="N281" s="64"/>
    </row>
    <row r="282" spans="1:14">
      <c r="A282" s="64"/>
      <c r="B282" s="64"/>
      <c r="D282" s="64"/>
      <c r="E282" s="64"/>
      <c r="F282" s="64"/>
      <c r="G282" s="64"/>
      <c r="H282" s="65"/>
      <c r="I282" s="64"/>
      <c r="J282" s="64"/>
      <c r="K282" s="64"/>
      <c r="L282" s="65"/>
      <c r="M282" s="64"/>
      <c r="N282" s="64"/>
    </row>
    <row r="283" spans="1:14">
      <c r="A283" s="64"/>
      <c r="B283" s="64"/>
      <c r="D283" s="64"/>
      <c r="E283" s="64"/>
      <c r="F283" s="64"/>
      <c r="G283" s="64"/>
      <c r="H283" s="65"/>
      <c r="I283" s="64"/>
      <c r="J283" s="64"/>
      <c r="K283" s="64"/>
      <c r="L283" s="65"/>
      <c r="M283" s="64"/>
      <c r="N283" s="64"/>
    </row>
    <row r="284" spans="1:14">
      <c r="A284" s="64"/>
      <c r="B284" s="64"/>
      <c r="D284" s="64"/>
      <c r="E284" s="64"/>
      <c r="F284" s="64"/>
      <c r="G284" s="64"/>
      <c r="H284" s="65"/>
      <c r="I284" s="64"/>
      <c r="J284" s="64"/>
      <c r="K284" s="64"/>
      <c r="L284" s="65"/>
      <c r="M284" s="64"/>
      <c r="N284" s="64"/>
    </row>
    <row r="285" spans="1:14">
      <c r="A285" s="64"/>
      <c r="B285" s="64"/>
      <c r="D285" s="64"/>
      <c r="E285" s="64"/>
      <c r="F285" s="64"/>
      <c r="G285" s="64"/>
      <c r="H285" s="65"/>
      <c r="I285" s="64"/>
      <c r="J285" s="64"/>
      <c r="K285" s="64"/>
      <c r="L285" s="65"/>
      <c r="M285" s="64"/>
      <c r="N285" s="64"/>
    </row>
    <row r="286" spans="1:14">
      <c r="A286" s="64"/>
      <c r="B286" s="64"/>
      <c r="D286" s="64"/>
      <c r="E286" s="64"/>
      <c r="F286" s="64"/>
      <c r="G286" s="64"/>
      <c r="H286" s="65"/>
      <c r="I286" s="64"/>
      <c r="J286" s="64"/>
      <c r="K286" s="64"/>
      <c r="L286" s="65"/>
      <c r="M286" s="64"/>
      <c r="N286" s="64"/>
    </row>
    <row r="287" spans="1:14">
      <c r="A287" s="64"/>
      <c r="B287" s="64"/>
      <c r="D287" s="64"/>
      <c r="E287" s="64"/>
      <c r="F287" s="64"/>
      <c r="G287" s="64"/>
      <c r="H287" s="65"/>
      <c r="I287" s="64"/>
      <c r="J287" s="64"/>
      <c r="K287" s="64"/>
      <c r="L287" s="65"/>
      <c r="M287" s="64"/>
      <c r="N287" s="64"/>
    </row>
    <row r="288" spans="1:14">
      <c r="A288" s="64"/>
      <c r="B288" s="64"/>
      <c r="D288" s="64"/>
      <c r="E288" s="64"/>
      <c r="F288" s="64"/>
      <c r="G288" s="64"/>
      <c r="H288" s="65"/>
      <c r="I288" s="64"/>
      <c r="J288" s="64"/>
      <c r="K288" s="64"/>
      <c r="L288" s="65"/>
      <c r="M288" s="64"/>
      <c r="N288" s="64"/>
    </row>
    <row r="289" spans="1:14">
      <c r="A289" s="64"/>
      <c r="B289" s="64"/>
      <c r="D289" s="64"/>
      <c r="E289" s="64"/>
      <c r="F289" s="64"/>
      <c r="G289" s="64"/>
      <c r="H289" s="65"/>
      <c r="I289" s="64"/>
      <c r="J289" s="64"/>
      <c r="K289" s="64"/>
      <c r="L289" s="65"/>
      <c r="M289" s="64"/>
      <c r="N289" s="64"/>
    </row>
    <row r="290" spans="1:14">
      <c r="A290" s="64"/>
      <c r="B290" s="64"/>
      <c r="D290" s="64"/>
      <c r="E290" s="64"/>
      <c r="F290" s="64"/>
      <c r="G290" s="64"/>
      <c r="H290" s="65"/>
      <c r="I290" s="64"/>
      <c r="J290" s="64"/>
      <c r="K290" s="64"/>
      <c r="L290" s="65"/>
      <c r="M290" s="64"/>
      <c r="N290" s="64"/>
    </row>
    <row r="291" spans="1:14">
      <c r="A291" s="64"/>
      <c r="B291" s="64"/>
      <c r="D291" s="64"/>
      <c r="E291" s="64"/>
      <c r="F291" s="64"/>
      <c r="G291" s="64"/>
      <c r="H291" s="65"/>
      <c r="I291" s="64"/>
      <c r="J291" s="64"/>
      <c r="K291" s="64"/>
      <c r="L291" s="65"/>
      <c r="M291" s="64"/>
      <c r="N291" s="64"/>
    </row>
    <row r="292" spans="1:14">
      <c r="A292" s="64"/>
      <c r="B292" s="64"/>
      <c r="D292" s="64"/>
      <c r="E292" s="64"/>
      <c r="F292" s="64"/>
      <c r="G292" s="64"/>
      <c r="H292" s="65"/>
      <c r="I292" s="64"/>
      <c r="J292" s="64"/>
      <c r="K292" s="64"/>
      <c r="L292" s="65"/>
      <c r="M292" s="64"/>
      <c r="N292" s="64"/>
    </row>
    <row r="293" spans="1:14">
      <c r="A293" s="64"/>
      <c r="B293" s="64"/>
      <c r="D293" s="64"/>
      <c r="E293" s="64"/>
      <c r="F293" s="64"/>
      <c r="G293" s="64"/>
      <c r="H293" s="65"/>
      <c r="I293" s="64"/>
      <c r="J293" s="64"/>
      <c r="K293" s="64"/>
      <c r="L293" s="65"/>
      <c r="M293" s="64"/>
      <c r="N293" s="64"/>
    </row>
  </sheetData>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L224842"/>
  <sheetViews>
    <sheetView showGridLines="0" topLeftCell="A25" workbookViewId="0">
      <selection activeCell="C55" sqref="C55:F55"/>
    </sheetView>
  </sheetViews>
  <sheetFormatPr defaultColWidth="9" defaultRowHeight="14"/>
  <cols>
    <col min="1" max="1" width="4.25454545454545" style="1" customWidth="1"/>
    <col min="2" max="2" width="23.3727272727273" style="2" customWidth="1"/>
    <col min="3" max="3" width="22.8727272727273" style="2" customWidth="1"/>
    <col min="4" max="4" width="24" style="2" customWidth="1"/>
    <col min="5" max="5" width="14.2545454545455" style="2" customWidth="1"/>
    <col min="6" max="6" width="17" style="2" customWidth="1"/>
    <col min="7" max="7" width="10" style="2" customWidth="1"/>
    <col min="8" max="8" width="18.8727272727273" style="1" customWidth="1"/>
    <col min="9" max="9" width="17.7545454545455" style="1" customWidth="1"/>
    <col min="10" max="10" width="17.8727272727273" style="1" customWidth="1"/>
    <col min="11" max="11" width="15.3727272727273" style="1" customWidth="1"/>
    <col min="12" max="12" width="12.2545454545455" style="1" customWidth="1"/>
    <col min="13" max="16384" width="9" style="1"/>
  </cols>
  <sheetData>
    <row r="1" ht="45.95" customHeight="1" spans="2:7">
      <c r="B1" s="3" t="s">
        <v>190</v>
      </c>
      <c r="C1" s="3"/>
      <c r="D1" s="3"/>
      <c r="E1" s="3"/>
      <c r="F1" s="3"/>
      <c r="G1" s="3"/>
    </row>
    <row r="2" ht="18" spans="2:12">
      <c r="B2" s="4" t="s">
        <v>191</v>
      </c>
      <c r="C2" s="5" t="s">
        <v>38</v>
      </c>
      <c r="D2" s="6"/>
      <c r="E2" s="6"/>
      <c r="F2" s="7"/>
      <c r="H2" s="4" t="s">
        <v>191</v>
      </c>
      <c r="I2" s="5" t="s">
        <v>40</v>
      </c>
      <c r="J2" s="6"/>
      <c r="K2" s="6"/>
      <c r="L2" s="7"/>
    </row>
    <row r="3" ht="18" spans="2:12">
      <c r="B3" s="8" t="s">
        <v>192</v>
      </c>
      <c r="C3" s="9"/>
      <c r="D3" s="9"/>
      <c r="E3" s="9"/>
      <c r="F3" s="10"/>
      <c r="H3" s="8" t="s">
        <v>192</v>
      </c>
      <c r="I3" s="9"/>
      <c r="J3" s="9"/>
      <c r="K3" s="9"/>
      <c r="L3" s="10"/>
    </row>
    <row r="4" ht="18" spans="2:12">
      <c r="B4" s="11" t="s">
        <v>193</v>
      </c>
      <c r="C4" s="12" t="s">
        <v>194</v>
      </c>
      <c r="D4" s="13"/>
      <c r="E4" s="13"/>
      <c r="F4" s="14"/>
      <c r="H4" s="11" t="s">
        <v>193</v>
      </c>
      <c r="I4" s="12" t="s">
        <v>194</v>
      </c>
      <c r="J4" s="13"/>
      <c r="K4" s="13"/>
      <c r="L4" s="14"/>
    </row>
    <row r="5" ht="18" spans="2:12">
      <c r="B5" s="11" t="s">
        <v>195</v>
      </c>
      <c r="C5" s="15" t="s">
        <v>196</v>
      </c>
      <c r="D5" s="16"/>
      <c r="E5" s="16"/>
      <c r="F5" s="17"/>
      <c r="H5" s="11" t="s">
        <v>195</v>
      </c>
      <c r="I5" s="15" t="s">
        <v>196</v>
      </c>
      <c r="J5" s="16"/>
      <c r="K5" s="16"/>
      <c r="L5" s="17"/>
    </row>
    <row r="6" ht="18" spans="2:12">
      <c r="B6" s="8" t="s">
        <v>197</v>
      </c>
      <c r="C6" s="15" t="s">
        <v>198</v>
      </c>
      <c r="D6" s="16"/>
      <c r="E6" s="16"/>
      <c r="F6" s="17"/>
      <c r="H6" s="8" t="s">
        <v>197</v>
      </c>
      <c r="I6" s="15" t="s">
        <v>198</v>
      </c>
      <c r="J6" s="16"/>
      <c r="K6" s="16"/>
      <c r="L6" s="17"/>
    </row>
    <row r="7" ht="18" spans="2:12">
      <c r="B7" s="8" t="s">
        <v>199</v>
      </c>
      <c r="C7" s="15" t="s">
        <v>120</v>
      </c>
      <c r="D7" s="16"/>
      <c r="E7" s="16"/>
      <c r="F7" s="17"/>
      <c r="H7" s="8" t="s">
        <v>199</v>
      </c>
      <c r="I7" s="15" t="s">
        <v>120</v>
      </c>
      <c r="J7" s="16"/>
      <c r="K7" s="16"/>
      <c r="L7" s="17"/>
    </row>
    <row r="8" ht="18" spans="2:12">
      <c r="B8" s="8" t="s">
        <v>200</v>
      </c>
      <c r="C8" s="15" t="s">
        <v>201</v>
      </c>
      <c r="D8" s="16"/>
      <c r="E8" s="16"/>
      <c r="F8" s="17"/>
      <c r="H8" s="8" t="s">
        <v>200</v>
      </c>
      <c r="I8" s="15" t="s">
        <v>201</v>
      </c>
      <c r="J8" s="16"/>
      <c r="K8" s="16"/>
      <c r="L8" s="17"/>
    </row>
    <row r="9" ht="18" spans="2:12">
      <c r="B9" s="8" t="s">
        <v>202</v>
      </c>
      <c r="C9" s="18" t="s">
        <v>201</v>
      </c>
      <c r="D9" s="18"/>
      <c r="E9" s="18"/>
      <c r="F9" s="19"/>
      <c r="H9" s="8" t="s">
        <v>202</v>
      </c>
      <c r="I9" s="18" t="s">
        <v>201</v>
      </c>
      <c r="J9" s="18"/>
      <c r="K9" s="18"/>
      <c r="L9" s="19"/>
    </row>
    <row r="10" ht="18" spans="2:12">
      <c r="B10" s="8" t="s">
        <v>203</v>
      </c>
      <c r="C10" s="20" t="s">
        <v>204</v>
      </c>
      <c r="D10" s="21"/>
      <c r="E10" s="21"/>
      <c r="F10" s="22"/>
      <c r="H10" s="8" t="s">
        <v>203</v>
      </c>
      <c r="I10" s="20" t="s">
        <v>205</v>
      </c>
      <c r="J10" s="21"/>
      <c r="K10" s="21"/>
      <c r="L10" s="22"/>
    </row>
    <row r="11" ht="18" spans="2:12">
      <c r="B11" s="23" t="s">
        <v>206</v>
      </c>
      <c r="C11" s="9" t="s">
        <v>207</v>
      </c>
      <c r="D11" s="9" t="s">
        <v>208</v>
      </c>
      <c r="E11" s="24" t="s">
        <v>209</v>
      </c>
      <c r="F11" s="25" t="s">
        <v>210</v>
      </c>
      <c r="H11" s="23" t="s">
        <v>206</v>
      </c>
      <c r="I11" s="9" t="s">
        <v>207</v>
      </c>
      <c r="J11" s="9" t="s">
        <v>208</v>
      </c>
      <c r="K11" s="24" t="s">
        <v>209</v>
      </c>
      <c r="L11" s="25" t="s">
        <v>210</v>
      </c>
    </row>
    <row r="12" ht="15.5" spans="2:12">
      <c r="B12" s="26"/>
      <c r="C12" s="27">
        <v>0</v>
      </c>
      <c r="D12" s="28">
        <v>0.6</v>
      </c>
      <c r="E12" s="24">
        <f t="shared" ref="E12:E16" si="0">100-F12</f>
        <v>90</v>
      </c>
      <c r="F12" s="25">
        <v>10</v>
      </c>
      <c r="H12" s="26"/>
      <c r="I12" s="27">
        <v>0</v>
      </c>
      <c r="J12" s="28">
        <v>0.6</v>
      </c>
      <c r="K12" s="24">
        <f t="shared" ref="K12:K16" si="1">100-L12</f>
        <v>80</v>
      </c>
      <c r="L12" s="25">
        <v>20</v>
      </c>
    </row>
    <row r="13" ht="15.5" spans="2:12">
      <c r="B13" s="26"/>
      <c r="C13" s="27">
        <v>0.8</v>
      </c>
      <c r="D13" s="28">
        <f t="shared" ref="D13:D16" si="2">D12</f>
        <v>0.6</v>
      </c>
      <c r="E13" s="24">
        <f t="shared" si="0"/>
        <v>5</v>
      </c>
      <c r="F13" s="25">
        <v>95</v>
      </c>
      <c r="H13" s="26"/>
      <c r="I13" s="27">
        <v>0.7</v>
      </c>
      <c r="J13" s="28">
        <f t="shared" ref="J13:J16" si="3">J12</f>
        <v>0.6</v>
      </c>
      <c r="K13" s="24">
        <f t="shared" si="1"/>
        <v>5</v>
      </c>
      <c r="L13" s="25">
        <v>95</v>
      </c>
    </row>
    <row r="14" ht="15.5" spans="2:12">
      <c r="B14" s="26"/>
      <c r="C14" s="27">
        <v>1</v>
      </c>
      <c r="D14" s="28">
        <f t="shared" si="2"/>
        <v>0.6</v>
      </c>
      <c r="E14" s="24">
        <f t="shared" si="0"/>
        <v>5</v>
      </c>
      <c r="F14" s="25">
        <v>95</v>
      </c>
      <c r="H14" s="26"/>
      <c r="I14" s="27">
        <v>1.1</v>
      </c>
      <c r="J14" s="28">
        <f t="shared" si="3"/>
        <v>0.6</v>
      </c>
      <c r="K14" s="24">
        <f t="shared" si="1"/>
        <v>5</v>
      </c>
      <c r="L14" s="25">
        <v>95</v>
      </c>
    </row>
    <row r="15" ht="15.5" spans="2:12">
      <c r="B15" s="26"/>
      <c r="C15" s="27">
        <v>1.01</v>
      </c>
      <c r="D15" s="28">
        <f t="shared" si="2"/>
        <v>0.6</v>
      </c>
      <c r="E15" s="24">
        <f t="shared" si="0"/>
        <v>90</v>
      </c>
      <c r="F15" s="25">
        <v>10</v>
      </c>
      <c r="H15" s="26"/>
      <c r="I15" s="27">
        <v>1.11</v>
      </c>
      <c r="J15" s="28">
        <f t="shared" si="3"/>
        <v>0.6</v>
      </c>
      <c r="K15" s="24">
        <f t="shared" si="1"/>
        <v>80</v>
      </c>
      <c r="L15" s="25">
        <v>20</v>
      </c>
    </row>
    <row r="16" ht="15.5" spans="2:12">
      <c r="B16" s="26"/>
      <c r="C16" s="27">
        <v>1.3</v>
      </c>
      <c r="D16" s="28">
        <f t="shared" si="2"/>
        <v>0.6</v>
      </c>
      <c r="E16" s="24">
        <f t="shared" si="0"/>
        <v>90</v>
      </c>
      <c r="F16" s="25">
        <v>10</v>
      </c>
      <c r="H16" s="26"/>
      <c r="I16" s="27">
        <v>1.3</v>
      </c>
      <c r="J16" s="28">
        <f t="shared" si="3"/>
        <v>0.6</v>
      </c>
      <c r="K16" s="24">
        <f t="shared" si="1"/>
        <v>80</v>
      </c>
      <c r="L16" s="25">
        <v>20</v>
      </c>
    </row>
    <row r="17" ht="18" spans="2:12">
      <c r="B17" s="8" t="s">
        <v>211</v>
      </c>
      <c r="C17" s="9"/>
      <c r="D17" s="9"/>
      <c r="E17" s="9"/>
      <c r="F17" s="10"/>
      <c r="H17" s="8" t="s">
        <v>211</v>
      </c>
      <c r="I17" s="9"/>
      <c r="J17" s="9"/>
      <c r="K17" s="9"/>
      <c r="L17" s="10"/>
    </row>
    <row r="18" ht="18" spans="2:12">
      <c r="B18" s="8" t="s">
        <v>212</v>
      </c>
      <c r="C18" s="15" t="s">
        <v>213</v>
      </c>
      <c r="D18" s="16"/>
      <c r="E18" s="16"/>
      <c r="F18" s="17"/>
      <c r="H18" s="8" t="s">
        <v>212</v>
      </c>
      <c r="I18" s="15" t="s">
        <v>213</v>
      </c>
      <c r="J18" s="16"/>
      <c r="K18" s="16"/>
      <c r="L18" s="17"/>
    </row>
    <row r="19" ht="18" spans="2:12">
      <c r="B19" s="8" t="s">
        <v>214</v>
      </c>
      <c r="C19" s="15" t="s">
        <v>215</v>
      </c>
      <c r="D19" s="16"/>
      <c r="E19" s="16"/>
      <c r="F19" s="17"/>
      <c r="H19" s="8" t="s">
        <v>214</v>
      </c>
      <c r="I19" s="15" t="s">
        <v>215</v>
      </c>
      <c r="J19" s="16"/>
      <c r="K19" s="16"/>
      <c r="L19" s="17"/>
    </row>
    <row r="20" ht="18" spans="2:12">
      <c r="B20" s="8" t="s">
        <v>216</v>
      </c>
      <c r="C20" s="15" t="s">
        <v>217</v>
      </c>
      <c r="D20" s="16"/>
      <c r="E20" s="16"/>
      <c r="F20" s="17"/>
      <c r="H20" s="8" t="s">
        <v>216</v>
      </c>
      <c r="I20" s="15" t="s">
        <v>217</v>
      </c>
      <c r="J20" s="16"/>
      <c r="K20" s="16"/>
      <c r="L20" s="17"/>
    </row>
    <row r="21" ht="18" spans="2:12">
      <c r="B21" s="8" t="s">
        <v>218</v>
      </c>
      <c r="C21" s="15" t="s">
        <v>219</v>
      </c>
      <c r="D21" s="16"/>
      <c r="E21" s="16"/>
      <c r="F21" s="17"/>
      <c r="H21" s="8" t="s">
        <v>218</v>
      </c>
      <c r="I21" s="15" t="s">
        <v>219</v>
      </c>
      <c r="J21" s="16"/>
      <c r="K21" s="16"/>
      <c r="L21" s="17"/>
    </row>
    <row r="22" ht="18" spans="2:12">
      <c r="B22" s="8" t="s">
        <v>220</v>
      </c>
      <c r="C22" s="24" t="s">
        <v>221</v>
      </c>
      <c r="D22" s="24" t="s">
        <v>222</v>
      </c>
      <c r="E22" s="24" t="s">
        <v>223</v>
      </c>
      <c r="F22" s="25" t="s">
        <v>224</v>
      </c>
      <c r="H22" s="8" t="s">
        <v>220</v>
      </c>
      <c r="I22" s="24" t="s">
        <v>221</v>
      </c>
      <c r="J22" s="24" t="s">
        <v>222</v>
      </c>
      <c r="K22" s="24" t="s">
        <v>223</v>
      </c>
      <c r="L22" s="25" t="s">
        <v>224</v>
      </c>
    </row>
    <row r="23" ht="21" customHeight="1" spans="2:12">
      <c r="B23" s="29" t="s">
        <v>38</v>
      </c>
      <c r="C23" s="24" t="s">
        <v>225</v>
      </c>
      <c r="D23" s="27">
        <v>0.92</v>
      </c>
      <c r="E23" s="24">
        <v>96</v>
      </c>
      <c r="F23" s="25">
        <v>41</v>
      </c>
      <c r="H23" s="29" t="s">
        <v>40</v>
      </c>
      <c r="I23" s="24" t="s">
        <v>226</v>
      </c>
      <c r="J23" s="27">
        <v>0.9</v>
      </c>
      <c r="K23" s="24">
        <v>105</v>
      </c>
      <c r="L23" s="25">
        <v>37</v>
      </c>
    </row>
    <row r="24" ht="16.25" spans="2:12">
      <c r="B24" s="30" t="s">
        <v>120</v>
      </c>
      <c r="C24" s="31" t="s">
        <v>227</v>
      </c>
      <c r="D24" s="32">
        <v>0.99</v>
      </c>
      <c r="E24" s="31">
        <v>52</v>
      </c>
      <c r="F24" s="33">
        <v>25</v>
      </c>
      <c r="H24" s="30" t="s">
        <v>120</v>
      </c>
      <c r="I24" s="31" t="s">
        <v>227</v>
      </c>
      <c r="J24" s="32">
        <v>0.89</v>
      </c>
      <c r="K24" s="31">
        <v>52</v>
      </c>
      <c r="L24" s="33">
        <v>25</v>
      </c>
    </row>
    <row r="26" ht="14.75"/>
    <row r="27" ht="18" spans="2:12">
      <c r="B27" s="4" t="s">
        <v>191</v>
      </c>
      <c r="C27" s="34" t="s">
        <v>32</v>
      </c>
      <c r="D27" s="35"/>
      <c r="E27" s="35"/>
      <c r="F27" s="36"/>
      <c r="H27" s="4" t="s">
        <v>191</v>
      </c>
      <c r="I27" s="5" t="s">
        <v>39</v>
      </c>
      <c r="J27" s="6"/>
      <c r="K27" s="6"/>
      <c r="L27" s="7"/>
    </row>
    <row r="28" ht="18" spans="2:12">
      <c r="B28" s="8" t="s">
        <v>192</v>
      </c>
      <c r="C28" s="9"/>
      <c r="D28" s="9"/>
      <c r="E28" s="9"/>
      <c r="F28" s="10"/>
      <c r="H28" s="8" t="s">
        <v>192</v>
      </c>
      <c r="I28" s="9"/>
      <c r="J28" s="9"/>
      <c r="K28" s="9"/>
      <c r="L28" s="10"/>
    </row>
    <row r="29" ht="18" spans="2:12">
      <c r="B29" s="11" t="s">
        <v>193</v>
      </c>
      <c r="C29" s="12" t="s">
        <v>194</v>
      </c>
      <c r="D29" s="13"/>
      <c r="E29" s="13"/>
      <c r="F29" s="14"/>
      <c r="H29" s="11" t="s">
        <v>193</v>
      </c>
      <c r="I29" s="12" t="s">
        <v>194</v>
      </c>
      <c r="J29" s="13"/>
      <c r="K29" s="13"/>
      <c r="L29" s="14"/>
    </row>
    <row r="30" ht="18" spans="2:12">
      <c r="B30" s="11" t="s">
        <v>195</v>
      </c>
      <c r="C30" s="15" t="s">
        <v>196</v>
      </c>
      <c r="D30" s="16"/>
      <c r="E30" s="16"/>
      <c r="F30" s="17"/>
      <c r="H30" s="11" t="s">
        <v>195</v>
      </c>
      <c r="I30" s="15" t="s">
        <v>196</v>
      </c>
      <c r="J30" s="16"/>
      <c r="K30" s="16"/>
      <c r="L30" s="17"/>
    </row>
    <row r="31" ht="18" spans="2:12">
      <c r="B31" s="8" t="s">
        <v>197</v>
      </c>
      <c r="C31" s="15" t="s">
        <v>198</v>
      </c>
      <c r="D31" s="16"/>
      <c r="E31" s="16"/>
      <c r="F31" s="17"/>
      <c r="H31" s="8" t="s">
        <v>197</v>
      </c>
      <c r="I31" s="15" t="s">
        <v>198</v>
      </c>
      <c r="J31" s="16"/>
      <c r="K31" s="16"/>
      <c r="L31" s="17"/>
    </row>
    <row r="32" ht="18" spans="2:12">
      <c r="B32" s="8" t="s">
        <v>199</v>
      </c>
      <c r="C32" s="15" t="s">
        <v>120</v>
      </c>
      <c r="D32" s="16"/>
      <c r="E32" s="16"/>
      <c r="F32" s="17"/>
      <c r="H32" s="8" t="s">
        <v>199</v>
      </c>
      <c r="I32" s="15" t="s">
        <v>120</v>
      </c>
      <c r="J32" s="16"/>
      <c r="K32" s="16"/>
      <c r="L32" s="17"/>
    </row>
    <row r="33" ht="18" spans="2:12">
      <c r="B33" s="8" t="s">
        <v>200</v>
      </c>
      <c r="C33" s="15" t="s">
        <v>201</v>
      </c>
      <c r="D33" s="16"/>
      <c r="E33" s="16"/>
      <c r="F33" s="17"/>
      <c r="H33" s="8" t="s">
        <v>200</v>
      </c>
      <c r="I33" s="15" t="s">
        <v>201</v>
      </c>
      <c r="J33" s="16"/>
      <c r="K33" s="16"/>
      <c r="L33" s="17"/>
    </row>
    <row r="34" ht="18" spans="2:12">
      <c r="B34" s="8" t="s">
        <v>202</v>
      </c>
      <c r="C34" s="18" t="s">
        <v>201</v>
      </c>
      <c r="D34" s="18"/>
      <c r="E34" s="18"/>
      <c r="F34" s="19"/>
      <c r="H34" s="8" t="s">
        <v>202</v>
      </c>
      <c r="I34" s="18" t="s">
        <v>201</v>
      </c>
      <c r="J34" s="18"/>
      <c r="K34" s="18"/>
      <c r="L34" s="19"/>
    </row>
    <row r="35" ht="18" spans="2:12">
      <c r="B35" s="8" t="s">
        <v>203</v>
      </c>
      <c r="C35" s="20" t="s">
        <v>228</v>
      </c>
      <c r="D35" s="21"/>
      <c r="E35" s="21"/>
      <c r="F35" s="22"/>
      <c r="H35" s="8" t="s">
        <v>203</v>
      </c>
      <c r="I35" s="20" t="s">
        <v>228</v>
      </c>
      <c r="J35" s="21"/>
      <c r="K35" s="21"/>
      <c r="L35" s="22"/>
    </row>
    <row r="36" ht="18" spans="2:12">
      <c r="B36" s="23" t="s">
        <v>206</v>
      </c>
      <c r="C36" s="9" t="s">
        <v>207</v>
      </c>
      <c r="D36" s="9" t="s">
        <v>208</v>
      </c>
      <c r="E36" s="24" t="s">
        <v>209</v>
      </c>
      <c r="F36" s="25" t="s">
        <v>210</v>
      </c>
      <c r="H36" s="23" t="s">
        <v>206</v>
      </c>
      <c r="I36" s="9" t="s">
        <v>207</v>
      </c>
      <c r="J36" s="9" t="s">
        <v>208</v>
      </c>
      <c r="K36" s="24" t="s">
        <v>209</v>
      </c>
      <c r="L36" s="25" t="s">
        <v>210</v>
      </c>
    </row>
    <row r="37" ht="15.5" spans="2:12">
      <c r="B37" s="26"/>
      <c r="C37" s="37">
        <v>0</v>
      </c>
      <c r="D37" s="38">
        <v>0.6</v>
      </c>
      <c r="E37" s="39">
        <f t="shared" ref="E37:E42" si="4">100-F37</f>
        <v>80</v>
      </c>
      <c r="F37" s="40">
        <v>20</v>
      </c>
      <c r="H37" s="26"/>
      <c r="I37" s="27">
        <v>0</v>
      </c>
      <c r="J37" s="28">
        <v>0.6</v>
      </c>
      <c r="K37" s="24">
        <f t="shared" ref="K37:K41" si="5">100-L37</f>
        <v>85</v>
      </c>
      <c r="L37" s="25">
        <v>15</v>
      </c>
    </row>
    <row r="38" ht="15.5" spans="2:12">
      <c r="B38" s="26"/>
      <c r="C38" s="41"/>
      <c r="D38" s="42"/>
      <c r="E38" s="43"/>
      <c r="F38" s="44"/>
      <c r="H38" s="26"/>
      <c r="I38" s="27">
        <v>0.9</v>
      </c>
      <c r="J38" s="28">
        <f t="shared" ref="J38:J41" si="6">J37</f>
        <v>0.6</v>
      </c>
      <c r="K38" s="24">
        <f t="shared" si="5"/>
        <v>5</v>
      </c>
      <c r="L38" s="25">
        <v>95</v>
      </c>
    </row>
    <row r="39" ht="15.5" spans="2:12">
      <c r="B39" s="26"/>
      <c r="C39" s="27">
        <v>0.9</v>
      </c>
      <c r="D39" s="28">
        <f>D37</f>
        <v>0.6</v>
      </c>
      <c r="E39" s="24">
        <f t="shared" si="4"/>
        <v>5</v>
      </c>
      <c r="F39" s="25">
        <v>95</v>
      </c>
      <c r="H39" s="26"/>
      <c r="I39" s="27">
        <v>1.2</v>
      </c>
      <c r="J39" s="28">
        <f t="shared" si="6"/>
        <v>0.6</v>
      </c>
      <c r="K39" s="24">
        <f t="shared" si="5"/>
        <v>5</v>
      </c>
      <c r="L39" s="25">
        <v>95</v>
      </c>
    </row>
    <row r="40" ht="15.5" spans="2:12">
      <c r="B40" s="26"/>
      <c r="C40" s="27">
        <v>1.2</v>
      </c>
      <c r="D40" s="28">
        <f>D37</f>
        <v>0.6</v>
      </c>
      <c r="E40" s="24">
        <f t="shared" si="4"/>
        <v>5</v>
      </c>
      <c r="F40" s="25">
        <v>95</v>
      </c>
      <c r="H40" s="26"/>
      <c r="I40" s="27">
        <v>1.21</v>
      </c>
      <c r="J40" s="28">
        <f t="shared" si="6"/>
        <v>0.6</v>
      </c>
      <c r="K40" s="24">
        <f t="shared" si="5"/>
        <v>85</v>
      </c>
      <c r="L40" s="25">
        <v>15</v>
      </c>
    </row>
    <row r="41" ht="15.5" spans="2:12">
      <c r="B41" s="26"/>
      <c r="C41" s="27">
        <v>1.21</v>
      </c>
      <c r="D41" s="28">
        <f>D37</f>
        <v>0.6</v>
      </c>
      <c r="E41" s="24">
        <f t="shared" si="4"/>
        <v>80</v>
      </c>
      <c r="F41" s="25">
        <v>20</v>
      </c>
      <c r="H41" s="26"/>
      <c r="I41" s="27">
        <v>1.4</v>
      </c>
      <c r="J41" s="28">
        <f t="shared" si="6"/>
        <v>0.6</v>
      </c>
      <c r="K41" s="24">
        <f t="shared" si="5"/>
        <v>85</v>
      </c>
      <c r="L41" s="25">
        <v>15</v>
      </c>
    </row>
    <row r="42" ht="18" spans="2:12">
      <c r="B42" s="26"/>
      <c r="C42" s="27">
        <v>1.5</v>
      </c>
      <c r="D42" s="28">
        <f>D39</f>
        <v>0.6</v>
      </c>
      <c r="E42" s="24">
        <f t="shared" si="4"/>
        <v>80</v>
      </c>
      <c r="F42" s="25">
        <v>20</v>
      </c>
      <c r="H42" s="8" t="s">
        <v>211</v>
      </c>
      <c r="I42" s="9"/>
      <c r="J42" s="9"/>
      <c r="K42" s="9"/>
      <c r="L42" s="10"/>
    </row>
    <row r="43" ht="18" spans="2:12">
      <c r="B43" s="8" t="s">
        <v>211</v>
      </c>
      <c r="C43" s="9"/>
      <c r="D43" s="9"/>
      <c r="E43" s="9"/>
      <c r="F43" s="10"/>
      <c r="H43" s="8" t="s">
        <v>212</v>
      </c>
      <c r="I43" s="15" t="s">
        <v>213</v>
      </c>
      <c r="J43" s="16"/>
      <c r="K43" s="16"/>
      <c r="L43" s="17"/>
    </row>
    <row r="44" ht="18" spans="2:12">
      <c r="B44" s="8" t="s">
        <v>212</v>
      </c>
      <c r="C44" s="15" t="s">
        <v>213</v>
      </c>
      <c r="D44" s="16"/>
      <c r="E44" s="16"/>
      <c r="F44" s="17"/>
      <c r="H44" s="8" t="s">
        <v>214</v>
      </c>
      <c r="I44" s="15" t="s">
        <v>215</v>
      </c>
      <c r="J44" s="16"/>
      <c r="K44" s="16"/>
      <c r="L44" s="17"/>
    </row>
    <row r="45" ht="18" spans="2:12">
      <c r="B45" s="8" t="s">
        <v>214</v>
      </c>
      <c r="C45" s="15" t="s">
        <v>215</v>
      </c>
      <c r="D45" s="16"/>
      <c r="E45" s="16"/>
      <c r="F45" s="17"/>
      <c r="H45" s="8" t="s">
        <v>216</v>
      </c>
      <c r="I45" s="15" t="s">
        <v>217</v>
      </c>
      <c r="J45" s="16"/>
      <c r="K45" s="16"/>
      <c r="L45" s="17"/>
    </row>
    <row r="46" ht="18" spans="2:12">
      <c r="B46" s="8" t="s">
        <v>216</v>
      </c>
      <c r="C46" s="15" t="s">
        <v>217</v>
      </c>
      <c r="D46" s="16"/>
      <c r="E46" s="16"/>
      <c r="F46" s="17"/>
      <c r="H46" s="8" t="s">
        <v>218</v>
      </c>
      <c r="I46" s="15" t="s">
        <v>219</v>
      </c>
      <c r="J46" s="16"/>
      <c r="K46" s="16"/>
      <c r="L46" s="17"/>
    </row>
    <row r="47" ht="18" spans="2:12">
      <c r="B47" s="8" t="s">
        <v>218</v>
      </c>
      <c r="C47" s="45" t="s">
        <v>229</v>
      </c>
      <c r="D47" s="46"/>
      <c r="E47" s="46"/>
      <c r="F47" s="47"/>
      <c r="H47" s="8" t="s">
        <v>220</v>
      </c>
      <c r="I47" s="24" t="s">
        <v>221</v>
      </c>
      <c r="J47" s="24" t="s">
        <v>222</v>
      </c>
      <c r="K47" s="24" t="s">
        <v>223</v>
      </c>
      <c r="L47" s="25" t="s">
        <v>224</v>
      </c>
    </row>
    <row r="48" ht="18" spans="2:12">
      <c r="B48" s="8" t="s">
        <v>220</v>
      </c>
      <c r="C48" s="24" t="s">
        <v>221</v>
      </c>
      <c r="D48" s="24" t="s">
        <v>222</v>
      </c>
      <c r="E48" s="24" t="s">
        <v>223</v>
      </c>
      <c r="F48" s="25" t="s">
        <v>224</v>
      </c>
      <c r="H48" s="29" t="s">
        <v>39</v>
      </c>
      <c r="I48" s="24" t="s">
        <v>230</v>
      </c>
      <c r="J48" s="27">
        <v>0.84</v>
      </c>
      <c r="K48" s="24">
        <v>107</v>
      </c>
      <c r="L48" s="25">
        <v>23</v>
      </c>
    </row>
    <row r="49" ht="16.25" spans="2:12">
      <c r="B49" s="48" t="str">
        <f>C27</f>
        <v>HW350003A</v>
      </c>
      <c r="C49" s="49" t="s">
        <v>231</v>
      </c>
      <c r="D49" s="27">
        <v>1.02</v>
      </c>
      <c r="E49" s="50">
        <v>165</v>
      </c>
      <c r="F49" s="51">
        <v>51</v>
      </c>
      <c r="H49" s="30" t="s">
        <v>120</v>
      </c>
      <c r="I49" s="31" t="s">
        <v>227</v>
      </c>
      <c r="J49" s="32">
        <v>1.02</v>
      </c>
      <c r="K49" s="31">
        <v>52</v>
      </c>
      <c r="L49" s="33">
        <v>25</v>
      </c>
    </row>
    <row r="50" ht="16.25" spans="2:6">
      <c r="B50" s="30" t="s">
        <v>120</v>
      </c>
      <c r="C50" s="31" t="s">
        <v>227</v>
      </c>
      <c r="D50" s="32">
        <v>0.97</v>
      </c>
      <c r="E50" s="31">
        <v>52</v>
      </c>
      <c r="F50" s="33">
        <v>25</v>
      </c>
    </row>
    <row r="51" ht="18" spans="2:6">
      <c r="B51" s="52"/>
      <c r="C51" s="53"/>
      <c r="D51" s="53"/>
      <c r="E51" s="53"/>
      <c r="F51" s="53"/>
    </row>
    <row r="52" ht="18" spans="2:6">
      <c r="B52" s="52"/>
      <c r="C52" s="52"/>
      <c r="D52" s="52"/>
      <c r="E52" s="52"/>
      <c r="F52" s="52"/>
    </row>
    <row r="53" ht="18" spans="2:6">
      <c r="B53" s="52"/>
      <c r="C53" s="54"/>
      <c r="D53" s="54"/>
      <c r="E53" s="54"/>
      <c r="F53" s="54"/>
    </row>
    <row r="54" ht="18" spans="2:6">
      <c r="B54" s="52"/>
      <c r="C54" s="54"/>
      <c r="D54" s="54"/>
      <c r="E54" s="54"/>
      <c r="F54" s="54"/>
    </row>
    <row r="55" ht="18" spans="2:6">
      <c r="B55" s="52"/>
      <c r="C55" s="54"/>
      <c r="D55" s="54"/>
      <c r="E55" s="54"/>
      <c r="F55" s="54"/>
    </row>
    <row r="56" ht="18" spans="2:6">
      <c r="B56" s="52"/>
      <c r="C56" s="54"/>
      <c r="D56" s="54"/>
      <c r="E56" s="54"/>
      <c r="F56" s="54"/>
    </row>
    <row r="57" ht="18" spans="2:6">
      <c r="B57" s="52"/>
      <c r="C57" s="54"/>
      <c r="D57" s="54"/>
      <c r="E57" s="54"/>
      <c r="F57" s="54"/>
    </row>
    <row r="58" ht="18" spans="2:6">
      <c r="B58" s="52"/>
      <c r="C58" s="54"/>
      <c r="D58" s="54"/>
      <c r="E58" s="54"/>
      <c r="F58" s="54"/>
    </row>
    <row r="59" ht="18" spans="2:6">
      <c r="B59" s="52"/>
      <c r="C59" s="54"/>
      <c r="D59" s="54"/>
      <c r="E59" s="54"/>
      <c r="F59" s="54"/>
    </row>
    <row r="60" ht="18" spans="2:6">
      <c r="B60" s="55"/>
      <c r="C60" s="52"/>
      <c r="D60" s="52"/>
      <c r="E60" s="54"/>
      <c r="F60" s="54"/>
    </row>
    <row r="61" ht="15.5" spans="2:6">
      <c r="B61" s="55"/>
      <c r="C61" s="56"/>
      <c r="D61" s="57"/>
      <c r="E61" s="54"/>
      <c r="F61" s="54"/>
    </row>
    <row r="62" ht="15.5" spans="2:6">
      <c r="B62" s="55"/>
      <c r="C62" s="56"/>
      <c r="D62" s="57"/>
      <c r="E62" s="54"/>
      <c r="F62" s="54"/>
    </row>
    <row r="63" ht="15.5" spans="2:6">
      <c r="B63" s="55"/>
      <c r="C63" s="56"/>
      <c r="D63" s="57"/>
      <c r="E63" s="54"/>
      <c r="F63" s="54"/>
    </row>
    <row r="64" ht="15.5" spans="2:6">
      <c r="B64" s="55"/>
      <c r="C64" s="56"/>
      <c r="D64" s="57"/>
      <c r="E64" s="54"/>
      <c r="F64" s="54"/>
    </row>
    <row r="65" ht="15.5" spans="2:6">
      <c r="B65" s="55"/>
      <c r="C65" s="56"/>
      <c r="D65" s="57"/>
      <c r="E65" s="54"/>
      <c r="F65" s="54"/>
    </row>
    <row r="66" ht="18" spans="2:6">
      <c r="B66" s="52"/>
      <c r="C66" s="52"/>
      <c r="D66" s="52"/>
      <c r="E66" s="52"/>
      <c r="F66" s="52"/>
    </row>
    <row r="67" ht="18" spans="2:6">
      <c r="B67" s="52"/>
      <c r="C67" s="54"/>
      <c r="D67" s="54"/>
      <c r="E67" s="54"/>
      <c r="F67" s="54"/>
    </row>
    <row r="68" ht="18" spans="2:6">
      <c r="B68" s="52"/>
      <c r="C68" s="54"/>
      <c r="D68" s="54"/>
      <c r="E68" s="54"/>
      <c r="F68" s="54"/>
    </row>
    <row r="69" ht="18" spans="2:6">
      <c r="B69" s="52"/>
      <c r="C69" s="54"/>
      <c r="D69" s="54"/>
      <c r="E69" s="54"/>
      <c r="F69" s="54"/>
    </row>
    <row r="70" ht="18" spans="2:6">
      <c r="B70" s="52"/>
      <c r="C70" s="58"/>
      <c r="D70" s="58"/>
      <c r="E70" s="58"/>
      <c r="F70" s="58"/>
    </row>
    <row r="71" ht="18" spans="2:6">
      <c r="B71" s="52"/>
      <c r="C71" s="54"/>
      <c r="D71" s="54"/>
      <c r="E71" s="54"/>
      <c r="F71" s="54"/>
    </row>
    <row r="72" ht="15.5" spans="2:6">
      <c r="B72" s="59"/>
      <c r="C72" s="54"/>
      <c r="D72" s="56"/>
      <c r="E72" s="54"/>
      <c r="F72" s="54"/>
    </row>
    <row r="73" ht="15.5" spans="2:6">
      <c r="B73" s="54"/>
      <c r="C73" s="54"/>
      <c r="D73" s="56"/>
      <c r="E73" s="54"/>
      <c r="F73" s="54"/>
    </row>
    <row r="224842" ht="13.35" customHeight="1"/>
  </sheetData>
  <mergeCells count="80">
    <mergeCell ref="B1:G1"/>
    <mergeCell ref="C2:F2"/>
    <mergeCell ref="I2:L2"/>
    <mergeCell ref="B3:F3"/>
    <mergeCell ref="H3:L3"/>
    <mergeCell ref="C4:F4"/>
    <mergeCell ref="I4:L4"/>
    <mergeCell ref="C5:F5"/>
    <mergeCell ref="I5:L5"/>
    <mergeCell ref="C6:F6"/>
    <mergeCell ref="I6:L6"/>
    <mergeCell ref="C7:F7"/>
    <mergeCell ref="I7:L7"/>
    <mergeCell ref="C8:F8"/>
    <mergeCell ref="I8:L8"/>
    <mergeCell ref="C9:F9"/>
    <mergeCell ref="I9:L9"/>
    <mergeCell ref="C10:F10"/>
    <mergeCell ref="I10:L10"/>
    <mergeCell ref="B17:F17"/>
    <mergeCell ref="H17:L17"/>
    <mergeCell ref="C18:F18"/>
    <mergeCell ref="I18:L18"/>
    <mergeCell ref="C19:F19"/>
    <mergeCell ref="I19:L19"/>
    <mergeCell ref="C20:F20"/>
    <mergeCell ref="I20:L20"/>
    <mergeCell ref="C21:F21"/>
    <mergeCell ref="I21:L21"/>
    <mergeCell ref="C27:F27"/>
    <mergeCell ref="I27:L27"/>
    <mergeCell ref="B28:F28"/>
    <mergeCell ref="H28:L28"/>
    <mergeCell ref="C29:F29"/>
    <mergeCell ref="I29:L29"/>
    <mergeCell ref="C30:F30"/>
    <mergeCell ref="I30:L30"/>
    <mergeCell ref="C31:F31"/>
    <mergeCell ref="I31:L31"/>
    <mergeCell ref="C32:F32"/>
    <mergeCell ref="I32:L32"/>
    <mergeCell ref="C33:F33"/>
    <mergeCell ref="I33:L33"/>
    <mergeCell ref="C34:F34"/>
    <mergeCell ref="I34:L34"/>
    <mergeCell ref="C35:F35"/>
    <mergeCell ref="I35:L35"/>
    <mergeCell ref="H42:L42"/>
    <mergeCell ref="B43:F43"/>
    <mergeCell ref="I43:L43"/>
    <mergeCell ref="C44:F44"/>
    <mergeCell ref="I44:L44"/>
    <mergeCell ref="C45:F45"/>
    <mergeCell ref="I45:L45"/>
    <mergeCell ref="C46:F46"/>
    <mergeCell ref="I46:L46"/>
    <mergeCell ref="C47:F47"/>
    <mergeCell ref="C51:F51"/>
    <mergeCell ref="B52:F52"/>
    <mergeCell ref="C53:F53"/>
    <mergeCell ref="C54:F54"/>
    <mergeCell ref="C55:F55"/>
    <mergeCell ref="C56:F56"/>
    <mergeCell ref="C57:F57"/>
    <mergeCell ref="C58:F58"/>
    <mergeCell ref="C59:F59"/>
    <mergeCell ref="B66:F66"/>
    <mergeCell ref="C67:F67"/>
    <mergeCell ref="C68:F68"/>
    <mergeCell ref="C69:F69"/>
    <mergeCell ref="C70:F70"/>
    <mergeCell ref="B11:B16"/>
    <mergeCell ref="B36:B42"/>
    <mergeCell ref="B60:B65"/>
    <mergeCell ref="C37:C38"/>
    <mergeCell ref="D37:D38"/>
    <mergeCell ref="E37:E38"/>
    <mergeCell ref="F37:F38"/>
    <mergeCell ref="H11:H16"/>
    <mergeCell ref="H36:H41"/>
  </mergeCells>
  <pageMargins left="0.7" right="0.7" top="0.75" bottom="0.75" header="0.3" footer="0.3"/>
  <pageSetup paperSize="9" orientation="portrait" horizontalDpi="300" verticalDpi="300"/>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rrUserId title="Sign_1_1_1_1_1_1_2" rangeCreator="" othersAccessPermission="edit"/>
  </rangeList>
  <rangeList sheetStid="2" master="" otherUserPermission="visible"/>
  <rangeList sheetStid="3" master="" otherUserPermission="visible"/>
  <rangeList sheetStid="6" master="" otherUserPermission="visible"/>
  <rangeList sheetStid="11" master="" otherUserPermission="visible"/>
  <rangeList sheetStid="7" master="" otherUserPermission="visible"/>
  <rangeList sheetStid="5"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Signature</vt:lpstr>
      <vt:lpstr>Summary</vt:lpstr>
      <vt:lpstr>Materials</vt:lpstr>
      <vt:lpstr>Study Design</vt:lpstr>
      <vt:lpstr>Graph</vt:lpstr>
      <vt:lpstr>Raw Data</vt:lpstr>
      <vt:lpstr>Bioanalytical Method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徐招兵</cp:lastModifiedBy>
  <dcterms:created xsi:type="dcterms:W3CDTF">2006-09-16T00:00:00Z</dcterms:created>
  <dcterms:modified xsi:type="dcterms:W3CDTF">2025-09-18T08:23:29Z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304503D66D404465A2093CD1B4970391_13</vt:lpwstr>
  </property>
  <property fmtid="{D5CDD505-2E9C-101B-9397-08002B2CF9AE}" pid="3" name="KSOProductBuildVer">
    <vt:lpwstr>2052-12.1.0.22529</vt:lpwstr>
  </property>
</Properties>
</file>