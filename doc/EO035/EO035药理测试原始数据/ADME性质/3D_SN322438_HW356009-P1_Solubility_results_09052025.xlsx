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62\Data Saving\02 Discovery Study\322_武汉人福\3D_SN322438\3D_PN322880\Report\"/>
    </mc:Choice>
  </mc:AlternateContent>
  <bookViews>
    <workbookView xWindow="0" yWindow="0" windowWidth="28800" windowHeight="11775" activeTab="1"/>
  </bookViews>
  <sheets>
    <sheet name="CoverPage" sheetId="18" r:id="rId1"/>
    <sheet name="Summary" sheetId="3" r:id="rId2"/>
    <sheet name="Solubility Determination" sheetId="15" r:id="rId3"/>
    <sheet name="Calculation" sheetId="21" r:id="rId4"/>
    <sheet name="Raw Data" sheetId="22" r:id="rId5"/>
    <sheet name="Experiment detail" sheetId="20" r:id="rId6"/>
  </sheets>
  <definedNames>
    <definedName name="_xlnm.Print_Area" localSheetId="2">'Solubility Determination'!#REF!</definedName>
    <definedName name="_xlnm.Print_Area" localSheetId="1">Summary!$B$1:$I$9</definedName>
    <definedName name="Z_748CD066_2CBF_4852_A239_32CCC98217C5_.wvu.Cols" localSheetId="0" hidden="1">CoverPage!$I:$IV</definedName>
    <definedName name="Z_7AC3556B_23E3_4EC8_9ACD_6CF62A4EE103_.wvu.Cols" localSheetId="0" hidden="1">CoverPage!$I:$IV</definedName>
    <definedName name="Z_879CBF46_DC90_4A2A_8656_0F4412D7545D_.wvu.Cols" localSheetId="0" hidden="1">CoverPage!$I:$IV</definedName>
    <definedName name="Z_931F6C99_D806_45A0_B253_489543215844_.wvu.Cols" localSheetId="0" hidden="1">CoverPage!$I:$IV</definedName>
    <definedName name="Z_A31A0AF2_F597_47F3_A709_A314C5282F0B_.wvu.Cols" localSheetId="0" hidden="1">CoverPage!$I:$IV</definedName>
  </definedNames>
  <calcPr calcId="152511"/>
</workbook>
</file>

<file path=xl/calcChain.xml><?xml version="1.0" encoding="utf-8"?>
<calcChain xmlns="http://schemas.openxmlformats.org/spreadsheetml/2006/main">
  <c r="H29" i="21" l="1"/>
  <c r="H23" i="21"/>
  <c r="H17" i="21"/>
  <c r="B9" i="20" l="1"/>
  <c r="C9" i="20" l="1"/>
  <c r="A1" i="22" l="1"/>
  <c r="B2" i="21"/>
  <c r="E18" i="21" l="1"/>
  <c r="F23" i="21" l="1"/>
  <c r="G24" i="21"/>
  <c r="D30" i="21"/>
  <c r="E17" i="21"/>
  <c r="C18" i="21"/>
  <c r="F17" i="21"/>
  <c r="G18" i="21"/>
  <c r="G23" i="21"/>
  <c r="F29" i="21"/>
  <c r="C23" i="21"/>
  <c r="C24" i="21"/>
  <c r="E30" i="21"/>
  <c r="D17" i="21"/>
  <c r="D18" i="21"/>
  <c r="D23" i="21"/>
  <c r="E24" i="21"/>
  <c r="C17" i="21"/>
  <c r="G17" i="21"/>
  <c r="F18" i="21"/>
  <c r="E23" i="21"/>
  <c r="D24" i="21"/>
  <c r="C29" i="21"/>
  <c r="G29" i="21"/>
  <c r="F30" i="21"/>
  <c r="D29" i="21"/>
  <c r="C30" i="21"/>
  <c r="G30" i="21"/>
  <c r="F24" i="21"/>
  <c r="E29" i="21"/>
  <c r="D5" i="15" l="1"/>
  <c r="E5" i="15" l="1"/>
  <c r="D11" i="3" s="1"/>
  <c r="D4" i="15"/>
  <c r="D6" i="15"/>
  <c r="B4" i="15"/>
  <c r="E6" i="15" l="1"/>
  <c r="D12" i="3" s="1"/>
  <c r="E4" i="15"/>
  <c r="D10" i="3" s="1"/>
  <c r="B10" i="3"/>
  <c r="B14" i="20" l="1"/>
  <c r="B3" i="21" l="1"/>
  <c r="G12" i="21" l="1"/>
  <c r="E12" i="21"/>
  <c r="C12" i="21"/>
  <c r="G11" i="21"/>
  <c r="E11" i="21"/>
  <c r="C11" i="21"/>
  <c r="G10" i="21"/>
  <c r="E10" i="21"/>
  <c r="C10" i="21"/>
  <c r="G9" i="21"/>
  <c r="E9" i="21"/>
  <c r="C9" i="21"/>
  <c r="G8" i="21"/>
  <c r="E8" i="21"/>
  <c r="C8" i="21"/>
  <c r="G7" i="21"/>
  <c r="E7" i="21"/>
  <c r="C7" i="21"/>
  <c r="G6" i="21"/>
  <c r="E6" i="21"/>
  <c r="C6" i="21"/>
  <c r="G5" i="21"/>
  <c r="E5" i="21"/>
  <c r="C5" i="21"/>
  <c r="H12" i="21"/>
  <c r="F12" i="21"/>
  <c r="D12" i="21"/>
  <c r="H11" i="21"/>
  <c r="F11" i="21"/>
  <c r="D11" i="21"/>
  <c r="H10" i="21"/>
  <c r="F10" i="21"/>
  <c r="D10" i="21"/>
  <c r="H9" i="21"/>
  <c r="F9" i="21"/>
  <c r="D9" i="21"/>
  <c r="H8" i="21"/>
  <c r="F8" i="21"/>
  <c r="D8" i="21"/>
  <c r="H7" i="21"/>
  <c r="F7" i="21"/>
  <c r="D7" i="21"/>
  <c r="H6" i="21"/>
  <c r="F6" i="21"/>
  <c r="D6" i="21"/>
  <c r="H5" i="21"/>
  <c r="F5" i="21"/>
  <c r="D5" i="21"/>
</calcChain>
</file>

<file path=xl/sharedStrings.xml><?xml version="1.0" encoding="utf-8"?>
<sst xmlns="http://schemas.openxmlformats.org/spreadsheetml/2006/main" count="260" uniqueCount="160">
  <si>
    <t>B%</t>
  </si>
  <si>
    <t>Accuracy (%)</t>
  </si>
  <si>
    <t>NA</t>
    <phoneticPr fontId="20" type="noConversion"/>
  </si>
  <si>
    <t>实验报告</t>
  </si>
  <si>
    <t>课题编号</t>
    <phoneticPr fontId="20" type="noConversion"/>
  </si>
  <si>
    <t>课题负责人</t>
    <phoneticPr fontId="20" type="noConversion"/>
  </si>
  <si>
    <t>化合物</t>
    <phoneticPr fontId="20" type="noConversion"/>
  </si>
  <si>
    <t>实验开始时间</t>
  </si>
  <si>
    <t>实验结束时间</t>
  </si>
  <si>
    <t>实验参与人员</t>
  </si>
  <si>
    <t>报告撰写</t>
  </si>
  <si>
    <t>数据质控</t>
  </si>
  <si>
    <t>实验负责方</t>
  </si>
  <si>
    <r>
      <rPr>
        <sz val="12"/>
        <rFont val="宋体"/>
        <family val="3"/>
        <charset val="134"/>
      </rPr>
      <t>苏州圣苏新药开发有限公司
中国苏州市吴中区吴中大道</t>
    </r>
    <r>
      <rPr>
        <sz val="12"/>
        <rFont val="Times New Roman"/>
        <family val="1"/>
      </rPr>
      <t>1338</t>
    </r>
    <r>
      <rPr>
        <sz val="12"/>
        <rFont val="宋体"/>
        <family val="3"/>
        <charset val="134"/>
      </rPr>
      <t>号</t>
    </r>
    <phoneticPr fontId="20" type="noConversion"/>
  </si>
  <si>
    <t>实验委托方</t>
    <phoneticPr fontId="20" type="noConversion"/>
  </si>
  <si>
    <t>实验方案编号</t>
    <phoneticPr fontId="46" type="noConversion"/>
  </si>
  <si>
    <t>实验标题</t>
    <phoneticPr fontId="46" type="noConversion"/>
  </si>
  <si>
    <t>试剂信息</t>
  </si>
  <si>
    <t>试剂</t>
  </si>
  <si>
    <t>品牌</t>
  </si>
  <si>
    <t>批号</t>
  </si>
  <si>
    <t>受试化合物</t>
  </si>
  <si>
    <t>溶解度测定</t>
    <phoneticPr fontId="20" type="noConversion"/>
  </si>
  <si>
    <r>
      <rPr>
        <b/>
        <sz val="12"/>
        <rFont val="宋体"/>
        <family val="3"/>
        <charset val="134"/>
      </rPr>
      <t>货号</t>
    </r>
    <phoneticPr fontId="20" type="noConversion"/>
  </si>
  <si>
    <r>
      <rPr>
        <b/>
        <sz val="12"/>
        <rFont val="宋体"/>
        <family val="3"/>
        <charset val="134"/>
      </rPr>
      <t>受试化合物</t>
    </r>
    <phoneticPr fontId="20" type="noConversion"/>
  </si>
  <si>
    <t>PH</t>
    <phoneticPr fontId="20" type="noConversion"/>
  </si>
  <si>
    <t>汇总</t>
    <phoneticPr fontId="20" type="noConversion"/>
  </si>
  <si>
    <t>Binary Gradient</t>
    <phoneticPr fontId="20" type="noConversion"/>
  </si>
  <si>
    <t>Instrument</t>
  </si>
  <si>
    <t>Time / min</t>
    <phoneticPr fontId="20" type="noConversion"/>
  </si>
  <si>
    <t>Flow</t>
    <phoneticPr fontId="20" type="noConversion"/>
  </si>
  <si>
    <t>Phase A</t>
  </si>
  <si>
    <t>Phase B</t>
  </si>
  <si>
    <t>Column</t>
  </si>
  <si>
    <t>stop</t>
    <phoneticPr fontId="20" type="noConversion"/>
  </si>
  <si>
    <t>MS Condition</t>
    <phoneticPr fontId="20" type="noConversion"/>
  </si>
  <si>
    <t>Compounds</t>
  </si>
  <si>
    <t>DP</t>
  </si>
  <si>
    <t>CE</t>
  </si>
  <si>
    <t>CXP</t>
  </si>
  <si>
    <t>Sample Name</t>
    <phoneticPr fontId="20" type="noConversion"/>
  </si>
  <si>
    <t>Response</t>
  </si>
  <si>
    <t>ISTD 
Response</t>
  </si>
  <si>
    <t>Response
 Ratio</t>
    <phoneticPr fontId="20" type="noConversion"/>
  </si>
  <si>
    <t>Dil Factor</t>
  </si>
  <si>
    <t>Use as Internal Standard</t>
  </si>
  <si>
    <t>Fit</t>
  </si>
  <si>
    <t>Linear</t>
  </si>
  <si>
    <t>Weighting</t>
  </si>
  <si>
    <t>1  / (x * x)</t>
  </si>
  <si>
    <t>Iterate</t>
  </si>
  <si>
    <t>No</t>
  </si>
  <si>
    <t>Intercept</t>
  </si>
  <si>
    <t>Slope</t>
  </si>
  <si>
    <t>Correlation coefficient</t>
  </si>
  <si>
    <t>Use Area</t>
  </si>
  <si>
    <t>Sample Name</t>
  </si>
  <si>
    <t>Sample Type</t>
  </si>
  <si>
    <t>Dilution Factor</t>
  </si>
  <si>
    <t>Analyte Peak Area (counts)</t>
  </si>
  <si>
    <t>IS Peak Area (counts)</t>
  </si>
  <si>
    <t>Area Ratio</t>
  </si>
  <si>
    <t>Use Record</t>
  </si>
  <si>
    <t>Record Modified</t>
  </si>
  <si>
    <t>Vial Position</t>
  </si>
  <si>
    <t>Acquisition Date</t>
  </si>
  <si>
    <t>Wash</t>
  </si>
  <si>
    <t>Unknown</t>
  </si>
  <si>
    <t>N/A</t>
  </si>
  <si>
    <t>Standard</t>
  </si>
  <si>
    <t>LC-MS</t>
    <phoneticPr fontId="20" type="noConversion"/>
  </si>
  <si>
    <r>
      <rPr>
        <b/>
        <sz val="21"/>
        <rFont val="Times New Roman"/>
        <family val="1"/>
      </rPr>
      <t xml:space="preserve">3D BioOptima  </t>
    </r>
    <r>
      <rPr>
        <b/>
        <sz val="18"/>
        <rFont val="Times New Roman"/>
        <family val="1"/>
      </rPr>
      <t xml:space="preserve">                                              </t>
    </r>
    <r>
      <rPr>
        <sz val="12"/>
        <rFont val="Times New Roman"/>
        <family val="1"/>
      </rPr>
      <t xml:space="preserve">                                                                             </t>
    </r>
    <r>
      <rPr>
        <i/>
        <sz val="11"/>
        <rFont val="Times New Roman"/>
        <family val="1"/>
      </rPr>
      <t xml:space="preserve"> </t>
    </r>
    <r>
      <rPr>
        <i/>
        <sz val="12"/>
        <rFont val="Times New Roman"/>
        <family val="1"/>
      </rPr>
      <t>Quality That Matters</t>
    </r>
  </si>
  <si>
    <t>Specified Conc
(ng/mL)</t>
  </si>
  <si>
    <t>Conc.
(ng/mL)</t>
  </si>
  <si>
    <t>Mean Conc.
(ng/mL)</t>
  </si>
  <si>
    <r>
      <rPr>
        <b/>
        <sz val="12"/>
        <rFont val="宋体"/>
        <family val="3"/>
        <charset val="134"/>
      </rPr>
      <t>计算浓度</t>
    </r>
    <r>
      <rPr>
        <b/>
        <sz val="12"/>
        <rFont val="Times New Roman"/>
        <family val="1"/>
      </rPr>
      <t xml:space="preserve"> (ng/mL)</t>
    </r>
  </si>
  <si>
    <r>
      <rPr>
        <b/>
        <sz val="12"/>
        <rFont val="宋体"/>
        <family val="3"/>
        <charset val="134"/>
      </rPr>
      <t>溶解度</t>
    </r>
    <r>
      <rPr>
        <b/>
        <sz val="12"/>
        <rFont val="Times New Roman"/>
        <family val="1"/>
      </rPr>
      <t xml:space="preserve"> (μg/mL)</t>
    </r>
    <phoneticPr fontId="20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</si>
  <si>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(μg/mL)</t>
    </r>
    <phoneticPr fontId="20" type="noConversion"/>
  </si>
  <si>
    <r>
      <t xml:space="preserve"> 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 - 0.1% Formic Acid</t>
    </r>
    <phoneticPr fontId="20" type="noConversion"/>
  </si>
  <si>
    <t>ACN - 0.1% Formic Acid</t>
    <phoneticPr fontId="20" type="noConversion"/>
  </si>
  <si>
    <r>
      <rPr>
        <sz val="12"/>
        <rFont val="宋体"/>
        <family val="3"/>
        <charset val="134"/>
      </rPr>
      <t>湖北生物医药产业技术研究院有限公司
武汉市东湖高新区高新大道</t>
    </r>
    <r>
      <rPr>
        <sz val="12"/>
        <rFont val="Times New Roman"/>
        <family val="1"/>
      </rPr>
      <t>666</t>
    </r>
    <r>
      <rPr>
        <sz val="12"/>
        <rFont val="宋体"/>
        <family val="3"/>
        <charset val="134"/>
      </rPr>
      <t>号</t>
    </r>
    <r>
      <rPr>
        <sz val="12"/>
        <rFont val="Times New Roman"/>
        <family val="1"/>
      </rPr>
      <t>C7</t>
    </r>
    <r>
      <rPr>
        <sz val="12"/>
        <rFont val="宋体"/>
        <family val="3"/>
        <charset val="134"/>
      </rPr>
      <t>栋</t>
    </r>
    <r>
      <rPr>
        <sz val="12"/>
        <rFont val="Times New Roman"/>
        <family val="1"/>
      </rPr>
      <t>217</t>
    </r>
    <r>
      <rPr>
        <sz val="12"/>
        <rFont val="宋体"/>
        <family val="3"/>
        <charset val="134"/>
      </rPr>
      <t>室</t>
    </r>
    <phoneticPr fontId="20" type="noConversion"/>
  </si>
  <si>
    <t>湖北生物医药产业技术研究院有限公司</t>
    <phoneticPr fontId="20" type="noConversion"/>
  </si>
  <si>
    <t>杨德孝</t>
    <phoneticPr fontId="20" type="noConversion"/>
  </si>
  <si>
    <t>% RE</t>
    <phoneticPr fontId="20" type="noConversion"/>
  </si>
  <si>
    <t>FaSSGF (PH=1.6)</t>
  </si>
  <si>
    <t>FaSSGF (PH=1.6)</t>
    <phoneticPr fontId="20" type="noConversion"/>
  </si>
  <si>
    <t>程翠</t>
    <phoneticPr fontId="46" type="noConversion"/>
  </si>
  <si>
    <t>PBS (PH=7.4)</t>
  </si>
  <si>
    <t>PBS (PH=7.4)</t>
    <phoneticPr fontId="20" type="noConversion"/>
  </si>
  <si>
    <t>0.5 mL/min</t>
    <phoneticPr fontId="20" type="noConversion"/>
  </si>
  <si>
    <t>韩晓逸和蔡鑫鑫</t>
    <phoneticPr fontId="20" type="noConversion"/>
  </si>
  <si>
    <t>Analyte Concentration (ng/mL)</t>
  </si>
  <si>
    <t>Calculated Concentration (ng/mL)</t>
  </si>
  <si>
    <t>卜乐亮</t>
    <phoneticPr fontId="46" type="noConversion"/>
  </si>
  <si>
    <t>Error</t>
  </si>
  <si>
    <t>Can't calculate regression because the system of equations is degenerate.</t>
  </si>
  <si>
    <t>Q1/Q3</t>
    <phoneticPr fontId="20" type="noConversion"/>
  </si>
  <si>
    <t>455.20/165.10</t>
    <phoneticPr fontId="20" type="noConversion"/>
  </si>
  <si>
    <t>IS (verapamil)</t>
    <phoneticPr fontId="20" type="noConversion"/>
  </si>
  <si>
    <t>Q1/Q3 Masses: 455.20/165.10 Da</t>
  </si>
  <si>
    <t>HW356009-P1</t>
    <phoneticPr fontId="20" type="noConversion"/>
  </si>
  <si>
    <t>HW356009-P1</t>
    <phoneticPr fontId="46" type="noConversion"/>
  </si>
  <si>
    <r>
      <t>HW356009-P1</t>
    </r>
    <r>
      <rPr>
        <sz val="12"/>
        <rFont val="宋体"/>
        <family val="3"/>
        <charset val="134"/>
      </rPr>
      <t>在</t>
    </r>
    <r>
      <rPr>
        <sz val="12"/>
        <rFont val="Times New Roman"/>
        <family val="1"/>
      </rPr>
      <t>PBS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pH 7.4</t>
    </r>
    <r>
      <rPr>
        <sz val="12"/>
        <rFont val="宋体"/>
        <family val="3"/>
        <charset val="134"/>
      </rPr>
      <t>）、</t>
    </r>
    <r>
      <rPr>
        <sz val="12"/>
        <rFont val="Times New Roman"/>
        <family val="1"/>
      </rPr>
      <t>FaSSGF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pH 1.6</t>
    </r>
    <r>
      <rPr>
        <sz val="12"/>
        <rFont val="宋体"/>
        <family val="3"/>
        <charset val="134"/>
      </rPr>
      <t>）和</t>
    </r>
    <r>
      <rPr>
        <sz val="12"/>
        <rFont val="Times New Roman"/>
        <family val="1"/>
      </rPr>
      <t>FaSSIF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pH 6.5</t>
    </r>
    <r>
      <rPr>
        <sz val="12"/>
        <rFont val="宋体"/>
        <family val="3"/>
        <charset val="134"/>
      </rPr>
      <t>）中的热力学溶解度测定</t>
    </r>
    <phoneticPr fontId="20" type="noConversion"/>
  </si>
  <si>
    <t>3D_SN322438</t>
    <phoneticPr fontId="20" type="noConversion"/>
  </si>
  <si>
    <t>3D_PN322880</t>
    <phoneticPr fontId="20" type="noConversion"/>
  </si>
  <si>
    <r>
      <t xml:space="preserve">2025 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>09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>05</t>
    </r>
    <r>
      <rPr>
        <sz val="12"/>
        <rFont val="宋体"/>
        <family val="3"/>
        <charset val="134"/>
      </rPr>
      <t>日</t>
    </r>
    <phoneticPr fontId="20" type="noConversion"/>
  </si>
  <si>
    <t>Peak Name: GLBN</t>
  </si>
  <si>
    <t>Q1/Q3 Masses: 494.20/169.10 Da</t>
  </si>
  <si>
    <t>Peak Name: VERA</t>
  </si>
  <si>
    <t>Peak Name: HW356009-P1-Ver</t>
  </si>
  <si>
    <t>Internal Standard: VERA</t>
  </si>
  <si>
    <t>Q1/Q3 Masses: 604.30/411.10 Da</t>
  </si>
  <si>
    <t>Peak Name: HW356009-P1-Gli</t>
  </si>
  <si>
    <t>Internal Standard: GLBN</t>
  </si>
  <si>
    <t>Plate Position</t>
  </si>
  <si>
    <t>9/5/2025 4:29:18 AM</t>
  </si>
  <si>
    <t>9/5/2025 4:32:43 AM</t>
  </si>
  <si>
    <t>HW356009-P1_Solubility_10ng/mL</t>
  </si>
  <si>
    <t>9/5/2025 4:36:05 AM</t>
  </si>
  <si>
    <t>HW356009-P1_Solubility_20ng/mL</t>
  </si>
  <si>
    <t>9/5/2025 4:39:27 AM</t>
  </si>
  <si>
    <t>HW356009-P1_Solubility_50ng/mL</t>
  </si>
  <si>
    <t>9/5/2025 4:42:50 AM</t>
  </si>
  <si>
    <t>HW356009-P1_Solubility_100ng/mL</t>
  </si>
  <si>
    <t>9/5/2025 4:46:13 AM</t>
  </si>
  <si>
    <t>HW356009-P1_Solubility_200ng/mL</t>
  </si>
  <si>
    <t>9/5/2025 4:49:33 AM</t>
  </si>
  <si>
    <t>HW356009-P1_Solubility_500ng/mL</t>
  </si>
  <si>
    <t>9/5/2025 4:52:57 AM</t>
  </si>
  <si>
    <t>HW356009-P1_Solubility_1000ng/mL</t>
  </si>
  <si>
    <t>9/5/2025 4:56:19 AM</t>
  </si>
  <si>
    <t>HW356009-P1_Solubility_2000ng/mL</t>
  </si>
  <si>
    <t>9/5/2025 4:59:39 AM</t>
  </si>
  <si>
    <t>9/5/2025 5:03:03 AM</t>
  </si>
  <si>
    <t>9/5/2025 5:06:25 AM</t>
  </si>
  <si>
    <t>HW356009-P1_PBS_2mg/mL_DL50-1</t>
  </si>
  <si>
    <t>9/5/2025 5:09:47 AM</t>
  </si>
  <si>
    <t>HW356009-P1_PBS_2mg/mL_DL50-2</t>
  </si>
  <si>
    <t>9/5/2025 5:13:11 AM</t>
  </si>
  <si>
    <t>9/5/2025 5:16:34 AM</t>
  </si>
  <si>
    <t>9/5/2025 5:19:56 AM</t>
  </si>
  <si>
    <t>HW356009-P1_FaSSIF_2mg/mL_DL50-1</t>
  </si>
  <si>
    <t>9/5/2025 5:23:19 AM</t>
  </si>
  <si>
    <t>HW356009-P1_FaSSIF_2mg/mL_DL50-2</t>
  </si>
  <si>
    <t>9/5/2025 5:26:42 AM</t>
  </si>
  <si>
    <t>9/5/2025 5:30:03 AM</t>
  </si>
  <si>
    <t>9/5/2025 5:33:28 AM</t>
  </si>
  <si>
    <t>HW356009-P1_FaSSGF_2mg/mL_DL50-1</t>
  </si>
  <si>
    <t>9/5/2025 5:36:50 AM</t>
  </si>
  <si>
    <t>HW356009-P1_FaSSGF_2mg/mL_DL50-2</t>
  </si>
  <si>
    <t>9/5/2025 5:40:14 AM</t>
  </si>
  <si>
    <t>FaSSIF (PH=6.5)</t>
    <phoneticPr fontId="20" type="noConversion"/>
  </si>
  <si>
    <t>HWH817-YBC-035-4-54-2</t>
    <phoneticPr fontId="20" type="noConversion"/>
  </si>
  <si>
    <t>LC Condition</t>
    <phoneticPr fontId="20" type="noConversion"/>
  </si>
  <si>
    <t>LC-MS Conditions</t>
    <phoneticPr fontId="20" type="noConversion"/>
  </si>
  <si>
    <t>Q1/Q3 Masses: 604.30/411.10 Da</t>
    <phoneticPr fontId="20" type="noConversion"/>
  </si>
  <si>
    <t>604.30/411.10</t>
    <phoneticPr fontId="20" type="noConversion"/>
  </si>
  <si>
    <r>
      <t xml:space="preserve">2025 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>09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>03</t>
    </r>
    <r>
      <rPr>
        <sz val="12"/>
        <rFont val="宋体"/>
        <family val="3"/>
        <charset val="134"/>
      </rPr>
      <t>日</t>
    </r>
    <phoneticPr fontId="20" type="noConversion"/>
  </si>
  <si>
    <t>QTrap5500: LC-MS-MS-011</t>
    <phoneticPr fontId="20" type="noConversion"/>
  </si>
  <si>
    <t>Agilent ZORBAX XDB-C18 (5 µm, 50 × 2.1 mm)(50-482)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</si>
</sst>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.0_ "/>
    <numFmt numFmtId="177" formatCode="0.00_);[Red]\(0.00\)"/>
    <numFmt numFmtId="178" formatCode="0.0_);[Red]\(0.0\)"/>
    <numFmt numFmtId="179" formatCode="0.00_ "/>
    <numFmt numFmtId="180" formatCode="0_ "/>
    <numFmt numFmtId="181" formatCode="0.0"/>
    <numFmt numFmtId="182" formatCode="[$-2009]mmmm\ dd\,\ yyyy;@"/>
    <numFmt numFmtId="183" formatCode="0.000"/>
    <numFmt numFmtId="184" formatCode="0.0000"/>
  </numFmts>
  <fonts count="56" x14ac:knownFonts="1">
    <font>
      <sz val="12"/>
      <name val="宋体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2"/>
      <color rgb="FFFF0000"/>
      <name val="Times New Roman"/>
      <family val="1"/>
    </font>
    <font>
      <b/>
      <sz val="18"/>
      <name val="Times New Roman"/>
      <family val="1"/>
    </font>
    <font>
      <i/>
      <sz val="11"/>
      <name val="Times New Roman"/>
      <family val="1"/>
    </font>
    <font>
      <sz val="9"/>
      <name val="宋体"/>
      <family val="3"/>
      <charset val="134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宋体"/>
      <family val="3"/>
      <charset val="134"/>
    </font>
    <font>
      <b/>
      <sz val="21"/>
      <name val="Times New Roman"/>
      <family val="1"/>
    </font>
    <font>
      <i/>
      <sz val="12"/>
      <name val="Times New Roman"/>
      <family val="1"/>
    </font>
    <font>
      <vertAlign val="subscript"/>
      <sz val="12"/>
      <name val="Times New Roman"/>
      <family val="1"/>
    </font>
    <font>
      <sz val="11"/>
      <color theme="1"/>
      <name val="宋体"/>
      <family val="3"/>
      <charset val="134"/>
    </font>
    <font>
      <sz val="10.5"/>
      <name val="Times New Roman"/>
      <family val="1"/>
    </font>
    <font>
      <sz val="10.5"/>
      <color rgb="FF000000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9">
    <xf numFmtId="0" fontId="0" fillId="0" borderId="0">
      <alignment vertical="center"/>
    </xf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5" borderId="0" applyNumberFormat="0" applyBorder="0" applyAlignment="0" applyProtection="0"/>
    <xf numFmtId="0" fontId="24" fillId="14" borderId="0" applyNumberFormat="0" applyBorder="0" applyAlignment="0" applyProtection="0"/>
    <xf numFmtId="0" fontId="24" fillId="1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7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33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1" applyNumberFormat="0" applyAlignment="0" applyProtection="0"/>
    <xf numFmtId="0" fontId="28" fillId="35" borderId="2" applyNumberFormat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0" borderId="3" applyNumberFormat="0" applyFill="0" applyAlignment="0" applyProtection="0"/>
    <xf numFmtId="0" fontId="32" fillId="0" borderId="4" applyNumberFormat="0" applyFill="0" applyAlignment="0" applyProtection="0"/>
    <xf numFmtId="0" fontId="33" fillId="0" borderId="5" applyNumberFormat="0" applyFill="0" applyAlignment="0" applyProtection="0"/>
    <xf numFmtId="0" fontId="33" fillId="0" borderId="0" applyNumberFormat="0" applyFill="0" applyBorder="0" applyAlignment="0" applyProtection="0"/>
    <xf numFmtId="0" fontId="34" fillId="7" borderId="1" applyNumberFormat="0" applyAlignment="0" applyProtection="0"/>
    <xf numFmtId="0" fontId="35" fillId="0" borderId="6" applyNumberFormat="0" applyFill="0" applyAlignment="0" applyProtection="0"/>
    <xf numFmtId="0" fontId="36" fillId="36" borderId="0" applyNumberFormat="0" applyBorder="0" applyAlignment="0" applyProtection="0"/>
    <xf numFmtId="0" fontId="37" fillId="0" borderId="0">
      <alignment vertical="top"/>
    </xf>
    <xf numFmtId="0" fontId="22" fillId="37" borderId="7" applyNumberFormat="0" applyFont="0" applyAlignment="0" applyProtection="0"/>
    <xf numFmtId="0" fontId="38" fillId="34" borderId="8" applyNumberFormat="0" applyAlignment="0" applyProtection="0"/>
    <xf numFmtId="0" fontId="23" fillId="0" borderId="0">
      <alignment vertical="top"/>
    </xf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9" fontId="3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7" fillId="0" borderId="0"/>
    <xf numFmtId="0" fontId="42" fillId="0" borderId="0"/>
    <xf numFmtId="0" fontId="23" fillId="0" borderId="0">
      <alignment vertical="top"/>
    </xf>
    <xf numFmtId="0" fontId="23" fillId="0" borderId="0">
      <alignment vertical="top"/>
    </xf>
    <xf numFmtId="0" fontId="19" fillId="10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5" fillId="38" borderId="1" applyNumberFormat="0" applyAlignment="0" applyProtection="0">
      <alignment vertical="center"/>
    </xf>
    <xf numFmtId="0" fontId="14" fillId="39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6" fillId="38" borderId="8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21" fillId="45" borderId="7" applyNumberFormat="0" applyFont="0" applyAlignment="0" applyProtection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1" fillId="0" borderId="0">
      <alignment vertical="center"/>
    </xf>
    <xf numFmtId="0" fontId="21" fillId="37" borderId="7" applyNumberFormat="0" applyFont="0" applyAlignment="0" applyProtection="0"/>
    <xf numFmtId="182" fontId="23" fillId="0" borderId="0"/>
    <xf numFmtId="0" fontId="21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37" fillId="0" borderId="0"/>
  </cellStyleXfs>
  <cellXfs count="168">
    <xf numFmtId="0" fontId="0" fillId="0" borderId="0" xfId="0">
      <alignment vertical="center"/>
    </xf>
    <xf numFmtId="180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43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6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wrapText="1"/>
    </xf>
    <xf numFmtId="178" fontId="1" fillId="0" borderId="0" xfId="0" applyNumberFormat="1" applyFont="1" applyAlignment="1">
      <alignment wrapText="1"/>
    </xf>
    <xf numFmtId="177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47" fillId="0" borderId="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wrapText="1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95" applyFont="1">
      <alignment vertical="center"/>
    </xf>
    <xf numFmtId="0" fontId="1" fillId="0" borderId="0" xfId="95" applyFont="1" applyAlignment="1">
      <alignment vertical="center"/>
    </xf>
    <xf numFmtId="0" fontId="2" fillId="0" borderId="0" xfId="95" applyFont="1" applyFill="1" applyBorder="1" applyAlignment="1">
      <alignment horizontal="center" vertical="center"/>
    </xf>
    <xf numFmtId="0" fontId="48" fillId="0" borderId="0" xfId="95" applyFont="1" applyFill="1" applyAlignment="1">
      <alignment vertical="center"/>
    </xf>
    <xf numFmtId="0" fontId="48" fillId="0" borderId="0" xfId="95" applyFont="1" applyAlignment="1">
      <alignment vertical="center"/>
    </xf>
    <xf numFmtId="0" fontId="1" fillId="0" borderId="0" xfId="95" applyFont="1" applyAlignment="1">
      <alignment horizontal="left" vertical="center"/>
    </xf>
    <xf numFmtId="0" fontId="1" fillId="0" borderId="0" xfId="95" applyFont="1" applyBorder="1" applyAlignment="1">
      <alignment horizontal="center" vertical="center" wrapText="1"/>
    </xf>
    <xf numFmtId="0" fontId="1" fillId="0" borderId="0" xfId="95" applyFont="1" applyAlignment="1">
      <alignment wrapText="1"/>
    </xf>
    <xf numFmtId="177" fontId="1" fillId="0" borderId="0" xfId="55" applyNumberFormat="1" applyFont="1" applyFill="1" applyAlignment="1">
      <alignment horizontal="left" vertical="center"/>
    </xf>
    <xf numFmtId="0" fontId="1" fillId="0" borderId="0" xfId="95" applyFont="1" applyBorder="1" applyAlignment="1">
      <alignment horizontal="left" vertical="center"/>
    </xf>
    <xf numFmtId="0" fontId="2" fillId="0" borderId="12" xfId="95" applyFont="1" applyFill="1" applyBorder="1" applyAlignment="1">
      <alignment horizontal="center" vertical="center"/>
    </xf>
    <xf numFmtId="0" fontId="1" fillId="0" borderId="0" xfId="95" applyFont="1" applyFill="1" applyAlignment="1">
      <alignment horizontal="left" vertical="center"/>
    </xf>
    <xf numFmtId="0" fontId="1" fillId="0" borderId="0" xfId="95" applyFont="1" applyFill="1" applyAlignment="1">
      <alignment vertical="center"/>
    </xf>
    <xf numFmtId="0" fontId="2" fillId="0" borderId="0" xfId="95" applyFont="1" applyAlignment="1">
      <alignment horizontal="center" vertical="center"/>
    </xf>
    <xf numFmtId="0" fontId="1" fillId="0" borderId="0" xfId="95" applyFont="1" applyFill="1" applyAlignment="1">
      <alignment wrapText="1"/>
    </xf>
    <xf numFmtId="0" fontId="1" fillId="0" borderId="0" xfId="95" applyFont="1" applyAlignment="1">
      <alignment horizontal="center" vertical="center"/>
    </xf>
    <xf numFmtId="0" fontId="1" fillId="0" borderId="0" xfId="95" applyFont="1" applyBorder="1" applyAlignment="1">
      <alignment horizontal="center" vertical="center"/>
    </xf>
    <xf numFmtId="176" fontId="1" fillId="0" borderId="0" xfId="95" applyNumberFormat="1" applyFont="1" applyAlignment="1">
      <alignment wrapText="1"/>
    </xf>
    <xf numFmtId="178" fontId="1" fillId="0" borderId="0" xfId="95" applyNumberFormat="1" applyFont="1" applyAlignment="1">
      <alignment wrapText="1"/>
    </xf>
    <xf numFmtId="0" fontId="2" fillId="0" borderId="0" xfId="95" applyFont="1" applyFill="1" applyBorder="1" applyAlignment="1">
      <alignment vertical="center"/>
    </xf>
    <xf numFmtId="0" fontId="1" fillId="0" borderId="12" xfId="95" applyFont="1" applyFill="1" applyBorder="1" applyAlignment="1">
      <alignment horizontal="center" vertical="center"/>
    </xf>
    <xf numFmtId="0" fontId="1" fillId="0" borderId="0" xfId="97" applyFont="1" applyFill="1" applyBorder="1" applyAlignment="1">
      <alignment horizontal="center" vertical="center"/>
    </xf>
    <xf numFmtId="176" fontId="1" fillId="0" borderId="0" xfId="97" applyNumberFormat="1" applyFont="1" applyFill="1" applyBorder="1" applyAlignment="1">
      <alignment horizontal="center" vertical="center"/>
    </xf>
    <xf numFmtId="180" fontId="1" fillId="0" borderId="0" xfId="97" applyNumberFormat="1" applyFont="1" applyFill="1" applyBorder="1" applyAlignment="1">
      <alignment horizontal="center" vertical="center"/>
    </xf>
    <xf numFmtId="0" fontId="2" fillId="0" borderId="11" xfId="95" applyFont="1" applyFill="1" applyBorder="1" applyAlignment="1">
      <alignment horizontal="center" vertical="center" wrapText="1"/>
    </xf>
    <xf numFmtId="0" fontId="2" fillId="0" borderId="11" xfId="70" applyNumberFormat="1" applyFont="1" applyFill="1" applyBorder="1" applyAlignment="1">
      <alignment horizontal="center" vertical="center" wrapText="1"/>
    </xf>
    <xf numFmtId="0" fontId="2" fillId="0" borderId="11" xfId="70" applyFont="1" applyFill="1" applyBorder="1" applyAlignment="1">
      <alignment horizontal="center" vertical="center"/>
    </xf>
    <xf numFmtId="0" fontId="2" fillId="0" borderId="11" xfId="70" applyFont="1" applyFill="1" applyBorder="1" applyAlignment="1">
      <alignment horizontal="center" vertical="center" wrapText="1"/>
    </xf>
    <xf numFmtId="0" fontId="2" fillId="0" borderId="11" xfId="90" applyFont="1" applyFill="1" applyBorder="1" applyAlignment="1">
      <alignment horizontal="center" vertical="center" wrapText="1"/>
    </xf>
    <xf numFmtId="0" fontId="1" fillId="0" borderId="0" xfId="95" applyFont="1" applyBorder="1" applyAlignment="1">
      <alignment horizontal="center"/>
    </xf>
    <xf numFmtId="0" fontId="1" fillId="0" borderId="0" xfId="70" applyNumberFormat="1" applyFont="1" applyFill="1" applyBorder="1" applyAlignment="1">
      <alignment horizontal="center" vertical="center"/>
    </xf>
    <xf numFmtId="11" fontId="1" fillId="0" borderId="0" xfId="70" applyNumberFormat="1" applyFont="1" applyFill="1" applyBorder="1" applyAlignment="1">
      <alignment horizontal="center" vertical="center"/>
    </xf>
    <xf numFmtId="181" fontId="1" fillId="0" borderId="0" xfId="95" applyNumberFormat="1" applyFont="1" applyFill="1" applyBorder="1" applyAlignment="1">
      <alignment horizontal="center" vertical="center"/>
    </xf>
    <xf numFmtId="183" fontId="1" fillId="0" borderId="0" xfId="95" applyNumberFormat="1" applyFont="1" applyFill="1" applyBorder="1" applyAlignment="1">
      <alignment horizontal="center" vertical="center"/>
    </xf>
    <xf numFmtId="1" fontId="1" fillId="0" borderId="0" xfId="95" applyNumberFormat="1" applyFont="1" applyFill="1" applyBorder="1" applyAlignment="1">
      <alignment horizontal="center" vertical="center"/>
    </xf>
    <xf numFmtId="0" fontId="1" fillId="0" borderId="10" xfId="95" applyFont="1" applyBorder="1" applyAlignment="1">
      <alignment horizontal="center"/>
    </xf>
    <xf numFmtId="0" fontId="1" fillId="0" borderId="10" xfId="70" applyNumberFormat="1" applyFont="1" applyFill="1" applyBorder="1" applyAlignment="1">
      <alignment horizontal="center" vertical="center"/>
    </xf>
    <xf numFmtId="11" fontId="1" fillId="0" borderId="10" xfId="70" applyNumberFormat="1" applyFont="1" applyFill="1" applyBorder="1" applyAlignment="1">
      <alignment horizontal="center" vertical="center"/>
    </xf>
    <xf numFmtId="181" fontId="1" fillId="0" borderId="10" xfId="95" applyNumberFormat="1" applyFont="1" applyFill="1" applyBorder="1" applyAlignment="1">
      <alignment horizontal="center" vertical="center"/>
    </xf>
    <xf numFmtId="0" fontId="1" fillId="0" borderId="0" xfId="95" applyFont="1">
      <alignment vertical="center"/>
    </xf>
    <xf numFmtId="0" fontId="2" fillId="0" borderId="11" xfId="70" applyNumberFormat="1" applyFont="1" applyFill="1" applyBorder="1" applyAlignment="1">
      <alignment horizontal="center" vertical="center"/>
    </xf>
    <xf numFmtId="0" fontId="1" fillId="47" borderId="0" xfId="95" applyFont="1" applyFill="1">
      <alignment vertical="center"/>
    </xf>
    <xf numFmtId="0" fontId="1" fillId="0" borderId="0" xfId="95" applyFont="1" applyFill="1">
      <alignment vertical="center"/>
    </xf>
    <xf numFmtId="1" fontId="1" fillId="0" borderId="10" xfId="0" applyNumberFormat="1" applyFont="1" applyFill="1" applyBorder="1" applyAlignment="1">
      <alignment horizontal="center" vertical="center"/>
    </xf>
    <xf numFmtId="0" fontId="1" fillId="46" borderId="0" xfId="0" applyFont="1" applyFill="1">
      <alignment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46" borderId="0" xfId="0" applyFont="1" applyFill="1">
      <alignment vertical="center"/>
    </xf>
    <xf numFmtId="0" fontId="1" fillId="46" borderId="0" xfId="95" applyFont="1" applyFill="1">
      <alignment vertical="center"/>
    </xf>
    <xf numFmtId="1" fontId="1" fillId="0" borderId="0" xfId="95" applyNumberFormat="1" applyFont="1">
      <alignment vertical="center"/>
    </xf>
    <xf numFmtId="1" fontId="1" fillId="0" borderId="0" xfId="95" applyNumberFormat="1" applyFont="1" applyFill="1">
      <alignment vertical="center"/>
    </xf>
    <xf numFmtId="1" fontId="1" fillId="47" borderId="0" xfId="95" applyNumberFormat="1" applyFont="1" applyFill="1">
      <alignment vertical="center"/>
    </xf>
    <xf numFmtId="0" fontId="2" fillId="0" borderId="0" xfId="0" applyFont="1" applyBorder="1" applyAlignment="1"/>
    <xf numFmtId="0" fontId="2" fillId="46" borderId="0" xfId="95" applyFont="1" applyFill="1">
      <alignment vertical="center"/>
    </xf>
    <xf numFmtId="0" fontId="1" fillId="0" borderId="10" xfId="97" applyFont="1" applyFill="1" applyBorder="1" applyAlignment="1">
      <alignment horizontal="center" vertical="center"/>
    </xf>
    <xf numFmtId="177" fontId="2" fillId="0" borderId="0" xfId="96" applyNumberFormat="1" applyFont="1" applyFill="1" applyAlignment="1">
      <alignment horizontal="left" vertical="center" wrapText="1"/>
    </xf>
    <xf numFmtId="0" fontId="2" fillId="0" borderId="0" xfId="95" applyFont="1" applyFill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 wrapText="1"/>
    </xf>
    <xf numFmtId="0" fontId="2" fillId="46" borderId="0" xfId="0" applyFont="1" applyFill="1" applyBorder="1" applyAlignment="1">
      <alignment horizontal="left" vertical="center"/>
    </xf>
    <xf numFmtId="0" fontId="1" fillId="46" borderId="0" xfId="0" applyFont="1" applyFill="1" applyBorder="1" applyAlignment="1">
      <alignment horizontal="center" vertical="center"/>
    </xf>
    <xf numFmtId="1" fontId="1" fillId="46" borderId="0" xfId="0" applyNumberFormat="1" applyFont="1" applyFill="1" applyAlignment="1">
      <alignment horizontal="center" vertical="center"/>
    </xf>
    <xf numFmtId="0" fontId="1" fillId="48" borderId="0" xfId="92" applyFont="1" applyFill="1" applyAlignment="1">
      <alignment wrapText="1"/>
    </xf>
    <xf numFmtId="0" fontId="47" fillId="48" borderId="0" xfId="71" applyFont="1" applyFill="1" applyAlignment="1">
      <alignment vertical="center"/>
    </xf>
    <xf numFmtId="0" fontId="2" fillId="48" borderId="0" xfId="71" applyFont="1" applyFill="1" applyBorder="1" applyAlignment="1">
      <alignment vertical="center"/>
    </xf>
    <xf numFmtId="0" fontId="1" fillId="48" borderId="0" xfId="71" applyFont="1" applyFill="1" applyAlignment="1">
      <alignment vertical="center"/>
    </xf>
    <xf numFmtId="0" fontId="49" fillId="48" borderId="0" xfId="71" applyFont="1" applyFill="1" applyBorder="1" applyAlignment="1">
      <alignment horizontal="left" vertical="center"/>
    </xf>
    <xf numFmtId="0" fontId="1" fillId="48" borderId="0" xfId="71" applyFont="1" applyFill="1" applyBorder="1" applyAlignment="1">
      <alignment horizontal="left" vertical="center"/>
    </xf>
    <xf numFmtId="0" fontId="2" fillId="48" borderId="0" xfId="71" applyFont="1" applyFill="1" applyBorder="1" applyAlignment="1">
      <alignment horizontal="left" vertical="center"/>
    </xf>
    <xf numFmtId="0" fontId="2" fillId="48" borderId="0" xfId="72" applyFont="1" applyFill="1" applyAlignment="1">
      <alignment vertical="center"/>
    </xf>
    <xf numFmtId="0" fontId="1" fillId="48" borderId="0" xfId="72" applyFont="1" applyFill="1" applyAlignment="1">
      <alignment horizontal="left" vertical="center" wrapText="1"/>
    </xf>
    <xf numFmtId="0" fontId="49" fillId="48" borderId="0" xfId="72" applyFont="1" applyFill="1" applyAlignment="1">
      <alignment vertical="center"/>
    </xf>
    <xf numFmtId="0" fontId="43" fillId="0" borderId="0" xfId="0" applyFont="1" applyBorder="1" applyAlignment="1">
      <alignment vertical="center"/>
    </xf>
    <xf numFmtId="0" fontId="1" fillId="0" borderId="0" xfId="95" applyFont="1" applyFill="1" applyAlignment="1">
      <alignment horizontal="center" vertical="center"/>
    </xf>
    <xf numFmtId="0" fontId="1" fillId="0" borderId="0" xfId="95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11" fontId="1" fillId="0" borderId="0" xfId="0" applyNumberFormat="1" applyFont="1" applyFill="1" applyAlignment="1">
      <alignment horizontal="center" vertical="center"/>
    </xf>
    <xf numFmtId="179" fontId="1" fillId="0" borderId="0" xfId="95" applyNumberFormat="1" applyFont="1" applyFill="1" applyBorder="1" applyAlignment="1">
      <alignment horizontal="center" vertical="center"/>
    </xf>
    <xf numFmtId="180" fontId="1" fillId="0" borderId="0" xfId="95" applyNumberFormat="1" applyFont="1" applyFill="1" applyBorder="1" applyAlignment="1">
      <alignment horizontal="center" vertical="center"/>
    </xf>
    <xf numFmtId="179" fontId="1" fillId="0" borderId="10" xfId="95" applyNumberFormat="1" applyFont="1" applyFill="1" applyBorder="1" applyAlignment="1">
      <alignment horizontal="center" vertical="center"/>
    </xf>
    <xf numFmtId="0" fontId="1" fillId="0" borderId="10" xfId="95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83" fontId="1" fillId="0" borderId="0" xfId="95" applyNumberFormat="1" applyFont="1" applyAlignment="1">
      <alignment horizontal="left" vertical="center"/>
    </xf>
    <xf numFmtId="11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47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center" vertical="center" wrapText="1"/>
    </xf>
    <xf numFmtId="0" fontId="54" fillId="0" borderId="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2" fontId="1" fillId="0" borderId="0" xfId="95" applyNumberFormat="1" applyFont="1" applyFill="1" applyBorder="1" applyAlignment="1">
      <alignment horizontal="center" vertical="center"/>
    </xf>
    <xf numFmtId="180" fontId="1" fillId="0" borderId="10" xfId="97" applyNumberFormat="1" applyFont="1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1" fontId="1" fillId="0" borderId="0" xfId="70" applyNumberFormat="1" applyFont="1" applyFill="1" applyBorder="1" applyAlignment="1">
      <alignment horizontal="center" vertical="center"/>
    </xf>
    <xf numFmtId="1" fontId="1" fillId="0" borderId="10" xfId="7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183" fontId="1" fillId="0" borderId="10" xfId="95" applyNumberFormat="1" applyFont="1" applyFill="1" applyBorder="1" applyAlignment="1">
      <alignment horizontal="center" vertical="center"/>
    </xf>
    <xf numFmtId="184" fontId="1" fillId="0" borderId="0" xfId="95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" fontId="1" fillId="0" borderId="10" xfId="95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0" fontId="1" fillId="48" borderId="0" xfId="72" applyFont="1" applyFill="1" applyAlignment="1">
      <alignment horizontal="left" vertical="center" wrapText="1"/>
    </xf>
    <xf numFmtId="49" fontId="1" fillId="48" borderId="0" xfId="72" applyNumberFormat="1" applyFont="1" applyFill="1" applyAlignment="1">
      <alignment horizontal="left" vertical="center" wrapText="1"/>
    </xf>
    <xf numFmtId="0" fontId="21" fillId="49" borderId="0" xfId="72" applyFont="1" applyFill="1" applyAlignment="1">
      <alignment horizontal="left" vertical="center" wrapText="1"/>
    </xf>
    <xf numFmtId="0" fontId="1" fillId="49" borderId="0" xfId="72" applyFont="1" applyFill="1" applyAlignment="1">
      <alignment horizontal="left" vertical="center" wrapText="1"/>
    </xf>
    <xf numFmtId="0" fontId="21" fillId="48" borderId="0" xfId="72" applyFont="1" applyFill="1" applyAlignment="1">
      <alignment horizontal="left" vertical="center" wrapText="1"/>
    </xf>
    <xf numFmtId="0" fontId="1" fillId="48" borderId="0" xfId="92" applyFont="1" applyFill="1" applyAlignment="1">
      <alignment horizontal="center" wrapText="1"/>
    </xf>
    <xf numFmtId="0" fontId="48" fillId="48" borderId="0" xfId="71" applyFont="1" applyFill="1" applyBorder="1" applyAlignment="1">
      <alignment horizontal="center" vertical="center"/>
    </xf>
    <xf numFmtId="0" fontId="1" fillId="48" borderId="0" xfId="71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0" fontId="1" fillId="0" borderId="1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2" fillId="0" borderId="10" xfId="98" applyFont="1" applyFill="1" applyBorder="1" applyAlignment="1">
      <alignment horizontal="center" vertical="center"/>
    </xf>
    <xf numFmtId="1" fontId="1" fillId="0" borderId="14" xfId="95" applyNumberFormat="1" applyFont="1" applyFill="1" applyBorder="1" applyAlignment="1">
      <alignment horizontal="center" vertical="center"/>
    </xf>
    <xf numFmtId="1" fontId="1" fillId="0" borderId="10" xfId="95" applyNumberFormat="1" applyFont="1" applyFill="1" applyBorder="1" applyAlignment="1">
      <alignment horizontal="center" vertical="center"/>
    </xf>
    <xf numFmtId="0" fontId="2" fillId="47" borderId="10" xfId="95" applyFont="1" applyFill="1" applyBorder="1" applyAlignment="1">
      <alignment horizontal="left" vertical="center"/>
    </xf>
    <xf numFmtId="1" fontId="2" fillId="47" borderId="10" xfId="95" applyNumberFormat="1" applyFont="1" applyFill="1" applyBorder="1" applyAlignment="1">
      <alignment horizontal="left" vertical="center"/>
    </xf>
    <xf numFmtId="0" fontId="1" fillId="0" borderId="13" xfId="95" applyFont="1" applyBorder="1" applyAlignment="1">
      <alignment horizontal="left" vertical="center"/>
    </xf>
    <xf numFmtId="176" fontId="1" fillId="0" borderId="10" xfId="97" applyNumberFormat="1" applyFont="1" applyFill="1" applyBorder="1" applyAlignment="1">
      <alignment horizontal="center" vertical="center"/>
    </xf>
    <xf numFmtId="0" fontId="2" fillId="0" borderId="10" xfId="95" applyFont="1" applyFill="1" applyBorder="1" applyAlignment="1">
      <alignment horizontal="center" vertical="center"/>
    </xf>
    <xf numFmtId="0" fontId="2" fillId="0" borderId="13" xfId="95" applyFont="1" applyFill="1" applyBorder="1" applyAlignment="1">
      <alignment horizontal="center" vertical="center"/>
    </xf>
    <xf numFmtId="0" fontId="1" fillId="0" borderId="11" xfId="95" applyFont="1" applyFill="1" applyBorder="1" applyAlignment="1">
      <alignment horizontal="center" vertical="center"/>
    </xf>
    <xf numFmtId="176" fontId="1" fillId="0" borderId="14" xfId="97" applyNumberFormat="1" applyFont="1" applyFill="1" applyBorder="1" applyAlignment="1">
      <alignment horizontal="center" vertical="center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着色 1" xfId="7" builtinId="30" customBuiltin="1"/>
    <cellStyle name="20% - 着色 2" xfId="8" builtinId="34" customBuiltin="1"/>
    <cellStyle name="20% - 着色 3" xfId="9" builtinId="38" customBuiltin="1"/>
    <cellStyle name="20% - 着色 4" xfId="10" builtinId="42" customBuiltin="1"/>
    <cellStyle name="20% - 着色 5" xfId="11" builtinId="46" customBuiltin="1"/>
    <cellStyle name="20% - 着色 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着色 1" xfId="19" builtinId="31" customBuiltin="1"/>
    <cellStyle name="40% - 着色 2" xfId="20" builtinId="35" customBuiltin="1"/>
    <cellStyle name="40% - 着色 3" xfId="21" builtinId="39" customBuiltin="1"/>
    <cellStyle name="40% - 着色 4" xfId="22" builtinId="43" customBuiltin="1"/>
    <cellStyle name="40% - 着色 5" xfId="23" builtinId="47" customBuiltin="1"/>
    <cellStyle name="40% - 着色 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着色 1" xfId="31" builtinId="32" customBuiltin="1"/>
    <cellStyle name="60% - 着色 2" xfId="32" builtinId="36" customBuiltin="1"/>
    <cellStyle name="60% - 着色 3" xfId="33" builtinId="40" customBuiltin="1"/>
    <cellStyle name="60% - 着色 4" xfId="34" builtinId="44" customBuiltin="1"/>
    <cellStyle name="60% - 着色 5" xfId="35" builtinId="48" customBuiltin="1"/>
    <cellStyle name="60% - 着色 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rmal 2" xfId="55"/>
    <cellStyle name="Normal_BGB-103 (maleate)_PPB_pretest_03192013" xfId="91"/>
    <cellStyle name="Note" xfId="56"/>
    <cellStyle name="Note 2" xfId="93"/>
    <cellStyle name="Output" xfId="57"/>
    <cellStyle name="Style 1" xfId="58"/>
    <cellStyle name="Title" xfId="59"/>
    <cellStyle name="Total" xfId="60"/>
    <cellStyle name="Warning Text" xfId="61"/>
    <cellStyle name="百分比 2" xfId="62"/>
    <cellStyle name="标题" xfId="63" builtinId="15" customBuiltin="1"/>
    <cellStyle name="标题 1" xfId="64" builtinId="16" customBuiltin="1"/>
    <cellStyle name="标题 2" xfId="65" builtinId="17" customBuiltin="1"/>
    <cellStyle name="标题 3" xfId="66" builtinId="18" customBuiltin="1"/>
    <cellStyle name="标题 4" xfId="67" builtinId="19" customBuiltin="1"/>
    <cellStyle name="差" xfId="68" builtinId="27" customBuiltin="1"/>
    <cellStyle name="常规" xfId="0" builtinId="0"/>
    <cellStyle name="常规 2" xfId="69"/>
    <cellStyle name="常规 2 2" xfId="70"/>
    <cellStyle name="常规 2 3" xfId="90"/>
    <cellStyle name="常规 3" xfId="95"/>
    <cellStyle name="常规 3 2" xfId="97"/>
    <cellStyle name="常规 5 2" xfId="96"/>
    <cellStyle name="常规 6" xfId="94"/>
    <cellStyle name="常规_3D_RN016022BGB-555" xfId="92"/>
    <cellStyle name="常规_AZ_Microsome_Stability_final_report_23-Feb-2009" xfId="71"/>
    <cellStyle name="常规_BGB-0283-bioanalysis result" xfId="98"/>
    <cellStyle name="常规_ITMN_Solubility assay for 4 cpds final report_17-Feb-2009 wf" xfId="72"/>
    <cellStyle name="好" xfId="73" builtinId="26" customBuiltin="1"/>
    <cellStyle name="汇总" xfId="74" builtinId="25" customBuiltin="1"/>
    <cellStyle name="计算" xfId="75" builtinId="22" customBuiltin="1"/>
    <cellStyle name="检查单元格" xfId="76" builtinId="23" customBuiltin="1"/>
    <cellStyle name="解释性文本" xfId="77" builtinId="53" customBuiltin="1"/>
    <cellStyle name="警告文本" xfId="78" builtinId="11" customBuiltin="1"/>
    <cellStyle name="链接单元格" xfId="79" builtinId="24" customBuiltin="1"/>
    <cellStyle name="适中" xfId="86" builtinId="28" customBuiltin="1"/>
    <cellStyle name="输出" xfId="87" builtinId="21" customBuiltin="1"/>
    <cellStyle name="输入" xfId="88" builtinId="20" customBuiltin="1"/>
    <cellStyle name="着色 1" xfId="80" builtinId="29" customBuiltin="1"/>
    <cellStyle name="着色 2" xfId="81" builtinId="33" customBuiltin="1"/>
    <cellStyle name="着色 3" xfId="82" builtinId="37" customBuiltin="1"/>
    <cellStyle name="着色 4" xfId="83" builtinId="41" customBuiltin="1"/>
    <cellStyle name="着色 5" xfId="84" builtinId="45" customBuiltin="1"/>
    <cellStyle name="着色 6" xfId="85" builtinId="49" customBuiltin="1"/>
    <cellStyle name="注释" xfId="89" builtinId="10" customBuiltin="1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</xdr:colOff>
      <xdr:row>0</xdr:row>
      <xdr:rowOff>127635</xdr:rowOff>
    </xdr:from>
    <xdr:to>
      <xdr:col>2</xdr:col>
      <xdr:colOff>889635</xdr:colOff>
      <xdr:row>0</xdr:row>
      <xdr:rowOff>937260</xdr:rowOff>
    </xdr:to>
    <xdr:pic>
      <xdr:nvPicPr>
        <xdr:cNvPr id="2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75610" y="127635"/>
          <a:ext cx="74104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3</xdr:col>
      <xdr:colOff>614290</xdr:colOff>
      <xdr:row>0</xdr:row>
      <xdr:rowOff>3450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5775" y="0"/>
          <a:ext cx="4776715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3</xdr:col>
      <xdr:colOff>614290</xdr:colOff>
      <xdr:row>0</xdr:row>
      <xdr:rowOff>12975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525" y="0"/>
          <a:ext cx="4871965" cy="129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3</xdr:col>
      <xdr:colOff>614290</xdr:colOff>
      <xdr:row>0</xdr:row>
      <xdr:rowOff>3450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0" y="0"/>
          <a:ext cx="4862440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0</xdr:row>
      <xdr:rowOff>0</xdr:rowOff>
    </xdr:from>
    <xdr:to>
      <xdr:col>4</xdr:col>
      <xdr:colOff>909565</xdr:colOff>
      <xdr:row>0</xdr:row>
      <xdr:rowOff>3450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5" y="0"/>
          <a:ext cx="6167365" cy="34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4</xdr:col>
      <xdr:colOff>909565</xdr:colOff>
      <xdr:row>0</xdr:row>
      <xdr:rowOff>12975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525" y="0"/>
          <a:ext cx="6262615" cy="12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sqref="A1:G1"/>
    </sheetView>
  </sheetViews>
  <sheetFormatPr defaultColWidth="0" defaultRowHeight="15.75" x14ac:dyDescent="0.15"/>
  <cols>
    <col min="1" max="1" width="22" style="89" customWidth="1"/>
    <col min="2" max="2" width="15.125" style="89" customWidth="1"/>
    <col min="3" max="3" width="14.625" style="89" customWidth="1"/>
    <col min="4" max="7" width="9" style="89" customWidth="1"/>
    <col min="8" max="8" width="12.25" style="89" customWidth="1"/>
    <col min="9" max="16384" width="9" style="89" hidden="1"/>
  </cols>
  <sheetData>
    <row r="1" spans="1:9" s="87" customFormat="1" ht="114.75" customHeight="1" x14ac:dyDescent="0.25">
      <c r="A1" s="144" t="s">
        <v>71</v>
      </c>
      <c r="B1" s="144"/>
      <c r="C1" s="144"/>
      <c r="D1" s="144"/>
      <c r="E1" s="144"/>
      <c r="F1" s="144"/>
      <c r="G1" s="144"/>
      <c r="H1" s="86"/>
    </row>
    <row r="2" spans="1:9" ht="38.1" customHeight="1" x14ac:dyDescent="0.15">
      <c r="A2" s="145" t="s">
        <v>3</v>
      </c>
      <c r="B2" s="145"/>
      <c r="C2" s="145"/>
      <c r="D2" s="145"/>
      <c r="E2" s="145"/>
      <c r="F2" s="145"/>
      <c r="G2" s="145"/>
      <c r="H2" s="88"/>
    </row>
    <row r="3" spans="1:9" ht="48" customHeight="1" x14ac:dyDescent="0.15">
      <c r="A3" s="90" t="s">
        <v>16</v>
      </c>
      <c r="B3" s="146" t="s">
        <v>102</v>
      </c>
      <c r="C3" s="146"/>
      <c r="D3" s="146"/>
      <c r="E3" s="146"/>
      <c r="F3" s="146"/>
      <c r="G3" s="146"/>
      <c r="H3" s="146"/>
      <c r="I3" s="91"/>
    </row>
    <row r="4" spans="1:9" ht="30" customHeight="1" x14ac:dyDescent="0.15">
      <c r="A4" s="90" t="s">
        <v>15</v>
      </c>
      <c r="B4" s="91" t="s">
        <v>104</v>
      </c>
      <c r="C4" s="91"/>
      <c r="D4" s="91"/>
      <c r="E4" s="91"/>
    </row>
    <row r="5" spans="1:9" ht="30" customHeight="1" x14ac:dyDescent="0.15">
      <c r="A5" s="90" t="s">
        <v>4</v>
      </c>
      <c r="B5" s="91" t="s">
        <v>103</v>
      </c>
      <c r="C5" s="91"/>
      <c r="D5" s="91"/>
      <c r="E5" s="91"/>
    </row>
    <row r="6" spans="1:9" ht="30" customHeight="1" x14ac:dyDescent="0.15">
      <c r="A6" s="90" t="s">
        <v>5</v>
      </c>
      <c r="B6" s="143" t="s">
        <v>82</v>
      </c>
      <c r="C6" s="139"/>
      <c r="D6" s="139"/>
      <c r="E6" s="139"/>
      <c r="F6" s="139"/>
      <c r="G6" s="139"/>
    </row>
    <row r="7" spans="1:9" ht="30" customHeight="1" x14ac:dyDescent="0.15">
      <c r="A7" s="90" t="s">
        <v>6</v>
      </c>
      <c r="B7" s="139" t="s">
        <v>101</v>
      </c>
      <c r="C7" s="139"/>
      <c r="D7" s="139"/>
      <c r="E7" s="139"/>
      <c r="F7" s="139"/>
      <c r="G7" s="139"/>
      <c r="H7" s="139"/>
    </row>
    <row r="8" spans="1:9" ht="30" customHeight="1" x14ac:dyDescent="0.15">
      <c r="A8" s="92" t="s">
        <v>7</v>
      </c>
      <c r="B8" s="140" t="s">
        <v>157</v>
      </c>
      <c r="C8" s="140"/>
      <c r="D8" s="140"/>
      <c r="E8" s="140"/>
      <c r="F8" s="139"/>
      <c r="G8" s="139"/>
    </row>
    <row r="9" spans="1:9" ht="30" customHeight="1" x14ac:dyDescent="0.15">
      <c r="A9" s="92" t="s">
        <v>8</v>
      </c>
      <c r="B9" s="140" t="s">
        <v>105</v>
      </c>
      <c r="C9" s="140"/>
      <c r="D9" s="140"/>
      <c r="E9" s="140"/>
      <c r="F9" s="139"/>
      <c r="G9" s="139"/>
    </row>
    <row r="10" spans="1:9" ht="30" customHeight="1" x14ac:dyDescent="0.15">
      <c r="A10" s="92" t="s">
        <v>9</v>
      </c>
      <c r="B10" s="141" t="s">
        <v>90</v>
      </c>
      <c r="C10" s="142"/>
      <c r="D10" s="142"/>
      <c r="E10" s="142"/>
      <c r="F10" s="139"/>
      <c r="G10" s="139"/>
    </row>
    <row r="11" spans="1:9" ht="30" customHeight="1" x14ac:dyDescent="0.15">
      <c r="A11" s="92" t="s">
        <v>10</v>
      </c>
      <c r="B11" s="143" t="s">
        <v>93</v>
      </c>
      <c r="C11" s="139"/>
      <c r="D11" s="139"/>
      <c r="E11" s="139"/>
      <c r="F11" s="139"/>
      <c r="G11" s="139"/>
    </row>
    <row r="12" spans="1:9" ht="30" customHeight="1" x14ac:dyDescent="0.15">
      <c r="A12" s="92" t="s">
        <v>11</v>
      </c>
      <c r="B12" s="143" t="s">
        <v>86</v>
      </c>
      <c r="C12" s="139"/>
      <c r="D12" s="139"/>
      <c r="E12" s="139"/>
      <c r="F12" s="139"/>
      <c r="G12" s="139"/>
    </row>
    <row r="13" spans="1:9" ht="38.1" customHeight="1" x14ac:dyDescent="0.15">
      <c r="A13" s="93" t="s">
        <v>12</v>
      </c>
      <c r="B13" s="139" t="s">
        <v>13</v>
      </c>
      <c r="C13" s="139"/>
      <c r="D13" s="139"/>
      <c r="E13" s="139"/>
      <c r="F13" s="94"/>
      <c r="G13" s="94"/>
      <c r="H13" s="94"/>
    </row>
    <row r="14" spans="1:9" ht="46.9" customHeight="1" x14ac:dyDescent="0.15">
      <c r="A14" s="95" t="s">
        <v>14</v>
      </c>
      <c r="B14" s="139" t="s">
        <v>80</v>
      </c>
      <c r="C14" s="139"/>
      <c r="D14" s="139"/>
      <c r="E14" s="139"/>
      <c r="F14" s="94"/>
      <c r="G14" s="94"/>
      <c r="H14" s="94"/>
    </row>
  </sheetData>
  <mergeCells count="18">
    <mergeCell ref="B7:H7"/>
    <mergeCell ref="A1:G1"/>
    <mergeCell ref="A2:G2"/>
    <mergeCell ref="B6:E6"/>
    <mergeCell ref="F6:G6"/>
    <mergeCell ref="B3:H3"/>
    <mergeCell ref="B14:E14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</mergeCells>
  <phoneticPr fontId="46" type="noConversion"/>
  <pageMargins left="0.75" right="0.75" top="1" bottom="1" header="0.5" footer="0.5"/>
  <pageSetup paperSize="9"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V15"/>
  <sheetViews>
    <sheetView tabSelected="1" workbookViewId="0">
      <selection activeCell="E17" sqref="E17"/>
    </sheetView>
  </sheetViews>
  <sheetFormatPr defaultColWidth="9" defaultRowHeight="15.75" x14ac:dyDescent="0.25"/>
  <cols>
    <col min="1" max="1" width="3.25" style="12" customWidth="1"/>
    <col min="2" max="2" width="23.125" style="12" customWidth="1"/>
    <col min="3" max="3" width="26.5" style="12" customWidth="1"/>
    <col min="4" max="4" width="15.5" style="13" customWidth="1"/>
    <col min="5" max="5" width="29.125" style="12" customWidth="1"/>
    <col min="6" max="6" width="16.875" style="14" customWidth="1"/>
    <col min="7" max="7" width="10.625" style="12" customWidth="1"/>
    <col min="8" max="8" width="18.375" style="12" customWidth="1"/>
    <col min="9" max="9" width="10.75" style="12" customWidth="1"/>
    <col min="10" max="10" width="12.375" style="15" bestFit="1" customWidth="1"/>
    <col min="11" max="11" width="10.75" style="12" customWidth="1"/>
    <col min="12" max="16384" width="9" style="12"/>
  </cols>
  <sheetData>
    <row r="1" spans="1:256" s="10" customFormat="1" x14ac:dyDescent="0.25">
      <c r="A1" s="12"/>
      <c r="B1" s="12"/>
      <c r="C1" s="12"/>
      <c r="D1" s="12"/>
      <c r="E1" s="12"/>
      <c r="F1" s="12"/>
      <c r="G1" s="13"/>
      <c r="H1" s="12"/>
      <c r="I1" s="14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10" customFormat="1" ht="16.5" thickBot="1" x14ac:dyDescent="0.3">
      <c r="A2" s="12"/>
      <c r="B2" s="148" t="s">
        <v>17</v>
      </c>
      <c r="C2" s="148"/>
      <c r="D2" s="148"/>
      <c r="E2" s="148"/>
      <c r="F2" s="8"/>
      <c r="G2" s="96"/>
      <c r="I2" s="16"/>
      <c r="J2" s="16"/>
      <c r="K2" s="16"/>
      <c r="L2" s="16"/>
      <c r="M2" s="16"/>
      <c r="N2" s="16"/>
      <c r="O2" s="16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</row>
    <row r="3" spans="1:256" s="10" customFormat="1" x14ac:dyDescent="0.25">
      <c r="A3" s="12"/>
      <c r="B3" s="9" t="s">
        <v>18</v>
      </c>
      <c r="C3" s="9" t="s">
        <v>19</v>
      </c>
      <c r="D3" s="9" t="s">
        <v>23</v>
      </c>
      <c r="E3" s="9" t="s">
        <v>20</v>
      </c>
      <c r="F3" s="8"/>
      <c r="G3" s="96"/>
      <c r="H3" s="18"/>
      <c r="I3" s="114"/>
      <c r="J3" s="16"/>
      <c r="K3" s="16"/>
      <c r="L3" s="16"/>
      <c r="M3" s="16"/>
      <c r="N3" s="16"/>
      <c r="O3" s="16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</row>
    <row r="4" spans="1:256" s="10" customFormat="1" ht="33" customHeight="1" thickBot="1" x14ac:dyDescent="0.3">
      <c r="A4" s="12"/>
      <c r="B4" s="24" t="s">
        <v>100</v>
      </c>
      <c r="C4" s="133" t="s">
        <v>81</v>
      </c>
      <c r="D4" s="24" t="s">
        <v>2</v>
      </c>
      <c r="E4" s="128" t="s">
        <v>152</v>
      </c>
      <c r="F4" s="8"/>
      <c r="G4" s="116"/>
      <c r="H4" s="116"/>
      <c r="I4" s="116"/>
      <c r="J4" s="16"/>
      <c r="K4" s="16"/>
      <c r="L4" s="16"/>
      <c r="M4" s="16"/>
      <c r="N4" s="16"/>
      <c r="O4" s="16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 s="10" customFormat="1" x14ac:dyDescent="0.25">
      <c r="A5" s="12"/>
      <c r="B5" s="111"/>
      <c r="C5" s="112"/>
      <c r="D5" s="111"/>
      <c r="E5" s="113"/>
      <c r="F5" s="8"/>
      <c r="G5" s="116"/>
      <c r="H5" s="18"/>
      <c r="I5" s="115"/>
      <c r="J5" s="116"/>
      <c r="K5" s="17"/>
      <c r="L5" s="17"/>
      <c r="M5" s="17"/>
      <c r="N5" s="17"/>
      <c r="O5" s="17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6" spans="1:256" s="10" customFormat="1" x14ac:dyDescent="0.25">
      <c r="A6" s="12"/>
      <c r="B6" s="23"/>
      <c r="C6" s="18"/>
      <c r="D6" s="23"/>
      <c r="E6" s="19"/>
      <c r="F6" s="8"/>
      <c r="G6" s="96"/>
      <c r="H6" s="115"/>
      <c r="I6" s="115"/>
      <c r="J6" s="116"/>
      <c r="K6" s="22"/>
      <c r="L6" s="22"/>
      <c r="M6" s="22"/>
      <c r="N6" s="22"/>
      <c r="O6" s="2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</row>
    <row r="7" spans="1:256" s="10" customFormat="1" x14ac:dyDescent="0.25">
      <c r="A7" s="12"/>
      <c r="B7" s="3"/>
      <c r="C7" s="3"/>
      <c r="D7" s="3"/>
      <c r="E7" s="3"/>
      <c r="F7" s="1"/>
      <c r="G7" s="1"/>
      <c r="H7" s="115"/>
      <c r="I7" s="116"/>
      <c r="J7" s="23"/>
      <c r="K7" s="3"/>
      <c r="L7" s="16"/>
      <c r="M7" s="16"/>
      <c r="N7" s="16"/>
      <c r="O7" s="16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</row>
    <row r="8" spans="1:256" s="10" customFormat="1" ht="16.5" thickBot="1" x14ac:dyDescent="0.3">
      <c r="A8" s="12"/>
      <c r="B8" s="147" t="s">
        <v>26</v>
      </c>
      <c r="C8" s="148"/>
      <c r="D8" s="148"/>
      <c r="E8" s="3"/>
      <c r="F8" s="1"/>
      <c r="G8" s="1"/>
      <c r="H8" s="23"/>
      <c r="I8" s="23"/>
      <c r="J8" s="3"/>
      <c r="K8" s="3"/>
      <c r="L8" s="16"/>
      <c r="M8" s="16"/>
      <c r="N8" s="16"/>
      <c r="O8" s="1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</row>
    <row r="9" spans="1:256" s="10" customFormat="1" x14ac:dyDescent="0.25">
      <c r="A9" s="12"/>
      <c r="B9" s="4" t="s">
        <v>24</v>
      </c>
      <c r="C9" s="4" t="s">
        <v>25</v>
      </c>
      <c r="D9" s="4" t="s">
        <v>76</v>
      </c>
      <c r="E9" s="12"/>
      <c r="F9" s="12"/>
      <c r="G9" s="110"/>
      <c r="H9" s="110"/>
      <c r="I9" s="110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</row>
    <row r="10" spans="1:256" s="10" customFormat="1" x14ac:dyDescent="0.25">
      <c r="A10" s="12"/>
      <c r="B10" s="149" t="str">
        <f>B4</f>
        <v>HW356009-P1</v>
      </c>
      <c r="C10" s="118" t="s">
        <v>87</v>
      </c>
      <c r="D10" s="135">
        <f>'Solubility Determination'!E4</f>
        <v>4.0350000000000001</v>
      </c>
      <c r="E10" s="12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</row>
    <row r="11" spans="1:256" x14ac:dyDescent="0.25">
      <c r="B11" s="150"/>
      <c r="C11" s="131" t="s">
        <v>151</v>
      </c>
      <c r="D11" s="137">
        <f>'Solubility Determination'!E5</f>
        <v>4.7750000000000004</v>
      </c>
      <c r="E11" s="124"/>
    </row>
    <row r="12" spans="1:256" ht="16.5" thickBot="1" x14ac:dyDescent="0.3">
      <c r="B12" s="151"/>
      <c r="C12" s="119" t="s">
        <v>84</v>
      </c>
      <c r="D12" s="138">
        <f>'Solubility Determination'!E6</f>
        <v>4.8150000000000004</v>
      </c>
      <c r="E12" s="125"/>
    </row>
    <row r="13" spans="1:256" x14ac:dyDescent="0.25">
      <c r="D13" s="20"/>
      <c r="E13" s="20"/>
    </row>
    <row r="14" spans="1:256" x14ac:dyDescent="0.25">
      <c r="D14" s="20"/>
    </row>
    <row r="15" spans="1:256" x14ac:dyDescent="0.25">
      <c r="D15" s="20"/>
    </row>
  </sheetData>
  <mergeCells count="3">
    <mergeCell ref="B8:D8"/>
    <mergeCell ref="B2:E2"/>
    <mergeCell ref="B10:B12"/>
  </mergeCells>
  <phoneticPr fontId="20" type="noConversion"/>
  <pageMargins left="0.39370078740157483" right="0.39370078740157483" top="1.4566929133858268" bottom="0.98425196850393704" header="0.78740157480314965" footer="0.51181102362204722"/>
  <pageSetup paperSize="9" scale="95" firstPageNumber="4294963191" orientation="landscape" r:id="rId1"/>
  <headerFooter alignWithMargins="0"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  <rowBreaks count="1" manualBreakCount="1">
    <brk id="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1"/>
  <sheetViews>
    <sheetView workbookViewId="0">
      <selection activeCell="D27" sqref="D27"/>
    </sheetView>
  </sheetViews>
  <sheetFormatPr defaultColWidth="9" defaultRowHeight="15.75" x14ac:dyDescent="0.15"/>
  <cols>
    <col min="1" max="1" width="4.5" style="7" customWidth="1"/>
    <col min="2" max="2" width="34.5" style="6" customWidth="1"/>
    <col min="3" max="3" width="18.75" style="6" customWidth="1"/>
    <col min="4" max="4" width="19.5" style="6" customWidth="1"/>
    <col min="5" max="5" width="15.25" style="6" customWidth="1"/>
    <col min="6" max="6" width="19.25" style="6" customWidth="1"/>
    <col min="7" max="16384" width="9" style="6"/>
  </cols>
  <sheetData>
    <row r="1" spans="1:6" s="11" customFormat="1" ht="15" customHeight="1" x14ac:dyDescent="0.15">
      <c r="A1" s="69"/>
      <c r="B1" s="83" t="s">
        <v>70</v>
      </c>
      <c r="C1" s="84"/>
      <c r="D1" s="85"/>
    </row>
    <row r="2" spans="1:6" ht="16.5" thickBot="1" x14ac:dyDescent="0.3">
      <c r="B2" s="152" t="s">
        <v>22</v>
      </c>
      <c r="C2" s="152"/>
      <c r="D2" s="152"/>
      <c r="E2" s="153"/>
      <c r="F2" s="77"/>
    </row>
    <row r="3" spans="1:6" ht="18" customHeight="1" x14ac:dyDescent="0.15">
      <c r="B3" s="4" t="s">
        <v>21</v>
      </c>
      <c r="C3" s="4" t="s">
        <v>25</v>
      </c>
      <c r="D3" s="4" t="s">
        <v>75</v>
      </c>
      <c r="E3" s="4" t="s">
        <v>77</v>
      </c>
      <c r="F3" s="21"/>
    </row>
    <row r="4" spans="1:6" x14ac:dyDescent="0.15">
      <c r="B4" s="154" t="str">
        <f>CONCATENATE(Summary!B4,"_Solubility")</f>
        <v>HW356009-P1_Solubility</v>
      </c>
      <c r="C4" s="24" t="s">
        <v>87</v>
      </c>
      <c r="D4" s="117">
        <f>Calculation!H17</f>
        <v>4035</v>
      </c>
      <c r="E4" s="134">
        <f t="shared" ref="E4:E6" si="0">D4/1000</f>
        <v>4.0350000000000001</v>
      </c>
      <c r="F4" s="21"/>
    </row>
    <row r="5" spans="1:6" x14ac:dyDescent="0.15">
      <c r="B5" s="155"/>
      <c r="C5" s="131" t="s">
        <v>151</v>
      </c>
      <c r="D5" s="82">
        <f>Calculation!H23</f>
        <v>4775</v>
      </c>
      <c r="E5" s="135">
        <f t="shared" si="0"/>
        <v>4.7750000000000004</v>
      </c>
      <c r="F5" s="21"/>
    </row>
    <row r="6" spans="1:6" ht="16.5" thickBot="1" x14ac:dyDescent="0.2">
      <c r="B6" s="156"/>
      <c r="C6" s="120" t="s">
        <v>84</v>
      </c>
      <c r="D6" s="68">
        <f>Calculation!H29</f>
        <v>4815</v>
      </c>
      <c r="E6" s="136">
        <f t="shared" si="0"/>
        <v>4.8150000000000004</v>
      </c>
      <c r="F6" s="21"/>
    </row>
    <row r="7" spans="1:6" x14ac:dyDescent="0.15">
      <c r="D7" s="21"/>
      <c r="E7" s="21"/>
      <c r="F7" s="21"/>
    </row>
    <row r="8" spans="1:6" x14ac:dyDescent="0.15">
      <c r="D8" s="21"/>
      <c r="E8" s="21"/>
    </row>
    <row r="9" spans="1:6" x14ac:dyDescent="0.15">
      <c r="D9" s="21"/>
      <c r="E9" s="21"/>
    </row>
    <row r="10" spans="1:6" x14ac:dyDescent="0.15">
      <c r="D10" s="21"/>
      <c r="E10" s="21"/>
    </row>
    <row r="11" spans="1:6" x14ac:dyDescent="0.15">
      <c r="D11" s="21"/>
      <c r="E11" s="21"/>
    </row>
  </sheetData>
  <mergeCells count="2">
    <mergeCell ref="B2:E2"/>
    <mergeCell ref="B4:B6"/>
  </mergeCells>
  <phoneticPr fontId="20" type="noConversion"/>
  <printOptions horizontalCentered="1"/>
  <pageMargins left="0.39370078740157483" right="0.39370078740157483" top="1.4566929133858268" bottom="0.98425196850393704" header="0.78740157480314965" footer="0.51181102362204722"/>
  <pageSetup paperSize="9" scale="85" firstPageNumber="4294963191" orientation="landscape" r:id="rId1"/>
  <headerFooter>
    <oddHeader>&amp;L&amp;10笔记编号/Notebook No.__________________页码/Page__________编号/No.________________
课题编号/Study No._______________</oddHeader>
    <oddFooter>&amp;R&amp;10操作人和日期/Operator and Date_________________________    复核人和日期/Verifier and Date_________________________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2"/>
  <sheetViews>
    <sheetView zoomScale="90" zoomScaleNormal="90" workbookViewId="0">
      <selection activeCell="J22" sqref="J22"/>
    </sheetView>
  </sheetViews>
  <sheetFormatPr defaultColWidth="8.75" defaultRowHeight="15.75" x14ac:dyDescent="0.15"/>
  <cols>
    <col min="1" max="1" width="8.75" style="64"/>
    <col min="2" max="2" width="48.5" style="64" bestFit="1" customWidth="1"/>
    <col min="3" max="8" width="10.625" style="64" customWidth="1"/>
    <col min="9" max="16384" width="8.75" style="64"/>
  </cols>
  <sheetData>
    <row r="2" spans="2:11" s="73" customFormat="1" x14ac:dyDescent="0.15">
      <c r="B2" s="78" t="str">
        <f>Summary!B$4</f>
        <v>HW356009-P1</v>
      </c>
    </row>
    <row r="3" spans="2:11" ht="16.5" thickBot="1" x14ac:dyDescent="0.2">
      <c r="B3" s="157" t="str">
        <f>CONCATENATE("Calibration Curve and QC-",Summary!B4)</f>
        <v>Calibration Curve and QC-HW356009-P1</v>
      </c>
      <c r="C3" s="157"/>
      <c r="D3" s="157"/>
      <c r="E3" s="157"/>
      <c r="F3" s="157"/>
      <c r="G3" s="157"/>
      <c r="H3" s="157"/>
    </row>
    <row r="4" spans="2:11" ht="47.25" x14ac:dyDescent="0.15">
      <c r="B4" s="49" t="s">
        <v>40</v>
      </c>
      <c r="C4" s="50" t="s">
        <v>72</v>
      </c>
      <c r="D4" s="51" t="s">
        <v>41</v>
      </c>
      <c r="E4" s="52" t="s">
        <v>42</v>
      </c>
      <c r="F4" s="50" t="s">
        <v>43</v>
      </c>
      <c r="G4" s="53" t="s">
        <v>73</v>
      </c>
      <c r="H4" s="53" t="s">
        <v>83</v>
      </c>
    </row>
    <row r="5" spans="2:11" x14ac:dyDescent="0.25">
      <c r="B5" s="54" t="s">
        <v>117</v>
      </c>
      <c r="C5" s="55">
        <f>VLOOKUP($B5,'Raw Data'!$A$1:$Q$301,3,0)</f>
        <v>10</v>
      </c>
      <c r="D5" s="56">
        <f>VLOOKUP($B5,'Raw Data'!$A$1:$Q$301,5,0)</f>
        <v>220000</v>
      </c>
      <c r="E5" s="56">
        <f>VLOOKUP($B5,'Raw Data'!$A$1:$Q$301,6,0)</f>
        <v>2300000</v>
      </c>
      <c r="F5" s="130">
        <f>IF(VLOOKUP($B5,'Raw Data'!$A$1:$Q$301,7,0)&lt;0,0,VLOOKUP($B5,'Raw Data'!$A$1:$Q$301,7,0))</f>
        <v>9.5600000000000004E-2</v>
      </c>
      <c r="G5" s="121">
        <f>IF(OR(VLOOKUP($B5,'Raw Data'!$A$1:$Q$301,10,0)="N/A",VLOOKUP($B5,'Raw Data'!$A$1:$Q$301,10,0)="NA"),"NA",VLOOKUP($B5,'Raw Data'!$A$1:$Q$301,10,0))</f>
        <v>9.85</v>
      </c>
      <c r="H5" s="57">
        <f>IF(VLOOKUP($B5,'Raw Data'!$A$1:$Q$301,11,0)="N/A","NA",VLOOKUP($B5,'Raw Data'!$A$1:$Q$301,11,0))-100</f>
        <v>-1.5</v>
      </c>
    </row>
    <row r="6" spans="2:11" x14ac:dyDescent="0.25">
      <c r="B6" s="54" t="s">
        <v>119</v>
      </c>
      <c r="C6" s="55">
        <f>VLOOKUP($B6,'Raw Data'!$A$1:$Q$301,3,0)</f>
        <v>20</v>
      </c>
      <c r="D6" s="56">
        <f>VLOOKUP($B6,'Raw Data'!$A$1:$Q$301,5,0)</f>
        <v>445000</v>
      </c>
      <c r="E6" s="56">
        <f>VLOOKUP($B6,'Raw Data'!$A$1:$Q$301,6,0)</f>
        <v>2320000</v>
      </c>
      <c r="F6" s="58">
        <f>IF(VLOOKUP($B6,'Raw Data'!$A$1:$Q$301,7,0)&lt;0,0,VLOOKUP($B6,'Raw Data'!$A$1:$Q$301,7,0))</f>
        <v>0.192</v>
      </c>
      <c r="G6" s="57">
        <f>IF(OR(VLOOKUP($B6,'Raw Data'!$A$1:$Q$301,10,0)="N/A",VLOOKUP($B6,'Raw Data'!$A$1:$Q$301,10,0)="NA"),"NA",VLOOKUP($B6,'Raw Data'!$A$1:$Q$301,10,0))</f>
        <v>20.100000000000001</v>
      </c>
      <c r="H6" s="57">
        <f>IF(VLOOKUP($B6,'Raw Data'!$A$1:$Q$301,11,0)="N/A","NA",VLOOKUP($B6,'Raw Data'!$A$1:$Q$301,11,0))-100</f>
        <v>0.5</v>
      </c>
    </row>
    <row r="7" spans="2:11" x14ac:dyDescent="0.25">
      <c r="B7" s="54" t="s">
        <v>121</v>
      </c>
      <c r="C7" s="55">
        <f>VLOOKUP($B7,'Raw Data'!$A$1:$Q$301,3,0)</f>
        <v>50</v>
      </c>
      <c r="D7" s="56">
        <f>VLOOKUP($B7,'Raw Data'!$A$1:$Q$301,5,0)</f>
        <v>1120000</v>
      </c>
      <c r="E7" s="56">
        <f>VLOOKUP($B7,'Raw Data'!$A$1:$Q$301,6,0)</f>
        <v>2290000</v>
      </c>
      <c r="F7" s="58">
        <f>IF(VLOOKUP($B7,'Raw Data'!$A$1:$Q$301,7,0)&lt;0,0,VLOOKUP($B7,'Raw Data'!$A$1:$Q$301,7,0))</f>
        <v>0.49</v>
      </c>
      <c r="G7" s="57">
        <f>IF(OR(VLOOKUP($B7,'Raw Data'!$A$1:$Q$301,10,0)="N/A",VLOOKUP($B7,'Raw Data'!$A$1:$Q$301,10,0)="NA"),"NA",VLOOKUP($B7,'Raw Data'!$A$1:$Q$301,10,0))</f>
        <v>51.9</v>
      </c>
      <c r="H7" s="57">
        <f>IF(VLOOKUP($B7,'Raw Data'!$A$1:$Q$301,11,0)="N/A","NA",VLOOKUP($B7,'Raw Data'!$A$1:$Q$301,11,0))-100</f>
        <v>3.7999999999999972</v>
      </c>
    </row>
    <row r="8" spans="2:11" x14ac:dyDescent="0.25">
      <c r="B8" s="54" t="s">
        <v>123</v>
      </c>
      <c r="C8" s="55">
        <f>VLOOKUP($B8,'Raw Data'!$A$1:$Q$301,3,0)</f>
        <v>100</v>
      </c>
      <c r="D8" s="56">
        <f>VLOOKUP($B8,'Raw Data'!$A$1:$Q$301,5,0)</f>
        <v>2090000</v>
      </c>
      <c r="E8" s="56">
        <f>VLOOKUP($B8,'Raw Data'!$A$1:$Q$301,6,0)</f>
        <v>2250000</v>
      </c>
      <c r="F8" s="58">
        <f>IF(VLOOKUP($B8,'Raw Data'!$A$1:$Q$301,7,0)&lt;0,0,VLOOKUP($B8,'Raw Data'!$A$1:$Q$301,7,0))</f>
        <v>0.92800000000000005</v>
      </c>
      <c r="G8" s="57">
        <f>IF(OR(VLOOKUP($B8,'Raw Data'!$A$1:$Q$301,10,0)="N/A",VLOOKUP($B8,'Raw Data'!$A$1:$Q$301,10,0)="NA"),"NA",VLOOKUP($B8,'Raw Data'!$A$1:$Q$301,10,0))</f>
        <v>98.6</v>
      </c>
      <c r="H8" s="57">
        <f>IF(VLOOKUP($B8,'Raw Data'!$A$1:$Q$301,11,0)="N/A","NA",VLOOKUP($B8,'Raw Data'!$A$1:$Q$301,11,0))-100</f>
        <v>-1.4000000000000057</v>
      </c>
    </row>
    <row r="9" spans="2:11" x14ac:dyDescent="0.25">
      <c r="B9" s="54" t="s">
        <v>125</v>
      </c>
      <c r="C9" s="55">
        <f>VLOOKUP($B9,'Raw Data'!$A$1:$Q$301,3,0)</f>
        <v>200</v>
      </c>
      <c r="D9" s="56">
        <f>VLOOKUP($B9,'Raw Data'!$A$1:$Q$301,5,0)</f>
        <v>4730000</v>
      </c>
      <c r="E9" s="56">
        <f>VLOOKUP($B9,'Raw Data'!$A$1:$Q$301,6,0)</f>
        <v>2250000</v>
      </c>
      <c r="F9" s="121">
        <f>IF(VLOOKUP($B9,'Raw Data'!$A$1:$Q$301,7,0)&lt;0,0,VLOOKUP($B9,'Raw Data'!$A$1:$Q$301,7,0))</f>
        <v>2.1</v>
      </c>
      <c r="G9" s="59">
        <f>IF(OR(VLOOKUP($B9,'Raw Data'!$A$1:$Q$301,10,0)="N/A",VLOOKUP($B9,'Raw Data'!$A$1:$Q$301,10,0)="NA"),"NA",VLOOKUP($B9,'Raw Data'!$A$1:$Q$301,10,0))</f>
        <v>224</v>
      </c>
      <c r="H9" s="57">
        <f>IF(VLOOKUP($B9,'Raw Data'!$A$1:$Q$301,11,0)="N/A","NA",VLOOKUP($B9,'Raw Data'!$A$1:$Q$301,11,0))-100</f>
        <v>12</v>
      </c>
    </row>
    <row r="10" spans="2:11" x14ac:dyDescent="0.25">
      <c r="B10" s="54" t="s">
        <v>127</v>
      </c>
      <c r="C10" s="55">
        <f>VLOOKUP($B10,'Raw Data'!$A$1:$Q$301,3,0)</f>
        <v>500</v>
      </c>
      <c r="D10" s="56">
        <f>VLOOKUP($B10,'Raw Data'!$A$1:$Q$301,5,0)</f>
        <v>11500000</v>
      </c>
      <c r="E10" s="56">
        <f>VLOOKUP($B10,'Raw Data'!$A$1:$Q$301,6,0)</f>
        <v>2290000</v>
      </c>
      <c r="F10" s="121">
        <f>IF(VLOOKUP($B10,'Raw Data'!$A$1:$Q$301,7,0)&lt;0,0,VLOOKUP($B10,'Raw Data'!$A$1:$Q$301,7,0))</f>
        <v>5.03</v>
      </c>
      <c r="G10" s="59">
        <f>IF(OR(VLOOKUP($B10,'Raw Data'!$A$1:$Q$301,10,0)="N/A",VLOOKUP($B10,'Raw Data'!$A$1:$Q$301,10,0)="NA"),"NA",VLOOKUP($B10,'Raw Data'!$A$1:$Q$301,10,0))</f>
        <v>536</v>
      </c>
      <c r="H10" s="57">
        <f>IF(VLOOKUP($B10,'Raw Data'!$A$1:$Q$301,11,0)="N/A","NA",VLOOKUP($B10,'Raw Data'!$A$1:$Q$301,11,0))-100</f>
        <v>7.2999999999999972</v>
      </c>
    </row>
    <row r="11" spans="2:11" x14ac:dyDescent="0.25">
      <c r="B11" s="54" t="s">
        <v>129</v>
      </c>
      <c r="C11" s="55">
        <f>VLOOKUP($B11,'Raw Data'!$A$1:$Q$301,3,0)</f>
        <v>1000</v>
      </c>
      <c r="D11" s="56">
        <f>VLOOKUP($B11,'Raw Data'!$A$1:$Q$301,5,0)</f>
        <v>20300000</v>
      </c>
      <c r="E11" s="56">
        <f>VLOOKUP($B11,'Raw Data'!$A$1:$Q$301,6,0)</f>
        <v>2290000</v>
      </c>
      <c r="F11" s="121">
        <f>IF(VLOOKUP($B11,'Raw Data'!$A$1:$Q$301,7,0)&lt;0,0,VLOOKUP($B11,'Raw Data'!$A$1:$Q$301,7,0))</f>
        <v>8.8699999999999992</v>
      </c>
      <c r="G11" s="59">
        <f>IF(OR(VLOOKUP($B11,'Raw Data'!$A$1:$Q$301,10,0)="N/A",VLOOKUP($B11,'Raw Data'!$A$1:$Q$301,10,0)="NA"),"NA",VLOOKUP($B11,'Raw Data'!$A$1:$Q$301,10,0))</f>
        <v>945</v>
      </c>
      <c r="H11" s="57">
        <f>IF(VLOOKUP($B11,'Raw Data'!$A$1:$Q$301,11,0)="N/A","NA",VLOOKUP($B11,'Raw Data'!$A$1:$Q$301,11,0))-100</f>
        <v>-5.5</v>
      </c>
    </row>
    <row r="12" spans="2:11" ht="16.5" thickBot="1" x14ac:dyDescent="0.3">
      <c r="B12" s="60" t="s">
        <v>131</v>
      </c>
      <c r="C12" s="61">
        <f>VLOOKUP($B12,'Raw Data'!$A$1:$Q$301,3,0)</f>
        <v>2000</v>
      </c>
      <c r="D12" s="62">
        <f>VLOOKUP($B12,'Raw Data'!$A$1:$Q$301,5,0)</f>
        <v>34700000</v>
      </c>
      <c r="E12" s="62">
        <f>VLOOKUP($B12,'Raw Data'!$A$1:$Q$301,6,0)</f>
        <v>2180000</v>
      </c>
      <c r="F12" s="63">
        <f>IF(VLOOKUP($B12,'Raw Data'!$A$1:$Q$301,7,0)&lt;0,0,VLOOKUP($B12,'Raw Data'!$A$1:$Q$301,7,0))</f>
        <v>15.9</v>
      </c>
      <c r="G12" s="132">
        <f>IF(OR(VLOOKUP($B12,'Raw Data'!$A$1:$Q$301,10,0)="N/A",VLOOKUP($B12,'Raw Data'!$A$1:$Q$301,10,0)="NA"),"NA",VLOOKUP($B12,'Raw Data'!$A$1:$Q$301,10,0))</f>
        <v>1690</v>
      </c>
      <c r="H12" s="63">
        <f>IF(VLOOKUP($B12,'Raw Data'!$A$1:$Q$301,11,0)="N/A","NA",VLOOKUP($B12,'Raw Data'!$A$1:$Q$301,11,0))-100</f>
        <v>-15.299999999999997</v>
      </c>
    </row>
    <row r="13" spans="2:11" x14ac:dyDescent="0.15">
      <c r="F13" s="74"/>
      <c r="G13" s="75"/>
      <c r="H13" s="67"/>
    </row>
    <row r="14" spans="2:11" x14ac:dyDescent="0.15">
      <c r="B14" s="67"/>
      <c r="F14" s="74"/>
      <c r="G14" s="75"/>
      <c r="H14" s="67"/>
    </row>
    <row r="15" spans="2:11" s="66" customFormat="1" ht="16.5" thickBot="1" x14ac:dyDescent="0.2">
      <c r="B15" s="160" t="s">
        <v>88</v>
      </c>
      <c r="C15" s="160"/>
      <c r="D15" s="160"/>
      <c r="E15" s="160"/>
      <c r="F15" s="160"/>
      <c r="G15" s="160"/>
      <c r="H15" s="160"/>
      <c r="I15" s="76"/>
    </row>
    <row r="16" spans="2:11" ht="47.25" x14ac:dyDescent="0.15">
      <c r="B16" s="49" t="s">
        <v>40</v>
      </c>
      <c r="C16" s="65" t="s">
        <v>44</v>
      </c>
      <c r="D16" s="51" t="s">
        <v>41</v>
      </c>
      <c r="E16" s="52" t="s">
        <v>42</v>
      </c>
      <c r="F16" s="50" t="s">
        <v>43</v>
      </c>
      <c r="G16" s="53" t="s">
        <v>73</v>
      </c>
      <c r="H16" s="53" t="s">
        <v>74</v>
      </c>
      <c r="I16" s="74"/>
      <c r="J16" s="74"/>
      <c r="K16" s="74"/>
    </row>
    <row r="17" spans="2:11" x14ac:dyDescent="0.25">
      <c r="B17" s="54" t="s">
        <v>135</v>
      </c>
      <c r="C17" s="55">
        <f>VLOOKUP($B17,'Raw Data'!$A$2:$Q$442,4,0)</f>
        <v>50</v>
      </c>
      <c r="D17" s="56">
        <f>VLOOKUP($B17,'Raw Data'!$A$2:$Q$442,5,0)</f>
        <v>1800000</v>
      </c>
      <c r="E17" s="56">
        <f>VLOOKUP($B17,'Raw Data'!$A$2:$Q$442,6,0)</f>
        <v>2310000</v>
      </c>
      <c r="F17" s="58">
        <f>IF(VLOOKUP($B17,'Raw Data'!$A$2:$Q$442,7,0)&lt;0,0,VLOOKUP($B17,'Raw Data'!$A$2:$Q$442,7,0))</f>
        <v>0.77800000000000002</v>
      </c>
      <c r="G17" s="59">
        <f>IF(OR(VLOOKUP($B17,'Raw Data'!$A$2:$Q$442,10,0)="N/A",VLOOKUP($B17,'Raw Data'!$A$2:$Q$442,10,0)="NA"),"NA",VLOOKUP($B17,'Raw Data'!$A$2:$Q$442,10,0))</f>
        <v>4130</v>
      </c>
      <c r="H17" s="158">
        <f>AVERAGE(G17:G18)</f>
        <v>4035</v>
      </c>
      <c r="I17" s="74"/>
      <c r="J17" s="74"/>
      <c r="K17" s="74"/>
    </row>
    <row r="18" spans="2:11" ht="16.5" thickBot="1" x14ac:dyDescent="0.3">
      <c r="B18" s="60" t="s">
        <v>137</v>
      </c>
      <c r="C18" s="61">
        <f>VLOOKUP($B18,'Raw Data'!$A$2:$Q$442,4,0)</f>
        <v>50</v>
      </c>
      <c r="D18" s="62">
        <f>VLOOKUP($B18,'Raw Data'!$A$2:$Q$442,5,0)</f>
        <v>1720000</v>
      </c>
      <c r="E18" s="62">
        <f>VLOOKUP($B18,'Raw Data'!$A$2:$Q$442,6,0)</f>
        <v>2320000</v>
      </c>
      <c r="F18" s="129">
        <f>IF(VLOOKUP($B18,'Raw Data'!$A$2:$Q$442,7,0)&lt;0,0,VLOOKUP($B18,'Raw Data'!$A$2:$Q$442,7,0))</f>
        <v>0.74199999999999999</v>
      </c>
      <c r="G18" s="132">
        <f>IF(OR(VLOOKUP($B18,'Raw Data'!$A$2:$Q$442,10,0)="N/A",VLOOKUP($B18,'Raw Data'!$A$2:$Q$442,10,0)="NA"),"NA",VLOOKUP($B18,'Raw Data'!$A$2:$Q$442,10,0))</f>
        <v>3940</v>
      </c>
      <c r="H18" s="159"/>
      <c r="I18" s="74"/>
      <c r="J18" s="74"/>
      <c r="K18" s="74"/>
    </row>
    <row r="19" spans="2:11" x14ac:dyDescent="0.15">
      <c r="F19" s="74"/>
      <c r="G19" s="74"/>
      <c r="H19" s="74"/>
      <c r="I19" s="74"/>
      <c r="J19" s="74"/>
      <c r="K19" s="74"/>
    </row>
    <row r="20" spans="2:11" x14ac:dyDescent="0.15">
      <c r="B20" s="67"/>
      <c r="F20" s="74"/>
      <c r="G20" s="75"/>
      <c r="H20" s="75"/>
      <c r="I20" s="74"/>
      <c r="J20" s="74"/>
      <c r="K20" s="74"/>
    </row>
    <row r="21" spans="2:11" s="66" customFormat="1" ht="16.5" thickBot="1" x14ac:dyDescent="0.2">
      <c r="B21" s="160" t="s">
        <v>151</v>
      </c>
      <c r="C21" s="160"/>
      <c r="D21" s="160"/>
      <c r="E21" s="160"/>
      <c r="F21" s="160"/>
      <c r="G21" s="160"/>
      <c r="H21" s="160"/>
      <c r="I21" s="76"/>
    </row>
    <row r="22" spans="2:11" ht="47.25" x14ac:dyDescent="0.15">
      <c r="B22" s="49" t="s">
        <v>40</v>
      </c>
      <c r="C22" s="65" t="s">
        <v>44</v>
      </c>
      <c r="D22" s="51" t="s">
        <v>41</v>
      </c>
      <c r="E22" s="52" t="s">
        <v>42</v>
      </c>
      <c r="F22" s="50" t="s">
        <v>43</v>
      </c>
      <c r="G22" s="53" t="s">
        <v>73</v>
      </c>
      <c r="H22" s="53" t="s">
        <v>74</v>
      </c>
      <c r="I22" s="74"/>
      <c r="J22" s="74"/>
      <c r="K22" s="74"/>
    </row>
    <row r="23" spans="2:11" x14ac:dyDescent="0.25">
      <c r="B23" s="54" t="s">
        <v>141</v>
      </c>
      <c r="C23" s="126">
        <f>VLOOKUP($B23,'Raw Data'!$A$2:$Q$442,4,0)</f>
        <v>50</v>
      </c>
      <c r="D23" s="56">
        <f>VLOOKUP($B23,'Raw Data'!$A$2:$Q$442,5,0)</f>
        <v>2170000</v>
      </c>
      <c r="E23" s="56">
        <f>VLOOKUP($B23,'Raw Data'!$A$2:$Q$442,6,0)</f>
        <v>2360000</v>
      </c>
      <c r="F23" s="58">
        <f>IF(VLOOKUP($B23,'Raw Data'!$A$2:$Q$442,7,0)&lt;0,0,VLOOKUP($B23,'Raw Data'!$A$2:$Q$442,7,0))</f>
        <v>0.91700000000000004</v>
      </c>
      <c r="G23" s="59">
        <f>IF(OR(VLOOKUP($B23,'Raw Data'!$A$2:$Q$442,10,0)="N/A",VLOOKUP($B23,'Raw Data'!$A$2:$Q$442,10,0)="NA"),"NA",VLOOKUP($B23,'Raw Data'!$A$2:$Q$442,10,0))</f>
        <v>4870</v>
      </c>
      <c r="H23" s="158">
        <f>AVERAGE(G23:G24)</f>
        <v>4775</v>
      </c>
      <c r="I23" s="74"/>
      <c r="J23" s="74"/>
      <c r="K23" s="74"/>
    </row>
    <row r="24" spans="2:11" ht="16.5" thickBot="1" x14ac:dyDescent="0.3">
      <c r="B24" s="60" t="s">
        <v>143</v>
      </c>
      <c r="C24" s="127">
        <f>VLOOKUP($B24,'Raw Data'!$A$2:$Q$442,4,0)</f>
        <v>50</v>
      </c>
      <c r="D24" s="62">
        <f>VLOOKUP($B24,'Raw Data'!$A$2:$Q$442,5,0)</f>
        <v>2100000</v>
      </c>
      <c r="E24" s="62">
        <f>VLOOKUP($B24,'Raw Data'!$A$2:$Q$442,6,0)</f>
        <v>2380000</v>
      </c>
      <c r="F24" s="129">
        <f>IF(VLOOKUP($B24,'Raw Data'!$A$2:$Q$442,7,0)&lt;0,0,VLOOKUP($B24,'Raw Data'!$A$2:$Q$442,7,0))</f>
        <v>0.88200000000000001</v>
      </c>
      <c r="G24" s="132">
        <f>IF(OR(VLOOKUP($B24,'Raw Data'!$A$2:$Q$442,10,0)="N/A",VLOOKUP($B24,'Raw Data'!$A$2:$Q$442,10,0)="NA"),"NA",VLOOKUP($B24,'Raw Data'!$A$2:$Q$442,10,0))</f>
        <v>4680</v>
      </c>
      <c r="H24" s="159"/>
      <c r="I24" s="74"/>
      <c r="J24" s="74"/>
      <c r="K24" s="74"/>
    </row>
    <row r="25" spans="2:11" x14ac:dyDescent="0.15"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6" spans="2:11" x14ac:dyDescent="0.15">
      <c r="B26" s="74"/>
      <c r="C26" s="74"/>
      <c r="D26" s="74"/>
      <c r="E26" s="74"/>
      <c r="F26" s="74"/>
      <c r="G26" s="74"/>
      <c r="H26" s="74"/>
      <c r="I26" s="74"/>
      <c r="J26" s="74"/>
    </row>
    <row r="27" spans="2:11" s="66" customFormat="1" ht="16.5" thickBot="1" x14ac:dyDescent="0.2">
      <c r="B27" s="160" t="s">
        <v>85</v>
      </c>
      <c r="C27" s="161"/>
      <c r="D27" s="161"/>
      <c r="E27" s="161"/>
      <c r="F27" s="161"/>
      <c r="G27" s="161"/>
      <c r="H27" s="161"/>
      <c r="I27" s="76"/>
      <c r="J27" s="76"/>
    </row>
    <row r="28" spans="2:11" ht="47.25" x14ac:dyDescent="0.15">
      <c r="B28" s="49" t="s">
        <v>40</v>
      </c>
      <c r="C28" s="65" t="s">
        <v>44</v>
      </c>
      <c r="D28" s="51" t="s">
        <v>41</v>
      </c>
      <c r="E28" s="52" t="s">
        <v>42</v>
      </c>
      <c r="F28" s="50" t="s">
        <v>43</v>
      </c>
      <c r="G28" s="53" t="s">
        <v>73</v>
      </c>
      <c r="H28" s="53" t="s">
        <v>74</v>
      </c>
      <c r="I28" s="74"/>
      <c r="J28" s="74"/>
      <c r="K28" s="74"/>
    </row>
    <row r="29" spans="2:11" x14ac:dyDescent="0.25">
      <c r="B29" s="54" t="s">
        <v>147</v>
      </c>
      <c r="C29" s="55">
        <f>VLOOKUP($B29,'Raw Data'!$A$2:$Q$442,4,0)</f>
        <v>50</v>
      </c>
      <c r="D29" s="56">
        <f>VLOOKUP($B29,'Raw Data'!$A$2:$Q$442,5,0)</f>
        <v>2140000</v>
      </c>
      <c r="E29" s="56">
        <f>VLOOKUP($B29,'Raw Data'!$A$2:$Q$442,6,0)</f>
        <v>2300000</v>
      </c>
      <c r="F29" s="58">
        <f>IF(VLOOKUP($B29,'Raw Data'!$A$2:$Q$442,7,0)&lt;0,0,VLOOKUP($B29,'Raw Data'!$A$2:$Q$442,7,0))</f>
        <v>0.93200000000000005</v>
      </c>
      <c r="G29" s="59">
        <f>IF(OR(VLOOKUP($B29,'Raw Data'!$A$2:$Q$442,10,0)="N/A",VLOOKUP($B29,'Raw Data'!$A$2:$Q$442,10,0)="NA"),"NA",VLOOKUP($B29,'Raw Data'!$A$2:$Q$442,10,0))</f>
        <v>4950</v>
      </c>
      <c r="H29" s="158">
        <f>AVERAGE(G29:G30)</f>
        <v>4815</v>
      </c>
      <c r="I29" s="74"/>
      <c r="J29" s="74"/>
      <c r="K29" s="74"/>
    </row>
    <row r="30" spans="2:11" ht="16.5" thickBot="1" x14ac:dyDescent="0.3">
      <c r="B30" s="60" t="s">
        <v>149</v>
      </c>
      <c r="C30" s="61">
        <f>VLOOKUP($B30,'Raw Data'!$A$2:$Q$442,4,0)</f>
        <v>50</v>
      </c>
      <c r="D30" s="62">
        <f>VLOOKUP($B30,'Raw Data'!$A$2:$Q$442,5,0)</f>
        <v>2040000</v>
      </c>
      <c r="E30" s="62">
        <f>VLOOKUP($B30,'Raw Data'!$A$2:$Q$442,6,0)</f>
        <v>2310000</v>
      </c>
      <c r="F30" s="129">
        <f>IF(VLOOKUP($B30,'Raw Data'!$A$2:$Q$442,7,0)&lt;0,0,VLOOKUP($B30,'Raw Data'!$A$2:$Q$442,7,0))</f>
        <v>0.88</v>
      </c>
      <c r="G30" s="132">
        <f>IF(OR(VLOOKUP($B30,'Raw Data'!$A$2:$Q$442,10,0)="N/A",VLOOKUP($B30,'Raw Data'!$A$2:$Q$442,10,0)="NA"),"NA",VLOOKUP($B30,'Raw Data'!$A$2:$Q$442,10,0))</f>
        <v>4680</v>
      </c>
      <c r="H30" s="159"/>
      <c r="I30" s="74"/>
      <c r="J30" s="74"/>
      <c r="K30" s="74"/>
    </row>
    <row r="31" spans="2:11" x14ac:dyDescent="0.15">
      <c r="F31" s="74"/>
      <c r="G31" s="74"/>
      <c r="H31" s="74"/>
      <c r="I31" s="74"/>
      <c r="J31" s="74"/>
      <c r="K31" s="74"/>
    </row>
    <row r="32" spans="2:11" x14ac:dyDescent="0.15">
      <c r="F32" s="74"/>
      <c r="G32" s="74"/>
      <c r="H32" s="74"/>
      <c r="I32" s="74"/>
      <c r="J32" s="74"/>
    </row>
  </sheetData>
  <mergeCells count="7">
    <mergeCell ref="B3:H3"/>
    <mergeCell ref="H29:H30"/>
    <mergeCell ref="B27:H27"/>
    <mergeCell ref="B15:H15"/>
    <mergeCell ref="H17:H18"/>
    <mergeCell ref="B21:H21"/>
    <mergeCell ref="H23:H24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28" zoomScale="90" zoomScaleNormal="90" workbookViewId="0">
      <selection activeCell="A11" sqref="A11"/>
    </sheetView>
  </sheetViews>
  <sheetFormatPr defaultColWidth="8.75" defaultRowHeight="15.75" x14ac:dyDescent="0.15"/>
  <cols>
    <col min="1" max="1" width="46.25" style="7" customWidth="1"/>
    <col min="2" max="2" width="9.5" style="2" customWidth="1"/>
    <col min="3" max="3" width="12.125" style="2" customWidth="1"/>
    <col min="4" max="4" width="8.875" style="2" customWidth="1"/>
    <col min="5" max="6" width="9.25" style="2" customWidth="1"/>
    <col min="7" max="8" width="8.875" style="2" bestFit="1" customWidth="1"/>
    <col min="9" max="9" width="8.875" style="2" customWidth="1"/>
    <col min="10" max="10" width="12.75" style="2" customWidth="1"/>
    <col min="11" max="13" width="8.875" style="2" bestFit="1" customWidth="1"/>
    <col min="14" max="14" width="23" style="2" customWidth="1"/>
    <col min="15" max="15" width="8.75" style="2"/>
    <col min="16" max="16384" width="8.75" style="7"/>
  </cols>
  <sheetData>
    <row r="1" spans="1:15" s="69" customFormat="1" x14ac:dyDescent="0.15">
      <c r="A1" s="72" t="str">
        <f>Summary!B$4</f>
        <v>HW356009-P1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15">
      <c r="A2" s="7" t="s">
        <v>106</v>
      </c>
    </row>
    <row r="3" spans="1:15" x14ac:dyDescent="0.15">
      <c r="A3" s="7" t="s">
        <v>45</v>
      </c>
    </row>
    <row r="4" spans="1:15" x14ac:dyDescent="0.15">
      <c r="A4" s="7" t="s">
        <v>107</v>
      </c>
    </row>
    <row r="5" spans="1:15" x14ac:dyDescent="0.15">
      <c r="A5" s="7" t="s">
        <v>108</v>
      </c>
    </row>
    <row r="6" spans="1:15" x14ac:dyDescent="0.15">
      <c r="A6" s="7" t="s">
        <v>45</v>
      </c>
    </row>
    <row r="7" spans="1:15" x14ac:dyDescent="0.15">
      <c r="A7" s="7" t="s">
        <v>99</v>
      </c>
    </row>
    <row r="9" spans="1:15" x14ac:dyDescent="0.15">
      <c r="A9" s="7" t="s">
        <v>109</v>
      </c>
    </row>
    <row r="10" spans="1:15" x14ac:dyDescent="0.15">
      <c r="A10" s="7" t="s">
        <v>110</v>
      </c>
    </row>
    <row r="11" spans="1:15" x14ac:dyDescent="0.15">
      <c r="A11" s="7" t="s">
        <v>155</v>
      </c>
    </row>
    <row r="13" spans="1:15" x14ac:dyDescent="0.15">
      <c r="A13" s="7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</row>
    <row r="14" spans="1:15" x14ac:dyDescent="0.15">
      <c r="A14" s="7" t="s">
        <v>52</v>
      </c>
      <c r="B14" s="2">
        <v>3.2000000000000002E-3</v>
      </c>
    </row>
    <row r="15" spans="1:15" x14ac:dyDescent="0.15">
      <c r="A15" s="7" t="s">
        <v>53</v>
      </c>
      <c r="B15" s="2">
        <v>9.3799999999999994E-3</v>
      </c>
    </row>
    <row r="16" spans="1:15" x14ac:dyDescent="0.15">
      <c r="A16" s="7" t="s">
        <v>54</v>
      </c>
      <c r="B16" s="2">
        <v>0.99550000000000005</v>
      </c>
    </row>
    <row r="17" spans="1:15" x14ac:dyDescent="0.15">
      <c r="A17" s="7" t="s">
        <v>55</v>
      </c>
    </row>
    <row r="18" spans="1:15" s="5" customFormat="1" x14ac:dyDescent="0.15"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</row>
    <row r="19" spans="1:15" x14ac:dyDescent="0.15">
      <c r="A19" s="7" t="s">
        <v>112</v>
      </c>
    </row>
    <row r="20" spans="1:15" x14ac:dyDescent="0.15">
      <c r="A20" s="7" t="s">
        <v>113</v>
      </c>
    </row>
    <row r="21" spans="1:15" x14ac:dyDescent="0.15">
      <c r="A21" s="7" t="s">
        <v>111</v>
      </c>
    </row>
    <row r="23" spans="1:15" x14ac:dyDescent="0.15">
      <c r="A23" s="7" t="s">
        <v>46</v>
      </c>
      <c r="B23" s="2" t="s">
        <v>47</v>
      </c>
      <c r="C23" s="2" t="s">
        <v>48</v>
      </c>
      <c r="D23" s="2" t="s">
        <v>49</v>
      </c>
      <c r="E23" s="2" t="s">
        <v>50</v>
      </c>
      <c r="F23" s="2" t="s">
        <v>51</v>
      </c>
    </row>
    <row r="24" spans="1:15" x14ac:dyDescent="0.15">
      <c r="A24" s="7" t="s">
        <v>94</v>
      </c>
      <c r="B24" s="2" t="s">
        <v>95</v>
      </c>
    </row>
    <row r="25" spans="1:15" x14ac:dyDescent="0.15">
      <c r="A25" s="7" t="s">
        <v>55</v>
      </c>
    </row>
    <row r="29" spans="1:15" s="5" customFormat="1" ht="47.25" x14ac:dyDescent="0.15">
      <c r="A29" s="5" t="s">
        <v>56</v>
      </c>
      <c r="B29" s="71" t="s">
        <v>57</v>
      </c>
      <c r="C29" s="71" t="s">
        <v>91</v>
      </c>
      <c r="D29" s="71" t="s">
        <v>58</v>
      </c>
      <c r="E29" s="71" t="s">
        <v>59</v>
      </c>
      <c r="F29" s="71" t="s">
        <v>60</v>
      </c>
      <c r="G29" s="71" t="s">
        <v>61</v>
      </c>
      <c r="H29" s="71" t="s">
        <v>62</v>
      </c>
      <c r="I29" s="71" t="s">
        <v>63</v>
      </c>
      <c r="J29" s="71" t="s">
        <v>92</v>
      </c>
      <c r="K29" s="71" t="s">
        <v>1</v>
      </c>
      <c r="L29" s="71" t="s">
        <v>64</v>
      </c>
      <c r="M29" s="71" t="s">
        <v>114</v>
      </c>
      <c r="N29" s="71" t="s">
        <v>65</v>
      </c>
      <c r="O29" s="71"/>
    </row>
    <row r="30" spans="1:15" x14ac:dyDescent="0.15">
      <c r="A30" s="7" t="s">
        <v>66</v>
      </c>
      <c r="B30" s="2" t="s">
        <v>67</v>
      </c>
      <c r="C30" s="2" t="s">
        <v>68</v>
      </c>
      <c r="D30" s="2">
        <v>1</v>
      </c>
      <c r="E30" s="70">
        <v>0</v>
      </c>
      <c r="F30" s="70">
        <v>0</v>
      </c>
      <c r="G30" s="2" t="e">
        <v>#DIV/0!</v>
      </c>
      <c r="I30" s="2">
        <v>0</v>
      </c>
      <c r="J30" s="2" t="e">
        <v>#DIV/0!</v>
      </c>
      <c r="K30" s="2" t="s">
        <v>68</v>
      </c>
      <c r="L30" s="2">
        <v>20001</v>
      </c>
      <c r="M30" s="2">
        <v>1</v>
      </c>
      <c r="N30" s="2" t="s">
        <v>115</v>
      </c>
    </row>
    <row r="31" spans="1:15" s="106" customFormat="1" x14ac:dyDescent="0.15">
      <c r="A31" s="106" t="s">
        <v>66</v>
      </c>
      <c r="B31" s="107" t="s">
        <v>67</v>
      </c>
      <c r="C31" s="107" t="s">
        <v>68</v>
      </c>
      <c r="D31" s="107">
        <v>1</v>
      </c>
      <c r="E31" s="109">
        <v>0</v>
      </c>
      <c r="F31" s="109">
        <v>0</v>
      </c>
      <c r="G31" s="107" t="e">
        <v>#DIV/0!</v>
      </c>
      <c r="H31" s="107"/>
      <c r="I31" s="107">
        <v>0</v>
      </c>
      <c r="J31" s="107" t="e">
        <v>#DIV/0!</v>
      </c>
      <c r="K31" s="107" t="s">
        <v>68</v>
      </c>
      <c r="L31" s="107">
        <v>20001</v>
      </c>
      <c r="M31" s="107">
        <v>1</v>
      </c>
      <c r="N31" s="107" t="s">
        <v>116</v>
      </c>
      <c r="O31" s="107"/>
    </row>
    <row r="32" spans="1:15" s="106" customFormat="1" x14ac:dyDescent="0.15">
      <c r="A32" s="106" t="s">
        <v>117</v>
      </c>
      <c r="B32" s="107" t="s">
        <v>69</v>
      </c>
      <c r="C32" s="107">
        <v>10</v>
      </c>
      <c r="D32" s="107">
        <v>1</v>
      </c>
      <c r="E32" s="109">
        <v>220000</v>
      </c>
      <c r="F32" s="109">
        <v>2300000</v>
      </c>
      <c r="G32" s="107">
        <v>9.5600000000000004E-2</v>
      </c>
      <c r="H32" s="107">
        <v>1</v>
      </c>
      <c r="I32" s="107">
        <v>0</v>
      </c>
      <c r="J32" s="107">
        <v>9.85</v>
      </c>
      <c r="K32" s="107">
        <v>98.5</v>
      </c>
      <c r="L32" s="107">
        <v>31</v>
      </c>
      <c r="M32" s="107">
        <v>5</v>
      </c>
      <c r="N32" s="107" t="s">
        <v>118</v>
      </c>
      <c r="O32" s="107"/>
    </row>
    <row r="33" spans="1:15" s="99" customFormat="1" x14ac:dyDescent="0.15">
      <c r="A33" s="99" t="s">
        <v>119</v>
      </c>
      <c r="B33" s="6" t="s">
        <v>69</v>
      </c>
      <c r="C33" s="6">
        <v>20</v>
      </c>
      <c r="D33" s="6">
        <v>1</v>
      </c>
      <c r="E33" s="100">
        <v>445000</v>
      </c>
      <c r="F33" s="100">
        <v>2320000</v>
      </c>
      <c r="G33" s="6">
        <v>0.192</v>
      </c>
      <c r="H33" s="6">
        <v>1</v>
      </c>
      <c r="I33" s="6">
        <v>0</v>
      </c>
      <c r="J33" s="6">
        <v>20.100000000000001</v>
      </c>
      <c r="K33" s="6">
        <v>100.5</v>
      </c>
      <c r="L33" s="6">
        <v>32</v>
      </c>
      <c r="M33" s="6">
        <v>5</v>
      </c>
      <c r="N33" s="6" t="s">
        <v>120</v>
      </c>
      <c r="O33" s="6"/>
    </row>
    <row r="34" spans="1:15" s="99" customFormat="1" x14ac:dyDescent="0.15">
      <c r="A34" s="99" t="s">
        <v>121</v>
      </c>
      <c r="B34" s="6" t="s">
        <v>69</v>
      </c>
      <c r="C34" s="6">
        <v>50</v>
      </c>
      <c r="D34" s="6">
        <v>1</v>
      </c>
      <c r="E34" s="100">
        <v>1120000</v>
      </c>
      <c r="F34" s="100">
        <v>2290000</v>
      </c>
      <c r="G34" s="6">
        <v>0.49</v>
      </c>
      <c r="H34" s="6">
        <v>1</v>
      </c>
      <c r="I34" s="6">
        <v>0</v>
      </c>
      <c r="J34" s="6">
        <v>51.9</v>
      </c>
      <c r="K34" s="6">
        <v>103.8</v>
      </c>
      <c r="L34" s="6">
        <v>33</v>
      </c>
      <c r="M34" s="6">
        <v>5</v>
      </c>
      <c r="N34" s="6" t="s">
        <v>122</v>
      </c>
      <c r="O34" s="6"/>
    </row>
    <row r="35" spans="1:15" s="99" customFormat="1" x14ac:dyDescent="0.15">
      <c r="A35" s="99" t="s">
        <v>123</v>
      </c>
      <c r="B35" s="6" t="s">
        <v>69</v>
      </c>
      <c r="C35" s="6">
        <v>100</v>
      </c>
      <c r="D35" s="6">
        <v>1</v>
      </c>
      <c r="E35" s="100">
        <v>2090000</v>
      </c>
      <c r="F35" s="100">
        <v>2250000</v>
      </c>
      <c r="G35" s="6">
        <v>0.92800000000000005</v>
      </c>
      <c r="H35" s="6">
        <v>1</v>
      </c>
      <c r="I35" s="6">
        <v>0</v>
      </c>
      <c r="J35" s="6">
        <v>98.6</v>
      </c>
      <c r="K35" s="6">
        <v>98.6</v>
      </c>
      <c r="L35" s="6">
        <v>34</v>
      </c>
      <c r="M35" s="6">
        <v>5</v>
      </c>
      <c r="N35" s="6" t="s">
        <v>124</v>
      </c>
      <c r="O35" s="6"/>
    </row>
    <row r="36" spans="1:15" s="99" customFormat="1" x14ac:dyDescent="0.15">
      <c r="A36" s="99" t="s">
        <v>125</v>
      </c>
      <c r="B36" s="6" t="s">
        <v>69</v>
      </c>
      <c r="C36" s="6">
        <v>200</v>
      </c>
      <c r="D36" s="6">
        <v>1</v>
      </c>
      <c r="E36" s="100">
        <v>4730000</v>
      </c>
      <c r="F36" s="100">
        <v>2250000</v>
      </c>
      <c r="G36" s="6">
        <v>2.1</v>
      </c>
      <c r="H36" s="6">
        <v>1</v>
      </c>
      <c r="I36" s="6">
        <v>0</v>
      </c>
      <c r="J36" s="6">
        <v>224</v>
      </c>
      <c r="K36" s="6">
        <v>112</v>
      </c>
      <c r="L36" s="6">
        <v>35</v>
      </c>
      <c r="M36" s="6">
        <v>5</v>
      </c>
      <c r="N36" s="6" t="s">
        <v>126</v>
      </c>
      <c r="O36" s="6"/>
    </row>
    <row r="37" spans="1:15" s="99" customFormat="1" x14ac:dyDescent="0.15">
      <c r="A37" s="99" t="s">
        <v>127</v>
      </c>
      <c r="B37" s="6" t="s">
        <v>69</v>
      </c>
      <c r="C37" s="6">
        <v>500</v>
      </c>
      <c r="D37" s="6">
        <v>1</v>
      </c>
      <c r="E37" s="100">
        <v>11500000</v>
      </c>
      <c r="F37" s="100">
        <v>2290000</v>
      </c>
      <c r="G37" s="6">
        <v>5.03</v>
      </c>
      <c r="H37" s="6">
        <v>1</v>
      </c>
      <c r="I37" s="6">
        <v>0</v>
      </c>
      <c r="J37" s="6">
        <v>536</v>
      </c>
      <c r="K37" s="6">
        <v>107.3</v>
      </c>
      <c r="L37" s="6">
        <v>36</v>
      </c>
      <c r="M37" s="6">
        <v>5</v>
      </c>
      <c r="N37" s="6" t="s">
        <v>128</v>
      </c>
      <c r="O37" s="6"/>
    </row>
    <row r="38" spans="1:15" s="99" customFormat="1" x14ac:dyDescent="0.15">
      <c r="A38" s="99" t="s">
        <v>129</v>
      </c>
      <c r="B38" s="6" t="s">
        <v>69</v>
      </c>
      <c r="C38" s="6">
        <v>1000</v>
      </c>
      <c r="D38" s="6">
        <v>1</v>
      </c>
      <c r="E38" s="100">
        <v>20300000</v>
      </c>
      <c r="F38" s="100">
        <v>2290000</v>
      </c>
      <c r="G38" s="6">
        <v>8.8699999999999992</v>
      </c>
      <c r="H38" s="6">
        <v>1</v>
      </c>
      <c r="I38" s="6">
        <v>0</v>
      </c>
      <c r="J38" s="6">
        <v>945</v>
      </c>
      <c r="K38" s="6">
        <v>94.5</v>
      </c>
      <c r="L38" s="6">
        <v>57</v>
      </c>
      <c r="M38" s="6">
        <v>5</v>
      </c>
      <c r="N38" s="6" t="s">
        <v>130</v>
      </c>
      <c r="O38" s="6"/>
    </row>
    <row r="39" spans="1:15" s="99" customFormat="1" x14ac:dyDescent="0.15">
      <c r="A39" s="99" t="s">
        <v>131</v>
      </c>
      <c r="B39" s="6" t="s">
        <v>69</v>
      </c>
      <c r="C39" s="6">
        <v>2000</v>
      </c>
      <c r="D39" s="6">
        <v>1</v>
      </c>
      <c r="E39" s="100">
        <v>34700000</v>
      </c>
      <c r="F39" s="100">
        <v>2180000</v>
      </c>
      <c r="G39" s="6">
        <v>15.9</v>
      </c>
      <c r="H39" s="6">
        <v>1</v>
      </c>
      <c r="I39" s="6">
        <v>0</v>
      </c>
      <c r="J39" s="6">
        <v>1690</v>
      </c>
      <c r="K39" s="6">
        <v>84.7</v>
      </c>
      <c r="L39" s="6">
        <v>58</v>
      </c>
      <c r="M39" s="6">
        <v>5</v>
      </c>
      <c r="N39" s="6" t="s">
        <v>132</v>
      </c>
      <c r="O39" s="6"/>
    </row>
    <row r="40" spans="1:15" x14ac:dyDescent="0.15">
      <c r="A40" s="7" t="s">
        <v>66</v>
      </c>
      <c r="B40" s="2" t="s">
        <v>67</v>
      </c>
      <c r="C40" s="2" t="s">
        <v>68</v>
      </c>
      <c r="D40" s="2">
        <v>1</v>
      </c>
      <c r="E40" s="70">
        <v>16000</v>
      </c>
      <c r="F40" s="70">
        <v>0</v>
      </c>
      <c r="G40" s="2" t="e">
        <v>#DIV/0!</v>
      </c>
      <c r="I40" s="2">
        <v>0</v>
      </c>
      <c r="J40" s="2" t="e">
        <v>#DIV/0!</v>
      </c>
      <c r="K40" s="2" t="s">
        <v>68</v>
      </c>
      <c r="L40" s="2">
        <v>20001</v>
      </c>
      <c r="M40" s="2">
        <v>1</v>
      </c>
      <c r="N40" s="2" t="s">
        <v>133</v>
      </c>
    </row>
    <row r="41" spans="1:15" x14ac:dyDescent="0.15">
      <c r="A41" s="7" t="s">
        <v>66</v>
      </c>
      <c r="B41" s="2" t="s">
        <v>67</v>
      </c>
      <c r="C41" s="2" t="s">
        <v>68</v>
      </c>
      <c r="D41" s="2">
        <v>1</v>
      </c>
      <c r="E41" s="70">
        <v>3390</v>
      </c>
      <c r="F41" s="70">
        <v>0</v>
      </c>
      <c r="G41" s="2" t="e">
        <v>#DIV/0!</v>
      </c>
      <c r="I41" s="2">
        <v>0</v>
      </c>
      <c r="J41" s="2" t="e">
        <v>#DIV/0!</v>
      </c>
      <c r="K41" s="2" t="s">
        <v>68</v>
      </c>
      <c r="L41" s="2">
        <v>20001</v>
      </c>
      <c r="M41" s="2">
        <v>1</v>
      </c>
      <c r="N41" s="2" t="s">
        <v>134</v>
      </c>
    </row>
    <row r="42" spans="1:15" x14ac:dyDescent="0.15">
      <c r="A42" s="7" t="s">
        <v>135</v>
      </c>
      <c r="B42" s="2" t="s">
        <v>67</v>
      </c>
      <c r="C42" s="2" t="s">
        <v>68</v>
      </c>
      <c r="D42" s="2">
        <v>50</v>
      </c>
      <c r="E42" s="70">
        <v>1800000</v>
      </c>
      <c r="F42" s="70">
        <v>2310000</v>
      </c>
      <c r="G42" s="2">
        <v>0.77800000000000002</v>
      </c>
      <c r="I42" s="2">
        <v>0</v>
      </c>
      <c r="J42" s="2">
        <v>4130</v>
      </c>
      <c r="K42" s="2" t="s">
        <v>68</v>
      </c>
      <c r="L42" s="2">
        <v>91</v>
      </c>
      <c r="M42" s="2">
        <v>6</v>
      </c>
      <c r="N42" s="2" t="s">
        <v>136</v>
      </c>
    </row>
    <row r="43" spans="1:15" x14ac:dyDescent="0.15">
      <c r="A43" s="7" t="s">
        <v>137</v>
      </c>
      <c r="B43" s="2" t="s">
        <v>67</v>
      </c>
      <c r="C43" s="2" t="s">
        <v>68</v>
      </c>
      <c r="D43" s="2">
        <v>50</v>
      </c>
      <c r="E43" s="70">
        <v>1720000</v>
      </c>
      <c r="F43" s="70">
        <v>2320000</v>
      </c>
      <c r="G43" s="2">
        <v>0.74199999999999999</v>
      </c>
      <c r="I43" s="2">
        <v>0</v>
      </c>
      <c r="J43" s="2">
        <v>3940</v>
      </c>
      <c r="K43" s="2" t="s">
        <v>68</v>
      </c>
      <c r="L43" s="2">
        <v>92</v>
      </c>
      <c r="M43" s="2">
        <v>6</v>
      </c>
      <c r="N43" s="2" t="s">
        <v>138</v>
      </c>
    </row>
    <row r="44" spans="1:15" x14ac:dyDescent="0.15">
      <c r="A44" s="7" t="s">
        <v>66</v>
      </c>
      <c r="B44" s="2" t="s">
        <v>67</v>
      </c>
      <c r="C44" s="2" t="s">
        <v>68</v>
      </c>
      <c r="D44" s="2">
        <v>1</v>
      </c>
      <c r="E44" s="70">
        <v>1350</v>
      </c>
      <c r="F44" s="70">
        <v>0</v>
      </c>
      <c r="G44" s="2" t="e">
        <v>#DIV/0!</v>
      </c>
      <c r="I44" s="2">
        <v>0</v>
      </c>
      <c r="J44" s="2" t="e">
        <v>#DIV/0!</v>
      </c>
      <c r="K44" s="2" t="s">
        <v>68</v>
      </c>
      <c r="L44" s="2">
        <v>20001</v>
      </c>
      <c r="M44" s="2">
        <v>1</v>
      </c>
      <c r="N44" s="2" t="s">
        <v>139</v>
      </c>
    </row>
    <row r="45" spans="1:15" x14ac:dyDescent="0.15">
      <c r="A45" s="7" t="s">
        <v>66</v>
      </c>
      <c r="B45" s="2" t="s">
        <v>67</v>
      </c>
      <c r="C45" s="2" t="s">
        <v>68</v>
      </c>
      <c r="D45" s="2">
        <v>1</v>
      </c>
      <c r="E45" s="70">
        <v>465</v>
      </c>
      <c r="F45" s="70">
        <v>0</v>
      </c>
      <c r="G45" s="2" t="e">
        <v>#DIV/0!</v>
      </c>
      <c r="I45" s="2">
        <v>0</v>
      </c>
      <c r="J45" s="2" t="e">
        <v>#DIV/0!</v>
      </c>
      <c r="K45" s="2" t="s">
        <v>68</v>
      </c>
      <c r="L45" s="2">
        <v>20001</v>
      </c>
      <c r="M45" s="2">
        <v>1</v>
      </c>
      <c r="N45" s="2" t="s">
        <v>140</v>
      </c>
    </row>
    <row r="46" spans="1:15" x14ac:dyDescent="0.15">
      <c r="A46" s="7" t="s">
        <v>141</v>
      </c>
      <c r="B46" s="2" t="s">
        <v>67</v>
      </c>
      <c r="C46" s="2" t="s">
        <v>68</v>
      </c>
      <c r="D46" s="2">
        <v>50</v>
      </c>
      <c r="E46" s="70">
        <v>2170000</v>
      </c>
      <c r="F46" s="70">
        <v>2360000</v>
      </c>
      <c r="G46" s="2">
        <v>0.91700000000000004</v>
      </c>
      <c r="I46" s="2">
        <v>0</v>
      </c>
      <c r="J46" s="2">
        <v>4870</v>
      </c>
      <c r="K46" s="2" t="s">
        <v>68</v>
      </c>
      <c r="L46" s="2">
        <v>93</v>
      </c>
      <c r="M46" s="2">
        <v>6</v>
      </c>
      <c r="N46" s="2" t="s">
        <v>142</v>
      </c>
    </row>
    <row r="47" spans="1:15" x14ac:dyDescent="0.15">
      <c r="A47" s="7" t="s">
        <v>143</v>
      </c>
      <c r="B47" s="2" t="s">
        <v>67</v>
      </c>
      <c r="C47" s="2" t="s">
        <v>68</v>
      </c>
      <c r="D47" s="2">
        <v>50</v>
      </c>
      <c r="E47" s="70">
        <v>2100000</v>
      </c>
      <c r="F47" s="70">
        <v>2380000</v>
      </c>
      <c r="G47" s="2">
        <v>0.88200000000000001</v>
      </c>
      <c r="I47" s="2">
        <v>0</v>
      </c>
      <c r="J47" s="2">
        <v>4680</v>
      </c>
      <c r="K47" s="2" t="s">
        <v>68</v>
      </c>
      <c r="L47" s="2">
        <v>94</v>
      </c>
      <c r="M47" s="2">
        <v>6</v>
      </c>
      <c r="N47" s="2" t="s">
        <v>144</v>
      </c>
    </row>
    <row r="48" spans="1:15" x14ac:dyDescent="0.15">
      <c r="A48" s="7" t="s">
        <v>66</v>
      </c>
      <c r="B48" s="2" t="s">
        <v>67</v>
      </c>
      <c r="C48" s="2" t="s">
        <v>68</v>
      </c>
      <c r="D48" s="2">
        <v>1</v>
      </c>
      <c r="E48" s="70">
        <v>975</v>
      </c>
      <c r="F48" s="70">
        <v>0</v>
      </c>
      <c r="G48" s="2" t="e">
        <v>#DIV/0!</v>
      </c>
      <c r="I48" s="2">
        <v>0</v>
      </c>
      <c r="J48" s="2" t="e">
        <v>#DIV/0!</v>
      </c>
      <c r="K48" s="2" t="s">
        <v>68</v>
      </c>
      <c r="L48" s="2">
        <v>20001</v>
      </c>
      <c r="M48" s="2">
        <v>1</v>
      </c>
      <c r="N48" s="2" t="s">
        <v>145</v>
      </c>
    </row>
    <row r="49" spans="1:14" x14ac:dyDescent="0.15">
      <c r="A49" s="7" t="s">
        <v>66</v>
      </c>
      <c r="B49" s="2" t="s">
        <v>67</v>
      </c>
      <c r="C49" s="2" t="s">
        <v>68</v>
      </c>
      <c r="D49" s="2">
        <v>1</v>
      </c>
      <c r="E49" s="70">
        <v>0</v>
      </c>
      <c r="F49" s="70">
        <v>0</v>
      </c>
      <c r="G49" s="2" t="e">
        <v>#DIV/0!</v>
      </c>
      <c r="I49" s="2">
        <v>0</v>
      </c>
      <c r="J49" s="2" t="e">
        <v>#DIV/0!</v>
      </c>
      <c r="K49" s="2" t="s">
        <v>68</v>
      </c>
      <c r="L49" s="2">
        <v>20001</v>
      </c>
      <c r="M49" s="2">
        <v>1</v>
      </c>
      <c r="N49" s="2" t="s">
        <v>146</v>
      </c>
    </row>
    <row r="50" spans="1:14" x14ac:dyDescent="0.15">
      <c r="A50" s="7" t="s">
        <v>147</v>
      </c>
      <c r="B50" s="2" t="s">
        <v>67</v>
      </c>
      <c r="C50" s="2" t="s">
        <v>68</v>
      </c>
      <c r="D50" s="2">
        <v>50</v>
      </c>
      <c r="E50" s="70">
        <v>2140000</v>
      </c>
      <c r="F50" s="70">
        <v>2300000</v>
      </c>
      <c r="G50" s="2">
        <v>0.93200000000000005</v>
      </c>
      <c r="I50" s="2">
        <v>0</v>
      </c>
      <c r="J50" s="2">
        <v>4950</v>
      </c>
      <c r="K50" s="2" t="s">
        <v>68</v>
      </c>
      <c r="L50" s="2">
        <v>95</v>
      </c>
      <c r="M50" s="2">
        <v>6</v>
      </c>
      <c r="N50" s="2" t="s">
        <v>148</v>
      </c>
    </row>
    <row r="51" spans="1:14" x14ac:dyDescent="0.15">
      <c r="A51" s="7" t="s">
        <v>149</v>
      </c>
      <c r="B51" s="2" t="s">
        <v>67</v>
      </c>
      <c r="C51" s="2" t="s">
        <v>68</v>
      </c>
      <c r="D51" s="2">
        <v>50</v>
      </c>
      <c r="E51" s="70">
        <v>2040000</v>
      </c>
      <c r="F51" s="70">
        <v>2310000</v>
      </c>
      <c r="G51" s="2">
        <v>0.88</v>
      </c>
      <c r="I51" s="2">
        <v>0</v>
      </c>
      <c r="J51" s="2">
        <v>4680</v>
      </c>
      <c r="K51" s="2" t="s">
        <v>68</v>
      </c>
      <c r="L51" s="2">
        <v>96</v>
      </c>
      <c r="M51" s="2">
        <v>6</v>
      </c>
      <c r="N51" s="2" t="s">
        <v>150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J26" sqref="J26"/>
    </sheetView>
  </sheetViews>
  <sheetFormatPr defaultColWidth="8.75" defaultRowHeight="15.75" x14ac:dyDescent="0.15"/>
  <cols>
    <col min="1" max="1" width="8.75" style="64"/>
    <col min="2" max="2" width="21.125" style="64" customWidth="1"/>
    <col min="3" max="3" width="13.25" style="64" customWidth="1"/>
    <col min="4" max="4" width="10.625" style="64" customWidth="1"/>
    <col min="5" max="16384" width="8.75" style="64"/>
  </cols>
  <sheetData>
    <row r="1" spans="1:21" s="73" customFormat="1" x14ac:dyDescent="0.15">
      <c r="B1" s="78" t="s">
        <v>154</v>
      </c>
    </row>
    <row r="2" spans="1:21" x14ac:dyDescent="0.15">
      <c r="B2" s="25"/>
    </row>
    <row r="3" spans="1:21" ht="19.5" thickBot="1" x14ac:dyDescent="0.3">
      <c r="A3" s="26"/>
      <c r="B3" s="164" t="s">
        <v>153</v>
      </c>
      <c r="C3" s="164"/>
      <c r="D3" s="27"/>
      <c r="E3" s="28"/>
      <c r="F3" s="29"/>
      <c r="G3" s="30"/>
      <c r="H3" s="31"/>
      <c r="I3" s="30"/>
      <c r="J3" s="30"/>
      <c r="K3" s="30"/>
      <c r="L3" s="30"/>
      <c r="M3" s="30"/>
      <c r="N3" s="32"/>
      <c r="O3" s="32"/>
      <c r="P3" s="32"/>
      <c r="Q3" s="32"/>
      <c r="R3" s="32"/>
      <c r="S3" s="32"/>
      <c r="T3" s="32"/>
      <c r="U3" s="32"/>
    </row>
    <row r="4" spans="1:21" x14ac:dyDescent="0.25">
      <c r="A4" s="26"/>
      <c r="B4" s="165" t="s">
        <v>27</v>
      </c>
      <c r="C4" s="165"/>
      <c r="D4" s="80" t="s">
        <v>28</v>
      </c>
      <c r="E4" s="33" t="s">
        <v>158</v>
      </c>
      <c r="F4" s="30"/>
      <c r="G4" s="30"/>
      <c r="H4" s="34"/>
      <c r="I4" s="30"/>
      <c r="J4" s="30"/>
      <c r="K4" s="30"/>
      <c r="L4" s="30"/>
      <c r="M4" s="30"/>
      <c r="N4" s="32"/>
      <c r="O4" s="32"/>
      <c r="P4" s="32"/>
      <c r="Q4" s="32"/>
      <c r="R4" s="32"/>
      <c r="S4" s="32"/>
      <c r="T4" s="32"/>
      <c r="U4" s="32"/>
    </row>
    <row r="5" spans="1:21" x14ac:dyDescent="0.25">
      <c r="A5" s="26"/>
      <c r="B5" s="35" t="s">
        <v>29</v>
      </c>
      <c r="C5" s="35" t="s">
        <v>0</v>
      </c>
      <c r="D5" s="81" t="s">
        <v>30</v>
      </c>
      <c r="E5" s="36" t="s">
        <v>89</v>
      </c>
      <c r="F5" s="30"/>
      <c r="G5" s="30"/>
      <c r="H5" s="34"/>
      <c r="I5" s="30"/>
      <c r="J5" s="30"/>
      <c r="K5" s="30"/>
      <c r="L5" s="30"/>
      <c r="M5" s="30"/>
      <c r="N5" s="32"/>
      <c r="O5" s="32"/>
      <c r="P5" s="32"/>
      <c r="Q5" s="32"/>
      <c r="R5" s="32"/>
      <c r="S5" s="32"/>
      <c r="T5" s="32"/>
      <c r="U5" s="32"/>
    </row>
    <row r="6" spans="1:21" ht="18.75" x14ac:dyDescent="0.25">
      <c r="A6" s="37"/>
      <c r="B6" s="101">
        <v>0.7</v>
      </c>
      <c r="C6" s="102">
        <v>30</v>
      </c>
      <c r="D6" s="81" t="s">
        <v>31</v>
      </c>
      <c r="E6" s="36" t="s">
        <v>78</v>
      </c>
      <c r="F6" s="30"/>
      <c r="G6" s="36"/>
      <c r="H6" s="36"/>
      <c r="I6" s="36"/>
      <c r="J6" s="36"/>
      <c r="K6" s="36"/>
      <c r="L6" s="36"/>
      <c r="M6" s="36"/>
      <c r="N6" s="39"/>
      <c r="O6" s="39"/>
      <c r="P6" s="39"/>
      <c r="Q6" s="39"/>
      <c r="R6" s="39"/>
      <c r="S6" s="39"/>
      <c r="T6" s="39"/>
      <c r="U6" s="39"/>
    </row>
    <row r="7" spans="1:21" x14ac:dyDescent="0.25">
      <c r="A7" s="37"/>
      <c r="B7" s="101">
        <v>1</v>
      </c>
      <c r="C7" s="102">
        <v>95</v>
      </c>
      <c r="D7" s="81" t="s">
        <v>32</v>
      </c>
      <c r="E7" s="37" t="s">
        <v>79</v>
      </c>
      <c r="F7" s="26"/>
      <c r="G7" s="37"/>
      <c r="H7" s="36"/>
      <c r="I7" s="36"/>
      <c r="J7" s="36"/>
      <c r="K7" s="36"/>
      <c r="L7" s="36"/>
      <c r="M7" s="36"/>
      <c r="N7" s="39"/>
      <c r="O7" s="39"/>
      <c r="P7" s="39"/>
      <c r="Q7" s="39"/>
      <c r="R7" s="39"/>
      <c r="S7" s="39"/>
      <c r="T7" s="39"/>
      <c r="U7" s="39"/>
    </row>
    <row r="8" spans="1:21" x14ac:dyDescent="0.25">
      <c r="A8" s="37"/>
      <c r="B8" s="101">
        <v>1.8</v>
      </c>
      <c r="C8" s="102">
        <v>95</v>
      </c>
      <c r="D8" s="81"/>
      <c r="E8" s="97"/>
      <c r="F8" s="40"/>
      <c r="G8" s="37"/>
      <c r="H8" s="36"/>
      <c r="I8" s="36"/>
      <c r="J8" s="36"/>
      <c r="K8" s="36"/>
      <c r="L8" s="36"/>
      <c r="M8" s="36"/>
      <c r="N8" s="39"/>
      <c r="O8" s="39"/>
      <c r="P8" s="39"/>
      <c r="Q8" s="39"/>
      <c r="R8" s="39"/>
      <c r="S8" s="39"/>
      <c r="T8" s="39"/>
      <c r="U8" s="39"/>
    </row>
    <row r="9" spans="1:21" x14ac:dyDescent="0.25">
      <c r="A9" s="37"/>
      <c r="B9" s="101">
        <f>B8+0.01</f>
        <v>1.81</v>
      </c>
      <c r="C9" s="102">
        <f>C6</f>
        <v>30</v>
      </c>
      <c r="D9" s="81" t="s">
        <v>33</v>
      </c>
      <c r="E9" s="105" t="s">
        <v>159</v>
      </c>
      <c r="F9" s="26"/>
      <c r="G9" s="37"/>
      <c r="H9" s="36"/>
      <c r="I9" s="36"/>
      <c r="J9" s="36"/>
      <c r="K9" s="36"/>
      <c r="L9" s="36"/>
      <c r="M9" s="36"/>
      <c r="N9" s="39"/>
      <c r="O9" s="39"/>
      <c r="P9" s="39"/>
      <c r="Q9" s="39"/>
      <c r="R9" s="39"/>
      <c r="S9" s="39"/>
      <c r="T9" s="39"/>
      <c r="U9" s="39"/>
    </row>
    <row r="10" spans="1:21" ht="16.5" thickBot="1" x14ac:dyDescent="0.3">
      <c r="A10" s="26"/>
      <c r="B10" s="103">
        <v>3</v>
      </c>
      <c r="C10" s="104" t="s">
        <v>34</v>
      </c>
      <c r="D10" s="98"/>
      <c r="E10" s="98"/>
      <c r="F10" s="41"/>
      <c r="G10" s="42"/>
      <c r="H10" s="32"/>
      <c r="I10" s="43"/>
      <c r="J10" s="32"/>
      <c r="K10" s="30"/>
      <c r="L10" s="30"/>
      <c r="M10" s="30"/>
      <c r="N10" s="30"/>
      <c r="O10" s="30"/>
      <c r="P10" s="32"/>
      <c r="Q10" s="32"/>
      <c r="R10" s="32"/>
      <c r="S10" s="32"/>
      <c r="T10" s="32"/>
      <c r="U10" s="32"/>
    </row>
    <row r="11" spans="1:21" x14ac:dyDescent="0.25">
      <c r="A11" s="32"/>
      <c r="B11" s="81"/>
      <c r="C11" s="81"/>
      <c r="D11" s="81"/>
      <c r="E11" s="38"/>
      <c r="F11" s="38"/>
      <c r="G11" s="38"/>
      <c r="H11" s="40"/>
      <c r="I11" s="40"/>
      <c r="J11" s="40"/>
      <c r="K11" s="30"/>
      <c r="L11" s="30"/>
      <c r="M11" s="108"/>
      <c r="N11" s="30"/>
      <c r="O11" s="30"/>
      <c r="P11" s="32"/>
      <c r="Q11" s="32"/>
      <c r="R11" s="32"/>
      <c r="S11" s="32"/>
      <c r="T11" s="32"/>
      <c r="U11" s="32"/>
    </row>
    <row r="12" spans="1:21" ht="16.5" thickBot="1" x14ac:dyDescent="0.3">
      <c r="A12" s="32"/>
      <c r="B12" s="164" t="s">
        <v>35</v>
      </c>
      <c r="C12" s="164"/>
      <c r="D12" s="164"/>
      <c r="E12" s="164"/>
      <c r="F12" s="164"/>
      <c r="G12" s="164"/>
      <c r="H12" s="44"/>
      <c r="I12" s="40"/>
      <c r="J12" s="40"/>
      <c r="K12" s="30"/>
      <c r="L12" s="30"/>
      <c r="M12" s="30"/>
      <c r="N12" s="30"/>
      <c r="O12" s="30"/>
      <c r="P12" s="32"/>
      <c r="Q12" s="32"/>
      <c r="R12" s="32"/>
      <c r="S12" s="32"/>
      <c r="T12" s="32"/>
      <c r="U12" s="32"/>
    </row>
    <row r="13" spans="1:21" x14ac:dyDescent="0.25">
      <c r="A13" s="32"/>
      <c r="B13" s="45" t="s">
        <v>36</v>
      </c>
      <c r="C13" s="166" t="s">
        <v>96</v>
      </c>
      <c r="D13" s="166"/>
      <c r="E13" s="45" t="s">
        <v>37</v>
      </c>
      <c r="F13" s="45" t="s">
        <v>38</v>
      </c>
      <c r="G13" s="45" t="s">
        <v>39</v>
      </c>
      <c r="H13" s="41"/>
      <c r="I13" s="40"/>
      <c r="J13" s="30"/>
      <c r="K13" s="30"/>
      <c r="L13" s="30"/>
      <c r="M13" s="30"/>
      <c r="N13" s="30"/>
      <c r="O13" s="32"/>
      <c r="P13" s="32"/>
      <c r="Q13" s="32"/>
      <c r="R13" s="32"/>
      <c r="S13" s="32"/>
      <c r="T13" s="32"/>
      <c r="U13" s="32"/>
    </row>
    <row r="14" spans="1:21" x14ac:dyDescent="0.25">
      <c r="A14" s="32"/>
      <c r="B14" s="46" t="str">
        <f>Summary!B4</f>
        <v>HW356009-P1</v>
      </c>
      <c r="C14" s="167" t="s">
        <v>156</v>
      </c>
      <c r="D14" s="167"/>
      <c r="E14" s="48">
        <v>90</v>
      </c>
      <c r="F14" s="48">
        <v>42</v>
      </c>
      <c r="G14" s="48">
        <v>15</v>
      </c>
      <c r="H14" s="40"/>
      <c r="I14" s="40"/>
      <c r="J14" s="30"/>
      <c r="K14" s="30"/>
      <c r="L14" s="30"/>
      <c r="M14" s="30"/>
      <c r="N14" s="30"/>
      <c r="O14" s="32"/>
      <c r="P14" s="32"/>
      <c r="Q14" s="32"/>
      <c r="R14" s="32"/>
      <c r="S14" s="32"/>
      <c r="T14" s="32"/>
      <c r="U14" s="32"/>
    </row>
    <row r="15" spans="1:21" ht="16.5" thickBot="1" x14ac:dyDescent="0.3">
      <c r="A15" s="32"/>
      <c r="B15" s="79" t="s">
        <v>98</v>
      </c>
      <c r="C15" s="163" t="s">
        <v>97</v>
      </c>
      <c r="D15" s="163"/>
      <c r="E15" s="122">
        <v>90</v>
      </c>
      <c r="F15" s="122">
        <v>35</v>
      </c>
      <c r="G15" s="122">
        <v>15</v>
      </c>
      <c r="H15" s="40"/>
      <c r="I15" s="40"/>
      <c r="J15" s="30"/>
      <c r="K15" s="30"/>
      <c r="L15" s="30"/>
      <c r="M15" s="30"/>
      <c r="N15" s="30"/>
      <c r="O15" s="32"/>
      <c r="P15" s="32"/>
      <c r="Q15" s="32"/>
      <c r="R15" s="32"/>
      <c r="S15" s="32"/>
      <c r="T15" s="32"/>
      <c r="U15" s="32"/>
    </row>
    <row r="16" spans="1:21" x14ac:dyDescent="0.25">
      <c r="A16" s="32"/>
      <c r="B16" s="162"/>
      <c r="C16" s="162"/>
      <c r="D16" s="47"/>
      <c r="E16" s="48"/>
      <c r="F16" s="48"/>
      <c r="G16" s="48"/>
      <c r="H16" s="40"/>
      <c r="I16" s="40"/>
      <c r="J16" s="30"/>
      <c r="K16" s="30"/>
      <c r="L16" s="30"/>
      <c r="M16" s="30"/>
      <c r="N16" s="30"/>
      <c r="O16" s="32"/>
      <c r="P16" s="32"/>
      <c r="Q16" s="32"/>
      <c r="R16" s="32"/>
      <c r="S16" s="32"/>
      <c r="T16" s="32"/>
      <c r="U16" s="32"/>
    </row>
  </sheetData>
  <mergeCells count="7">
    <mergeCell ref="B16:C16"/>
    <mergeCell ref="C15:D15"/>
    <mergeCell ref="B3:C3"/>
    <mergeCell ref="B4:C4"/>
    <mergeCell ref="B12:G12"/>
    <mergeCell ref="C13:D13"/>
    <mergeCell ref="C14:D14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CoverPage</vt:lpstr>
      <vt:lpstr>Summary</vt:lpstr>
      <vt:lpstr>Solubility Determination</vt:lpstr>
      <vt:lpstr>Calculation</vt:lpstr>
      <vt:lpstr>Raw Data</vt:lpstr>
      <vt:lpstr>Experiment detail</vt:lpstr>
      <vt:lpstr>Summary!Print_Area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jingjing.wang</dc:creator>
  <cp:keywords/>
  <dc:description/>
  <cp:lastModifiedBy>Leliang Bu</cp:lastModifiedBy>
  <cp:revision/>
  <cp:lastPrinted>2013-12-17T02:41:57Z</cp:lastPrinted>
  <dcterms:created xsi:type="dcterms:W3CDTF">2011-11-12T09:58:44Z</dcterms:created>
  <dcterms:modified xsi:type="dcterms:W3CDTF">2025-09-05T07:03:02Z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2052-8.1.0.2998</vt:lpwstr>
  </property>
</Properties>
</file>