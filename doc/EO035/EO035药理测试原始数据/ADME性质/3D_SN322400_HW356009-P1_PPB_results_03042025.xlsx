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28800" windowHeight="11085" tabRatio="794"/>
  </bookViews>
  <sheets>
    <sheet name="CoverPage" sheetId="19" r:id="rId1"/>
    <sheet name="Summary" sheetId="7" r:id="rId2"/>
    <sheet name="HW356009-P1" sheetId="23" r:id="rId3"/>
    <sheet name="Controls" sheetId="21" r:id="rId4"/>
    <sheet name="Raw data" sheetId="8" r:id="rId5"/>
    <sheet name="Experimental detail" sheetId="18" r:id="rId6"/>
  </sheets>
  <definedNames>
    <definedName name="OLE_LINK1" localSheetId="0">CoverPage!$B$7</definedName>
    <definedName name="OLE_LINK10" localSheetId="0">CoverPage!$B$8</definedName>
    <definedName name="OLE_LINK12" localSheetId="0">CoverPage!$B$9</definedName>
    <definedName name="Z_748CD066_2CBF_4852_A239_32CCC98217C5_.wvu.Cols" localSheetId="0" hidden="1">CoverPage!$I:$IV</definedName>
    <definedName name="Z_7AC3556B_23E3_4EC8_9ACD_6CF62A4EE103_.wvu.Cols" localSheetId="0" hidden="1">CoverPage!$I:$IV</definedName>
    <definedName name="Z_879CBF46_DC90_4A2A_8656_0F4412D7545D_.wvu.Cols" localSheetId="0" hidden="1">CoverPage!$I:$IV</definedName>
    <definedName name="Z_931F6C99_D806_45A0_B253_489543215844_.wvu.Cols" localSheetId="0" hidden="1">CoverPage!$I:$IV</definedName>
    <definedName name="Z_A31A0AF2_F597_47F3_A709_A314C5282F0B_.wvu.Cols" localSheetId="0" hidden="1">CoverPage!$I:$IV</definedName>
  </definedNames>
  <calcPr calcId="152511" concurrentCalc="0"/>
</workbook>
</file>

<file path=xl/calcChain.xml><?xml version="1.0" encoding="utf-8"?>
<calcChain xmlns="http://schemas.openxmlformats.org/spreadsheetml/2006/main">
  <c r="I34" i="23" l="1"/>
  <c r="I19" i="23"/>
  <c r="N5" i="23"/>
  <c r="N4" i="23"/>
  <c r="M4" i="23"/>
  <c r="L4" i="23"/>
  <c r="K5" i="23"/>
  <c r="K4" i="23"/>
  <c r="I5" i="23"/>
  <c r="I4" i="23"/>
  <c r="H4" i="23"/>
  <c r="G5" i="23"/>
  <c r="G4" i="23"/>
  <c r="B6" i="19"/>
  <c r="A1" i="8"/>
  <c r="C19" i="23"/>
  <c r="F19" i="23"/>
  <c r="G19" i="23"/>
  <c r="C21" i="23"/>
  <c r="F21" i="23"/>
  <c r="G21" i="23"/>
  <c r="C20" i="23"/>
  <c r="F20" i="23"/>
  <c r="G20" i="23"/>
  <c r="C22" i="23"/>
  <c r="F22" i="23"/>
  <c r="G22" i="23"/>
  <c r="I20" i="23"/>
  <c r="C49" i="23"/>
  <c r="F49" i="23"/>
  <c r="G49" i="23"/>
  <c r="C51" i="23"/>
  <c r="F51" i="23"/>
  <c r="G51" i="23"/>
  <c r="I49" i="23"/>
  <c r="C53" i="23"/>
  <c r="F53" i="23"/>
  <c r="G53" i="23"/>
  <c r="C54" i="23"/>
  <c r="F54" i="23"/>
  <c r="G54" i="23"/>
  <c r="H53" i="23"/>
  <c r="N49" i="23"/>
  <c r="B23" i="18"/>
  <c r="D53" i="21"/>
  <c r="G53" i="21"/>
  <c r="H53" i="21"/>
  <c r="D55" i="21"/>
  <c r="G55" i="21"/>
  <c r="H55" i="21"/>
  <c r="L53" i="21"/>
  <c r="D73" i="23"/>
  <c r="G73" i="23"/>
  <c r="H73" i="23"/>
  <c r="C68" i="23"/>
  <c r="F68" i="23"/>
  <c r="G68" i="23"/>
  <c r="C69" i="23"/>
  <c r="F69" i="23"/>
  <c r="G69" i="23"/>
  <c r="H68" i="23"/>
  <c r="C73" i="23"/>
  <c r="I73" i="23"/>
  <c r="D74" i="23"/>
  <c r="G74" i="23"/>
  <c r="H74" i="23"/>
  <c r="I74" i="23"/>
  <c r="J73" i="23"/>
  <c r="U11" i="7"/>
  <c r="C8" i="23"/>
  <c r="F8" i="23"/>
  <c r="G8" i="23"/>
  <c r="C9" i="23"/>
  <c r="F9" i="23"/>
  <c r="G9" i="23"/>
  <c r="H8" i="23"/>
  <c r="C13" i="23"/>
  <c r="C3" i="18"/>
  <c r="A41" i="23"/>
  <c r="A32" i="23"/>
  <c r="B22" i="18"/>
  <c r="A71" i="23"/>
  <c r="A62" i="23"/>
  <c r="A56" i="23"/>
  <c r="A47" i="23"/>
  <c r="A26" i="23"/>
  <c r="A17" i="23"/>
  <c r="A11" i="23"/>
  <c r="A2" i="23"/>
  <c r="B73" i="23"/>
  <c r="B68" i="23"/>
  <c r="B66" i="23"/>
  <c r="B64" i="23"/>
  <c r="B58" i="23"/>
  <c r="B53" i="23"/>
  <c r="B51" i="23"/>
  <c r="B49" i="23"/>
  <c r="B43" i="23"/>
  <c r="B38" i="23"/>
  <c r="B36" i="23"/>
  <c r="B34" i="23"/>
  <c r="B28" i="23"/>
  <c r="B23" i="23"/>
  <c r="B21" i="23"/>
  <c r="B19" i="23"/>
  <c r="B13" i="23"/>
  <c r="B8" i="23"/>
  <c r="B6" i="23"/>
  <c r="B4" i="23"/>
  <c r="A11" i="7"/>
  <c r="C34" i="23"/>
  <c r="D62" i="21"/>
  <c r="D79" i="21"/>
  <c r="D6" i="23"/>
  <c r="D54" i="21"/>
  <c r="D18" i="21"/>
  <c r="D23" i="21"/>
  <c r="D26" i="21"/>
  <c r="D74" i="21"/>
  <c r="D16" i="21"/>
  <c r="D82" i="21"/>
  <c r="D35" i="21"/>
  <c r="F13" i="23"/>
  <c r="D65" i="21"/>
  <c r="D40" i="21"/>
  <c r="D8" i="21"/>
  <c r="D71" i="21"/>
  <c r="D32" i="21"/>
  <c r="D92" i="21"/>
  <c r="D63" i="21"/>
  <c r="D13" i="21"/>
  <c r="D66" i="21"/>
  <c r="E8" i="23"/>
  <c r="E74" i="23"/>
  <c r="D68" i="23"/>
  <c r="D72" i="21"/>
  <c r="D44" i="21"/>
  <c r="D15" i="21"/>
  <c r="D75" i="21"/>
  <c r="D43" i="21"/>
  <c r="D7" i="21"/>
  <c r="D70" i="21"/>
  <c r="D24" i="21"/>
  <c r="D80" i="21"/>
  <c r="D91" i="21"/>
  <c r="E28" i="23"/>
  <c r="D50" i="23"/>
  <c r="D38" i="23"/>
  <c r="D83" i="21"/>
  <c r="D61" i="21"/>
  <c r="D33" i="21"/>
  <c r="D93" i="21"/>
  <c r="D57" i="21"/>
  <c r="D25" i="21"/>
  <c r="D88" i="21"/>
  <c r="D42" i="21"/>
  <c r="D84" i="21"/>
  <c r="D27" i="21"/>
  <c r="D41" i="21"/>
  <c r="E9" i="23"/>
  <c r="D37" i="23"/>
  <c r="G44" i="23"/>
  <c r="D52" i="21"/>
  <c r="D17" i="21"/>
  <c r="D34" i="21"/>
  <c r="D45" i="21"/>
  <c r="D4" i="21"/>
  <c r="E29" i="23"/>
  <c r="F43" i="23"/>
  <c r="E49" i="23"/>
  <c r="D14" i="23"/>
  <c r="D22" i="21"/>
  <c r="D89" i="21"/>
  <c r="D64" i="21"/>
  <c r="D36" i="21"/>
  <c r="D14" i="21"/>
  <c r="D81" i="21"/>
  <c r="D56" i="21"/>
  <c r="D31" i="21"/>
  <c r="D6" i="21"/>
  <c r="D9" i="21"/>
  <c r="D73" i="21"/>
  <c r="D5" i="21"/>
  <c r="D90" i="21"/>
  <c r="E38" i="23"/>
  <c r="F28" i="23"/>
  <c r="E19" i="23"/>
  <c r="D8" i="23"/>
  <c r="D7" i="23"/>
  <c r="D69" i="23"/>
  <c r="D39" i="23"/>
  <c r="C24" i="23"/>
  <c r="E64" i="23"/>
  <c r="D24" i="23"/>
  <c r="E69" i="23"/>
  <c r="F7" i="23"/>
  <c r="G93" i="21"/>
  <c r="F92" i="21"/>
  <c r="E91" i="21"/>
  <c r="G89" i="21"/>
  <c r="H89" i="21"/>
  <c r="F88" i="21"/>
  <c r="E84" i="21"/>
  <c r="G82" i="21"/>
  <c r="H82" i="21"/>
  <c r="F81" i="21"/>
  <c r="E80" i="21"/>
  <c r="G75" i="21"/>
  <c r="F74" i="21"/>
  <c r="E73" i="21"/>
  <c r="G71" i="21"/>
  <c r="H71" i="21"/>
  <c r="F70" i="21"/>
  <c r="E66" i="21"/>
  <c r="G64" i="21"/>
  <c r="F63" i="21"/>
  <c r="E62" i="21"/>
  <c r="G57" i="21"/>
  <c r="F56" i="21"/>
  <c r="E55" i="21"/>
  <c r="F52" i="21"/>
  <c r="E45" i="21"/>
  <c r="G43" i="21"/>
  <c r="F42" i="21"/>
  <c r="E41" i="21"/>
  <c r="G36" i="21"/>
  <c r="F35" i="21"/>
  <c r="E34" i="21"/>
  <c r="G32" i="21"/>
  <c r="F31" i="21"/>
  <c r="E27" i="21"/>
  <c r="G25" i="21"/>
  <c r="F24" i="21"/>
  <c r="E23" i="21"/>
  <c r="G18" i="21"/>
  <c r="F17" i="21"/>
  <c r="E16" i="21"/>
  <c r="G14" i="21"/>
  <c r="F13" i="21"/>
  <c r="E9" i="21"/>
  <c r="G7" i="21"/>
  <c r="F6" i="21"/>
  <c r="E5" i="21"/>
  <c r="G92" i="21"/>
  <c r="G88" i="21"/>
  <c r="F84" i="21"/>
  <c r="E83" i="21"/>
  <c r="E79" i="21"/>
  <c r="E72" i="21"/>
  <c r="E65" i="21"/>
  <c r="E61" i="21"/>
  <c r="E54" i="21"/>
  <c r="E44" i="21"/>
  <c r="E40" i="21"/>
  <c r="E33" i="21"/>
  <c r="E26" i="21"/>
  <c r="E22" i="21"/>
  <c r="E15" i="21"/>
  <c r="E8" i="21"/>
  <c r="E4" i="21"/>
  <c r="F93" i="21"/>
  <c r="E92" i="21"/>
  <c r="G90" i="21"/>
  <c r="F89" i="21"/>
  <c r="E88" i="21"/>
  <c r="G83" i="21"/>
  <c r="H83" i="21"/>
  <c r="F82" i="21"/>
  <c r="E81" i="21"/>
  <c r="G79" i="21"/>
  <c r="F75" i="21"/>
  <c r="E74" i="21"/>
  <c r="G72" i="21"/>
  <c r="F71" i="21"/>
  <c r="E70" i="21"/>
  <c r="G65" i="21"/>
  <c r="F64" i="21"/>
  <c r="E63" i="21"/>
  <c r="G61" i="21"/>
  <c r="F57" i="21"/>
  <c r="E56" i="21"/>
  <c r="G54" i="21"/>
  <c r="F53" i="21"/>
  <c r="E52" i="21"/>
  <c r="G44" i="21"/>
  <c r="F43" i="21"/>
  <c r="E42" i="21"/>
  <c r="G40" i="21"/>
  <c r="F36" i="21"/>
  <c r="E35" i="21"/>
  <c r="G33" i="21"/>
  <c r="F32" i="21"/>
  <c r="E31" i="21"/>
  <c r="G26" i="21"/>
  <c r="F25" i="21"/>
  <c r="E24" i="21"/>
  <c r="G22" i="21"/>
  <c r="F18" i="21"/>
  <c r="E17" i="21"/>
  <c r="G15" i="21"/>
  <c r="H15" i="21"/>
  <c r="F14" i="21"/>
  <c r="E13" i="21"/>
  <c r="G8" i="21"/>
  <c r="H8" i="21"/>
  <c r="F7" i="21"/>
  <c r="E6" i="21"/>
  <c r="G4" i="21"/>
  <c r="E90" i="21"/>
  <c r="F80" i="21"/>
  <c r="F73" i="21"/>
  <c r="F66" i="21"/>
  <c r="F62" i="21"/>
  <c r="F55" i="21"/>
  <c r="F45" i="21"/>
  <c r="F41" i="21"/>
  <c r="G35" i="21"/>
  <c r="H35" i="21"/>
  <c r="G31" i="21"/>
  <c r="G24" i="21"/>
  <c r="G17" i="21"/>
  <c r="H17" i="21"/>
  <c r="G13" i="21"/>
  <c r="G6" i="21"/>
  <c r="E93" i="21"/>
  <c r="G91" i="21"/>
  <c r="F90" i="21"/>
  <c r="E89" i="21"/>
  <c r="G84" i="21"/>
  <c r="F83" i="21"/>
  <c r="E82" i="21"/>
  <c r="G80" i="21"/>
  <c r="F79" i="21"/>
  <c r="E75" i="21"/>
  <c r="G73" i="21"/>
  <c r="F72" i="21"/>
  <c r="E71" i="21"/>
  <c r="G66" i="21"/>
  <c r="F65" i="21"/>
  <c r="E64" i="21"/>
  <c r="G62" i="21"/>
  <c r="F61" i="21"/>
  <c r="E57" i="21"/>
  <c r="F54" i="21"/>
  <c r="E53" i="21"/>
  <c r="G45" i="21"/>
  <c r="F44" i="21"/>
  <c r="E43" i="21"/>
  <c r="G41" i="21"/>
  <c r="F40" i="21"/>
  <c r="E36" i="21"/>
  <c r="G34" i="21"/>
  <c r="F33" i="21"/>
  <c r="E32" i="21"/>
  <c r="G27" i="21"/>
  <c r="H27" i="21"/>
  <c r="F26" i="21"/>
  <c r="E25" i="21"/>
  <c r="G23" i="21"/>
  <c r="F22" i="21"/>
  <c r="E18" i="21"/>
  <c r="G16" i="21"/>
  <c r="F15" i="21"/>
  <c r="E14" i="21"/>
  <c r="G9" i="21"/>
  <c r="F8" i="21"/>
  <c r="E7" i="21"/>
  <c r="G5" i="21"/>
  <c r="F4" i="21"/>
  <c r="F91" i="21"/>
  <c r="G81" i="21"/>
  <c r="H81" i="21"/>
  <c r="G74" i="21"/>
  <c r="H74" i="21"/>
  <c r="G70" i="21"/>
  <c r="G63" i="21"/>
  <c r="G56" i="21"/>
  <c r="G52" i="21"/>
  <c r="G42" i="21"/>
  <c r="F34" i="21"/>
  <c r="F27" i="21"/>
  <c r="F23" i="21"/>
  <c r="F16" i="21"/>
  <c r="F9" i="21"/>
  <c r="F5" i="21"/>
  <c r="E68" i="23"/>
  <c r="D20" i="23"/>
  <c r="F58" i="23"/>
  <c r="E34" i="23"/>
  <c r="D67" i="23"/>
  <c r="D9" i="23"/>
  <c r="D54" i="23"/>
  <c r="F23" i="23"/>
  <c r="F35" i="23"/>
  <c r="C65" i="23"/>
  <c r="F66" i="23"/>
  <c r="E13" i="23"/>
  <c r="E59" i="23"/>
  <c r="E54" i="23"/>
  <c r="D35" i="23"/>
  <c r="D65" i="23"/>
  <c r="D22" i="23"/>
  <c r="D52" i="23"/>
  <c r="E4" i="23"/>
  <c r="D23" i="23"/>
  <c r="D53" i="23"/>
  <c r="G14" i="23"/>
  <c r="F37" i="23"/>
  <c r="G43" i="23"/>
  <c r="D43" i="23"/>
  <c r="G58" i="23"/>
  <c r="E14" i="23"/>
  <c r="E44" i="23"/>
  <c r="E43" i="23"/>
  <c r="E24" i="23"/>
  <c r="F14" i="23"/>
  <c r="F29" i="23"/>
  <c r="F44" i="23"/>
  <c r="F59" i="23"/>
  <c r="D4" i="23"/>
  <c r="E20" i="23"/>
  <c r="E35" i="23"/>
  <c r="E50" i="23"/>
  <c r="E65" i="23"/>
  <c r="E73" i="23"/>
  <c r="E6" i="23"/>
  <c r="E21" i="23"/>
  <c r="E36" i="23"/>
  <c r="E51" i="23"/>
  <c r="E66" i="23"/>
  <c r="F73" i="23"/>
  <c r="G13" i="23"/>
  <c r="G29" i="23"/>
  <c r="G28" i="23"/>
  <c r="C35" i="23"/>
  <c r="F39" i="23"/>
  <c r="F50" i="23"/>
  <c r="G59" i="23"/>
  <c r="D58" i="23"/>
  <c r="C64" i="23"/>
  <c r="E23" i="23"/>
  <c r="E53" i="23"/>
  <c r="E58" i="23"/>
  <c r="E39" i="23"/>
  <c r="D19" i="23"/>
  <c r="D34" i="23"/>
  <c r="D49" i="23"/>
  <c r="D64" i="23"/>
  <c r="E5" i="23"/>
  <c r="D21" i="23"/>
  <c r="D36" i="23"/>
  <c r="D51" i="23"/>
  <c r="D66" i="23"/>
  <c r="D5" i="23"/>
  <c r="E7" i="23"/>
  <c r="E22" i="23"/>
  <c r="E37" i="23"/>
  <c r="E52" i="23"/>
  <c r="E67" i="23"/>
  <c r="F74" i="23"/>
  <c r="D13" i="23"/>
  <c r="F24" i="23"/>
  <c r="G24" i="23"/>
  <c r="D28" i="23"/>
  <c r="F36" i="23"/>
  <c r="F38" i="23"/>
  <c r="C50" i="23"/>
  <c r="F65" i="23"/>
  <c r="G65" i="23"/>
  <c r="D29" i="23"/>
  <c r="C23" i="23"/>
  <c r="C37" i="23"/>
  <c r="F34" i="23"/>
  <c r="G34" i="23"/>
  <c r="C39" i="23"/>
  <c r="F52" i="23"/>
  <c r="F67" i="23"/>
  <c r="F64" i="23"/>
  <c r="C36" i="23"/>
  <c r="G36" i="23"/>
  <c r="D44" i="23"/>
  <c r="C38" i="23"/>
  <c r="C52" i="23"/>
  <c r="D59" i="23"/>
  <c r="C67" i="23"/>
  <c r="C66" i="23"/>
  <c r="C4" i="23"/>
  <c r="H75" i="21"/>
  <c r="C7" i="23"/>
  <c r="F5" i="23"/>
  <c r="C6" i="23"/>
  <c r="C5" i="23"/>
  <c r="F4" i="23"/>
  <c r="F6" i="23"/>
  <c r="H84" i="21"/>
  <c r="I83" i="21"/>
  <c r="H16" i="21"/>
  <c r="I15" i="21"/>
  <c r="H62" i="21"/>
  <c r="H24" i="21"/>
  <c r="H79" i="21"/>
  <c r="L79" i="21"/>
  <c r="M79" i="21"/>
  <c r="H26" i="21"/>
  <c r="H57" i="21"/>
  <c r="H9" i="21"/>
  <c r="I8" i="21"/>
  <c r="H34" i="21"/>
  <c r="H44" i="21"/>
  <c r="H14" i="23"/>
  <c r="H54" i="21"/>
  <c r="H18" i="21"/>
  <c r="I17" i="21"/>
  <c r="H33" i="21"/>
  <c r="H80" i="21"/>
  <c r="J80" i="21"/>
  <c r="H6" i="21"/>
  <c r="H40" i="21"/>
  <c r="H90" i="21"/>
  <c r="H43" i="21"/>
  <c r="H23" i="21"/>
  <c r="H52" i="21"/>
  <c r="H63" i="21"/>
  <c r="H5" i="21"/>
  <c r="H41" i="21"/>
  <c r="H91" i="21"/>
  <c r="L89" i="21"/>
  <c r="M89" i="21"/>
  <c r="H31" i="21"/>
  <c r="H4" i="21"/>
  <c r="H65" i="21"/>
  <c r="H88" i="21"/>
  <c r="I88" i="21"/>
  <c r="H32" i="21"/>
  <c r="H66" i="21"/>
  <c r="H25" i="21"/>
  <c r="H93" i="21"/>
  <c r="H42" i="21"/>
  <c r="H22" i="21"/>
  <c r="H72" i="21"/>
  <c r="H92" i="21"/>
  <c r="H14" i="21"/>
  <c r="H7" i="21"/>
  <c r="H13" i="21"/>
  <c r="H61" i="21"/>
  <c r="H44" i="23"/>
  <c r="H70" i="21"/>
  <c r="I70" i="21"/>
  <c r="H64" i="21"/>
  <c r="H13" i="23"/>
  <c r="H56" i="21"/>
  <c r="H45" i="21"/>
  <c r="H73" i="21"/>
  <c r="G35" i="23"/>
  <c r="H34" i="23"/>
  <c r="H36" i="21"/>
  <c r="I35" i="21"/>
  <c r="H59" i="23"/>
  <c r="G7" i="23"/>
  <c r="G64" i="23"/>
  <c r="H64" i="23"/>
  <c r="G39" i="23"/>
  <c r="G37" i="23"/>
  <c r="H36" i="23"/>
  <c r="H28" i="23"/>
  <c r="I81" i="21"/>
  <c r="I26" i="21"/>
  <c r="G66" i="23"/>
  <c r="H29" i="23"/>
  <c r="G38" i="23"/>
  <c r="G23" i="23"/>
  <c r="H23" i="23"/>
  <c r="C28" i="23"/>
  <c r="K34" i="23"/>
  <c r="H43" i="23"/>
  <c r="I74" i="21"/>
  <c r="H58" i="23"/>
  <c r="G50" i="23"/>
  <c r="H49" i="23"/>
  <c r="G52" i="23"/>
  <c r="H51" i="23"/>
  <c r="G67" i="23"/>
  <c r="I65" i="23"/>
  <c r="G6" i="23"/>
  <c r="K49" i="23"/>
  <c r="J61" i="21"/>
  <c r="I72" i="21"/>
  <c r="J14" i="21"/>
  <c r="O14" i="21"/>
  <c r="L52" i="21"/>
  <c r="M52" i="21"/>
  <c r="J79" i="21"/>
  <c r="O79" i="21"/>
  <c r="I44" i="21"/>
  <c r="I6" i="21"/>
  <c r="I22" i="21"/>
  <c r="L4" i="21"/>
  <c r="M4" i="21"/>
  <c r="I33" i="21"/>
  <c r="I56" i="21"/>
  <c r="J32" i="21"/>
  <c r="O32" i="21"/>
  <c r="J4" i="21"/>
  <c r="O4" i="21"/>
  <c r="L31" i="21"/>
  <c r="M31" i="21"/>
  <c r="I92" i="21"/>
  <c r="I61" i="21"/>
  <c r="I79" i="21"/>
  <c r="L41" i="21"/>
  <c r="M41" i="21"/>
  <c r="I40" i="21"/>
  <c r="L22" i="21"/>
  <c r="M22" i="21"/>
  <c r="J22" i="21"/>
  <c r="O22" i="21"/>
  <c r="J70" i="21"/>
  <c r="O70" i="21"/>
  <c r="J23" i="21"/>
  <c r="O23" i="21"/>
  <c r="I65" i="21"/>
  <c r="O61" i="21"/>
  <c r="I90" i="21"/>
  <c r="I54" i="21"/>
  <c r="J41" i="21"/>
  <c r="I24" i="21"/>
  <c r="L80" i="21"/>
  <c r="M80" i="21"/>
  <c r="I52" i="21"/>
  <c r="I42" i="21"/>
  <c r="L5" i="21"/>
  <c r="M5" i="21"/>
  <c r="J88" i="21"/>
  <c r="L88" i="21"/>
  <c r="M88" i="21"/>
  <c r="J89" i="21"/>
  <c r="J40" i="21"/>
  <c r="I63" i="21"/>
  <c r="I13" i="21"/>
  <c r="K20" i="23"/>
  <c r="L20" i="23"/>
  <c r="N20" i="23"/>
  <c r="I29" i="23"/>
  <c r="I28" i="23"/>
  <c r="N19" i="23"/>
  <c r="K19" i="23"/>
  <c r="H19" i="23"/>
  <c r="H38" i="23"/>
  <c r="C43" i="23"/>
  <c r="I44" i="23"/>
  <c r="I31" i="21"/>
  <c r="J52" i="21"/>
  <c r="L14" i="21"/>
  <c r="M14" i="21"/>
  <c r="J5" i="21"/>
  <c r="O5" i="21"/>
  <c r="J53" i="21"/>
  <c r="L70" i="21"/>
  <c r="M70" i="21"/>
  <c r="I4" i="21"/>
  <c r="L32" i="21"/>
  <c r="M32" i="21"/>
  <c r="J31" i="21"/>
  <c r="L23" i="21"/>
  <c r="M23" i="21"/>
  <c r="L13" i="21"/>
  <c r="M13" i="21"/>
  <c r="J13" i="21"/>
  <c r="J71" i="21"/>
  <c r="L40" i="21"/>
  <c r="M40" i="21"/>
  <c r="L5" i="23"/>
  <c r="L61" i="21"/>
  <c r="M61" i="21"/>
  <c r="J62" i="21"/>
  <c r="L62" i="21"/>
  <c r="M62" i="21"/>
  <c r="L71" i="21"/>
  <c r="M71" i="21"/>
  <c r="C58" i="23"/>
  <c r="I59" i="23"/>
  <c r="K35" i="23"/>
  <c r="L35" i="23"/>
  <c r="I35" i="23"/>
  <c r="I64" i="23"/>
  <c r="J64" i="23"/>
  <c r="K64" i="23"/>
  <c r="L64" i="23"/>
  <c r="H21" i="23"/>
  <c r="O80" i="21"/>
  <c r="H66" i="23"/>
  <c r="K65" i="23"/>
  <c r="L65" i="23"/>
  <c r="I50" i="23"/>
  <c r="J49" i="23"/>
  <c r="K50" i="23"/>
  <c r="L50" i="23"/>
  <c r="I14" i="23"/>
  <c r="H6" i="23"/>
  <c r="L34" i="23"/>
  <c r="L49" i="23"/>
  <c r="N52" i="21"/>
  <c r="B10" i="7"/>
  <c r="C10" i="7"/>
  <c r="K13" i="21"/>
  <c r="N65" i="23"/>
  <c r="K79" i="21"/>
  <c r="O53" i="21"/>
  <c r="N4" i="21"/>
  <c r="B9" i="7"/>
  <c r="C9" i="7"/>
  <c r="K31" i="21"/>
  <c r="O89" i="21"/>
  <c r="O41" i="21"/>
  <c r="O40" i="21"/>
  <c r="O88" i="21"/>
  <c r="N79" i="21"/>
  <c r="N10" i="7"/>
  <c r="O10" i="7"/>
  <c r="K22" i="21"/>
  <c r="O62" i="21"/>
  <c r="P61" i="21"/>
  <c r="H10" i="7"/>
  <c r="K70" i="21"/>
  <c r="N13" i="21"/>
  <c r="F9" i="7"/>
  <c r="G9" i="7"/>
  <c r="N88" i="21"/>
  <c r="R10" i="7"/>
  <c r="S10" i="7"/>
  <c r="K88" i="21"/>
  <c r="M19" i="23"/>
  <c r="K40" i="21"/>
  <c r="K61" i="21"/>
  <c r="O71" i="21"/>
  <c r="P70" i="21"/>
  <c r="L10" i="7"/>
  <c r="L19" i="23"/>
  <c r="N22" i="21"/>
  <c r="J9" i="7"/>
  <c r="K9" i="7"/>
  <c r="N34" i="23"/>
  <c r="N35" i="23"/>
  <c r="O13" i="21"/>
  <c r="P13" i="21"/>
  <c r="H9" i="7"/>
  <c r="N61" i="21"/>
  <c r="F10" i="7"/>
  <c r="G10" i="7"/>
  <c r="I43" i="23"/>
  <c r="J43" i="23"/>
  <c r="K52" i="21"/>
  <c r="N40" i="21"/>
  <c r="R9" i="7"/>
  <c r="S9" i="7"/>
  <c r="O52" i="21"/>
  <c r="N31" i="21"/>
  <c r="N9" i="7"/>
  <c r="O9" i="7"/>
  <c r="K4" i="21"/>
  <c r="O31" i="21"/>
  <c r="P31" i="21"/>
  <c r="P9" i="7"/>
  <c r="P22" i="21"/>
  <c r="L9" i="7"/>
  <c r="P4" i="21"/>
  <c r="D9" i="7"/>
  <c r="J34" i="23"/>
  <c r="J28" i="23"/>
  <c r="I58" i="23"/>
  <c r="J58" i="23"/>
  <c r="N50" i="23"/>
  <c r="M34" i="23"/>
  <c r="J19" i="23"/>
  <c r="N70" i="21"/>
  <c r="J10" i="7"/>
  <c r="K10" i="7"/>
  <c r="N64" i="23"/>
  <c r="P79" i="21"/>
  <c r="P10" i="7"/>
  <c r="M64" i="23"/>
  <c r="M49" i="23"/>
  <c r="I13" i="23"/>
  <c r="J13" i="23"/>
  <c r="O19" i="23"/>
  <c r="J4" i="23"/>
  <c r="O64" i="23"/>
  <c r="P40" i="21"/>
  <c r="T9" i="7"/>
  <c r="P88" i="21"/>
  <c r="T10" i="7"/>
  <c r="P52" i="21"/>
  <c r="D10" i="7"/>
  <c r="F11" i="7"/>
  <c r="G11" i="7"/>
  <c r="O34" i="23"/>
  <c r="N11" i="7"/>
  <c r="O11" i="7"/>
  <c r="Q11" i="7"/>
  <c r="E11" i="7"/>
  <c r="R11" i="7"/>
  <c r="S11" i="7"/>
  <c r="J11" i="7"/>
  <c r="K11" i="7"/>
  <c r="B11" i="7"/>
  <c r="C11" i="7"/>
  <c r="I11" i="7"/>
  <c r="M11" i="7"/>
  <c r="H11" i="7"/>
  <c r="O49" i="23"/>
  <c r="O4" i="23"/>
  <c r="T11" i="7"/>
  <c r="L11" i="7"/>
  <c r="D11" i="7"/>
  <c r="P11" i="7"/>
</calcChain>
</file>

<file path=xl/sharedStrings.xml><?xml version="1.0" encoding="utf-8"?>
<sst xmlns="http://schemas.openxmlformats.org/spreadsheetml/2006/main" count="1310" uniqueCount="432">
  <si>
    <t>Area Ratio</t>
  </si>
  <si>
    <r>
      <t>C</t>
    </r>
    <r>
      <rPr>
        <vertAlign val="subscript"/>
        <sz val="11"/>
        <rFont val="Times New Roman"/>
        <family val="1"/>
      </rPr>
      <t>I</t>
    </r>
    <r>
      <rPr>
        <sz val="11"/>
        <rFont val="Times New Roman"/>
        <family val="1"/>
      </rPr>
      <t>:</t>
    </r>
  </si>
  <si>
    <r>
      <t>C</t>
    </r>
    <r>
      <rPr>
        <vertAlign val="subscript"/>
        <sz val="11"/>
        <rFont val="Times New Roman"/>
        <family val="1"/>
      </rPr>
      <t>D</t>
    </r>
    <r>
      <rPr>
        <sz val="11"/>
        <rFont val="Times New Roman"/>
        <family val="1"/>
      </rPr>
      <t>:</t>
    </r>
  </si>
  <si>
    <t>Sample Name</t>
  </si>
  <si>
    <t>Dilution Factor</t>
  </si>
  <si>
    <t>N/A</t>
  </si>
  <si>
    <t>Analytical Method</t>
  </si>
  <si>
    <t>Instrument</t>
  </si>
  <si>
    <t>MRM detection</t>
  </si>
  <si>
    <t>psi</t>
  </si>
  <si>
    <t>V</t>
  </si>
  <si>
    <t>°C</t>
  </si>
  <si>
    <t>CAD</t>
  </si>
  <si>
    <t>Binary Gradient</t>
  </si>
  <si>
    <t xml:space="preserve">Total Flow: </t>
  </si>
  <si>
    <t>Time (min)</t>
  </si>
  <si>
    <t>B (%)</t>
  </si>
  <si>
    <t>CUR</t>
  </si>
  <si>
    <t>TEM</t>
  </si>
  <si>
    <t>EP</t>
  </si>
  <si>
    <t>Matrix</t>
  </si>
  <si>
    <t>Incubation Details</t>
  </si>
  <si>
    <t>Positive Control Compound</t>
  </si>
  <si>
    <t>Target Conc. Level</t>
  </si>
  <si>
    <t>Device</t>
  </si>
  <si>
    <t>Incubation Condition</t>
  </si>
  <si>
    <t xml:space="preserve">6 h, 37 °C, 80 rpm                                                                                                                                                                                                                                                                                                                                                                                                                                  </t>
  </si>
  <si>
    <t>IS</t>
  </si>
  <si>
    <t>Stock Solution Preparation</t>
  </si>
  <si>
    <t>Sample Prepration Method</t>
  </si>
  <si>
    <t>One step protein precipitation.</t>
  </si>
  <si>
    <t>Precipitant</t>
  </si>
  <si>
    <r>
      <t>F</t>
    </r>
    <r>
      <rPr>
        <b/>
        <vertAlign val="subscript"/>
        <sz val="11"/>
        <rFont val="Times New Roman"/>
        <family val="1"/>
      </rPr>
      <t>u</t>
    </r>
    <r>
      <rPr>
        <b/>
        <sz val="11"/>
        <rFont val="Times New Roman"/>
        <family val="1"/>
      </rPr>
      <t xml:space="preserve"> (%)</t>
    </r>
  </si>
  <si>
    <r>
      <t>F</t>
    </r>
    <r>
      <rPr>
        <b/>
        <vertAlign val="subscript"/>
        <sz val="12"/>
        <rFont val="Times New Roman"/>
        <family val="1"/>
      </rPr>
      <t>b</t>
    </r>
    <r>
      <rPr>
        <b/>
        <sz val="12"/>
        <rFont val="Times New Roman"/>
        <family val="1"/>
      </rPr>
      <t xml:space="preserve">  (%)</t>
    </r>
  </si>
  <si>
    <t>Use as Internal Standard</t>
  </si>
  <si>
    <t>Fit</t>
  </si>
  <si>
    <t>Linear</t>
  </si>
  <si>
    <t>Weighting</t>
  </si>
  <si>
    <t>1  / (x * x)</t>
  </si>
  <si>
    <t>Iterate</t>
  </si>
  <si>
    <t>No</t>
  </si>
  <si>
    <t>Error</t>
  </si>
  <si>
    <t>At least 2 points are required to calculate regression.</t>
  </si>
  <si>
    <t>Use Area</t>
  </si>
  <si>
    <t>Sample Type</t>
  </si>
  <si>
    <t>Analyte Peak Area (counts)</t>
  </si>
  <si>
    <t>IS Peak Area (counts)</t>
  </si>
  <si>
    <t>Use Record</t>
  </si>
  <si>
    <t>Record Modified</t>
  </si>
  <si>
    <t>Accuracy (%)</t>
  </si>
  <si>
    <t>Unknown</t>
  </si>
  <si>
    <r>
      <t>C</t>
    </r>
    <r>
      <rPr>
        <vertAlign val="subscript"/>
        <sz val="11"/>
        <rFont val="Times New Roman"/>
        <family val="1"/>
      </rPr>
      <t>R:</t>
    </r>
  </si>
  <si>
    <t>Cs:</t>
  </si>
  <si>
    <r>
      <t>f</t>
    </r>
    <r>
      <rPr>
        <vertAlign val="subscript"/>
        <sz val="11"/>
        <rFont val="Times New Roman"/>
        <family val="1"/>
      </rPr>
      <t xml:space="preserve">u </t>
    </r>
  </si>
  <si>
    <t>实验项目</t>
  </si>
  <si>
    <t>实验开始时间</t>
  </si>
  <si>
    <t>实验结束时间</t>
  </si>
  <si>
    <t>实验参与人员</t>
  </si>
  <si>
    <t>报告撰写</t>
  </si>
  <si>
    <t>数据质控</t>
  </si>
  <si>
    <t>实验负责方</t>
  </si>
  <si>
    <t>DP</t>
  </si>
  <si>
    <t>CE</t>
  </si>
  <si>
    <t>Internal standard(s)</t>
  </si>
  <si>
    <t>MS conditions</t>
  </si>
  <si>
    <t>Analytes</t>
    <phoneticPr fontId="3" type="noConversion"/>
  </si>
  <si>
    <t>CXP</t>
  </si>
  <si>
    <t>HPLC conditions</t>
  </si>
  <si>
    <t>stop</t>
  </si>
  <si>
    <t>Samples preparation</t>
  </si>
  <si>
    <t xml:space="preserve"> Test Compound</t>
  </si>
  <si>
    <t>HTD 96-well dialysis device (HTDialysis, Gales Ferry, CT, USA)</t>
    <phoneticPr fontId="3" type="noConversion"/>
  </si>
  <si>
    <t>Warfarin-Rat Plasma 100%</t>
  </si>
  <si>
    <t>Warfarin-Mouse Plasma 100%</t>
  </si>
  <si>
    <t>Warfarin-Human Plasma 100%</t>
    <phoneticPr fontId="3" type="noConversion"/>
  </si>
  <si>
    <t>华法林</t>
    <phoneticPr fontId="3" type="noConversion"/>
  </si>
  <si>
    <r>
      <rPr>
        <b/>
        <sz val="12"/>
        <color theme="1"/>
        <rFont val="宋体"/>
        <family val="3"/>
        <charset val="134"/>
      </rPr>
      <t>样品名</t>
    </r>
  </si>
  <si>
    <r>
      <rPr>
        <b/>
        <sz val="12"/>
        <color theme="1"/>
        <rFont val="宋体"/>
        <family val="3"/>
        <charset val="134"/>
      </rPr>
      <t>稀释因子</t>
    </r>
  </si>
  <si>
    <r>
      <rPr>
        <b/>
        <sz val="12"/>
        <color rgb="FF000000"/>
        <rFont val="宋体"/>
        <family val="3"/>
        <charset val="134"/>
      </rPr>
      <t>化合物峰面积</t>
    </r>
  </si>
  <si>
    <r>
      <rPr>
        <b/>
        <sz val="12"/>
        <color rgb="FF000000"/>
        <rFont val="宋体"/>
        <family val="3"/>
        <charset val="134"/>
      </rPr>
      <t>内标峰面积</t>
    </r>
  </si>
  <si>
    <r>
      <rPr>
        <b/>
        <sz val="12"/>
        <color rgb="FF000000"/>
        <rFont val="宋体"/>
        <family val="3"/>
        <charset val="134"/>
      </rPr>
      <t>峰面积比</t>
    </r>
  </si>
  <si>
    <t>平均值</t>
    <phoneticPr fontId="3" type="noConversion"/>
  </si>
  <si>
    <t>总和</t>
    <phoneticPr fontId="3" type="noConversion"/>
  </si>
  <si>
    <r>
      <rPr>
        <b/>
        <sz val="12"/>
        <rFont val="宋体"/>
        <family val="3"/>
        <charset val="134"/>
      </rPr>
      <t>平均值</t>
    </r>
    <r>
      <rPr>
        <b/>
        <sz val="12"/>
        <rFont val="Times New Roman"/>
        <family val="1"/>
      </rPr>
      <t>F</t>
    </r>
    <r>
      <rPr>
        <b/>
        <vertAlign val="subscript"/>
        <sz val="12"/>
        <rFont val="Times New Roman"/>
        <family val="1"/>
      </rPr>
      <t>u</t>
    </r>
    <r>
      <rPr>
        <b/>
        <sz val="12"/>
        <rFont val="Times New Roman"/>
        <family val="1"/>
      </rPr>
      <t xml:space="preserve">  (%)</t>
    </r>
    <phoneticPr fontId="3" type="noConversion"/>
  </si>
  <si>
    <r>
      <rPr>
        <b/>
        <sz val="12"/>
        <rFont val="宋体"/>
        <family val="3"/>
        <charset val="134"/>
      </rPr>
      <t>回收率</t>
    </r>
    <r>
      <rPr>
        <b/>
        <sz val="12"/>
        <rFont val="Times New Roman"/>
        <family val="1"/>
      </rPr>
      <t xml:space="preserve"> (%)</t>
    </r>
    <phoneticPr fontId="3" type="noConversion"/>
  </si>
  <si>
    <r>
      <rPr>
        <b/>
        <sz val="12"/>
        <rFont val="宋体"/>
        <family val="3"/>
        <charset val="134"/>
      </rPr>
      <t>平均值</t>
    </r>
    <r>
      <rPr>
        <b/>
        <sz val="12"/>
        <rFont val="Times New Roman"/>
        <family val="1"/>
      </rPr>
      <t xml:space="preserve"> (%)</t>
    </r>
    <phoneticPr fontId="3" type="noConversion"/>
  </si>
  <si>
    <t>对乙酰氨基酚</t>
    <phoneticPr fontId="3" type="noConversion"/>
  </si>
  <si>
    <t>Acetaminophen-Human Plasma 100%</t>
  </si>
  <si>
    <t>Acetaminophen-Monkey Plasma 100%</t>
  </si>
  <si>
    <t>Acetaminophen-Rat Plasma 100%</t>
  </si>
  <si>
    <t>Acetaminophen-Mouse Plasma 100%</t>
  </si>
  <si>
    <t>Warfarin and Acetaminophen</t>
    <phoneticPr fontId="3" type="noConversion"/>
  </si>
  <si>
    <t>稳定性(%)</t>
    <phoneticPr fontId="3" type="noConversion"/>
  </si>
  <si>
    <t>平均值(%)</t>
    <phoneticPr fontId="3" type="noConversion"/>
  </si>
  <si>
    <t>化合物</t>
    <phoneticPr fontId="3" type="noConversion"/>
  </si>
  <si>
    <t>10 mM in DMSO</t>
    <phoneticPr fontId="3" type="noConversion"/>
  </si>
  <si>
    <t>Acquisition Date</t>
  </si>
  <si>
    <t>wash</t>
  </si>
  <si>
    <t xml:space="preserve">At the end of incubation, 10 μL plasma sample was transferred from the donor side (in duplicate), added with 90 μL PB (0.002% Tween-80) and vortexed well. 90 μL of PB (0.002% Tween-80) sample was transferred from the receiver side (in duplicate), added with 10 μL blank plasma and vortexed well. For recovery check, 10 μL of the donor side loading sample was aliquoted into a 1.5 mL microcentrifuge tube (in duplicate), added with 90 μL PB (0.002% Tween-80) and vortexed well. For stability check, 10 μL of the donor side loading sample was aliquoted into a 1.5 mL microcentrifuge tube (in duplicate) at the end of incubation, added with 90 μL PB (0.002% Tween-80) solution and vortexed well. </t>
    <phoneticPr fontId="3" type="noConversion"/>
  </si>
  <si>
    <t>回收率
%</t>
  </si>
  <si>
    <t>稳定性
%</t>
  </si>
  <si>
    <t>Warfarin-Monkey Plasma 100%</t>
    <phoneticPr fontId="3" type="noConversion"/>
  </si>
  <si>
    <r>
      <rPr>
        <sz val="11"/>
        <rFont val="宋体"/>
        <family val="3"/>
        <charset val="134"/>
      </rPr>
      <t>游离蛋白百分比</t>
    </r>
    <phoneticPr fontId="3" type="noConversion"/>
  </si>
  <si>
    <r>
      <rPr>
        <b/>
        <sz val="11"/>
        <rFont val="宋体"/>
        <family val="3"/>
        <charset val="134"/>
      </rPr>
      <t>人</t>
    </r>
    <phoneticPr fontId="3" type="noConversion"/>
  </si>
  <si>
    <r>
      <rPr>
        <sz val="11"/>
        <color theme="1"/>
        <rFont val="宋体"/>
        <family val="3"/>
        <charset val="134"/>
      </rPr>
      <t>孵育前供应室孔测得的峰面积比值</t>
    </r>
    <phoneticPr fontId="3" type="noConversion"/>
  </si>
  <si>
    <r>
      <rPr>
        <b/>
        <sz val="11"/>
        <rFont val="宋体"/>
        <family val="3"/>
        <charset val="134"/>
      </rPr>
      <t>食蟹猴</t>
    </r>
    <phoneticPr fontId="3" type="noConversion"/>
  </si>
  <si>
    <r>
      <rPr>
        <sz val="11"/>
        <rFont val="宋体"/>
        <family val="3"/>
        <charset val="134"/>
      </rPr>
      <t>接收室孔测得的峰面积比值</t>
    </r>
    <phoneticPr fontId="3" type="noConversion"/>
  </si>
  <si>
    <r>
      <rPr>
        <sz val="11"/>
        <rFont val="宋体"/>
        <family val="3"/>
        <charset val="134"/>
      </rPr>
      <t>稳定性样品峰面积比值</t>
    </r>
    <phoneticPr fontId="3" type="noConversion"/>
  </si>
  <si>
    <r>
      <rPr>
        <b/>
        <i/>
        <sz val="11"/>
        <rFont val="Times New Roman"/>
        <family val="1"/>
      </rPr>
      <t xml:space="preserve"> f</t>
    </r>
    <r>
      <rPr>
        <b/>
        <i/>
        <vertAlign val="subscript"/>
        <sz val="11"/>
        <rFont val="Times New Roman"/>
        <family val="1"/>
      </rPr>
      <t>u</t>
    </r>
    <r>
      <rPr>
        <b/>
        <sz val="11"/>
        <rFont val="Times New Roman"/>
        <family val="1"/>
      </rPr>
      <t>%</t>
    </r>
    <phoneticPr fontId="3" type="noConversion"/>
  </si>
  <si>
    <r>
      <rPr>
        <b/>
        <sz val="11"/>
        <rFont val="宋体"/>
        <family val="3"/>
        <charset val="134"/>
      </rPr>
      <t>回收率</t>
    </r>
    <r>
      <rPr>
        <b/>
        <sz val="11"/>
        <rFont val="Times New Roman"/>
        <family val="1"/>
      </rPr>
      <t xml:space="preserve">
%</t>
    </r>
    <phoneticPr fontId="3" type="noConversion"/>
  </si>
  <si>
    <t>稳定性
%</t>
    <phoneticPr fontId="3" type="noConversion"/>
  </si>
  <si>
    <r>
      <rPr>
        <b/>
        <i/>
        <sz val="11"/>
        <rFont val="Times New Roman"/>
        <family val="1"/>
      </rPr>
      <t xml:space="preserve"> f</t>
    </r>
    <r>
      <rPr>
        <b/>
        <i/>
        <vertAlign val="subscript"/>
        <sz val="11"/>
        <rFont val="Times New Roman"/>
        <family val="1"/>
      </rPr>
      <t>u</t>
    </r>
    <r>
      <rPr>
        <b/>
        <sz val="11"/>
        <rFont val="Times New Roman"/>
        <family val="1"/>
      </rPr>
      <t>%</t>
    </r>
    <phoneticPr fontId="3" type="noConversion"/>
  </si>
  <si>
    <r>
      <rPr>
        <sz val="11"/>
        <rFont val="宋体"/>
        <family val="3"/>
        <charset val="134"/>
      </rPr>
      <t>供应室孔测得的峰面积比值</t>
    </r>
    <phoneticPr fontId="3" type="noConversion"/>
  </si>
  <si>
    <r>
      <rPr>
        <b/>
        <i/>
        <sz val="11"/>
        <rFont val="Times New Roman"/>
        <family val="1"/>
      </rPr>
      <t xml:space="preserve"> f</t>
    </r>
    <r>
      <rPr>
        <b/>
        <i/>
        <vertAlign val="subscript"/>
        <sz val="11"/>
        <rFont val="Times New Roman"/>
        <family val="1"/>
      </rPr>
      <t>u</t>
    </r>
    <r>
      <rPr>
        <b/>
        <sz val="11"/>
        <rFont val="Times New Roman"/>
        <family val="1"/>
      </rPr>
      <t>%</t>
    </r>
    <phoneticPr fontId="3" type="noConversion"/>
  </si>
  <si>
    <r>
      <rPr>
        <b/>
        <sz val="11"/>
        <rFont val="宋体"/>
        <family val="3"/>
        <charset val="134"/>
      </rPr>
      <t>回收率</t>
    </r>
    <r>
      <rPr>
        <b/>
        <sz val="11"/>
        <rFont val="Times New Roman"/>
        <family val="1"/>
      </rPr>
      <t xml:space="preserve">
%</t>
    </r>
    <phoneticPr fontId="3" type="noConversion"/>
  </si>
  <si>
    <t>稳定性
%</t>
    <phoneticPr fontId="3" type="noConversion"/>
  </si>
  <si>
    <t>-</t>
    <phoneticPr fontId="3" type="noConversion"/>
  </si>
  <si>
    <t>-</t>
    <phoneticPr fontId="3" type="noConversion"/>
  </si>
  <si>
    <t>-</t>
    <phoneticPr fontId="3" type="noConversion"/>
  </si>
  <si>
    <r>
      <rPr>
        <b/>
        <sz val="12"/>
        <color rgb="FF000000"/>
        <rFont val="宋体"/>
        <family val="3"/>
        <charset val="134"/>
      </rPr>
      <t>孵育浓度（</t>
    </r>
    <r>
      <rPr>
        <b/>
        <sz val="12"/>
        <color theme="1"/>
        <rFont val="Times New Roman"/>
        <family val="1"/>
      </rPr>
      <t>µM</t>
    </r>
    <r>
      <rPr>
        <b/>
        <sz val="12"/>
        <color rgb="FF000000"/>
        <rFont val="宋体"/>
        <family val="3"/>
        <charset val="134"/>
      </rPr>
      <t>）</t>
    </r>
    <phoneticPr fontId="3" type="noConversion"/>
  </si>
  <si>
    <r>
      <rPr>
        <b/>
        <sz val="12"/>
        <rFont val="宋体"/>
        <family val="3"/>
        <charset val="134"/>
      </rPr>
      <t>平均值</t>
    </r>
    <phoneticPr fontId="3" type="noConversion"/>
  </si>
  <si>
    <r>
      <rPr>
        <b/>
        <sz val="12"/>
        <rFont val="宋体"/>
        <family val="3"/>
        <charset val="134"/>
      </rPr>
      <t>总和</t>
    </r>
    <phoneticPr fontId="3" type="noConversion"/>
  </si>
  <si>
    <r>
      <rPr>
        <b/>
        <sz val="12"/>
        <rFont val="宋体"/>
        <family val="3"/>
        <charset val="134"/>
      </rPr>
      <t>平均值</t>
    </r>
    <r>
      <rPr>
        <b/>
        <sz val="12"/>
        <rFont val="Times New Roman"/>
        <family val="1"/>
      </rPr>
      <t xml:space="preserve"> (%)</t>
    </r>
    <phoneticPr fontId="3" type="noConversion"/>
  </si>
  <si>
    <t>稳定性(%)</t>
    <phoneticPr fontId="3" type="noConversion"/>
  </si>
  <si>
    <r>
      <rPr>
        <b/>
        <sz val="12"/>
        <rFont val="宋体"/>
        <family val="3"/>
        <charset val="134"/>
      </rPr>
      <t>食蟹猴</t>
    </r>
    <phoneticPr fontId="3" type="noConversion"/>
  </si>
  <si>
    <t>小鼠</t>
    <phoneticPr fontId="3" type="noConversion"/>
  </si>
  <si>
    <t>大鼠</t>
    <phoneticPr fontId="3" type="noConversion"/>
  </si>
  <si>
    <t>GS1</t>
  </si>
  <si>
    <t>GS2</t>
  </si>
  <si>
    <t>对照样品的峰面积比平均值</t>
    <phoneticPr fontId="3" type="noConversion"/>
  </si>
  <si>
    <t>计算峰面积比</t>
  </si>
  <si>
    <t>计算峰面积比</t>
    <phoneticPr fontId="3" type="noConversion"/>
  </si>
  <si>
    <r>
      <rPr>
        <b/>
        <i/>
        <sz val="11"/>
        <rFont val="Times New Roman"/>
        <family val="1"/>
      </rPr>
      <t xml:space="preserve"> f</t>
    </r>
    <r>
      <rPr>
        <b/>
        <i/>
        <vertAlign val="subscript"/>
        <sz val="11"/>
        <rFont val="Times New Roman"/>
        <family val="1"/>
      </rPr>
      <t>b</t>
    </r>
    <r>
      <rPr>
        <b/>
        <sz val="11"/>
        <rFont val="Times New Roman"/>
        <family val="1"/>
      </rPr>
      <t>%</t>
    </r>
    <phoneticPr fontId="3" type="noConversion"/>
  </si>
  <si>
    <r>
      <rPr>
        <b/>
        <i/>
        <sz val="11"/>
        <rFont val="Times New Roman"/>
        <family val="1"/>
      </rPr>
      <t xml:space="preserve"> f</t>
    </r>
    <r>
      <rPr>
        <b/>
        <i/>
        <vertAlign val="subscript"/>
        <sz val="11"/>
        <rFont val="Times New Roman"/>
        <family val="1"/>
      </rPr>
      <t>b</t>
    </r>
    <r>
      <rPr>
        <b/>
        <sz val="11"/>
        <rFont val="Times New Roman"/>
        <family val="1"/>
      </rPr>
      <t>%</t>
    </r>
    <phoneticPr fontId="3" type="noConversion"/>
  </si>
  <si>
    <r>
      <rPr>
        <b/>
        <sz val="21"/>
        <rFont val="Times New Roman"/>
        <family val="1"/>
      </rPr>
      <t>3D BioOptima</t>
    </r>
    <r>
      <rPr>
        <b/>
        <sz val="14"/>
        <rFont val="Times New Roman"/>
        <family val="1"/>
      </rPr>
      <t xml:space="preserve">                                                </t>
    </r>
    <r>
      <rPr>
        <sz val="14"/>
        <color theme="1"/>
        <rFont val="Times New Roman"/>
        <family val="1"/>
      </rPr>
      <t xml:space="preserve">                                                                             </t>
    </r>
    <r>
      <rPr>
        <i/>
        <sz val="14"/>
        <rFont val="Times New Roman"/>
        <family val="1"/>
      </rPr>
      <t xml:space="preserve"> </t>
    </r>
    <r>
      <rPr>
        <i/>
        <sz val="12"/>
        <rFont val="Times New Roman"/>
        <family val="1"/>
      </rPr>
      <t>Quality That Matters</t>
    </r>
    <phoneticPr fontId="3" type="noConversion"/>
  </si>
  <si>
    <r>
      <rPr>
        <b/>
        <sz val="12"/>
        <rFont val="宋体"/>
        <family val="3"/>
        <charset val="134"/>
      </rPr>
      <t>实验项目编号</t>
    </r>
    <phoneticPr fontId="3" type="noConversion"/>
  </si>
  <si>
    <r>
      <rPr>
        <b/>
        <sz val="12"/>
        <rFont val="宋体"/>
        <family val="3"/>
        <charset val="134"/>
      </rPr>
      <t>课题编号</t>
    </r>
    <phoneticPr fontId="3" type="noConversion"/>
  </si>
  <si>
    <r>
      <rPr>
        <b/>
        <sz val="12"/>
        <rFont val="宋体"/>
        <family val="3"/>
        <charset val="134"/>
      </rPr>
      <t>课题负责人</t>
    </r>
    <phoneticPr fontId="3" type="noConversion"/>
  </si>
  <si>
    <r>
      <rPr>
        <b/>
        <sz val="12"/>
        <rFont val="宋体"/>
        <family val="3"/>
        <charset val="134"/>
      </rPr>
      <t>化合物</t>
    </r>
    <phoneticPr fontId="3" type="noConversion"/>
  </si>
  <si>
    <r>
      <rPr>
        <b/>
        <sz val="12"/>
        <rFont val="宋体"/>
        <family val="3"/>
        <charset val="134"/>
      </rPr>
      <t>实验委托方</t>
    </r>
    <phoneticPr fontId="3" type="noConversion"/>
  </si>
  <si>
    <t>Q1/Q3 Masses: 455.20/165.10 Da</t>
  </si>
  <si>
    <t>Q1/Q3 Masses: 309.00/163.10 Da</t>
  </si>
  <si>
    <t>Vial Position</t>
  </si>
  <si>
    <t>Warfarin_HM-PL_5uM-B1</t>
  </si>
  <si>
    <t>Warfarin_HM-PL_5uM-B2</t>
  </si>
  <si>
    <t>Warfarin_HM-PL_5uM-A1</t>
  </si>
  <si>
    <t>Warfarin_HM-PL_5uM-A2</t>
  </si>
  <si>
    <t>Warfarin_HM-PL_5uM-R1</t>
  </si>
  <si>
    <t>Warfarin_HM-PL_5uM-R2</t>
  </si>
  <si>
    <t>Warfarin_MU-PL_5uM-B1</t>
  </si>
  <si>
    <t>Warfarin_MU-PL_5uM-B2</t>
  </si>
  <si>
    <t>Warfarin_MU-PL_5uM-A1</t>
  </si>
  <si>
    <t>Warfarin_MU-PL_5uM-A2</t>
  </si>
  <si>
    <t>Warfarin_MU-PL_5uM-R1</t>
  </si>
  <si>
    <t>Warfarin_MU-PL_5uM-R2</t>
  </si>
  <si>
    <t>Acetaminophen_HM-PL_5uM-B1</t>
  </si>
  <si>
    <t>Acetaminophen_HM-PL_5uM-B2</t>
  </si>
  <si>
    <t>Acetaminophen_HM-PL_5uM-A1</t>
  </si>
  <si>
    <t>Acetaminophen_HM-PL_5uM-A2</t>
  </si>
  <si>
    <t>Acetaminophen_HM-PL_5uM-R1</t>
  </si>
  <si>
    <t>Acetaminophen_HM-PL_5uM-R2</t>
  </si>
  <si>
    <t>Acetaminophen_MU-PL_5uM-B1</t>
  </si>
  <si>
    <t>Acetaminophen_MU-PL_5uM-B2</t>
  </si>
  <si>
    <t>Acetaminophen_MU-PL_5uM-A1</t>
  </si>
  <si>
    <t>Acetaminophen_MU-PL_5uM-A2</t>
  </si>
  <si>
    <t>Acetaminophen_MU-PL_5uM-R1</t>
  </si>
  <si>
    <t>Acetaminophen_MU-PL_5uM-R2</t>
  </si>
  <si>
    <r>
      <rPr>
        <sz val="12"/>
        <rFont val="宋体"/>
        <family val="3"/>
        <charset val="134"/>
      </rPr>
      <t>苏州圣苏新药开发有限公司
苏州市吴中区吴中大道</t>
    </r>
    <r>
      <rPr>
        <sz val="12"/>
        <rFont val="Times New Roman"/>
        <family val="1"/>
      </rPr>
      <t>1338</t>
    </r>
    <r>
      <rPr>
        <sz val="12"/>
        <rFont val="宋体"/>
        <family val="3"/>
        <charset val="134"/>
      </rPr>
      <t>号</t>
    </r>
    <phoneticPr fontId="3" type="noConversion"/>
  </si>
  <si>
    <t>NJTQCXA03293, NJTQCXA03295, NJTQCXA03298, NJTQCXA03300, NJTQCXA03003, NJTQCXA03244 and NJTQCXA03290</t>
  </si>
  <si>
    <t>Warfarin_SR-PL_5uM-B1</t>
  </si>
  <si>
    <t>Warfarin_SR-PL_5uM-B2</t>
  </si>
  <si>
    <t>Warfarin_SR-PL_5uM-A1</t>
  </si>
  <si>
    <t>Warfarin_SR-PL_5uM-A2</t>
  </si>
  <si>
    <t>Warfarin_SR-PL_5uM-R1</t>
  </si>
  <si>
    <t>Warfarin_SR-PL_5uM-R2</t>
  </si>
  <si>
    <t>Acetaminophen_SR-PL_5uM-B1</t>
  </si>
  <si>
    <t>Acetaminophen_SR-PL_5uM-B2</t>
  </si>
  <si>
    <t>Acetaminophen_SR-PL_5uM-A1</t>
  </si>
  <si>
    <t>Acetaminophen_SR-PL_5uM-A2</t>
  </si>
  <si>
    <t>Acetaminophen_SR-PL_5uM-R1</t>
  </si>
  <si>
    <t>Acetaminophen_SR-PL_5uM-R2</t>
  </si>
  <si>
    <t xml:space="preserve">μM                                                                      </t>
    <phoneticPr fontId="3" type="noConversion"/>
  </si>
  <si>
    <t>华法林</t>
    <phoneticPr fontId="3" type="noConversion"/>
  </si>
  <si>
    <t>对乙酰氨基酚</t>
    <phoneticPr fontId="3" type="noConversion"/>
  </si>
  <si>
    <t>Warfarin</t>
    <phoneticPr fontId="3" type="noConversion"/>
  </si>
  <si>
    <t>Acetaminophen</t>
    <phoneticPr fontId="28" type="noConversion"/>
  </si>
  <si>
    <t xml:space="preserve">Aliquots of 100 μL of donor side, receiver side, stability and recovery samples were supplemented with 400 μL of precipitant. After vortexing and centrifugation, 70 uL of supernatant was removed and diluted by 70 uL of water, vortxed well and aliquot of each solution was injected for LC-MS/MS analysis. </t>
  </si>
  <si>
    <t>人</t>
    <phoneticPr fontId="3" type="noConversion"/>
  </si>
  <si>
    <t>Peak Name: Gli</t>
  </si>
  <si>
    <t>受试化合物</t>
    <phoneticPr fontId="3" type="noConversion"/>
  </si>
  <si>
    <r>
      <t>ACN, with concentration of verapamil (5 ng/mL) and glibenclamide (50 ng/mL</t>
    </r>
    <r>
      <rPr>
        <sz val="12"/>
        <rFont val="Times New Roman"/>
        <family val="1"/>
      </rPr>
      <t>)</t>
    </r>
    <phoneticPr fontId="3" type="noConversion"/>
  </si>
  <si>
    <r>
      <t>Mobile Phase A: H</t>
    </r>
    <r>
      <rPr>
        <vertAlign val="subscript"/>
        <sz val="12"/>
        <rFont val="Times New Roman"/>
        <family val="1"/>
      </rPr>
      <t>2</t>
    </r>
    <r>
      <rPr>
        <sz val="12"/>
        <rFont val="Times New Roman"/>
        <family val="1"/>
      </rPr>
      <t>O (0.1% Formic Acid</t>
    </r>
    <r>
      <rPr>
        <sz val="12"/>
        <rFont val="Times New Roman"/>
        <family val="1"/>
      </rPr>
      <t>)</t>
    </r>
    <phoneticPr fontId="3" type="noConversion"/>
  </si>
  <si>
    <t>Mobile Phase B: ACN (0.1% Formic Acid)</t>
    <phoneticPr fontId="3" type="noConversion"/>
  </si>
  <si>
    <t>Peak Name: GLBN</t>
  </si>
  <si>
    <t>Plate Position</t>
  </si>
  <si>
    <t>Internal Standard: Gli</t>
  </si>
  <si>
    <t>Warfarin_MK-PL_5uM-B1</t>
  </si>
  <si>
    <t>Warfarin_MK-PL_5uM-B2</t>
  </si>
  <si>
    <t>Warfarin_MK-PL_5uM-A1</t>
  </si>
  <si>
    <t>Warfarin_MK-PL_5uM-A2</t>
  </si>
  <si>
    <t>Warfarin_MK-PL_5uM-R1</t>
  </si>
  <si>
    <t>Warfarin_MK-PL_5uM-R2</t>
  </si>
  <si>
    <t>Warfarin_BD-PL_5uM-B1</t>
  </si>
  <si>
    <t>Warfarin_BD-PL_5uM-B2</t>
  </si>
  <si>
    <t>Warfarin_BD-PL_5uM-A1</t>
  </si>
  <si>
    <t>Warfarin_BD-PL_5uM-A2</t>
  </si>
  <si>
    <t>Warfarin_BD-PL_5uM-R1</t>
  </si>
  <si>
    <t>Warfarin_BD-PL_5uM-R2</t>
  </si>
  <si>
    <t>Acetaminophen_MK-PL_5uM-B1</t>
  </si>
  <si>
    <t>Acetaminophen_MK-PL_5uM-B2</t>
  </si>
  <si>
    <t>Acetaminophen_MK-PL_5uM-A1</t>
  </si>
  <si>
    <t>Acetaminophen_MK-PL_5uM-A2</t>
  </si>
  <si>
    <t>Acetaminophen_MK-PL_5uM-R1</t>
  </si>
  <si>
    <t>Acetaminophen_MK-PL_5uM-R2</t>
  </si>
  <si>
    <t>Acetaminophen_BD-PL_5uM-B1</t>
  </si>
  <si>
    <t>Acetaminophen_BD-PL_5uM-B2</t>
  </si>
  <si>
    <t>Acetaminophen_BD-PL_5uM-A1</t>
  </si>
  <si>
    <t>Acetaminophen_BD-PL_5uM-A2</t>
  </si>
  <si>
    <t>Acetaminophen_BD-PL_5uM-R1</t>
  </si>
  <si>
    <t>Acetaminophen_BD-PL_5uM-R2</t>
  </si>
  <si>
    <t>Peak Name: Ver</t>
  </si>
  <si>
    <t>Internal Standard: Ver</t>
  </si>
  <si>
    <t>Q1/Q3 Masses: 494.20/169.10 Da</t>
  </si>
  <si>
    <t>Q1/Q3 Masses: 455.10/165.10 Da</t>
  </si>
  <si>
    <t>Q1/Q3 Masses: 152.10/110.10 Da</t>
  </si>
  <si>
    <t>Medium</t>
    <phoneticPr fontId="3" type="noConversion"/>
  </si>
  <si>
    <r>
      <t>Agilent ZORBAX XDB-C18, 5 μm, 2.1×50mm</t>
    </r>
    <r>
      <rPr>
        <sz val="12"/>
        <rFont val="宋体"/>
        <family val="3"/>
        <charset val="134"/>
      </rPr>
      <t>（</t>
    </r>
    <r>
      <rPr>
        <sz val="12"/>
        <rFont val="Times New Roman"/>
        <family val="1"/>
      </rPr>
      <t>50-459</t>
    </r>
    <r>
      <rPr>
        <sz val="12"/>
        <rFont val="宋体"/>
        <family val="3"/>
        <charset val="134"/>
      </rPr>
      <t>）</t>
    </r>
    <phoneticPr fontId="3" type="noConversion"/>
  </si>
  <si>
    <t>Qtrap 5500: LC-MS/MS-011</t>
    <phoneticPr fontId="3" type="noConversion"/>
  </si>
  <si>
    <t>杨德孝</t>
    <phoneticPr fontId="3" type="noConversion"/>
  </si>
  <si>
    <r>
      <rPr>
        <sz val="12"/>
        <rFont val="宋体"/>
        <family val="3"/>
        <charset val="134"/>
      </rPr>
      <t>湖北生物医药产业技术研究院有限公司
武汉市东湖高新区高新大道</t>
    </r>
    <r>
      <rPr>
        <sz val="12"/>
        <rFont val="Times New Roman"/>
        <family val="1"/>
      </rPr>
      <t>666</t>
    </r>
    <r>
      <rPr>
        <sz val="12"/>
        <rFont val="宋体"/>
        <family val="3"/>
        <charset val="134"/>
      </rPr>
      <t>号</t>
    </r>
    <r>
      <rPr>
        <sz val="12"/>
        <rFont val="Times New Roman"/>
        <family val="1"/>
      </rPr>
      <t>C7</t>
    </r>
    <r>
      <rPr>
        <sz val="12"/>
        <rFont val="宋体"/>
        <family val="3"/>
        <charset val="134"/>
      </rPr>
      <t>栋</t>
    </r>
    <r>
      <rPr>
        <sz val="12"/>
        <rFont val="Times New Roman"/>
        <family val="1"/>
      </rPr>
      <t>217</t>
    </r>
    <r>
      <rPr>
        <sz val="12"/>
        <rFont val="宋体"/>
        <family val="3"/>
        <charset val="134"/>
      </rPr>
      <t>室</t>
    </r>
    <phoneticPr fontId="3" type="noConversion"/>
  </si>
  <si>
    <t>Peak Name: VERA</t>
  </si>
  <si>
    <t>Peak Name: Warfarin-Gli</t>
  </si>
  <si>
    <t>Peak Name: Warfarin-Ver</t>
  </si>
  <si>
    <t>Internal Standard: GLBN</t>
  </si>
  <si>
    <t>韩晓逸和蔡鑫鑫</t>
    <phoneticPr fontId="3" type="noConversion"/>
  </si>
  <si>
    <t>比格犬</t>
    <phoneticPr fontId="3" type="noConversion"/>
  </si>
  <si>
    <t>Warfarin-Dog Plasma 100%</t>
    <phoneticPr fontId="3" type="noConversion"/>
  </si>
  <si>
    <t>Acetaminophen-Dog Plasma 100%</t>
    <phoneticPr fontId="3" type="noConversion"/>
  </si>
  <si>
    <t>ESI: Negative</t>
    <phoneticPr fontId="3" type="noConversion"/>
  </si>
  <si>
    <t>500 µL/min</t>
    <phoneticPr fontId="3" type="noConversion"/>
  </si>
  <si>
    <r>
      <t>Pooled human, Monkey, Dog, Rat and Mouse plasma (Anticoagulant EDTA-K</t>
    </r>
    <r>
      <rPr>
        <vertAlign val="subscript"/>
        <sz val="12"/>
        <rFont val="Times New Roman"/>
        <family val="1"/>
      </rPr>
      <t>2</t>
    </r>
    <r>
      <rPr>
        <sz val="12"/>
        <rFont val="Times New Roman"/>
        <family val="1"/>
      </rPr>
      <t>) (3D); 
Phosphate buffer (100 mM, pH 7.4)</t>
    </r>
    <phoneticPr fontId="3" type="noConversion"/>
  </si>
  <si>
    <t>程翠</t>
    <phoneticPr fontId="3" type="noConversion"/>
  </si>
  <si>
    <t>Analyte Concentration (nM)</t>
  </si>
  <si>
    <t>Calculated Concentration (nM)</t>
  </si>
  <si>
    <t>NA</t>
    <phoneticPr fontId="3" type="noConversion"/>
  </si>
  <si>
    <t>Verapamil or Glibenclamide?</t>
    <phoneticPr fontId="60" type="noConversion"/>
  </si>
  <si>
    <t>Peak Name: Acetaminophen</t>
  </si>
  <si>
    <t>Q1/Q3</t>
    <phoneticPr fontId="3" type="noConversion"/>
  </si>
  <si>
    <r>
      <t>HW356009-P1</t>
    </r>
    <r>
      <rPr>
        <sz val="12"/>
        <rFont val="宋体"/>
        <family val="3"/>
        <charset val="134"/>
      </rPr>
      <t>在小鼠、大鼠、犬、猴和人血浆中的蛋白结合率测定</t>
    </r>
    <phoneticPr fontId="3" type="noConversion"/>
  </si>
  <si>
    <t>3D_PN322788</t>
    <phoneticPr fontId="3" type="noConversion"/>
  </si>
  <si>
    <t>3D_SN322400</t>
    <phoneticPr fontId="3" type="noConversion"/>
  </si>
  <si>
    <t>HW356009-P1</t>
    <phoneticPr fontId="3" type="noConversion"/>
  </si>
  <si>
    <r>
      <t xml:space="preserve">2025 </t>
    </r>
    <r>
      <rPr>
        <sz val="12"/>
        <rFont val="宋体"/>
        <family val="3"/>
        <charset val="134"/>
      </rPr>
      <t>年</t>
    </r>
    <r>
      <rPr>
        <sz val="12"/>
        <rFont val="Times New Roman"/>
        <family val="1"/>
      </rPr>
      <t xml:space="preserve"> 02 </t>
    </r>
    <r>
      <rPr>
        <sz val="12"/>
        <rFont val="宋体"/>
        <family val="3"/>
        <charset val="134"/>
      </rPr>
      <t>月</t>
    </r>
    <r>
      <rPr>
        <sz val="12"/>
        <rFont val="Times New Roman"/>
        <family val="1"/>
      </rPr>
      <t xml:space="preserve"> 26 </t>
    </r>
    <r>
      <rPr>
        <sz val="12"/>
        <rFont val="宋体"/>
        <family val="3"/>
        <charset val="134"/>
      </rPr>
      <t>日</t>
    </r>
    <phoneticPr fontId="3" type="noConversion"/>
  </si>
  <si>
    <r>
      <t xml:space="preserve">2025 </t>
    </r>
    <r>
      <rPr>
        <sz val="12"/>
        <color theme="1"/>
        <rFont val="宋体"/>
        <family val="3"/>
        <charset val="134"/>
      </rPr>
      <t>年</t>
    </r>
    <r>
      <rPr>
        <sz val="12"/>
        <color theme="1"/>
        <rFont val="Times New Roman"/>
        <family val="1"/>
      </rPr>
      <t xml:space="preserve"> 03 </t>
    </r>
    <r>
      <rPr>
        <sz val="12"/>
        <color theme="1"/>
        <rFont val="宋体"/>
        <family val="3"/>
        <charset val="134"/>
      </rPr>
      <t>月</t>
    </r>
    <r>
      <rPr>
        <sz val="12"/>
        <color theme="1"/>
        <rFont val="Times New Roman"/>
        <family val="1"/>
      </rPr>
      <t xml:space="preserve"> 04 </t>
    </r>
    <r>
      <rPr>
        <sz val="12"/>
        <color theme="1"/>
        <rFont val="宋体"/>
        <family val="3"/>
        <charset val="134"/>
      </rPr>
      <t>日</t>
    </r>
    <phoneticPr fontId="3" type="noConversion"/>
  </si>
  <si>
    <t>钱晨艳</t>
    <phoneticPr fontId="3" type="noConversion"/>
  </si>
  <si>
    <t>Glibenclamide</t>
    <phoneticPr fontId="3" type="noConversion"/>
  </si>
  <si>
    <t>604.3/411.1</t>
    <phoneticPr fontId="3" type="noConversion"/>
  </si>
  <si>
    <t>494.2/169.1</t>
    <phoneticPr fontId="3" type="noConversion"/>
  </si>
  <si>
    <t>Peak Name: HW356009-P1-Ver</t>
  </si>
  <si>
    <t>Q1/Q3 Masses: 604.30/411.10 Da</t>
  </si>
  <si>
    <t>Peak Name: HW356009-P1-Gli</t>
  </si>
  <si>
    <t>2/28/2025 11:47:32 PM</t>
  </si>
  <si>
    <t>2/28/2025 11:51:00 PM</t>
  </si>
  <si>
    <t>HW356009-P1_HM-PL_1uM-B1</t>
  </si>
  <si>
    <t>2/28/2025 11:54:24 PM</t>
  </si>
  <si>
    <t>HW356009-P1_HM-PL_1uM-B2</t>
  </si>
  <si>
    <t>2/28/2025 11:57:48 PM</t>
  </si>
  <si>
    <t>HW356009-P1_HM-PL_1uM-A1</t>
  </si>
  <si>
    <t>3/1/2025 12:01:12 AM</t>
  </si>
  <si>
    <t>HW356009-P1_HM-PL_1uM-A2</t>
  </si>
  <si>
    <t>3/1/2025 12:04:37 AM</t>
  </si>
  <si>
    <t>HW356009-P1_HM-PL_1uM-S1</t>
  </si>
  <si>
    <t>3/1/2025 12:08:00 AM</t>
  </si>
  <si>
    <t>HW356009-P1_HM-PL_1uM-S2</t>
  </si>
  <si>
    <t>3/1/2025 12:11:24 AM</t>
  </si>
  <si>
    <t>HW356009-P1_HM-PL_1uM-R1</t>
  </si>
  <si>
    <t>3/1/2025 12:14:47 AM</t>
  </si>
  <si>
    <t>HW356009-P1_HM-PL_1uM-R2</t>
  </si>
  <si>
    <t>3/1/2025 12:18:11 AM</t>
  </si>
  <si>
    <t>3/1/2025 12:21:36 AM</t>
  </si>
  <si>
    <t>3/1/2025 12:25:00 AM</t>
  </si>
  <si>
    <t>HW356009-P1_MK-PL_1uM-B1</t>
  </si>
  <si>
    <t>3/1/2025 12:28:25 AM</t>
  </si>
  <si>
    <t>HW356009-P1_MK-PL_1uM-B2</t>
  </si>
  <si>
    <t>3/1/2025 12:31:47 AM</t>
  </si>
  <si>
    <t>HW356009-P1_MK-PL_1uM-A1</t>
  </si>
  <si>
    <t>3/1/2025 12:35:14 AM</t>
  </si>
  <si>
    <t>HW356009-P1_MK-PL_1uM-A2</t>
  </si>
  <si>
    <t>3/1/2025 12:38:39 AM</t>
  </si>
  <si>
    <t>HW356009-P1_MK-PL_1uM-S1</t>
  </si>
  <si>
    <t>3/1/2025 12:42:03 AM</t>
  </si>
  <si>
    <t>HW356009-P1_MK-PL_1uM-S2</t>
  </si>
  <si>
    <t>3/1/2025 12:45:27 AM</t>
  </si>
  <si>
    <t>HW356009-P1_MK-PL_1uM-R1</t>
  </si>
  <si>
    <t>3/1/2025 12:48:51 AM</t>
  </si>
  <si>
    <t>HW356009-P1_MK-PL_1uM-R2</t>
  </si>
  <si>
    <t>3/1/2025 12:52:15 AM</t>
  </si>
  <si>
    <t>3/1/2025 12:55:40 AM</t>
  </si>
  <si>
    <t>3/1/2025 12:59:05 AM</t>
  </si>
  <si>
    <t>HW356009-P1_BD-PL_1uM-B1</t>
  </si>
  <si>
    <t>3/1/2025 1:02:27 AM</t>
  </si>
  <si>
    <t>HW356009-P1_BD-PL_1uM-B2</t>
  </si>
  <si>
    <t>3/1/2025 1:05:51 AM</t>
  </si>
  <si>
    <t>HW356009-P1_BD-PL_1uM-A1</t>
  </si>
  <si>
    <t>3/1/2025 1:09:15 AM</t>
  </si>
  <si>
    <t>HW356009-P1_BD-PL_1uM-A2</t>
  </si>
  <si>
    <t>3/1/2025 1:12:39 AM</t>
  </si>
  <si>
    <t>HW356009-P1_BD-PL_1uM-S1</t>
  </si>
  <si>
    <t>3/1/2025 1:16:03 AM</t>
  </si>
  <si>
    <t>HW356009-P1_BD-PL_1uM-S2</t>
  </si>
  <si>
    <t>3/1/2025 1:19:27 AM</t>
  </si>
  <si>
    <t>HW356009-P1_BD-PL_1uM-R1</t>
  </si>
  <si>
    <t>3/1/2025 1:22:51 AM</t>
  </si>
  <si>
    <t>HW356009-P1_BD-PL_1uM-R2</t>
  </si>
  <si>
    <t>3/1/2025 1:26:15 AM</t>
  </si>
  <si>
    <t>3/1/2025 1:29:39 AM</t>
  </si>
  <si>
    <t>3/1/2025 1:33:03 AM</t>
  </si>
  <si>
    <t>HW356009-P1_SR-PL_1uM-B1</t>
  </si>
  <si>
    <t>3/1/2025 1:36:28 AM</t>
  </si>
  <si>
    <t>HW356009-P1_SR-PL_1uM-B2</t>
  </si>
  <si>
    <t>3/1/2025 1:39:53 AM</t>
  </si>
  <si>
    <t>HW356009-P1_SR-PL_1uM-A1</t>
  </si>
  <si>
    <t>3/1/2025 1:43:18 AM</t>
  </si>
  <si>
    <t>HW356009-P1_SR-PL_1uM-A2</t>
  </si>
  <si>
    <t>3/1/2025 1:46:39 AM</t>
  </si>
  <si>
    <t>HW356009-P1_SR-PL_1uM-S1</t>
  </si>
  <si>
    <t>3/1/2025 1:50:03 AM</t>
  </si>
  <si>
    <t>HW356009-P1_SR-PL_1uM-S2</t>
  </si>
  <si>
    <t>3/1/2025 1:53:27 AM</t>
  </si>
  <si>
    <t>HW356009-P1_SR-PL_1uM-R1</t>
  </si>
  <si>
    <t>3/1/2025 1:56:51 AM</t>
  </si>
  <si>
    <t>HW356009-P1_SR-PL_1uM-R2</t>
  </si>
  <si>
    <t>3/1/2025 2:00:16 AM</t>
  </si>
  <si>
    <t>3/1/2025 2:03:39 AM</t>
  </si>
  <si>
    <t>3/1/2025 2:07:03 AM</t>
  </si>
  <si>
    <t>HW356009-P1_MU-PL_1uM-B1</t>
  </si>
  <si>
    <t>3/1/2025 2:10:27 AM</t>
  </si>
  <si>
    <t>HW356009-P1_MU-PL_1uM-B2</t>
  </si>
  <si>
    <t>3/1/2025 2:13:51 AM</t>
  </si>
  <si>
    <t>HW356009-P1_MU-PL_1uM-A1</t>
  </si>
  <si>
    <t>3/1/2025 2:17:15 AM</t>
  </si>
  <si>
    <t>HW356009-P1_MU-PL_1uM-A2</t>
  </si>
  <si>
    <t>3/1/2025 2:20:39 AM</t>
  </si>
  <si>
    <t>HW356009-P1_MU-PL_1uM-S1</t>
  </si>
  <si>
    <t>3/1/2025 2:24:04 AM</t>
  </si>
  <si>
    <t>HW356009-P1_MU-PL_1uM-S2</t>
  </si>
  <si>
    <t>3/1/2025 2:27:29 AM</t>
  </si>
  <si>
    <t>HW356009-P1_MU-PL_1uM-R1</t>
  </si>
  <si>
    <t>3/1/2025 2:30:53 AM</t>
  </si>
  <si>
    <t>HW356009-P1_MU-PL_1uM-R2</t>
  </si>
  <si>
    <t>3/1/2025 2:34:19 AM</t>
  </si>
  <si>
    <t>2/28/2025 7:09:21 PM</t>
  </si>
  <si>
    <t>2/28/2025 7:12:47 PM</t>
  </si>
  <si>
    <t>2/28/2025 7:16:10 PM</t>
  </si>
  <si>
    <t>2/28/2025 7:19:35 PM</t>
  </si>
  <si>
    <t>2/28/2025 7:22:58 PM</t>
  </si>
  <si>
    <t>2/28/2025 7:26:21 PM</t>
  </si>
  <si>
    <t>2/28/2025 7:29:44 PM</t>
  </si>
  <si>
    <t>2/28/2025 7:33:09 PM</t>
  </si>
  <si>
    <t>No Peak</t>
  </si>
  <si>
    <t>2/28/2025 7:36:33 PM</t>
  </si>
  <si>
    <t>2/28/2025 7:39:54 PM</t>
  </si>
  <si>
    <t>2/28/2025 7:43:21 PM</t>
  </si>
  <si>
    <t>2/28/2025 7:46:44 PM</t>
  </si>
  <si>
    <t>2/28/2025 7:50:03 PM</t>
  </si>
  <si>
    <t>2/28/2025 7:53:29 PM</t>
  </si>
  <si>
    <t>2/28/2025 7:56:53 PM</t>
  </si>
  <si>
    <t>2/28/2025 8:00:17 PM</t>
  </si>
  <si>
    <t>2/28/2025 8:03:41 PM</t>
  </si>
  <si>
    <t>2/28/2025 8:07:05 PM</t>
  </si>
  <si>
    <t>2/28/2025 8:10:26 PM</t>
  </si>
  <si>
    <t>2/28/2025 8:13:51 PM</t>
  </si>
  <si>
    <t>2/28/2025 8:17:15 PM</t>
  </si>
  <si>
    <t>2/28/2025 8:20:38 PM</t>
  </si>
  <si>
    <t>2/28/2025 8:24:01 PM</t>
  </si>
  <si>
    <t>2/28/2025 8:27:21 PM</t>
  </si>
  <si>
    <t>2/28/2025 8:30:49 PM</t>
  </si>
  <si>
    <t>2/28/2025 8:34:10 PM</t>
  </si>
  <si>
    <t>2/28/2025 8:37:37 PM</t>
  </si>
  <si>
    <t>2/28/2025 8:41:01 PM</t>
  </si>
  <si>
    <t>2/28/2025 8:44:24 PM</t>
  </si>
  <si>
    <t>2/28/2025 8:47:47 PM</t>
  </si>
  <si>
    <t>2/28/2025 8:51:07 PM</t>
  </si>
  <si>
    <t>2/28/2025 8:54:33 PM</t>
  </si>
  <si>
    <t>2/28/2025 8:57:58 PM</t>
  </si>
  <si>
    <t>2/28/2025 9:01:21 PM</t>
  </si>
  <si>
    <t>2/28/2025 9:04:45 PM</t>
  </si>
  <si>
    <t>2/28/2025 9:08:10 PM</t>
  </si>
  <si>
    <t>2/28/2025 9:11:33 PM</t>
  </si>
  <si>
    <t>2/28/2025 9:14:58 PM</t>
  </si>
  <si>
    <t>2/28/2025 9:18:21 PM</t>
  </si>
  <si>
    <t>2/28/2025 9:21:44 PM</t>
  </si>
  <si>
    <t>2/28/2025 9:25:05 PM</t>
  </si>
  <si>
    <t>2/28/2025 9:28:28 PM</t>
  </si>
  <si>
    <t>2/28/2025 9:31:54 PM</t>
  </si>
  <si>
    <t>2/28/2025 9:35:17 PM</t>
  </si>
  <si>
    <t>2/28/2025 9:38:37 PM</t>
  </si>
  <si>
    <t>2/28/2025 9:42:03 PM</t>
  </si>
  <si>
    <t>2/28/2025 9:45:26 PM</t>
  </si>
  <si>
    <t>2/28/2025 9:48:49 PM</t>
  </si>
  <si>
    <t>2/28/2025 9:52:12 PM</t>
  </si>
  <si>
    <t>2/28/2025 9:55:35 PM</t>
  </si>
  <si>
    <t>2/28/2025 9:59:00 PM</t>
  </si>
  <si>
    <t>2/28/2025 10:02:24 PM</t>
  </si>
  <si>
    <t>2/28/2025 10:05:47 PM</t>
  </si>
  <si>
    <t>2/28/2025 10:09:10 PM</t>
  </si>
  <si>
    <t>2/28/2025 10:12:33 PM</t>
  </si>
  <si>
    <t>2/28/2025 10:15:55 PM</t>
  </si>
  <si>
    <t>2/28/2025 10:19:18 PM</t>
  </si>
  <si>
    <t>2/28/2025 10:22:41 PM</t>
  </si>
  <si>
    <t>2/28/2025 10:26:05 PM</t>
  </si>
  <si>
    <t>2/28/2025 10:29:26 PM</t>
  </si>
  <si>
    <t>2/28/2025 10:32:52 PM</t>
  </si>
  <si>
    <t>2/28/2025 10:36:16 PM</t>
  </si>
  <si>
    <t>2/28/2025 10:39:39 PM</t>
  </si>
  <si>
    <t>2/28/2025 10:43:02 PM</t>
  </si>
  <si>
    <t>2/28/2025 10:46:27 PM</t>
  </si>
  <si>
    <t>2/28/2025 10:49:47 PM</t>
  </si>
  <si>
    <t>2/28/2025 10:53:13 PM</t>
  </si>
  <si>
    <t>2/28/2025 10:56:37 PM</t>
  </si>
  <si>
    <t>2/28/2025 11:00:01 PM</t>
  </si>
  <si>
    <t>2/28/2025 11:03:24 PM</t>
  </si>
  <si>
    <t>2/28/2025 11:06:47 PM</t>
  </si>
  <si>
    <t>2/28/2025 11:10:08 PM</t>
  </si>
  <si>
    <t>2/28/2025 11:13:33 PM</t>
  </si>
  <si>
    <t>2/28/2025 11:16:56 PM</t>
  </si>
  <si>
    <t>2/28/2025 11:20:20 PM</t>
  </si>
  <si>
    <t>2/28/2025 11:23:43 PM</t>
  </si>
  <si>
    <t>2/28/2025 11:27:07 PM</t>
  </si>
  <si>
    <t>2/28/2025 11:30:31 PM</t>
  </si>
  <si>
    <t>2/28/2025 11:33:55 PM</t>
  </si>
  <si>
    <t>2/28/2025 11:37:19 PM</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</si>
</sst>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76" formatCode="0_ "/>
    <numFmt numFmtId="177" formatCode="0.0"/>
    <numFmt numFmtId="178" formatCode="0.0000"/>
    <numFmt numFmtId="179" formatCode="0.000"/>
    <numFmt numFmtId="180" formatCode="0.000000"/>
    <numFmt numFmtId="181" formatCode="0.00_ "/>
    <numFmt numFmtId="182" formatCode="0.0_ "/>
    <numFmt numFmtId="183" formatCode="0.0_);[Red]\(0.0\)"/>
    <numFmt numFmtId="184" formatCode="0.00_);[Red]\(0.00\)"/>
    <numFmt numFmtId="185" formatCode="yyyy&quot;年&quot;m&quot;月&quot;d&quot;日&quot;;@"/>
    <numFmt numFmtId="186" formatCode="0.00000"/>
  </numFmts>
  <fonts count="62">
    <font>
      <sz val="11"/>
      <color theme="1"/>
      <name val="宋体"/>
      <charset val="134"/>
    </font>
    <font>
      <sz val="11"/>
      <color theme="1"/>
      <name val="宋体"/>
      <family val="2"/>
      <charset val="134"/>
      <scheme val="minor"/>
    </font>
    <font>
      <sz val="11"/>
      <color indexed="8"/>
      <name val="宋体"/>
      <family val="3"/>
      <charset val="134"/>
    </font>
    <font>
      <sz val="9"/>
      <name val="宋体"/>
      <family val="3"/>
      <charset val="134"/>
    </font>
    <font>
      <sz val="8"/>
      <name val="Arial"/>
      <family val="2"/>
    </font>
    <font>
      <sz val="10"/>
      <name val="Arial"/>
      <family val="2"/>
    </font>
    <font>
      <sz val="12"/>
      <name val="宋体"/>
      <family val="3"/>
      <charset val="134"/>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b/>
      <sz val="11"/>
      <name val="Times New Roman"/>
      <family val="1"/>
    </font>
    <font>
      <sz val="11"/>
      <name val="Times New Roman"/>
      <family val="1"/>
    </font>
    <font>
      <vertAlign val="subscript"/>
      <sz val="11"/>
      <name val="Times New Roman"/>
      <family val="1"/>
    </font>
    <font>
      <sz val="11"/>
      <name val="宋体"/>
      <family val="3"/>
      <charset val="134"/>
    </font>
    <font>
      <sz val="9"/>
      <name val="宋体"/>
      <family val="3"/>
      <charset val="134"/>
    </font>
    <font>
      <sz val="10"/>
      <color indexed="8"/>
      <name val="Arial"/>
      <family val="2"/>
    </font>
    <font>
      <sz val="11"/>
      <color indexed="20"/>
      <name val="宋体"/>
      <family val="3"/>
      <charset val="134"/>
    </font>
    <font>
      <sz val="11"/>
      <color indexed="17"/>
      <name val="宋体"/>
      <family val="3"/>
      <charset val="134"/>
    </font>
    <font>
      <sz val="12"/>
      <name val="Times New Roman"/>
      <family val="1"/>
    </font>
    <font>
      <b/>
      <sz val="12"/>
      <name val="Times New Roman"/>
      <family val="1"/>
    </font>
    <font>
      <b/>
      <vertAlign val="subscript"/>
      <sz val="12"/>
      <name val="Times New Roman"/>
      <family val="1"/>
    </font>
    <font>
      <sz val="12"/>
      <color theme="1"/>
      <name val="Times New Roman"/>
      <family val="1"/>
    </font>
    <font>
      <sz val="12"/>
      <color indexed="8"/>
      <name val="Times New Roman"/>
      <family val="1"/>
    </font>
    <font>
      <b/>
      <sz val="14"/>
      <name val="Times New Roman"/>
      <family val="1"/>
    </font>
    <font>
      <sz val="14"/>
      <name val="Times New Roman"/>
      <family val="1"/>
    </font>
    <font>
      <sz val="14"/>
      <color theme="1"/>
      <name val="Times New Roman"/>
      <family val="1"/>
    </font>
    <font>
      <i/>
      <sz val="14"/>
      <name val="Times New Roman"/>
      <family val="1"/>
    </font>
    <font>
      <b/>
      <vertAlign val="subscript"/>
      <sz val="11"/>
      <name val="Times New Roman"/>
      <family val="1"/>
    </font>
    <font>
      <vertAlign val="subscript"/>
      <sz val="12"/>
      <name val="Times New Roman"/>
      <family val="1"/>
    </font>
    <font>
      <b/>
      <i/>
      <sz val="11"/>
      <name val="Times New Roman"/>
      <family val="1"/>
    </font>
    <font>
      <b/>
      <i/>
      <vertAlign val="subscript"/>
      <sz val="11"/>
      <name val="Times New Roman"/>
      <family val="1"/>
    </font>
    <font>
      <sz val="11"/>
      <color theme="1"/>
      <name val="宋体"/>
      <family val="3"/>
      <charset val="134"/>
    </font>
    <font>
      <b/>
      <sz val="12"/>
      <name val="宋体"/>
      <family val="3"/>
      <charset val="134"/>
    </font>
    <font>
      <b/>
      <sz val="12"/>
      <color indexed="8"/>
      <name val="Times New Roman"/>
      <family val="1"/>
    </font>
    <font>
      <b/>
      <sz val="12"/>
      <color theme="1"/>
      <name val="Times New Roman"/>
      <family val="1"/>
    </font>
    <font>
      <sz val="12"/>
      <color theme="1"/>
      <name val="宋体"/>
      <family val="3"/>
      <charset val="134"/>
    </font>
    <font>
      <b/>
      <sz val="11"/>
      <name val="宋体"/>
      <family val="3"/>
      <charset val="134"/>
    </font>
    <font>
      <b/>
      <sz val="12"/>
      <color theme="1"/>
      <name val="宋体"/>
      <family val="3"/>
      <charset val="134"/>
    </font>
    <font>
      <b/>
      <sz val="12"/>
      <color rgb="FF000000"/>
      <name val="Times New Roman"/>
      <family val="1"/>
    </font>
    <font>
      <b/>
      <sz val="12"/>
      <color rgb="FF000000"/>
      <name val="宋体"/>
      <family val="3"/>
      <charset val="134"/>
    </font>
    <font>
      <sz val="11"/>
      <color theme="1"/>
      <name val="Times New Roman"/>
      <family val="1"/>
    </font>
    <font>
      <sz val="10.5"/>
      <color rgb="FF000000"/>
      <name val="Times New Roman"/>
      <family val="1"/>
    </font>
    <font>
      <sz val="10.5"/>
      <color theme="1"/>
      <name val="Times New Roman"/>
      <family val="1"/>
    </font>
    <font>
      <b/>
      <sz val="21"/>
      <name val="Times New Roman"/>
      <family val="1"/>
    </font>
    <font>
      <i/>
      <sz val="12"/>
      <name val="Times New Roman"/>
      <family val="1"/>
    </font>
    <font>
      <sz val="12"/>
      <color rgb="FFFF0000"/>
      <name val="Times New Roman"/>
      <family val="1"/>
    </font>
    <font>
      <sz val="9"/>
      <name val="宋体"/>
      <family val="2"/>
      <charset val="134"/>
      <scheme val="minor"/>
    </font>
    <font>
      <b/>
      <u/>
      <sz val="12"/>
      <name val="Times New Roman"/>
      <family val="1"/>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65"/>
        <bgColor indexed="64"/>
      </patternFill>
    </fill>
    <fill>
      <patternFill patternType="solid">
        <fgColor rgb="FF92D050"/>
        <bgColor indexed="64"/>
      </patternFill>
    </fill>
    <fill>
      <patternFill patternType="solid">
        <fgColor theme="0"/>
        <bgColor indexed="64"/>
      </patternFill>
    </fill>
  </fills>
  <borders count="3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thin">
        <color indexed="64"/>
      </bottom>
      <diagonal/>
    </border>
    <border>
      <left/>
      <right/>
      <top style="medium">
        <color indexed="64"/>
      </top>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style="thin">
        <color indexed="64"/>
      </left>
      <right/>
      <top/>
      <bottom style="medium">
        <color indexed="64"/>
      </bottom>
      <diagonal/>
    </border>
    <border>
      <left style="medium">
        <color indexed="64"/>
      </left>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thin">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bottom style="medium">
        <color auto="1"/>
      </bottom>
      <diagonal/>
    </border>
    <border>
      <left style="thin">
        <color indexed="64"/>
      </left>
      <right/>
      <top style="medium">
        <color auto="1"/>
      </top>
      <bottom style="thin">
        <color indexed="64"/>
      </bottom>
      <diagonal/>
    </border>
    <border>
      <left/>
      <right style="thin">
        <color indexed="64"/>
      </right>
      <top style="medium">
        <color indexed="64"/>
      </top>
      <bottom style="thin">
        <color indexed="64"/>
      </bottom>
      <diagonal/>
    </border>
    <border>
      <left/>
      <right style="thin">
        <color indexed="64"/>
      </right>
      <top/>
      <bottom/>
      <diagonal/>
    </border>
    <border>
      <left/>
      <right/>
      <top style="medium">
        <color auto="1"/>
      </top>
      <bottom style="medium">
        <color indexed="64"/>
      </bottom>
      <diagonal/>
    </border>
  </borders>
  <cellStyleXfs count="62">
    <xf numFmtId="0" fontId="0" fillId="0" borderId="0">
      <alignment vertical="center"/>
    </xf>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0" fontId="12"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6" fillId="0" borderId="5" applyNumberFormat="0" applyFill="0" applyAlignment="0" applyProtection="0"/>
    <xf numFmtId="0" fontId="16" fillId="0" borderId="0" applyNumberFormat="0" applyFill="0" applyBorder="0" applyAlignment="0" applyProtection="0"/>
    <xf numFmtId="0" fontId="17" fillId="7" borderId="1" applyNumberFormat="0" applyAlignment="0" applyProtection="0"/>
    <xf numFmtId="0" fontId="18" fillId="0" borderId="6" applyNumberFormat="0" applyFill="0" applyAlignment="0" applyProtection="0"/>
    <xf numFmtId="0" fontId="19" fillId="22" borderId="0" applyNumberFormat="0" applyBorder="0" applyAlignment="0" applyProtection="0"/>
    <xf numFmtId="0" fontId="5" fillId="0" borderId="0">
      <alignment vertical="top"/>
    </xf>
    <xf numFmtId="0" fontId="7" fillId="0" borderId="0">
      <alignment vertical="center"/>
    </xf>
    <xf numFmtId="0" fontId="6" fillId="23" borderId="7" applyNumberFormat="0" applyFont="0" applyAlignment="0" applyProtection="0"/>
    <xf numFmtId="0" fontId="20" fillId="20" borderId="8" applyNumberFormat="0" applyAlignment="0" applyProtection="0"/>
    <xf numFmtId="0" fontId="29" fillId="0" borderId="0">
      <alignment vertical="top"/>
    </xf>
    <xf numFmtId="0" fontId="21" fillId="0" borderId="0" applyNumberFormat="0" applyFill="0" applyBorder="0" applyAlignment="0" applyProtection="0"/>
    <xf numFmtId="0" fontId="22" fillId="0" borderId="9" applyNumberFormat="0" applyFill="0" applyAlignment="0" applyProtection="0"/>
    <xf numFmtId="0" fontId="23" fillId="0" borderId="0" applyNumberFormat="0" applyFill="0" applyBorder="0" applyAlignment="0" applyProtection="0"/>
    <xf numFmtId="0" fontId="31" fillId="4" borderId="0" applyNumberFormat="0" applyBorder="0" applyAlignment="0" applyProtection="0">
      <alignment vertical="center"/>
    </xf>
    <xf numFmtId="0" fontId="13" fillId="4" borderId="0" applyNumberFormat="0" applyBorder="0" applyAlignment="0" applyProtection="0">
      <alignment vertical="center"/>
    </xf>
    <xf numFmtId="0" fontId="30" fillId="3" borderId="0" applyNumberFormat="0" applyBorder="0" applyAlignment="0" applyProtection="0">
      <alignment vertical="center"/>
    </xf>
    <xf numFmtId="0" fontId="9" fillId="3" borderId="0" applyNumberFormat="0" applyBorder="0" applyAlignment="0" applyProtection="0">
      <alignment vertical="center"/>
    </xf>
    <xf numFmtId="0" fontId="5" fillId="0" borderId="0"/>
    <xf numFmtId="0" fontId="4" fillId="0" borderId="0"/>
    <xf numFmtId="0" fontId="2" fillId="0" borderId="0">
      <alignment vertical="center"/>
    </xf>
    <xf numFmtId="0" fontId="6" fillId="0" borderId="0">
      <alignment vertical="center"/>
    </xf>
    <xf numFmtId="0" fontId="6" fillId="0" borderId="0">
      <alignment vertical="center"/>
    </xf>
    <xf numFmtId="0" fontId="29" fillId="0" borderId="0">
      <alignment vertical="top"/>
    </xf>
    <xf numFmtId="0" fontId="29" fillId="0" borderId="0">
      <alignment vertical="top"/>
    </xf>
    <xf numFmtId="9" fontId="5" fillId="0" borderId="0" applyFont="0" applyFill="0" applyBorder="0" applyAlignment="0" applyProtection="0"/>
    <xf numFmtId="0" fontId="5" fillId="0" borderId="0"/>
    <xf numFmtId="0" fontId="45" fillId="0" borderId="0">
      <alignment vertical="center"/>
    </xf>
    <xf numFmtId="0" fontId="6" fillId="0" borderId="0">
      <alignment vertical="center"/>
    </xf>
    <xf numFmtId="0" fontId="2" fillId="0" borderId="0">
      <alignment vertical="center"/>
    </xf>
    <xf numFmtId="0" fontId="1" fillId="0" borderId="0"/>
  </cellStyleXfs>
  <cellXfs count="412">
    <xf numFmtId="0" fontId="0" fillId="0" borderId="0" xfId="0">
      <alignment vertical="center"/>
    </xf>
    <xf numFmtId="0" fontId="25" fillId="0" borderId="0" xfId="52" applyFont="1" applyFill="1" applyAlignment="1">
      <alignment horizontal="center" vertical="center"/>
    </xf>
    <xf numFmtId="0" fontId="25" fillId="0" borderId="0" xfId="52" applyFont="1" applyFill="1">
      <alignment vertical="center"/>
    </xf>
    <xf numFmtId="0" fontId="32" fillId="0" borderId="0" xfId="49" applyFont="1" applyFill="1" applyAlignment="1">
      <alignment horizontal="center"/>
    </xf>
    <xf numFmtId="0" fontId="33" fillId="0" borderId="0" xfId="49" applyFont="1" applyFill="1" applyAlignment="1">
      <alignment horizontal="center"/>
    </xf>
    <xf numFmtId="177" fontId="32" fillId="0" borderId="13" xfId="49" applyNumberFormat="1" applyFont="1" applyFill="1" applyBorder="1" applyAlignment="1">
      <alignment horizontal="center"/>
    </xf>
    <xf numFmtId="1" fontId="32" fillId="0" borderId="12" xfId="49" applyNumberFormat="1" applyFont="1" applyFill="1" applyBorder="1" applyAlignment="1">
      <alignment vertical="center" wrapText="1"/>
    </xf>
    <xf numFmtId="0" fontId="32" fillId="0" borderId="0" xfId="49" applyFont="1" applyFill="1" applyBorder="1" applyAlignment="1">
      <alignment horizontal="center"/>
    </xf>
    <xf numFmtId="49" fontId="32" fillId="0" borderId="0" xfId="0" applyNumberFormat="1" applyFont="1" applyFill="1" applyBorder="1" applyAlignment="1">
      <alignment horizontal="center"/>
    </xf>
    <xf numFmtId="177" fontId="32" fillId="0" borderId="0" xfId="49" applyNumberFormat="1" applyFont="1" applyFill="1" applyBorder="1" applyAlignment="1">
      <alignment horizontal="center"/>
    </xf>
    <xf numFmtId="180" fontId="32" fillId="0" borderId="0" xfId="49" applyNumberFormat="1" applyFont="1" applyFill="1" applyBorder="1" applyAlignment="1">
      <alignment horizontal="center"/>
    </xf>
    <xf numFmtId="1" fontId="32" fillId="0" borderId="0" xfId="49" applyNumberFormat="1" applyFont="1" applyFill="1" applyBorder="1" applyAlignment="1">
      <alignment vertical="center" wrapText="1"/>
    </xf>
    <xf numFmtId="0" fontId="35" fillId="0" borderId="0" xfId="0" applyFont="1" applyBorder="1" applyAlignment="1">
      <alignment horizontal="center" vertical="center"/>
    </xf>
    <xf numFmtId="0" fontId="32" fillId="0" borderId="0" xfId="49" applyFont="1" applyFill="1" applyBorder="1" applyAlignment="1">
      <alignment horizontal="center" vertical="center"/>
    </xf>
    <xf numFmtId="1" fontId="32" fillId="0" borderId="0" xfId="49" applyNumberFormat="1" applyFont="1" applyFill="1" applyBorder="1" applyAlignment="1">
      <alignment horizontal="center"/>
    </xf>
    <xf numFmtId="2" fontId="35" fillId="0" borderId="0" xfId="0" applyNumberFormat="1" applyFont="1" applyFill="1" applyBorder="1" applyAlignment="1">
      <alignment horizontal="center" vertical="center"/>
    </xf>
    <xf numFmtId="0" fontId="32" fillId="0" borderId="0" xfId="52" applyFont="1" applyFill="1" applyAlignment="1"/>
    <xf numFmtId="0" fontId="33" fillId="0" borderId="0" xfId="52" applyFont="1" applyFill="1" applyAlignment="1">
      <alignment horizontal="left" vertical="center"/>
    </xf>
    <xf numFmtId="0" fontId="32" fillId="0" borderId="0" xfId="52" applyFont="1" applyFill="1" applyBorder="1" applyAlignment="1"/>
    <xf numFmtId="0" fontId="33" fillId="0" borderId="0" xfId="49" applyFont="1" applyFill="1" applyBorder="1" applyAlignment="1">
      <alignment vertical="center"/>
    </xf>
    <xf numFmtId="0" fontId="33" fillId="0" borderId="0" xfId="49" applyFont="1" applyFill="1" applyBorder="1" applyAlignment="1">
      <alignment horizontal="center"/>
    </xf>
    <xf numFmtId="0" fontId="32" fillId="0" borderId="0" xfId="49" applyNumberFormat="1" applyFont="1" applyFill="1" applyBorder="1" applyAlignment="1">
      <alignment horizontal="center"/>
    </xf>
    <xf numFmtId="0" fontId="32" fillId="0" borderId="0" xfId="49" applyNumberFormat="1" applyFont="1" applyFill="1" applyAlignment="1">
      <alignment horizontal="center"/>
    </xf>
    <xf numFmtId="0" fontId="33" fillId="0" borderId="17" xfId="52" applyFont="1" applyFill="1" applyBorder="1" applyAlignment="1">
      <alignment horizontal="left" vertical="center" wrapText="1"/>
    </xf>
    <xf numFmtId="182" fontId="25" fillId="0" borderId="12" xfId="52" applyNumberFormat="1" applyFont="1" applyFill="1" applyBorder="1" applyAlignment="1">
      <alignment horizontal="center" vertical="center"/>
    </xf>
    <xf numFmtId="0" fontId="33" fillId="0" borderId="0" xfId="49" applyFont="1" applyFill="1" applyBorder="1" applyAlignment="1">
      <alignment horizontal="left" vertical="center"/>
    </xf>
    <xf numFmtId="176" fontId="35" fillId="0" borderId="12" xfId="58" applyNumberFormat="1" applyFont="1" applyFill="1" applyBorder="1" applyAlignment="1">
      <alignment horizontal="center" vertical="center"/>
    </xf>
    <xf numFmtId="181" fontId="35" fillId="0" borderId="0" xfId="58" applyNumberFormat="1" applyFont="1" applyFill="1" applyBorder="1" applyAlignment="1">
      <alignment horizontal="center" vertical="center"/>
    </xf>
    <xf numFmtId="0" fontId="32" fillId="25" borderId="0" xfId="49" applyFont="1" applyFill="1" applyBorder="1" applyAlignment="1">
      <alignment horizontal="center"/>
    </xf>
    <xf numFmtId="177" fontId="32" fillId="25" borderId="0" xfId="49" applyNumberFormat="1" applyFont="1" applyFill="1" applyBorder="1" applyAlignment="1">
      <alignment horizontal="center" vertical="center" wrapText="1"/>
    </xf>
    <xf numFmtId="178" fontId="32" fillId="25" borderId="0" xfId="49" applyNumberFormat="1" applyFont="1" applyFill="1" applyBorder="1" applyAlignment="1">
      <alignment horizontal="center" vertical="center" wrapText="1"/>
    </xf>
    <xf numFmtId="2" fontId="32" fillId="25" borderId="0" xfId="49" applyNumberFormat="1" applyFont="1" applyFill="1" applyBorder="1" applyAlignment="1">
      <alignment horizontal="center" vertical="center" wrapText="1"/>
    </xf>
    <xf numFmtId="2" fontId="32" fillId="25" borderId="0" xfId="49" applyNumberFormat="1" applyFont="1" applyFill="1" applyBorder="1" applyAlignment="1">
      <alignment horizontal="center"/>
    </xf>
    <xf numFmtId="0" fontId="32" fillId="25" borderId="0" xfId="49" applyNumberFormat="1" applyFont="1" applyFill="1" applyBorder="1" applyAlignment="1">
      <alignment horizontal="center"/>
    </xf>
    <xf numFmtId="181" fontId="35" fillId="0" borderId="15" xfId="58" applyNumberFormat="1" applyFont="1" applyFill="1" applyBorder="1" applyAlignment="1">
      <alignment horizontal="center" vertical="center"/>
    </xf>
    <xf numFmtId="176" fontId="35" fillId="0" borderId="15" xfId="58" applyNumberFormat="1" applyFont="1" applyFill="1" applyBorder="1" applyAlignment="1">
      <alignment horizontal="center" vertical="center"/>
    </xf>
    <xf numFmtId="0" fontId="33" fillId="0" borderId="25" xfId="52" applyFont="1" applyFill="1" applyBorder="1" applyAlignment="1">
      <alignment horizontal="left" vertical="center" wrapText="1"/>
    </xf>
    <xf numFmtId="0" fontId="33" fillId="0" borderId="28" xfId="52" applyFont="1" applyFill="1" applyBorder="1" applyAlignment="1">
      <alignment horizontal="left" vertical="center" wrapText="1"/>
    </xf>
    <xf numFmtId="0" fontId="32" fillId="0" borderId="0" xfId="58" applyFont="1" applyFill="1" applyAlignment="1"/>
    <xf numFmtId="0" fontId="32" fillId="0" borderId="0" xfId="58" applyFont="1" applyFill="1" applyAlignment="1">
      <alignment horizontal="left" vertical="center" wrapText="1"/>
    </xf>
    <xf numFmtId="0" fontId="32" fillId="0" borderId="0" xfId="58" applyFont="1" applyFill="1" applyBorder="1" applyAlignment="1"/>
    <xf numFmtId="176" fontId="32" fillId="0" borderId="0" xfId="58" applyNumberFormat="1" applyFont="1" applyBorder="1" applyAlignment="1">
      <alignment horizontal="center" vertical="center"/>
    </xf>
    <xf numFmtId="181" fontId="32" fillId="0" borderId="0" xfId="58" applyNumberFormat="1" applyFont="1" applyBorder="1" applyAlignment="1">
      <alignment horizontal="center" vertical="center"/>
    </xf>
    <xf numFmtId="182" fontId="32" fillId="0" borderId="0" xfId="58" applyNumberFormat="1" applyFont="1" applyBorder="1" applyAlignment="1">
      <alignment horizontal="center" vertical="center"/>
    </xf>
    <xf numFmtId="0" fontId="32" fillId="0" borderId="0" xfId="58" applyFont="1" applyFill="1" applyBorder="1" applyAlignment="1">
      <alignment horizontal="left"/>
    </xf>
    <xf numFmtId="0" fontId="33" fillId="0" borderId="0" xfId="58" applyFont="1" applyFill="1" applyAlignment="1">
      <alignment vertical="center"/>
    </xf>
    <xf numFmtId="0" fontId="36" fillId="0" borderId="0" xfId="0" applyNumberFormat="1" applyFont="1" applyFill="1" applyBorder="1" applyAlignment="1">
      <alignment horizontal="center" vertical="center"/>
    </xf>
    <xf numFmtId="176" fontId="35" fillId="0" borderId="0" xfId="58" applyNumberFormat="1" applyFont="1" applyFill="1" applyBorder="1" applyAlignment="1">
      <alignment horizontal="center" vertical="center"/>
    </xf>
    <xf numFmtId="0" fontId="33" fillId="0" borderId="10" xfId="58" applyFont="1" applyFill="1" applyBorder="1" applyAlignment="1">
      <alignment horizontal="left" vertical="center" wrapText="1"/>
    </xf>
    <xf numFmtId="0" fontId="33" fillId="0" borderId="0" xfId="59" applyFont="1" applyFill="1" applyBorder="1" applyAlignment="1">
      <alignment vertical="center"/>
    </xf>
    <xf numFmtId="0" fontId="36" fillId="0" borderId="0" xfId="58" applyFont="1" applyFill="1" applyAlignment="1"/>
    <xf numFmtId="183" fontId="36" fillId="0" borderId="0" xfId="58" applyNumberFormat="1" applyFont="1" applyFill="1" applyAlignment="1"/>
    <xf numFmtId="0" fontId="36" fillId="0" borderId="0" xfId="58" applyFont="1" applyFill="1" applyAlignment="1">
      <alignment vertical="center"/>
    </xf>
    <xf numFmtId="0" fontId="47" fillId="0" borderId="0" xfId="58" applyFont="1" applyFill="1" applyAlignment="1"/>
    <xf numFmtId="183" fontId="47" fillId="0" borderId="0" xfId="58" applyNumberFormat="1" applyFont="1" applyFill="1" applyAlignment="1"/>
    <xf numFmtId="0" fontId="32" fillId="0" borderId="0" xfId="49" applyFont="1" applyFill="1"/>
    <xf numFmtId="183" fontId="32" fillId="0" borderId="0" xfId="49" applyNumberFormat="1" applyFont="1" applyFill="1"/>
    <xf numFmtId="0" fontId="32" fillId="0" borderId="0" xfId="49" applyFont="1" applyFill="1" applyAlignment="1">
      <alignment horizontal="center" vertical="center"/>
    </xf>
    <xf numFmtId="176" fontId="35" fillId="0" borderId="30" xfId="58" applyNumberFormat="1" applyFont="1" applyFill="1" applyBorder="1" applyAlignment="1">
      <alignment horizontal="center" vertical="center"/>
    </xf>
    <xf numFmtId="176" fontId="32" fillId="0" borderId="0" xfId="58" applyNumberFormat="1" applyFont="1" applyFill="1" applyBorder="1" applyAlignment="1">
      <alignment horizontal="center" vertical="center"/>
    </xf>
    <xf numFmtId="176" fontId="25" fillId="0" borderId="15" xfId="52" applyNumberFormat="1" applyFont="1" applyFill="1" applyBorder="1" applyAlignment="1">
      <alignment horizontal="center" vertical="center"/>
    </xf>
    <xf numFmtId="0" fontId="32" fillId="0" borderId="0" xfId="58" applyFont="1" applyFill="1" applyBorder="1" applyAlignment="1">
      <alignment horizontal="center" vertical="center" wrapText="1"/>
    </xf>
    <xf numFmtId="0" fontId="35" fillId="0" borderId="0" xfId="0" applyFont="1" applyAlignment="1">
      <alignment horizontal="center" vertical="center"/>
    </xf>
    <xf numFmtId="0" fontId="35" fillId="0" borderId="30" xfId="0" applyFont="1" applyBorder="1" applyAlignment="1">
      <alignment horizontal="center" vertical="center"/>
    </xf>
    <xf numFmtId="0" fontId="35" fillId="0" borderId="15" xfId="0" applyFont="1" applyBorder="1" applyAlignment="1">
      <alignment horizontal="center" vertical="center"/>
    </xf>
    <xf numFmtId="0" fontId="25" fillId="26" borderId="0" xfId="52" applyFont="1" applyFill="1">
      <alignment vertical="center"/>
    </xf>
    <xf numFmtId="0" fontId="25" fillId="26" borderId="0" xfId="52" applyFont="1" applyFill="1" applyAlignment="1">
      <alignment horizontal="center" vertical="center"/>
    </xf>
    <xf numFmtId="0" fontId="25" fillId="26" borderId="0" xfId="52" applyFont="1" applyFill="1" applyAlignment="1">
      <alignment vertical="center"/>
    </xf>
    <xf numFmtId="0" fontId="25" fillId="26" borderId="0" xfId="52" applyFont="1" applyFill="1" applyBorder="1" applyAlignment="1">
      <alignment horizontal="center"/>
    </xf>
    <xf numFmtId="0" fontId="25" fillId="26" borderId="0" xfId="52" applyFont="1" applyFill="1" applyBorder="1" applyAlignment="1"/>
    <xf numFmtId="0" fontId="46" fillId="0" borderId="10" xfId="49" applyFont="1" applyFill="1" applyBorder="1" applyAlignment="1">
      <alignment horizontal="center" vertical="center" wrapText="1"/>
    </xf>
    <xf numFmtId="0" fontId="48" fillId="0" borderId="15" xfId="0" applyFont="1" applyBorder="1" applyAlignment="1">
      <alignment horizontal="center" vertical="center" wrapText="1"/>
    </xf>
    <xf numFmtId="0" fontId="52" fillId="0" borderId="15" xfId="0" applyFont="1" applyBorder="1" applyAlignment="1">
      <alignment horizontal="center" vertical="center" wrapText="1"/>
    </xf>
    <xf numFmtId="0" fontId="46" fillId="0" borderId="15" xfId="49" applyFont="1" applyFill="1" applyBorder="1" applyAlignment="1">
      <alignment horizontal="center" vertical="center" wrapText="1"/>
    </xf>
    <xf numFmtId="0" fontId="33" fillId="0" borderId="20" xfId="49" applyFont="1" applyFill="1" applyBorder="1" applyAlignment="1">
      <alignment horizontal="center" vertical="center" wrapText="1"/>
    </xf>
    <xf numFmtId="0" fontId="46" fillId="0" borderId="20" xfId="49" applyFont="1" applyFill="1" applyBorder="1" applyAlignment="1">
      <alignment horizontal="center" vertical="center" wrapText="1"/>
    </xf>
    <xf numFmtId="0" fontId="25" fillId="0" borderId="15" xfId="52" applyFont="1" applyFill="1" applyBorder="1" applyAlignment="1">
      <alignment horizontal="center" vertical="center"/>
    </xf>
    <xf numFmtId="0" fontId="25" fillId="0" borderId="12" xfId="52" applyFont="1" applyFill="1" applyBorder="1" applyAlignment="1">
      <alignment horizontal="center" vertical="center"/>
    </xf>
    <xf numFmtId="0" fontId="32" fillId="24" borderId="0" xfId="53" applyFont="1" applyFill="1">
      <alignment vertical="center"/>
    </xf>
    <xf numFmtId="0" fontId="33" fillId="0" borderId="0" xfId="54" applyFont="1" applyFill="1" applyBorder="1" applyAlignment="1">
      <alignment horizontal="left" vertical="center"/>
    </xf>
    <xf numFmtId="0" fontId="32" fillId="0" borderId="0" xfId="54" applyFont="1" applyFill="1" applyBorder="1" applyAlignment="1">
      <alignment horizontal="left" vertical="center"/>
    </xf>
    <xf numFmtId="0" fontId="32" fillId="0" borderId="0" xfId="54" applyFont="1" applyFill="1" applyAlignment="1">
      <alignment vertical="center"/>
    </xf>
    <xf numFmtId="0" fontId="33" fillId="0" borderId="0" xfId="55" applyFont="1" applyFill="1" applyAlignment="1">
      <alignment vertical="center"/>
    </xf>
    <xf numFmtId="0" fontId="32" fillId="0" borderId="0" xfId="55" applyFont="1" applyFill="1" applyAlignment="1">
      <alignment vertical="center"/>
    </xf>
    <xf numFmtId="0" fontId="33" fillId="0" borderId="15" xfId="49" applyFont="1" applyFill="1" applyBorder="1" applyAlignment="1">
      <alignment horizontal="center" vertical="center" wrapText="1"/>
    </xf>
    <xf numFmtId="49" fontId="32" fillId="0" borderId="0" xfId="0" applyNumberFormat="1" applyFont="1" applyFill="1" applyBorder="1" applyAlignment="1">
      <alignment horizontal="left"/>
    </xf>
    <xf numFmtId="0" fontId="35" fillId="0" borderId="12" xfId="0" applyFont="1" applyBorder="1" applyAlignment="1">
      <alignment horizontal="center"/>
    </xf>
    <xf numFmtId="0" fontId="35" fillId="0" borderId="30" xfId="0" applyFont="1" applyBorder="1" applyAlignment="1">
      <alignment horizontal="center"/>
    </xf>
    <xf numFmtId="178" fontId="35" fillId="0" borderId="12" xfId="0" applyNumberFormat="1" applyFont="1" applyBorder="1" applyAlignment="1">
      <alignment horizontal="center" vertical="center"/>
    </xf>
    <xf numFmtId="179" fontId="35" fillId="0" borderId="12" xfId="0" applyNumberFormat="1" applyFont="1" applyBorder="1" applyAlignment="1">
      <alignment horizontal="center" vertical="center"/>
    </xf>
    <xf numFmtId="179" fontId="32" fillId="0" borderId="13" xfId="56" applyNumberFormat="1" applyFont="1" applyFill="1" applyBorder="1" applyAlignment="1">
      <alignment horizontal="center"/>
    </xf>
    <xf numFmtId="178" fontId="35" fillId="0" borderId="0" xfId="0" applyNumberFormat="1" applyFont="1" applyBorder="1" applyAlignment="1">
      <alignment horizontal="center" vertical="center"/>
    </xf>
    <xf numFmtId="179" fontId="35" fillId="0" borderId="15" xfId="0" applyNumberFormat="1" applyFont="1" applyBorder="1" applyAlignment="1">
      <alignment horizontal="center" vertical="center"/>
    </xf>
    <xf numFmtId="179" fontId="32" fillId="0" borderId="20" xfId="56" applyNumberFormat="1" applyFont="1" applyFill="1" applyBorder="1" applyAlignment="1">
      <alignment horizontal="center"/>
    </xf>
    <xf numFmtId="177" fontId="32" fillId="0" borderId="20" xfId="49" applyNumberFormat="1" applyFont="1" applyFill="1" applyBorder="1" applyAlignment="1">
      <alignment horizontal="center"/>
    </xf>
    <xf numFmtId="1" fontId="32" fillId="0" borderId="13" xfId="49" applyNumberFormat="1" applyFont="1" applyFill="1" applyBorder="1" applyAlignment="1">
      <alignment horizontal="center"/>
    </xf>
    <xf numFmtId="1" fontId="32" fillId="0" borderId="12" xfId="49" applyNumberFormat="1" applyFont="1" applyFill="1" applyBorder="1" applyAlignment="1">
      <alignment horizontal="center"/>
    </xf>
    <xf numFmtId="1" fontId="32" fillId="0" borderId="14" xfId="49" applyNumberFormat="1" applyFont="1" applyFill="1" applyBorder="1" applyAlignment="1">
      <alignment horizontal="center"/>
    </xf>
    <xf numFmtId="1" fontId="32" fillId="0" borderId="16" xfId="49" applyNumberFormat="1" applyFont="1" applyFill="1" applyBorder="1" applyAlignment="1">
      <alignment horizontal="center"/>
    </xf>
    <xf numFmtId="1" fontId="32" fillId="0" borderId="30" xfId="49" applyNumberFormat="1" applyFont="1" applyFill="1" applyBorder="1" applyAlignment="1">
      <alignment horizontal="center"/>
    </xf>
    <xf numFmtId="179" fontId="35" fillId="0" borderId="0" xfId="0" applyNumberFormat="1" applyFont="1" applyBorder="1" applyAlignment="1">
      <alignment horizontal="center" vertical="center"/>
    </xf>
    <xf numFmtId="2" fontId="32" fillId="0" borderId="20" xfId="56" applyNumberFormat="1" applyFont="1" applyFill="1" applyBorder="1" applyAlignment="1">
      <alignment horizontal="center"/>
    </xf>
    <xf numFmtId="2" fontId="35" fillId="0" borderId="12" xfId="0" applyNumberFormat="1" applyFont="1" applyBorder="1" applyAlignment="1">
      <alignment horizontal="center" vertical="center"/>
    </xf>
    <xf numFmtId="177" fontId="32" fillId="0" borderId="13" xfId="56" applyNumberFormat="1" applyFont="1" applyFill="1" applyBorder="1" applyAlignment="1">
      <alignment horizontal="center"/>
    </xf>
    <xf numFmtId="177" fontId="32" fillId="0" borderId="20" xfId="56" applyNumberFormat="1" applyFont="1" applyFill="1" applyBorder="1" applyAlignment="1">
      <alignment horizontal="center"/>
    </xf>
    <xf numFmtId="2" fontId="35" fillId="0" borderId="30" xfId="0" applyNumberFormat="1" applyFont="1" applyBorder="1" applyAlignment="1">
      <alignment horizontal="center" vertical="center"/>
    </xf>
    <xf numFmtId="1" fontId="35" fillId="0" borderId="0" xfId="58" applyNumberFormat="1" applyFont="1" applyFill="1" applyBorder="1" applyAlignment="1">
      <alignment horizontal="center" vertical="center"/>
    </xf>
    <xf numFmtId="1" fontId="35" fillId="0" borderId="15" xfId="58" applyNumberFormat="1" applyFont="1" applyFill="1" applyBorder="1" applyAlignment="1">
      <alignment horizontal="center" vertical="center"/>
    </xf>
    <xf numFmtId="1" fontId="35" fillId="0" borderId="30" xfId="58" applyNumberFormat="1" applyFont="1" applyFill="1" applyBorder="1" applyAlignment="1">
      <alignment horizontal="center" vertical="center"/>
    </xf>
    <xf numFmtId="1" fontId="32" fillId="0" borderId="20" xfId="49" applyNumberFormat="1" applyFont="1" applyFill="1" applyBorder="1" applyAlignment="1">
      <alignment horizontal="center"/>
    </xf>
    <xf numFmtId="0" fontId="25" fillId="0" borderId="0" xfId="52" applyFont="1" applyFill="1" applyBorder="1">
      <alignment vertical="center"/>
    </xf>
    <xf numFmtId="179" fontId="25" fillId="0" borderId="12" xfId="52" applyNumberFormat="1" applyFont="1" applyFill="1" applyBorder="1" applyAlignment="1">
      <alignment horizontal="center" vertical="center"/>
    </xf>
    <xf numFmtId="177" fontId="25" fillId="0" borderId="0" xfId="52" applyNumberFormat="1" applyFont="1" applyFill="1" applyBorder="1" applyAlignment="1">
      <alignment horizontal="center" vertical="center"/>
    </xf>
    <xf numFmtId="177" fontId="25" fillId="0" borderId="15" xfId="52" applyNumberFormat="1" applyFont="1" applyFill="1" applyBorder="1" applyAlignment="1">
      <alignment horizontal="center" vertical="center"/>
    </xf>
    <xf numFmtId="0" fontId="24" fillId="0" borderId="15" xfId="52" applyFont="1" applyFill="1" applyBorder="1" applyAlignment="1">
      <alignment horizontal="center" vertical="center" wrapText="1"/>
    </xf>
    <xf numFmtId="0" fontId="33" fillId="25" borderId="0" xfId="0" applyFont="1" applyFill="1" applyAlignment="1">
      <alignment horizontal="center" vertical="center"/>
    </xf>
    <xf numFmtId="0" fontId="32" fillId="0" borderId="0" xfId="0" applyFont="1" applyFill="1" applyAlignment="1">
      <alignment horizontal="center" vertical="center"/>
    </xf>
    <xf numFmtId="0" fontId="32" fillId="0" borderId="0" xfId="0" applyFont="1" applyFill="1" applyAlignment="1">
      <alignment horizontal="left" vertical="center"/>
    </xf>
    <xf numFmtId="1" fontId="32" fillId="0" borderId="0" xfId="0" applyNumberFormat="1" applyFont="1" applyFill="1" applyAlignment="1">
      <alignment horizontal="center" vertical="center"/>
    </xf>
    <xf numFmtId="179" fontId="32" fillId="0" borderId="0" xfId="0" applyNumberFormat="1" applyFont="1" applyFill="1" applyAlignment="1">
      <alignment horizontal="center" vertical="center"/>
    </xf>
    <xf numFmtId="0" fontId="32" fillId="25" borderId="0" xfId="49" applyFont="1" applyFill="1" applyAlignment="1">
      <alignment horizontal="center"/>
    </xf>
    <xf numFmtId="0" fontId="46" fillId="25" borderId="0" xfId="49" applyFont="1" applyFill="1" applyAlignment="1">
      <alignment horizontal="left"/>
    </xf>
    <xf numFmtId="0" fontId="32" fillId="25" borderId="0" xfId="49" applyNumberFormat="1" applyFont="1" applyFill="1" applyAlignment="1">
      <alignment horizontal="center"/>
    </xf>
    <xf numFmtId="49" fontId="46" fillId="25" borderId="0" xfId="0" applyNumberFormat="1" applyFont="1" applyFill="1" applyBorder="1" applyAlignment="1">
      <alignment horizontal="left" vertical="center"/>
    </xf>
    <xf numFmtId="0" fontId="36" fillId="25" borderId="0" xfId="0" applyNumberFormat="1" applyFont="1" applyFill="1" applyBorder="1" applyAlignment="1">
      <alignment horizontal="center" vertical="center"/>
    </xf>
    <xf numFmtId="2" fontId="35" fillId="25" borderId="0" xfId="0" applyNumberFormat="1" applyFont="1" applyFill="1" applyBorder="1" applyAlignment="1">
      <alignment horizontal="center" vertical="center"/>
    </xf>
    <xf numFmtId="177" fontId="32" fillId="25" borderId="0" xfId="49" applyNumberFormat="1" applyFont="1" applyFill="1" applyBorder="1" applyAlignment="1">
      <alignment horizontal="center"/>
    </xf>
    <xf numFmtId="180" fontId="32" fillId="25" borderId="0" xfId="49" applyNumberFormat="1" applyFont="1" applyFill="1" applyBorder="1" applyAlignment="1">
      <alignment horizontal="center"/>
    </xf>
    <xf numFmtId="0" fontId="35" fillId="0" borderId="15" xfId="0" applyFont="1" applyFill="1" applyBorder="1" applyAlignment="1">
      <alignment horizontal="center" vertical="center"/>
    </xf>
    <xf numFmtId="11" fontId="32" fillId="25" borderId="0" xfId="49" applyNumberFormat="1" applyFont="1" applyFill="1" applyAlignment="1">
      <alignment horizontal="center"/>
    </xf>
    <xf numFmtId="11" fontId="52" fillId="0" borderId="15" xfId="0" applyNumberFormat="1" applyFont="1" applyBorder="1" applyAlignment="1">
      <alignment horizontal="center" vertical="center" wrapText="1"/>
    </xf>
    <xf numFmtId="11" fontId="35" fillId="0" borderId="12" xfId="0" applyNumberFormat="1" applyFont="1" applyBorder="1" applyAlignment="1">
      <alignment horizontal="center" vertical="center"/>
    </xf>
    <xf numFmtId="11" fontId="35" fillId="0" borderId="0" xfId="0" applyNumberFormat="1" applyFont="1" applyBorder="1" applyAlignment="1">
      <alignment horizontal="center" vertical="center"/>
    </xf>
    <xf numFmtId="11" fontId="35" fillId="0" borderId="30" xfId="0" applyNumberFormat="1" applyFont="1" applyBorder="1" applyAlignment="1">
      <alignment horizontal="center" vertical="center"/>
    </xf>
    <xf numFmtId="11" fontId="35" fillId="0" borderId="0" xfId="0" applyNumberFormat="1" applyFont="1" applyFill="1" applyBorder="1" applyAlignment="1">
      <alignment horizontal="center" vertical="center"/>
    </xf>
    <xf numFmtId="11" fontId="35" fillId="25" borderId="0" xfId="0" applyNumberFormat="1" applyFont="1" applyFill="1" applyBorder="1" applyAlignment="1">
      <alignment horizontal="center" vertical="center"/>
    </xf>
    <xf numFmtId="11" fontId="32" fillId="0" borderId="0" xfId="49" applyNumberFormat="1" applyFont="1" applyFill="1" applyBorder="1" applyAlignment="1">
      <alignment horizontal="center"/>
    </xf>
    <xf numFmtId="11" fontId="32" fillId="0" borderId="0" xfId="49" applyNumberFormat="1" applyFont="1" applyFill="1" applyAlignment="1">
      <alignment horizontal="center"/>
    </xf>
    <xf numFmtId="0" fontId="32" fillId="0" borderId="0" xfId="49" applyFont="1" applyFill="1" applyAlignment="1">
      <alignment horizontal="center" wrapText="1"/>
    </xf>
    <xf numFmtId="0" fontId="35" fillId="0" borderId="0" xfId="58" applyNumberFormat="1" applyFont="1" applyFill="1" applyBorder="1" applyAlignment="1">
      <alignment horizontal="center" vertical="center"/>
    </xf>
    <xf numFmtId="0" fontId="35" fillId="0" borderId="30" xfId="58" applyNumberFormat="1" applyFont="1" applyFill="1" applyBorder="1" applyAlignment="1">
      <alignment horizontal="center" vertical="center"/>
    </xf>
    <xf numFmtId="0" fontId="52" fillId="0" borderId="15" xfId="0" applyNumberFormat="1" applyFont="1" applyBorder="1" applyAlignment="1">
      <alignment horizontal="center" vertical="center" wrapText="1"/>
    </xf>
    <xf numFmtId="0" fontId="48" fillId="0" borderId="15" xfId="0" applyNumberFormat="1" applyFont="1" applyBorder="1" applyAlignment="1">
      <alignment horizontal="center" vertical="center" wrapText="1"/>
    </xf>
    <xf numFmtId="1" fontId="32" fillId="0" borderId="0" xfId="49" applyNumberFormat="1" applyFont="1" applyFill="1"/>
    <xf numFmtId="1" fontId="25" fillId="0" borderId="0" xfId="52" applyNumberFormat="1" applyFont="1" applyFill="1" applyBorder="1" applyAlignment="1">
      <alignment horizontal="center" vertical="center"/>
    </xf>
    <xf numFmtId="0" fontId="24" fillId="0" borderId="31" xfId="49" applyFont="1" applyFill="1" applyBorder="1" applyAlignment="1">
      <alignment horizontal="center" vertical="center" wrapText="1"/>
    </xf>
    <xf numFmtId="1" fontId="32" fillId="0" borderId="0" xfId="49" applyNumberFormat="1" applyFont="1" applyFill="1" applyAlignment="1">
      <alignment horizontal="center"/>
    </xf>
    <xf numFmtId="11" fontId="35" fillId="0" borderId="12" xfId="58" applyNumberFormat="1" applyFont="1" applyFill="1" applyBorder="1" applyAlignment="1">
      <alignment horizontal="center" vertical="center"/>
    </xf>
    <xf numFmtId="11" fontId="35" fillId="0" borderId="15" xfId="58" applyNumberFormat="1" applyFont="1" applyFill="1" applyBorder="1" applyAlignment="1">
      <alignment horizontal="center" vertical="center"/>
    </xf>
    <xf numFmtId="11" fontId="35" fillId="0" borderId="30" xfId="58" applyNumberFormat="1" applyFont="1" applyFill="1" applyBorder="1" applyAlignment="1">
      <alignment horizontal="center" vertical="center"/>
    </xf>
    <xf numFmtId="0" fontId="33" fillId="25" borderId="0" xfId="49" applyFont="1" applyFill="1" applyBorder="1" applyAlignment="1">
      <alignment horizontal="left" vertical="center"/>
    </xf>
    <xf numFmtId="0" fontId="33" fillId="0" borderId="10" xfId="49" applyFont="1" applyFill="1" applyBorder="1" applyAlignment="1">
      <alignment horizontal="center" vertical="center" wrapText="1"/>
    </xf>
    <xf numFmtId="184" fontId="25" fillId="0" borderId="0" xfId="52" applyNumberFormat="1" applyFont="1" applyFill="1" applyBorder="1" applyAlignment="1">
      <alignment horizontal="center" vertical="center" wrapText="1"/>
    </xf>
    <xf numFmtId="0" fontId="33" fillId="0" borderId="11" xfId="58" applyFont="1" applyFill="1" applyBorder="1" applyAlignment="1">
      <alignment vertical="center" wrapText="1"/>
    </xf>
    <xf numFmtId="1" fontId="33" fillId="0" borderId="0" xfId="49" applyNumberFormat="1" applyFont="1" applyFill="1" applyAlignment="1">
      <alignment horizontal="center"/>
    </xf>
    <xf numFmtId="1" fontId="25" fillId="0" borderId="0" xfId="52" applyNumberFormat="1" applyFont="1" applyFill="1">
      <alignment vertical="center"/>
    </xf>
    <xf numFmtId="0" fontId="46" fillId="25" borderId="0" xfId="49" applyFont="1" applyFill="1" applyBorder="1" applyAlignment="1">
      <alignment horizontal="left" vertical="center"/>
    </xf>
    <xf numFmtId="0" fontId="0" fillId="26" borderId="0" xfId="0" applyFill="1">
      <alignment vertical="center"/>
    </xf>
    <xf numFmtId="177" fontId="25" fillId="0" borderId="12" xfId="52" applyNumberFormat="1" applyFont="1" applyFill="1" applyBorder="1" applyAlignment="1">
      <alignment horizontal="center" vertical="center"/>
    </xf>
    <xf numFmtId="1" fontId="25" fillId="26" borderId="0" xfId="52" applyNumberFormat="1" applyFont="1" applyFill="1">
      <alignment vertical="center"/>
    </xf>
    <xf numFmtId="0" fontId="56" fillId="0" borderId="0" xfId="0" applyFont="1" applyBorder="1" applyAlignment="1">
      <alignment horizontal="center" vertical="center" wrapText="1"/>
    </xf>
    <xf numFmtId="1" fontId="35" fillId="0" borderId="0" xfId="0" applyNumberFormat="1" applyFont="1" applyFill="1" applyBorder="1" applyAlignment="1">
      <alignment horizontal="center" vertical="center"/>
    </xf>
    <xf numFmtId="0" fontId="32" fillId="0" borderId="0" xfId="58" applyFont="1" applyBorder="1" applyAlignment="1">
      <alignment horizontal="center" vertical="center"/>
    </xf>
    <xf numFmtId="0" fontId="46" fillId="0" borderId="10" xfId="58" applyFont="1" applyFill="1" applyBorder="1" applyAlignment="1">
      <alignment horizontal="center" vertical="center" wrapText="1"/>
    </xf>
    <xf numFmtId="0" fontId="33" fillId="0" borderId="30" xfId="58" applyFont="1" applyFill="1" applyBorder="1" applyAlignment="1"/>
    <xf numFmtId="0" fontId="32" fillId="0" borderId="30" xfId="58" applyFont="1" applyFill="1" applyBorder="1" applyAlignment="1"/>
    <xf numFmtId="0" fontId="24" fillId="0" borderId="15" xfId="52" applyFont="1" applyFill="1" applyBorder="1" applyAlignment="1">
      <alignment horizontal="center" vertical="center" wrapText="1"/>
    </xf>
    <xf numFmtId="0" fontId="24" fillId="0" borderId="23" xfId="52" applyFont="1" applyFill="1" applyBorder="1" applyAlignment="1">
      <alignment horizontal="center" vertical="center" wrapText="1"/>
    </xf>
    <xf numFmtId="182" fontId="25" fillId="0" borderId="22" xfId="52" applyNumberFormat="1" applyFont="1" applyFill="1" applyBorder="1" applyAlignment="1">
      <alignment horizontal="center" vertical="center"/>
    </xf>
    <xf numFmtId="176" fontId="25" fillId="0" borderId="23" xfId="52" applyNumberFormat="1" applyFont="1" applyFill="1" applyBorder="1" applyAlignment="1">
      <alignment horizontal="center" vertical="center"/>
    </xf>
    <xf numFmtId="1" fontId="25" fillId="26" borderId="11" xfId="52" applyNumberFormat="1" applyFont="1" applyFill="1" applyBorder="1" applyAlignment="1">
      <alignment horizontal="center" vertical="center"/>
    </xf>
    <xf numFmtId="1" fontId="25" fillId="26" borderId="11" xfId="52" applyNumberFormat="1" applyFont="1" applyFill="1" applyBorder="1">
      <alignment vertical="center"/>
    </xf>
    <xf numFmtId="0" fontId="25" fillId="26" borderId="0" xfId="52" applyFont="1" applyFill="1" applyBorder="1">
      <alignment vertical="center"/>
    </xf>
    <xf numFmtId="0" fontId="25" fillId="26" borderId="0" xfId="52" applyFont="1" applyFill="1" applyBorder="1" applyAlignment="1">
      <alignment horizontal="center" vertical="center"/>
    </xf>
    <xf numFmtId="0" fontId="32" fillId="0" borderId="0" xfId="55" applyFont="1" applyFill="1" applyAlignment="1">
      <alignment horizontal="left" vertical="center" wrapText="1"/>
    </xf>
    <xf numFmtId="0" fontId="24" fillId="0" borderId="15" xfId="52" applyFont="1" applyFill="1" applyBorder="1" applyAlignment="1">
      <alignment horizontal="center" vertical="center" wrapText="1"/>
    </xf>
    <xf numFmtId="1" fontId="35" fillId="0" borderId="0" xfId="0" applyNumberFormat="1" applyFont="1" applyBorder="1" applyAlignment="1">
      <alignment horizontal="center" vertical="center"/>
    </xf>
    <xf numFmtId="0" fontId="24" fillId="0" borderId="20" xfId="52" applyFont="1" applyFill="1" applyBorder="1" applyAlignment="1">
      <alignment horizontal="center" vertical="center" wrapText="1"/>
    </xf>
    <xf numFmtId="177" fontId="25" fillId="0" borderId="20" xfId="52" applyNumberFormat="1" applyFont="1" applyFill="1" applyBorder="1" applyAlignment="1">
      <alignment horizontal="center" vertical="center"/>
    </xf>
    <xf numFmtId="1" fontId="25" fillId="26" borderId="0" xfId="52" applyNumberFormat="1" applyFont="1" applyFill="1" applyBorder="1">
      <alignment vertical="center"/>
    </xf>
    <xf numFmtId="1" fontId="47" fillId="0" borderId="0" xfId="58" applyNumberFormat="1" applyFont="1" applyFill="1" applyBorder="1" applyAlignment="1"/>
    <xf numFmtId="2" fontId="32" fillId="0" borderId="13" xfId="56" applyNumberFormat="1" applyFont="1" applyFill="1" applyBorder="1" applyAlignment="1">
      <alignment horizontal="center"/>
    </xf>
    <xf numFmtId="0" fontId="32" fillId="0" borderId="0" xfId="55" applyFont="1" applyFill="1" applyAlignment="1">
      <alignment horizontal="left" vertical="center" wrapText="1"/>
    </xf>
    <xf numFmtId="0" fontId="59" fillId="0" borderId="0" xfId="54" applyFont="1" applyFill="1" applyBorder="1" applyAlignment="1">
      <alignment horizontal="left" vertical="center"/>
    </xf>
    <xf numFmtId="185" fontId="35" fillId="0" borderId="0" xfId="0" applyNumberFormat="1" applyFont="1" applyFill="1" applyAlignment="1">
      <alignment horizontal="left" vertical="center"/>
    </xf>
    <xf numFmtId="0" fontId="49" fillId="0" borderId="0" xfId="54" applyFont="1" applyFill="1" applyAlignment="1">
      <alignment vertical="center"/>
    </xf>
    <xf numFmtId="0" fontId="49" fillId="0" borderId="0" xfId="54" applyFont="1" applyFill="1" applyBorder="1" applyAlignment="1">
      <alignment horizontal="left" vertical="center"/>
    </xf>
    <xf numFmtId="0" fontId="32" fillId="0" borderId="0" xfId="52" applyFont="1" applyFill="1">
      <alignment vertical="center"/>
    </xf>
    <xf numFmtId="0" fontId="49" fillId="0" borderId="0" xfId="0" applyFont="1" applyAlignment="1"/>
    <xf numFmtId="0" fontId="35" fillId="0" borderId="0" xfId="0" applyFont="1" applyAlignment="1"/>
    <xf numFmtId="0" fontId="24" fillId="0" borderId="15" xfId="52" applyFont="1" applyFill="1" applyBorder="1" applyAlignment="1">
      <alignment horizontal="center" vertical="center" wrapText="1"/>
    </xf>
    <xf numFmtId="0" fontId="25" fillId="26" borderId="0" xfId="52" applyFont="1" applyFill="1" applyBorder="1" applyAlignment="1">
      <alignment horizontal="left" vertical="center"/>
    </xf>
    <xf numFmtId="0" fontId="54" fillId="26" borderId="0" xfId="0" applyFont="1" applyFill="1" applyAlignment="1">
      <alignment horizontal="left" vertical="center"/>
    </xf>
    <xf numFmtId="0" fontId="25" fillId="26" borderId="0" xfId="52" applyFont="1" applyFill="1" applyBorder="1" applyAlignment="1">
      <alignment horizontal="left"/>
    </xf>
    <xf numFmtId="0" fontId="25" fillId="26" borderId="0" xfId="52" applyFont="1" applyFill="1" applyAlignment="1">
      <alignment horizontal="left" vertical="center"/>
    </xf>
    <xf numFmtId="2" fontId="25" fillId="0" borderId="13" xfId="52" applyNumberFormat="1" applyFont="1" applyFill="1" applyBorder="1" applyAlignment="1">
      <alignment horizontal="center" vertical="center"/>
    </xf>
    <xf numFmtId="179" fontId="25" fillId="0" borderId="13" xfId="52" applyNumberFormat="1" applyFont="1" applyFill="1" applyBorder="1" applyAlignment="1">
      <alignment horizontal="center" vertical="center"/>
    </xf>
    <xf numFmtId="0" fontId="32" fillId="0" borderId="18" xfId="52" applyFont="1" applyFill="1" applyBorder="1" applyAlignment="1">
      <alignment horizontal="center" vertical="center" wrapText="1"/>
    </xf>
    <xf numFmtId="1" fontId="32" fillId="25" borderId="0" xfId="49" applyNumberFormat="1" applyFont="1" applyFill="1" applyBorder="1" applyAlignment="1">
      <alignment horizontal="center"/>
    </xf>
    <xf numFmtId="1" fontId="32" fillId="25" borderId="0" xfId="49" applyNumberFormat="1" applyFont="1" applyFill="1" applyBorder="1" applyAlignment="1">
      <alignment horizontal="center" vertical="center" wrapText="1"/>
    </xf>
    <xf numFmtId="0" fontId="32" fillId="26" borderId="0" xfId="54" applyFont="1" applyFill="1" applyBorder="1" applyAlignment="1">
      <alignment horizontal="left" vertical="center"/>
    </xf>
    <xf numFmtId="1" fontId="33" fillId="0" borderId="0" xfId="49" applyNumberFormat="1" applyFont="1" applyFill="1" applyBorder="1" applyAlignment="1">
      <alignment horizontal="center"/>
    </xf>
    <xf numFmtId="2" fontId="32" fillId="0" borderId="0" xfId="49" applyNumberFormat="1" applyFont="1" applyFill="1" applyBorder="1" applyAlignment="1">
      <alignment horizontal="center" vertical="center" wrapText="1"/>
    </xf>
    <xf numFmtId="176" fontId="36" fillId="0" borderId="0" xfId="0" applyNumberFormat="1" applyFont="1" applyFill="1" applyBorder="1" applyAlignment="1">
      <alignment horizontal="center" vertical="center"/>
    </xf>
    <xf numFmtId="2" fontId="33" fillId="0" borderId="15" xfId="49" applyNumberFormat="1" applyFont="1" applyFill="1" applyBorder="1" applyAlignment="1">
      <alignment horizontal="center" vertical="center" wrapText="1"/>
    </xf>
    <xf numFmtId="0" fontId="27" fillId="0" borderId="12" xfId="52" applyFont="1" applyFill="1" applyBorder="1" applyAlignment="1">
      <alignment horizontal="center" vertical="center" wrapText="1"/>
    </xf>
    <xf numFmtId="0" fontId="27" fillId="0" borderId="15" xfId="52" applyFont="1" applyFill="1" applyBorder="1" applyAlignment="1">
      <alignment horizontal="center" vertical="center" wrapText="1"/>
    </xf>
    <xf numFmtId="1" fontId="36" fillId="0" borderId="0" xfId="58" applyNumberFormat="1" applyFont="1" applyFill="1" applyAlignment="1">
      <alignment vertical="center"/>
    </xf>
    <xf numFmtId="1" fontId="32" fillId="0" borderId="0" xfId="49" applyNumberFormat="1" applyFont="1" applyFill="1" applyAlignment="1">
      <alignment horizontal="center" vertical="center"/>
    </xf>
    <xf numFmtId="1" fontId="32" fillId="0" borderId="0" xfId="0" applyNumberFormat="1" applyFont="1" applyFill="1" applyBorder="1" applyAlignment="1">
      <alignment horizontal="center"/>
    </xf>
    <xf numFmtId="1" fontId="36" fillId="0" borderId="0" xfId="0" applyNumberFormat="1" applyFont="1" applyFill="1" applyBorder="1" applyAlignment="1">
      <alignment horizontal="center" vertical="center"/>
    </xf>
    <xf numFmtId="0" fontId="33" fillId="0" borderId="0" xfId="58" applyFont="1" applyFill="1" applyBorder="1" applyAlignment="1">
      <alignment horizontal="left" vertical="center" wrapText="1"/>
    </xf>
    <xf numFmtId="184" fontId="25" fillId="0" borderId="11" xfId="52" applyNumberFormat="1" applyFont="1" applyFill="1" applyBorder="1" applyAlignment="1">
      <alignment horizontal="left" vertical="center"/>
    </xf>
    <xf numFmtId="0" fontId="32" fillId="0" borderId="0" xfId="58" applyFont="1" applyFill="1" applyBorder="1">
      <alignment vertical="center"/>
    </xf>
    <xf numFmtId="49" fontId="32" fillId="0" borderId="15" xfId="58" applyNumberFormat="1" applyFont="1" applyFill="1" applyBorder="1" applyAlignment="1"/>
    <xf numFmtId="0" fontId="33" fillId="0" borderId="0" xfId="58" applyFont="1" applyFill="1" applyBorder="1" applyAlignment="1">
      <alignment vertical="center" wrapText="1"/>
    </xf>
    <xf numFmtId="0" fontId="33" fillId="0" borderId="15" xfId="58" applyFont="1" applyFill="1" applyBorder="1" applyAlignment="1">
      <alignment vertical="center" wrapText="1"/>
    </xf>
    <xf numFmtId="0" fontId="32" fillId="0" borderId="0" xfId="58" applyFont="1" applyFill="1" applyBorder="1" applyAlignment="1">
      <alignment horizontal="left" vertical="center" wrapText="1"/>
    </xf>
    <xf numFmtId="0" fontId="33" fillId="0" borderId="12" xfId="58" applyFont="1" applyFill="1" applyBorder="1" applyAlignment="1">
      <alignment vertical="center" wrapText="1"/>
    </xf>
    <xf numFmtId="181" fontId="32" fillId="0" borderId="0" xfId="58" applyNumberFormat="1" applyFont="1" applyFill="1" applyBorder="1" applyAlignment="1">
      <alignment horizontal="center" vertical="center"/>
    </xf>
    <xf numFmtId="181" fontId="32" fillId="0" borderId="30" xfId="58" applyNumberFormat="1" applyFont="1" applyFill="1" applyBorder="1" applyAlignment="1">
      <alignment horizontal="center" vertical="center"/>
    </xf>
    <xf numFmtId="182" fontId="32" fillId="0" borderId="30" xfId="58" applyNumberFormat="1" applyFont="1" applyFill="1" applyBorder="1" applyAlignment="1">
      <alignment horizontal="center" vertical="center"/>
    </xf>
    <xf numFmtId="0" fontId="33" fillId="0" borderId="10" xfId="58" applyFont="1" applyFill="1" applyBorder="1" applyAlignment="1">
      <alignment vertical="center" wrapText="1"/>
    </xf>
    <xf numFmtId="0" fontId="32" fillId="0" borderId="10" xfId="58" applyFont="1" applyFill="1" applyBorder="1" applyAlignment="1"/>
    <xf numFmtId="0" fontId="33" fillId="0" borderId="18" xfId="58" applyFont="1" applyFill="1" applyBorder="1" applyAlignment="1">
      <alignment vertical="center" wrapText="1"/>
    </xf>
    <xf numFmtId="0" fontId="32" fillId="0" borderId="18" xfId="58" applyFont="1" applyFill="1" applyBorder="1" applyAlignment="1"/>
    <xf numFmtId="0" fontId="33" fillId="0" borderId="0" xfId="58" applyFont="1" applyFill="1" applyAlignment="1">
      <alignment vertical="center" wrapText="1"/>
    </xf>
    <xf numFmtId="0" fontId="33" fillId="0" borderId="0" xfId="58" applyFont="1" applyFill="1" applyAlignment="1"/>
    <xf numFmtId="0" fontId="33" fillId="0" borderId="0" xfId="58" applyFont="1" applyFill="1" applyBorder="1" applyAlignment="1"/>
    <xf numFmtId="0" fontId="33" fillId="0" borderId="15" xfId="58" applyFont="1" applyFill="1" applyBorder="1" applyAlignment="1"/>
    <xf numFmtId="0" fontId="32" fillId="0" borderId="15" xfId="58" applyFont="1" applyFill="1" applyBorder="1" applyAlignment="1"/>
    <xf numFmtId="0" fontId="32" fillId="0" borderId="10" xfId="58" applyFont="1" applyFill="1" applyBorder="1" applyAlignment="1">
      <alignment horizontal="center" vertical="center"/>
    </xf>
    <xf numFmtId="182" fontId="32" fillId="0" borderId="0" xfId="58" applyNumberFormat="1" applyFont="1" applyFill="1" applyBorder="1" applyAlignment="1">
      <alignment horizontal="center" vertical="center"/>
    </xf>
    <xf numFmtId="1" fontId="33" fillId="0" borderId="0" xfId="49" applyNumberFormat="1" applyFont="1" applyFill="1" applyBorder="1" applyAlignment="1">
      <alignment horizontal="center" wrapText="1"/>
    </xf>
    <xf numFmtId="1" fontId="32" fillId="0" borderId="0" xfId="49" applyNumberFormat="1" applyFont="1" applyFill="1" applyAlignment="1">
      <alignment horizontal="center" wrapText="1"/>
    </xf>
    <xf numFmtId="0" fontId="55" fillId="0" borderId="0" xfId="0" applyFont="1" applyBorder="1" applyAlignment="1">
      <alignment horizontal="center" vertical="center" wrapText="1"/>
    </xf>
    <xf numFmtId="177" fontId="32" fillId="0" borderId="12" xfId="56" applyNumberFormat="1" applyFont="1" applyFill="1" applyBorder="1" applyAlignment="1">
      <alignment horizontal="center"/>
    </xf>
    <xf numFmtId="177" fontId="32" fillId="0" borderId="15" xfId="56" applyNumberFormat="1" applyFont="1" applyFill="1" applyBorder="1" applyAlignment="1">
      <alignment horizontal="center"/>
    </xf>
    <xf numFmtId="177" fontId="32" fillId="0" borderId="0" xfId="56" applyNumberFormat="1" applyFont="1" applyFill="1" applyBorder="1" applyAlignment="1">
      <alignment horizontal="center"/>
    </xf>
    <xf numFmtId="0" fontId="33" fillId="0" borderId="30" xfId="58" applyFont="1" applyFill="1" applyBorder="1" applyAlignment="1">
      <alignment vertical="center" wrapText="1"/>
    </xf>
    <xf numFmtId="0" fontId="32" fillId="0" borderId="0" xfId="58" applyFont="1" applyFill="1" applyBorder="1" applyAlignment="1">
      <alignment horizontal="center"/>
    </xf>
    <xf numFmtId="0" fontId="50" fillId="0" borderId="15" xfId="52" applyFont="1" applyFill="1" applyBorder="1" applyAlignment="1">
      <alignment horizontal="center" vertical="center"/>
    </xf>
    <xf numFmtId="179" fontId="35" fillId="0" borderId="0" xfId="0" applyNumberFormat="1" applyFont="1" applyFill="1" applyBorder="1" applyAlignment="1">
      <alignment horizontal="center" vertical="center"/>
    </xf>
    <xf numFmtId="0" fontId="52" fillId="0" borderId="15" xfId="0" applyFont="1" applyFill="1" applyBorder="1" applyAlignment="1">
      <alignment horizontal="center" vertical="center" wrapText="1"/>
    </xf>
    <xf numFmtId="0" fontId="35" fillId="0" borderId="0" xfId="0" applyFont="1" applyFill="1" applyAlignment="1">
      <alignment horizontal="center" vertical="center"/>
    </xf>
    <xf numFmtId="0" fontId="35" fillId="0" borderId="30" xfId="0" applyFont="1" applyFill="1" applyBorder="1" applyAlignment="1">
      <alignment horizontal="center" vertical="center"/>
    </xf>
    <xf numFmtId="176" fontId="32" fillId="0" borderId="0" xfId="58" applyNumberFormat="1" applyFont="1" applyFill="1" applyAlignment="1">
      <alignment horizontal="center"/>
    </xf>
    <xf numFmtId="0" fontId="32" fillId="0" borderId="0" xfId="58" applyNumberFormat="1" applyFont="1" applyFill="1" applyBorder="1" applyAlignment="1">
      <alignment horizontal="center" vertical="center"/>
    </xf>
    <xf numFmtId="0" fontId="32" fillId="0" borderId="11" xfId="58" applyFont="1" applyFill="1" applyBorder="1" applyAlignment="1"/>
    <xf numFmtId="0" fontId="55" fillId="0" borderId="0" xfId="0" applyFont="1" applyAlignment="1">
      <alignment horizontal="center" vertical="center" wrapText="1"/>
    </xf>
    <xf numFmtId="0" fontId="32" fillId="0" borderId="15" xfId="52" applyFont="1" applyFill="1" applyBorder="1" applyAlignment="1">
      <alignment horizontal="left" vertical="center" wrapText="1"/>
    </xf>
    <xf numFmtId="0" fontId="32" fillId="0" borderId="26" xfId="52" applyFont="1" applyFill="1" applyBorder="1" applyAlignment="1">
      <alignment horizontal="left" vertical="center" wrapText="1"/>
    </xf>
    <xf numFmtId="0" fontId="33" fillId="0" borderId="12" xfId="58" applyFont="1" applyFill="1" applyBorder="1" applyAlignment="1">
      <alignment horizontal="left" vertical="center" wrapText="1"/>
    </xf>
    <xf numFmtId="0" fontId="32" fillId="0" borderId="18" xfId="52" applyFont="1" applyFill="1" applyBorder="1" applyAlignment="1">
      <alignment vertical="center" wrapText="1"/>
    </xf>
    <xf numFmtId="0" fontId="32" fillId="0" borderId="27" xfId="52" applyFont="1" applyFill="1" applyBorder="1" applyAlignment="1">
      <alignment vertical="center" wrapText="1"/>
    </xf>
    <xf numFmtId="0" fontId="32" fillId="0" borderId="0" xfId="58" applyFont="1" applyFill="1">
      <alignment vertical="center"/>
    </xf>
    <xf numFmtId="0" fontId="25" fillId="0" borderId="0" xfId="0" applyFont="1">
      <alignment vertical="center"/>
    </xf>
    <xf numFmtId="0" fontId="25" fillId="0" borderId="0" xfId="0" applyFont="1" applyBorder="1">
      <alignment vertical="center"/>
    </xf>
    <xf numFmtId="0" fontId="33" fillId="0" borderId="0" xfId="58" applyFont="1" applyFill="1" applyBorder="1">
      <alignment vertical="center"/>
    </xf>
    <xf numFmtId="0" fontId="32" fillId="0" borderId="30" xfId="58" applyFont="1" applyFill="1" applyBorder="1">
      <alignment vertical="center"/>
    </xf>
    <xf numFmtId="176" fontId="32" fillId="0" borderId="34" xfId="58" applyNumberFormat="1" applyFont="1" applyFill="1" applyBorder="1" applyAlignment="1">
      <alignment horizontal="center"/>
    </xf>
    <xf numFmtId="1" fontId="32" fillId="0" borderId="0" xfId="49" applyNumberFormat="1" applyFont="1" applyFill="1" applyBorder="1" applyAlignment="1">
      <alignment horizontal="center" vertical="center" wrapText="1"/>
    </xf>
    <xf numFmtId="0" fontId="32" fillId="0" borderId="0" xfId="58" applyFont="1" applyFill="1" applyAlignment="1">
      <alignment vertical="center"/>
    </xf>
    <xf numFmtId="0" fontId="6" fillId="0" borderId="0" xfId="58" applyFont="1" applyFill="1">
      <alignment vertical="center"/>
    </xf>
    <xf numFmtId="0" fontId="6" fillId="0" borderId="15" xfId="58" applyFont="1" applyFill="1" applyBorder="1" applyAlignment="1"/>
    <xf numFmtId="0" fontId="6" fillId="0" borderId="15" xfId="58" applyFont="1" applyFill="1" applyBorder="1" applyAlignment="1">
      <alignment vertical="center"/>
    </xf>
    <xf numFmtId="182" fontId="32" fillId="0" borderId="30" xfId="58" applyNumberFormat="1" applyFont="1" applyBorder="1" applyAlignment="1">
      <alignment horizontal="center" vertical="center"/>
    </xf>
    <xf numFmtId="0" fontId="32" fillId="0" borderId="30" xfId="58" applyFont="1" applyBorder="1" applyAlignment="1">
      <alignment horizontal="center" vertical="center"/>
    </xf>
    <xf numFmtId="1" fontId="32" fillId="0" borderId="0" xfId="49" applyNumberFormat="1" applyFont="1" applyFill="1" applyBorder="1" applyAlignment="1">
      <alignment horizontal="center" vertical="center" wrapText="1"/>
    </xf>
    <xf numFmtId="11" fontId="32" fillId="0" borderId="0" xfId="0" applyNumberFormat="1" applyFont="1" applyFill="1" applyAlignment="1">
      <alignment horizontal="center" vertical="center"/>
    </xf>
    <xf numFmtId="1" fontId="56" fillId="0" borderId="0" xfId="0" applyNumberFormat="1" applyFont="1" applyBorder="1" applyAlignment="1">
      <alignment horizontal="center" vertical="center" wrapText="1"/>
    </xf>
    <xf numFmtId="1" fontId="25" fillId="0" borderId="0" xfId="52" applyNumberFormat="1" applyFont="1" applyFill="1" applyBorder="1">
      <alignment vertical="center"/>
    </xf>
    <xf numFmtId="176" fontId="32" fillId="0" borderId="30" xfId="58" applyNumberFormat="1" applyFont="1" applyFill="1" applyBorder="1" applyAlignment="1">
      <alignment horizontal="center" vertical="center"/>
    </xf>
    <xf numFmtId="1" fontId="32" fillId="0" borderId="0" xfId="49" applyNumberFormat="1" applyFont="1" applyFill="1" applyBorder="1" applyAlignment="1">
      <alignment horizontal="center" vertical="center" wrapText="1"/>
    </xf>
    <xf numFmtId="176" fontId="32" fillId="0" borderId="30" xfId="58" applyNumberFormat="1" applyFont="1" applyFill="1" applyBorder="1" applyAlignment="1">
      <alignment horizontal="center"/>
    </xf>
    <xf numFmtId="176" fontId="32" fillId="0" borderId="0" xfId="58" applyNumberFormat="1" applyFont="1" applyFill="1" applyBorder="1" applyAlignment="1">
      <alignment horizontal="center"/>
    </xf>
    <xf numFmtId="177" fontId="32" fillId="0" borderId="14" xfId="49" applyNumberFormat="1" applyFont="1" applyFill="1" applyBorder="1" applyAlignment="1">
      <alignment horizontal="center"/>
    </xf>
    <xf numFmtId="177" fontId="35" fillId="0" borderId="12" xfId="0" applyNumberFormat="1" applyFont="1" applyFill="1" applyBorder="1" applyAlignment="1">
      <alignment horizontal="center" vertical="center"/>
    </xf>
    <xf numFmtId="177" fontId="35" fillId="0" borderId="15" xfId="0" applyNumberFormat="1" applyFont="1" applyFill="1" applyBorder="1" applyAlignment="1">
      <alignment horizontal="center" vertical="center"/>
    </xf>
    <xf numFmtId="177" fontId="35" fillId="0" borderId="15" xfId="0" applyNumberFormat="1" applyFont="1" applyBorder="1" applyAlignment="1">
      <alignment horizontal="center" vertical="center"/>
    </xf>
    <xf numFmtId="177" fontId="35" fillId="0" borderId="30" xfId="0" applyNumberFormat="1" applyFont="1" applyBorder="1" applyAlignment="1">
      <alignment horizontal="center" vertical="center"/>
    </xf>
    <xf numFmtId="1" fontId="36" fillId="0" borderId="0" xfId="0" applyNumberFormat="1" applyFont="1" applyFill="1" applyBorder="1" applyAlignment="1">
      <alignment horizontal="center" vertical="center"/>
    </xf>
    <xf numFmtId="0" fontId="32" fillId="0" borderId="10" xfId="58" applyFont="1" applyFill="1" applyBorder="1" applyAlignment="1">
      <alignment vertical="center"/>
    </xf>
    <xf numFmtId="2" fontId="32" fillId="0" borderId="13" xfId="49" applyNumberFormat="1" applyFont="1" applyFill="1" applyBorder="1" applyAlignment="1">
      <alignment horizontal="center"/>
    </xf>
    <xf numFmtId="1" fontId="32" fillId="0" borderId="0" xfId="49" applyNumberFormat="1" applyFont="1" applyFill="1" applyBorder="1" applyAlignment="1">
      <alignment horizontal="center" vertical="center" wrapText="1"/>
    </xf>
    <xf numFmtId="177" fontId="35" fillId="0" borderId="30" xfId="0" applyNumberFormat="1" applyFont="1" applyFill="1" applyBorder="1" applyAlignment="1">
      <alignment horizontal="center" vertical="center"/>
    </xf>
    <xf numFmtId="177" fontId="35" fillId="0" borderId="12" xfId="0" applyNumberFormat="1" applyFont="1" applyBorder="1" applyAlignment="1">
      <alignment horizontal="center" vertical="center"/>
    </xf>
    <xf numFmtId="1" fontId="32" fillId="0" borderId="0" xfId="49" applyNumberFormat="1" applyFont="1" applyFill="1" applyBorder="1" applyAlignment="1">
      <alignment horizontal="center" vertical="center" wrapText="1"/>
    </xf>
    <xf numFmtId="2" fontId="25" fillId="0" borderId="14" xfId="52" applyNumberFormat="1" applyFont="1" applyFill="1" applyBorder="1" applyAlignment="1">
      <alignment horizontal="center" vertical="center"/>
    </xf>
    <xf numFmtId="1" fontId="32" fillId="0" borderId="0" xfId="49" applyNumberFormat="1" applyFont="1" applyFill="1" applyBorder="1" applyAlignment="1">
      <alignment horizontal="center" vertical="center" wrapText="1"/>
    </xf>
    <xf numFmtId="178" fontId="35" fillId="0" borderId="15" xfId="58" applyNumberFormat="1" applyFont="1" applyFill="1" applyBorder="1" applyAlignment="1">
      <alignment horizontal="center" vertical="center"/>
    </xf>
    <xf numFmtId="178" fontId="35" fillId="0" borderId="0" xfId="0" applyNumberFormat="1" applyFont="1" applyFill="1" applyBorder="1" applyAlignment="1">
      <alignment horizontal="center" vertical="center"/>
    </xf>
    <xf numFmtId="1" fontId="32" fillId="0" borderId="0" xfId="49" applyNumberFormat="1" applyFont="1" applyFill="1" applyBorder="1" applyAlignment="1">
      <alignment horizontal="center" vertical="center" wrapText="1"/>
    </xf>
    <xf numFmtId="1" fontId="47" fillId="0" borderId="0" xfId="58" applyNumberFormat="1" applyFont="1" applyFill="1" applyAlignment="1"/>
    <xf numFmtId="177" fontId="32" fillId="0" borderId="12" xfId="50" applyNumberFormat="1" applyFont="1" applyFill="1" applyBorder="1" applyAlignment="1">
      <alignment horizontal="center"/>
    </xf>
    <xf numFmtId="178" fontId="35" fillId="0" borderId="12" xfId="0" applyNumberFormat="1" applyFont="1" applyFill="1" applyBorder="1" applyAlignment="1">
      <alignment horizontal="center" vertical="center"/>
    </xf>
    <xf numFmtId="1" fontId="32" fillId="0" borderId="0" xfId="49" applyNumberFormat="1" applyFont="1" applyFill="1" applyBorder="1" applyAlignment="1">
      <alignment horizontal="center" vertical="center" wrapText="1"/>
    </xf>
    <xf numFmtId="1" fontId="32" fillId="0" borderId="0" xfId="49" applyNumberFormat="1" applyFont="1" applyFill="1" applyBorder="1" applyAlignment="1">
      <alignment horizontal="center" vertical="center" wrapText="1"/>
    </xf>
    <xf numFmtId="178" fontId="35" fillId="0" borderId="15" xfId="0" applyNumberFormat="1" applyFont="1" applyFill="1" applyBorder="1" applyAlignment="1">
      <alignment horizontal="center" vertical="center"/>
    </xf>
    <xf numFmtId="178" fontId="35" fillId="0" borderId="15" xfId="0" applyNumberFormat="1" applyFont="1" applyBorder="1" applyAlignment="1">
      <alignment horizontal="center" vertical="center"/>
    </xf>
    <xf numFmtId="2" fontId="35" fillId="0" borderId="12" xfId="58" applyNumberFormat="1" applyFont="1" applyFill="1" applyBorder="1" applyAlignment="1">
      <alignment horizontal="center" vertical="center"/>
    </xf>
    <xf numFmtId="2" fontId="35" fillId="0" borderId="30" xfId="58" applyNumberFormat="1" applyFont="1" applyFill="1" applyBorder="1" applyAlignment="1">
      <alignment horizontal="center" vertical="center"/>
    </xf>
    <xf numFmtId="177" fontId="32" fillId="0" borderId="30" xfId="50" applyNumberFormat="1" applyFont="1" applyFill="1" applyBorder="1" applyAlignment="1">
      <alignment horizontal="center"/>
    </xf>
    <xf numFmtId="2" fontId="32" fillId="0" borderId="20" xfId="49" applyNumberFormat="1" applyFont="1" applyFill="1" applyBorder="1" applyAlignment="1">
      <alignment horizontal="center"/>
    </xf>
    <xf numFmtId="179" fontId="35" fillId="0" borderId="12" xfId="58" applyNumberFormat="1" applyFont="1" applyFill="1" applyBorder="1" applyAlignment="1">
      <alignment horizontal="center" vertical="center"/>
    </xf>
    <xf numFmtId="179" fontId="35" fillId="0" borderId="15" xfId="58" applyNumberFormat="1" applyFont="1" applyFill="1" applyBorder="1" applyAlignment="1">
      <alignment horizontal="center" vertical="center"/>
    </xf>
    <xf numFmtId="2" fontId="35" fillId="0" borderId="0" xfId="58" applyNumberFormat="1" applyFont="1" applyFill="1" applyBorder="1" applyAlignment="1">
      <alignment horizontal="center" vertical="center"/>
    </xf>
    <xf numFmtId="179" fontId="35" fillId="0" borderId="30" xfId="58" applyNumberFormat="1" applyFont="1" applyFill="1" applyBorder="1" applyAlignment="1">
      <alignment horizontal="center" vertical="center"/>
    </xf>
    <xf numFmtId="179" fontId="35" fillId="0" borderId="0" xfId="58" applyNumberFormat="1" applyFont="1" applyFill="1" applyBorder="1" applyAlignment="1">
      <alignment horizontal="center" vertical="center"/>
    </xf>
    <xf numFmtId="179" fontId="32" fillId="0" borderId="0" xfId="56" applyNumberFormat="1" applyFont="1" applyFill="1" applyBorder="1" applyAlignment="1">
      <alignment horizontal="center"/>
    </xf>
    <xf numFmtId="176" fontId="32" fillId="0" borderId="15" xfId="58" applyNumberFormat="1" applyFont="1" applyFill="1" applyBorder="1" applyAlignment="1">
      <alignment horizontal="center" vertical="center"/>
    </xf>
    <xf numFmtId="1" fontId="32" fillId="0" borderId="0" xfId="49" applyNumberFormat="1" applyFont="1" applyFill="1" applyBorder="1" applyAlignment="1">
      <alignment horizontal="center" vertical="center" wrapText="1"/>
    </xf>
    <xf numFmtId="0" fontId="32" fillId="0" borderId="18" xfId="61" applyFont="1" applyFill="1" applyBorder="1" applyAlignment="1">
      <alignment vertical="center"/>
    </xf>
    <xf numFmtId="0" fontId="33" fillId="25" borderId="0" xfId="0" applyNumberFormat="1" applyFont="1" applyFill="1" applyAlignment="1">
      <alignment vertical="center"/>
    </xf>
    <xf numFmtId="0" fontId="33" fillId="25" borderId="0" xfId="0" applyFont="1" applyFill="1" applyAlignment="1">
      <alignment vertical="center"/>
    </xf>
    <xf numFmtId="0" fontId="32" fillId="0" borderId="0" xfId="0" applyFont="1" applyFill="1" applyAlignment="1">
      <alignment vertical="center"/>
    </xf>
    <xf numFmtId="0" fontId="32" fillId="0" borderId="0" xfId="0" applyFont="1" applyFill="1" applyAlignment="1">
      <alignment vertical="center" wrapText="1"/>
    </xf>
    <xf numFmtId="0" fontId="32" fillId="0" borderId="0" xfId="0" applyFont="1" applyFill="1" applyAlignment="1">
      <alignment horizontal="center" vertical="center" wrapText="1"/>
    </xf>
    <xf numFmtId="11" fontId="32" fillId="0" borderId="0" xfId="0" applyNumberFormat="1" applyFont="1" applyFill="1" applyAlignment="1">
      <alignment horizontal="center" vertical="center" wrapText="1"/>
    </xf>
    <xf numFmtId="1" fontId="32" fillId="0" borderId="12" xfId="50" applyNumberFormat="1" applyFont="1" applyFill="1" applyBorder="1" applyAlignment="1">
      <alignment horizontal="center"/>
    </xf>
    <xf numFmtId="1" fontId="32" fillId="0" borderId="30" xfId="50" applyNumberFormat="1" applyFont="1" applyFill="1" applyBorder="1" applyAlignment="1">
      <alignment horizontal="center"/>
    </xf>
    <xf numFmtId="2" fontId="25" fillId="0" borderId="0" xfId="52" applyNumberFormat="1" applyFont="1" applyFill="1" applyBorder="1" applyAlignment="1">
      <alignment horizontal="center" vertical="center"/>
    </xf>
    <xf numFmtId="1" fontId="25" fillId="0" borderId="33" xfId="52" applyNumberFormat="1" applyFont="1" applyFill="1" applyBorder="1" applyAlignment="1">
      <alignment horizontal="center" vertical="center"/>
    </xf>
    <xf numFmtId="0" fontId="61" fillId="0" borderId="18" xfId="61" applyFont="1" applyFill="1" applyBorder="1" applyAlignment="1">
      <alignment vertical="center"/>
    </xf>
    <xf numFmtId="185" fontId="32" fillId="0" borderId="0" xfId="0" applyNumberFormat="1" applyFont="1" applyFill="1" applyAlignment="1">
      <alignment horizontal="left" vertical="center"/>
    </xf>
    <xf numFmtId="2" fontId="35" fillId="0" borderId="12" xfId="0" applyNumberFormat="1" applyFont="1" applyFill="1" applyBorder="1" applyAlignment="1">
      <alignment horizontal="center" vertical="center"/>
    </xf>
    <xf numFmtId="2" fontId="35" fillId="0" borderId="30" xfId="0" applyNumberFormat="1" applyFont="1" applyFill="1" applyBorder="1" applyAlignment="1">
      <alignment horizontal="center" vertical="center"/>
    </xf>
    <xf numFmtId="2" fontId="35" fillId="0" borderId="0" xfId="0" applyNumberFormat="1" applyFont="1" applyBorder="1" applyAlignment="1">
      <alignment horizontal="center" vertical="center"/>
    </xf>
    <xf numFmtId="178" fontId="32" fillId="0" borderId="13" xfId="49" applyNumberFormat="1" applyFont="1" applyFill="1" applyBorder="1" applyAlignment="1">
      <alignment horizontal="center"/>
    </xf>
    <xf numFmtId="178" fontId="32" fillId="0" borderId="14" xfId="49" applyNumberFormat="1" applyFont="1" applyFill="1" applyBorder="1" applyAlignment="1">
      <alignment horizontal="center"/>
    </xf>
    <xf numFmtId="178" fontId="35" fillId="0" borderId="30" xfId="0" applyNumberFormat="1" applyFont="1" applyBorder="1" applyAlignment="1">
      <alignment horizontal="center" vertical="center"/>
    </xf>
    <xf numFmtId="2" fontId="32" fillId="0" borderId="12" xfId="56" applyNumberFormat="1" applyFont="1" applyFill="1" applyBorder="1" applyAlignment="1">
      <alignment horizontal="center"/>
    </xf>
    <xf numFmtId="186" fontId="35" fillId="0" borderId="12" xfId="0" applyNumberFormat="1" applyFont="1" applyBorder="1" applyAlignment="1">
      <alignment horizontal="center" vertical="center"/>
    </xf>
    <xf numFmtId="186" fontId="35" fillId="0" borderId="0" xfId="0" applyNumberFormat="1" applyFont="1" applyBorder="1" applyAlignment="1">
      <alignment horizontal="center" vertical="center"/>
    </xf>
    <xf numFmtId="0" fontId="32" fillId="0" borderId="0" xfId="55" applyFont="1" applyAlignment="1">
      <alignment horizontal="left" vertical="center" wrapText="1"/>
    </xf>
    <xf numFmtId="0" fontId="38" fillId="24" borderId="0" xfId="53" applyFont="1" applyFill="1" applyAlignment="1">
      <alignment horizontal="center" wrapText="1"/>
    </xf>
    <xf numFmtId="0" fontId="32" fillId="0" borderId="0" xfId="55" applyFont="1" applyFill="1" applyAlignment="1">
      <alignment horizontal="left" vertical="center" wrapText="1"/>
    </xf>
    <xf numFmtId="0" fontId="32" fillId="0" borderId="0" xfId="54" applyFont="1" applyFill="1" applyBorder="1" applyAlignment="1">
      <alignment horizontal="left" vertical="center" wrapText="1"/>
    </xf>
    <xf numFmtId="0" fontId="35" fillId="0" borderId="0" xfId="54" applyFont="1" applyFill="1" applyBorder="1" applyAlignment="1">
      <alignment horizontal="left" vertical="center" wrapText="1"/>
    </xf>
    <xf numFmtId="0" fontId="50" fillId="0" borderId="31" xfId="52" applyFont="1" applyFill="1" applyBorder="1" applyAlignment="1">
      <alignment horizontal="center" vertical="center"/>
    </xf>
    <xf numFmtId="0" fontId="50" fillId="0" borderId="10" xfId="52" applyFont="1" applyFill="1" applyBorder="1" applyAlignment="1">
      <alignment horizontal="center" vertical="center"/>
    </xf>
    <xf numFmtId="0" fontId="24" fillId="0" borderId="10" xfId="52" applyFont="1" applyFill="1" applyBorder="1" applyAlignment="1">
      <alignment horizontal="center" vertical="center"/>
    </xf>
    <xf numFmtId="0" fontId="24" fillId="0" borderId="32" xfId="52" applyFont="1" applyFill="1" applyBorder="1" applyAlignment="1">
      <alignment horizontal="center" vertical="center"/>
    </xf>
    <xf numFmtId="0" fontId="25" fillId="26" borderId="0" xfId="0" applyFont="1" applyFill="1" applyAlignment="1">
      <alignment horizontal="center" vertical="center"/>
    </xf>
    <xf numFmtId="0" fontId="50" fillId="0" borderId="11" xfId="52" applyFont="1" applyFill="1" applyBorder="1" applyAlignment="1">
      <alignment horizontal="center" vertical="center" wrapText="1"/>
    </xf>
    <xf numFmtId="0" fontId="24" fillId="0" borderId="15" xfId="52" applyFont="1" applyFill="1" applyBorder="1" applyAlignment="1">
      <alignment horizontal="center" vertical="center" wrapText="1"/>
    </xf>
    <xf numFmtId="0" fontId="25" fillId="26" borderId="0" xfId="52" applyFont="1" applyFill="1" applyBorder="1" applyAlignment="1">
      <alignment horizontal="left" vertical="center"/>
    </xf>
    <xf numFmtId="0" fontId="54" fillId="26" borderId="0" xfId="0" applyFont="1" applyFill="1" applyAlignment="1">
      <alignment horizontal="left" vertical="center"/>
    </xf>
    <xf numFmtId="0" fontId="25" fillId="26" borderId="0" xfId="52" applyFont="1" applyFill="1" applyBorder="1" applyAlignment="1">
      <alignment horizontal="left"/>
    </xf>
    <xf numFmtId="0" fontId="25" fillId="26" borderId="0" xfId="52" applyFont="1" applyFill="1" applyAlignment="1">
      <alignment horizontal="left" vertical="center"/>
    </xf>
    <xf numFmtId="176" fontId="32" fillId="0" borderId="12" xfId="50" applyNumberFormat="1" applyFont="1" applyFill="1" applyBorder="1" applyAlignment="1">
      <alignment horizontal="center" vertical="center"/>
    </xf>
    <xf numFmtId="176" fontId="32" fillId="0" borderId="30" xfId="50" applyNumberFormat="1" applyFont="1" applyFill="1" applyBorder="1" applyAlignment="1">
      <alignment horizontal="center" vertical="center"/>
    </xf>
    <xf numFmtId="2" fontId="32" fillId="0" borderId="12" xfId="49" applyNumberFormat="1" applyFont="1" applyFill="1" applyBorder="1" applyAlignment="1">
      <alignment horizontal="center" vertical="center"/>
    </xf>
    <xf numFmtId="1" fontId="32" fillId="0" borderId="30" xfId="49" applyNumberFormat="1" applyFont="1" applyFill="1" applyBorder="1" applyAlignment="1">
      <alignment horizontal="center" vertical="center"/>
    </xf>
    <xf numFmtId="1" fontId="32" fillId="0" borderId="12" xfId="50" applyNumberFormat="1" applyFont="1" applyFill="1" applyBorder="1" applyAlignment="1">
      <alignment horizontal="center" vertical="center"/>
    </xf>
    <xf numFmtId="1" fontId="32" fillId="0" borderId="30" xfId="50" applyNumberFormat="1" applyFont="1" applyFill="1" applyBorder="1" applyAlignment="1">
      <alignment horizontal="center" vertical="center"/>
    </xf>
    <xf numFmtId="0" fontId="33" fillId="0" borderId="30" xfId="49" applyFont="1" applyFill="1" applyBorder="1" applyAlignment="1">
      <alignment horizontal="center" vertical="center"/>
    </xf>
    <xf numFmtId="176" fontId="32" fillId="0" borderId="12" xfId="58" applyNumberFormat="1" applyFont="1" applyFill="1" applyBorder="1" applyAlignment="1">
      <alignment horizontal="center" vertical="center"/>
    </xf>
    <xf numFmtId="176" fontId="32" fillId="0" borderId="15" xfId="58" applyNumberFormat="1" applyFont="1" applyFill="1" applyBorder="1" applyAlignment="1">
      <alignment horizontal="center" vertical="center"/>
    </xf>
    <xf numFmtId="179" fontId="32" fillId="0" borderId="22" xfId="49" applyNumberFormat="1" applyFont="1" applyFill="1" applyBorder="1" applyAlignment="1">
      <alignment horizontal="center" vertical="center" wrapText="1"/>
    </xf>
    <xf numFmtId="1" fontId="32" fillId="0" borderId="23" xfId="49" applyNumberFormat="1" applyFont="1" applyFill="1" applyBorder="1" applyAlignment="1">
      <alignment horizontal="center" vertical="center" wrapText="1"/>
    </xf>
    <xf numFmtId="2" fontId="32" fillId="0" borderId="12" xfId="49" applyNumberFormat="1" applyFont="1" applyFill="1" applyBorder="1" applyAlignment="1">
      <alignment horizontal="center" vertical="center" wrapText="1"/>
    </xf>
    <xf numFmtId="1" fontId="32" fillId="0" borderId="15" xfId="49" applyNumberFormat="1" applyFont="1" applyFill="1" applyBorder="1" applyAlignment="1">
      <alignment horizontal="center" vertical="center" wrapText="1"/>
    </xf>
    <xf numFmtId="2" fontId="32" fillId="0" borderId="12" xfId="56" applyNumberFormat="1" applyFont="1" applyFill="1" applyBorder="1" applyAlignment="1">
      <alignment horizontal="center" vertical="center" wrapText="1"/>
    </xf>
    <xf numFmtId="1" fontId="32" fillId="0" borderId="15" xfId="56" applyNumberFormat="1" applyFont="1" applyFill="1" applyBorder="1" applyAlignment="1">
      <alignment horizontal="center" vertical="center" wrapText="1"/>
    </xf>
    <xf numFmtId="177" fontId="32" fillId="0" borderId="12" xfId="49" applyNumberFormat="1" applyFont="1" applyFill="1" applyBorder="1" applyAlignment="1">
      <alignment horizontal="center" vertical="center" wrapText="1"/>
    </xf>
    <xf numFmtId="2" fontId="32" fillId="0" borderId="22" xfId="49" applyNumberFormat="1" applyFont="1" applyFill="1" applyBorder="1" applyAlignment="1">
      <alignment horizontal="center" vertical="center" wrapText="1"/>
    </xf>
    <xf numFmtId="176" fontId="32" fillId="0" borderId="30" xfId="58" applyNumberFormat="1" applyFont="1" applyFill="1" applyBorder="1" applyAlignment="1">
      <alignment horizontal="center" vertical="center"/>
    </xf>
    <xf numFmtId="1" fontId="32" fillId="0" borderId="21" xfId="49" applyNumberFormat="1" applyFont="1" applyFill="1" applyBorder="1" applyAlignment="1">
      <alignment horizontal="center" vertical="center" wrapText="1"/>
    </xf>
    <xf numFmtId="0" fontId="33" fillId="0" borderId="30" xfId="59" applyFont="1" applyFill="1" applyBorder="1" applyAlignment="1">
      <alignment horizontal="center" vertical="center"/>
    </xf>
    <xf numFmtId="2" fontId="32" fillId="0" borderId="12" xfId="50" applyNumberFormat="1" applyFont="1" applyFill="1" applyBorder="1" applyAlignment="1">
      <alignment horizontal="center" vertical="center"/>
    </xf>
    <xf numFmtId="1" fontId="32" fillId="0" borderId="12" xfId="49" applyNumberFormat="1" applyFont="1" applyFill="1" applyBorder="1" applyAlignment="1">
      <alignment horizontal="center" vertical="center" wrapText="1"/>
    </xf>
    <xf numFmtId="177" fontId="32" fillId="0" borderId="12" xfId="50" applyNumberFormat="1" applyFont="1" applyFill="1" applyBorder="1" applyAlignment="1">
      <alignment horizontal="center" vertical="center"/>
    </xf>
    <xf numFmtId="176" fontId="32" fillId="0" borderId="12" xfId="0" applyNumberFormat="1" applyFont="1" applyFill="1" applyBorder="1" applyAlignment="1">
      <alignment horizontal="center" vertical="center"/>
    </xf>
    <xf numFmtId="176" fontId="36" fillId="0" borderId="15" xfId="0" applyNumberFormat="1" applyFont="1" applyFill="1" applyBorder="1" applyAlignment="1">
      <alignment horizontal="center" vertical="center"/>
    </xf>
    <xf numFmtId="178" fontId="32" fillId="0" borderId="12" xfId="49" applyNumberFormat="1" applyFont="1" applyFill="1" applyBorder="1" applyAlignment="1">
      <alignment horizontal="center" vertical="center" wrapText="1"/>
    </xf>
    <xf numFmtId="176" fontId="36" fillId="0" borderId="30" xfId="0" applyNumberFormat="1" applyFont="1" applyFill="1" applyBorder="1" applyAlignment="1">
      <alignment horizontal="center" vertical="center"/>
    </xf>
    <xf numFmtId="178" fontId="32" fillId="0" borderId="0" xfId="49" applyNumberFormat="1" applyFont="1" applyFill="1" applyBorder="1" applyAlignment="1">
      <alignment horizontal="center" vertical="center" wrapText="1"/>
    </xf>
    <xf numFmtId="1" fontId="32" fillId="0" borderId="30" xfId="49" applyNumberFormat="1" applyFont="1" applyFill="1" applyBorder="1" applyAlignment="1">
      <alignment horizontal="center" vertical="center" wrapText="1"/>
    </xf>
    <xf numFmtId="1" fontId="32" fillId="0" borderId="12" xfId="0" applyNumberFormat="1" applyFont="1" applyFill="1" applyBorder="1" applyAlignment="1">
      <alignment horizontal="center" vertical="center"/>
    </xf>
    <xf numFmtId="1" fontId="36" fillId="0" borderId="15" xfId="0" applyNumberFormat="1" applyFont="1" applyFill="1" applyBorder="1" applyAlignment="1">
      <alignment horizontal="center" vertical="center"/>
    </xf>
    <xf numFmtId="1" fontId="36" fillId="0" borderId="30" xfId="0" applyNumberFormat="1" applyFont="1" applyFill="1" applyBorder="1" applyAlignment="1">
      <alignment horizontal="center" vertical="center"/>
    </xf>
    <xf numFmtId="1" fontId="33" fillId="0" borderId="30" xfId="49" applyNumberFormat="1" applyFont="1" applyFill="1" applyBorder="1" applyAlignment="1">
      <alignment horizontal="center" vertical="center"/>
    </xf>
    <xf numFmtId="1" fontId="33" fillId="0" borderId="0" xfId="49" applyNumberFormat="1" applyFont="1" applyFill="1" applyBorder="1" applyAlignment="1">
      <alignment horizontal="center" vertical="center"/>
    </xf>
    <xf numFmtId="176" fontId="36" fillId="0" borderId="0" xfId="0" applyNumberFormat="1" applyFont="1" applyFill="1" applyBorder="1" applyAlignment="1">
      <alignment horizontal="center" vertical="center"/>
    </xf>
    <xf numFmtId="1" fontId="32" fillId="0" borderId="0" xfId="49" applyNumberFormat="1" applyFont="1" applyFill="1" applyBorder="1" applyAlignment="1">
      <alignment horizontal="center" vertical="center" wrapText="1"/>
    </xf>
    <xf numFmtId="177" fontId="32" fillId="0" borderId="12" xfId="56" applyNumberFormat="1" applyFont="1" applyFill="1" applyBorder="1" applyAlignment="1">
      <alignment horizontal="center" vertical="center" wrapText="1"/>
    </xf>
    <xf numFmtId="1" fontId="32" fillId="0" borderId="0" xfId="56" applyNumberFormat="1" applyFont="1" applyFill="1" applyBorder="1" applyAlignment="1">
      <alignment horizontal="center" vertical="center" wrapText="1"/>
    </xf>
    <xf numFmtId="0" fontId="33" fillId="0" borderId="0" xfId="49" applyFont="1" applyFill="1" applyBorder="1" applyAlignment="1">
      <alignment horizontal="center" vertical="center"/>
    </xf>
    <xf numFmtId="1" fontId="36" fillId="0" borderId="0" xfId="0" applyNumberFormat="1" applyFont="1" applyFill="1" applyBorder="1" applyAlignment="1">
      <alignment horizontal="center" vertical="center"/>
    </xf>
    <xf numFmtId="177" fontId="32" fillId="0" borderId="0" xfId="49" applyNumberFormat="1" applyFont="1" applyFill="1" applyBorder="1" applyAlignment="1">
      <alignment horizontal="center" vertical="center" wrapText="1"/>
    </xf>
    <xf numFmtId="179" fontId="32" fillId="0" borderId="12" xfId="49" applyNumberFormat="1" applyFont="1" applyFill="1" applyBorder="1" applyAlignment="1">
      <alignment horizontal="center" vertical="center" wrapText="1"/>
    </xf>
    <xf numFmtId="179" fontId="32" fillId="0" borderId="12" xfId="56" applyNumberFormat="1" applyFont="1" applyFill="1" applyBorder="1" applyAlignment="1">
      <alignment horizontal="center" vertical="center" wrapText="1"/>
    </xf>
    <xf numFmtId="176" fontId="32" fillId="0" borderId="0" xfId="0" applyNumberFormat="1" applyFont="1" applyFill="1" applyBorder="1" applyAlignment="1">
      <alignment horizontal="center" vertical="center"/>
    </xf>
    <xf numFmtId="0" fontId="32" fillId="0" borderId="10" xfId="52" applyFont="1" applyFill="1" applyBorder="1" applyAlignment="1">
      <alignment horizontal="left" vertical="center" wrapText="1"/>
    </xf>
    <xf numFmtId="0" fontId="32" fillId="0" borderId="24" xfId="52" applyFont="1" applyFill="1" applyBorder="1" applyAlignment="1">
      <alignment horizontal="left" vertical="center" wrapText="1"/>
    </xf>
    <xf numFmtId="0" fontId="32" fillId="0" borderId="18" xfId="52" applyFont="1" applyFill="1" applyBorder="1" applyAlignment="1">
      <alignment horizontal="left" vertical="center" wrapText="1"/>
    </xf>
    <xf numFmtId="0" fontId="32" fillId="0" borderId="15" xfId="52" applyFont="1" applyFill="1" applyBorder="1" applyAlignment="1">
      <alignment horizontal="left" vertical="center" wrapText="1"/>
    </xf>
    <xf numFmtId="0" fontId="32" fillId="0" borderId="26" xfId="52" applyFont="1" applyFill="1" applyBorder="1" applyAlignment="1">
      <alignment horizontal="left" vertical="center" wrapText="1"/>
    </xf>
    <xf numFmtId="0" fontId="33" fillId="0" borderId="12" xfId="58" applyFont="1" applyFill="1" applyBorder="1" applyAlignment="1">
      <alignment horizontal="left" vertical="center" wrapText="1"/>
    </xf>
    <xf numFmtId="0" fontId="33" fillId="0" borderId="30" xfId="58" applyFont="1" applyFill="1" applyBorder="1" applyAlignment="1">
      <alignment horizontal="left" vertical="center" wrapText="1"/>
    </xf>
    <xf numFmtId="0" fontId="32" fillId="0" borderId="18" xfId="58" applyFont="1" applyFill="1" applyBorder="1" applyAlignment="1">
      <alignment horizontal="left" vertical="center" wrapText="1"/>
    </xf>
    <xf numFmtId="0" fontId="32" fillId="0" borderId="18" xfId="58" applyFont="1" applyFill="1" applyBorder="1" applyAlignment="1">
      <alignment vertical="center" wrapText="1"/>
    </xf>
    <xf numFmtId="0" fontId="32" fillId="0" borderId="10" xfId="58" applyFont="1" applyFill="1" applyBorder="1" applyAlignment="1">
      <alignment vertical="center" wrapText="1"/>
    </xf>
    <xf numFmtId="0" fontId="32" fillId="0" borderId="19" xfId="0" applyFont="1" applyFill="1" applyBorder="1" applyAlignment="1">
      <alignment vertical="center" wrapText="1"/>
    </xf>
    <xf numFmtId="0" fontId="32" fillId="0" borderId="18" xfId="52" applyFont="1" applyFill="1" applyBorder="1" applyAlignment="1">
      <alignment vertical="center" wrapText="1"/>
    </xf>
    <xf numFmtId="0" fontId="32" fillId="0" borderId="27" xfId="52" applyFont="1" applyFill="1" applyBorder="1" applyAlignment="1">
      <alignment vertical="center" wrapText="1"/>
    </xf>
    <xf numFmtId="0" fontId="32" fillId="0" borderId="19" xfId="52" applyFont="1" applyFill="1" applyBorder="1" applyAlignment="1">
      <alignment horizontal="left" vertical="center" wrapText="1"/>
    </xf>
    <xf numFmtId="0" fontId="32" fillId="0" borderId="29" xfId="52" applyFont="1" applyFill="1" applyBorder="1" applyAlignment="1">
      <alignment horizontal="left" vertical="center" wrapText="1"/>
    </xf>
    <xf numFmtId="0" fontId="32" fillId="0" borderId="10" xfId="58" applyFont="1" applyFill="1" applyBorder="1" applyAlignment="1">
      <alignment horizontal="center" vertical="center"/>
    </xf>
    <xf numFmtId="182" fontId="32" fillId="0" borderId="12" xfId="58" applyNumberFormat="1" applyFont="1" applyFill="1" applyBorder="1" applyAlignment="1">
      <alignment horizontal="center" vertical="center"/>
    </xf>
    <xf numFmtId="182" fontId="32" fillId="0" borderId="30" xfId="58" applyNumberFormat="1" applyFont="1" applyFill="1" applyBorder="1" applyAlignment="1">
      <alignment horizontal="center" vertical="center"/>
    </xf>
  </cellXfs>
  <cellStyles count="62">
    <cellStyle name="20% - Accent1" xfId="1"/>
    <cellStyle name="20% - Accent2" xfId="2"/>
    <cellStyle name="20% - Accent3" xfId="3"/>
    <cellStyle name="20% - Accent4" xfId="4"/>
    <cellStyle name="20% - Accent5" xfId="5"/>
    <cellStyle name="20% - Accent6" xfId="6"/>
    <cellStyle name="40% - Accent1" xfId="7"/>
    <cellStyle name="40% - Accent2" xfId="8"/>
    <cellStyle name="40% - Accent3" xfId="9"/>
    <cellStyle name="40% - Accent4" xfId="10"/>
    <cellStyle name="40% - Accent5" xfId="11"/>
    <cellStyle name="40% - Accent6" xfId="12"/>
    <cellStyle name="60% - Accent1" xfId="13"/>
    <cellStyle name="60% - Accent2" xfId="14"/>
    <cellStyle name="60% - Accent3" xfId="15"/>
    <cellStyle name="60% - Accent4" xfId="16"/>
    <cellStyle name="60% - Accent5" xfId="17"/>
    <cellStyle name="60% - Accent6" xfId="18"/>
    <cellStyle name="9" xfId="57"/>
    <cellStyle name="Accent1" xfId="19"/>
    <cellStyle name="Accent2" xfId="20"/>
    <cellStyle name="Accent3" xfId="21"/>
    <cellStyle name="Accent4" xfId="22"/>
    <cellStyle name="Accent5" xfId="23"/>
    <cellStyle name="Accent6" xfId="24"/>
    <cellStyle name="Bad" xfId="25"/>
    <cellStyle name="Calculation" xfId="26"/>
    <cellStyle name="Check Cell" xfId="27"/>
    <cellStyle name="Explanatory Text" xfId="28"/>
    <cellStyle name="Good" xfId="29"/>
    <cellStyle name="Heading 1" xfId="30"/>
    <cellStyle name="Heading 2" xfId="31"/>
    <cellStyle name="Heading 3" xfId="32"/>
    <cellStyle name="Heading 4" xfId="33"/>
    <cellStyle name="Input" xfId="34"/>
    <cellStyle name="Linked Cell" xfId="35"/>
    <cellStyle name="Neutral" xfId="36"/>
    <cellStyle name="Normal 2" xfId="37"/>
    <cellStyle name="Normal_BGB-103 (maleate)_PPB_pretest_03192013" xfId="38"/>
    <cellStyle name="Note" xfId="39"/>
    <cellStyle name="Output" xfId="40"/>
    <cellStyle name="Style 1" xfId="41"/>
    <cellStyle name="Title" xfId="42"/>
    <cellStyle name="Total" xfId="43"/>
    <cellStyle name="Warning Text" xfId="44"/>
    <cellStyle name="百分比 2" xfId="56"/>
    <cellStyle name="差_3D_SN016120_BGB-000001255-000-002_Plasma protein binding_03252013" xfId="47"/>
    <cellStyle name="差_BGB-103 (maleate)_PPB_pretest_03192013" xfId="48"/>
    <cellStyle name="常规" xfId="0" builtinId="0"/>
    <cellStyle name="常规 2" xfId="49"/>
    <cellStyle name="常规 2 2" xfId="50"/>
    <cellStyle name="常规 2 3" xfId="51"/>
    <cellStyle name="常规 3" xfId="58"/>
    <cellStyle name="常规 4" xfId="61"/>
    <cellStyle name="常规 5 2" xfId="60"/>
    <cellStyle name="常规_01052012-human-PPB" xfId="59"/>
    <cellStyle name="常规_3D_RN016007_summary" xfId="52"/>
    <cellStyle name="常规_3D_RN016022BGB-555" xfId="53"/>
    <cellStyle name="常规_AZ_Microsome_Stability_final_report_23-Feb-2009" xfId="54"/>
    <cellStyle name="常规_ITMN_Solubility assay for 4 cpds final report_17-Feb-2009 wf" xfId="55"/>
    <cellStyle name="好_3D_SN016120_BGB-000001255-000-002_Plasma protein binding_03252013" xfId="45"/>
    <cellStyle name="好_BGB-103 (maleate)_PPB_pretest_03192013" xfId="46"/>
  </cellStyles>
  <dxfs count="2224">
    <dxf>
      <fill>
        <patternFill>
          <bgColor indexed="13"/>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rgb="FFFFFF00"/>
        </patternFill>
      </fill>
    </dxf>
    <dxf>
      <fill>
        <patternFill>
          <bgColor rgb="FFFFFF00"/>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3" Type="http://schemas.openxmlformats.org/officeDocument/2006/relationships/image" Target="../media/image4.wmf"/><Relationship Id="rId2" Type="http://schemas.openxmlformats.org/officeDocument/2006/relationships/image" Target="../media/image3.wmf"/><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twoCellAnchor>
    <xdr:from>
      <xdr:col>2</xdr:col>
      <xdr:colOff>478155</xdr:colOff>
      <xdr:row>0</xdr:row>
      <xdr:rowOff>139065</xdr:rowOff>
    </xdr:from>
    <xdr:to>
      <xdr:col>3</xdr:col>
      <xdr:colOff>220980</xdr:colOff>
      <xdr:row>0</xdr:row>
      <xdr:rowOff>948690</xdr:rowOff>
    </xdr:to>
    <xdr:pic>
      <xdr:nvPicPr>
        <xdr:cNvPr id="2" name="Picture 186"/>
        <xdr:cNvPicPr>
          <a:picLocks noChangeAspect="1" noChangeArrowheads="1"/>
        </xdr:cNvPicPr>
      </xdr:nvPicPr>
      <xdr:blipFill>
        <a:blip xmlns:r="http://schemas.openxmlformats.org/officeDocument/2006/relationships" r:embed="rId1" cstate="print"/>
        <a:srcRect/>
        <a:stretch>
          <a:fillRect/>
        </a:stretch>
      </xdr:blipFill>
      <xdr:spPr bwMode="auto">
        <a:xfrm>
          <a:off x="3038475" y="139065"/>
          <a:ext cx="748665" cy="8096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180975</xdr:colOff>
          <xdr:row>19</xdr:row>
          <xdr:rowOff>9525</xdr:rowOff>
        </xdr:from>
        <xdr:to>
          <xdr:col>0</xdr:col>
          <xdr:colOff>1343025</xdr:colOff>
          <xdr:row>21</xdr:row>
          <xdr:rowOff>38100</xdr:rowOff>
        </xdr:to>
        <xdr:sp macro="" textlink="">
          <xdr:nvSpPr>
            <xdr:cNvPr id="4102" name="Object 6" hidden="1">
              <a:extLst>
                <a:ext uri="{63B3BB69-23CF-44E3-9099-C40C66FF867C}">
                  <a14:compatExt spid="_x0000_s4102"/>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xdr:col>
          <xdr:colOff>323850</xdr:colOff>
          <xdr:row>19</xdr:row>
          <xdr:rowOff>19050</xdr:rowOff>
        </xdr:from>
        <xdr:to>
          <xdr:col>8</xdr:col>
          <xdr:colOff>9525</xdr:colOff>
          <xdr:row>21</xdr:row>
          <xdr:rowOff>123825</xdr:rowOff>
        </xdr:to>
        <xdr:sp macro="" textlink="">
          <xdr:nvSpPr>
            <xdr:cNvPr id="4105" name="Object 9" hidden="1">
              <a:extLst>
                <a:ext uri="{63B3BB69-23CF-44E3-9099-C40C66FF867C}">
                  <a14:compatExt spid="_x0000_s4105"/>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xdr:col>
          <xdr:colOff>28575</xdr:colOff>
          <xdr:row>19</xdr:row>
          <xdr:rowOff>0</xdr:rowOff>
        </xdr:from>
        <xdr:to>
          <xdr:col>3</xdr:col>
          <xdr:colOff>561975</xdr:colOff>
          <xdr:row>21</xdr:row>
          <xdr:rowOff>95250</xdr:rowOff>
        </xdr:to>
        <xdr:sp macro="" textlink="">
          <xdr:nvSpPr>
            <xdr:cNvPr id="4106" name="Object 10" hidden="1">
              <a:extLst>
                <a:ext uri="{63B3BB69-23CF-44E3-9099-C40C66FF867C}">
                  <a14:compatExt spid="_x0000_s410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C7EDCC"/>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oleObject" Target="../embeddings/oleObject3.bin"/><Relationship Id="rId3" Type="http://schemas.openxmlformats.org/officeDocument/2006/relationships/vmlDrawing" Target="../drawings/vmlDrawing1.vml"/><Relationship Id="rId7" Type="http://schemas.openxmlformats.org/officeDocument/2006/relationships/image" Target="../media/image3.wmf"/><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5" Type="http://schemas.openxmlformats.org/officeDocument/2006/relationships/image" Target="../media/image2.wmf"/><Relationship Id="rId4" Type="http://schemas.openxmlformats.org/officeDocument/2006/relationships/oleObject" Target="../embeddings/oleObject1.bin"/><Relationship Id="rId9" Type="http://schemas.openxmlformats.org/officeDocument/2006/relationships/image" Target="../media/image4.wmf"/></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showGridLines="0" tabSelected="1" zoomScaleNormal="100" workbookViewId="0">
      <selection sqref="A1:H1"/>
    </sheetView>
  </sheetViews>
  <sheetFormatPr defaultColWidth="0" defaultRowHeight="15.75"/>
  <cols>
    <col min="1" max="1" width="22.25" style="81" customWidth="1"/>
    <col min="2" max="2" width="15.125" style="81" customWidth="1"/>
    <col min="3" max="3" width="14.625" style="81" customWidth="1"/>
    <col min="4" max="7" width="9" style="81" customWidth="1"/>
    <col min="8" max="8" width="12.25" style="81" customWidth="1"/>
    <col min="9" max="16384" width="9" style="81" hidden="1"/>
  </cols>
  <sheetData>
    <row r="1" spans="1:9" s="78" customFormat="1" ht="119.45" customHeight="1">
      <c r="A1" s="335" t="s">
        <v>134</v>
      </c>
      <c r="B1" s="335"/>
      <c r="C1" s="335"/>
      <c r="D1" s="335"/>
      <c r="E1" s="335"/>
      <c r="F1" s="335"/>
      <c r="G1" s="335"/>
      <c r="H1" s="335"/>
    </row>
    <row r="2" spans="1:9" ht="30.75" customHeight="1">
      <c r="A2" s="79" t="s">
        <v>54</v>
      </c>
      <c r="B2" s="337" t="s">
        <v>248</v>
      </c>
      <c r="C2" s="337"/>
      <c r="D2" s="337"/>
      <c r="E2" s="337"/>
      <c r="F2" s="337"/>
      <c r="G2" s="337"/>
      <c r="H2" s="337"/>
      <c r="I2" s="80"/>
    </row>
    <row r="3" spans="1:9" ht="30.75" customHeight="1">
      <c r="A3" s="79" t="s">
        <v>135</v>
      </c>
      <c r="B3" s="200" t="s">
        <v>249</v>
      </c>
      <c r="C3" s="80"/>
      <c r="D3" s="80"/>
      <c r="E3" s="80"/>
      <c r="I3" s="80"/>
    </row>
    <row r="4" spans="1:9" ht="30.75" customHeight="1">
      <c r="A4" s="79" t="s">
        <v>136</v>
      </c>
      <c r="B4" s="200" t="s">
        <v>250</v>
      </c>
      <c r="C4" s="80"/>
      <c r="D4" s="80"/>
      <c r="E4" s="80"/>
      <c r="I4" s="80"/>
    </row>
    <row r="5" spans="1:9" ht="30.75" customHeight="1">
      <c r="A5" s="79" t="s">
        <v>137</v>
      </c>
      <c r="B5" s="186" t="s">
        <v>228</v>
      </c>
      <c r="C5" s="183"/>
      <c r="D5" s="183"/>
      <c r="E5" s="80"/>
    </row>
    <row r="6" spans="1:9" ht="30.75" customHeight="1">
      <c r="A6" s="79" t="s">
        <v>138</v>
      </c>
      <c r="B6" s="338" t="str">
        <f>Summary!A2</f>
        <v>HW356009-P1</v>
      </c>
      <c r="C6" s="338"/>
      <c r="D6" s="338"/>
      <c r="E6" s="338"/>
      <c r="F6" s="338"/>
      <c r="G6" s="338"/>
      <c r="H6" s="338"/>
    </row>
    <row r="7" spans="1:9" ht="30.75" customHeight="1">
      <c r="A7" s="79" t="s">
        <v>55</v>
      </c>
      <c r="B7" s="324" t="s">
        <v>252</v>
      </c>
      <c r="C7" s="183"/>
      <c r="D7" s="183"/>
      <c r="E7" s="80"/>
    </row>
    <row r="8" spans="1:9" ht="30.75" customHeight="1">
      <c r="A8" s="79" t="s">
        <v>56</v>
      </c>
      <c r="B8" s="184" t="s">
        <v>253</v>
      </c>
      <c r="C8" s="183"/>
      <c r="D8" s="183"/>
      <c r="E8" s="80"/>
    </row>
    <row r="9" spans="1:9" ht="30.75" customHeight="1">
      <c r="A9" s="79" t="s">
        <v>57</v>
      </c>
      <c r="B9" s="186" t="s">
        <v>234</v>
      </c>
      <c r="C9" s="183"/>
      <c r="D9" s="183"/>
      <c r="E9" s="80"/>
    </row>
    <row r="10" spans="1:9" ht="30.75" customHeight="1">
      <c r="A10" s="79" t="s">
        <v>58</v>
      </c>
      <c r="B10" s="185" t="s">
        <v>254</v>
      </c>
      <c r="C10" s="183"/>
      <c r="D10" s="183"/>
      <c r="E10" s="80"/>
    </row>
    <row r="11" spans="1:9" ht="30.75" customHeight="1">
      <c r="A11" s="79" t="s">
        <v>59</v>
      </c>
      <c r="B11" s="185" t="s">
        <v>241</v>
      </c>
      <c r="C11" s="183"/>
      <c r="D11" s="183"/>
      <c r="E11" s="80"/>
    </row>
    <row r="12" spans="1:9" ht="41.25" customHeight="1">
      <c r="A12" s="82" t="s">
        <v>60</v>
      </c>
      <c r="B12" s="336" t="s">
        <v>167</v>
      </c>
      <c r="C12" s="336"/>
      <c r="D12" s="336"/>
      <c r="E12" s="336"/>
      <c r="F12" s="182"/>
      <c r="G12" s="182"/>
      <c r="H12" s="174"/>
    </row>
    <row r="13" spans="1:9" ht="39.75" customHeight="1">
      <c r="A13" s="82" t="s">
        <v>139</v>
      </c>
      <c r="B13" s="336" t="s">
        <v>229</v>
      </c>
      <c r="C13" s="336"/>
      <c r="D13" s="336"/>
      <c r="E13" s="336"/>
      <c r="F13" s="336"/>
      <c r="G13" s="336"/>
      <c r="H13" s="174"/>
    </row>
    <row r="14" spans="1:9" ht="37.5" customHeight="1">
      <c r="A14" s="82"/>
      <c r="B14" s="334"/>
      <c r="C14" s="334"/>
      <c r="D14" s="334"/>
      <c r="E14" s="83"/>
      <c r="F14" s="83"/>
    </row>
  </sheetData>
  <mergeCells count="6">
    <mergeCell ref="B14:D14"/>
    <mergeCell ref="A1:H1"/>
    <mergeCell ref="B12:E12"/>
    <mergeCell ref="B2:H2"/>
    <mergeCell ref="B6:H6"/>
    <mergeCell ref="B13:G13"/>
  </mergeCells>
  <phoneticPr fontId="3" type="noConversion"/>
  <pageMargins left="0.75" right="0.75" top="1" bottom="1" header="0.5" footer="0.5"/>
  <pageSetup paperSize="9" scale="82"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Z32"/>
  <sheetViews>
    <sheetView workbookViewId="0"/>
  </sheetViews>
  <sheetFormatPr defaultColWidth="9" defaultRowHeight="15"/>
  <cols>
    <col min="1" max="1" width="21.875" style="1" customWidth="1"/>
    <col min="2" max="3" width="8.5" style="1" customWidth="1"/>
    <col min="4" max="6" width="8.5" style="2" customWidth="1"/>
    <col min="7" max="21" width="9" style="2" customWidth="1"/>
    <col min="22" max="24" width="8" style="2" customWidth="1"/>
    <col min="25" max="16384" width="9" style="2"/>
  </cols>
  <sheetData>
    <row r="1" spans="1:26">
      <c r="A1" s="241" t="s">
        <v>189</v>
      </c>
      <c r="B1" s="2"/>
      <c r="C1" s="2"/>
    </row>
    <row r="2" spans="1:26">
      <c r="A2" s="1" t="s">
        <v>251</v>
      </c>
      <c r="B2" s="249"/>
      <c r="C2" s="235"/>
      <c r="E2" s="249"/>
      <c r="M2" s="160"/>
      <c r="Z2" s="160"/>
    </row>
    <row r="3" spans="1:26">
      <c r="B3" s="235"/>
      <c r="C3" s="235"/>
      <c r="E3" s="235"/>
      <c r="M3" s="160"/>
      <c r="Z3" s="160"/>
    </row>
    <row r="4" spans="1:26">
      <c r="C4" s="235"/>
      <c r="E4" s="235"/>
      <c r="Z4" s="160"/>
    </row>
    <row r="5" spans="1:26">
      <c r="C5" s="235"/>
      <c r="E5" s="235"/>
      <c r="Z5" s="160"/>
    </row>
    <row r="6" spans="1:26" ht="17.25" customHeight="1" thickBot="1">
      <c r="B6" s="2"/>
      <c r="C6" s="2"/>
      <c r="V6" s="110"/>
      <c r="W6" s="110"/>
      <c r="X6" s="110"/>
      <c r="Z6" s="160"/>
    </row>
    <row r="7" spans="1:26" ht="16.5" customHeight="1">
      <c r="A7" s="344" t="s">
        <v>94</v>
      </c>
      <c r="B7" s="341" t="s">
        <v>103</v>
      </c>
      <c r="C7" s="341"/>
      <c r="D7" s="341"/>
      <c r="E7" s="342"/>
      <c r="F7" s="341" t="s">
        <v>105</v>
      </c>
      <c r="G7" s="341"/>
      <c r="H7" s="341"/>
      <c r="I7" s="341"/>
      <c r="J7" s="339" t="s">
        <v>235</v>
      </c>
      <c r="K7" s="341"/>
      <c r="L7" s="341"/>
      <c r="M7" s="341"/>
      <c r="N7" s="339" t="s">
        <v>126</v>
      </c>
      <c r="O7" s="340"/>
      <c r="P7" s="341"/>
      <c r="Q7" s="342"/>
      <c r="R7" s="339" t="s">
        <v>125</v>
      </c>
      <c r="S7" s="340"/>
      <c r="T7" s="341"/>
      <c r="U7" s="341"/>
      <c r="Z7" s="160"/>
    </row>
    <row r="8" spans="1:26" ht="32.25" customHeight="1">
      <c r="A8" s="345"/>
      <c r="B8" s="166" t="s">
        <v>111</v>
      </c>
      <c r="C8" s="166" t="s">
        <v>132</v>
      </c>
      <c r="D8" s="166" t="s">
        <v>109</v>
      </c>
      <c r="E8" s="167" t="s">
        <v>110</v>
      </c>
      <c r="F8" s="114" t="s">
        <v>108</v>
      </c>
      <c r="G8" s="190" t="s">
        <v>132</v>
      </c>
      <c r="H8" s="114" t="s">
        <v>99</v>
      </c>
      <c r="I8" s="114" t="s">
        <v>100</v>
      </c>
      <c r="J8" s="177" t="s">
        <v>113</v>
      </c>
      <c r="K8" s="190" t="s">
        <v>132</v>
      </c>
      <c r="L8" s="190" t="s">
        <v>114</v>
      </c>
      <c r="M8" s="190" t="s">
        <v>110</v>
      </c>
      <c r="N8" s="177" t="s">
        <v>113</v>
      </c>
      <c r="O8" s="190" t="s">
        <v>133</v>
      </c>
      <c r="P8" s="190" t="s">
        <v>114</v>
      </c>
      <c r="Q8" s="167" t="s">
        <v>115</v>
      </c>
      <c r="R8" s="177" t="s">
        <v>113</v>
      </c>
      <c r="S8" s="175" t="s">
        <v>133</v>
      </c>
      <c r="T8" s="175" t="s">
        <v>109</v>
      </c>
      <c r="U8" s="175" t="s">
        <v>110</v>
      </c>
      <c r="V8" s="155"/>
      <c r="W8" s="155"/>
      <c r="X8" s="155"/>
      <c r="Y8" s="155"/>
      <c r="Z8" s="270"/>
    </row>
    <row r="9" spans="1:26" ht="17.25" customHeight="1">
      <c r="A9" s="205" t="s">
        <v>182</v>
      </c>
      <c r="B9" s="111">
        <f>Controls!N4</f>
        <v>0.45459067516118534</v>
      </c>
      <c r="C9" s="158">
        <f>100-B9</f>
        <v>99.545409324838815</v>
      </c>
      <c r="D9" s="158">
        <f>Controls!P4</f>
        <v>89.043088975937337</v>
      </c>
      <c r="E9" s="168" t="s">
        <v>116</v>
      </c>
      <c r="F9" s="111">
        <f>Controls!N13</f>
        <v>0.49601138831887293</v>
      </c>
      <c r="G9" s="158">
        <f>100-F9</f>
        <v>99.503988611681123</v>
      </c>
      <c r="H9" s="158">
        <f>Controls!P13</f>
        <v>87.624866595517602</v>
      </c>
      <c r="I9" s="24" t="s">
        <v>118</v>
      </c>
      <c r="J9" s="195">
        <f>Controls!N22</f>
        <v>2.9800495809231498</v>
      </c>
      <c r="K9" s="158">
        <f>100-J9</f>
        <v>97.019950419076849</v>
      </c>
      <c r="L9" s="158">
        <f>Controls!P22</f>
        <v>93.705135284373284</v>
      </c>
      <c r="M9" s="24" t="s">
        <v>116</v>
      </c>
      <c r="N9" s="196">
        <f>Controls!N31</f>
        <v>0.35010646120751154</v>
      </c>
      <c r="O9" s="158">
        <f t="shared" ref="O9:O10" si="0">100-N9</f>
        <v>99.649893538792483</v>
      </c>
      <c r="P9" s="158">
        <f>Controls!P31</f>
        <v>84.955924441900407</v>
      </c>
      <c r="Q9" s="168" t="s">
        <v>116</v>
      </c>
      <c r="R9" s="288">
        <f>Controls!N40</f>
        <v>5.7381689265714471</v>
      </c>
      <c r="S9" s="112">
        <f t="shared" ref="S9:S10" si="1">100-R9</f>
        <v>94.261831073428553</v>
      </c>
      <c r="T9" s="112">
        <f>Controls!P40</f>
        <v>92.118437118437129</v>
      </c>
      <c r="U9" s="77" t="s">
        <v>117</v>
      </c>
      <c r="V9" s="155"/>
      <c r="W9" s="155"/>
      <c r="X9" s="155"/>
      <c r="Y9" s="155"/>
      <c r="Z9" s="271"/>
    </row>
    <row r="10" spans="1:26" ht="17.25" customHeight="1">
      <c r="A10" s="206" t="s">
        <v>183</v>
      </c>
      <c r="B10" s="113">
        <f>Controls!N52</f>
        <v>80.297872340425528</v>
      </c>
      <c r="C10" s="113">
        <f>100-B10</f>
        <v>19.702127659574472</v>
      </c>
      <c r="D10" s="113">
        <f>Controls!P52</f>
        <v>88.051470588235276</v>
      </c>
      <c r="E10" s="169" t="s">
        <v>117</v>
      </c>
      <c r="F10" s="113">
        <f>Controls!N61</f>
        <v>87.5</v>
      </c>
      <c r="G10" s="113">
        <f>100-F10</f>
        <v>12.5</v>
      </c>
      <c r="H10" s="113">
        <f>Controls!P61</f>
        <v>93.360995850622402</v>
      </c>
      <c r="I10" s="60" t="s">
        <v>116</v>
      </c>
      <c r="J10" s="178">
        <f>Controls!N70</f>
        <v>82.657632743362825</v>
      </c>
      <c r="K10" s="113">
        <f>100-J10</f>
        <v>17.342367256637175</v>
      </c>
      <c r="L10" s="113">
        <f>Controls!P70</f>
        <v>85.093167701863365</v>
      </c>
      <c r="M10" s="60" t="s">
        <v>116</v>
      </c>
      <c r="N10" s="178">
        <f>Controls!N79</f>
        <v>64.37675463222908</v>
      </c>
      <c r="O10" s="113">
        <f t="shared" si="0"/>
        <v>35.62324536777092</v>
      </c>
      <c r="P10" s="113">
        <f>Controls!P79</f>
        <v>92.469879518072304</v>
      </c>
      <c r="Q10" s="169" t="s">
        <v>117</v>
      </c>
      <c r="R10" s="178">
        <f>Controls!N88</f>
        <v>79.099511599511601</v>
      </c>
      <c r="S10" s="113">
        <f t="shared" si="1"/>
        <v>20.900488400488399</v>
      </c>
      <c r="T10" s="113">
        <f>Controls!P88</f>
        <v>94.536082474226802</v>
      </c>
      <c r="U10" s="76" t="s">
        <v>117</v>
      </c>
      <c r="V10" s="155"/>
      <c r="W10" s="155"/>
      <c r="X10" s="155"/>
      <c r="Y10" s="155"/>
      <c r="Z10" s="271"/>
    </row>
    <row r="11" spans="1:26" ht="20.25" customHeight="1" thickBot="1">
      <c r="A11" s="152" t="str">
        <f>A2</f>
        <v>HW356009-P1</v>
      </c>
      <c r="B11" s="321">
        <f>'HW356009-P1'!$M$4</f>
        <v>2.190300720604605</v>
      </c>
      <c r="C11" s="112">
        <f t="shared" ref="C11" si="2">100-B11</f>
        <v>97.809699279395389</v>
      </c>
      <c r="D11" s="112">
        <f>'HW356009-P1'!$O$4</f>
        <v>95.227136279926327</v>
      </c>
      <c r="E11" s="322">
        <f>'HW356009-P1'!$J$13</f>
        <v>102.48618784530387</v>
      </c>
      <c r="F11" s="321">
        <f>'HW356009-P1'!$M$19</f>
        <v>2.2579316546762591</v>
      </c>
      <c r="G11" s="112">
        <f t="shared" ref="G11" si="3">100-F11</f>
        <v>97.742068345323744</v>
      </c>
      <c r="H11" s="144">
        <f>'HW356009-P1'!$O$19</f>
        <v>100.85467009425881</v>
      </c>
      <c r="I11" s="144">
        <f>'HW356009-P1'!$J$28</f>
        <v>104.71293916023996</v>
      </c>
      <c r="J11" s="288">
        <f>'HW356009-P1'!$M$34</f>
        <v>2.2571961378265817</v>
      </c>
      <c r="K11" s="112">
        <f t="shared" ref="K11" si="4">100-J11</f>
        <v>97.742803862173417</v>
      </c>
      <c r="L11" s="112">
        <f>'HW356009-P1'!$O$34</f>
        <v>98.919158075601388</v>
      </c>
      <c r="M11" s="112">
        <f>'HW356009-P1'!$J$43</f>
        <v>99.398625429553277</v>
      </c>
      <c r="N11" s="288">
        <f>'HW356009-P1'!$M$49</f>
        <v>3.3287477779297152</v>
      </c>
      <c r="O11" s="112">
        <f t="shared" ref="O11" si="5">100-N11</f>
        <v>96.671252222070279</v>
      </c>
      <c r="P11" s="112">
        <f>'HW356009-P1'!$O$49</f>
        <v>97.216681146828876</v>
      </c>
      <c r="Q11" s="322">
        <f>'HW356009-P1'!$J$58</f>
        <v>100.17376194613381</v>
      </c>
      <c r="R11" s="288">
        <f>'HW356009-P1'!$M$64</f>
        <v>2.7190625536599904</v>
      </c>
      <c r="S11" s="112">
        <f>100-R11</f>
        <v>97.280937446340005</v>
      </c>
      <c r="T11" s="112">
        <f>'HW356009-P1'!$O$64</f>
        <v>95.126338147833479</v>
      </c>
      <c r="U11" s="112">
        <f>'HW356009-P1'!$J$73</f>
        <v>97.790994052676297</v>
      </c>
      <c r="V11" s="155"/>
      <c r="W11" s="155"/>
      <c r="X11" s="155"/>
      <c r="Y11" s="155"/>
      <c r="Z11" s="271"/>
    </row>
    <row r="12" spans="1:26" s="65" customFormat="1">
      <c r="A12" s="212"/>
      <c r="B12" s="170"/>
      <c r="C12" s="170"/>
      <c r="D12" s="171"/>
      <c r="E12" s="171"/>
      <c r="F12" s="171"/>
      <c r="G12" s="171"/>
      <c r="H12" s="171"/>
      <c r="I12" s="171"/>
      <c r="J12" s="171"/>
      <c r="K12" s="171"/>
      <c r="L12" s="171"/>
      <c r="M12" s="171"/>
      <c r="N12" s="171"/>
      <c r="O12" s="171"/>
      <c r="P12" s="171"/>
      <c r="Q12" s="171"/>
      <c r="R12" s="171"/>
      <c r="S12" s="171"/>
      <c r="T12" s="171"/>
      <c r="U12" s="171"/>
      <c r="V12" s="159"/>
      <c r="W12" s="159"/>
      <c r="X12" s="159"/>
      <c r="Y12" s="159"/>
      <c r="Z12" s="159"/>
    </row>
    <row r="13" spans="1:26" s="65" customFormat="1">
      <c r="A13" s="172"/>
      <c r="B13" s="179"/>
      <c r="C13" s="179"/>
      <c r="D13" s="179"/>
      <c r="E13" s="179"/>
      <c r="F13" s="179"/>
      <c r="G13" s="179"/>
      <c r="H13" s="179"/>
      <c r="I13" s="179"/>
      <c r="J13" s="179"/>
      <c r="K13" s="179"/>
      <c r="L13" s="179"/>
      <c r="M13" s="179"/>
      <c r="N13" s="179"/>
      <c r="O13" s="179"/>
      <c r="P13" s="179"/>
      <c r="Q13" s="179"/>
      <c r="R13" s="159"/>
      <c r="S13" s="159"/>
      <c r="T13" s="159"/>
      <c r="U13" s="159"/>
      <c r="V13" s="159"/>
      <c r="W13" s="159"/>
      <c r="X13" s="159"/>
      <c r="Y13" s="159"/>
      <c r="Z13" s="159"/>
    </row>
    <row r="14" spans="1:26" s="65" customFormat="1" ht="16.5">
      <c r="A14" s="173" t="s">
        <v>51</v>
      </c>
      <c r="B14" s="346" t="s">
        <v>106</v>
      </c>
      <c r="C14" s="346"/>
      <c r="D14" s="346"/>
      <c r="E14" s="346"/>
      <c r="F14" s="346"/>
      <c r="G14" s="346"/>
      <c r="H14" s="346"/>
      <c r="I14" s="346"/>
      <c r="J14" s="346"/>
      <c r="K14" s="191"/>
      <c r="L14" s="172"/>
      <c r="M14" s="172"/>
      <c r="N14" s="172"/>
      <c r="O14" s="172"/>
      <c r="P14" s="172"/>
      <c r="Q14" s="172"/>
    </row>
    <row r="15" spans="1:26" s="65" customFormat="1" ht="16.5">
      <c r="A15" s="173" t="s">
        <v>2</v>
      </c>
      <c r="B15" s="346" t="s">
        <v>112</v>
      </c>
      <c r="C15" s="346"/>
      <c r="D15" s="346"/>
      <c r="E15" s="346"/>
      <c r="F15" s="346"/>
      <c r="G15" s="346"/>
      <c r="H15" s="346"/>
      <c r="I15" s="346"/>
      <c r="J15" s="346"/>
      <c r="K15" s="191"/>
      <c r="L15" s="172"/>
      <c r="M15" s="172"/>
      <c r="N15" s="172"/>
      <c r="O15" s="172"/>
      <c r="P15" s="172"/>
      <c r="Q15" s="172"/>
    </row>
    <row r="16" spans="1:26" s="65" customFormat="1" ht="16.5">
      <c r="A16" s="66" t="s">
        <v>1</v>
      </c>
      <c r="B16" s="347" t="s">
        <v>104</v>
      </c>
      <c r="C16" s="347"/>
      <c r="D16" s="347"/>
      <c r="E16" s="347"/>
      <c r="F16" s="347"/>
      <c r="G16" s="347"/>
      <c r="H16" s="347"/>
      <c r="I16" s="347"/>
      <c r="J16" s="347"/>
      <c r="K16" s="192"/>
      <c r="L16" s="67"/>
    </row>
    <row r="17" spans="1:19" s="65" customFormat="1">
      <c r="A17" s="68" t="s">
        <v>52</v>
      </c>
      <c r="B17" s="348" t="s">
        <v>107</v>
      </c>
      <c r="C17" s="348"/>
      <c r="D17" s="348"/>
      <c r="E17" s="348"/>
      <c r="F17" s="348"/>
      <c r="G17" s="348"/>
      <c r="H17" s="348"/>
      <c r="I17" s="348"/>
      <c r="J17" s="348"/>
      <c r="K17" s="193"/>
      <c r="L17" s="69"/>
    </row>
    <row r="18" spans="1:19" s="65" customFormat="1" ht="16.5">
      <c r="A18" s="66" t="s">
        <v>53</v>
      </c>
      <c r="B18" s="349" t="s">
        <v>102</v>
      </c>
      <c r="C18" s="349"/>
      <c r="D18" s="349"/>
      <c r="E18" s="349"/>
      <c r="F18" s="349"/>
      <c r="G18" s="349"/>
      <c r="H18" s="349"/>
      <c r="I18" s="349"/>
      <c r="J18" s="349"/>
      <c r="K18" s="194"/>
      <c r="L18" s="67"/>
    </row>
    <row r="19" spans="1:19" s="65" customFormat="1">
      <c r="A19" s="66"/>
      <c r="B19" s="67"/>
      <c r="C19" s="67"/>
      <c r="D19" s="67"/>
      <c r="J19" s="67"/>
      <c r="K19" s="67"/>
      <c r="L19" s="67"/>
    </row>
    <row r="20" spans="1:19" s="65" customFormat="1">
      <c r="A20" s="66"/>
      <c r="B20" s="67"/>
      <c r="C20" s="67"/>
      <c r="D20" s="67"/>
      <c r="J20" s="67"/>
      <c r="K20" s="67"/>
      <c r="L20" s="67"/>
      <c r="N20" s="157"/>
      <c r="O20" s="157"/>
      <c r="R20"/>
      <c r="S20"/>
    </row>
    <row r="21" spans="1:19" s="65" customFormat="1">
      <c r="A21" s="66"/>
      <c r="B21" s="67"/>
      <c r="C21" s="67"/>
      <c r="D21" s="67"/>
      <c r="J21" s="67"/>
      <c r="K21" s="67"/>
      <c r="L21" s="67"/>
    </row>
    <row r="22" spans="1:19" s="65" customFormat="1">
      <c r="A22" s="343"/>
      <c r="B22" s="343"/>
      <c r="C22" s="343"/>
      <c r="D22" s="343"/>
    </row>
    <row r="23" spans="1:19" s="65" customFormat="1">
      <c r="A23" s="67"/>
      <c r="D23" s="67"/>
      <c r="J23" s="67"/>
      <c r="K23" s="67"/>
      <c r="L23" s="67"/>
    </row>
    <row r="24" spans="1:19" ht="15.75">
      <c r="A24" s="189"/>
      <c r="B24" s="189"/>
      <c r="C24" s="189"/>
      <c r="D24" s="189"/>
      <c r="E24" s="189"/>
      <c r="F24" s="189"/>
      <c r="G24" s="189"/>
      <c r="H24" s="189"/>
      <c r="I24" s="189"/>
      <c r="J24" s="188"/>
      <c r="K24" s="188"/>
      <c r="L24" s="187"/>
      <c r="M24" s="187"/>
      <c r="N24" s="187"/>
      <c r="O24" s="187"/>
      <c r="P24" s="187"/>
      <c r="Q24" s="187"/>
      <c r="R24" s="187"/>
      <c r="S24" s="187"/>
    </row>
    <row r="25" spans="1:19">
      <c r="A25" s="2"/>
      <c r="B25" s="2"/>
      <c r="C25" s="2"/>
    </row>
    <row r="26" spans="1:19">
      <c r="A26" s="2"/>
      <c r="B26" s="2"/>
      <c r="C26" s="2"/>
    </row>
    <row r="27" spans="1:19">
      <c r="A27" s="2"/>
      <c r="B27" s="2"/>
      <c r="C27" s="2"/>
    </row>
    <row r="28" spans="1:19">
      <c r="A28" s="2"/>
      <c r="B28" s="2"/>
      <c r="C28" s="2"/>
    </row>
    <row r="29" spans="1:19">
      <c r="A29" s="2"/>
      <c r="B29" s="2"/>
      <c r="C29" s="2"/>
    </row>
    <row r="30" spans="1:19">
      <c r="A30" s="2"/>
      <c r="B30" s="2"/>
      <c r="C30" s="2"/>
    </row>
    <row r="31" spans="1:19">
      <c r="A31" s="2"/>
      <c r="B31" s="2"/>
      <c r="C31" s="2"/>
    </row>
    <row r="32" spans="1:19">
      <c r="A32" s="2"/>
      <c r="B32" s="2"/>
      <c r="C32" s="2"/>
    </row>
  </sheetData>
  <mergeCells count="12">
    <mergeCell ref="N7:Q7"/>
    <mergeCell ref="J7:M7"/>
    <mergeCell ref="R7:U7"/>
    <mergeCell ref="A22:D22"/>
    <mergeCell ref="A7:A8"/>
    <mergeCell ref="B14:J14"/>
    <mergeCell ref="B15:J15"/>
    <mergeCell ref="B16:J16"/>
    <mergeCell ref="B17:J17"/>
    <mergeCell ref="B18:J18"/>
    <mergeCell ref="B7:E7"/>
    <mergeCell ref="F7:I7"/>
  </mergeCells>
  <phoneticPr fontId="3" type="noConversion"/>
  <conditionalFormatting sqref="B8:C8">
    <cfRule type="expression" dxfId="2223" priority="20" stopIfTrue="1">
      <formula>LEN(TRIM(B8))=0</formula>
    </cfRule>
  </conditionalFormatting>
  <conditionalFormatting sqref="B8:C8">
    <cfRule type="expression" dxfId="2222" priority="19" stopIfTrue="1">
      <formula>LEN(TRIM(B8))=0</formula>
    </cfRule>
  </conditionalFormatting>
  <conditionalFormatting sqref="J8">
    <cfRule type="expression" dxfId="2221" priority="16" stopIfTrue="1">
      <formula>LEN(TRIM(J8))=0</formula>
    </cfRule>
  </conditionalFormatting>
  <conditionalFormatting sqref="J8">
    <cfRule type="expression" dxfId="2220" priority="15" stopIfTrue="1">
      <formula>LEN(TRIM(J8))=0</formula>
    </cfRule>
  </conditionalFormatting>
  <conditionalFormatting sqref="N8">
    <cfRule type="expression" dxfId="2219" priority="14" stopIfTrue="1">
      <formula>LEN(TRIM(N8))=0</formula>
    </cfRule>
  </conditionalFormatting>
  <conditionalFormatting sqref="N8">
    <cfRule type="expression" dxfId="2218" priority="13" stopIfTrue="1">
      <formula>LEN(TRIM(N8))=0</formula>
    </cfRule>
  </conditionalFormatting>
  <conditionalFormatting sqref="R8">
    <cfRule type="expression" dxfId="2217" priority="12" stopIfTrue="1">
      <formula>LEN(TRIM(R8))=0</formula>
    </cfRule>
  </conditionalFormatting>
  <conditionalFormatting sqref="R8">
    <cfRule type="expression" dxfId="2216" priority="11" stopIfTrue="1">
      <formula>LEN(TRIM(R8))=0</formula>
    </cfRule>
  </conditionalFormatting>
  <conditionalFormatting sqref="F8">
    <cfRule type="expression" dxfId="2215" priority="10" stopIfTrue="1">
      <formula>LEN(TRIM(F8))=0</formula>
    </cfRule>
  </conditionalFormatting>
  <conditionalFormatting sqref="F8">
    <cfRule type="expression" dxfId="2214" priority="9" stopIfTrue="1">
      <formula>LEN(TRIM(F8))=0</formula>
    </cfRule>
  </conditionalFormatting>
  <conditionalFormatting sqref="O8">
    <cfRule type="expression" dxfId="2213" priority="8" stopIfTrue="1">
      <formula>LEN(TRIM(O8))=0</formula>
    </cfRule>
  </conditionalFormatting>
  <conditionalFormatting sqref="O8">
    <cfRule type="expression" dxfId="2212" priority="7" stopIfTrue="1">
      <formula>LEN(TRIM(O8))=0</formula>
    </cfRule>
  </conditionalFormatting>
  <conditionalFormatting sqref="S8">
    <cfRule type="expression" dxfId="2211" priority="6" stopIfTrue="1">
      <formula>LEN(TRIM(S8))=0</formula>
    </cfRule>
  </conditionalFormatting>
  <conditionalFormatting sqref="S8">
    <cfRule type="expression" dxfId="2210" priority="5" stopIfTrue="1">
      <formula>LEN(TRIM(S8))=0</formula>
    </cfRule>
  </conditionalFormatting>
  <conditionalFormatting sqref="G8">
    <cfRule type="expression" dxfId="2209" priority="4" stopIfTrue="1">
      <formula>LEN(TRIM(G8))=0</formula>
    </cfRule>
  </conditionalFormatting>
  <conditionalFormatting sqref="G8">
    <cfRule type="expression" dxfId="2208" priority="3" stopIfTrue="1">
      <formula>LEN(TRIM(G8))=0</formula>
    </cfRule>
  </conditionalFormatting>
  <conditionalFormatting sqref="K8">
    <cfRule type="expression" dxfId="2207" priority="2" stopIfTrue="1">
      <formula>LEN(TRIM(K8))=0</formula>
    </cfRule>
  </conditionalFormatting>
  <conditionalFormatting sqref="K8">
    <cfRule type="expression" dxfId="2206" priority="1" stopIfTrue="1">
      <formula>LEN(TRIM(K8))=0</formula>
    </cfRule>
  </conditionalFormatting>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Equation.3" shapeId="4102" r:id="rId4">
          <objectPr defaultSize="0" autoPict="0" r:id="rId5">
            <anchor moveWithCells="1" sizeWithCells="1">
              <from>
                <xdr:col>0</xdr:col>
                <xdr:colOff>180975</xdr:colOff>
                <xdr:row>19</xdr:row>
                <xdr:rowOff>9525</xdr:rowOff>
              </from>
              <to>
                <xdr:col>0</xdr:col>
                <xdr:colOff>1343025</xdr:colOff>
                <xdr:row>21</xdr:row>
                <xdr:rowOff>38100</xdr:rowOff>
              </to>
            </anchor>
          </objectPr>
        </oleObject>
      </mc:Choice>
      <mc:Fallback>
        <oleObject progId="Equation.3" shapeId="4102" r:id="rId4"/>
      </mc:Fallback>
    </mc:AlternateContent>
    <mc:AlternateContent xmlns:mc="http://schemas.openxmlformats.org/markup-compatibility/2006">
      <mc:Choice Requires="x14">
        <oleObject progId="Equation.3" shapeId="4105" r:id="rId6">
          <objectPr defaultSize="0" autoPict="0" r:id="rId7">
            <anchor moveWithCells="1" sizeWithCells="1">
              <from>
                <xdr:col>4</xdr:col>
                <xdr:colOff>323850</xdr:colOff>
                <xdr:row>19</xdr:row>
                <xdr:rowOff>19050</xdr:rowOff>
              </from>
              <to>
                <xdr:col>8</xdr:col>
                <xdr:colOff>9525</xdr:colOff>
                <xdr:row>21</xdr:row>
                <xdr:rowOff>123825</xdr:rowOff>
              </to>
            </anchor>
          </objectPr>
        </oleObject>
      </mc:Choice>
      <mc:Fallback>
        <oleObject progId="Equation.3" shapeId="4105" r:id="rId6"/>
      </mc:Fallback>
    </mc:AlternateContent>
    <mc:AlternateContent xmlns:mc="http://schemas.openxmlformats.org/markup-compatibility/2006">
      <mc:Choice Requires="x14">
        <oleObject progId="Equation.3" shapeId="4106" r:id="rId8">
          <objectPr defaultSize="0" autoPict="0" r:id="rId9">
            <anchor moveWithCells="1" sizeWithCells="1">
              <from>
                <xdr:col>1</xdr:col>
                <xdr:colOff>28575</xdr:colOff>
                <xdr:row>19</xdr:row>
                <xdr:rowOff>0</xdr:rowOff>
              </from>
              <to>
                <xdr:col>3</xdr:col>
                <xdr:colOff>561975</xdr:colOff>
                <xdr:row>21</xdr:row>
                <xdr:rowOff>95250</xdr:rowOff>
              </to>
            </anchor>
          </objectPr>
        </oleObject>
      </mc:Choice>
      <mc:Fallback>
        <oleObject progId="Equation.3" shapeId="4106" r:id="rId8"/>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8"/>
  <sheetViews>
    <sheetView topLeftCell="A52" zoomScale="90" zoomScaleNormal="90" workbookViewId="0">
      <selection activeCell="E72" sqref="E72"/>
    </sheetView>
  </sheetViews>
  <sheetFormatPr defaultColWidth="9" defaultRowHeight="15.75"/>
  <cols>
    <col min="1" max="1" width="43" style="3" customWidth="1"/>
    <col min="2" max="2" width="10.625" style="22" customWidth="1"/>
    <col min="3" max="3" width="10.625" style="3" customWidth="1"/>
    <col min="4" max="4" width="12.125" style="22" customWidth="1"/>
    <col min="5" max="5" width="15.375" style="22" customWidth="1"/>
    <col min="6" max="6" width="11.5" style="22" customWidth="1"/>
    <col min="7" max="7" width="13.125" style="3" customWidth="1"/>
    <col min="8" max="8" width="10.5" style="3" customWidth="1"/>
    <col min="9" max="9" width="9.875" style="3" customWidth="1"/>
    <col min="10" max="10" width="8" style="3" customWidth="1"/>
    <col min="11" max="15" width="8.75" style="3" customWidth="1"/>
    <col min="16" max="19" width="7.375" style="3" customWidth="1"/>
    <col min="20" max="20" width="9.5" style="3" customWidth="1"/>
    <col min="21" max="21" width="7.375" style="3" customWidth="1"/>
    <col min="22" max="23" width="5" style="3" customWidth="1"/>
    <col min="24" max="16384" width="9" style="3"/>
  </cols>
  <sheetData>
    <row r="1" spans="1:23">
      <c r="A1" s="156" t="s">
        <v>187</v>
      </c>
      <c r="B1" s="33"/>
      <c r="C1" s="28"/>
      <c r="D1" s="33"/>
      <c r="E1" s="33"/>
      <c r="F1" s="33"/>
      <c r="G1" s="32"/>
      <c r="H1" s="31"/>
      <c r="I1" s="30"/>
      <c r="J1" s="29"/>
      <c r="K1" s="28"/>
      <c r="L1" s="28"/>
      <c r="M1" s="28"/>
      <c r="N1" s="28"/>
      <c r="O1" s="28"/>
      <c r="P1" s="7"/>
      <c r="Q1" s="7"/>
      <c r="R1" s="7"/>
      <c r="S1" s="7"/>
      <c r="T1" s="7"/>
      <c r="U1" s="7"/>
    </row>
    <row r="2" spans="1:23" ht="16.5" thickBot="1">
      <c r="A2" s="356" t="str">
        <f>CONCATENATE(Summary!$A$2,"-Human Plasma 100%")</f>
        <v>HW356009-P1-Human Plasma 100%</v>
      </c>
      <c r="B2" s="356"/>
      <c r="C2" s="356"/>
      <c r="D2" s="356"/>
      <c r="E2" s="356"/>
      <c r="F2" s="356"/>
      <c r="G2" s="356"/>
      <c r="H2" s="356"/>
      <c r="I2" s="356"/>
      <c r="J2" s="356"/>
      <c r="K2" s="356"/>
      <c r="L2" s="356"/>
      <c r="M2" s="356"/>
      <c r="N2" s="356"/>
      <c r="O2" s="356"/>
      <c r="P2" s="19"/>
      <c r="Q2" s="19"/>
      <c r="R2" s="19"/>
      <c r="S2" s="19"/>
      <c r="T2" s="19"/>
      <c r="U2" s="19"/>
      <c r="V2" s="19"/>
      <c r="W2" s="19"/>
    </row>
    <row r="3" spans="1:23" s="4" customFormat="1" ht="31.5">
      <c r="A3" s="71" t="s">
        <v>76</v>
      </c>
      <c r="B3" s="72" t="s">
        <v>119</v>
      </c>
      <c r="C3" s="71" t="s">
        <v>77</v>
      </c>
      <c r="D3" s="141" t="s">
        <v>78</v>
      </c>
      <c r="E3" s="141" t="s">
        <v>79</v>
      </c>
      <c r="F3" s="141" t="s">
        <v>80</v>
      </c>
      <c r="G3" s="151" t="s">
        <v>130</v>
      </c>
      <c r="H3" s="84" t="s">
        <v>120</v>
      </c>
      <c r="I3" s="74" t="s">
        <v>121</v>
      </c>
      <c r="J3" s="84" t="s">
        <v>120</v>
      </c>
      <c r="K3" s="145" t="s">
        <v>32</v>
      </c>
      <c r="L3" s="84" t="s">
        <v>33</v>
      </c>
      <c r="M3" s="84" t="s">
        <v>83</v>
      </c>
      <c r="N3" s="74" t="s">
        <v>84</v>
      </c>
      <c r="O3" s="84" t="s">
        <v>122</v>
      </c>
      <c r="P3" s="201"/>
      <c r="Q3" s="201"/>
      <c r="R3" s="201"/>
      <c r="S3" s="201"/>
      <c r="T3" s="20"/>
      <c r="U3" s="20"/>
      <c r="V3" s="20"/>
      <c r="W3" s="20"/>
    </row>
    <row r="4" spans="1:23">
      <c r="A4" s="62" t="s">
        <v>263</v>
      </c>
      <c r="B4" s="357">
        <f>'Experimental detail'!$C$6</f>
        <v>1</v>
      </c>
      <c r="C4" s="27">
        <f>VLOOKUP($A4,'Raw data'!$A$1:$T$1052,4,0)</f>
        <v>1.1100000000000001</v>
      </c>
      <c r="D4" s="147">
        <f>VLOOKUP($A4,'Raw data'!$A$1:$T$1052,5,0)</f>
        <v>129000</v>
      </c>
      <c r="E4" s="147">
        <f>VLOOKUP($A4,'Raw data'!$A$1:$T$1052,6,0)</f>
        <v>1270000</v>
      </c>
      <c r="F4" s="304">
        <f>VLOOKUP($A4,'Raw data'!$A$1:$T$1052,7,0)</f>
        <v>0.10199999999999999</v>
      </c>
      <c r="G4" s="304">
        <f>C4*F4</f>
        <v>0.11322</v>
      </c>
      <c r="H4" s="359">
        <f>AVERAGE(G4:G5)</f>
        <v>0.1108335</v>
      </c>
      <c r="I4" s="283">
        <f>G4+G6</f>
        <v>5.1832200000000004</v>
      </c>
      <c r="J4" s="361">
        <f>AVERAGE(I4:I5)</f>
        <v>5.1708335000000005</v>
      </c>
      <c r="K4" s="181">
        <f>G4/G6*100</f>
        <v>2.2331360946745562</v>
      </c>
      <c r="L4" s="236">
        <f>100-K4</f>
        <v>97.766863905325437</v>
      </c>
      <c r="M4" s="363">
        <f>AVERAGE(K4:K5)</f>
        <v>2.190300720604605</v>
      </c>
      <c r="N4" s="5">
        <f>I4/H8*100</f>
        <v>95.455248618784523</v>
      </c>
      <c r="O4" s="365">
        <f>AVERAGE(N4:N5)</f>
        <v>95.227136279926327</v>
      </c>
      <c r="P4" s="14"/>
      <c r="Q4" s="14"/>
      <c r="R4" s="14"/>
      <c r="S4" s="14"/>
      <c r="T4" s="7"/>
      <c r="U4" s="7"/>
      <c r="V4" s="7"/>
      <c r="W4" s="7"/>
    </row>
    <row r="5" spans="1:23">
      <c r="A5" s="64" t="s">
        <v>265</v>
      </c>
      <c r="B5" s="358"/>
      <c r="C5" s="34">
        <f>VLOOKUP($A5,'Raw data'!$A$1:$T$1052,4,0)</f>
        <v>1.1100000000000001</v>
      </c>
      <c r="D5" s="148">
        <f>VLOOKUP($A5,'Raw data'!$A$1:$T$1052,5,0)</f>
        <v>134000</v>
      </c>
      <c r="E5" s="148">
        <f>VLOOKUP($A5,'Raw data'!$A$1:$T$1052,6,0)</f>
        <v>1370000</v>
      </c>
      <c r="F5" s="290">
        <f>VLOOKUP($A5,'Raw data'!$A$1:$T$1052,7,0)</f>
        <v>9.7699999999999995E-2</v>
      </c>
      <c r="G5" s="308">
        <f>C5*F5</f>
        <v>0.108447</v>
      </c>
      <c r="H5" s="360"/>
      <c r="I5" s="303">
        <f>G5+G7</f>
        <v>5.1584469999999998</v>
      </c>
      <c r="J5" s="362"/>
      <c r="K5" s="101">
        <f>G5/G7*100</f>
        <v>2.1474653465346534</v>
      </c>
      <c r="L5" s="237">
        <f>100-K5</f>
        <v>97.852534653465341</v>
      </c>
      <c r="M5" s="364"/>
      <c r="N5" s="94">
        <f>I5/H8*100</f>
        <v>94.999023941068131</v>
      </c>
      <c r="O5" s="362"/>
      <c r="P5" s="14"/>
      <c r="Q5" s="14"/>
      <c r="R5" s="14"/>
      <c r="S5" s="14"/>
      <c r="T5" s="7"/>
      <c r="U5" s="7"/>
      <c r="V5" s="7"/>
      <c r="W5" s="7"/>
    </row>
    <row r="6" spans="1:23">
      <c r="A6" s="62" t="s">
        <v>267</v>
      </c>
      <c r="B6" s="357">
        <f>'Experimental detail'!$C$6</f>
        <v>1</v>
      </c>
      <c r="C6" s="26">
        <f>VLOOKUP($A6,'Raw data'!$A$1:$T$1052,4,0)</f>
        <v>10</v>
      </c>
      <c r="D6" s="147">
        <f>VLOOKUP($A6,'Raw data'!$A$1:$T$1052,5,0)</f>
        <v>671000</v>
      </c>
      <c r="E6" s="147">
        <f>VLOOKUP($A6,'Raw data'!$A$1:$T$1052,6,0)</f>
        <v>1320000</v>
      </c>
      <c r="F6" s="304">
        <f>VLOOKUP($A6,'Raw data'!$A$1:$T$1052,7,0)</f>
        <v>0.50700000000000001</v>
      </c>
      <c r="G6" s="300">
        <f t="shared" ref="G6:G9" si="0">C6*F6</f>
        <v>5.07</v>
      </c>
      <c r="H6" s="366">
        <f>AVERAGE(G6:G7)</f>
        <v>5.0600000000000005</v>
      </c>
      <c r="I6" s="95"/>
      <c r="J6" s="96"/>
      <c r="K6" s="96"/>
      <c r="L6" s="96"/>
      <c r="M6" s="96"/>
      <c r="N6" s="96"/>
      <c r="O6" s="6"/>
      <c r="P6" s="14"/>
      <c r="Q6" s="14"/>
      <c r="R6" s="14"/>
      <c r="S6" s="14"/>
      <c r="T6" s="7"/>
      <c r="U6" s="7"/>
      <c r="V6" s="7"/>
      <c r="W6" s="7"/>
    </row>
    <row r="7" spans="1:23">
      <c r="A7" s="64" t="s">
        <v>269</v>
      </c>
      <c r="B7" s="358"/>
      <c r="C7" s="35">
        <f>VLOOKUP($A7,'Raw data'!$A$1:$T$1052,4,0)</f>
        <v>10</v>
      </c>
      <c r="D7" s="148">
        <f>VLOOKUP($A7,'Raw data'!$A$1:$T$1052,5,0)</f>
        <v>651000</v>
      </c>
      <c r="E7" s="148">
        <f>VLOOKUP($A7,'Raw data'!$A$1:$T$1052,6,0)</f>
        <v>1290000</v>
      </c>
      <c r="F7" s="305">
        <f>VLOOKUP($A7,'Raw data'!$A$1:$T$1052,7,0)</f>
        <v>0.505</v>
      </c>
      <c r="G7" s="306">
        <f t="shared" si="0"/>
        <v>5.05</v>
      </c>
      <c r="H7" s="360"/>
      <c r="I7" s="97"/>
      <c r="J7" s="14"/>
      <c r="K7" s="14"/>
      <c r="L7" s="14"/>
      <c r="M7" s="14"/>
      <c r="N7" s="14"/>
      <c r="O7" s="11"/>
      <c r="P7" s="14"/>
      <c r="Q7" s="14"/>
      <c r="R7" s="14"/>
      <c r="S7" s="14"/>
      <c r="T7" s="7"/>
      <c r="U7" s="7"/>
      <c r="V7" s="7"/>
      <c r="W7" s="7"/>
    </row>
    <row r="8" spans="1:23">
      <c r="A8" s="86" t="s">
        <v>275</v>
      </c>
      <c r="B8" s="357">
        <f>'Experimental detail'!$C$6</f>
        <v>1</v>
      </c>
      <c r="C8" s="47">
        <f>VLOOKUP($A8,'Raw data'!$A$1:$T$1052,4,0)</f>
        <v>10</v>
      </c>
      <c r="D8" s="147">
        <f>VLOOKUP($A8,'Raw data'!$A$1:$T$1052,5,0)</f>
        <v>667000</v>
      </c>
      <c r="E8" s="147">
        <f>VLOOKUP($A8,'Raw data'!$A$1:$T$1052,6,0)</f>
        <v>1250000</v>
      </c>
      <c r="F8" s="304">
        <f>VLOOKUP($A8,'Raw data'!$A$1:$T$1052,7,0)</f>
        <v>0.53200000000000003</v>
      </c>
      <c r="G8" s="300">
        <f t="shared" si="0"/>
        <v>5.32</v>
      </c>
      <c r="H8" s="366">
        <f>AVERAGE(G8:G9)</f>
        <v>5.4300000000000006</v>
      </c>
      <c r="I8" s="97"/>
      <c r="J8" s="14"/>
      <c r="K8" s="14"/>
      <c r="L8" s="14"/>
      <c r="M8" s="14"/>
      <c r="N8" s="14"/>
      <c r="O8" s="14"/>
      <c r="P8" s="14"/>
      <c r="Q8" s="14"/>
      <c r="R8" s="14"/>
      <c r="S8" s="14"/>
      <c r="T8" s="7"/>
      <c r="U8" s="7"/>
      <c r="V8" s="7"/>
      <c r="W8" s="7"/>
    </row>
    <row r="9" spans="1:23" ht="16.5" thickBot="1">
      <c r="A9" s="87" t="s">
        <v>277</v>
      </c>
      <c r="B9" s="367"/>
      <c r="C9" s="58">
        <f>VLOOKUP($A9,'Raw data'!$A$1:$T$1052,4,0)</f>
        <v>10</v>
      </c>
      <c r="D9" s="149">
        <f>VLOOKUP($A9,'Raw data'!$A$1:$T$1052,5,0)</f>
        <v>719000</v>
      </c>
      <c r="E9" s="149">
        <f>VLOOKUP($A9,'Raw data'!$A$1:$T$1052,6,0)</f>
        <v>1300000</v>
      </c>
      <c r="F9" s="307">
        <f>VLOOKUP($A9,'Raw data'!$A$1:$T$1052,7,0)</f>
        <v>0.55400000000000005</v>
      </c>
      <c r="G9" s="301">
        <f t="shared" si="0"/>
        <v>5.5400000000000009</v>
      </c>
      <c r="H9" s="368"/>
      <c r="I9" s="98"/>
      <c r="J9" s="99"/>
      <c r="K9" s="99"/>
      <c r="L9" s="99"/>
      <c r="M9" s="99"/>
      <c r="N9" s="99"/>
      <c r="O9" s="99"/>
      <c r="P9" s="146"/>
      <c r="Q9" s="146"/>
      <c r="R9" s="146"/>
      <c r="S9" s="146"/>
    </row>
    <row r="10" spans="1:23">
      <c r="A10" s="13"/>
      <c r="B10" s="21"/>
      <c r="C10" s="7"/>
      <c r="D10" s="21"/>
      <c r="E10" s="21"/>
      <c r="F10" s="14"/>
      <c r="G10" s="14"/>
      <c r="H10" s="292"/>
      <c r="I10" s="292"/>
      <c r="J10" s="292"/>
      <c r="K10" s="14"/>
      <c r="L10" s="14"/>
      <c r="M10" s="14"/>
      <c r="N10" s="14"/>
      <c r="O10" s="14"/>
      <c r="P10" s="14"/>
      <c r="Q10" s="14"/>
      <c r="R10" s="7"/>
      <c r="S10" s="7"/>
      <c r="T10" s="7"/>
      <c r="U10" s="7"/>
    </row>
    <row r="11" spans="1:23" s="50" customFormat="1" ht="16.5" thickBot="1">
      <c r="A11" s="369" t="str">
        <f>CONCATENATE("Stability of ",Summary!$A$2," in Human Plasma Incubated at 37 °C")</f>
        <v>Stability of HW356009-P1 in Human Plasma Incubated at 37 °C</v>
      </c>
      <c r="B11" s="369"/>
      <c r="C11" s="369"/>
      <c r="D11" s="369"/>
      <c r="E11" s="369"/>
      <c r="F11" s="369"/>
      <c r="G11" s="369"/>
      <c r="H11" s="369"/>
      <c r="I11" s="369"/>
      <c r="J11" s="369"/>
      <c r="K11" s="49"/>
      <c r="L11" s="49"/>
      <c r="M11" s="49"/>
      <c r="T11" s="51"/>
    </row>
    <row r="12" spans="1:23" s="53" customFormat="1" ht="50.25" customHeight="1">
      <c r="A12" s="71" t="s">
        <v>76</v>
      </c>
      <c r="B12" s="72" t="s">
        <v>119</v>
      </c>
      <c r="C12" s="163" t="s">
        <v>129</v>
      </c>
      <c r="D12" s="142" t="s">
        <v>77</v>
      </c>
      <c r="E12" s="141" t="s">
        <v>78</v>
      </c>
      <c r="F12" s="141" t="s">
        <v>79</v>
      </c>
      <c r="G12" s="72" t="s">
        <v>80</v>
      </c>
      <c r="H12" s="151" t="s">
        <v>130</v>
      </c>
      <c r="I12" s="84" t="s">
        <v>123</v>
      </c>
      <c r="J12" s="84" t="s">
        <v>93</v>
      </c>
      <c r="K12" s="180"/>
      <c r="L12" s="180"/>
      <c r="M12" s="180"/>
      <c r="N12" s="207"/>
      <c r="O12" s="293"/>
      <c r="Q12" s="54"/>
    </row>
    <row r="13" spans="1:23" s="55" customFormat="1">
      <c r="A13" s="86" t="s">
        <v>271</v>
      </c>
      <c r="B13" s="350">
        <f>'Experimental detail'!$C$6</f>
        <v>1</v>
      </c>
      <c r="C13" s="352">
        <f>H8</f>
        <v>5.4300000000000006</v>
      </c>
      <c r="D13" s="106">
        <f>VLOOKUP($A13,'Raw data'!$A$1:$T$1052,4,0)</f>
        <v>10</v>
      </c>
      <c r="E13" s="147">
        <f>VLOOKUP($A13,'Raw data'!$A$1:$T$1052,5,0)</f>
        <v>707000</v>
      </c>
      <c r="F13" s="147">
        <f>VLOOKUP($A13,'Raw data'!$A$1:$T$1052,6,0)</f>
        <v>1330000</v>
      </c>
      <c r="G13" s="304">
        <f>VLOOKUP($A13,'Raw data'!$A$1:$T$1052,7,0)</f>
        <v>0.53300000000000003</v>
      </c>
      <c r="H13" s="300">
        <f>D13*G13</f>
        <v>5.33</v>
      </c>
      <c r="I13" s="294">
        <f>H13/C13*100</f>
        <v>98.158379373848987</v>
      </c>
      <c r="J13" s="354">
        <f>AVERAGE(I13:I14)</f>
        <v>102.48618784530387</v>
      </c>
      <c r="K13" s="143"/>
      <c r="L13" s="143"/>
      <c r="M13" s="143"/>
      <c r="N13" s="207"/>
      <c r="O13" s="143"/>
      <c r="Q13" s="56"/>
    </row>
    <row r="14" spans="1:23" s="55" customFormat="1" ht="16.5" thickBot="1">
      <c r="A14" s="87" t="s">
        <v>273</v>
      </c>
      <c r="B14" s="351"/>
      <c r="C14" s="353"/>
      <c r="D14" s="140">
        <f>VLOOKUP($A14,'Raw data'!$A$1:$T$1052,4,0)</f>
        <v>10</v>
      </c>
      <c r="E14" s="149">
        <f>VLOOKUP($A14,'Raw data'!$A$1:$T$1052,5,0)</f>
        <v>706000</v>
      </c>
      <c r="F14" s="149">
        <f>VLOOKUP($A14,'Raw data'!$A$1:$T$1052,6,0)</f>
        <v>1220000</v>
      </c>
      <c r="G14" s="307">
        <f>VLOOKUP($A14,'Raw data'!$A$1:$T$1052,7,0)</f>
        <v>0.57999999999999996</v>
      </c>
      <c r="H14" s="301">
        <f>D14*G14</f>
        <v>5.8</v>
      </c>
      <c r="I14" s="320">
        <f>H14/C13*100</f>
        <v>106.81399631675875</v>
      </c>
      <c r="J14" s="355"/>
      <c r="K14" s="143"/>
      <c r="L14" s="143"/>
      <c r="M14" s="143"/>
      <c r="N14" s="208"/>
      <c r="O14" s="143"/>
      <c r="Q14" s="56"/>
    </row>
    <row r="15" spans="1:23">
      <c r="A15" s="13"/>
      <c r="B15" s="21"/>
      <c r="C15" s="7"/>
      <c r="D15" s="21"/>
      <c r="E15" s="21"/>
      <c r="F15" s="21"/>
      <c r="G15" s="14"/>
      <c r="H15" s="292"/>
      <c r="I15" s="292"/>
      <c r="J15" s="292"/>
      <c r="K15" s="14"/>
      <c r="L15" s="14"/>
      <c r="M15" s="14"/>
      <c r="N15" s="14"/>
      <c r="O15" s="14"/>
      <c r="P15" s="7"/>
      <c r="Q15" s="7"/>
      <c r="R15" s="7"/>
      <c r="S15" s="7"/>
      <c r="T15" s="7"/>
      <c r="U15" s="7"/>
    </row>
    <row r="16" spans="1:23">
      <c r="A16" s="150" t="s">
        <v>124</v>
      </c>
      <c r="B16" s="33"/>
      <c r="C16" s="28"/>
      <c r="D16" s="33"/>
      <c r="E16" s="33"/>
      <c r="F16" s="33"/>
      <c r="G16" s="198"/>
      <c r="H16" s="199"/>
      <c r="I16" s="199"/>
      <c r="J16" s="199"/>
      <c r="K16" s="198"/>
      <c r="L16" s="198"/>
      <c r="M16" s="198"/>
      <c r="N16" s="28"/>
      <c r="O16" s="28"/>
      <c r="P16" s="7"/>
      <c r="Q16" s="7"/>
      <c r="R16" s="7"/>
      <c r="S16" s="7"/>
      <c r="T16" s="7"/>
      <c r="U16" s="7"/>
    </row>
    <row r="17" spans="1:23" ht="16.5" thickBot="1">
      <c r="A17" s="356" t="str">
        <f>CONCATENATE(Summary!$A$2,"-Monkey Plasma 100%")</f>
        <v>HW356009-P1-Monkey Plasma 100%</v>
      </c>
      <c r="B17" s="356"/>
      <c r="C17" s="356"/>
      <c r="D17" s="356"/>
      <c r="E17" s="356"/>
      <c r="F17" s="356"/>
      <c r="G17" s="356"/>
      <c r="H17" s="356"/>
      <c r="I17" s="356"/>
      <c r="J17" s="356"/>
      <c r="K17" s="356"/>
      <c r="L17" s="356"/>
      <c r="M17" s="356"/>
      <c r="N17" s="356"/>
      <c r="O17" s="356"/>
      <c r="P17" s="19"/>
      <c r="Q17" s="19"/>
      <c r="R17" s="19"/>
      <c r="S17" s="19"/>
      <c r="T17" s="19"/>
      <c r="U17" s="19"/>
      <c r="V17" s="19"/>
      <c r="W17" s="19"/>
    </row>
    <row r="18" spans="1:23" s="4" customFormat="1" ht="31.5">
      <c r="A18" s="71" t="s">
        <v>76</v>
      </c>
      <c r="B18" s="72" t="s">
        <v>119</v>
      </c>
      <c r="C18" s="71" t="s">
        <v>77</v>
      </c>
      <c r="D18" s="141" t="s">
        <v>78</v>
      </c>
      <c r="E18" s="141" t="s">
        <v>79</v>
      </c>
      <c r="F18" s="141" t="s">
        <v>80</v>
      </c>
      <c r="G18" s="151" t="s">
        <v>130</v>
      </c>
      <c r="H18" s="84" t="s">
        <v>120</v>
      </c>
      <c r="I18" s="74" t="s">
        <v>121</v>
      </c>
      <c r="J18" s="84" t="s">
        <v>120</v>
      </c>
      <c r="K18" s="145" t="s">
        <v>32</v>
      </c>
      <c r="L18" s="84" t="s">
        <v>33</v>
      </c>
      <c r="M18" s="84" t="s">
        <v>83</v>
      </c>
      <c r="N18" s="74" t="s">
        <v>84</v>
      </c>
      <c r="O18" s="84" t="s">
        <v>85</v>
      </c>
      <c r="P18" s="201"/>
      <c r="Q18" s="201"/>
      <c r="R18" s="201"/>
      <c r="S18" s="201"/>
      <c r="T18" s="20"/>
      <c r="U18" s="20"/>
      <c r="V18" s="20"/>
      <c r="W18" s="20"/>
    </row>
    <row r="19" spans="1:23">
      <c r="A19" s="244" t="s">
        <v>281</v>
      </c>
      <c r="B19" s="357">
        <f>'Experimental detail'!$C$6</f>
        <v>1</v>
      </c>
      <c r="C19" s="27">
        <f>VLOOKUP($A19,'Raw data'!$A$1:$T$1052,4,0)</f>
        <v>1.1100000000000001</v>
      </c>
      <c r="D19" s="147">
        <f>VLOOKUP($A19,'Raw data'!$A$1:$T$1052,5,0)</f>
        <v>145000</v>
      </c>
      <c r="E19" s="147">
        <f>VLOOKUP($A19,'Raw data'!$A$1:$T$1052,6,0)</f>
        <v>1260000</v>
      </c>
      <c r="F19" s="304">
        <f>VLOOKUP($A19,'Raw data'!$A$1:$T$1052,7,0)</f>
        <v>0.115</v>
      </c>
      <c r="G19" s="304">
        <f t="shared" ref="G19:G24" si="1">C19*F19</f>
        <v>0.12765000000000001</v>
      </c>
      <c r="H19" s="359">
        <f>AVERAGE(G19:G20)</f>
        <v>0.12987000000000001</v>
      </c>
      <c r="I19" s="283">
        <f>G19+G21</f>
        <v>5.6876500000000005</v>
      </c>
      <c r="J19" s="361">
        <f>AVERAGE(I19:I20)</f>
        <v>5.8848699999999994</v>
      </c>
      <c r="K19" s="181">
        <f>G19/G21*100</f>
        <v>2.295863309352518</v>
      </c>
      <c r="L19" s="236">
        <f>100-K19</f>
        <v>97.704136690647488</v>
      </c>
      <c r="M19" s="363">
        <f>AVERAGE(K19:K20)</f>
        <v>2.2579316546762591</v>
      </c>
      <c r="N19" s="5">
        <f>I19/H23*100</f>
        <v>97.474721508140561</v>
      </c>
      <c r="O19" s="371">
        <f>AVERAGE(N19:N20)</f>
        <v>100.85467009425881</v>
      </c>
      <c r="P19" s="14"/>
      <c r="Q19" s="14"/>
      <c r="R19" s="14"/>
      <c r="S19" s="14"/>
      <c r="T19" s="7"/>
      <c r="U19" s="7"/>
      <c r="V19" s="7"/>
      <c r="W19" s="7"/>
    </row>
    <row r="20" spans="1:23">
      <c r="A20" s="128" t="s">
        <v>283</v>
      </c>
      <c r="B20" s="358"/>
      <c r="C20" s="34">
        <f>VLOOKUP($A20,'Raw data'!$A$1:$T$1052,4,0)</f>
        <v>1.1100000000000001</v>
      </c>
      <c r="D20" s="148">
        <f>VLOOKUP($A20,'Raw data'!$A$1:$T$1052,5,0)</f>
        <v>154000</v>
      </c>
      <c r="E20" s="148">
        <f>VLOOKUP($A20,'Raw data'!$A$1:$T$1052,6,0)</f>
        <v>1290000</v>
      </c>
      <c r="F20" s="305">
        <f>VLOOKUP($A20,'Raw data'!$A$1:$T$1052,7,0)</f>
        <v>0.11899999999999999</v>
      </c>
      <c r="G20" s="308">
        <f t="shared" si="1"/>
        <v>0.13209000000000001</v>
      </c>
      <c r="H20" s="360"/>
      <c r="I20" s="303">
        <f>G20+G22</f>
        <v>6.0820899999999991</v>
      </c>
      <c r="J20" s="362"/>
      <c r="K20" s="101">
        <f>G20/G22*100</f>
        <v>2.2200000000000006</v>
      </c>
      <c r="L20" s="237">
        <f>100-K20</f>
        <v>97.78</v>
      </c>
      <c r="M20" s="364"/>
      <c r="N20" s="109">
        <f>I20/H23*100</f>
        <v>104.23461868037704</v>
      </c>
      <c r="O20" s="362"/>
      <c r="P20" s="14"/>
      <c r="Q20" s="14"/>
      <c r="R20" s="14"/>
      <c r="S20" s="14"/>
      <c r="T20" s="7"/>
      <c r="U20" s="7"/>
      <c r="V20" s="7"/>
      <c r="W20" s="7"/>
    </row>
    <row r="21" spans="1:23">
      <c r="A21" s="244" t="s">
        <v>285</v>
      </c>
      <c r="B21" s="357">
        <f>'Experimental detail'!$C$6</f>
        <v>1</v>
      </c>
      <c r="C21" s="26">
        <f>VLOOKUP($A21,'Raw data'!$A$1:$T$1052,4,0)</f>
        <v>10</v>
      </c>
      <c r="D21" s="147">
        <f>VLOOKUP($A21,'Raw data'!$A$1:$T$1052,5,0)</f>
        <v>704000</v>
      </c>
      <c r="E21" s="147">
        <f>VLOOKUP($A21,'Raw data'!$A$1:$T$1052,6,0)</f>
        <v>1270000</v>
      </c>
      <c r="F21" s="304">
        <f>VLOOKUP($A21,'Raw data'!$A$1:$T$1052,7,0)</f>
        <v>0.55600000000000005</v>
      </c>
      <c r="G21" s="300">
        <f t="shared" si="1"/>
        <v>5.5600000000000005</v>
      </c>
      <c r="H21" s="366">
        <f>AVERAGE(G21:G22)</f>
        <v>5.7549999999999999</v>
      </c>
      <c r="I21" s="95"/>
      <c r="J21" s="96"/>
      <c r="K21" s="96"/>
      <c r="L21" s="96"/>
      <c r="M21" s="96"/>
      <c r="N21" s="96"/>
      <c r="O21" s="6"/>
      <c r="P21" s="14"/>
      <c r="Q21" s="14"/>
      <c r="R21" s="14"/>
      <c r="S21" s="14"/>
      <c r="T21" s="7"/>
      <c r="U21" s="7"/>
      <c r="V21" s="7"/>
      <c r="W21" s="7"/>
    </row>
    <row r="22" spans="1:23">
      <c r="A22" s="128" t="s">
        <v>287</v>
      </c>
      <c r="B22" s="358"/>
      <c r="C22" s="35">
        <f>VLOOKUP($A22,'Raw data'!$A$1:$T$1052,4,0)</f>
        <v>10</v>
      </c>
      <c r="D22" s="148">
        <f>VLOOKUP($A22,'Raw data'!$A$1:$T$1052,5,0)</f>
        <v>816000</v>
      </c>
      <c r="E22" s="148">
        <f>VLOOKUP($A22,'Raw data'!$A$1:$T$1052,6,0)</f>
        <v>1370000</v>
      </c>
      <c r="F22" s="305">
        <f>VLOOKUP($A22,'Raw data'!$A$1:$T$1052,7,0)</f>
        <v>0.59499999999999997</v>
      </c>
      <c r="G22" s="306">
        <f t="shared" si="1"/>
        <v>5.9499999999999993</v>
      </c>
      <c r="H22" s="360"/>
      <c r="I22" s="97"/>
      <c r="J22" s="14"/>
      <c r="K22" s="14"/>
      <c r="L22" s="14"/>
      <c r="M22" s="14"/>
      <c r="N22" s="14"/>
      <c r="O22" s="11"/>
      <c r="P22" s="14"/>
      <c r="Q22" s="14"/>
      <c r="R22" s="14"/>
      <c r="S22" s="14"/>
      <c r="T22" s="7"/>
      <c r="U22" s="7"/>
      <c r="V22" s="7"/>
      <c r="W22" s="7"/>
    </row>
    <row r="23" spans="1:23">
      <c r="A23" s="244" t="s">
        <v>293</v>
      </c>
      <c r="B23" s="357">
        <f>'Experimental detail'!$C$6</f>
        <v>1</v>
      </c>
      <c r="C23" s="47">
        <f>VLOOKUP($A23,'Raw data'!$A$1:$T$1052,4,0)</f>
        <v>10</v>
      </c>
      <c r="D23" s="147">
        <f>VLOOKUP($A23,'Raw data'!$A$1:$T$1052,5,0)</f>
        <v>755000</v>
      </c>
      <c r="E23" s="147">
        <f>VLOOKUP($A23,'Raw data'!$A$1:$T$1052,6,0)</f>
        <v>1320000</v>
      </c>
      <c r="F23" s="304">
        <f>VLOOKUP($A23,'Raw data'!$A$1:$T$1052,7,0)</f>
        <v>0.57099999999999995</v>
      </c>
      <c r="G23" s="300">
        <f t="shared" si="1"/>
        <v>5.7099999999999991</v>
      </c>
      <c r="H23" s="366">
        <f>AVERAGE(G23:G24)</f>
        <v>5.8349999999999991</v>
      </c>
      <c r="I23" s="97"/>
      <c r="J23" s="14"/>
      <c r="K23" s="14"/>
      <c r="L23" s="14"/>
      <c r="M23" s="14"/>
      <c r="N23" s="14"/>
      <c r="O23" s="14"/>
      <c r="P23" s="14"/>
      <c r="Q23" s="14"/>
      <c r="R23" s="14"/>
      <c r="S23" s="14"/>
      <c r="T23" s="7"/>
      <c r="U23" s="7"/>
      <c r="V23" s="7"/>
      <c r="W23" s="7"/>
    </row>
    <row r="24" spans="1:23" ht="16.5" thickBot="1">
      <c r="A24" s="245" t="s">
        <v>295</v>
      </c>
      <c r="B24" s="367"/>
      <c r="C24" s="58">
        <f>VLOOKUP($A24,'Raw data'!$A$1:$T$1052,4,0)</f>
        <v>10</v>
      </c>
      <c r="D24" s="149">
        <f>VLOOKUP($A24,'Raw data'!$A$1:$T$1052,5,0)</f>
        <v>762000</v>
      </c>
      <c r="E24" s="149">
        <f>VLOOKUP($A24,'Raw data'!$A$1:$T$1052,6,0)</f>
        <v>1280000</v>
      </c>
      <c r="F24" s="307">
        <f>VLOOKUP($A24,'Raw data'!$A$1:$T$1052,7,0)</f>
        <v>0.59599999999999997</v>
      </c>
      <c r="G24" s="301">
        <f t="shared" si="1"/>
        <v>5.96</v>
      </c>
      <c r="H24" s="368"/>
      <c r="I24" s="98"/>
      <c r="J24" s="99"/>
      <c r="K24" s="99"/>
      <c r="L24" s="99"/>
      <c r="M24" s="99"/>
      <c r="N24" s="99"/>
      <c r="O24" s="99"/>
      <c r="P24" s="146"/>
      <c r="Q24" s="146"/>
      <c r="R24" s="146"/>
      <c r="S24" s="146"/>
    </row>
    <row r="25" spans="1:23">
      <c r="A25" s="13"/>
      <c r="B25" s="21"/>
      <c r="C25" s="7"/>
      <c r="D25" s="21"/>
      <c r="E25" s="21"/>
      <c r="F25" s="14"/>
      <c r="G25" s="14"/>
      <c r="H25" s="273"/>
      <c r="I25" s="273"/>
      <c r="J25" s="273"/>
      <c r="K25" s="14"/>
      <c r="L25" s="14"/>
      <c r="M25" s="14"/>
      <c r="N25" s="14"/>
      <c r="O25" s="14"/>
      <c r="P25" s="14"/>
      <c r="Q25" s="14"/>
      <c r="R25" s="14"/>
      <c r="S25" s="14"/>
      <c r="T25" s="7"/>
      <c r="U25" s="7"/>
    </row>
    <row r="26" spans="1:23" s="50" customFormat="1" ht="16.5" thickBot="1">
      <c r="A26" s="369" t="str">
        <f>CONCATENATE("Stability of ",Summary!$A$2," in Monkey Plasma Incubated at 37 °C")</f>
        <v>Stability of HW356009-P1 in Monkey Plasma Incubated at 37 °C</v>
      </c>
      <c r="B26" s="369"/>
      <c r="C26" s="369"/>
      <c r="D26" s="369"/>
      <c r="E26" s="369"/>
      <c r="F26" s="369"/>
      <c r="G26" s="369"/>
      <c r="H26" s="369"/>
      <c r="I26" s="369"/>
      <c r="J26" s="369"/>
      <c r="K26" s="49"/>
      <c r="L26" s="49"/>
      <c r="M26" s="49"/>
      <c r="T26" s="51"/>
    </row>
    <row r="27" spans="1:23" s="53" customFormat="1" ht="50.25" customHeight="1">
      <c r="A27" s="71" t="s">
        <v>76</v>
      </c>
      <c r="B27" s="72" t="s">
        <v>119</v>
      </c>
      <c r="C27" s="163" t="s">
        <v>129</v>
      </c>
      <c r="D27" s="142" t="s">
        <v>77</v>
      </c>
      <c r="E27" s="141" t="s">
        <v>78</v>
      </c>
      <c r="F27" s="141" t="s">
        <v>79</v>
      </c>
      <c r="G27" s="72" t="s">
        <v>80</v>
      </c>
      <c r="H27" s="151" t="s">
        <v>130</v>
      </c>
      <c r="I27" s="84" t="s">
        <v>92</v>
      </c>
      <c r="J27" s="84" t="s">
        <v>93</v>
      </c>
      <c r="K27" s="180"/>
      <c r="L27" s="180"/>
      <c r="M27" s="180"/>
      <c r="N27" s="52"/>
      <c r="Q27" s="54"/>
    </row>
    <row r="28" spans="1:23" s="55" customFormat="1">
      <c r="A28" s="62" t="s">
        <v>289</v>
      </c>
      <c r="B28" s="350">
        <f>'Experimental detail'!$C$6</f>
        <v>1</v>
      </c>
      <c r="C28" s="370">
        <f>H23</f>
        <v>5.8349999999999991</v>
      </c>
      <c r="D28" s="139">
        <f>VLOOKUP($A28,'Raw data'!$A$1:$T$1052,4,0)</f>
        <v>10</v>
      </c>
      <c r="E28" s="147">
        <f>VLOOKUP($A28,'Raw data'!$A$1:$T$1052,5,0)</f>
        <v>791000</v>
      </c>
      <c r="F28" s="147">
        <f>VLOOKUP($A28,'Raw data'!$A$1:$T$1052,6,0)</f>
        <v>1300000</v>
      </c>
      <c r="G28" s="304">
        <f>VLOOKUP($A28,'Raw data'!$A$1:$T$1052,7,0)</f>
        <v>0.60799999999999998</v>
      </c>
      <c r="H28" s="300">
        <f>D28*G28</f>
        <v>6.08</v>
      </c>
      <c r="I28" s="319">
        <f>H28/C28*100</f>
        <v>104.19880034275923</v>
      </c>
      <c r="J28" s="354">
        <f>AVERAGE(I28:I29)</f>
        <v>104.71293916023996</v>
      </c>
      <c r="K28" s="143"/>
      <c r="L28" s="143"/>
      <c r="M28" s="143"/>
      <c r="N28" s="52"/>
      <c r="Q28" s="56"/>
    </row>
    <row r="29" spans="1:23" s="55" customFormat="1" ht="16.5" thickBot="1">
      <c r="A29" s="63" t="s">
        <v>291</v>
      </c>
      <c r="B29" s="351"/>
      <c r="C29" s="355"/>
      <c r="D29" s="140">
        <f>VLOOKUP($A29,'Raw data'!$A$1:$T$1052,4,0)</f>
        <v>10</v>
      </c>
      <c r="E29" s="149">
        <f>VLOOKUP($A29,'Raw data'!$A$1:$T$1052,5,0)</f>
        <v>770000</v>
      </c>
      <c r="F29" s="149">
        <f>VLOOKUP($A29,'Raw data'!$A$1:$T$1052,6,0)</f>
        <v>1250000</v>
      </c>
      <c r="G29" s="307">
        <f>VLOOKUP($A29,'Raw data'!$A$1:$T$1052,7,0)</f>
        <v>0.61399999999999999</v>
      </c>
      <c r="H29" s="301">
        <f>D29*G29</f>
        <v>6.14</v>
      </c>
      <c r="I29" s="320">
        <f>H29/C28*100</f>
        <v>105.22707797772067</v>
      </c>
      <c r="J29" s="355"/>
      <c r="K29" s="143"/>
      <c r="L29" s="143"/>
      <c r="M29" s="143"/>
      <c r="N29" s="57"/>
      <c r="Q29" s="56"/>
    </row>
    <row r="30" spans="1:23">
      <c r="A30" s="13"/>
      <c r="B30" s="21"/>
      <c r="C30" s="7"/>
      <c r="D30" s="21"/>
      <c r="E30" s="21"/>
      <c r="F30" s="21"/>
      <c r="G30" s="14"/>
      <c r="H30" s="287"/>
      <c r="I30" s="287"/>
      <c r="J30" s="287"/>
      <c r="K30" s="14"/>
      <c r="L30" s="14"/>
      <c r="M30" s="14"/>
      <c r="N30" s="7"/>
      <c r="O30" s="7"/>
      <c r="P30" s="7"/>
      <c r="Q30" s="7"/>
      <c r="R30" s="7"/>
      <c r="S30" s="7"/>
      <c r="T30" s="7"/>
      <c r="U30" s="7"/>
    </row>
    <row r="31" spans="1:23">
      <c r="A31" s="156" t="s">
        <v>235</v>
      </c>
      <c r="B31" s="33"/>
      <c r="C31" s="28"/>
      <c r="D31" s="33"/>
      <c r="E31" s="33"/>
      <c r="F31" s="33"/>
      <c r="G31" s="198"/>
      <c r="H31" s="199"/>
      <c r="I31" s="199"/>
      <c r="J31" s="199"/>
      <c r="K31" s="198"/>
      <c r="L31" s="198"/>
      <c r="M31" s="198"/>
      <c r="N31" s="28"/>
      <c r="O31" s="28"/>
      <c r="P31" s="7"/>
      <c r="Q31" s="7"/>
      <c r="R31" s="7"/>
      <c r="S31" s="7"/>
      <c r="T31" s="7"/>
      <c r="U31" s="7"/>
    </row>
    <row r="32" spans="1:23" ht="16.5" thickBot="1">
      <c r="A32" s="356" t="str">
        <f>CONCATENATE(Summary!$A$2,"-Dog Plasma 100%")</f>
        <v>HW356009-P1-Dog Plasma 100%</v>
      </c>
      <c r="B32" s="356"/>
      <c r="C32" s="356"/>
      <c r="D32" s="356"/>
      <c r="E32" s="356"/>
      <c r="F32" s="356"/>
      <c r="G32" s="356"/>
      <c r="H32" s="356"/>
      <c r="I32" s="356"/>
      <c r="J32" s="356"/>
      <c r="K32" s="356"/>
      <c r="L32" s="356"/>
      <c r="M32" s="356"/>
      <c r="N32" s="356"/>
      <c r="O32" s="356"/>
      <c r="P32" s="19"/>
      <c r="Q32" s="19"/>
      <c r="R32" s="19"/>
      <c r="S32" s="19"/>
      <c r="T32" s="19"/>
      <c r="U32" s="19"/>
      <c r="V32" s="19"/>
      <c r="W32" s="19"/>
    </row>
    <row r="33" spans="1:23" s="4" customFormat="1" ht="31.5">
      <c r="A33" s="71" t="s">
        <v>76</v>
      </c>
      <c r="B33" s="72" t="s">
        <v>119</v>
      </c>
      <c r="C33" s="71" t="s">
        <v>77</v>
      </c>
      <c r="D33" s="141" t="s">
        <v>78</v>
      </c>
      <c r="E33" s="141" t="s">
        <v>79</v>
      </c>
      <c r="F33" s="141" t="s">
        <v>80</v>
      </c>
      <c r="G33" s="151" t="s">
        <v>130</v>
      </c>
      <c r="H33" s="84" t="s">
        <v>120</v>
      </c>
      <c r="I33" s="74" t="s">
        <v>121</v>
      </c>
      <c r="J33" s="84" t="s">
        <v>120</v>
      </c>
      <c r="K33" s="145" t="s">
        <v>32</v>
      </c>
      <c r="L33" s="84" t="s">
        <v>33</v>
      </c>
      <c r="M33" s="84" t="s">
        <v>83</v>
      </c>
      <c r="N33" s="74" t="s">
        <v>84</v>
      </c>
      <c r="O33" s="84" t="s">
        <v>85</v>
      </c>
      <c r="P33" s="201"/>
      <c r="Q33" s="201"/>
      <c r="R33" s="201"/>
      <c r="S33" s="20"/>
      <c r="T33" s="20"/>
      <c r="U33" s="20"/>
      <c r="V33" s="20"/>
      <c r="W33" s="20"/>
    </row>
    <row r="34" spans="1:23">
      <c r="A34" s="62" t="s">
        <v>299</v>
      </c>
      <c r="B34" s="357">
        <f>'Experimental detail'!$C$6</f>
        <v>1</v>
      </c>
      <c r="C34" s="27">
        <f>VLOOKUP($A34,'Raw data'!$A$1:$T$1052,4,0)</f>
        <v>1.1100000000000001</v>
      </c>
      <c r="D34" s="147">
        <f>VLOOKUP($A34,'Raw data'!$A$1:$T$1052,5,0)</f>
        <v>144000</v>
      </c>
      <c r="E34" s="147">
        <f>VLOOKUP($A34,'Raw data'!$A$1:$T$1052,6,0)</f>
        <v>1280000</v>
      </c>
      <c r="F34" s="304">
        <f>VLOOKUP($A34,'Raw data'!$A$1:$T$1052,7,0)</f>
        <v>0.112</v>
      </c>
      <c r="G34" s="304">
        <f t="shared" ref="G34:G39" si="2">C34*F34</f>
        <v>0.12432000000000001</v>
      </c>
      <c r="H34" s="359">
        <f>AVERAGE(G34:G35)</f>
        <v>0.12709500000000001</v>
      </c>
      <c r="I34" s="283">
        <f>G34+G36</f>
        <v>5.6843200000000005</v>
      </c>
      <c r="J34" s="361">
        <f>AVERAGE(I34:I35)</f>
        <v>5.7570949999999996</v>
      </c>
      <c r="K34" s="181">
        <f>G34/G36*100</f>
        <v>2.2359712230215831</v>
      </c>
      <c r="L34" s="236">
        <f>100-K34</f>
        <v>97.764028776978421</v>
      </c>
      <c r="M34" s="363">
        <f>AVERAGE(K34:K35)</f>
        <v>2.2571961378265817</v>
      </c>
      <c r="N34" s="5">
        <f>I34/H38*100</f>
        <v>97.668728522336792</v>
      </c>
      <c r="O34" s="365">
        <f>AVERAGE(N34:N35)</f>
        <v>98.919158075601388</v>
      </c>
      <c r="P34" s="14"/>
      <c r="Q34" s="14"/>
      <c r="R34" s="14"/>
      <c r="S34" s="7"/>
      <c r="T34" s="7"/>
      <c r="U34" s="7"/>
      <c r="V34" s="7"/>
      <c r="W34" s="7"/>
    </row>
    <row r="35" spans="1:23">
      <c r="A35" s="64" t="s">
        <v>301</v>
      </c>
      <c r="B35" s="358"/>
      <c r="C35" s="34">
        <f>VLOOKUP($A35,'Raw data'!$A$1:$T$1052,4,0)</f>
        <v>1.1100000000000001</v>
      </c>
      <c r="D35" s="148">
        <f>VLOOKUP($A35,'Raw data'!$A$1:$T$1052,5,0)</f>
        <v>158000</v>
      </c>
      <c r="E35" s="148">
        <f>VLOOKUP($A35,'Raw data'!$A$1:$T$1052,6,0)</f>
        <v>1340000</v>
      </c>
      <c r="F35" s="305">
        <f>VLOOKUP($A35,'Raw data'!$A$1:$T$1052,7,0)</f>
        <v>0.11700000000000001</v>
      </c>
      <c r="G35" s="308">
        <f t="shared" si="2"/>
        <v>0.12987000000000001</v>
      </c>
      <c r="H35" s="360"/>
      <c r="I35" s="303">
        <f>G35+G37</f>
        <v>5.8298699999999997</v>
      </c>
      <c r="J35" s="362"/>
      <c r="K35" s="101">
        <f>G35/G37*100</f>
        <v>2.2784210526315798</v>
      </c>
      <c r="L35" s="237">
        <f>100-K35</f>
        <v>97.721578947368414</v>
      </c>
      <c r="M35" s="364"/>
      <c r="N35" s="109">
        <f>I35/H38*100</f>
        <v>100.16958762886598</v>
      </c>
      <c r="O35" s="362"/>
      <c r="P35" s="14"/>
      <c r="Q35" s="14"/>
      <c r="R35" s="14"/>
      <c r="S35" s="7"/>
      <c r="T35" s="7"/>
      <c r="U35" s="7"/>
      <c r="V35" s="7"/>
      <c r="W35" s="7"/>
    </row>
    <row r="36" spans="1:23">
      <c r="A36" s="62" t="s">
        <v>303</v>
      </c>
      <c r="B36" s="357">
        <f>'Experimental detail'!$C$6</f>
        <v>1</v>
      </c>
      <c r="C36" s="26">
        <f>VLOOKUP($A36,'Raw data'!$A$1:$T$1052,4,0)</f>
        <v>10</v>
      </c>
      <c r="D36" s="147">
        <f>VLOOKUP($A36,'Raw data'!$A$1:$T$1052,5,0)</f>
        <v>754000</v>
      </c>
      <c r="E36" s="147">
        <f>VLOOKUP($A36,'Raw data'!$A$1:$T$1052,6,0)</f>
        <v>1360000</v>
      </c>
      <c r="F36" s="304">
        <f>VLOOKUP($A36,'Raw data'!$A$1:$T$1052,7,0)</f>
        <v>0.55600000000000005</v>
      </c>
      <c r="G36" s="300">
        <f t="shared" si="2"/>
        <v>5.5600000000000005</v>
      </c>
      <c r="H36" s="366">
        <f>AVERAGE(G36:G37)</f>
        <v>5.63</v>
      </c>
      <c r="I36" s="95"/>
      <c r="J36" s="96"/>
      <c r="K36" s="96"/>
      <c r="L36" s="96"/>
      <c r="M36" s="96"/>
      <c r="N36" s="96"/>
      <c r="O36" s="6"/>
      <c r="P36" s="14"/>
      <c r="Q36" s="14"/>
      <c r="R36" s="14"/>
      <c r="S36" s="7"/>
      <c r="T36" s="7"/>
      <c r="U36" s="7"/>
      <c r="V36" s="7"/>
      <c r="W36" s="7"/>
    </row>
    <row r="37" spans="1:23">
      <c r="A37" s="64" t="s">
        <v>305</v>
      </c>
      <c r="B37" s="358"/>
      <c r="C37" s="35">
        <f>VLOOKUP($A37,'Raw data'!$A$1:$T$1052,4,0)</f>
        <v>10</v>
      </c>
      <c r="D37" s="148">
        <f>VLOOKUP($A37,'Raw data'!$A$1:$T$1052,5,0)</f>
        <v>779000</v>
      </c>
      <c r="E37" s="148">
        <f>VLOOKUP($A37,'Raw data'!$A$1:$T$1052,6,0)</f>
        <v>1370000</v>
      </c>
      <c r="F37" s="305">
        <f>VLOOKUP($A37,'Raw data'!$A$1:$T$1052,7,0)</f>
        <v>0.56999999999999995</v>
      </c>
      <c r="G37" s="306">
        <f t="shared" si="2"/>
        <v>5.6999999999999993</v>
      </c>
      <c r="H37" s="360"/>
      <c r="I37" s="97"/>
      <c r="J37" s="14"/>
      <c r="K37" s="14"/>
      <c r="L37" s="14"/>
      <c r="M37" s="14"/>
      <c r="N37" s="14"/>
      <c r="O37" s="11"/>
      <c r="P37" s="14"/>
      <c r="Q37" s="14"/>
      <c r="R37" s="14"/>
      <c r="S37" s="7"/>
      <c r="T37" s="7"/>
      <c r="U37" s="7"/>
      <c r="V37" s="7"/>
      <c r="W37" s="7"/>
    </row>
    <row r="38" spans="1:23">
      <c r="A38" s="86" t="s">
        <v>311</v>
      </c>
      <c r="B38" s="357">
        <f>'Experimental detail'!$C$6</f>
        <v>1</v>
      </c>
      <c r="C38" s="26">
        <f>VLOOKUP($A38,'Raw data'!$A$1:$T$1052,4,0)</f>
        <v>10</v>
      </c>
      <c r="D38" s="147">
        <f>VLOOKUP($A38,'Raw data'!$A$1:$T$1052,5,0)</f>
        <v>777000</v>
      </c>
      <c r="E38" s="147">
        <f>VLOOKUP($A38,'Raw data'!$A$1:$T$1052,6,0)</f>
        <v>1320000</v>
      </c>
      <c r="F38" s="304">
        <f>VLOOKUP($A38,'Raw data'!$A$1:$T$1052,7,0)</f>
        <v>0.58699999999999997</v>
      </c>
      <c r="G38" s="300">
        <f t="shared" si="2"/>
        <v>5.8699999999999992</v>
      </c>
      <c r="H38" s="366">
        <f>AVERAGE(G38:G39)</f>
        <v>5.8199999999999994</v>
      </c>
      <c r="I38" s="97"/>
      <c r="J38" s="14"/>
      <c r="K38" s="14"/>
      <c r="L38" s="14"/>
      <c r="M38" s="14"/>
      <c r="N38" s="14"/>
      <c r="O38" s="14"/>
      <c r="P38" s="14"/>
      <c r="Q38" s="14"/>
      <c r="R38" s="14"/>
      <c r="S38" s="7"/>
      <c r="T38" s="7"/>
      <c r="U38" s="7"/>
      <c r="V38" s="7"/>
      <c r="W38" s="7"/>
    </row>
    <row r="39" spans="1:23" ht="16.5" thickBot="1">
      <c r="A39" s="87" t="s">
        <v>313</v>
      </c>
      <c r="B39" s="367"/>
      <c r="C39" s="58">
        <f>VLOOKUP($A39,'Raw data'!$A$1:$T$1052,4,0)</f>
        <v>10</v>
      </c>
      <c r="D39" s="149">
        <f>VLOOKUP($A39,'Raw data'!$A$1:$T$1052,5,0)</f>
        <v>765000</v>
      </c>
      <c r="E39" s="149">
        <f>VLOOKUP($A39,'Raw data'!$A$1:$T$1052,6,0)</f>
        <v>1320000</v>
      </c>
      <c r="F39" s="307">
        <f>VLOOKUP($A39,'Raw data'!$A$1:$T$1052,7,0)</f>
        <v>0.57699999999999996</v>
      </c>
      <c r="G39" s="301">
        <f t="shared" si="2"/>
        <v>5.77</v>
      </c>
      <c r="H39" s="368"/>
      <c r="I39" s="98"/>
      <c r="J39" s="99"/>
      <c r="K39" s="99"/>
      <c r="L39" s="99"/>
      <c r="M39" s="99"/>
      <c r="N39" s="99"/>
      <c r="O39" s="99"/>
      <c r="P39" s="146"/>
      <c r="Q39" s="146"/>
      <c r="R39" s="146"/>
    </row>
    <row r="40" spans="1:23">
      <c r="A40" s="13"/>
      <c r="B40" s="21"/>
      <c r="C40" s="7"/>
      <c r="D40" s="21"/>
      <c r="E40" s="21"/>
      <c r="F40" s="14"/>
      <c r="G40" s="14"/>
      <c r="H40" s="268"/>
      <c r="I40" s="268"/>
      <c r="J40" s="268"/>
      <c r="K40" s="14"/>
      <c r="L40" s="14"/>
      <c r="M40" s="14"/>
      <c r="N40" s="14"/>
      <c r="O40" s="14"/>
      <c r="P40" s="14"/>
      <c r="Q40" s="14"/>
      <c r="R40" s="7"/>
      <c r="S40" s="7"/>
      <c r="T40" s="7"/>
      <c r="U40" s="7"/>
    </row>
    <row r="41" spans="1:23" s="50" customFormat="1" ht="16.5" thickBot="1">
      <c r="A41" s="369" t="str">
        <f>CONCATENATE("Stability of ",Summary!$A$2," in Dog Plasma Incubated at 37 °C")</f>
        <v>Stability of HW356009-P1 in Dog Plasma Incubated at 37 °C</v>
      </c>
      <c r="B41" s="369"/>
      <c r="C41" s="369"/>
      <c r="D41" s="369"/>
      <c r="E41" s="369"/>
      <c r="F41" s="369"/>
      <c r="G41" s="369"/>
      <c r="H41" s="369"/>
      <c r="I41" s="369"/>
      <c r="J41" s="369"/>
      <c r="K41" s="49"/>
      <c r="L41" s="49"/>
      <c r="M41" s="49"/>
      <c r="T41" s="51"/>
    </row>
    <row r="42" spans="1:23" s="53" customFormat="1" ht="50.25" customHeight="1">
      <c r="A42" s="71" t="s">
        <v>76</v>
      </c>
      <c r="B42" s="72" t="s">
        <v>119</v>
      </c>
      <c r="C42" s="163" t="s">
        <v>129</v>
      </c>
      <c r="D42" s="142" t="s">
        <v>77</v>
      </c>
      <c r="E42" s="141" t="s">
        <v>78</v>
      </c>
      <c r="F42" s="141" t="s">
        <v>79</v>
      </c>
      <c r="G42" s="72" t="s">
        <v>80</v>
      </c>
      <c r="H42" s="151" t="s">
        <v>130</v>
      </c>
      <c r="I42" s="84" t="s">
        <v>92</v>
      </c>
      <c r="J42" s="84" t="s">
        <v>93</v>
      </c>
      <c r="K42" s="180"/>
      <c r="L42" s="180"/>
      <c r="M42" s="180"/>
      <c r="N42" s="207"/>
      <c r="Q42" s="54"/>
    </row>
    <row r="43" spans="1:23" s="55" customFormat="1">
      <c r="A43" s="86" t="s">
        <v>307</v>
      </c>
      <c r="B43" s="350">
        <f>'Experimental detail'!$C$6</f>
        <v>1</v>
      </c>
      <c r="C43" s="370">
        <f>H38</f>
        <v>5.8199999999999994</v>
      </c>
      <c r="D43" s="139">
        <f>VLOOKUP($A43,'Raw data'!$A$1:$T$1052,4,0)</f>
        <v>10</v>
      </c>
      <c r="E43" s="147">
        <f>VLOOKUP($A43,'Raw data'!$A$1:$T$1052,5,0)</f>
        <v>797000</v>
      </c>
      <c r="F43" s="147">
        <f>VLOOKUP($A43,'Raw data'!$A$1:$T$1052,6,0)</f>
        <v>1370000</v>
      </c>
      <c r="G43" s="304">
        <f>VLOOKUP($A43,'Raw data'!$A$1:$T$1052,7,0)</f>
        <v>0.57999999999999996</v>
      </c>
      <c r="H43" s="300">
        <f>D43*G43</f>
        <v>5.8</v>
      </c>
      <c r="I43" s="294">
        <f>H43/C43*100</f>
        <v>99.656357388316167</v>
      </c>
      <c r="J43" s="372">
        <f>AVERAGE(I43:I44)</f>
        <v>99.398625429553277</v>
      </c>
      <c r="K43" s="143"/>
      <c r="L43" s="143"/>
      <c r="M43" s="143"/>
      <c r="N43" s="207"/>
      <c r="Q43" s="56"/>
    </row>
    <row r="44" spans="1:23" s="55" customFormat="1" ht="16.5" thickBot="1">
      <c r="A44" s="87" t="s">
        <v>309</v>
      </c>
      <c r="B44" s="351"/>
      <c r="C44" s="355"/>
      <c r="D44" s="140">
        <f>VLOOKUP($A44,'Raw data'!$A$1:$T$1052,4,0)</f>
        <v>10</v>
      </c>
      <c r="E44" s="149">
        <f>VLOOKUP($A44,'Raw data'!$A$1:$T$1052,5,0)</f>
        <v>779000</v>
      </c>
      <c r="F44" s="149">
        <f>VLOOKUP($A44,'Raw data'!$A$1:$T$1052,6,0)</f>
        <v>1350000</v>
      </c>
      <c r="G44" s="307">
        <f>VLOOKUP($A44,'Raw data'!$A$1:$T$1052,7,0)</f>
        <v>0.57699999999999996</v>
      </c>
      <c r="H44" s="301">
        <f>D44*G44</f>
        <v>5.77</v>
      </c>
      <c r="I44" s="302">
        <f>H44/C43*100</f>
        <v>99.140893470790388</v>
      </c>
      <c r="J44" s="355"/>
      <c r="K44" s="143"/>
      <c r="L44" s="143"/>
      <c r="M44" s="143"/>
      <c r="N44" s="208"/>
      <c r="Q44" s="56"/>
    </row>
    <row r="45" spans="1:23">
      <c r="A45" s="13"/>
      <c r="B45" s="21"/>
      <c r="C45" s="7"/>
      <c r="D45" s="21"/>
      <c r="E45" s="21"/>
      <c r="F45" s="21"/>
      <c r="G45" s="14"/>
      <c r="H45" s="296"/>
      <c r="I45" s="296"/>
      <c r="J45" s="296"/>
      <c r="K45" s="14"/>
      <c r="L45" s="14"/>
      <c r="M45" s="14"/>
      <c r="N45" s="14"/>
      <c r="O45" s="7"/>
      <c r="P45" s="7"/>
      <c r="Q45" s="7"/>
      <c r="R45" s="7"/>
      <c r="S45" s="7"/>
      <c r="T45" s="7"/>
      <c r="U45" s="7"/>
    </row>
    <row r="46" spans="1:23">
      <c r="A46" s="156" t="s">
        <v>126</v>
      </c>
      <c r="B46" s="33"/>
      <c r="C46" s="28"/>
      <c r="D46" s="33"/>
      <c r="E46" s="33"/>
      <c r="F46" s="33"/>
      <c r="G46" s="198"/>
      <c r="H46" s="199"/>
      <c r="I46" s="199"/>
      <c r="J46" s="199"/>
      <c r="K46" s="198"/>
      <c r="L46" s="198"/>
      <c r="M46" s="198"/>
      <c r="N46" s="28"/>
      <c r="O46" s="28"/>
      <c r="P46" s="7"/>
      <c r="Q46" s="7"/>
      <c r="R46" s="7"/>
      <c r="S46" s="7"/>
      <c r="T46" s="7"/>
      <c r="U46" s="7"/>
    </row>
    <row r="47" spans="1:23" ht="16.5" thickBot="1">
      <c r="A47" s="356" t="str">
        <f>CONCATENATE(Summary!$A$2,"-Rat Plasma 100%")</f>
        <v>HW356009-P1-Rat Plasma 100%</v>
      </c>
      <c r="B47" s="356"/>
      <c r="C47" s="356"/>
      <c r="D47" s="356"/>
      <c r="E47" s="356"/>
      <c r="F47" s="356"/>
      <c r="G47" s="356"/>
      <c r="H47" s="356"/>
      <c r="I47" s="356"/>
      <c r="J47" s="356"/>
      <c r="K47" s="356"/>
      <c r="L47" s="356"/>
      <c r="M47" s="356"/>
      <c r="N47" s="356"/>
      <c r="O47" s="356"/>
      <c r="P47" s="19"/>
      <c r="Q47" s="19"/>
      <c r="R47" s="19"/>
      <c r="S47" s="19"/>
      <c r="T47" s="19"/>
      <c r="U47" s="19"/>
      <c r="V47" s="19"/>
      <c r="W47" s="19"/>
    </row>
    <row r="48" spans="1:23" s="4" customFormat="1" ht="31.5">
      <c r="A48" s="71" t="s">
        <v>76</v>
      </c>
      <c r="B48" s="72" t="s">
        <v>119</v>
      </c>
      <c r="C48" s="71" t="s">
        <v>77</v>
      </c>
      <c r="D48" s="141" t="s">
        <v>78</v>
      </c>
      <c r="E48" s="141" t="s">
        <v>79</v>
      </c>
      <c r="F48" s="141" t="s">
        <v>80</v>
      </c>
      <c r="G48" s="151" t="s">
        <v>130</v>
      </c>
      <c r="H48" s="84" t="s">
        <v>120</v>
      </c>
      <c r="I48" s="74" t="s">
        <v>121</v>
      </c>
      <c r="J48" s="84" t="s">
        <v>120</v>
      </c>
      <c r="K48" s="145" t="s">
        <v>32</v>
      </c>
      <c r="L48" s="84" t="s">
        <v>33</v>
      </c>
      <c r="M48" s="84" t="s">
        <v>83</v>
      </c>
      <c r="N48" s="74" t="s">
        <v>84</v>
      </c>
      <c r="O48" s="84" t="s">
        <v>85</v>
      </c>
      <c r="P48" s="201"/>
      <c r="Q48" s="201"/>
      <c r="R48" s="201"/>
      <c r="S48" s="201"/>
      <c r="T48" s="20"/>
      <c r="U48" s="20"/>
      <c r="V48" s="20"/>
      <c r="W48" s="20"/>
    </row>
    <row r="49" spans="1:23">
      <c r="A49" s="62" t="s">
        <v>317</v>
      </c>
      <c r="B49" s="357">
        <f>'Experimental detail'!$C$6</f>
        <v>1</v>
      </c>
      <c r="C49" s="27">
        <f>VLOOKUP($A49,'Raw data'!$A$1:$T$1052,4,0)</f>
        <v>1.1100000000000001</v>
      </c>
      <c r="D49" s="147">
        <f>VLOOKUP($A49,'Raw data'!$A$1:$T$1052,5,0)</f>
        <v>216000</v>
      </c>
      <c r="E49" s="147">
        <f>VLOOKUP($A49,'Raw data'!$A$1:$T$1052,6,0)</f>
        <v>1330000</v>
      </c>
      <c r="F49" s="304">
        <f>VLOOKUP($A49,'Raw data'!$A$1:$T$1052,7,0)</f>
        <v>0.16200000000000001</v>
      </c>
      <c r="G49" s="304">
        <f t="shared" ref="G49:G54" si="3">C49*F49</f>
        <v>0.17982000000000004</v>
      </c>
      <c r="H49" s="359">
        <f>AVERAGE(G49:G50)</f>
        <v>0.17982000000000004</v>
      </c>
      <c r="I49" s="283">
        <f>G49+G51</f>
        <v>5.3298200000000007</v>
      </c>
      <c r="J49" s="361">
        <f>AVERAGE(I49:I50)</f>
        <v>5.5948200000000003</v>
      </c>
      <c r="K49" s="181">
        <f>G49/G51*100</f>
        <v>3.4916504854368937</v>
      </c>
      <c r="L49" s="236">
        <f>100-K49</f>
        <v>96.508349514563108</v>
      </c>
      <c r="M49" s="363">
        <f>AVERAGE(K49:K50)</f>
        <v>3.3287477779297152</v>
      </c>
      <c r="N49" s="5">
        <f>I49/H53*100</f>
        <v>92.611989574283257</v>
      </c>
      <c r="O49" s="365">
        <f>AVERAGE(N49:N50)</f>
        <v>97.216681146828876</v>
      </c>
      <c r="P49" s="14"/>
      <c r="Q49" s="14"/>
      <c r="R49" s="14"/>
      <c r="S49" s="14"/>
      <c r="T49" s="7"/>
      <c r="U49" s="7"/>
      <c r="V49" s="7"/>
      <c r="W49" s="7"/>
    </row>
    <row r="50" spans="1:23">
      <c r="A50" s="64" t="s">
        <v>319</v>
      </c>
      <c r="B50" s="358"/>
      <c r="C50" s="34">
        <f>VLOOKUP($A50,'Raw data'!$A$1:$T$1052,4,0)</f>
        <v>1.1100000000000001</v>
      </c>
      <c r="D50" s="148">
        <f>VLOOKUP($A50,'Raw data'!$A$1:$T$1052,5,0)</f>
        <v>213000</v>
      </c>
      <c r="E50" s="148">
        <f>VLOOKUP($A50,'Raw data'!$A$1:$T$1052,6,0)</f>
        <v>1320000</v>
      </c>
      <c r="F50" s="305">
        <f>VLOOKUP($A50,'Raw data'!$A$1:$T$1052,7,0)</f>
        <v>0.16200000000000001</v>
      </c>
      <c r="G50" s="308">
        <f t="shared" si="3"/>
        <v>0.17982000000000004</v>
      </c>
      <c r="H50" s="360"/>
      <c r="I50" s="303">
        <f>G50+G52</f>
        <v>5.85982</v>
      </c>
      <c r="J50" s="362"/>
      <c r="K50" s="101">
        <f>G50/G52*100</f>
        <v>3.1658450704225363</v>
      </c>
      <c r="L50" s="237">
        <f>100-K50</f>
        <v>96.834154929577466</v>
      </c>
      <c r="M50" s="364"/>
      <c r="N50" s="109">
        <f>I50/H53*100</f>
        <v>101.82137271937448</v>
      </c>
      <c r="O50" s="362"/>
      <c r="P50" s="14"/>
      <c r="Q50" s="14"/>
      <c r="R50" s="14"/>
      <c r="S50" s="14"/>
      <c r="T50" s="7"/>
      <c r="U50" s="7"/>
      <c r="V50" s="7"/>
      <c r="W50" s="7"/>
    </row>
    <row r="51" spans="1:23">
      <c r="A51" s="62" t="s">
        <v>321</v>
      </c>
      <c r="B51" s="357">
        <f>'Experimental detail'!$C$6</f>
        <v>1</v>
      </c>
      <c r="C51" s="26">
        <f>VLOOKUP($A51,'Raw data'!$A$1:$T$1052,4,0)</f>
        <v>10</v>
      </c>
      <c r="D51" s="147">
        <f>VLOOKUP($A51,'Raw data'!$A$1:$T$1052,5,0)</f>
        <v>691000</v>
      </c>
      <c r="E51" s="147">
        <f>VLOOKUP($A51,'Raw data'!$A$1:$T$1052,6,0)</f>
        <v>1340000</v>
      </c>
      <c r="F51" s="304">
        <f>VLOOKUP($A51,'Raw data'!$A$1:$T$1052,7,0)</f>
        <v>0.51500000000000001</v>
      </c>
      <c r="G51" s="300">
        <f t="shared" si="3"/>
        <v>5.15</v>
      </c>
      <c r="H51" s="366">
        <f>AVERAGE(G51:G52)</f>
        <v>5.415</v>
      </c>
      <c r="I51" s="95"/>
      <c r="J51" s="96"/>
      <c r="K51" s="96"/>
      <c r="L51" s="96"/>
      <c r="M51" s="96"/>
      <c r="N51" s="96"/>
      <c r="O51" s="6"/>
      <c r="P51" s="14"/>
      <c r="Q51" s="14"/>
      <c r="R51" s="14"/>
      <c r="S51" s="14"/>
      <c r="T51" s="7"/>
      <c r="U51" s="7"/>
      <c r="V51" s="7"/>
      <c r="W51" s="7"/>
    </row>
    <row r="52" spans="1:23">
      <c r="A52" s="64" t="s">
        <v>323</v>
      </c>
      <c r="B52" s="358"/>
      <c r="C52" s="35">
        <f>VLOOKUP($A52,'Raw data'!$A$1:$T$1052,4,0)</f>
        <v>10</v>
      </c>
      <c r="D52" s="148">
        <f>VLOOKUP($A52,'Raw data'!$A$1:$T$1052,5,0)</f>
        <v>721000</v>
      </c>
      <c r="E52" s="148">
        <f>VLOOKUP($A52,'Raw data'!$A$1:$T$1052,6,0)</f>
        <v>1270000</v>
      </c>
      <c r="F52" s="305">
        <f>VLOOKUP($A52,'Raw data'!$A$1:$T$1052,7,0)</f>
        <v>0.56799999999999995</v>
      </c>
      <c r="G52" s="306">
        <f t="shared" si="3"/>
        <v>5.68</v>
      </c>
      <c r="H52" s="360"/>
      <c r="I52" s="97"/>
      <c r="J52" s="14"/>
      <c r="K52" s="14"/>
      <c r="L52" s="14"/>
      <c r="M52" s="14"/>
      <c r="N52" s="14"/>
      <c r="O52" s="11"/>
      <c r="P52" s="14"/>
      <c r="Q52" s="14"/>
      <c r="R52" s="14"/>
      <c r="S52" s="14"/>
      <c r="T52" s="7"/>
      <c r="U52" s="7"/>
      <c r="V52" s="7"/>
      <c r="W52" s="7"/>
    </row>
    <row r="53" spans="1:23">
      <c r="A53" s="86" t="s">
        <v>329</v>
      </c>
      <c r="B53" s="357">
        <f>'Experimental detail'!$C$6</f>
        <v>1</v>
      </c>
      <c r="C53" s="47">
        <f>VLOOKUP($A53,'Raw data'!$A$1:$T$1052,4,0)</f>
        <v>10</v>
      </c>
      <c r="D53" s="147">
        <f>VLOOKUP($A53,'Raw data'!$A$1:$T$1052,5,0)</f>
        <v>695000</v>
      </c>
      <c r="E53" s="147">
        <f>VLOOKUP($A53,'Raw data'!$A$1:$T$1052,6,0)</f>
        <v>1200000</v>
      </c>
      <c r="F53" s="304">
        <f>VLOOKUP($A53,'Raw data'!$A$1:$T$1052,7,0)</f>
        <v>0.57699999999999996</v>
      </c>
      <c r="G53" s="300">
        <f t="shared" si="3"/>
        <v>5.77</v>
      </c>
      <c r="H53" s="366">
        <f>AVERAGE(G53:G54)</f>
        <v>5.754999999999999</v>
      </c>
      <c r="I53" s="97"/>
      <c r="J53" s="14"/>
      <c r="K53" s="14"/>
      <c r="L53" s="14"/>
      <c r="M53" s="14"/>
      <c r="N53" s="14"/>
      <c r="O53" s="14"/>
      <c r="P53" s="14"/>
      <c r="Q53" s="14"/>
      <c r="R53" s="14"/>
      <c r="S53" s="14"/>
      <c r="T53" s="7"/>
      <c r="U53" s="7"/>
      <c r="V53" s="7"/>
      <c r="W53" s="7"/>
    </row>
    <row r="54" spans="1:23" ht="16.5" thickBot="1">
      <c r="A54" s="87" t="s">
        <v>331</v>
      </c>
      <c r="B54" s="367"/>
      <c r="C54" s="58">
        <f>VLOOKUP($A54,'Raw data'!$A$1:$T$1052,4,0)</f>
        <v>10</v>
      </c>
      <c r="D54" s="149">
        <f>VLOOKUP($A54,'Raw data'!$A$1:$T$1052,5,0)</f>
        <v>730000</v>
      </c>
      <c r="E54" s="149">
        <f>VLOOKUP($A54,'Raw data'!$A$1:$T$1052,6,0)</f>
        <v>1270000</v>
      </c>
      <c r="F54" s="307">
        <f>VLOOKUP($A54,'Raw data'!$A$1:$T$1052,7,0)</f>
        <v>0.57399999999999995</v>
      </c>
      <c r="G54" s="301">
        <f t="shared" si="3"/>
        <v>5.7399999999999993</v>
      </c>
      <c r="H54" s="368"/>
      <c r="I54" s="98"/>
      <c r="J54" s="99"/>
      <c r="K54" s="99"/>
      <c r="L54" s="99"/>
      <c r="M54" s="99"/>
      <c r="N54" s="99"/>
      <c r="O54" s="99"/>
      <c r="P54" s="146"/>
      <c r="Q54" s="146"/>
      <c r="R54" s="146"/>
      <c r="S54" s="146"/>
    </row>
    <row r="55" spans="1:23">
      <c r="A55" s="13"/>
      <c r="B55" s="21"/>
      <c r="C55" s="7"/>
      <c r="D55" s="21"/>
      <c r="E55" s="21"/>
      <c r="F55" s="14"/>
      <c r="G55" s="14"/>
      <c r="H55" s="289"/>
      <c r="I55" s="289"/>
      <c r="J55" s="289"/>
      <c r="K55" s="14"/>
      <c r="L55" s="14"/>
      <c r="M55" s="14"/>
      <c r="N55" s="14"/>
      <c r="O55" s="14"/>
      <c r="P55" s="14"/>
      <c r="Q55" s="14"/>
      <c r="R55" s="14"/>
      <c r="S55" s="14"/>
      <c r="T55" s="7"/>
      <c r="U55" s="7"/>
    </row>
    <row r="56" spans="1:23" s="50" customFormat="1" ht="16.5" thickBot="1">
      <c r="A56" s="369" t="str">
        <f>CONCATENATE("Stability of ",Summary!$A$2," in Rat Plasma Incubated at 37 °C")</f>
        <v>Stability of HW356009-P1 in Rat Plasma Incubated at 37 °C</v>
      </c>
      <c r="B56" s="369"/>
      <c r="C56" s="369"/>
      <c r="D56" s="369"/>
      <c r="E56" s="369"/>
      <c r="F56" s="369"/>
      <c r="G56" s="369"/>
      <c r="H56" s="369"/>
      <c r="I56" s="369"/>
      <c r="J56" s="369"/>
      <c r="K56" s="49"/>
      <c r="L56" s="49"/>
      <c r="M56" s="49"/>
      <c r="T56" s="51"/>
    </row>
    <row r="57" spans="1:23" s="53" customFormat="1" ht="50.25" customHeight="1">
      <c r="A57" s="71" t="s">
        <v>76</v>
      </c>
      <c r="B57" s="72" t="s">
        <v>119</v>
      </c>
      <c r="C57" s="163" t="s">
        <v>129</v>
      </c>
      <c r="D57" s="142" t="s">
        <v>77</v>
      </c>
      <c r="E57" s="141" t="s">
        <v>78</v>
      </c>
      <c r="F57" s="141" t="s">
        <v>79</v>
      </c>
      <c r="G57" s="72" t="s">
        <v>80</v>
      </c>
      <c r="H57" s="151" t="s">
        <v>130</v>
      </c>
      <c r="I57" s="84" t="s">
        <v>123</v>
      </c>
      <c r="J57" s="84" t="s">
        <v>93</v>
      </c>
      <c r="K57" s="180"/>
      <c r="L57" s="180"/>
      <c r="M57" s="180"/>
      <c r="N57" s="52"/>
      <c r="Q57" s="54"/>
    </row>
    <row r="58" spans="1:23" s="55" customFormat="1">
      <c r="A58" s="86" t="s">
        <v>325</v>
      </c>
      <c r="B58" s="350">
        <f>'Experimental detail'!$C$6</f>
        <v>1</v>
      </c>
      <c r="C58" s="370">
        <f>H53</f>
        <v>5.754999999999999</v>
      </c>
      <c r="D58" s="139">
        <f>VLOOKUP($A58,'Raw data'!$A$1:$T$1052,4,0)</f>
        <v>10</v>
      </c>
      <c r="E58" s="147">
        <f>VLOOKUP($A58,'Raw data'!$A$1:$T$1052,5,0)</f>
        <v>784000</v>
      </c>
      <c r="F58" s="147">
        <f>VLOOKUP($A58,'Raw data'!$A$1:$T$1052,6,0)</f>
        <v>1310000</v>
      </c>
      <c r="G58" s="304">
        <f>VLOOKUP($A58,'Raw data'!$A$1:$T$1052,7,0)</f>
        <v>0.59699999999999998</v>
      </c>
      <c r="H58" s="300">
        <f>D58*G58</f>
        <v>5.97</v>
      </c>
      <c r="I58" s="319">
        <f>H58/C58*100</f>
        <v>103.73588184187663</v>
      </c>
      <c r="J58" s="354">
        <f>AVERAGE(I58:I59)</f>
        <v>100.17376194613381</v>
      </c>
      <c r="K58" s="143"/>
      <c r="L58" s="143"/>
      <c r="M58" s="143"/>
      <c r="N58" s="52"/>
      <c r="Q58" s="56"/>
    </row>
    <row r="59" spans="1:23" s="55" customFormat="1" ht="16.5" thickBot="1">
      <c r="A59" s="87" t="s">
        <v>327</v>
      </c>
      <c r="B59" s="351"/>
      <c r="C59" s="355"/>
      <c r="D59" s="140">
        <f>VLOOKUP($A59,'Raw data'!$A$1:$T$1052,4,0)</f>
        <v>10</v>
      </c>
      <c r="E59" s="149">
        <f>VLOOKUP($A59,'Raw data'!$A$1:$T$1052,5,0)</f>
        <v>758000</v>
      </c>
      <c r="F59" s="149">
        <f>VLOOKUP($A59,'Raw data'!$A$1:$T$1052,6,0)</f>
        <v>1360000</v>
      </c>
      <c r="G59" s="307">
        <f>VLOOKUP($A59,'Raw data'!$A$1:$T$1052,7,0)</f>
        <v>0.55600000000000005</v>
      </c>
      <c r="H59" s="301">
        <f>D59*G59</f>
        <v>5.5600000000000005</v>
      </c>
      <c r="I59" s="302">
        <f>H59/C58*100</f>
        <v>96.611642050390984</v>
      </c>
      <c r="J59" s="355"/>
      <c r="K59" s="143"/>
      <c r="L59" s="143"/>
      <c r="M59" s="143"/>
      <c r="N59" s="57"/>
      <c r="Q59" s="56"/>
    </row>
    <row r="60" spans="1:23">
      <c r="A60" s="25"/>
      <c r="B60" s="21"/>
      <c r="C60" s="7"/>
      <c r="D60" s="21"/>
      <c r="E60" s="21"/>
      <c r="F60" s="21"/>
      <c r="G60" s="14"/>
      <c r="H60" s="289"/>
      <c r="I60" s="289"/>
      <c r="J60" s="289"/>
      <c r="K60" s="14"/>
      <c r="L60" s="14"/>
      <c r="M60" s="14"/>
      <c r="N60" s="7"/>
      <c r="O60" s="7"/>
      <c r="P60" s="7"/>
      <c r="Q60" s="7"/>
      <c r="R60" s="7"/>
      <c r="S60" s="7"/>
      <c r="T60" s="7"/>
      <c r="U60" s="7"/>
    </row>
    <row r="61" spans="1:23">
      <c r="A61" s="156" t="s">
        <v>125</v>
      </c>
      <c r="B61" s="33"/>
      <c r="C61" s="28"/>
      <c r="D61" s="33"/>
      <c r="E61" s="33"/>
      <c r="F61" s="33"/>
      <c r="G61" s="198"/>
      <c r="H61" s="199"/>
      <c r="I61" s="199"/>
      <c r="J61" s="199"/>
      <c r="K61" s="198"/>
      <c r="L61" s="198"/>
      <c r="M61" s="198"/>
      <c r="N61" s="28"/>
      <c r="O61" s="28"/>
      <c r="P61" s="7"/>
      <c r="Q61" s="7"/>
      <c r="R61" s="7"/>
      <c r="S61" s="7"/>
      <c r="T61" s="7"/>
      <c r="U61" s="7"/>
    </row>
    <row r="62" spans="1:23" ht="16.5" thickBot="1">
      <c r="A62" s="356" t="str">
        <f>CONCATENATE(Summary!$A$2,"-Mouse Plasma 100%")</f>
        <v>HW356009-P1-Mouse Plasma 100%</v>
      </c>
      <c r="B62" s="356"/>
      <c r="C62" s="356"/>
      <c r="D62" s="356"/>
      <c r="E62" s="356"/>
      <c r="F62" s="356"/>
      <c r="G62" s="356"/>
      <c r="H62" s="356"/>
      <c r="I62" s="356"/>
      <c r="J62" s="356"/>
      <c r="K62" s="356"/>
      <c r="L62" s="356"/>
      <c r="M62" s="356"/>
      <c r="N62" s="356"/>
      <c r="O62" s="356"/>
      <c r="P62" s="19"/>
      <c r="Q62" s="19"/>
      <c r="R62" s="19"/>
      <c r="S62" s="19"/>
      <c r="T62" s="19"/>
      <c r="U62" s="19"/>
      <c r="V62" s="19"/>
      <c r="W62" s="19"/>
    </row>
    <row r="63" spans="1:23" s="4" customFormat="1" ht="31.5">
      <c r="A63" s="71" t="s">
        <v>76</v>
      </c>
      <c r="B63" s="72" t="s">
        <v>119</v>
      </c>
      <c r="C63" s="71" t="s">
        <v>77</v>
      </c>
      <c r="D63" s="141" t="s">
        <v>78</v>
      </c>
      <c r="E63" s="141" t="s">
        <v>79</v>
      </c>
      <c r="F63" s="141" t="s">
        <v>80</v>
      </c>
      <c r="G63" s="151" t="s">
        <v>130</v>
      </c>
      <c r="H63" s="84" t="s">
        <v>120</v>
      </c>
      <c r="I63" s="74" t="s">
        <v>121</v>
      </c>
      <c r="J63" s="84" t="s">
        <v>120</v>
      </c>
      <c r="K63" s="145" t="s">
        <v>32</v>
      </c>
      <c r="L63" s="84" t="s">
        <v>33</v>
      </c>
      <c r="M63" s="84" t="s">
        <v>83</v>
      </c>
      <c r="N63" s="74" t="s">
        <v>84</v>
      </c>
      <c r="O63" s="84" t="s">
        <v>85</v>
      </c>
      <c r="P63" s="201"/>
      <c r="Q63" s="201"/>
      <c r="R63" s="201"/>
      <c r="S63" s="20"/>
      <c r="T63" s="20"/>
      <c r="U63" s="20"/>
      <c r="V63" s="20"/>
      <c r="W63" s="20"/>
    </row>
    <row r="64" spans="1:23">
      <c r="A64" s="62" t="s">
        <v>335</v>
      </c>
      <c r="B64" s="357">
        <f>'Experimental detail'!$C$6</f>
        <v>1</v>
      </c>
      <c r="C64" s="27">
        <f>VLOOKUP($A64,'Raw data'!$A$1:$T$1052,4,0)</f>
        <v>1.1100000000000001</v>
      </c>
      <c r="D64" s="147">
        <f>VLOOKUP($A64,'Raw data'!$A$1:$T$1052,5,0)</f>
        <v>174000</v>
      </c>
      <c r="E64" s="147">
        <f>VLOOKUP($A64,'Raw data'!$A$1:$T$1052,6,0)</f>
        <v>1310000</v>
      </c>
      <c r="F64" s="304">
        <f>VLOOKUP($A64,'Raw data'!$A$1:$T$1052,7,0)</f>
        <v>0.13300000000000001</v>
      </c>
      <c r="G64" s="304">
        <f t="shared" ref="G64:G69" si="4">C64*F64</f>
        <v>0.14763000000000001</v>
      </c>
      <c r="H64" s="359">
        <f>AVERAGE(G64:G65)</f>
        <v>0.14818500000000001</v>
      </c>
      <c r="I64" s="283">
        <f>G64+G66</f>
        <v>5.5576300000000005</v>
      </c>
      <c r="J64" s="361">
        <f>AVERAGE(I64:I65)</f>
        <v>5.5981850000000009</v>
      </c>
      <c r="K64" s="181">
        <f>G64/G66*100</f>
        <v>2.7288354898336418</v>
      </c>
      <c r="L64" s="236">
        <f>100-K64</f>
        <v>97.271164510166358</v>
      </c>
      <c r="M64" s="363">
        <f>AVERAGE(K64:K65)</f>
        <v>2.7190625536599904</v>
      </c>
      <c r="N64" s="5">
        <f>I64/H68*100</f>
        <v>94.437213254035697</v>
      </c>
      <c r="O64" s="365">
        <f>AVERAGE(N64:N65)</f>
        <v>95.126338147833479</v>
      </c>
      <c r="P64" s="14"/>
      <c r="Q64" s="14"/>
      <c r="R64" s="14"/>
      <c r="S64" s="14"/>
      <c r="T64" s="7"/>
      <c r="U64" s="7"/>
      <c r="V64" s="7"/>
      <c r="W64" s="7"/>
    </row>
    <row r="65" spans="1:23">
      <c r="A65" s="64" t="s">
        <v>337</v>
      </c>
      <c r="B65" s="358"/>
      <c r="C65" s="34">
        <f>VLOOKUP($A65,'Raw data'!$A$1:$T$1052,4,0)</f>
        <v>1.1100000000000001</v>
      </c>
      <c r="D65" s="148">
        <f>VLOOKUP($A65,'Raw data'!$A$1:$T$1052,5,0)</f>
        <v>172000</v>
      </c>
      <c r="E65" s="148">
        <f>VLOOKUP($A65,'Raw data'!$A$1:$T$1052,6,0)</f>
        <v>1280000</v>
      </c>
      <c r="F65" s="305">
        <f>VLOOKUP($A65,'Raw data'!$A$1:$T$1052,7,0)</f>
        <v>0.13400000000000001</v>
      </c>
      <c r="G65" s="308">
        <f t="shared" si="4"/>
        <v>0.14874000000000001</v>
      </c>
      <c r="H65" s="360"/>
      <c r="I65" s="303">
        <f>G65+G67</f>
        <v>5.6387400000000003</v>
      </c>
      <c r="J65" s="362"/>
      <c r="K65" s="101">
        <f>G65/G67*100</f>
        <v>2.709289617486339</v>
      </c>
      <c r="L65" s="237">
        <f>100-K65</f>
        <v>97.290710382513666</v>
      </c>
      <c r="M65" s="364"/>
      <c r="N65" s="94">
        <f>I65/H68*100</f>
        <v>95.815463041631276</v>
      </c>
      <c r="O65" s="362"/>
      <c r="P65" s="14"/>
      <c r="Q65" s="14"/>
      <c r="R65" s="14"/>
      <c r="S65" s="14"/>
      <c r="T65" s="7"/>
      <c r="U65" s="7"/>
      <c r="V65" s="7"/>
      <c r="W65" s="7"/>
    </row>
    <row r="66" spans="1:23">
      <c r="A66" s="62" t="s">
        <v>339</v>
      </c>
      <c r="B66" s="357">
        <f>'Experimental detail'!$C$6</f>
        <v>1</v>
      </c>
      <c r="C66" s="26">
        <f>VLOOKUP($A66,'Raw data'!$A$1:$T$1052,4,0)</f>
        <v>10</v>
      </c>
      <c r="D66" s="147">
        <f>VLOOKUP($A66,'Raw data'!$A$1:$T$1052,5,0)</f>
        <v>715000</v>
      </c>
      <c r="E66" s="147">
        <f>VLOOKUP($A66,'Raw data'!$A$1:$T$1052,6,0)</f>
        <v>1320000</v>
      </c>
      <c r="F66" s="304">
        <f>VLOOKUP($A66,'Raw data'!$A$1:$T$1052,7,0)</f>
        <v>0.54100000000000004</v>
      </c>
      <c r="G66" s="300">
        <f t="shared" si="4"/>
        <v>5.41</v>
      </c>
      <c r="H66" s="366">
        <f>AVERAGE(G66:G67)</f>
        <v>5.45</v>
      </c>
      <c r="I66" s="95"/>
      <c r="J66" s="96"/>
      <c r="K66" s="96"/>
      <c r="L66" s="96"/>
      <c r="M66" s="96"/>
      <c r="N66" s="96"/>
      <c r="O66" s="6"/>
      <c r="P66" s="14"/>
      <c r="Q66" s="14"/>
      <c r="R66" s="14"/>
      <c r="S66" s="14"/>
      <c r="T66" s="7"/>
      <c r="U66" s="7"/>
      <c r="V66" s="7"/>
      <c r="W66" s="7"/>
    </row>
    <row r="67" spans="1:23">
      <c r="A67" s="64" t="s">
        <v>341</v>
      </c>
      <c r="B67" s="358"/>
      <c r="C67" s="35">
        <f>VLOOKUP($A67,'Raw data'!$A$1:$T$1052,4,0)</f>
        <v>10</v>
      </c>
      <c r="D67" s="148">
        <f>VLOOKUP($A67,'Raw data'!$A$1:$T$1052,5,0)</f>
        <v>715000</v>
      </c>
      <c r="E67" s="148">
        <f>VLOOKUP($A67,'Raw data'!$A$1:$T$1052,6,0)</f>
        <v>1300000</v>
      </c>
      <c r="F67" s="305">
        <f>VLOOKUP($A67,'Raw data'!$A$1:$T$1052,7,0)</f>
        <v>0.54900000000000004</v>
      </c>
      <c r="G67" s="306">
        <f t="shared" si="4"/>
        <v>5.49</v>
      </c>
      <c r="H67" s="360"/>
      <c r="I67" s="97"/>
      <c r="J67" s="14"/>
      <c r="K67" s="14"/>
      <c r="L67" s="14"/>
      <c r="M67" s="14"/>
      <c r="N67" s="14"/>
      <c r="O67" s="11"/>
      <c r="P67" s="14"/>
      <c r="Q67" s="14"/>
      <c r="R67" s="14"/>
      <c r="S67" s="14"/>
      <c r="T67" s="7"/>
      <c r="U67" s="7"/>
      <c r="V67" s="7"/>
      <c r="W67" s="7"/>
    </row>
    <row r="68" spans="1:23">
      <c r="A68" s="86" t="s">
        <v>347</v>
      </c>
      <c r="B68" s="357">
        <f>'Experimental detail'!$C$6</f>
        <v>1</v>
      </c>
      <c r="C68" s="47">
        <f>VLOOKUP($A68,'Raw data'!$A$1:$T$1052,4,0)</f>
        <v>10</v>
      </c>
      <c r="D68" s="147">
        <f>VLOOKUP($A68,'Raw data'!$A$1:$T$1052,5,0)</f>
        <v>756000</v>
      </c>
      <c r="E68" s="147">
        <f>VLOOKUP($A68,'Raw data'!$A$1:$T$1052,6,0)</f>
        <v>1270000</v>
      </c>
      <c r="F68" s="304">
        <f>VLOOKUP($A68,'Raw data'!$A$1:$T$1052,7,0)</f>
        <v>0.59699999999999998</v>
      </c>
      <c r="G68" s="300">
        <f t="shared" si="4"/>
        <v>5.97</v>
      </c>
      <c r="H68" s="366">
        <f>AVERAGE(G68:G69)</f>
        <v>5.8849999999999998</v>
      </c>
      <c r="I68" s="97"/>
      <c r="J68" s="14"/>
      <c r="K68" s="14"/>
      <c r="L68" s="14"/>
      <c r="M68" s="14"/>
      <c r="N68" s="14"/>
      <c r="O68" s="14"/>
      <c r="P68" s="14"/>
      <c r="Q68" s="14"/>
      <c r="R68" s="14"/>
      <c r="S68" s="14"/>
      <c r="T68" s="7"/>
      <c r="U68" s="7"/>
      <c r="V68" s="7"/>
      <c r="W68" s="7"/>
    </row>
    <row r="69" spans="1:23" ht="16.5" thickBot="1">
      <c r="A69" s="87" t="s">
        <v>349</v>
      </c>
      <c r="B69" s="367"/>
      <c r="C69" s="58">
        <f>VLOOKUP($A69,'Raw data'!$A$1:$T$1052,4,0)</f>
        <v>10</v>
      </c>
      <c r="D69" s="149">
        <f>VLOOKUP($A69,'Raw data'!$A$1:$T$1052,5,0)</f>
        <v>760000</v>
      </c>
      <c r="E69" s="149">
        <f>VLOOKUP($A69,'Raw data'!$A$1:$T$1052,6,0)</f>
        <v>1310000</v>
      </c>
      <c r="F69" s="307">
        <f>VLOOKUP($A69,'Raw data'!$A$1:$T$1052,7,0)</f>
        <v>0.57999999999999996</v>
      </c>
      <c r="G69" s="301">
        <f t="shared" si="4"/>
        <v>5.8</v>
      </c>
      <c r="H69" s="368"/>
      <c r="I69" s="98"/>
      <c r="J69" s="99"/>
      <c r="K69" s="99"/>
      <c r="L69" s="99"/>
      <c r="M69" s="99"/>
      <c r="N69" s="99"/>
      <c r="O69" s="99"/>
      <c r="P69" s="146"/>
      <c r="Q69" s="146"/>
      <c r="R69" s="146"/>
      <c r="S69" s="146"/>
    </row>
    <row r="70" spans="1:23">
      <c r="A70" s="240"/>
      <c r="B70" s="59"/>
      <c r="C70" s="47"/>
      <c r="D70" s="106"/>
      <c r="E70" s="106"/>
      <c r="F70" s="106"/>
      <c r="G70" s="106"/>
      <c r="H70" s="289"/>
      <c r="I70" s="14"/>
      <c r="J70" s="14"/>
      <c r="K70" s="14"/>
      <c r="L70" s="14"/>
      <c r="M70" s="14"/>
      <c r="N70" s="14"/>
      <c r="O70" s="14"/>
      <c r="P70" s="146"/>
      <c r="Q70" s="146"/>
      <c r="R70" s="146"/>
    </row>
    <row r="71" spans="1:23" s="50" customFormat="1" ht="16.5" thickBot="1">
      <c r="A71" s="369" t="str">
        <f>CONCATENATE("Stability of ",Summary!$A$2," in Mouse Plasma Incubated at 37 °C")</f>
        <v>Stability of HW356009-P1 in Mouse Plasma Incubated at 37 °C</v>
      </c>
      <c r="B71" s="369"/>
      <c r="C71" s="369"/>
      <c r="D71" s="369"/>
      <c r="E71" s="369"/>
      <c r="F71" s="369"/>
      <c r="G71" s="369"/>
      <c r="H71" s="369"/>
      <c r="I71" s="369"/>
      <c r="J71" s="369"/>
      <c r="K71" s="49"/>
      <c r="L71" s="49"/>
      <c r="M71" s="49"/>
      <c r="T71" s="51"/>
    </row>
    <row r="72" spans="1:23" s="53" customFormat="1" ht="50.25" customHeight="1">
      <c r="A72" s="71" t="s">
        <v>76</v>
      </c>
      <c r="B72" s="72" t="s">
        <v>119</v>
      </c>
      <c r="C72" s="163" t="s">
        <v>129</v>
      </c>
      <c r="D72" s="142" t="s">
        <v>77</v>
      </c>
      <c r="E72" s="141" t="s">
        <v>78</v>
      </c>
      <c r="F72" s="141" t="s">
        <v>79</v>
      </c>
      <c r="G72" s="72" t="s">
        <v>80</v>
      </c>
      <c r="H72" s="151" t="s">
        <v>130</v>
      </c>
      <c r="I72" s="84" t="s">
        <v>92</v>
      </c>
      <c r="J72" s="84" t="s">
        <v>93</v>
      </c>
      <c r="K72" s="180"/>
      <c r="L72" s="180"/>
      <c r="M72" s="180"/>
      <c r="N72" s="207"/>
      <c r="Q72" s="54"/>
    </row>
    <row r="73" spans="1:23" s="55" customFormat="1">
      <c r="A73" s="86" t="s">
        <v>343</v>
      </c>
      <c r="B73" s="350">
        <f>'Experimental detail'!$C$6</f>
        <v>1</v>
      </c>
      <c r="C73" s="370">
        <f>H68</f>
        <v>5.8849999999999998</v>
      </c>
      <c r="D73" s="106">
        <f>VLOOKUP($A73,'Raw data'!$A$1:$T$1052,4,0)</f>
        <v>10</v>
      </c>
      <c r="E73" s="147">
        <f>VLOOKUP($A73,'Raw data'!$A$1:$T$1052,5,0)</f>
        <v>758000</v>
      </c>
      <c r="F73" s="147">
        <f>VLOOKUP($A73,'Raw data'!$A$1:$T$1052,6,0)</f>
        <v>1310000</v>
      </c>
      <c r="G73" s="304">
        <f>VLOOKUP($A73,'Raw data'!$A$1:$T$1052,7,0)</f>
        <v>0.57799999999999996</v>
      </c>
      <c r="H73" s="300">
        <f>D73*G73</f>
        <v>5.7799999999999994</v>
      </c>
      <c r="I73" s="294">
        <f>H73/C73*100</f>
        <v>98.215802888700082</v>
      </c>
      <c r="J73" s="372">
        <f>AVERAGE(I73:I74)</f>
        <v>97.790994052676297</v>
      </c>
      <c r="K73" s="143"/>
      <c r="L73" s="143"/>
      <c r="M73" s="143"/>
      <c r="N73" s="207"/>
      <c r="Q73" s="56"/>
    </row>
    <row r="74" spans="1:23" s="55" customFormat="1" ht="16.5" thickBot="1">
      <c r="A74" s="87" t="s">
        <v>345</v>
      </c>
      <c r="B74" s="351"/>
      <c r="C74" s="355"/>
      <c r="D74" s="108">
        <f>VLOOKUP($A74,'Raw data'!$A$1:$T$1052,4,0)</f>
        <v>10</v>
      </c>
      <c r="E74" s="149">
        <f>VLOOKUP($A74,'Raw data'!$A$1:$T$1052,5,0)</f>
        <v>742000</v>
      </c>
      <c r="F74" s="149">
        <f>VLOOKUP($A74,'Raw data'!$A$1:$T$1052,6,0)</f>
        <v>1290000</v>
      </c>
      <c r="G74" s="307">
        <f>VLOOKUP($A74,'Raw data'!$A$1:$T$1052,7,0)</f>
        <v>0.57299999999999995</v>
      </c>
      <c r="H74" s="301">
        <f>D74*G74</f>
        <v>5.7299999999999995</v>
      </c>
      <c r="I74" s="302">
        <f>H74/C73*100</f>
        <v>97.366185216652497</v>
      </c>
      <c r="J74" s="355"/>
      <c r="K74" s="143"/>
      <c r="L74" s="143"/>
      <c r="M74" s="143"/>
      <c r="N74" s="208"/>
      <c r="Q74" s="56"/>
    </row>
    <row r="75" spans="1:23">
      <c r="E75" s="146"/>
      <c r="F75" s="146"/>
      <c r="G75" s="146"/>
      <c r="H75" s="146"/>
      <c r="I75" s="146"/>
      <c r="J75" s="146"/>
      <c r="K75" s="146"/>
      <c r="L75" s="146"/>
      <c r="M75" s="146"/>
      <c r="N75" s="146"/>
    </row>
    <row r="76" spans="1:23">
      <c r="G76" s="146"/>
      <c r="H76" s="146"/>
      <c r="I76" s="146"/>
      <c r="J76" s="146"/>
      <c r="K76" s="146"/>
      <c r="L76" s="146"/>
      <c r="M76" s="146"/>
      <c r="N76" s="146"/>
    </row>
    <row r="77" spans="1:23">
      <c r="G77" s="146"/>
      <c r="H77" s="146"/>
      <c r="I77" s="146"/>
      <c r="J77" s="146"/>
      <c r="K77" s="146"/>
      <c r="L77" s="146"/>
      <c r="M77" s="146"/>
    </row>
    <row r="78" spans="1:23">
      <c r="G78" s="146"/>
      <c r="H78" s="146"/>
      <c r="I78" s="146"/>
      <c r="J78" s="146"/>
      <c r="K78" s="146"/>
      <c r="L78" s="146"/>
      <c r="M78" s="146"/>
    </row>
  </sheetData>
  <mergeCells count="70">
    <mergeCell ref="B73:B74"/>
    <mergeCell ref="C73:C74"/>
    <mergeCell ref="J73:J74"/>
    <mergeCell ref="A62:O62"/>
    <mergeCell ref="B64:B65"/>
    <mergeCell ref="H64:H65"/>
    <mergeCell ref="J64:J65"/>
    <mergeCell ref="M64:M65"/>
    <mergeCell ref="O64:O65"/>
    <mergeCell ref="B66:B67"/>
    <mergeCell ref="H66:H67"/>
    <mergeCell ref="B68:B69"/>
    <mergeCell ref="H68:H69"/>
    <mergeCell ref="A71:J71"/>
    <mergeCell ref="B58:B59"/>
    <mergeCell ref="C58:C59"/>
    <mergeCell ref="J58:J59"/>
    <mergeCell ref="A47:O47"/>
    <mergeCell ref="B49:B50"/>
    <mergeCell ref="H49:H50"/>
    <mergeCell ref="J49:J50"/>
    <mergeCell ref="M49:M50"/>
    <mergeCell ref="O49:O50"/>
    <mergeCell ref="B51:B52"/>
    <mergeCell ref="H51:H52"/>
    <mergeCell ref="B53:B54"/>
    <mergeCell ref="H53:H54"/>
    <mergeCell ref="A56:J56"/>
    <mergeCell ref="B43:B44"/>
    <mergeCell ref="C43:C44"/>
    <mergeCell ref="J43:J44"/>
    <mergeCell ref="A32:O32"/>
    <mergeCell ref="B34:B35"/>
    <mergeCell ref="H34:H35"/>
    <mergeCell ref="J34:J35"/>
    <mergeCell ref="M34:M35"/>
    <mergeCell ref="O34:O35"/>
    <mergeCell ref="B36:B37"/>
    <mergeCell ref="H36:H37"/>
    <mergeCell ref="B38:B39"/>
    <mergeCell ref="H38:H39"/>
    <mergeCell ref="A41:J41"/>
    <mergeCell ref="B28:B29"/>
    <mergeCell ref="C28:C29"/>
    <mergeCell ref="J28:J29"/>
    <mergeCell ref="A17:O17"/>
    <mergeCell ref="B19:B20"/>
    <mergeCell ref="H19:H20"/>
    <mergeCell ref="J19:J20"/>
    <mergeCell ref="M19:M20"/>
    <mergeCell ref="O19:O20"/>
    <mergeCell ref="B21:B22"/>
    <mergeCell ref="H21:H22"/>
    <mergeCell ref="B23:B24"/>
    <mergeCell ref="H23:H24"/>
    <mergeCell ref="A26:J26"/>
    <mergeCell ref="B13:B14"/>
    <mergeCell ref="C13:C14"/>
    <mergeCell ref="J13:J14"/>
    <mergeCell ref="A2:O2"/>
    <mergeCell ref="B4:B5"/>
    <mergeCell ref="H4:H5"/>
    <mergeCell ref="J4:J5"/>
    <mergeCell ref="M4:M5"/>
    <mergeCell ref="O4:O5"/>
    <mergeCell ref="B6:B7"/>
    <mergeCell ref="H6:H7"/>
    <mergeCell ref="B8:B9"/>
    <mergeCell ref="H8:H9"/>
    <mergeCell ref="A11:J11"/>
  </mergeCells>
  <phoneticPr fontId="3" type="noConversion"/>
  <pageMargins left="0.75" right="0.75" top="1" bottom="1" header="0.5" footer="0.5"/>
  <pageSetup paperSize="9" orientation="portrait" r:id="rId1"/>
  <headerFooter alignWithMargins="0"/>
  <ignoredErrors>
    <ignoredError sqref="A10:R12 B4:F4 B5:F5 B6:R6 B7:R7 B8:G8 B9:R9 A15:R18 B13 B14:R14 A25:R27 B19:H19 B20:H20 B21:R21 B22:R22 B23:R23 B24:R24 A30:R30 B28:H28 B29:H29 A40:R40 B34:H34 B35:J35 B36:R36 B37:R37 B38:R38 B39:R39 A45:R48 B43:R43 B44:R44 A55:R57 B49:M49 B50:R50 B51:R51 B52:R52 B53:R53 B54:R54 A60:R63 B58:R58 B59:R59 A70:R72 B64:R64 B65:R65 B66:R66 B67:R67 B68:R68 B69:R69 A75:R76 B73:R73 B74:R74 J34 L34:M34 L35:M35 O34:R34 O35:R35 O4:R4 M5 O5:R5 J19 J20 L19 L20:M20 O19:R19 O20:R20 J28:R28 J29:R29 A33:R33 B31:R31 B32:R32 A42:R42 B41:R41 D13:R13 I8:R8 O49:R49 J4 H5 J5"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T96"/>
  <sheetViews>
    <sheetView zoomScale="90" zoomScaleNormal="90" workbookViewId="0">
      <selection activeCell="U59" sqref="U59"/>
    </sheetView>
  </sheetViews>
  <sheetFormatPr defaultColWidth="9" defaultRowHeight="15.75"/>
  <cols>
    <col min="1" max="1" width="3" style="3" customWidth="1"/>
    <col min="2" max="2" width="34.75" style="3" customWidth="1"/>
    <col min="3" max="3" width="10.5" style="22" customWidth="1"/>
    <col min="4" max="4" width="12.625" style="22" customWidth="1"/>
    <col min="5" max="6" width="11" style="137" customWidth="1"/>
    <col min="7" max="8" width="10.25" style="3" customWidth="1"/>
    <col min="9" max="10" width="8.125" style="3" customWidth="1"/>
    <col min="11" max="11" width="8" style="3" bestFit="1" customWidth="1"/>
    <col min="12" max="16" width="9.375" style="3" customWidth="1"/>
    <col min="17" max="17" width="8" style="7" bestFit="1" customWidth="1"/>
    <col min="18" max="16384" width="9" style="3"/>
  </cols>
  <sheetData>
    <row r="1" spans="2:20" s="120" customFormat="1">
      <c r="B1" s="121" t="s">
        <v>75</v>
      </c>
      <c r="C1" s="122"/>
      <c r="D1" s="122"/>
      <c r="E1" s="129"/>
      <c r="F1" s="129"/>
      <c r="Q1" s="28"/>
    </row>
    <row r="2" spans="2:20" ht="16.5" thickBot="1">
      <c r="B2" s="356" t="s">
        <v>74</v>
      </c>
      <c r="C2" s="356"/>
      <c r="D2" s="356"/>
      <c r="E2" s="356"/>
      <c r="F2" s="356"/>
      <c r="G2" s="356"/>
      <c r="H2" s="356"/>
      <c r="I2" s="356"/>
      <c r="J2" s="356"/>
      <c r="K2" s="356"/>
      <c r="L2" s="356"/>
      <c r="M2" s="356"/>
      <c r="N2" s="356"/>
      <c r="O2" s="356"/>
      <c r="P2" s="356"/>
      <c r="Q2" s="388"/>
    </row>
    <row r="3" spans="2:20" s="4" customFormat="1" ht="33">
      <c r="B3" s="71" t="s">
        <v>76</v>
      </c>
      <c r="C3" s="72" t="s">
        <v>119</v>
      </c>
      <c r="D3" s="71" t="s">
        <v>77</v>
      </c>
      <c r="E3" s="130" t="s">
        <v>78</v>
      </c>
      <c r="F3" s="130" t="s">
        <v>79</v>
      </c>
      <c r="G3" s="243" t="s">
        <v>80</v>
      </c>
      <c r="H3" s="70" t="s">
        <v>131</v>
      </c>
      <c r="I3" s="73" t="s">
        <v>81</v>
      </c>
      <c r="J3" s="75" t="s">
        <v>82</v>
      </c>
      <c r="K3" s="73" t="s">
        <v>81</v>
      </c>
      <c r="L3" s="145" t="s">
        <v>32</v>
      </c>
      <c r="M3" s="84" t="s">
        <v>33</v>
      </c>
      <c r="N3" s="84" t="s">
        <v>83</v>
      </c>
      <c r="O3" s="74" t="s">
        <v>84</v>
      </c>
      <c r="P3" s="84" t="s">
        <v>85</v>
      </c>
      <c r="Q3" s="201"/>
      <c r="R3" s="154"/>
      <c r="S3" s="154"/>
      <c r="T3" s="154"/>
    </row>
    <row r="4" spans="2:20">
      <c r="B4" s="62" t="s">
        <v>143</v>
      </c>
      <c r="C4" s="373">
        <v>5</v>
      </c>
      <c r="D4" s="47">
        <f>VLOOKUP($B4,'Raw data'!$A$1:$T$1052,4,0)</f>
        <v>2</v>
      </c>
      <c r="E4" s="131">
        <f>VLOOKUP($B4,'Raw data'!$A$1:$R$218,5,0)</f>
        <v>6230</v>
      </c>
      <c r="F4" s="131">
        <f>VLOOKUP($B4,'Raw data'!$A$1:$R$218,6,0)</f>
        <v>172000</v>
      </c>
      <c r="G4" s="295">
        <f>VLOOKUP($B4,'Raw data'!$A$1:$R$218,7,0)</f>
        <v>3.6200000000000003E-2</v>
      </c>
      <c r="H4" s="295">
        <f>D4*G4</f>
        <v>7.2400000000000006E-2</v>
      </c>
      <c r="I4" s="375">
        <f>AVERAGE(H4:H5)</f>
        <v>7.2000000000000008E-2</v>
      </c>
      <c r="J4" s="5">
        <f>H4+H6</f>
        <v>15.792400000000001</v>
      </c>
      <c r="K4" s="365">
        <f>AVERAGE(J4:J5)</f>
        <v>15.912000000000001</v>
      </c>
      <c r="L4" s="90">
        <f>H4/H6*100</f>
        <v>0.46055979643765904</v>
      </c>
      <c r="M4" s="236">
        <f>100-L4</f>
        <v>99.539440203562336</v>
      </c>
      <c r="N4" s="392">
        <f>AVERAGE(L4:L5)</f>
        <v>0.45459067516118534</v>
      </c>
      <c r="O4" s="5">
        <f>J4/I8*100</f>
        <v>88.373810856183567</v>
      </c>
      <c r="P4" s="365">
        <f>AVERAGE(O4:O5)</f>
        <v>89.043088975937337</v>
      </c>
      <c r="Q4" s="14"/>
      <c r="R4" s="146"/>
      <c r="S4" s="146"/>
      <c r="T4" s="146"/>
    </row>
    <row r="5" spans="2:20">
      <c r="B5" s="64" t="s">
        <v>144</v>
      </c>
      <c r="C5" s="384"/>
      <c r="D5" s="35">
        <f>VLOOKUP($B5,'Raw data'!$A$1:$T$1052,4,0)</f>
        <v>2</v>
      </c>
      <c r="E5" s="132">
        <f>VLOOKUP($B5,'Raw data'!$A$1:$R$218,5,0)</f>
        <v>6040</v>
      </c>
      <c r="F5" s="132">
        <f>VLOOKUP($B5,'Raw data'!$A$1:$R$218,6,0)</f>
        <v>169000</v>
      </c>
      <c r="G5" s="291">
        <f>VLOOKUP($B5,'Raw data'!$A$1:$R$218,7,0)</f>
        <v>3.5799999999999998E-2</v>
      </c>
      <c r="H5" s="298">
        <f t="shared" ref="H5:H7" si="0">D5*G5</f>
        <v>7.1599999999999997E-2</v>
      </c>
      <c r="I5" s="385"/>
      <c r="J5" s="276">
        <f>H5+H7</f>
        <v>16.031600000000001</v>
      </c>
      <c r="K5" s="385"/>
      <c r="L5" s="93">
        <f>H5/H7*100</f>
        <v>0.4486215538847117</v>
      </c>
      <c r="M5" s="238">
        <f>100-L5</f>
        <v>99.551378446115294</v>
      </c>
      <c r="N5" s="387"/>
      <c r="O5" s="94">
        <f>J5/I8*100</f>
        <v>89.712367095691121</v>
      </c>
      <c r="P5" s="362"/>
      <c r="Q5" s="14"/>
      <c r="R5" s="146"/>
      <c r="S5" s="146"/>
      <c r="T5" s="146"/>
    </row>
    <row r="6" spans="2:20">
      <c r="B6" s="62" t="s">
        <v>145</v>
      </c>
      <c r="C6" s="373">
        <v>5</v>
      </c>
      <c r="D6" s="47">
        <f>VLOOKUP($B6,'Raw data'!$A$1:$T$1052,4,0)</f>
        <v>2</v>
      </c>
      <c r="E6" s="131">
        <f>VLOOKUP($B6,'Raw data'!$A$1:$R$218,5,0)</f>
        <v>1390000</v>
      </c>
      <c r="F6" s="131">
        <f>VLOOKUP($B6,'Raw data'!$A$1:$R$218,6,0)</f>
        <v>177000</v>
      </c>
      <c r="G6" s="325">
        <f>VLOOKUP($B6,'Raw data'!$A$1:$R$218,7,0)</f>
        <v>7.86</v>
      </c>
      <c r="H6" s="277">
        <f t="shared" si="0"/>
        <v>15.72</v>
      </c>
      <c r="I6" s="365">
        <f>AVERAGE(H6:H7)</f>
        <v>15.84</v>
      </c>
      <c r="J6" s="95"/>
      <c r="K6" s="96"/>
      <c r="L6" s="96"/>
      <c r="M6" s="96"/>
      <c r="N6" s="96"/>
      <c r="O6" s="6"/>
      <c r="P6" s="14"/>
      <c r="Q6" s="14"/>
      <c r="R6" s="146"/>
      <c r="S6" s="146"/>
      <c r="T6" s="146"/>
    </row>
    <row r="7" spans="2:20">
      <c r="B7" s="64" t="s">
        <v>146</v>
      </c>
      <c r="C7" s="374"/>
      <c r="D7" s="35">
        <f>VLOOKUP($B7,'Raw data'!$A$1:$T$1052,4,0)</f>
        <v>2</v>
      </c>
      <c r="E7" s="132">
        <f>VLOOKUP($B7,'Raw data'!$A$1:$R$218,5,0)</f>
        <v>1350000</v>
      </c>
      <c r="F7" s="132">
        <f>VLOOKUP($B7,'Raw data'!$A$1:$R$218,6,0)</f>
        <v>169000</v>
      </c>
      <c r="G7" s="15">
        <f>VLOOKUP($B7,'Raw data'!$A$1:$R$218,7,0)</f>
        <v>7.98</v>
      </c>
      <c r="H7" s="278">
        <f t="shared" si="0"/>
        <v>15.96</v>
      </c>
      <c r="I7" s="362"/>
      <c r="J7" s="97"/>
      <c r="K7" s="14"/>
      <c r="L7" s="14"/>
      <c r="M7" s="14"/>
      <c r="N7" s="14"/>
      <c r="O7" s="11"/>
      <c r="P7" s="14"/>
      <c r="Q7" s="14"/>
      <c r="R7" s="146"/>
      <c r="S7" s="146"/>
      <c r="T7" s="146"/>
    </row>
    <row r="8" spans="2:20">
      <c r="B8" s="62" t="s">
        <v>147</v>
      </c>
      <c r="C8" s="373">
        <v>5</v>
      </c>
      <c r="D8" s="47">
        <f>VLOOKUP($B8,'Raw data'!$A$1:$T$1052,4,0)</f>
        <v>2</v>
      </c>
      <c r="E8" s="131">
        <f>VLOOKUP($B8,'Raw data'!$A$1:$R$218,5,0)</f>
        <v>1450000</v>
      </c>
      <c r="F8" s="131">
        <f>VLOOKUP($B8,'Raw data'!$A$1:$R$218,6,0)</f>
        <v>161000</v>
      </c>
      <c r="G8" s="325">
        <f>VLOOKUP($B8,'Raw data'!$A$1:$R$218,7,0)</f>
        <v>9</v>
      </c>
      <c r="H8" s="277">
        <f>D8*G8</f>
        <v>18</v>
      </c>
      <c r="I8" s="390">
        <f>AVERAGE(H8:H9)</f>
        <v>17.869999999999997</v>
      </c>
      <c r="J8" s="97"/>
      <c r="K8" s="14"/>
      <c r="L8" s="14"/>
      <c r="M8" s="14"/>
      <c r="N8" s="14"/>
      <c r="O8" s="14"/>
      <c r="P8" s="14"/>
      <c r="Q8" s="14"/>
      <c r="R8" s="146"/>
      <c r="S8" s="146"/>
      <c r="T8" s="146"/>
    </row>
    <row r="9" spans="2:20" ht="16.5" thickBot="1">
      <c r="B9" s="63" t="s">
        <v>148</v>
      </c>
      <c r="C9" s="376"/>
      <c r="D9" s="58">
        <f>VLOOKUP($B9,'Raw data'!$A$1:$T$1052,4,0)</f>
        <v>2</v>
      </c>
      <c r="E9" s="133">
        <f>VLOOKUP($B9,'Raw data'!$A$1:$R$218,5,0)</f>
        <v>1410000</v>
      </c>
      <c r="F9" s="133">
        <f>VLOOKUP($B9,'Raw data'!$A$1:$R$218,6,0)</f>
        <v>159000</v>
      </c>
      <c r="G9" s="326">
        <f>VLOOKUP($B9,'Raw data'!$A$1:$R$218,7,0)</f>
        <v>8.8699999999999992</v>
      </c>
      <c r="H9" s="285">
        <f>D9*G9</f>
        <v>17.739999999999998</v>
      </c>
      <c r="I9" s="378"/>
      <c r="J9" s="98"/>
      <c r="K9" s="99"/>
      <c r="L9" s="99"/>
      <c r="M9" s="99"/>
      <c r="N9" s="99"/>
      <c r="O9" s="99"/>
      <c r="P9" s="99"/>
      <c r="Q9" s="14"/>
      <c r="R9" s="146"/>
      <c r="S9" s="146"/>
      <c r="T9" s="146"/>
    </row>
    <row r="10" spans="2:20">
      <c r="B10" s="12"/>
      <c r="C10" s="203"/>
      <c r="D10" s="47"/>
      <c r="E10" s="132"/>
      <c r="F10" s="132"/>
      <c r="G10" s="176"/>
      <c r="H10" s="176"/>
      <c r="I10" s="297"/>
      <c r="J10" s="14"/>
      <c r="K10" s="14"/>
      <c r="L10" s="14"/>
      <c r="M10" s="14"/>
      <c r="N10" s="14"/>
      <c r="O10" s="14"/>
      <c r="P10" s="14"/>
      <c r="Q10" s="14"/>
      <c r="R10" s="146"/>
      <c r="S10" s="146"/>
    </row>
    <row r="11" spans="2:20" ht="16.5" thickBot="1">
      <c r="B11" s="356" t="s">
        <v>101</v>
      </c>
      <c r="C11" s="356"/>
      <c r="D11" s="356"/>
      <c r="E11" s="356"/>
      <c r="F11" s="356"/>
      <c r="G11" s="356"/>
      <c r="H11" s="356"/>
      <c r="I11" s="356"/>
      <c r="J11" s="356"/>
      <c r="K11" s="356"/>
      <c r="L11" s="356"/>
      <c r="M11" s="356"/>
      <c r="N11" s="356"/>
      <c r="O11" s="356"/>
      <c r="P11" s="356"/>
      <c r="Q11" s="388"/>
    </row>
    <row r="12" spans="2:20" ht="33">
      <c r="B12" s="71" t="s">
        <v>76</v>
      </c>
      <c r="C12" s="72" t="s">
        <v>119</v>
      </c>
      <c r="D12" s="71" t="s">
        <v>77</v>
      </c>
      <c r="E12" s="130" t="s">
        <v>78</v>
      </c>
      <c r="F12" s="130" t="s">
        <v>79</v>
      </c>
      <c r="G12" s="72" t="s">
        <v>80</v>
      </c>
      <c r="H12" s="70" t="s">
        <v>131</v>
      </c>
      <c r="I12" s="73" t="s">
        <v>81</v>
      </c>
      <c r="J12" s="75" t="s">
        <v>82</v>
      </c>
      <c r="K12" s="73" t="s">
        <v>81</v>
      </c>
      <c r="L12" s="145" t="s">
        <v>32</v>
      </c>
      <c r="M12" s="84" t="s">
        <v>33</v>
      </c>
      <c r="N12" s="84" t="s">
        <v>83</v>
      </c>
      <c r="O12" s="74" t="s">
        <v>84</v>
      </c>
      <c r="P12" s="84" t="s">
        <v>85</v>
      </c>
      <c r="Q12" s="201"/>
      <c r="R12" s="146"/>
    </row>
    <row r="13" spans="2:20">
      <c r="B13" s="244" t="s">
        <v>196</v>
      </c>
      <c r="C13" s="373">
        <v>5</v>
      </c>
      <c r="D13" s="47">
        <f>VLOOKUP($B13,'Raw data'!$A$1:$T$1052,4,0)</f>
        <v>2</v>
      </c>
      <c r="E13" s="131">
        <f>VLOOKUP($B13,'Raw data'!$A$1:$R$218,5,0)</f>
        <v>6630</v>
      </c>
      <c r="F13" s="131">
        <f>VLOOKUP($B13,'Raw data'!$A$1:$R$218,6,0)</f>
        <v>161000</v>
      </c>
      <c r="G13" s="88">
        <f>VLOOKUP($B13,'Raw data'!$A$1:$R$218,7,0)</f>
        <v>4.1099999999999998E-2</v>
      </c>
      <c r="H13" s="88">
        <f>D13*G13</f>
        <v>8.2199999999999995E-2</v>
      </c>
      <c r="I13" s="375">
        <f>AVERAGE(H13:H14)</f>
        <v>8.09E-2</v>
      </c>
      <c r="J13" s="5">
        <f>H13+H15</f>
        <v>15.8422</v>
      </c>
      <c r="K13" s="365">
        <f>AVERAGE(J13:J14)</f>
        <v>16.4209</v>
      </c>
      <c r="L13" s="90">
        <f>H13/H15*100</f>
        <v>0.52157360406091369</v>
      </c>
      <c r="M13" s="236">
        <f>100-L13</f>
        <v>99.478426395939081</v>
      </c>
      <c r="N13" s="392">
        <f>AVERAGE(L13:L14)</f>
        <v>0.49601138831887293</v>
      </c>
      <c r="O13" s="5">
        <f>J13/I17*100</f>
        <v>84.5368196371398</v>
      </c>
      <c r="P13" s="365">
        <f>AVERAGE(O13:O14)</f>
        <v>87.624866595517602</v>
      </c>
      <c r="Q13" s="14"/>
      <c r="R13" s="146"/>
    </row>
    <row r="14" spans="2:20">
      <c r="B14" s="128" t="s">
        <v>197</v>
      </c>
      <c r="C14" s="384"/>
      <c r="D14" s="35">
        <f>VLOOKUP($B14,'Raw data'!$A$1:$T$1052,4,0)</f>
        <v>2</v>
      </c>
      <c r="E14" s="132">
        <f>VLOOKUP($B14,'Raw data'!$A$1:$R$218,5,0)</f>
        <v>6350</v>
      </c>
      <c r="F14" s="132">
        <f>VLOOKUP($B14,'Raw data'!$A$1:$R$218,6,0)</f>
        <v>160000</v>
      </c>
      <c r="G14" s="91">
        <f>VLOOKUP($B14,'Raw data'!$A$1:$R$218,7,0)</f>
        <v>3.9800000000000002E-2</v>
      </c>
      <c r="H14" s="299">
        <f t="shared" ref="H14:H16" si="1">D14*G14</f>
        <v>7.9600000000000004E-2</v>
      </c>
      <c r="I14" s="385"/>
      <c r="J14" s="276">
        <f>H14+H16</f>
        <v>16.999600000000001</v>
      </c>
      <c r="K14" s="385"/>
      <c r="L14" s="93">
        <f>H14/H16*100</f>
        <v>0.47044917257683211</v>
      </c>
      <c r="M14" s="238">
        <f>100-L14</f>
        <v>99.529550827423165</v>
      </c>
      <c r="N14" s="387"/>
      <c r="O14" s="94">
        <f>J14/I17*100</f>
        <v>90.712913553895405</v>
      </c>
      <c r="P14" s="362"/>
      <c r="Q14" s="14"/>
      <c r="R14" s="146"/>
    </row>
    <row r="15" spans="2:20">
      <c r="B15" s="244" t="s">
        <v>198</v>
      </c>
      <c r="C15" s="373">
        <v>5</v>
      </c>
      <c r="D15" s="47">
        <f>VLOOKUP($B15,'Raw data'!$A$1:$T$1052,4,0)</f>
        <v>2</v>
      </c>
      <c r="E15" s="131">
        <f>VLOOKUP($B15,'Raw data'!$A$1:$R$218,5,0)</f>
        <v>1360000</v>
      </c>
      <c r="F15" s="131">
        <f>VLOOKUP($B15,'Raw data'!$A$1:$R$218,6,0)</f>
        <v>172000</v>
      </c>
      <c r="G15" s="102">
        <f>VLOOKUP($B15,'Raw data'!$A$1:$R$218,7,0)</f>
        <v>7.88</v>
      </c>
      <c r="H15" s="286">
        <f t="shared" si="1"/>
        <v>15.76</v>
      </c>
      <c r="I15" s="365">
        <f>AVERAGE(H15:H16)</f>
        <v>16.34</v>
      </c>
      <c r="J15" s="95"/>
      <c r="K15" s="96"/>
      <c r="L15" s="96"/>
      <c r="M15" s="96"/>
      <c r="N15" s="96"/>
      <c r="O15" s="6"/>
      <c r="P15" s="14"/>
      <c r="Q15" s="14"/>
      <c r="R15" s="146"/>
    </row>
    <row r="16" spans="2:20">
      <c r="B16" s="128" t="s">
        <v>199</v>
      </c>
      <c r="C16" s="374"/>
      <c r="D16" s="35">
        <f>VLOOKUP($B16,'Raw data'!$A$1:$T$1052,4,0)</f>
        <v>2</v>
      </c>
      <c r="E16" s="132">
        <f>VLOOKUP($B16,'Raw data'!$A$1:$R$218,5,0)</f>
        <v>1420000</v>
      </c>
      <c r="F16" s="132">
        <f>VLOOKUP($B16,'Raw data'!$A$1:$R$218,6,0)</f>
        <v>167000</v>
      </c>
      <c r="G16" s="327">
        <f>VLOOKUP($B16,'Raw data'!$A$1:$R$218,7,0)</f>
        <v>8.4600000000000009</v>
      </c>
      <c r="H16" s="279">
        <f t="shared" si="1"/>
        <v>16.920000000000002</v>
      </c>
      <c r="I16" s="362"/>
      <c r="J16" s="97"/>
      <c r="K16" s="14"/>
      <c r="L16" s="14"/>
      <c r="M16" s="14"/>
      <c r="N16" s="14"/>
      <c r="O16" s="11"/>
      <c r="P16" s="14"/>
      <c r="Q16" s="14"/>
      <c r="R16" s="146"/>
    </row>
    <row r="17" spans="2:19">
      <c r="B17" s="244" t="s">
        <v>200</v>
      </c>
      <c r="C17" s="373">
        <v>5</v>
      </c>
      <c r="D17" s="47">
        <f>VLOOKUP($B17,'Raw data'!$A$1:$T$1052,4,0)</f>
        <v>2</v>
      </c>
      <c r="E17" s="131">
        <f>VLOOKUP($B17,'Raw data'!$A$1:$R$218,5,0)</f>
        <v>1560000</v>
      </c>
      <c r="F17" s="131">
        <f>VLOOKUP($B17,'Raw data'!$A$1:$R$218,6,0)</f>
        <v>167000</v>
      </c>
      <c r="G17" s="102">
        <f>VLOOKUP($B17,'Raw data'!$A$1:$R$218,7,0)</f>
        <v>9.31</v>
      </c>
      <c r="H17" s="286">
        <f>D17*G17</f>
        <v>18.62</v>
      </c>
      <c r="I17" s="390">
        <f>AVERAGE(H17:H18)</f>
        <v>18.740000000000002</v>
      </c>
      <c r="J17" s="97"/>
      <c r="K17" s="14"/>
      <c r="L17" s="14"/>
      <c r="M17" s="14"/>
      <c r="N17" s="14"/>
      <c r="O17" s="14"/>
      <c r="P17" s="14"/>
      <c r="Q17" s="14"/>
      <c r="R17" s="146"/>
    </row>
    <row r="18" spans="2:19" ht="16.5" thickBot="1">
      <c r="B18" s="245" t="s">
        <v>201</v>
      </c>
      <c r="C18" s="376"/>
      <c r="D18" s="58">
        <f>VLOOKUP($B18,'Raw data'!$A$1:$T$1052,4,0)</f>
        <v>2</v>
      </c>
      <c r="E18" s="133">
        <f>VLOOKUP($B18,'Raw data'!$A$1:$R$218,5,0)</f>
        <v>1490000</v>
      </c>
      <c r="F18" s="133">
        <f>VLOOKUP($B18,'Raw data'!$A$1:$R$218,6,0)</f>
        <v>158000</v>
      </c>
      <c r="G18" s="105">
        <f>VLOOKUP($B18,'Raw data'!$A$1:$R$218,7,0)</f>
        <v>9.43</v>
      </c>
      <c r="H18" s="280">
        <f>D18*G18</f>
        <v>18.86</v>
      </c>
      <c r="I18" s="378"/>
      <c r="J18" s="98"/>
      <c r="K18" s="99"/>
      <c r="L18" s="99"/>
      <c r="M18" s="99"/>
      <c r="N18" s="99"/>
      <c r="O18" s="99"/>
      <c r="P18" s="99"/>
      <c r="Q18" s="14"/>
      <c r="R18" s="146"/>
    </row>
    <row r="19" spans="2:19">
      <c r="B19" s="8"/>
      <c r="C19" s="46"/>
      <c r="D19" s="46"/>
      <c r="E19" s="132"/>
      <c r="F19" s="132"/>
      <c r="G19" s="176"/>
      <c r="H19" s="176"/>
      <c r="I19" s="289"/>
      <c r="J19" s="14"/>
      <c r="K19" s="14"/>
      <c r="L19" s="14"/>
      <c r="M19" s="14"/>
      <c r="N19" s="14"/>
      <c r="O19" s="14"/>
      <c r="P19" s="14"/>
      <c r="Q19" s="14"/>
      <c r="R19" s="146"/>
    </row>
    <row r="20" spans="2:19" ht="16.5" thickBot="1">
      <c r="B20" s="356" t="s">
        <v>236</v>
      </c>
      <c r="C20" s="356"/>
      <c r="D20" s="356"/>
      <c r="E20" s="356"/>
      <c r="F20" s="356"/>
      <c r="G20" s="356"/>
      <c r="H20" s="356"/>
      <c r="I20" s="356"/>
      <c r="J20" s="356"/>
      <c r="K20" s="356"/>
      <c r="L20" s="356"/>
      <c r="M20" s="356"/>
      <c r="N20" s="356"/>
      <c r="O20" s="356"/>
      <c r="P20" s="356"/>
      <c r="Q20" s="388"/>
    </row>
    <row r="21" spans="2:19" ht="33">
      <c r="B21" s="71" t="s">
        <v>76</v>
      </c>
      <c r="C21" s="72" t="s">
        <v>119</v>
      </c>
      <c r="D21" s="71" t="s">
        <v>77</v>
      </c>
      <c r="E21" s="130" t="s">
        <v>78</v>
      </c>
      <c r="F21" s="130" t="s">
        <v>79</v>
      </c>
      <c r="G21" s="72" t="s">
        <v>80</v>
      </c>
      <c r="H21" s="70" t="s">
        <v>131</v>
      </c>
      <c r="I21" s="73" t="s">
        <v>81</v>
      </c>
      <c r="J21" s="75" t="s">
        <v>82</v>
      </c>
      <c r="K21" s="73" t="s">
        <v>81</v>
      </c>
      <c r="L21" s="145" t="s">
        <v>32</v>
      </c>
      <c r="M21" s="204" t="s">
        <v>33</v>
      </c>
      <c r="N21" s="84" t="s">
        <v>83</v>
      </c>
      <c r="O21" s="74" t="s">
        <v>84</v>
      </c>
      <c r="P21" s="84" t="s">
        <v>85</v>
      </c>
      <c r="Q21" s="14"/>
      <c r="R21" s="146"/>
      <c r="S21" s="146"/>
    </row>
    <row r="22" spans="2:19">
      <c r="B22" s="62" t="s">
        <v>202</v>
      </c>
      <c r="C22" s="393">
        <v>5</v>
      </c>
      <c r="D22" s="47">
        <f>VLOOKUP($B22,'Raw data'!$A$1:$T$1052,4,0)</f>
        <v>2</v>
      </c>
      <c r="E22" s="132">
        <f>VLOOKUP($B22,'Raw data'!$A$1:$R$218,5,0)</f>
        <v>40400</v>
      </c>
      <c r="F22" s="132">
        <f>VLOOKUP($B22,'Raw data'!$A$1:$R$218,6,0)</f>
        <v>163000</v>
      </c>
      <c r="G22" s="100">
        <f>VLOOKUP($B22,'Raw data'!$A$1:$R$218,7,0)</f>
        <v>0.247</v>
      </c>
      <c r="H22" s="89">
        <f>D22*G22</f>
        <v>0.49399999999999999</v>
      </c>
      <c r="I22" s="391">
        <f>AVERAGE(H22:H23)</f>
        <v>0.49</v>
      </c>
      <c r="J22" s="5">
        <f>H22+H24</f>
        <v>16.254000000000001</v>
      </c>
      <c r="K22" s="365">
        <f>AVERAGE(J22:J23)</f>
        <v>16.97</v>
      </c>
      <c r="L22" s="181">
        <f>H22/H24*100</f>
        <v>3.1345177664974617</v>
      </c>
      <c r="M22" s="236">
        <f>100-L22</f>
        <v>96.865482233502533</v>
      </c>
      <c r="N22" s="363">
        <f>AVERAGE(L22:L23)</f>
        <v>2.9800495809231498</v>
      </c>
      <c r="O22" s="5">
        <f>J22/I26*100</f>
        <v>89.751518498067369</v>
      </c>
      <c r="P22" s="365">
        <f>AVERAGE(O22:O23)</f>
        <v>93.705135284373284</v>
      </c>
      <c r="Q22" s="14"/>
      <c r="R22" s="146"/>
      <c r="S22" s="146"/>
    </row>
    <row r="23" spans="2:19">
      <c r="B23" s="64" t="s">
        <v>203</v>
      </c>
      <c r="C23" s="384"/>
      <c r="D23" s="35">
        <f>VLOOKUP($B23,'Raw data'!$A$1:$T$1052,4,0)</f>
        <v>2</v>
      </c>
      <c r="E23" s="132">
        <f>VLOOKUP($B23,'Raw data'!$A$1:$R$218,5,0)</f>
        <v>39800</v>
      </c>
      <c r="F23" s="132">
        <f>VLOOKUP($B23,'Raw data'!$A$1:$R$218,6,0)</f>
        <v>164000</v>
      </c>
      <c r="G23" s="100">
        <f>VLOOKUP($B23,'Raw data'!$A$1:$R$218,7,0)</f>
        <v>0.24299999999999999</v>
      </c>
      <c r="H23" s="92">
        <f t="shared" ref="H23:H25" si="2">D23*G23</f>
        <v>0.48599999999999999</v>
      </c>
      <c r="I23" s="385"/>
      <c r="J23" s="276">
        <f>H23+H25</f>
        <v>17.686</v>
      </c>
      <c r="K23" s="385"/>
      <c r="L23" s="101">
        <f>H23/H25*100</f>
        <v>2.8255813953488373</v>
      </c>
      <c r="M23" s="238">
        <f>100-L23</f>
        <v>97.174418604651166</v>
      </c>
      <c r="N23" s="387"/>
      <c r="O23" s="94">
        <f>J23/I26*100</f>
        <v>97.658752070679185</v>
      </c>
      <c r="P23" s="362"/>
      <c r="Q23" s="14"/>
      <c r="R23" s="146"/>
      <c r="S23" s="146"/>
    </row>
    <row r="24" spans="2:19">
      <c r="B24" s="62" t="s">
        <v>204</v>
      </c>
      <c r="C24" s="373">
        <v>5</v>
      </c>
      <c r="D24" s="47">
        <f>VLOOKUP($B24,'Raw data'!$A$1:$T$1052,4,0)</f>
        <v>2</v>
      </c>
      <c r="E24" s="131">
        <f>VLOOKUP($B24,'Raw data'!$A$1:$R$218,5,0)</f>
        <v>1280000</v>
      </c>
      <c r="F24" s="131">
        <f>VLOOKUP($B24,'Raw data'!$A$1:$R$218,6,0)</f>
        <v>163000</v>
      </c>
      <c r="G24" s="102">
        <f>VLOOKUP($B24,'Raw data'!$A$1:$R$218,7,0)</f>
        <v>7.88</v>
      </c>
      <c r="H24" s="286">
        <f t="shared" si="2"/>
        <v>15.76</v>
      </c>
      <c r="I24" s="365">
        <f>AVERAGE(H24:H25)</f>
        <v>16.48</v>
      </c>
      <c r="J24" s="95"/>
      <c r="K24" s="96"/>
      <c r="L24" s="96"/>
      <c r="M24" s="96"/>
      <c r="N24" s="96"/>
      <c r="O24" s="6"/>
      <c r="P24" s="14"/>
      <c r="Q24" s="14"/>
      <c r="R24" s="146"/>
      <c r="S24" s="146"/>
    </row>
    <row r="25" spans="2:19">
      <c r="B25" s="64" t="s">
        <v>205</v>
      </c>
      <c r="C25" s="374"/>
      <c r="D25" s="35">
        <f>VLOOKUP($B25,'Raw data'!$A$1:$T$1052,4,0)</f>
        <v>2</v>
      </c>
      <c r="E25" s="132">
        <f>VLOOKUP($B25,'Raw data'!$A$1:$R$218,5,0)</f>
        <v>1370000</v>
      </c>
      <c r="F25" s="132">
        <f>VLOOKUP($B25,'Raw data'!$A$1:$R$218,6,0)</f>
        <v>159000</v>
      </c>
      <c r="G25" s="327">
        <f>VLOOKUP($B25,'Raw data'!$A$1:$R$218,7,0)</f>
        <v>8.6</v>
      </c>
      <c r="H25" s="279">
        <f t="shared" si="2"/>
        <v>17.2</v>
      </c>
      <c r="I25" s="362"/>
      <c r="J25" s="97"/>
      <c r="K25" s="14"/>
      <c r="L25" s="14"/>
      <c r="M25" s="14"/>
      <c r="N25" s="14"/>
      <c r="O25" s="11"/>
      <c r="P25" s="14"/>
      <c r="Q25" s="14"/>
      <c r="R25" s="146"/>
      <c r="S25" s="146"/>
    </row>
    <row r="26" spans="2:19">
      <c r="B26" s="62" t="s">
        <v>206</v>
      </c>
      <c r="C26" s="373">
        <v>5</v>
      </c>
      <c r="D26" s="47">
        <f>VLOOKUP($B26,'Raw data'!$A$1:$T$1052,4,0)</f>
        <v>2</v>
      </c>
      <c r="E26" s="131">
        <f>VLOOKUP($B26,'Raw data'!$A$1:$R$218,5,0)</f>
        <v>1430000</v>
      </c>
      <c r="F26" s="131">
        <f>VLOOKUP($B26,'Raw data'!$A$1:$R$218,6,0)</f>
        <v>155000</v>
      </c>
      <c r="G26" s="102">
        <f>VLOOKUP($B26,'Raw data'!$A$1:$R$218,7,0)</f>
        <v>9.2200000000000006</v>
      </c>
      <c r="H26" s="286">
        <f>D26*G26</f>
        <v>18.440000000000001</v>
      </c>
      <c r="I26" s="390">
        <f>AVERAGE(H26:H27)</f>
        <v>18.11</v>
      </c>
      <c r="J26" s="97"/>
      <c r="K26" s="14"/>
      <c r="L26" s="14"/>
      <c r="M26" s="14"/>
      <c r="N26" s="14"/>
      <c r="O26" s="14"/>
      <c r="P26" s="14"/>
      <c r="Q26" s="14"/>
      <c r="R26" s="146"/>
      <c r="S26" s="146"/>
    </row>
    <row r="27" spans="2:19" ht="16.5" thickBot="1">
      <c r="B27" s="63" t="s">
        <v>207</v>
      </c>
      <c r="C27" s="376"/>
      <c r="D27" s="58">
        <f>VLOOKUP($B27,'Raw data'!$A$1:$T$1052,4,0)</f>
        <v>2</v>
      </c>
      <c r="E27" s="133">
        <f>VLOOKUP($B27,'Raw data'!$A$1:$R$218,5,0)</f>
        <v>1410000</v>
      </c>
      <c r="F27" s="133">
        <f>VLOOKUP($B27,'Raw data'!$A$1:$R$218,6,0)</f>
        <v>159000</v>
      </c>
      <c r="G27" s="105">
        <f>VLOOKUP($B27,'Raw data'!$A$1:$R$218,7,0)</f>
        <v>8.89</v>
      </c>
      <c r="H27" s="280">
        <f>D27*G27</f>
        <v>17.78</v>
      </c>
      <c r="I27" s="378"/>
      <c r="J27" s="98"/>
      <c r="K27" s="99"/>
      <c r="L27" s="99"/>
      <c r="M27" s="99"/>
      <c r="N27" s="99"/>
      <c r="O27" s="99"/>
      <c r="P27" s="99"/>
      <c r="Q27" s="14"/>
      <c r="R27" s="146"/>
      <c r="S27" s="146"/>
    </row>
    <row r="28" spans="2:19">
      <c r="B28" s="46"/>
      <c r="C28" s="46"/>
      <c r="D28" s="46"/>
      <c r="E28" s="132"/>
      <c r="F28" s="132"/>
      <c r="G28" s="176"/>
      <c r="H28" s="176"/>
      <c r="I28" s="284"/>
      <c r="J28" s="14"/>
      <c r="K28" s="14"/>
      <c r="L28" s="14"/>
      <c r="M28" s="14"/>
      <c r="N28" s="14"/>
      <c r="O28" s="14"/>
      <c r="P28" s="14"/>
      <c r="Q28" s="14"/>
      <c r="R28" s="146"/>
    </row>
    <row r="29" spans="2:19" ht="16.5" thickBot="1">
      <c r="B29" s="356" t="s">
        <v>72</v>
      </c>
      <c r="C29" s="356"/>
      <c r="D29" s="356"/>
      <c r="E29" s="356"/>
      <c r="F29" s="356"/>
      <c r="G29" s="356"/>
      <c r="H29" s="356"/>
      <c r="I29" s="356"/>
      <c r="J29" s="356"/>
      <c r="K29" s="356"/>
      <c r="L29" s="356"/>
      <c r="M29" s="356"/>
      <c r="N29" s="356"/>
      <c r="O29" s="356"/>
      <c r="P29" s="356"/>
      <c r="Q29" s="388"/>
    </row>
    <row r="30" spans="2:19" ht="33">
      <c r="B30" s="71" t="s">
        <v>76</v>
      </c>
      <c r="C30" s="72" t="s">
        <v>119</v>
      </c>
      <c r="D30" s="71" t="s">
        <v>77</v>
      </c>
      <c r="E30" s="130" t="s">
        <v>78</v>
      </c>
      <c r="F30" s="130" t="s">
        <v>79</v>
      </c>
      <c r="G30" s="72" t="s">
        <v>80</v>
      </c>
      <c r="H30" s="70" t="s">
        <v>131</v>
      </c>
      <c r="I30" s="73" t="s">
        <v>81</v>
      </c>
      <c r="J30" s="75" t="s">
        <v>82</v>
      </c>
      <c r="K30" s="73" t="s">
        <v>81</v>
      </c>
      <c r="L30" s="145" t="s">
        <v>32</v>
      </c>
      <c r="M30" s="84" t="s">
        <v>33</v>
      </c>
      <c r="N30" s="84" t="s">
        <v>83</v>
      </c>
      <c r="O30" s="74" t="s">
        <v>84</v>
      </c>
      <c r="P30" s="84" t="s">
        <v>85</v>
      </c>
      <c r="Q30" s="14"/>
      <c r="R30" s="146"/>
    </row>
    <row r="31" spans="2:19">
      <c r="B31" s="62" t="s">
        <v>169</v>
      </c>
      <c r="C31" s="373">
        <v>5</v>
      </c>
      <c r="D31" s="47">
        <f>VLOOKUP($B31,'Raw data'!$A$1:$T$1052,4,0)</f>
        <v>2</v>
      </c>
      <c r="E31" s="131">
        <f>VLOOKUP($B31,'Raw data'!$A$1:$R$218,5,0)</f>
        <v>4260</v>
      </c>
      <c r="F31" s="131">
        <f>VLOOKUP($B31,'Raw data'!$A$1:$R$218,6,0)</f>
        <v>159000</v>
      </c>
      <c r="G31" s="88">
        <f>VLOOKUP($B31,'Raw data'!$A$1:$R$218,7,0)</f>
        <v>2.69E-2</v>
      </c>
      <c r="H31" s="88">
        <f>D31*G31</f>
        <v>5.3800000000000001E-2</v>
      </c>
      <c r="I31" s="375">
        <f>AVERAGE(H31:H32)</f>
        <v>5.1799999999999999E-2</v>
      </c>
      <c r="J31" s="5">
        <f>H31+H33</f>
        <v>15.113800000000001</v>
      </c>
      <c r="K31" s="365">
        <f>AVERAGE(J31:J32)</f>
        <v>14.841799999999999</v>
      </c>
      <c r="L31" s="90">
        <f>H31/H33*100</f>
        <v>0.35723771580345287</v>
      </c>
      <c r="M31" s="236">
        <f>100-L31</f>
        <v>99.64276228419655</v>
      </c>
      <c r="N31" s="392">
        <f>AVERAGE(L31:L32)</f>
        <v>0.35010646120751154</v>
      </c>
      <c r="O31" s="5">
        <f>J31/I35*100</f>
        <v>86.512879221522624</v>
      </c>
      <c r="P31" s="365">
        <f>AVERAGE(O31:O32)</f>
        <v>84.955924441900407</v>
      </c>
      <c r="Q31" s="14"/>
      <c r="R31" s="146"/>
    </row>
    <row r="32" spans="2:19">
      <c r="B32" s="64" t="s">
        <v>170</v>
      </c>
      <c r="C32" s="384"/>
      <c r="D32" s="35">
        <f>VLOOKUP($B32,'Raw data'!$A$1:$T$1052,4,0)</f>
        <v>2</v>
      </c>
      <c r="E32" s="132">
        <f>VLOOKUP($B32,'Raw data'!$A$1:$R$218,5,0)</f>
        <v>4120</v>
      </c>
      <c r="F32" s="132">
        <f>VLOOKUP($B32,'Raw data'!$A$1:$R$218,6,0)</f>
        <v>166000</v>
      </c>
      <c r="G32" s="91">
        <f>VLOOKUP($B32,'Raw data'!$A$1:$R$218,7,0)</f>
        <v>2.4899999999999999E-2</v>
      </c>
      <c r="H32" s="299">
        <f t="shared" ref="H32:H34" si="3">D32*G32</f>
        <v>4.9799999999999997E-2</v>
      </c>
      <c r="I32" s="385"/>
      <c r="J32" s="276">
        <f>H32+H34</f>
        <v>14.569799999999999</v>
      </c>
      <c r="K32" s="385"/>
      <c r="L32" s="93">
        <f>H32/H34*100</f>
        <v>0.34297520661157022</v>
      </c>
      <c r="M32" s="238">
        <f>100-L32</f>
        <v>99.65702479338843</v>
      </c>
      <c r="N32" s="387"/>
      <c r="O32" s="94">
        <f>J32/I35*100</f>
        <v>83.398969662278191</v>
      </c>
      <c r="P32" s="362"/>
      <c r="Q32" s="14"/>
      <c r="R32" s="146"/>
    </row>
    <row r="33" spans="2:20">
      <c r="B33" s="62" t="s">
        <v>171</v>
      </c>
      <c r="C33" s="373">
        <v>5</v>
      </c>
      <c r="D33" s="47">
        <f>VLOOKUP($B33,'Raw data'!$A$1:$T$1052,4,0)</f>
        <v>2</v>
      </c>
      <c r="E33" s="131">
        <f>VLOOKUP($B33,'Raw data'!$A$1:$R$218,5,0)</f>
        <v>1220000</v>
      </c>
      <c r="F33" s="131">
        <f>VLOOKUP($B33,'Raw data'!$A$1:$R$218,6,0)</f>
        <v>162000</v>
      </c>
      <c r="G33" s="102">
        <f>VLOOKUP($B33,'Raw data'!$A$1:$R$218,7,0)</f>
        <v>7.53</v>
      </c>
      <c r="H33" s="286">
        <f t="shared" si="3"/>
        <v>15.06</v>
      </c>
      <c r="I33" s="365">
        <f>AVERAGE(H33:H34)</f>
        <v>14.79</v>
      </c>
      <c r="J33" s="95"/>
      <c r="K33" s="96"/>
      <c r="L33" s="96"/>
      <c r="M33" s="96"/>
      <c r="N33" s="96"/>
      <c r="O33" s="6"/>
      <c r="P33" s="14"/>
      <c r="Q33" s="14"/>
      <c r="R33" s="146"/>
    </row>
    <row r="34" spans="2:20">
      <c r="B34" s="64" t="s">
        <v>172</v>
      </c>
      <c r="C34" s="374"/>
      <c r="D34" s="35">
        <f>VLOOKUP($B34,'Raw data'!$A$1:$T$1052,4,0)</f>
        <v>2</v>
      </c>
      <c r="E34" s="132">
        <f>VLOOKUP($B34,'Raw data'!$A$1:$R$218,5,0)</f>
        <v>1180000</v>
      </c>
      <c r="F34" s="132">
        <f>VLOOKUP($B34,'Raw data'!$A$1:$R$218,6,0)</f>
        <v>162000</v>
      </c>
      <c r="G34" s="327">
        <f>VLOOKUP($B34,'Raw data'!$A$1:$R$218,7,0)</f>
        <v>7.26</v>
      </c>
      <c r="H34" s="279">
        <f t="shared" si="3"/>
        <v>14.52</v>
      </c>
      <c r="I34" s="362"/>
      <c r="J34" s="97"/>
      <c r="K34" s="14"/>
      <c r="L34" s="14"/>
      <c r="M34" s="14"/>
      <c r="N34" s="14"/>
      <c r="O34" s="11"/>
      <c r="P34" s="14"/>
      <c r="Q34" s="14"/>
      <c r="R34" s="146"/>
    </row>
    <row r="35" spans="2:20">
      <c r="B35" s="62" t="s">
        <v>173</v>
      </c>
      <c r="C35" s="373">
        <v>5</v>
      </c>
      <c r="D35" s="47">
        <f>VLOOKUP($B35,'Raw data'!$A$1:$T$1052,4,0)</f>
        <v>2</v>
      </c>
      <c r="E35" s="131">
        <f>VLOOKUP($B35,'Raw data'!$A$1:$R$218,5,0)</f>
        <v>1340000</v>
      </c>
      <c r="F35" s="131">
        <f>VLOOKUP($B35,'Raw data'!$A$1:$R$218,6,0)</f>
        <v>155000</v>
      </c>
      <c r="G35" s="102">
        <f>VLOOKUP($B35,'Raw data'!$A$1:$R$218,7,0)</f>
        <v>8.65</v>
      </c>
      <c r="H35" s="286">
        <f>D35*G35</f>
        <v>17.3</v>
      </c>
      <c r="I35" s="390">
        <f>AVERAGE(H35:H36)</f>
        <v>17.47</v>
      </c>
      <c r="J35" s="97"/>
      <c r="K35" s="14"/>
      <c r="L35" s="14"/>
      <c r="M35" s="14"/>
      <c r="N35" s="14"/>
      <c r="O35" s="14"/>
      <c r="P35" s="14"/>
      <c r="Q35" s="14"/>
      <c r="R35" s="146"/>
    </row>
    <row r="36" spans="2:20" ht="16.5" thickBot="1">
      <c r="B36" s="63" t="s">
        <v>174</v>
      </c>
      <c r="C36" s="376"/>
      <c r="D36" s="58">
        <f>VLOOKUP($B36,'Raw data'!$A$1:$T$1052,4,0)</f>
        <v>2</v>
      </c>
      <c r="E36" s="133">
        <f>VLOOKUP($B36,'Raw data'!$A$1:$R$218,5,0)</f>
        <v>1340000</v>
      </c>
      <c r="F36" s="133">
        <f>VLOOKUP($B36,'Raw data'!$A$1:$R$218,6,0)</f>
        <v>152000</v>
      </c>
      <c r="G36" s="105">
        <f>VLOOKUP($B36,'Raw data'!$A$1:$R$218,7,0)</f>
        <v>8.82</v>
      </c>
      <c r="H36" s="280">
        <f>D36*G36</f>
        <v>17.64</v>
      </c>
      <c r="I36" s="378"/>
      <c r="J36" s="98"/>
      <c r="K36" s="99"/>
      <c r="L36" s="99"/>
      <c r="M36" s="99"/>
      <c r="N36" s="99"/>
      <c r="O36" s="99"/>
      <c r="P36" s="99"/>
      <c r="Q36" s="14"/>
      <c r="R36" s="146"/>
    </row>
    <row r="37" spans="2:20">
      <c r="B37" s="8"/>
      <c r="C37" s="46"/>
      <c r="D37" s="46"/>
      <c r="E37" s="134"/>
      <c r="F37" s="134"/>
      <c r="G37" s="161"/>
      <c r="H37" s="161"/>
      <c r="I37" s="289"/>
      <c r="J37" s="14"/>
      <c r="K37" s="14"/>
      <c r="L37" s="14"/>
      <c r="M37" s="14"/>
      <c r="N37" s="14"/>
      <c r="O37" s="14"/>
      <c r="P37" s="14"/>
      <c r="Q37" s="14"/>
      <c r="R37" s="146"/>
    </row>
    <row r="38" spans="2:20" ht="16.5" thickBot="1">
      <c r="B38" s="356" t="s">
        <v>73</v>
      </c>
      <c r="C38" s="356"/>
      <c r="D38" s="356"/>
      <c r="E38" s="356"/>
      <c r="F38" s="356"/>
      <c r="G38" s="356"/>
      <c r="H38" s="356"/>
      <c r="I38" s="356"/>
      <c r="J38" s="356"/>
      <c r="K38" s="356"/>
      <c r="L38" s="356"/>
      <c r="M38" s="356"/>
      <c r="N38" s="356"/>
      <c r="O38" s="356"/>
      <c r="P38" s="356"/>
      <c r="Q38" s="388"/>
    </row>
    <row r="39" spans="2:20" ht="33">
      <c r="B39" s="71" t="s">
        <v>76</v>
      </c>
      <c r="C39" s="72" t="s">
        <v>119</v>
      </c>
      <c r="D39" s="71" t="s">
        <v>77</v>
      </c>
      <c r="E39" s="130" t="s">
        <v>78</v>
      </c>
      <c r="F39" s="130" t="s">
        <v>79</v>
      </c>
      <c r="G39" s="72" t="s">
        <v>80</v>
      </c>
      <c r="H39" s="70" t="s">
        <v>131</v>
      </c>
      <c r="I39" s="73" t="s">
        <v>81</v>
      </c>
      <c r="J39" s="75" t="s">
        <v>82</v>
      </c>
      <c r="K39" s="73" t="s">
        <v>81</v>
      </c>
      <c r="L39" s="145" t="s">
        <v>32</v>
      </c>
      <c r="M39" s="84" t="s">
        <v>33</v>
      </c>
      <c r="N39" s="84" t="s">
        <v>83</v>
      </c>
      <c r="O39" s="74" t="s">
        <v>84</v>
      </c>
      <c r="P39" s="84" t="s">
        <v>85</v>
      </c>
      <c r="Q39" s="14"/>
      <c r="R39" s="146"/>
      <c r="S39" s="146"/>
      <c r="T39" s="146"/>
    </row>
    <row r="40" spans="2:20">
      <c r="B40" s="62" t="s">
        <v>149</v>
      </c>
      <c r="C40" s="373">
        <v>5</v>
      </c>
      <c r="D40" s="47">
        <f>VLOOKUP($B40,'Raw data'!$A$1:$T$1052,4,0)</f>
        <v>2</v>
      </c>
      <c r="E40" s="131">
        <f>VLOOKUP($B40,'Raw data'!$A$1:$R$218,5,0)</f>
        <v>67500</v>
      </c>
      <c r="F40" s="131">
        <f>VLOOKUP($B40,'Raw data'!$A$1:$R$218,6,0)</f>
        <v>159000</v>
      </c>
      <c r="G40" s="89">
        <f>VLOOKUP($B40,'Raw data'!$A$1:$R$218,7,0)</f>
        <v>0.42499999999999999</v>
      </c>
      <c r="H40" s="89">
        <f>D40*G40</f>
        <v>0.85</v>
      </c>
      <c r="I40" s="391">
        <f>AVERAGE(H40:H41)</f>
        <v>0.81899999999999995</v>
      </c>
      <c r="J40" s="5">
        <f>H40+H42</f>
        <v>15.57</v>
      </c>
      <c r="K40" s="365">
        <f>AVERAGE(J40:J41)</f>
        <v>15.089</v>
      </c>
      <c r="L40" s="181">
        <f>H40/H42*100</f>
        <v>5.7744565217391299</v>
      </c>
      <c r="M40" s="236">
        <f>100-L40</f>
        <v>94.225543478260875</v>
      </c>
      <c r="N40" s="363">
        <f>AVERAGE(L40:L41)</f>
        <v>5.7381689265714471</v>
      </c>
      <c r="O40" s="5">
        <f>J40/I44*100</f>
        <v>95.054945054945065</v>
      </c>
      <c r="P40" s="365">
        <f>AVERAGE(O40:O41)</f>
        <v>92.118437118437129</v>
      </c>
      <c r="Q40" s="14"/>
      <c r="R40" s="146"/>
      <c r="S40" s="146"/>
      <c r="T40" s="146"/>
    </row>
    <row r="41" spans="2:20">
      <c r="B41" s="128" t="s">
        <v>150</v>
      </c>
      <c r="C41" s="384"/>
      <c r="D41" s="35">
        <f>VLOOKUP($B41,'Raw data'!$A$1:$T$1052,4,0)</f>
        <v>2</v>
      </c>
      <c r="E41" s="134">
        <f>VLOOKUP($B41,'Raw data'!$A$1:$R$218,5,0)</f>
        <v>64300</v>
      </c>
      <c r="F41" s="134">
        <f>VLOOKUP($B41,'Raw data'!$A$1:$R$218,6,0)</f>
        <v>163000</v>
      </c>
      <c r="G41" s="242">
        <f>VLOOKUP($B41,'Raw data'!$A$1:$R$218,7,0)</f>
        <v>0.39400000000000002</v>
      </c>
      <c r="H41" s="92">
        <f t="shared" ref="H41:H43" si="4">D41*G41</f>
        <v>0.78800000000000003</v>
      </c>
      <c r="I41" s="385"/>
      <c r="J41" s="276">
        <f>H41+H43</f>
        <v>14.608000000000001</v>
      </c>
      <c r="K41" s="385"/>
      <c r="L41" s="101">
        <f>H41/H43*100</f>
        <v>5.7018813314037633</v>
      </c>
      <c r="M41" s="238">
        <f>100-L41</f>
        <v>94.298118668596231</v>
      </c>
      <c r="N41" s="387"/>
      <c r="O41" s="94">
        <f>J41/I44*100</f>
        <v>89.181929181929192</v>
      </c>
      <c r="P41" s="362"/>
      <c r="Q41" s="14"/>
      <c r="R41" s="146"/>
      <c r="S41" s="146"/>
      <c r="T41" s="146"/>
    </row>
    <row r="42" spans="2:20">
      <c r="B42" s="62" t="s">
        <v>151</v>
      </c>
      <c r="C42" s="373">
        <v>5</v>
      </c>
      <c r="D42" s="47">
        <f>VLOOKUP($B42,'Raw data'!$A$1:$T$1052,4,0)</f>
        <v>2</v>
      </c>
      <c r="E42" s="131">
        <f>VLOOKUP($B42,'Raw data'!$A$1:$R$218,5,0)</f>
        <v>1120000</v>
      </c>
      <c r="F42" s="131">
        <f>VLOOKUP($B42,'Raw data'!$A$1:$R$218,6,0)</f>
        <v>152000</v>
      </c>
      <c r="G42" s="102">
        <f>VLOOKUP($B42,'Raw data'!$A$1:$R$218,7,0)</f>
        <v>7.36</v>
      </c>
      <c r="H42" s="286">
        <f t="shared" si="4"/>
        <v>14.72</v>
      </c>
      <c r="I42" s="365">
        <f>AVERAGE(H42:H43)</f>
        <v>14.27</v>
      </c>
      <c r="J42" s="95"/>
      <c r="K42" s="96"/>
      <c r="L42" s="96"/>
      <c r="M42" s="96"/>
      <c r="N42" s="96"/>
      <c r="O42" s="6"/>
      <c r="P42" s="14"/>
      <c r="Q42" s="14"/>
      <c r="R42" s="146"/>
      <c r="S42" s="146"/>
      <c r="T42" s="146"/>
    </row>
    <row r="43" spans="2:20" s="4" customFormat="1">
      <c r="B43" s="64" t="s">
        <v>152</v>
      </c>
      <c r="C43" s="374"/>
      <c r="D43" s="35">
        <f>VLOOKUP($B43,'Raw data'!$A$1:$T$1052,4,0)</f>
        <v>2</v>
      </c>
      <c r="E43" s="132">
        <f>VLOOKUP($B43,'Raw data'!$A$1:$R$218,5,0)</f>
        <v>1060000</v>
      </c>
      <c r="F43" s="132">
        <f>VLOOKUP($B43,'Raw data'!$A$1:$R$218,6,0)</f>
        <v>153000</v>
      </c>
      <c r="G43" s="327">
        <f>VLOOKUP($B43,'Raw data'!$A$1:$R$218,7,0)</f>
        <v>6.91</v>
      </c>
      <c r="H43" s="279">
        <f t="shared" si="4"/>
        <v>13.82</v>
      </c>
      <c r="I43" s="362"/>
      <c r="J43" s="97"/>
      <c r="K43" s="14"/>
      <c r="L43" s="14"/>
      <c r="M43" s="14"/>
      <c r="N43" s="14"/>
      <c r="O43" s="11"/>
      <c r="P43" s="14"/>
      <c r="Q43" s="14"/>
      <c r="R43" s="154"/>
      <c r="S43" s="154"/>
      <c r="T43" s="154"/>
    </row>
    <row r="44" spans="2:20">
      <c r="B44" s="62" t="s">
        <v>153</v>
      </c>
      <c r="C44" s="373">
        <v>5</v>
      </c>
      <c r="D44" s="47">
        <f>VLOOKUP($B44,'Raw data'!$A$1:$T$1052,4,0)</f>
        <v>2</v>
      </c>
      <c r="E44" s="131">
        <f>VLOOKUP($B44,'Raw data'!$A$1:$R$218,5,0)</f>
        <v>1230000</v>
      </c>
      <c r="F44" s="131">
        <f>VLOOKUP($B44,'Raw data'!$A$1:$R$218,6,0)</f>
        <v>151000</v>
      </c>
      <c r="G44" s="102">
        <f>VLOOKUP($B44,'Raw data'!$A$1:$R$218,7,0)</f>
        <v>8.11</v>
      </c>
      <c r="H44" s="286">
        <f>D44*G44</f>
        <v>16.22</v>
      </c>
      <c r="I44" s="390">
        <f>AVERAGE(H44:H45)</f>
        <v>16.38</v>
      </c>
      <c r="J44" s="97"/>
      <c r="K44" s="14"/>
      <c r="L44" s="14"/>
      <c r="M44" s="14"/>
      <c r="N44" s="14"/>
      <c r="O44" s="14"/>
      <c r="P44" s="14"/>
      <c r="Q44" s="14"/>
      <c r="R44" s="146"/>
      <c r="S44" s="146"/>
      <c r="T44" s="146"/>
    </row>
    <row r="45" spans="2:20" ht="16.5" thickBot="1">
      <c r="B45" s="63" t="s">
        <v>154</v>
      </c>
      <c r="C45" s="376"/>
      <c r="D45" s="58">
        <f>VLOOKUP($B45,'Raw data'!$A$1:$T$1052,4,0)</f>
        <v>2</v>
      </c>
      <c r="E45" s="133">
        <f>VLOOKUP($B45,'Raw data'!$A$1:$R$218,5,0)</f>
        <v>1230000</v>
      </c>
      <c r="F45" s="133">
        <f>VLOOKUP($B45,'Raw data'!$A$1:$R$218,6,0)</f>
        <v>149000</v>
      </c>
      <c r="G45" s="105">
        <f>VLOOKUP($B45,'Raw data'!$A$1:$R$218,7,0)</f>
        <v>8.27</v>
      </c>
      <c r="H45" s="280">
        <f>D45*G45</f>
        <v>16.54</v>
      </c>
      <c r="I45" s="378"/>
      <c r="J45" s="98"/>
      <c r="K45" s="99"/>
      <c r="L45" s="99"/>
      <c r="M45" s="99"/>
      <c r="N45" s="99"/>
      <c r="O45" s="99"/>
      <c r="P45" s="99"/>
      <c r="Q45" s="14"/>
      <c r="R45" s="146"/>
      <c r="S45" s="146"/>
      <c r="T45" s="146"/>
    </row>
    <row r="46" spans="2:20">
      <c r="B46" s="85"/>
      <c r="C46" s="46"/>
      <c r="D46" s="46"/>
      <c r="E46" s="134"/>
      <c r="F46" s="134"/>
      <c r="G46" s="161"/>
      <c r="H46" s="161"/>
      <c r="I46" s="268"/>
      <c r="J46" s="14"/>
      <c r="K46" s="14"/>
      <c r="L46" s="14"/>
      <c r="M46" s="14"/>
      <c r="N46" s="14"/>
      <c r="O46" s="14"/>
      <c r="P46" s="14"/>
      <c r="Q46" s="14"/>
      <c r="R46" s="146"/>
      <c r="S46" s="146"/>
      <c r="T46" s="146"/>
    </row>
    <row r="47" spans="2:20">
      <c r="B47" s="8"/>
      <c r="C47" s="46"/>
      <c r="D47" s="46"/>
      <c r="E47" s="134"/>
      <c r="F47" s="134"/>
      <c r="G47" s="161"/>
      <c r="H47" s="161"/>
      <c r="I47" s="261"/>
      <c r="J47" s="14"/>
      <c r="K47" s="14"/>
      <c r="L47" s="14"/>
      <c r="M47" s="14"/>
      <c r="N47" s="14"/>
      <c r="O47" s="14"/>
      <c r="P47" s="14"/>
      <c r="Q47" s="14"/>
      <c r="R47" s="146"/>
      <c r="S47" s="146"/>
      <c r="T47" s="146"/>
    </row>
    <row r="48" spans="2:20">
      <c r="B48" s="8"/>
      <c r="C48" s="46"/>
      <c r="D48" s="46"/>
      <c r="E48" s="134"/>
      <c r="F48" s="134"/>
      <c r="G48" s="15"/>
      <c r="H48" s="15"/>
      <c r="I48" s="202"/>
      <c r="J48" s="9"/>
      <c r="K48" s="9"/>
      <c r="L48" s="7"/>
      <c r="M48" s="7"/>
      <c r="N48" s="7"/>
      <c r="O48" s="10"/>
      <c r="P48" s="7"/>
    </row>
    <row r="49" spans="2:19" s="120" customFormat="1">
      <c r="B49" s="123" t="s">
        <v>86</v>
      </c>
      <c r="C49" s="124"/>
      <c r="D49" s="124"/>
      <c r="E49" s="135"/>
      <c r="F49" s="135"/>
      <c r="G49" s="125"/>
      <c r="H49" s="125"/>
      <c r="I49" s="31"/>
      <c r="J49" s="126"/>
      <c r="K49" s="126"/>
      <c r="L49" s="28"/>
      <c r="M49" s="28"/>
      <c r="N49" s="28"/>
      <c r="O49" s="127"/>
      <c r="P49" s="28"/>
      <c r="Q49" s="28"/>
    </row>
    <row r="50" spans="2:19" ht="13.5" customHeight="1" thickBot="1">
      <c r="B50" s="356" t="s">
        <v>87</v>
      </c>
      <c r="C50" s="356"/>
      <c r="D50" s="356"/>
      <c r="E50" s="356"/>
      <c r="F50" s="356"/>
      <c r="G50" s="356"/>
      <c r="H50" s="356"/>
      <c r="I50" s="356"/>
      <c r="J50" s="356"/>
      <c r="K50" s="356"/>
      <c r="L50" s="356"/>
      <c r="M50" s="356"/>
      <c r="N50" s="356"/>
      <c r="O50" s="356"/>
      <c r="P50" s="356"/>
      <c r="Q50" s="388"/>
    </row>
    <row r="51" spans="2:19" s="138" customFormat="1" ht="33.6" customHeight="1">
      <c r="B51" s="71" t="s">
        <v>76</v>
      </c>
      <c r="C51" s="72" t="s">
        <v>119</v>
      </c>
      <c r="D51" s="71" t="s">
        <v>77</v>
      </c>
      <c r="E51" s="130" t="s">
        <v>78</v>
      </c>
      <c r="F51" s="130" t="s">
        <v>79</v>
      </c>
      <c r="G51" s="72" t="s">
        <v>80</v>
      </c>
      <c r="H51" s="70" t="s">
        <v>131</v>
      </c>
      <c r="I51" s="73" t="s">
        <v>81</v>
      </c>
      <c r="J51" s="75" t="s">
        <v>82</v>
      </c>
      <c r="K51" s="73" t="s">
        <v>81</v>
      </c>
      <c r="L51" s="145" t="s">
        <v>32</v>
      </c>
      <c r="M51" s="84" t="s">
        <v>33</v>
      </c>
      <c r="N51" s="84" t="s">
        <v>83</v>
      </c>
      <c r="O51" s="74" t="s">
        <v>84</v>
      </c>
      <c r="P51" s="84" t="s">
        <v>85</v>
      </c>
      <c r="Q51" s="233"/>
      <c r="R51" s="234"/>
      <c r="S51" s="234"/>
    </row>
    <row r="52" spans="2:19">
      <c r="B52" s="62" t="s">
        <v>155</v>
      </c>
      <c r="C52" s="373">
        <v>5</v>
      </c>
      <c r="D52" s="106">
        <f>VLOOKUP($B52,'Raw data'!$A$1:$T$1052,4,0)</f>
        <v>2</v>
      </c>
      <c r="E52" s="131">
        <f>VLOOKUP($B52,'Raw data'!$A$1:$R$218,5,0)</f>
        <v>9860</v>
      </c>
      <c r="F52" s="131">
        <f>VLOOKUP($B52,'Raw data'!$A$1:$R$218,6,0)</f>
        <v>912000</v>
      </c>
      <c r="G52" s="88">
        <f>VLOOKUP($B52,'Raw data'!$A$1:$R$218,7,0)</f>
        <v>1.0800000000000001E-2</v>
      </c>
      <c r="H52" s="88">
        <f>D52*G52</f>
        <v>2.1600000000000001E-2</v>
      </c>
      <c r="I52" s="375">
        <f>AVERAGE(H52:H53)</f>
        <v>2.1299999999999999E-2</v>
      </c>
      <c r="J52" s="328">
        <f>H52+H54</f>
        <v>4.9799999999999997E-2</v>
      </c>
      <c r="K52" s="375">
        <f>AVERAGE(J52:J53)</f>
        <v>4.7899999999999998E-2</v>
      </c>
      <c r="L52" s="103">
        <f>H52/H54*100</f>
        <v>76.59574468085107</v>
      </c>
      <c r="M52" s="236">
        <f>100-L52</f>
        <v>23.40425531914893</v>
      </c>
      <c r="N52" s="386">
        <f>AVERAGE(L52:L53)</f>
        <v>80.297872340425528</v>
      </c>
      <c r="O52" s="5">
        <f>J52/I56*100</f>
        <v>91.544117647058812</v>
      </c>
      <c r="P52" s="365">
        <f>AVERAGE(O52:O53)</f>
        <v>88.051470588235276</v>
      </c>
      <c r="Q52" s="14"/>
      <c r="R52" s="146"/>
      <c r="S52" s="146"/>
    </row>
    <row r="53" spans="2:19">
      <c r="B53" s="64" t="s">
        <v>156</v>
      </c>
      <c r="C53" s="384"/>
      <c r="D53" s="107">
        <f>VLOOKUP($B53,'Raw data'!$A$1:$T$1052,4,0)</f>
        <v>2</v>
      </c>
      <c r="E53" s="132">
        <f>VLOOKUP($B53,'Raw data'!$A$1:$R$218,5,0)</f>
        <v>9660</v>
      </c>
      <c r="F53" s="132">
        <f>VLOOKUP($B53,'Raw data'!$A$1:$R$218,6,0)</f>
        <v>919000</v>
      </c>
      <c r="G53" s="91">
        <f>VLOOKUP($B53,'Raw data'!$A$1:$R$218,7,0)</f>
        <v>1.0500000000000001E-2</v>
      </c>
      <c r="H53" s="299">
        <f t="shared" ref="H53:H55" si="5">D53*G53</f>
        <v>2.1000000000000001E-2</v>
      </c>
      <c r="I53" s="385"/>
      <c r="J53" s="329">
        <f>H53+H55</f>
        <v>4.5999999999999999E-2</v>
      </c>
      <c r="K53" s="385"/>
      <c r="L53" s="104">
        <f>H53/H55*100</f>
        <v>84</v>
      </c>
      <c r="M53" s="309" t="s">
        <v>244</v>
      </c>
      <c r="N53" s="387"/>
      <c r="O53" s="94">
        <f>J53/I56*100</f>
        <v>84.558823529411754</v>
      </c>
      <c r="P53" s="362"/>
      <c r="Q53" s="14"/>
      <c r="R53" s="146"/>
      <c r="S53" s="146"/>
    </row>
    <row r="54" spans="2:19">
      <c r="B54" s="62" t="s">
        <v>157</v>
      </c>
      <c r="C54" s="373">
        <v>5</v>
      </c>
      <c r="D54" s="106">
        <f>VLOOKUP($B54,'Raw data'!$A$1:$T$1052,4,0)</f>
        <v>2</v>
      </c>
      <c r="E54" s="131">
        <f>VLOOKUP($B54,'Raw data'!$A$1:$R$218,5,0)</f>
        <v>13200</v>
      </c>
      <c r="F54" s="131">
        <f>VLOOKUP($B54,'Raw data'!$A$1:$R$218,6,0)</f>
        <v>934000</v>
      </c>
      <c r="G54" s="88">
        <f>VLOOKUP($B54,'Raw data'!$A$1:$R$218,7,0)</f>
        <v>1.41E-2</v>
      </c>
      <c r="H54" s="88">
        <f t="shared" si="5"/>
        <v>2.8199999999999999E-2</v>
      </c>
      <c r="I54" s="375">
        <f>AVERAGE(H54:H55)</f>
        <v>2.6599999999999999E-2</v>
      </c>
      <c r="J54" s="95"/>
      <c r="K54" s="96"/>
      <c r="L54" s="96"/>
      <c r="M54" s="96"/>
      <c r="N54" s="96"/>
      <c r="O54" s="6"/>
      <c r="P54" s="14"/>
      <c r="Q54" s="14"/>
      <c r="R54" s="146"/>
      <c r="S54" s="146"/>
    </row>
    <row r="55" spans="2:19">
      <c r="B55" s="64" t="s">
        <v>158</v>
      </c>
      <c r="C55" s="374"/>
      <c r="D55" s="107">
        <f>VLOOKUP($B55,'Raw data'!$A$1:$T$1052,4,0)</f>
        <v>2</v>
      </c>
      <c r="E55" s="132">
        <f>VLOOKUP($B55,'Raw data'!$A$1:$R$218,5,0)</f>
        <v>11700</v>
      </c>
      <c r="F55" s="132">
        <f>VLOOKUP($B55,'Raw data'!$A$1:$R$218,6,0)</f>
        <v>935000</v>
      </c>
      <c r="G55" s="91">
        <f>VLOOKUP($B55,'Raw data'!$A$1:$R$218,7,0)</f>
        <v>1.2500000000000001E-2</v>
      </c>
      <c r="H55" s="299">
        <f t="shared" si="5"/>
        <v>2.5000000000000001E-2</v>
      </c>
      <c r="I55" s="362"/>
      <c r="J55" s="97"/>
      <c r="K55" s="14"/>
      <c r="L55" s="14"/>
      <c r="M55" s="14"/>
      <c r="N55" s="14"/>
      <c r="O55" s="11"/>
      <c r="P55" s="14"/>
      <c r="Q55" s="14"/>
      <c r="R55" s="146"/>
      <c r="S55" s="146"/>
    </row>
    <row r="56" spans="2:19">
      <c r="B56" s="62" t="s">
        <v>159</v>
      </c>
      <c r="C56" s="373">
        <v>5</v>
      </c>
      <c r="D56" s="106">
        <f>VLOOKUP($B56,'Raw data'!$A$1:$T$1052,4,0)</f>
        <v>2</v>
      </c>
      <c r="E56" s="131">
        <f>VLOOKUP($B56,'Raw data'!$A$1:$R$218,5,0)</f>
        <v>23700</v>
      </c>
      <c r="F56" s="131">
        <f>VLOOKUP($B56,'Raw data'!$A$1:$R$218,6,0)</f>
        <v>893000</v>
      </c>
      <c r="G56" s="88">
        <f>VLOOKUP($B56,'Raw data'!$A$1:$R$218,7,0)</f>
        <v>2.6499999999999999E-2</v>
      </c>
      <c r="H56" s="88">
        <f>D56*G56</f>
        <v>5.2999999999999999E-2</v>
      </c>
      <c r="I56" s="377">
        <f>AVERAGE(H56:H57)</f>
        <v>5.4400000000000004E-2</v>
      </c>
      <c r="J56" s="97"/>
      <c r="K56" s="14"/>
      <c r="L56" s="14"/>
      <c r="M56" s="14"/>
      <c r="N56" s="14"/>
      <c r="O56" s="14"/>
      <c r="P56" s="14"/>
      <c r="Q56" s="14"/>
      <c r="R56" s="146"/>
      <c r="S56" s="146"/>
    </row>
    <row r="57" spans="2:19" ht="16.5" thickBot="1">
      <c r="B57" s="63" t="s">
        <v>160</v>
      </c>
      <c r="C57" s="376"/>
      <c r="D57" s="108">
        <f>VLOOKUP($B57,'Raw data'!$A$1:$T$1052,4,0)</f>
        <v>2</v>
      </c>
      <c r="E57" s="133">
        <f>VLOOKUP($B57,'Raw data'!$A$1:$R$218,5,0)</f>
        <v>24200</v>
      </c>
      <c r="F57" s="133">
        <f>VLOOKUP($B57,'Raw data'!$A$1:$R$218,6,0)</f>
        <v>870000</v>
      </c>
      <c r="G57" s="330">
        <f>VLOOKUP($B57,'Raw data'!$A$1:$R$218,7,0)</f>
        <v>2.7900000000000001E-2</v>
      </c>
      <c r="H57" s="330">
        <f>D57*G57</f>
        <v>5.5800000000000002E-2</v>
      </c>
      <c r="I57" s="378"/>
      <c r="J57" s="98"/>
      <c r="K57" s="99"/>
      <c r="L57" s="99"/>
      <c r="M57" s="99"/>
      <c r="N57" s="99"/>
      <c r="O57" s="99"/>
      <c r="P57" s="99"/>
      <c r="Q57" s="14"/>
      <c r="R57" s="146"/>
      <c r="S57" s="146"/>
    </row>
    <row r="58" spans="2:19">
      <c r="B58" s="13"/>
      <c r="C58" s="21"/>
      <c r="D58" s="21"/>
      <c r="E58" s="136"/>
      <c r="F58" s="136"/>
      <c r="G58" s="14"/>
      <c r="H58" s="14"/>
      <c r="I58" s="14"/>
      <c r="J58" s="289"/>
      <c r="K58" s="289"/>
      <c r="L58" s="14"/>
      <c r="M58" s="14"/>
      <c r="N58" s="14"/>
      <c r="O58" s="14"/>
      <c r="P58" s="14"/>
      <c r="Q58" s="14"/>
      <c r="R58" s="146"/>
    </row>
    <row r="59" spans="2:19" ht="13.5" customHeight="1" thickBot="1">
      <c r="B59" s="356" t="s">
        <v>88</v>
      </c>
      <c r="C59" s="356"/>
      <c r="D59" s="356"/>
      <c r="E59" s="356"/>
      <c r="F59" s="356"/>
      <c r="G59" s="356"/>
      <c r="H59" s="356"/>
      <c r="I59" s="356"/>
      <c r="J59" s="356"/>
      <c r="K59" s="356"/>
      <c r="L59" s="356"/>
      <c r="M59" s="356"/>
      <c r="N59" s="356"/>
      <c r="O59" s="356"/>
      <c r="P59" s="356"/>
      <c r="Q59" s="388"/>
    </row>
    <row r="60" spans="2:19" ht="33.6" customHeight="1">
      <c r="B60" s="71" t="s">
        <v>76</v>
      </c>
      <c r="C60" s="72" t="s">
        <v>119</v>
      </c>
      <c r="D60" s="71" t="s">
        <v>77</v>
      </c>
      <c r="E60" s="130" t="s">
        <v>78</v>
      </c>
      <c r="F60" s="130" t="s">
        <v>79</v>
      </c>
      <c r="G60" s="72" t="s">
        <v>80</v>
      </c>
      <c r="H60" s="70" t="s">
        <v>131</v>
      </c>
      <c r="I60" s="73" t="s">
        <v>81</v>
      </c>
      <c r="J60" s="75" t="s">
        <v>82</v>
      </c>
      <c r="K60" s="73" t="s">
        <v>81</v>
      </c>
      <c r="L60" s="145" t="s">
        <v>32</v>
      </c>
      <c r="M60" s="84" t="s">
        <v>33</v>
      </c>
      <c r="N60" s="84" t="s">
        <v>83</v>
      </c>
      <c r="O60" s="74" t="s">
        <v>84</v>
      </c>
      <c r="P60" s="84" t="s">
        <v>85</v>
      </c>
      <c r="Q60" s="14"/>
      <c r="R60" s="146"/>
      <c r="S60" s="146"/>
    </row>
    <row r="61" spans="2:19">
      <c r="B61" s="244" t="s">
        <v>208</v>
      </c>
      <c r="C61" s="379">
        <v>5</v>
      </c>
      <c r="D61" s="106">
        <f>VLOOKUP($B61,'Raw data'!$A$1:$T$1052,4,0)</f>
        <v>2</v>
      </c>
      <c r="E61" s="131">
        <f>VLOOKUP($B61,'Raw data'!$A$1:$R$218,5,0)</f>
        <v>9720</v>
      </c>
      <c r="F61" s="131">
        <f>VLOOKUP($B61,'Raw data'!$A$1:$R$218,6,0)</f>
        <v>890000</v>
      </c>
      <c r="G61" s="88">
        <f>VLOOKUP($B61,'Raw data'!$A$1:$R$218,7,0)</f>
        <v>1.09E-2</v>
      </c>
      <c r="H61" s="88">
        <f>D61*G61</f>
        <v>2.18E-2</v>
      </c>
      <c r="I61" s="375">
        <f>AVERAGE(H61:H62)</f>
        <v>2.0999999999999998E-2</v>
      </c>
      <c r="J61" s="328">
        <f>H61+H63</f>
        <v>4.58E-2</v>
      </c>
      <c r="K61" s="375">
        <f>AVERAGE(J61:J62)</f>
        <v>4.4999999999999998E-2</v>
      </c>
      <c r="L61" s="103">
        <f>H61/H63*100</f>
        <v>90.833333333333329</v>
      </c>
      <c r="M61" s="331">
        <f>100-L61</f>
        <v>9.1666666666666714</v>
      </c>
      <c r="N61" s="386">
        <f>AVERAGE(L61:L62)</f>
        <v>87.5</v>
      </c>
      <c r="O61" s="5">
        <f>J61/I65*100</f>
        <v>95.020746887966808</v>
      </c>
      <c r="P61" s="365">
        <f>AVERAGE(O61:O62)</f>
        <v>93.360995850622402</v>
      </c>
      <c r="Q61" s="14"/>
      <c r="R61" s="146"/>
      <c r="S61" s="146"/>
    </row>
    <row r="62" spans="2:19">
      <c r="B62" s="128" t="s">
        <v>209</v>
      </c>
      <c r="C62" s="389"/>
      <c r="D62" s="107">
        <f>VLOOKUP($B62,'Raw data'!$A$1:$T$1052,4,0)</f>
        <v>2</v>
      </c>
      <c r="E62" s="132">
        <f>VLOOKUP($B62,'Raw data'!$A$1:$R$218,5,0)</f>
        <v>9290</v>
      </c>
      <c r="F62" s="132">
        <f>VLOOKUP($B62,'Raw data'!$A$1:$R$218,6,0)</f>
        <v>920000</v>
      </c>
      <c r="G62" s="91">
        <f>VLOOKUP($B62,'Raw data'!$A$1:$R$218,7,0)</f>
        <v>1.01E-2</v>
      </c>
      <c r="H62" s="299">
        <f t="shared" ref="H62:H64" si="6">D62*G62</f>
        <v>2.0199999999999999E-2</v>
      </c>
      <c r="I62" s="385"/>
      <c r="J62" s="329">
        <f>H62+H64</f>
        <v>4.4200000000000003E-2</v>
      </c>
      <c r="K62" s="385"/>
      <c r="L62" s="104">
        <f>H62/H64*100</f>
        <v>84.166666666666657</v>
      </c>
      <c r="M62" s="238">
        <f>100-L62</f>
        <v>15.833333333333343</v>
      </c>
      <c r="N62" s="387"/>
      <c r="O62" s="94">
        <f>J62/I65*100</f>
        <v>91.701244813278009</v>
      </c>
      <c r="P62" s="362"/>
      <c r="Q62" s="14"/>
      <c r="R62" s="146"/>
      <c r="S62" s="146"/>
    </row>
    <row r="63" spans="2:19">
      <c r="B63" s="244" t="s">
        <v>210</v>
      </c>
      <c r="C63" s="379">
        <v>5</v>
      </c>
      <c r="D63" s="106">
        <f>VLOOKUP($B63,'Raw data'!$A$1:$T$1052,4,0)</f>
        <v>2</v>
      </c>
      <c r="E63" s="131">
        <f>VLOOKUP($B63,'Raw data'!$A$1:$R$218,5,0)</f>
        <v>11400</v>
      </c>
      <c r="F63" s="131">
        <f>VLOOKUP($B63,'Raw data'!$A$1:$R$218,6,0)</f>
        <v>948000</v>
      </c>
      <c r="G63" s="88">
        <f>VLOOKUP($B63,'Raw data'!$A$1:$R$218,7,0)</f>
        <v>1.2E-2</v>
      </c>
      <c r="H63" s="88">
        <f t="shared" si="6"/>
        <v>2.4E-2</v>
      </c>
      <c r="I63" s="375">
        <f>AVERAGE(H63:H64)</f>
        <v>2.4E-2</v>
      </c>
      <c r="J63" s="95"/>
      <c r="K63" s="96"/>
      <c r="L63" s="96"/>
      <c r="M63" s="96"/>
      <c r="N63" s="96"/>
      <c r="O63" s="6"/>
      <c r="P63" s="14"/>
      <c r="Q63" s="14"/>
      <c r="R63" s="146"/>
      <c r="S63" s="146"/>
    </row>
    <row r="64" spans="2:19">
      <c r="B64" s="128" t="s">
        <v>211</v>
      </c>
      <c r="C64" s="380"/>
      <c r="D64" s="107">
        <f>VLOOKUP($B64,'Raw data'!$A$1:$T$1052,4,0)</f>
        <v>2</v>
      </c>
      <c r="E64" s="132">
        <f>VLOOKUP($B64,'Raw data'!$A$1:$R$218,5,0)</f>
        <v>11300</v>
      </c>
      <c r="F64" s="132">
        <f>VLOOKUP($B64,'Raw data'!$A$1:$R$218,6,0)</f>
        <v>943000</v>
      </c>
      <c r="G64" s="91">
        <f>VLOOKUP($B64,'Raw data'!$A$1:$R$218,7,0)</f>
        <v>1.2E-2</v>
      </c>
      <c r="H64" s="299">
        <f t="shared" si="6"/>
        <v>2.4E-2</v>
      </c>
      <c r="I64" s="362"/>
      <c r="J64" s="97"/>
      <c r="K64" s="14"/>
      <c r="L64" s="14"/>
      <c r="M64" s="14"/>
      <c r="N64" s="14"/>
      <c r="O64" s="11"/>
      <c r="P64" s="14"/>
      <c r="Q64" s="14"/>
      <c r="R64" s="146"/>
      <c r="S64" s="146"/>
    </row>
    <row r="65" spans="2:20">
      <c r="B65" s="244" t="s">
        <v>212</v>
      </c>
      <c r="C65" s="379">
        <v>5</v>
      </c>
      <c r="D65" s="106">
        <f>VLOOKUP($B65,'Raw data'!$A$1:$T$1052,4,0)</f>
        <v>2</v>
      </c>
      <c r="E65" s="131">
        <f>VLOOKUP($B65,'Raw data'!$A$1:$R$218,5,0)</f>
        <v>23000</v>
      </c>
      <c r="F65" s="131">
        <f>VLOOKUP($B65,'Raw data'!$A$1:$R$218,6,0)</f>
        <v>927000</v>
      </c>
      <c r="G65" s="88">
        <f>VLOOKUP($B65,'Raw data'!$A$1:$R$218,7,0)</f>
        <v>2.4799999999999999E-2</v>
      </c>
      <c r="H65" s="88">
        <f>D65*G65</f>
        <v>4.9599999999999998E-2</v>
      </c>
      <c r="I65" s="377">
        <f>AVERAGE(H65:H66)</f>
        <v>4.82E-2</v>
      </c>
      <c r="J65" s="97"/>
      <c r="K65" s="14"/>
      <c r="L65" s="14"/>
      <c r="M65" s="14"/>
      <c r="N65" s="14"/>
      <c r="O65" s="14"/>
      <c r="P65" s="14"/>
      <c r="Q65" s="14"/>
      <c r="R65" s="146"/>
      <c r="S65" s="146"/>
    </row>
    <row r="66" spans="2:20" ht="16.5" thickBot="1">
      <c r="B66" s="245" t="s">
        <v>213</v>
      </c>
      <c r="C66" s="381"/>
      <c r="D66" s="108">
        <f>VLOOKUP($B66,'Raw data'!$A$1:$T$1052,4,0)</f>
        <v>2</v>
      </c>
      <c r="E66" s="133">
        <f>VLOOKUP($B66,'Raw data'!$A$1:$R$218,5,0)</f>
        <v>21000</v>
      </c>
      <c r="F66" s="133">
        <f>VLOOKUP($B66,'Raw data'!$A$1:$R$218,6,0)</f>
        <v>896000</v>
      </c>
      <c r="G66" s="330">
        <f>VLOOKUP($B66,'Raw data'!$A$1:$R$218,7,0)</f>
        <v>2.3400000000000001E-2</v>
      </c>
      <c r="H66" s="330">
        <f>D66*G66</f>
        <v>4.6800000000000001E-2</v>
      </c>
      <c r="I66" s="378"/>
      <c r="J66" s="98"/>
      <c r="K66" s="99"/>
      <c r="L66" s="99"/>
      <c r="M66" s="99"/>
      <c r="N66" s="99"/>
      <c r="O66" s="99"/>
      <c r="P66" s="99"/>
      <c r="Q66" s="14"/>
      <c r="R66" s="146"/>
      <c r="S66" s="146"/>
    </row>
    <row r="67" spans="2:20">
      <c r="B67" s="209"/>
      <c r="C67" s="281"/>
      <c r="D67" s="281"/>
      <c r="E67" s="176"/>
      <c r="F67" s="176"/>
      <c r="G67" s="176"/>
      <c r="H67" s="176"/>
      <c r="I67" s="311"/>
      <c r="J67" s="14"/>
      <c r="K67" s="14"/>
      <c r="L67" s="14"/>
      <c r="M67" s="14"/>
      <c r="N67" s="14"/>
      <c r="O67" s="14"/>
      <c r="P67" s="14"/>
      <c r="Q67" s="14"/>
      <c r="R67" s="146"/>
      <c r="S67" s="146"/>
    </row>
    <row r="68" spans="2:20" ht="16.5" thickBot="1">
      <c r="B68" s="356" t="s">
        <v>237</v>
      </c>
      <c r="C68" s="382"/>
      <c r="D68" s="382"/>
      <c r="E68" s="382"/>
      <c r="F68" s="382"/>
      <c r="G68" s="382"/>
      <c r="H68" s="382"/>
      <c r="I68" s="382"/>
      <c r="J68" s="382"/>
      <c r="K68" s="382"/>
      <c r="L68" s="382"/>
      <c r="M68" s="382"/>
      <c r="N68" s="382"/>
      <c r="O68" s="382"/>
      <c r="P68" s="382"/>
      <c r="Q68" s="383"/>
      <c r="R68" s="146"/>
    </row>
    <row r="69" spans="2:20" ht="33.6" customHeight="1">
      <c r="B69" s="71" t="s">
        <v>76</v>
      </c>
      <c r="C69" s="72" t="s">
        <v>119</v>
      </c>
      <c r="D69" s="71" t="s">
        <v>77</v>
      </c>
      <c r="E69" s="130" t="s">
        <v>78</v>
      </c>
      <c r="F69" s="130" t="s">
        <v>79</v>
      </c>
      <c r="G69" s="72" t="s">
        <v>80</v>
      </c>
      <c r="H69" s="70" t="s">
        <v>131</v>
      </c>
      <c r="I69" s="73" t="s">
        <v>81</v>
      </c>
      <c r="J69" s="75" t="s">
        <v>82</v>
      </c>
      <c r="K69" s="73" t="s">
        <v>81</v>
      </c>
      <c r="L69" s="145" t="s">
        <v>32</v>
      </c>
      <c r="M69" s="84" t="s">
        <v>33</v>
      </c>
      <c r="N69" s="84" t="s">
        <v>83</v>
      </c>
      <c r="O69" s="74" t="s">
        <v>84</v>
      </c>
      <c r="P69" s="84" t="s">
        <v>85</v>
      </c>
      <c r="Q69" s="14"/>
      <c r="R69" s="146"/>
      <c r="S69" s="146"/>
      <c r="T69" s="146"/>
    </row>
    <row r="70" spans="2:20">
      <c r="B70" s="62" t="s">
        <v>214</v>
      </c>
      <c r="C70" s="373">
        <v>5</v>
      </c>
      <c r="D70" s="47">
        <f>VLOOKUP($B70,'Raw data'!$A$1:$T$1052,4,0)</f>
        <v>2</v>
      </c>
      <c r="E70" s="131">
        <f>VLOOKUP($B70,'Raw data'!$A$1:$R$218,5,0)</f>
        <v>8000</v>
      </c>
      <c r="F70" s="131">
        <f>VLOOKUP($B70,'Raw data'!$A$1:$R$218,6,0)</f>
        <v>885000</v>
      </c>
      <c r="G70" s="332">
        <f>VLOOKUP($B70,'Raw data'!$A$1:$R$218,7,0)</f>
        <v>9.0299999999999998E-3</v>
      </c>
      <c r="H70" s="88">
        <f>D70*G70</f>
        <v>1.806E-2</v>
      </c>
      <c r="I70" s="375">
        <f>AVERAGE(H70:H71)</f>
        <v>1.8599999999999998E-2</v>
      </c>
      <c r="J70" s="328">
        <f>H70+H72</f>
        <v>4.0459999999999996E-2</v>
      </c>
      <c r="K70" s="375">
        <f>AVERAGE(J70:J71)</f>
        <v>4.1099999999999998E-2</v>
      </c>
      <c r="L70" s="103">
        <f>H70/H72*100</f>
        <v>80.625</v>
      </c>
      <c r="M70" s="236">
        <f>100-L70</f>
        <v>19.375</v>
      </c>
      <c r="N70" s="386">
        <f>AVERAGE(L70:L71)</f>
        <v>82.657632743362825</v>
      </c>
      <c r="O70" s="5">
        <f>J70/I74*100</f>
        <v>83.768115942028984</v>
      </c>
      <c r="P70" s="365">
        <f>AVERAGE(O70:O71)</f>
        <v>85.093167701863365</v>
      </c>
      <c r="Q70" s="14"/>
      <c r="R70" s="146"/>
      <c r="S70" s="146"/>
      <c r="T70" s="146"/>
    </row>
    <row r="71" spans="2:20">
      <c r="B71" s="64" t="s">
        <v>215</v>
      </c>
      <c r="C71" s="384"/>
      <c r="D71" s="35">
        <f>VLOOKUP($B71,'Raw data'!$A$1:$T$1052,4,0)</f>
        <v>2</v>
      </c>
      <c r="E71" s="132">
        <f>VLOOKUP($B71,'Raw data'!$A$1:$R$218,5,0)</f>
        <v>8860</v>
      </c>
      <c r="F71" s="132">
        <f>VLOOKUP($B71,'Raw data'!$A$1:$R$218,6,0)</f>
        <v>926000</v>
      </c>
      <c r="G71" s="333">
        <f>VLOOKUP($B71,'Raw data'!$A$1:$R$218,7,0)</f>
        <v>9.5700000000000004E-3</v>
      </c>
      <c r="H71" s="299">
        <f t="shared" ref="H71:H73" si="7">D71*G71</f>
        <v>1.9140000000000001E-2</v>
      </c>
      <c r="I71" s="385"/>
      <c r="J71" s="329">
        <f>H71+H73</f>
        <v>4.1739999999999999E-2</v>
      </c>
      <c r="K71" s="385"/>
      <c r="L71" s="104">
        <f>H71/H73*100</f>
        <v>84.690265486725664</v>
      </c>
      <c r="M71" s="238">
        <f>100-L71</f>
        <v>15.309734513274336</v>
      </c>
      <c r="N71" s="387"/>
      <c r="O71" s="94">
        <f>J71/I74*100</f>
        <v>86.418219461697731</v>
      </c>
      <c r="P71" s="362"/>
      <c r="Q71" s="14"/>
      <c r="R71" s="146"/>
      <c r="S71" s="146"/>
      <c r="T71" s="146"/>
    </row>
    <row r="72" spans="2:20">
      <c r="B72" s="62" t="s">
        <v>216</v>
      </c>
      <c r="C72" s="373">
        <v>5</v>
      </c>
      <c r="D72" s="47">
        <f>VLOOKUP($B72,'Raw data'!$A$1:$T$1052,4,0)</f>
        <v>2</v>
      </c>
      <c r="E72" s="131">
        <f>VLOOKUP($B72,'Raw data'!$A$1:$R$218,5,0)</f>
        <v>10600</v>
      </c>
      <c r="F72" s="131">
        <f>VLOOKUP($B72,'Raw data'!$A$1:$R$218,6,0)</f>
        <v>949000</v>
      </c>
      <c r="G72" s="88">
        <f>VLOOKUP($B72,'Raw data'!$A$1:$R$218,7,0)</f>
        <v>1.12E-2</v>
      </c>
      <c r="H72" s="88">
        <f t="shared" si="7"/>
        <v>2.24E-2</v>
      </c>
      <c r="I72" s="375">
        <f>AVERAGE(H72:H73)</f>
        <v>2.2499999999999999E-2</v>
      </c>
      <c r="J72" s="95"/>
      <c r="K72" s="96"/>
      <c r="L72" s="96"/>
      <c r="M72" s="96"/>
      <c r="N72" s="96"/>
      <c r="O72" s="6"/>
      <c r="P72" s="14"/>
      <c r="Q72" s="14"/>
      <c r="R72" s="146"/>
      <c r="S72" s="146"/>
      <c r="T72" s="146"/>
    </row>
    <row r="73" spans="2:20">
      <c r="B73" s="64" t="s">
        <v>217</v>
      </c>
      <c r="C73" s="374"/>
      <c r="D73" s="35">
        <f>VLOOKUP($B73,'Raw data'!$A$1:$T$1052,4,0)</f>
        <v>2</v>
      </c>
      <c r="E73" s="132">
        <f>VLOOKUP($B73,'Raw data'!$A$1:$R$218,5,0)</f>
        <v>10800</v>
      </c>
      <c r="F73" s="132">
        <f>VLOOKUP($B73,'Raw data'!$A$1:$R$218,6,0)</f>
        <v>952000</v>
      </c>
      <c r="G73" s="91">
        <f>VLOOKUP($B73,'Raw data'!$A$1:$R$218,7,0)</f>
        <v>1.1299999999999999E-2</v>
      </c>
      <c r="H73" s="299">
        <f t="shared" si="7"/>
        <v>2.2599999999999999E-2</v>
      </c>
      <c r="I73" s="362"/>
      <c r="J73" s="97"/>
      <c r="K73" s="14"/>
      <c r="L73" s="14"/>
      <c r="M73" s="14"/>
      <c r="N73" s="14"/>
      <c r="O73" s="11"/>
      <c r="P73" s="14"/>
      <c r="Q73" s="14"/>
      <c r="R73" s="146"/>
      <c r="S73" s="146"/>
      <c r="T73" s="146"/>
    </row>
    <row r="74" spans="2:20">
      <c r="B74" s="62" t="s">
        <v>218</v>
      </c>
      <c r="C74" s="373">
        <v>5</v>
      </c>
      <c r="D74" s="47">
        <f>VLOOKUP($B74,'Raw data'!$A$1:$T$1052,4,0)</f>
        <v>2</v>
      </c>
      <c r="E74" s="131">
        <f>VLOOKUP($B74,'Raw data'!$A$1:$R$218,5,0)</f>
        <v>21000</v>
      </c>
      <c r="F74" s="131">
        <f>VLOOKUP($B74,'Raw data'!$A$1:$R$218,6,0)</f>
        <v>888000</v>
      </c>
      <c r="G74" s="88">
        <f>VLOOKUP($B74,'Raw data'!$A$1:$R$218,7,0)</f>
        <v>2.3699999999999999E-2</v>
      </c>
      <c r="H74" s="88">
        <f>D74*G74</f>
        <v>4.7399999999999998E-2</v>
      </c>
      <c r="I74" s="377">
        <f>AVERAGE(H74:H75)</f>
        <v>4.8299999999999996E-2</v>
      </c>
      <c r="J74" s="97"/>
      <c r="K74" s="14"/>
      <c r="L74" s="14"/>
      <c r="M74" s="14"/>
      <c r="N74" s="14"/>
      <c r="O74" s="14"/>
      <c r="P74" s="14"/>
      <c r="Q74" s="14"/>
      <c r="R74" s="146"/>
      <c r="S74" s="146"/>
      <c r="T74" s="146"/>
    </row>
    <row r="75" spans="2:20" ht="16.5" thickBot="1">
      <c r="B75" s="63" t="s">
        <v>219</v>
      </c>
      <c r="C75" s="376"/>
      <c r="D75" s="58">
        <f>VLOOKUP($B75,'Raw data'!$A$1:$T$1052,4,0)</f>
        <v>2</v>
      </c>
      <c r="E75" s="133">
        <f>VLOOKUP($B75,'Raw data'!$A$1:$R$218,5,0)</f>
        <v>21700</v>
      </c>
      <c r="F75" s="133">
        <f>VLOOKUP($B75,'Raw data'!$A$1:$R$218,6,0)</f>
        <v>884000</v>
      </c>
      <c r="G75" s="330">
        <f>VLOOKUP($B75,'Raw data'!$A$1:$R$218,7,0)</f>
        <v>2.46E-2</v>
      </c>
      <c r="H75" s="330">
        <f>D75*G75</f>
        <v>4.9200000000000001E-2</v>
      </c>
      <c r="I75" s="378"/>
      <c r="J75" s="98"/>
      <c r="K75" s="99"/>
      <c r="L75" s="99"/>
      <c r="M75" s="99"/>
      <c r="N75" s="99"/>
      <c r="O75" s="99"/>
      <c r="P75" s="99"/>
      <c r="Q75" s="14"/>
      <c r="R75" s="146"/>
      <c r="S75" s="146"/>
      <c r="T75" s="146"/>
    </row>
    <row r="76" spans="2:20">
      <c r="G76" s="146"/>
      <c r="H76" s="146"/>
      <c r="I76" s="146"/>
      <c r="J76" s="146"/>
      <c r="K76" s="146"/>
      <c r="L76" s="146"/>
      <c r="M76" s="146"/>
      <c r="N76" s="146"/>
      <c r="O76" s="146"/>
      <c r="P76" s="146"/>
      <c r="Q76" s="14"/>
      <c r="R76" s="146"/>
      <c r="S76" s="146"/>
    </row>
    <row r="77" spans="2:20" ht="16.5" thickBot="1">
      <c r="B77" s="356" t="s">
        <v>89</v>
      </c>
      <c r="C77" s="356"/>
      <c r="D77" s="356"/>
      <c r="E77" s="356"/>
      <c r="F77" s="356"/>
      <c r="G77" s="356"/>
      <c r="H77" s="356"/>
      <c r="I77" s="356"/>
      <c r="J77" s="356"/>
      <c r="K77" s="356"/>
      <c r="L77" s="356"/>
      <c r="M77" s="356"/>
      <c r="N77" s="356"/>
      <c r="O77" s="356"/>
      <c r="P77" s="356"/>
      <c r="Q77" s="388"/>
    </row>
    <row r="78" spans="2:20" ht="33.6" customHeight="1">
      <c r="B78" s="71" t="s">
        <v>76</v>
      </c>
      <c r="C78" s="72" t="s">
        <v>119</v>
      </c>
      <c r="D78" s="71" t="s">
        <v>77</v>
      </c>
      <c r="E78" s="130" t="s">
        <v>78</v>
      </c>
      <c r="F78" s="130" t="s">
        <v>79</v>
      </c>
      <c r="G78" s="72" t="s">
        <v>80</v>
      </c>
      <c r="H78" s="70" t="s">
        <v>131</v>
      </c>
      <c r="I78" s="73" t="s">
        <v>81</v>
      </c>
      <c r="J78" s="75" t="s">
        <v>82</v>
      </c>
      <c r="K78" s="73" t="s">
        <v>81</v>
      </c>
      <c r="L78" s="145" t="s">
        <v>32</v>
      </c>
      <c r="M78" s="84" t="s">
        <v>33</v>
      </c>
      <c r="N78" s="84" t="s">
        <v>83</v>
      </c>
      <c r="O78" s="74" t="s">
        <v>84</v>
      </c>
      <c r="P78" s="84" t="s">
        <v>85</v>
      </c>
      <c r="Q78" s="14"/>
      <c r="R78" s="146"/>
      <c r="S78" s="146"/>
      <c r="T78" s="146"/>
    </row>
    <row r="79" spans="2:20">
      <c r="B79" s="62" t="s">
        <v>175</v>
      </c>
      <c r="C79" s="379">
        <v>5</v>
      </c>
      <c r="D79" s="106">
        <f>VLOOKUP($B79,'Raw data'!$A$1:$T$1052,4,0)</f>
        <v>2</v>
      </c>
      <c r="E79" s="131">
        <f>VLOOKUP($B79,'Raw data'!$A$1:$R$218,5,0)</f>
        <v>7060</v>
      </c>
      <c r="F79" s="131">
        <f>VLOOKUP($B79,'Raw data'!$A$1:$R$218,6,0)</f>
        <v>855000</v>
      </c>
      <c r="G79" s="332">
        <f>VLOOKUP($B79,'Raw data'!$A$1:$R$218,7,0)</f>
        <v>8.26E-3</v>
      </c>
      <c r="H79" s="88">
        <f>D79*G79</f>
        <v>1.652E-2</v>
      </c>
      <c r="I79" s="375">
        <f>AVERAGE(H79:H80)</f>
        <v>1.805E-2</v>
      </c>
      <c r="J79" s="328">
        <f>H79+H81</f>
        <v>4.3920000000000001E-2</v>
      </c>
      <c r="K79" s="375">
        <f>AVERAGE(J79:J80)</f>
        <v>4.6050000000000001E-2</v>
      </c>
      <c r="L79" s="103">
        <f>H79/H81*100</f>
        <v>60.291970802919707</v>
      </c>
      <c r="M79" s="236">
        <f>100-L79</f>
        <v>39.708029197080293</v>
      </c>
      <c r="N79" s="386">
        <f>AVERAGE(L79:L80)</f>
        <v>64.37675463222908</v>
      </c>
      <c r="O79" s="5">
        <f>J79/I83*100</f>
        <v>88.192771084337352</v>
      </c>
      <c r="P79" s="365">
        <f>AVERAGE(O79:O80)</f>
        <v>92.469879518072304</v>
      </c>
      <c r="Q79" s="14"/>
      <c r="R79" s="146"/>
      <c r="S79" s="146"/>
      <c r="T79" s="146"/>
    </row>
    <row r="80" spans="2:20">
      <c r="B80" s="64" t="s">
        <v>176</v>
      </c>
      <c r="C80" s="389"/>
      <c r="D80" s="107">
        <f>VLOOKUP($B80,'Raw data'!$A$1:$T$1052,4,0)</f>
        <v>2</v>
      </c>
      <c r="E80" s="132">
        <f>VLOOKUP($B80,'Raw data'!$A$1:$R$218,5,0)</f>
        <v>8090</v>
      </c>
      <c r="F80" s="132">
        <f>VLOOKUP($B80,'Raw data'!$A$1:$R$218,6,0)</f>
        <v>827000</v>
      </c>
      <c r="G80" s="333">
        <f>VLOOKUP($B80,'Raw data'!$A$1:$R$218,7,0)</f>
        <v>9.7900000000000001E-3</v>
      </c>
      <c r="H80" s="299">
        <f t="shared" ref="H80:H82" si="8">D80*G80</f>
        <v>1.958E-2</v>
      </c>
      <c r="I80" s="385"/>
      <c r="J80" s="329">
        <f>H80+H82</f>
        <v>4.8180000000000001E-2</v>
      </c>
      <c r="K80" s="385"/>
      <c r="L80" s="104">
        <f>H80/H82*100</f>
        <v>68.461538461538467</v>
      </c>
      <c r="M80" s="238">
        <f>100-L80</f>
        <v>31.538461538461533</v>
      </c>
      <c r="N80" s="387"/>
      <c r="O80" s="94">
        <f>J80/I83*100</f>
        <v>96.746987951807242</v>
      </c>
      <c r="P80" s="362"/>
      <c r="Q80" s="14"/>
      <c r="R80" s="146"/>
      <c r="S80" s="146"/>
      <c r="T80" s="146"/>
    </row>
    <row r="81" spans="2:20">
      <c r="B81" s="62" t="s">
        <v>177</v>
      </c>
      <c r="C81" s="379">
        <v>5</v>
      </c>
      <c r="D81" s="106">
        <f>VLOOKUP($B81,'Raw data'!$A$1:$T$1052,4,0)</f>
        <v>2</v>
      </c>
      <c r="E81" s="131">
        <f>VLOOKUP($B81,'Raw data'!$A$1:$R$218,5,0)</f>
        <v>11300</v>
      </c>
      <c r="F81" s="131">
        <f>VLOOKUP($B81,'Raw data'!$A$1:$R$218,6,0)</f>
        <v>830000</v>
      </c>
      <c r="G81" s="88">
        <f>VLOOKUP($B81,'Raw data'!$A$1:$R$218,7,0)</f>
        <v>1.37E-2</v>
      </c>
      <c r="H81" s="88">
        <f t="shared" si="8"/>
        <v>2.7400000000000001E-2</v>
      </c>
      <c r="I81" s="375">
        <f>AVERAGE(H81:H82)</f>
        <v>2.8000000000000001E-2</v>
      </c>
      <c r="J81" s="95"/>
      <c r="K81" s="96"/>
      <c r="L81" s="96"/>
      <c r="M81" s="96"/>
      <c r="N81" s="96"/>
      <c r="O81" s="6"/>
      <c r="P81" s="14"/>
      <c r="Q81" s="14"/>
      <c r="R81" s="146"/>
      <c r="S81" s="146"/>
      <c r="T81" s="146"/>
    </row>
    <row r="82" spans="2:20">
      <c r="B82" s="64" t="s">
        <v>178</v>
      </c>
      <c r="C82" s="380"/>
      <c r="D82" s="107">
        <f>VLOOKUP($B82,'Raw data'!$A$1:$T$1052,4,0)</f>
        <v>2</v>
      </c>
      <c r="E82" s="132">
        <f>VLOOKUP($B82,'Raw data'!$A$1:$R$218,5,0)</f>
        <v>12000</v>
      </c>
      <c r="F82" s="132">
        <f>VLOOKUP($B82,'Raw data'!$A$1:$R$218,6,0)</f>
        <v>840000</v>
      </c>
      <c r="G82" s="91">
        <f>VLOOKUP($B82,'Raw data'!$A$1:$R$218,7,0)</f>
        <v>1.43E-2</v>
      </c>
      <c r="H82" s="299">
        <f t="shared" si="8"/>
        <v>2.86E-2</v>
      </c>
      <c r="I82" s="362"/>
      <c r="J82" s="97"/>
      <c r="K82" s="14"/>
      <c r="L82" s="14"/>
      <c r="M82" s="14"/>
      <c r="N82" s="14"/>
      <c r="O82" s="11"/>
      <c r="P82" s="14"/>
      <c r="Q82" s="14"/>
      <c r="R82" s="146"/>
      <c r="S82" s="146"/>
      <c r="T82" s="146"/>
    </row>
    <row r="83" spans="2:20">
      <c r="B83" s="62" t="s">
        <v>179</v>
      </c>
      <c r="C83" s="379">
        <v>5</v>
      </c>
      <c r="D83" s="106">
        <f>VLOOKUP($B83,'Raw data'!$A$1:$T$1052,4,0)</f>
        <v>2</v>
      </c>
      <c r="E83" s="131">
        <f>VLOOKUP($B83,'Raw data'!$A$1:$R$218,5,0)</f>
        <v>20500</v>
      </c>
      <c r="F83" s="131">
        <f>VLOOKUP($B83,'Raw data'!$A$1:$R$218,6,0)</f>
        <v>823000</v>
      </c>
      <c r="G83" s="88">
        <f>VLOOKUP($B83,'Raw data'!$A$1:$R$218,7,0)</f>
        <v>2.5000000000000001E-2</v>
      </c>
      <c r="H83" s="88">
        <f>D83*G83</f>
        <v>0.05</v>
      </c>
      <c r="I83" s="377">
        <f>AVERAGE(H83:H84)</f>
        <v>4.9799999999999997E-2</v>
      </c>
      <c r="J83" s="97"/>
      <c r="K83" s="14"/>
      <c r="L83" s="14"/>
      <c r="M83" s="14"/>
      <c r="N83" s="14"/>
      <c r="O83" s="14"/>
      <c r="P83" s="14"/>
      <c r="Q83" s="14"/>
      <c r="R83" s="146"/>
      <c r="S83" s="146"/>
      <c r="T83" s="146"/>
    </row>
    <row r="84" spans="2:20" ht="16.5" thickBot="1">
      <c r="B84" s="63" t="s">
        <v>180</v>
      </c>
      <c r="C84" s="381"/>
      <c r="D84" s="108">
        <f>VLOOKUP($B84,'Raw data'!$A$1:$T$1052,4,0)</f>
        <v>2</v>
      </c>
      <c r="E84" s="133">
        <f>VLOOKUP($B84,'Raw data'!$A$1:$R$218,5,0)</f>
        <v>19100</v>
      </c>
      <c r="F84" s="133">
        <f>VLOOKUP($B84,'Raw data'!$A$1:$R$218,6,0)</f>
        <v>772000</v>
      </c>
      <c r="G84" s="330">
        <f>VLOOKUP($B84,'Raw data'!$A$1:$R$218,7,0)</f>
        <v>2.4799999999999999E-2</v>
      </c>
      <c r="H84" s="330">
        <f>D84*G84</f>
        <v>4.9599999999999998E-2</v>
      </c>
      <c r="I84" s="378"/>
      <c r="J84" s="98"/>
      <c r="K84" s="99"/>
      <c r="L84" s="99"/>
      <c r="M84" s="99"/>
      <c r="N84" s="99"/>
      <c r="O84" s="99"/>
      <c r="P84" s="99"/>
      <c r="Q84" s="14"/>
      <c r="R84" s="146"/>
      <c r="S84" s="146"/>
      <c r="T84" s="146"/>
    </row>
    <row r="85" spans="2:20">
      <c r="B85" s="209"/>
      <c r="C85" s="210"/>
      <c r="D85" s="210"/>
      <c r="E85" s="176"/>
      <c r="F85" s="176"/>
      <c r="G85" s="176"/>
      <c r="H85" s="176"/>
      <c r="I85" s="311"/>
      <c r="J85" s="14"/>
      <c r="K85" s="14"/>
      <c r="L85" s="14"/>
      <c r="M85" s="14"/>
      <c r="N85" s="14"/>
      <c r="O85" s="14"/>
      <c r="P85" s="14"/>
      <c r="Q85" s="14"/>
      <c r="R85" s="146"/>
      <c r="S85" s="146"/>
      <c r="T85" s="146"/>
    </row>
    <row r="86" spans="2:20" ht="16.5" thickBot="1">
      <c r="B86" s="356" t="s">
        <v>90</v>
      </c>
      <c r="C86" s="382"/>
      <c r="D86" s="382"/>
      <c r="E86" s="382"/>
      <c r="F86" s="382"/>
      <c r="G86" s="382"/>
      <c r="H86" s="382"/>
      <c r="I86" s="382"/>
      <c r="J86" s="382"/>
      <c r="K86" s="382"/>
      <c r="L86" s="382"/>
      <c r="M86" s="382"/>
      <c r="N86" s="382"/>
      <c r="O86" s="382"/>
      <c r="P86" s="382"/>
      <c r="Q86" s="383"/>
      <c r="R86" s="146"/>
    </row>
    <row r="87" spans="2:20" ht="33.6" customHeight="1">
      <c r="B87" s="71" t="s">
        <v>76</v>
      </c>
      <c r="C87" s="72" t="s">
        <v>119</v>
      </c>
      <c r="D87" s="71" t="s">
        <v>77</v>
      </c>
      <c r="E87" s="130" t="s">
        <v>78</v>
      </c>
      <c r="F87" s="130" t="s">
        <v>79</v>
      </c>
      <c r="G87" s="72" t="s">
        <v>80</v>
      </c>
      <c r="H87" s="70" t="s">
        <v>131</v>
      </c>
      <c r="I87" s="73" t="s">
        <v>81</v>
      </c>
      <c r="J87" s="75" t="s">
        <v>82</v>
      </c>
      <c r="K87" s="73" t="s">
        <v>81</v>
      </c>
      <c r="L87" s="145" t="s">
        <v>32</v>
      </c>
      <c r="M87" s="84" t="s">
        <v>33</v>
      </c>
      <c r="N87" s="84" t="s">
        <v>83</v>
      </c>
      <c r="O87" s="74" t="s">
        <v>84</v>
      </c>
      <c r="P87" s="84" t="s">
        <v>85</v>
      </c>
      <c r="Q87" s="14"/>
      <c r="R87" s="146"/>
      <c r="S87" s="146"/>
      <c r="T87" s="146"/>
    </row>
    <row r="88" spans="2:20">
      <c r="B88" s="62" t="s">
        <v>161</v>
      </c>
      <c r="C88" s="373">
        <v>5</v>
      </c>
      <c r="D88" s="47">
        <f>VLOOKUP($B88,'Raw data'!$A$1:$T$1052,4,0)</f>
        <v>2</v>
      </c>
      <c r="E88" s="131">
        <f>VLOOKUP($B88,'Raw data'!$A$1:$R$218,5,0)</f>
        <v>7840</v>
      </c>
      <c r="F88" s="131">
        <f>VLOOKUP($B88,'Raw data'!$A$1:$R$218,6,0)</f>
        <v>788000</v>
      </c>
      <c r="G88" s="332">
        <f>VLOOKUP($B88,'Raw data'!$A$1:$R$218,7,0)</f>
        <v>9.9500000000000005E-3</v>
      </c>
      <c r="H88" s="88">
        <f>D88*G88</f>
        <v>1.9900000000000001E-2</v>
      </c>
      <c r="I88" s="375">
        <f>AVERAGE(H88:H89)</f>
        <v>2.0250000000000001E-2</v>
      </c>
      <c r="J88" s="328">
        <f>H88+H90</f>
        <v>4.5100000000000001E-2</v>
      </c>
      <c r="K88" s="375">
        <f>AVERAGE(J88:J89)</f>
        <v>4.5850000000000002E-2</v>
      </c>
      <c r="L88" s="103">
        <f>H88/H90*100</f>
        <v>78.968253968253975</v>
      </c>
      <c r="M88" s="236">
        <f>100-L88</f>
        <v>21.031746031746025</v>
      </c>
      <c r="N88" s="386">
        <f>AVERAGE(L88:L89)</f>
        <v>79.099511599511601</v>
      </c>
      <c r="O88" s="5">
        <f>J88/I92*100</f>
        <v>92.989690721649481</v>
      </c>
      <c r="P88" s="365">
        <f>AVERAGE(O88:O89)</f>
        <v>94.536082474226802</v>
      </c>
      <c r="Q88" s="14"/>
      <c r="R88" s="146"/>
      <c r="S88" s="146"/>
      <c r="T88" s="146"/>
    </row>
    <row r="89" spans="2:20">
      <c r="B89" s="64" t="s">
        <v>162</v>
      </c>
      <c r="C89" s="384"/>
      <c r="D89" s="35">
        <f>VLOOKUP($B89,'Raw data'!$A$1:$T$1052,4,0)</f>
        <v>2</v>
      </c>
      <c r="E89" s="132">
        <f>VLOOKUP($B89,'Raw data'!$A$1:$R$218,5,0)</f>
        <v>7610</v>
      </c>
      <c r="F89" s="132">
        <f>VLOOKUP($B89,'Raw data'!$A$1:$R$218,6,0)</f>
        <v>742000</v>
      </c>
      <c r="G89" s="91">
        <f>VLOOKUP($B89,'Raw data'!$A$1:$R$218,7,0)</f>
        <v>1.03E-2</v>
      </c>
      <c r="H89" s="299">
        <f t="shared" ref="H89:H91" si="9">D89*G89</f>
        <v>2.06E-2</v>
      </c>
      <c r="I89" s="385"/>
      <c r="J89" s="329">
        <f>H89+H91</f>
        <v>4.6600000000000003E-2</v>
      </c>
      <c r="K89" s="385"/>
      <c r="L89" s="104">
        <f>H89/H91*100</f>
        <v>79.230769230769241</v>
      </c>
      <c r="M89" s="238">
        <f>100-L89</f>
        <v>20.769230769230759</v>
      </c>
      <c r="N89" s="387"/>
      <c r="O89" s="94">
        <f>J89/I92*100</f>
        <v>96.082474226804123</v>
      </c>
      <c r="P89" s="362"/>
      <c r="Q89" s="14"/>
      <c r="R89" s="146"/>
      <c r="S89" s="146"/>
      <c r="T89" s="146"/>
    </row>
    <row r="90" spans="2:20">
      <c r="B90" s="62" t="s">
        <v>163</v>
      </c>
      <c r="C90" s="373">
        <v>5</v>
      </c>
      <c r="D90" s="47">
        <f>VLOOKUP($B90,'Raw data'!$A$1:$T$1052,4,0)</f>
        <v>2</v>
      </c>
      <c r="E90" s="131">
        <f>VLOOKUP($B90,'Raw data'!$A$1:$R$218,5,0)</f>
        <v>9790</v>
      </c>
      <c r="F90" s="131">
        <f>VLOOKUP($B90,'Raw data'!$A$1:$R$218,6,0)</f>
        <v>779000</v>
      </c>
      <c r="G90" s="88">
        <f>VLOOKUP($B90,'Raw data'!$A$1:$R$218,7,0)</f>
        <v>1.26E-2</v>
      </c>
      <c r="H90" s="88">
        <f t="shared" si="9"/>
        <v>2.52E-2</v>
      </c>
      <c r="I90" s="375">
        <f>AVERAGE(H90:H91)</f>
        <v>2.5599999999999998E-2</v>
      </c>
      <c r="J90" s="95"/>
      <c r="K90" s="96"/>
      <c r="L90" s="96"/>
      <c r="M90" s="96"/>
      <c r="N90" s="96"/>
      <c r="O90" s="6"/>
      <c r="P90" s="14"/>
      <c r="Q90" s="14"/>
      <c r="R90" s="146"/>
      <c r="S90" s="146"/>
      <c r="T90" s="146"/>
    </row>
    <row r="91" spans="2:20">
      <c r="B91" s="64" t="s">
        <v>164</v>
      </c>
      <c r="C91" s="374"/>
      <c r="D91" s="35">
        <f>VLOOKUP($B91,'Raw data'!$A$1:$T$1052,4,0)</f>
        <v>2</v>
      </c>
      <c r="E91" s="132">
        <f>VLOOKUP($B91,'Raw data'!$A$1:$R$218,5,0)</f>
        <v>9760</v>
      </c>
      <c r="F91" s="132">
        <f>VLOOKUP($B91,'Raw data'!$A$1:$R$218,6,0)</f>
        <v>751000</v>
      </c>
      <c r="G91" s="91">
        <f>VLOOKUP($B91,'Raw data'!$A$1:$R$218,7,0)</f>
        <v>1.2999999999999999E-2</v>
      </c>
      <c r="H91" s="299">
        <f t="shared" si="9"/>
        <v>2.5999999999999999E-2</v>
      </c>
      <c r="I91" s="362"/>
      <c r="J91" s="97"/>
      <c r="K91" s="14"/>
      <c r="L91" s="14"/>
      <c r="M91" s="14"/>
      <c r="N91" s="14"/>
      <c r="O91" s="11"/>
      <c r="P91" s="14"/>
      <c r="Q91" s="14"/>
      <c r="R91" s="146"/>
      <c r="S91" s="146"/>
      <c r="T91" s="146"/>
    </row>
    <row r="92" spans="2:20">
      <c r="B92" s="62" t="s">
        <v>165</v>
      </c>
      <c r="C92" s="373">
        <v>5</v>
      </c>
      <c r="D92" s="47">
        <f>VLOOKUP($B92,'Raw data'!$A$1:$T$1052,4,0)</f>
        <v>2</v>
      </c>
      <c r="E92" s="131">
        <f>VLOOKUP($B92,'Raw data'!$A$1:$R$218,5,0)</f>
        <v>19300</v>
      </c>
      <c r="F92" s="131">
        <f>VLOOKUP($B92,'Raw data'!$A$1:$R$218,6,0)</f>
        <v>765000</v>
      </c>
      <c r="G92" s="88">
        <f>VLOOKUP($B92,'Raw data'!$A$1:$R$218,7,0)</f>
        <v>2.52E-2</v>
      </c>
      <c r="H92" s="88">
        <f>D92*G92</f>
        <v>5.04E-2</v>
      </c>
      <c r="I92" s="377">
        <f>AVERAGE(H92:H93)</f>
        <v>4.8500000000000001E-2</v>
      </c>
      <c r="J92" s="97"/>
      <c r="K92" s="14"/>
      <c r="L92" s="14"/>
      <c r="M92" s="14"/>
      <c r="N92" s="14"/>
      <c r="O92" s="14"/>
      <c r="P92" s="14"/>
      <c r="Q92" s="14"/>
      <c r="R92" s="146"/>
      <c r="S92" s="146"/>
      <c r="T92" s="146"/>
    </row>
    <row r="93" spans="2:20" ht="16.5" thickBot="1">
      <c r="B93" s="63" t="s">
        <v>166</v>
      </c>
      <c r="C93" s="376"/>
      <c r="D93" s="58">
        <f>VLOOKUP($B93,'Raw data'!$A$1:$T$1052,4,0)</f>
        <v>2</v>
      </c>
      <c r="E93" s="133">
        <f>VLOOKUP($B93,'Raw data'!$A$1:$R$218,5,0)</f>
        <v>19100</v>
      </c>
      <c r="F93" s="133">
        <f>VLOOKUP($B93,'Raw data'!$A$1:$R$218,6,0)</f>
        <v>822000</v>
      </c>
      <c r="G93" s="330">
        <f>VLOOKUP($B93,'Raw data'!$A$1:$R$218,7,0)</f>
        <v>2.3300000000000001E-2</v>
      </c>
      <c r="H93" s="330">
        <f>D93*G93</f>
        <v>4.6600000000000003E-2</v>
      </c>
      <c r="I93" s="378"/>
      <c r="J93" s="98"/>
      <c r="K93" s="99"/>
      <c r="L93" s="99"/>
      <c r="M93" s="99"/>
      <c r="N93" s="99"/>
      <c r="O93" s="99"/>
      <c r="P93" s="99"/>
      <c r="Q93" s="14"/>
      <c r="R93" s="146"/>
      <c r="S93" s="146"/>
      <c r="T93" s="146"/>
    </row>
    <row r="94" spans="2:20">
      <c r="G94" s="146"/>
      <c r="H94" s="146"/>
      <c r="I94" s="146"/>
      <c r="J94" s="146"/>
      <c r="K94" s="146"/>
      <c r="L94" s="146"/>
      <c r="M94" s="146"/>
      <c r="N94" s="146"/>
      <c r="O94" s="146"/>
      <c r="P94" s="146"/>
      <c r="Q94" s="14"/>
      <c r="R94" s="146"/>
      <c r="S94" s="146"/>
      <c r="T94" s="146"/>
    </row>
    <row r="95" spans="2:20">
      <c r="G95" s="146"/>
      <c r="H95" s="146"/>
      <c r="I95" s="146"/>
      <c r="J95" s="146"/>
      <c r="K95" s="146"/>
      <c r="L95" s="146"/>
      <c r="M95" s="146"/>
      <c r="N95" s="146"/>
      <c r="O95" s="146"/>
      <c r="P95" s="146"/>
      <c r="Q95" s="14"/>
      <c r="R95" s="146"/>
      <c r="S95" s="146"/>
      <c r="T95" s="146"/>
    </row>
    <row r="96" spans="2:20">
      <c r="G96" s="146"/>
      <c r="H96" s="146"/>
      <c r="I96" s="146"/>
      <c r="J96" s="146"/>
      <c r="K96" s="146"/>
      <c r="L96" s="146"/>
      <c r="M96" s="146"/>
      <c r="N96" s="146"/>
      <c r="O96" s="146"/>
      <c r="P96" s="146"/>
      <c r="Q96" s="14"/>
      <c r="R96" s="146"/>
      <c r="S96" s="146"/>
    </row>
  </sheetData>
  <mergeCells count="100">
    <mergeCell ref="B2:Q2"/>
    <mergeCell ref="C4:C5"/>
    <mergeCell ref="I4:I5"/>
    <mergeCell ref="K4:K5"/>
    <mergeCell ref="N4:N5"/>
    <mergeCell ref="P4:P5"/>
    <mergeCell ref="C13:C14"/>
    <mergeCell ref="I13:I14"/>
    <mergeCell ref="K13:K14"/>
    <mergeCell ref="N13:N14"/>
    <mergeCell ref="P13:P14"/>
    <mergeCell ref="C6:C7"/>
    <mergeCell ref="I6:I7"/>
    <mergeCell ref="C8:C9"/>
    <mergeCell ref="I8:I9"/>
    <mergeCell ref="B11:Q11"/>
    <mergeCell ref="C22:C23"/>
    <mergeCell ref="I22:I23"/>
    <mergeCell ref="K22:K23"/>
    <mergeCell ref="N22:N23"/>
    <mergeCell ref="P22:P23"/>
    <mergeCell ref="C15:C16"/>
    <mergeCell ref="I15:I16"/>
    <mergeCell ref="C17:C18"/>
    <mergeCell ref="I17:I18"/>
    <mergeCell ref="B20:Q20"/>
    <mergeCell ref="C31:C32"/>
    <mergeCell ref="I31:I32"/>
    <mergeCell ref="K31:K32"/>
    <mergeCell ref="N31:N32"/>
    <mergeCell ref="P31:P32"/>
    <mergeCell ref="C24:C25"/>
    <mergeCell ref="I24:I25"/>
    <mergeCell ref="C26:C27"/>
    <mergeCell ref="I26:I27"/>
    <mergeCell ref="B29:Q29"/>
    <mergeCell ref="C40:C41"/>
    <mergeCell ref="I40:I41"/>
    <mergeCell ref="K40:K41"/>
    <mergeCell ref="N40:N41"/>
    <mergeCell ref="P40:P41"/>
    <mergeCell ref="C33:C34"/>
    <mergeCell ref="I33:I34"/>
    <mergeCell ref="C35:C36"/>
    <mergeCell ref="I35:I36"/>
    <mergeCell ref="B38:Q38"/>
    <mergeCell ref="C52:C53"/>
    <mergeCell ref="I52:I53"/>
    <mergeCell ref="K52:K53"/>
    <mergeCell ref="N52:N53"/>
    <mergeCell ref="P52:P53"/>
    <mergeCell ref="C42:C43"/>
    <mergeCell ref="I42:I43"/>
    <mergeCell ref="C44:C45"/>
    <mergeCell ref="I44:I45"/>
    <mergeCell ref="B50:Q50"/>
    <mergeCell ref="C61:C62"/>
    <mergeCell ref="I61:I62"/>
    <mergeCell ref="K61:K62"/>
    <mergeCell ref="N61:N62"/>
    <mergeCell ref="P61:P62"/>
    <mergeCell ref="C54:C55"/>
    <mergeCell ref="I54:I55"/>
    <mergeCell ref="C56:C57"/>
    <mergeCell ref="I56:I57"/>
    <mergeCell ref="B59:Q59"/>
    <mergeCell ref="C70:C71"/>
    <mergeCell ref="I70:I71"/>
    <mergeCell ref="K70:K71"/>
    <mergeCell ref="N70:N71"/>
    <mergeCell ref="P70:P71"/>
    <mergeCell ref="C63:C64"/>
    <mergeCell ref="I63:I64"/>
    <mergeCell ref="C65:C66"/>
    <mergeCell ref="I65:I66"/>
    <mergeCell ref="B68:Q68"/>
    <mergeCell ref="C79:C80"/>
    <mergeCell ref="I79:I80"/>
    <mergeCell ref="K79:K80"/>
    <mergeCell ref="N79:N80"/>
    <mergeCell ref="P79:P80"/>
    <mergeCell ref="C72:C73"/>
    <mergeCell ref="I72:I73"/>
    <mergeCell ref="C74:C75"/>
    <mergeCell ref="I74:I75"/>
    <mergeCell ref="B77:Q77"/>
    <mergeCell ref="C90:C91"/>
    <mergeCell ref="I90:I91"/>
    <mergeCell ref="C92:C93"/>
    <mergeCell ref="I92:I93"/>
    <mergeCell ref="C81:C82"/>
    <mergeCell ref="I81:I82"/>
    <mergeCell ref="C83:C84"/>
    <mergeCell ref="I83:I84"/>
    <mergeCell ref="B86:Q86"/>
    <mergeCell ref="C88:C89"/>
    <mergeCell ref="I88:I89"/>
    <mergeCell ref="K88:K89"/>
    <mergeCell ref="N88:N89"/>
    <mergeCell ref="P88:P89"/>
  </mergeCells>
  <phoneticPr fontId="3" type="noConversion"/>
  <conditionalFormatting sqref="B33">
    <cfRule type="expression" dxfId="2205" priority="1564" stopIfTrue="1">
      <formula>LEN(TRIM(B33))=0</formula>
    </cfRule>
  </conditionalFormatting>
  <conditionalFormatting sqref="B29">
    <cfRule type="expression" dxfId="2204" priority="2204" stopIfTrue="1">
      <formula>LEN(TRIM(B29))=0</formula>
    </cfRule>
  </conditionalFormatting>
  <conditionalFormatting sqref="B33">
    <cfRule type="expression" dxfId="2203" priority="1562" stopIfTrue="1">
      <formula>LEN(TRIM(B33))=0</formula>
    </cfRule>
  </conditionalFormatting>
  <conditionalFormatting sqref="B29">
    <cfRule type="expression" dxfId="2202" priority="2203" stopIfTrue="1">
      <formula>LEN(TRIM(B29))=0</formula>
    </cfRule>
  </conditionalFormatting>
  <conditionalFormatting sqref="B33">
    <cfRule type="expression" dxfId="2201" priority="1560" stopIfTrue="1">
      <formula>LEN(TRIM(B33))=0</formula>
    </cfRule>
  </conditionalFormatting>
  <conditionalFormatting sqref="B29">
    <cfRule type="expression" dxfId="2200" priority="2202" stopIfTrue="1">
      <formula>LEN(TRIM(B29))=0</formula>
    </cfRule>
  </conditionalFormatting>
  <conditionalFormatting sqref="B33">
    <cfRule type="expression" dxfId="2199" priority="1558" stopIfTrue="1">
      <formula>LEN(TRIM(B33))=0</formula>
    </cfRule>
  </conditionalFormatting>
  <conditionalFormatting sqref="B29">
    <cfRule type="expression" dxfId="2198" priority="2201" stopIfTrue="1">
      <formula>LEN(TRIM(B29))=0</formula>
    </cfRule>
  </conditionalFormatting>
  <conditionalFormatting sqref="B33">
    <cfRule type="expression" dxfId="2197" priority="1556" stopIfTrue="1">
      <formula>LEN(TRIM(B33))=0</formula>
    </cfRule>
  </conditionalFormatting>
  <conditionalFormatting sqref="B29">
    <cfRule type="expression" dxfId="2196" priority="2200" stopIfTrue="1">
      <formula>LEN(TRIM(B29))=0</formula>
    </cfRule>
  </conditionalFormatting>
  <conditionalFormatting sqref="B33">
    <cfRule type="expression" dxfId="2195" priority="1554" stopIfTrue="1">
      <formula>LEN(TRIM(B33))=0</formula>
    </cfRule>
  </conditionalFormatting>
  <conditionalFormatting sqref="B29">
    <cfRule type="expression" dxfId="2194" priority="2199" stopIfTrue="1">
      <formula>LEN(TRIM(B29))=0</formula>
    </cfRule>
  </conditionalFormatting>
  <conditionalFormatting sqref="B33">
    <cfRule type="expression" dxfId="2193" priority="1552" stopIfTrue="1">
      <formula>LEN(TRIM(B33))=0</formula>
    </cfRule>
  </conditionalFormatting>
  <conditionalFormatting sqref="B29">
    <cfRule type="expression" dxfId="2192" priority="2198" stopIfTrue="1">
      <formula>LEN(TRIM(B29))=0</formula>
    </cfRule>
  </conditionalFormatting>
  <conditionalFormatting sqref="B33">
    <cfRule type="expression" dxfId="2191" priority="1550" stopIfTrue="1">
      <formula>LEN(TRIM(B33))=0</formula>
    </cfRule>
  </conditionalFormatting>
  <conditionalFormatting sqref="B29">
    <cfRule type="expression" dxfId="2190" priority="2197" stopIfTrue="1">
      <formula>LEN(TRIM(B29))=0</formula>
    </cfRule>
  </conditionalFormatting>
  <conditionalFormatting sqref="B33">
    <cfRule type="expression" dxfId="2189" priority="1548" stopIfTrue="1">
      <formula>LEN(TRIM(B33))=0</formula>
    </cfRule>
  </conditionalFormatting>
  <conditionalFormatting sqref="B29">
    <cfRule type="expression" dxfId="2188" priority="2196" stopIfTrue="1">
      <formula>LEN(TRIM(B29))=0</formula>
    </cfRule>
  </conditionalFormatting>
  <conditionalFormatting sqref="B33">
    <cfRule type="expression" dxfId="2187" priority="1546" stopIfTrue="1">
      <formula>LEN(TRIM(B33))=0</formula>
    </cfRule>
  </conditionalFormatting>
  <conditionalFormatting sqref="B29">
    <cfRule type="expression" dxfId="2186" priority="2195" stopIfTrue="1">
      <formula>LEN(TRIM(B29))=0</formula>
    </cfRule>
  </conditionalFormatting>
  <conditionalFormatting sqref="B33">
    <cfRule type="expression" dxfId="2185" priority="1544" stopIfTrue="1">
      <formula>LEN(TRIM(B33))=0</formula>
    </cfRule>
  </conditionalFormatting>
  <conditionalFormatting sqref="B29">
    <cfRule type="expression" dxfId="2184" priority="2194" stopIfTrue="1">
      <formula>LEN(TRIM(B29))=0</formula>
    </cfRule>
  </conditionalFormatting>
  <conditionalFormatting sqref="B33">
    <cfRule type="expression" dxfId="2183" priority="1542" stopIfTrue="1">
      <formula>LEN(TRIM(B33))=0</formula>
    </cfRule>
  </conditionalFormatting>
  <conditionalFormatting sqref="B29">
    <cfRule type="expression" dxfId="2182" priority="2193" stopIfTrue="1">
      <formula>LEN(TRIM(B29))=0</formula>
    </cfRule>
  </conditionalFormatting>
  <conditionalFormatting sqref="B33">
    <cfRule type="expression" dxfId="2181" priority="1540" stopIfTrue="1">
      <formula>LEN(TRIM(B33))=0</formula>
    </cfRule>
  </conditionalFormatting>
  <conditionalFormatting sqref="B29">
    <cfRule type="expression" dxfId="2180" priority="2192" stopIfTrue="1">
      <formula>LEN(TRIM(B29))=0</formula>
    </cfRule>
  </conditionalFormatting>
  <conditionalFormatting sqref="B33">
    <cfRule type="expression" dxfId="2179" priority="1538" stopIfTrue="1">
      <formula>LEN(TRIM(B33))=0</formula>
    </cfRule>
  </conditionalFormatting>
  <conditionalFormatting sqref="B29">
    <cfRule type="expression" dxfId="2178" priority="2191" stopIfTrue="1">
      <formula>LEN(TRIM(B29))=0</formula>
    </cfRule>
  </conditionalFormatting>
  <conditionalFormatting sqref="B33">
    <cfRule type="expression" dxfId="2177" priority="1536" stopIfTrue="1">
      <formula>LEN(TRIM(B33))=0</formula>
    </cfRule>
  </conditionalFormatting>
  <conditionalFormatting sqref="B29">
    <cfRule type="expression" dxfId="2176" priority="2190" stopIfTrue="1">
      <formula>LEN(TRIM(B29))=0</formula>
    </cfRule>
  </conditionalFormatting>
  <conditionalFormatting sqref="B33">
    <cfRule type="expression" dxfId="2175" priority="1534" stopIfTrue="1">
      <formula>LEN(TRIM(B33))=0</formula>
    </cfRule>
  </conditionalFormatting>
  <conditionalFormatting sqref="B29">
    <cfRule type="expression" dxfId="2174" priority="2189" stopIfTrue="1">
      <formula>LEN(TRIM(B29))=0</formula>
    </cfRule>
  </conditionalFormatting>
  <conditionalFormatting sqref="B33">
    <cfRule type="expression" dxfId="2173" priority="1532" stopIfTrue="1">
      <formula>LEN(TRIM(B33))=0</formula>
    </cfRule>
  </conditionalFormatting>
  <conditionalFormatting sqref="B29">
    <cfRule type="expression" dxfId="2172" priority="2188" stopIfTrue="1">
      <formula>LEN(TRIM(B29))=0</formula>
    </cfRule>
  </conditionalFormatting>
  <conditionalFormatting sqref="B33">
    <cfRule type="expression" dxfId="2171" priority="1530" stopIfTrue="1">
      <formula>LEN(TRIM(B33))=0</formula>
    </cfRule>
  </conditionalFormatting>
  <conditionalFormatting sqref="B29">
    <cfRule type="expression" dxfId="2170" priority="2187" stopIfTrue="1">
      <formula>LEN(TRIM(B29))=0</formula>
    </cfRule>
  </conditionalFormatting>
  <conditionalFormatting sqref="B33">
    <cfRule type="expression" dxfId="2169" priority="1528" stopIfTrue="1">
      <formula>LEN(TRIM(B33))=0</formula>
    </cfRule>
  </conditionalFormatting>
  <conditionalFormatting sqref="B29">
    <cfRule type="expression" dxfId="2168" priority="2186" stopIfTrue="1">
      <formula>LEN(TRIM(B29))=0</formula>
    </cfRule>
  </conditionalFormatting>
  <conditionalFormatting sqref="B33">
    <cfRule type="expression" dxfId="2167" priority="1526" stopIfTrue="1">
      <formula>LEN(TRIM(B33))=0</formula>
    </cfRule>
  </conditionalFormatting>
  <conditionalFormatting sqref="B29">
    <cfRule type="expression" dxfId="2166" priority="2185" stopIfTrue="1">
      <formula>LEN(TRIM(B29))=0</formula>
    </cfRule>
  </conditionalFormatting>
  <conditionalFormatting sqref="B31">
    <cfRule type="expression" dxfId="2165" priority="1604" stopIfTrue="1">
      <formula>LEN(TRIM(B31))=0</formula>
    </cfRule>
  </conditionalFormatting>
  <conditionalFormatting sqref="B31">
    <cfRule type="expression" dxfId="2164" priority="1603" stopIfTrue="1">
      <formula>LEN(TRIM(B31))=0</formula>
    </cfRule>
  </conditionalFormatting>
  <conditionalFormatting sqref="B33">
    <cfRule type="expression" dxfId="2163" priority="1602" stopIfTrue="1">
      <formula>LEN(TRIM(B33))=0</formula>
    </cfRule>
  </conditionalFormatting>
  <conditionalFormatting sqref="B33">
    <cfRule type="expression" dxfId="2162" priority="1601" stopIfTrue="1">
      <formula>LEN(TRIM(B33))=0</formula>
    </cfRule>
  </conditionalFormatting>
  <conditionalFormatting sqref="B33">
    <cfRule type="expression" dxfId="2161" priority="1600" stopIfTrue="1">
      <formula>LEN(TRIM(B33))=0</formula>
    </cfRule>
  </conditionalFormatting>
  <conditionalFormatting sqref="B33">
    <cfRule type="expression" dxfId="2160" priority="1599" stopIfTrue="1">
      <formula>LEN(TRIM(B33))=0</formula>
    </cfRule>
  </conditionalFormatting>
  <conditionalFormatting sqref="B33">
    <cfRule type="expression" dxfId="2159" priority="1598" stopIfTrue="1">
      <formula>LEN(TRIM(B33))=0</formula>
    </cfRule>
  </conditionalFormatting>
  <conditionalFormatting sqref="B33">
    <cfRule type="expression" dxfId="2158" priority="1597" stopIfTrue="1">
      <formula>LEN(TRIM(B33))=0</formula>
    </cfRule>
  </conditionalFormatting>
  <conditionalFormatting sqref="B33">
    <cfRule type="expression" dxfId="2157" priority="1596" stopIfTrue="1">
      <formula>LEN(TRIM(B33))=0</formula>
    </cfRule>
  </conditionalFormatting>
  <conditionalFormatting sqref="B33">
    <cfRule type="expression" dxfId="2156" priority="1595" stopIfTrue="1">
      <formula>LEN(TRIM(B33))=0</formula>
    </cfRule>
  </conditionalFormatting>
  <conditionalFormatting sqref="B33">
    <cfRule type="expression" dxfId="2155" priority="1594" stopIfTrue="1">
      <formula>LEN(TRIM(B33))=0</formula>
    </cfRule>
  </conditionalFormatting>
  <conditionalFormatting sqref="B33">
    <cfRule type="expression" dxfId="2154" priority="1593" stopIfTrue="1">
      <formula>LEN(TRIM(B33))=0</formula>
    </cfRule>
  </conditionalFormatting>
  <conditionalFormatting sqref="B33">
    <cfRule type="expression" dxfId="2153" priority="1592" stopIfTrue="1">
      <formula>LEN(TRIM(B33))=0</formula>
    </cfRule>
  </conditionalFormatting>
  <conditionalFormatting sqref="B33">
    <cfRule type="expression" dxfId="2152" priority="1591" stopIfTrue="1">
      <formula>LEN(TRIM(B33))=0</formula>
    </cfRule>
  </conditionalFormatting>
  <conditionalFormatting sqref="B33">
    <cfRule type="expression" dxfId="2151" priority="1590" stopIfTrue="1">
      <formula>LEN(TRIM(B33))=0</formula>
    </cfRule>
  </conditionalFormatting>
  <conditionalFormatting sqref="B33">
    <cfRule type="expression" dxfId="2150" priority="1589" stopIfTrue="1">
      <formula>LEN(TRIM(B33))=0</formula>
    </cfRule>
  </conditionalFormatting>
  <conditionalFormatting sqref="B33">
    <cfRule type="expression" dxfId="2149" priority="1588" stopIfTrue="1">
      <formula>LEN(TRIM(B33))=0</formula>
    </cfRule>
  </conditionalFormatting>
  <conditionalFormatting sqref="B33">
    <cfRule type="expression" dxfId="2148" priority="1587" stopIfTrue="1">
      <formula>LEN(TRIM(B33))=0</formula>
    </cfRule>
  </conditionalFormatting>
  <conditionalFormatting sqref="B33">
    <cfRule type="expression" dxfId="2147" priority="1586" stopIfTrue="1">
      <formula>LEN(TRIM(B33))=0</formula>
    </cfRule>
  </conditionalFormatting>
  <conditionalFormatting sqref="B33">
    <cfRule type="expression" dxfId="2146" priority="1585" stopIfTrue="1">
      <formula>LEN(TRIM(B33))=0</formula>
    </cfRule>
  </conditionalFormatting>
  <conditionalFormatting sqref="B24">
    <cfRule type="expression" dxfId="2145" priority="1824" stopIfTrue="1">
      <formula>LEN(TRIM(B24))=0</formula>
    </cfRule>
  </conditionalFormatting>
  <conditionalFormatting sqref="B24">
    <cfRule type="expression" dxfId="2144" priority="1823" stopIfTrue="1">
      <formula>LEN(TRIM(B24))=0</formula>
    </cfRule>
  </conditionalFormatting>
  <conditionalFormatting sqref="B24">
    <cfRule type="expression" dxfId="2143" priority="1822" stopIfTrue="1">
      <formula>LEN(TRIM(B24))=0</formula>
    </cfRule>
  </conditionalFormatting>
  <conditionalFormatting sqref="B24">
    <cfRule type="expression" dxfId="2142" priority="1821" stopIfTrue="1">
      <formula>LEN(TRIM(B24))=0</formula>
    </cfRule>
  </conditionalFormatting>
  <conditionalFormatting sqref="B24">
    <cfRule type="expression" dxfId="2141" priority="1820" stopIfTrue="1">
      <formula>LEN(TRIM(B24))=0</formula>
    </cfRule>
  </conditionalFormatting>
  <conditionalFormatting sqref="B24">
    <cfRule type="expression" dxfId="2140" priority="1819" stopIfTrue="1">
      <formula>LEN(TRIM(B24))=0</formula>
    </cfRule>
  </conditionalFormatting>
  <conditionalFormatting sqref="B24">
    <cfRule type="expression" dxfId="2139" priority="1818" stopIfTrue="1">
      <formula>LEN(TRIM(B24))=0</formula>
    </cfRule>
  </conditionalFormatting>
  <conditionalFormatting sqref="B24">
    <cfRule type="expression" dxfId="2138" priority="1817" stopIfTrue="1">
      <formula>LEN(TRIM(B24))=0</formula>
    </cfRule>
  </conditionalFormatting>
  <conditionalFormatting sqref="B24">
    <cfRule type="expression" dxfId="2137" priority="1816" stopIfTrue="1">
      <formula>LEN(TRIM(B24))=0</formula>
    </cfRule>
  </conditionalFormatting>
  <conditionalFormatting sqref="B24">
    <cfRule type="expression" dxfId="2136" priority="1815" stopIfTrue="1">
      <formula>LEN(TRIM(B24))=0</formula>
    </cfRule>
  </conditionalFormatting>
  <conditionalFormatting sqref="B24">
    <cfRule type="expression" dxfId="2135" priority="1814" stopIfTrue="1">
      <formula>LEN(TRIM(B24))=0</formula>
    </cfRule>
  </conditionalFormatting>
  <conditionalFormatting sqref="B24">
    <cfRule type="expression" dxfId="2134" priority="1813" stopIfTrue="1">
      <formula>LEN(TRIM(B24))=0</formula>
    </cfRule>
  </conditionalFormatting>
  <conditionalFormatting sqref="B24">
    <cfRule type="expression" dxfId="2133" priority="1812" stopIfTrue="1">
      <formula>LEN(TRIM(B24))=0</formula>
    </cfRule>
  </conditionalFormatting>
  <conditionalFormatting sqref="B24">
    <cfRule type="expression" dxfId="2132" priority="1811" stopIfTrue="1">
      <formula>LEN(TRIM(B24))=0</formula>
    </cfRule>
  </conditionalFormatting>
  <conditionalFormatting sqref="B24">
    <cfRule type="expression" dxfId="2131" priority="1810" stopIfTrue="1">
      <formula>LEN(TRIM(B24))=0</formula>
    </cfRule>
  </conditionalFormatting>
  <conditionalFormatting sqref="B24">
    <cfRule type="expression" dxfId="2130" priority="1809" stopIfTrue="1">
      <formula>LEN(TRIM(B24))=0</formula>
    </cfRule>
  </conditionalFormatting>
  <conditionalFormatting sqref="B24">
    <cfRule type="expression" dxfId="2129" priority="1808" stopIfTrue="1">
      <formula>LEN(TRIM(B24))=0</formula>
    </cfRule>
  </conditionalFormatting>
  <conditionalFormatting sqref="B24">
    <cfRule type="expression" dxfId="2128" priority="1807" stopIfTrue="1">
      <formula>LEN(TRIM(B24))=0</formula>
    </cfRule>
  </conditionalFormatting>
  <conditionalFormatting sqref="B24">
    <cfRule type="expression" dxfId="2127" priority="1806" stopIfTrue="1">
      <formula>LEN(TRIM(B24))=0</formula>
    </cfRule>
  </conditionalFormatting>
  <conditionalFormatting sqref="B24">
    <cfRule type="expression" dxfId="2126" priority="1805" stopIfTrue="1">
      <formula>LEN(TRIM(B24))=0</formula>
    </cfRule>
  </conditionalFormatting>
  <conditionalFormatting sqref="B6">
    <cfRule type="expression" dxfId="2125" priority="2004" stopIfTrue="1">
      <formula>LEN(TRIM(B6))=0</formula>
    </cfRule>
  </conditionalFormatting>
  <conditionalFormatting sqref="B6">
    <cfRule type="expression" dxfId="2124" priority="2003" stopIfTrue="1">
      <formula>LEN(TRIM(B6))=0</formula>
    </cfRule>
  </conditionalFormatting>
  <conditionalFormatting sqref="B8">
    <cfRule type="expression" dxfId="2123" priority="2002" stopIfTrue="1">
      <formula>LEN(TRIM(B8))=0</formula>
    </cfRule>
  </conditionalFormatting>
  <conditionalFormatting sqref="B8">
    <cfRule type="expression" dxfId="2122" priority="2001" stopIfTrue="1">
      <formula>LEN(TRIM(B8))=0</formula>
    </cfRule>
  </conditionalFormatting>
  <conditionalFormatting sqref="B8">
    <cfRule type="expression" dxfId="2121" priority="2000" stopIfTrue="1">
      <formula>LEN(TRIM(B8))=0</formula>
    </cfRule>
  </conditionalFormatting>
  <conditionalFormatting sqref="B8">
    <cfRule type="expression" dxfId="2120" priority="1999" stopIfTrue="1">
      <formula>LEN(TRIM(B8))=0</formula>
    </cfRule>
  </conditionalFormatting>
  <conditionalFormatting sqref="B8">
    <cfRule type="expression" dxfId="2119" priority="1998" stopIfTrue="1">
      <formula>LEN(TRIM(B8))=0</formula>
    </cfRule>
  </conditionalFormatting>
  <conditionalFormatting sqref="B8">
    <cfRule type="expression" dxfId="2118" priority="1997" stopIfTrue="1">
      <formula>LEN(TRIM(B8))=0</formula>
    </cfRule>
  </conditionalFormatting>
  <conditionalFormatting sqref="B8">
    <cfRule type="expression" dxfId="2117" priority="1996" stopIfTrue="1">
      <formula>LEN(TRIM(B8))=0</formula>
    </cfRule>
  </conditionalFormatting>
  <conditionalFormatting sqref="B8">
    <cfRule type="expression" dxfId="2116" priority="1995" stopIfTrue="1">
      <formula>LEN(TRIM(B8))=0</formula>
    </cfRule>
  </conditionalFormatting>
  <conditionalFormatting sqref="B8">
    <cfRule type="expression" dxfId="2115" priority="1994" stopIfTrue="1">
      <formula>LEN(TRIM(B8))=0</formula>
    </cfRule>
  </conditionalFormatting>
  <conditionalFormatting sqref="B8">
    <cfRule type="expression" dxfId="2114" priority="1993" stopIfTrue="1">
      <formula>LEN(TRIM(B8))=0</formula>
    </cfRule>
  </conditionalFormatting>
  <conditionalFormatting sqref="B8">
    <cfRule type="expression" dxfId="2113" priority="1992" stopIfTrue="1">
      <formula>LEN(TRIM(B8))=0</formula>
    </cfRule>
  </conditionalFormatting>
  <conditionalFormatting sqref="B8">
    <cfRule type="expression" dxfId="2112" priority="1991" stopIfTrue="1">
      <formula>LEN(TRIM(B8))=0</formula>
    </cfRule>
  </conditionalFormatting>
  <conditionalFormatting sqref="B8">
    <cfRule type="expression" dxfId="2111" priority="1990" stopIfTrue="1">
      <formula>LEN(TRIM(B8))=0</formula>
    </cfRule>
  </conditionalFormatting>
  <conditionalFormatting sqref="B8">
    <cfRule type="expression" dxfId="2110" priority="1989" stopIfTrue="1">
      <formula>LEN(TRIM(B8))=0</formula>
    </cfRule>
  </conditionalFormatting>
  <conditionalFormatting sqref="B8">
    <cfRule type="expression" dxfId="2109" priority="1988" stopIfTrue="1">
      <formula>LEN(TRIM(B8))=0</formula>
    </cfRule>
  </conditionalFormatting>
  <conditionalFormatting sqref="B8">
    <cfRule type="expression" dxfId="2108" priority="1987" stopIfTrue="1">
      <formula>LEN(TRIM(B8))=0</formula>
    </cfRule>
  </conditionalFormatting>
  <conditionalFormatting sqref="B8">
    <cfRule type="expression" dxfId="2107" priority="1986" stopIfTrue="1">
      <formula>LEN(TRIM(B8))=0</formula>
    </cfRule>
  </conditionalFormatting>
  <conditionalFormatting sqref="B8">
    <cfRule type="expression" dxfId="2106" priority="1985" stopIfTrue="1">
      <formula>LEN(TRIM(B8))=0</formula>
    </cfRule>
  </conditionalFormatting>
  <conditionalFormatting sqref="B8">
    <cfRule type="expression" dxfId="2105" priority="1984" stopIfTrue="1">
      <formula>LEN(TRIM(B8))=0</formula>
    </cfRule>
  </conditionalFormatting>
  <conditionalFormatting sqref="B8">
    <cfRule type="expression" dxfId="2104" priority="1983" stopIfTrue="1">
      <formula>LEN(TRIM(B8))=0</formula>
    </cfRule>
  </conditionalFormatting>
  <conditionalFormatting sqref="B8">
    <cfRule type="expression" dxfId="2103" priority="1982" stopIfTrue="1">
      <formula>LEN(TRIM(B8))=0</formula>
    </cfRule>
  </conditionalFormatting>
  <conditionalFormatting sqref="B8">
    <cfRule type="expression" dxfId="2102" priority="1981" stopIfTrue="1">
      <formula>LEN(TRIM(B8))=0</formula>
    </cfRule>
  </conditionalFormatting>
  <conditionalFormatting sqref="B8">
    <cfRule type="expression" dxfId="2101" priority="1980" stopIfTrue="1">
      <formula>LEN(TRIM(B8))=0</formula>
    </cfRule>
  </conditionalFormatting>
  <conditionalFormatting sqref="B8">
    <cfRule type="expression" dxfId="2100" priority="1979" stopIfTrue="1">
      <formula>LEN(TRIM(B8))=0</formula>
    </cfRule>
  </conditionalFormatting>
  <conditionalFormatting sqref="B8">
    <cfRule type="expression" dxfId="2099" priority="1978" stopIfTrue="1">
      <formula>LEN(TRIM(B8))=0</formula>
    </cfRule>
  </conditionalFormatting>
  <conditionalFormatting sqref="B8">
    <cfRule type="expression" dxfId="2098" priority="1977" stopIfTrue="1">
      <formula>LEN(TRIM(B8))=0</formula>
    </cfRule>
  </conditionalFormatting>
  <conditionalFormatting sqref="B8">
    <cfRule type="expression" dxfId="2097" priority="1976" stopIfTrue="1">
      <formula>LEN(TRIM(B8))=0</formula>
    </cfRule>
  </conditionalFormatting>
  <conditionalFormatting sqref="B8">
    <cfRule type="expression" dxfId="2096" priority="1975" stopIfTrue="1">
      <formula>LEN(TRIM(B8))=0</formula>
    </cfRule>
  </conditionalFormatting>
  <conditionalFormatting sqref="B8">
    <cfRule type="expression" dxfId="2095" priority="1974" stopIfTrue="1">
      <formula>LEN(TRIM(B8))=0</formula>
    </cfRule>
  </conditionalFormatting>
  <conditionalFormatting sqref="B8">
    <cfRule type="expression" dxfId="2094" priority="1973" stopIfTrue="1">
      <formula>LEN(TRIM(B8))=0</formula>
    </cfRule>
  </conditionalFormatting>
  <conditionalFormatting sqref="B8">
    <cfRule type="expression" dxfId="2093" priority="1972" stopIfTrue="1">
      <formula>LEN(TRIM(B8))=0</formula>
    </cfRule>
  </conditionalFormatting>
  <conditionalFormatting sqref="B8">
    <cfRule type="expression" dxfId="2092" priority="1971" stopIfTrue="1">
      <formula>LEN(TRIM(B8))=0</formula>
    </cfRule>
  </conditionalFormatting>
  <conditionalFormatting sqref="B8">
    <cfRule type="expression" dxfId="2091" priority="1970" stopIfTrue="1">
      <formula>LEN(TRIM(B8))=0</formula>
    </cfRule>
  </conditionalFormatting>
  <conditionalFormatting sqref="B8">
    <cfRule type="expression" dxfId="2090" priority="1969" stopIfTrue="1">
      <formula>LEN(TRIM(B8))=0</formula>
    </cfRule>
  </conditionalFormatting>
  <conditionalFormatting sqref="B8">
    <cfRule type="expression" dxfId="2089" priority="1968" stopIfTrue="1">
      <formula>LEN(TRIM(B8))=0</formula>
    </cfRule>
  </conditionalFormatting>
  <conditionalFormatting sqref="B8">
    <cfRule type="expression" dxfId="2088" priority="1967" stopIfTrue="1">
      <formula>LEN(TRIM(B8))=0</formula>
    </cfRule>
  </conditionalFormatting>
  <conditionalFormatting sqref="B8">
    <cfRule type="expression" dxfId="2087" priority="1966" stopIfTrue="1">
      <formula>LEN(TRIM(B8))=0</formula>
    </cfRule>
  </conditionalFormatting>
  <conditionalFormatting sqref="B8">
    <cfRule type="expression" dxfId="2086" priority="1965" stopIfTrue="1">
      <formula>LEN(TRIM(B8))=0</formula>
    </cfRule>
  </conditionalFormatting>
  <conditionalFormatting sqref="B66">
    <cfRule type="expression" dxfId="2085" priority="2184" stopIfTrue="1">
      <formula>LEN(TRIM(B66))=0</formula>
    </cfRule>
  </conditionalFormatting>
  <conditionalFormatting sqref="B66">
    <cfRule type="expression" dxfId="2084" priority="2183" stopIfTrue="1">
      <formula>LEN(TRIM(B66))=0</formula>
    </cfRule>
  </conditionalFormatting>
  <conditionalFormatting sqref="B66">
    <cfRule type="expression" dxfId="2083" priority="2182" stopIfTrue="1">
      <formula>LEN(TRIM(B66))=0</formula>
    </cfRule>
  </conditionalFormatting>
  <conditionalFormatting sqref="B66">
    <cfRule type="expression" dxfId="2082" priority="2181" stopIfTrue="1">
      <formula>LEN(TRIM(B66))=0</formula>
    </cfRule>
  </conditionalFormatting>
  <conditionalFormatting sqref="B66">
    <cfRule type="expression" dxfId="2081" priority="2180" stopIfTrue="1">
      <formula>LEN(TRIM(B66))=0</formula>
    </cfRule>
  </conditionalFormatting>
  <conditionalFormatting sqref="B66">
    <cfRule type="expression" dxfId="2080" priority="2179" stopIfTrue="1">
      <formula>LEN(TRIM(B66))=0</formula>
    </cfRule>
  </conditionalFormatting>
  <conditionalFormatting sqref="B66">
    <cfRule type="expression" dxfId="2079" priority="2178" stopIfTrue="1">
      <formula>LEN(TRIM(B66))=0</formula>
    </cfRule>
  </conditionalFormatting>
  <conditionalFormatting sqref="B66">
    <cfRule type="expression" dxfId="2078" priority="2177" stopIfTrue="1">
      <formula>LEN(TRIM(B66))=0</formula>
    </cfRule>
  </conditionalFormatting>
  <conditionalFormatting sqref="B66">
    <cfRule type="expression" dxfId="2077" priority="2176" stopIfTrue="1">
      <formula>LEN(TRIM(B66))=0</formula>
    </cfRule>
  </conditionalFormatting>
  <conditionalFormatting sqref="B66">
    <cfRule type="expression" dxfId="2076" priority="2175" stopIfTrue="1">
      <formula>LEN(TRIM(B66))=0</formula>
    </cfRule>
  </conditionalFormatting>
  <conditionalFormatting sqref="B66">
    <cfRule type="expression" dxfId="2075" priority="2174" stopIfTrue="1">
      <formula>LEN(TRIM(B66))=0</formula>
    </cfRule>
  </conditionalFormatting>
  <conditionalFormatting sqref="B66">
    <cfRule type="expression" dxfId="2074" priority="2173" stopIfTrue="1">
      <formula>LEN(TRIM(B66))=0</formula>
    </cfRule>
  </conditionalFormatting>
  <conditionalFormatting sqref="B66">
    <cfRule type="expression" dxfId="2073" priority="2172" stopIfTrue="1">
      <formula>LEN(TRIM(B66))=0</formula>
    </cfRule>
  </conditionalFormatting>
  <conditionalFormatting sqref="B66">
    <cfRule type="expression" dxfId="2072" priority="2171" stopIfTrue="1">
      <formula>LEN(TRIM(B66))=0</formula>
    </cfRule>
  </conditionalFormatting>
  <conditionalFormatting sqref="B66">
    <cfRule type="expression" dxfId="2071" priority="2170" stopIfTrue="1">
      <formula>LEN(TRIM(B66))=0</formula>
    </cfRule>
  </conditionalFormatting>
  <conditionalFormatting sqref="B66">
    <cfRule type="expression" dxfId="2070" priority="2169" stopIfTrue="1">
      <formula>LEN(TRIM(B66))=0</formula>
    </cfRule>
  </conditionalFormatting>
  <conditionalFormatting sqref="B66">
    <cfRule type="expression" dxfId="2069" priority="2168" stopIfTrue="1">
      <formula>LEN(TRIM(B66))=0</formula>
    </cfRule>
  </conditionalFormatting>
  <conditionalFormatting sqref="B66">
    <cfRule type="expression" dxfId="2068" priority="2167" stopIfTrue="1">
      <formula>LEN(TRIM(B66))=0</formula>
    </cfRule>
  </conditionalFormatting>
  <conditionalFormatting sqref="B66">
    <cfRule type="expression" dxfId="2067" priority="2166" stopIfTrue="1">
      <formula>LEN(TRIM(B66))=0</formula>
    </cfRule>
  </conditionalFormatting>
  <conditionalFormatting sqref="B66">
    <cfRule type="expression" dxfId="2066" priority="2165" stopIfTrue="1">
      <formula>LEN(TRIM(B66))=0</formula>
    </cfRule>
  </conditionalFormatting>
  <conditionalFormatting sqref="B65 B61 B63">
    <cfRule type="expression" dxfId="2065" priority="2164" stopIfTrue="1">
      <formula>LEN(TRIM(B61))=0</formula>
    </cfRule>
  </conditionalFormatting>
  <conditionalFormatting sqref="B65 B61 B63">
    <cfRule type="expression" dxfId="2064" priority="2163" stopIfTrue="1">
      <formula>LEN(TRIM(B61))=0</formula>
    </cfRule>
  </conditionalFormatting>
  <conditionalFormatting sqref="B65 B61 B63">
    <cfRule type="expression" dxfId="2063" priority="2162" stopIfTrue="1">
      <formula>LEN(TRIM(B61))=0</formula>
    </cfRule>
  </conditionalFormatting>
  <conditionalFormatting sqref="B65 B61 B63">
    <cfRule type="expression" dxfId="2062" priority="2161" stopIfTrue="1">
      <formula>LEN(TRIM(B61))=0</formula>
    </cfRule>
  </conditionalFormatting>
  <conditionalFormatting sqref="B65 B61 B63">
    <cfRule type="expression" dxfId="2061" priority="2160" stopIfTrue="1">
      <formula>LEN(TRIM(B61))=0</formula>
    </cfRule>
  </conditionalFormatting>
  <conditionalFormatting sqref="B65 B61 B63">
    <cfRule type="expression" dxfId="2060" priority="2159" stopIfTrue="1">
      <formula>LEN(TRIM(B61))=0</formula>
    </cfRule>
  </conditionalFormatting>
  <conditionalFormatting sqref="B65 B61 B63">
    <cfRule type="expression" dxfId="2059" priority="2158" stopIfTrue="1">
      <formula>LEN(TRIM(B61))=0</formula>
    </cfRule>
  </conditionalFormatting>
  <conditionalFormatting sqref="B65 B61 B63">
    <cfRule type="expression" dxfId="2058" priority="2157" stopIfTrue="1">
      <formula>LEN(TRIM(B61))=0</formula>
    </cfRule>
  </conditionalFormatting>
  <conditionalFormatting sqref="B65 B61 B63">
    <cfRule type="expression" dxfId="2057" priority="2156" stopIfTrue="1">
      <formula>LEN(TRIM(B61))=0</formula>
    </cfRule>
  </conditionalFormatting>
  <conditionalFormatting sqref="B65 B61 B63">
    <cfRule type="expression" dxfId="2056" priority="2155" stopIfTrue="1">
      <formula>LEN(TRIM(B61))=0</formula>
    </cfRule>
  </conditionalFormatting>
  <conditionalFormatting sqref="B65 B61 B63">
    <cfRule type="expression" dxfId="2055" priority="2154" stopIfTrue="1">
      <formula>LEN(TRIM(B61))=0</formula>
    </cfRule>
  </conditionalFormatting>
  <conditionalFormatting sqref="B65 B61 B63">
    <cfRule type="expression" dxfId="2054" priority="2153" stopIfTrue="1">
      <formula>LEN(TRIM(B61))=0</formula>
    </cfRule>
  </conditionalFormatting>
  <conditionalFormatting sqref="B65 B61 B63">
    <cfRule type="expression" dxfId="2053" priority="2152" stopIfTrue="1">
      <formula>LEN(TRIM(B61))=0</formula>
    </cfRule>
  </conditionalFormatting>
  <conditionalFormatting sqref="B65 B61 B63">
    <cfRule type="expression" dxfId="2052" priority="2151" stopIfTrue="1">
      <formula>LEN(TRIM(B61))=0</formula>
    </cfRule>
  </conditionalFormatting>
  <conditionalFormatting sqref="B65 B61 B63">
    <cfRule type="expression" dxfId="2051" priority="2150" stopIfTrue="1">
      <formula>LEN(TRIM(B61))=0</formula>
    </cfRule>
  </conditionalFormatting>
  <conditionalFormatting sqref="B65 B61 B63">
    <cfRule type="expression" dxfId="2050" priority="2149" stopIfTrue="1">
      <formula>LEN(TRIM(B61))=0</formula>
    </cfRule>
  </conditionalFormatting>
  <conditionalFormatting sqref="B65 B61 B63">
    <cfRule type="expression" dxfId="2049" priority="2148" stopIfTrue="1">
      <formula>LEN(TRIM(B61))=0</formula>
    </cfRule>
  </conditionalFormatting>
  <conditionalFormatting sqref="B65 B61 B63">
    <cfRule type="expression" dxfId="2048" priority="2147" stopIfTrue="1">
      <formula>LEN(TRIM(B61))=0</formula>
    </cfRule>
  </conditionalFormatting>
  <conditionalFormatting sqref="B65 B61 B63">
    <cfRule type="expression" dxfId="2047" priority="2146" stopIfTrue="1">
      <formula>LEN(TRIM(B61))=0</formula>
    </cfRule>
  </conditionalFormatting>
  <conditionalFormatting sqref="B65 B61 B63">
    <cfRule type="expression" dxfId="2046" priority="2145" stopIfTrue="1">
      <formula>LEN(TRIM(B61))=0</formula>
    </cfRule>
  </conditionalFormatting>
  <conditionalFormatting sqref="B66">
    <cfRule type="expression" dxfId="2045" priority="2122" stopIfTrue="1">
      <formula>LEN(TRIM(B66))=0</formula>
    </cfRule>
  </conditionalFormatting>
  <conditionalFormatting sqref="B66">
    <cfRule type="expression" dxfId="2044" priority="2121" stopIfTrue="1">
      <formula>LEN(TRIM(B66))=0</formula>
    </cfRule>
  </conditionalFormatting>
  <conditionalFormatting sqref="B66">
    <cfRule type="expression" dxfId="2043" priority="2120" stopIfTrue="1">
      <formula>LEN(TRIM(B66))=0</formula>
    </cfRule>
  </conditionalFormatting>
  <conditionalFormatting sqref="B66">
    <cfRule type="expression" dxfId="2042" priority="2119" stopIfTrue="1">
      <formula>LEN(TRIM(B66))=0</formula>
    </cfRule>
  </conditionalFormatting>
  <conditionalFormatting sqref="B66">
    <cfRule type="expression" dxfId="2041" priority="2118" stopIfTrue="1">
      <formula>LEN(TRIM(B66))=0</formula>
    </cfRule>
  </conditionalFormatting>
  <conditionalFormatting sqref="B66">
    <cfRule type="expression" dxfId="2040" priority="2117" stopIfTrue="1">
      <formula>LEN(TRIM(B66))=0</formula>
    </cfRule>
  </conditionalFormatting>
  <conditionalFormatting sqref="B66">
    <cfRule type="expression" dxfId="2039" priority="2116" stopIfTrue="1">
      <formula>LEN(TRIM(B66))=0</formula>
    </cfRule>
  </conditionalFormatting>
  <conditionalFormatting sqref="B66">
    <cfRule type="expression" dxfId="2038" priority="2115" stopIfTrue="1">
      <formula>LEN(TRIM(B66))=0</formula>
    </cfRule>
  </conditionalFormatting>
  <conditionalFormatting sqref="B66">
    <cfRule type="expression" dxfId="2037" priority="2114" stopIfTrue="1">
      <formula>LEN(TRIM(B66))=0</formula>
    </cfRule>
  </conditionalFormatting>
  <conditionalFormatting sqref="B66">
    <cfRule type="expression" dxfId="2036" priority="2113" stopIfTrue="1">
      <formula>LEN(TRIM(B66))=0</formula>
    </cfRule>
  </conditionalFormatting>
  <conditionalFormatting sqref="B66">
    <cfRule type="expression" dxfId="2035" priority="2112" stopIfTrue="1">
      <formula>LEN(TRIM(B66))=0</formula>
    </cfRule>
  </conditionalFormatting>
  <conditionalFormatting sqref="B66">
    <cfRule type="expression" dxfId="2034" priority="2111" stopIfTrue="1">
      <formula>LEN(TRIM(B66))=0</formula>
    </cfRule>
  </conditionalFormatting>
  <conditionalFormatting sqref="B66">
    <cfRule type="expression" dxfId="2033" priority="2110" stopIfTrue="1">
      <formula>LEN(TRIM(B66))=0</formula>
    </cfRule>
  </conditionalFormatting>
  <conditionalFormatting sqref="B66">
    <cfRule type="expression" dxfId="2032" priority="2109" stopIfTrue="1">
      <formula>LEN(TRIM(B66))=0</formula>
    </cfRule>
  </conditionalFormatting>
  <conditionalFormatting sqref="B66">
    <cfRule type="expression" dxfId="2031" priority="2108" stopIfTrue="1">
      <formula>LEN(TRIM(B66))=0</formula>
    </cfRule>
  </conditionalFormatting>
  <conditionalFormatting sqref="B66">
    <cfRule type="expression" dxfId="2030" priority="2107" stopIfTrue="1">
      <formula>LEN(TRIM(B66))=0</formula>
    </cfRule>
  </conditionalFormatting>
  <conditionalFormatting sqref="B66">
    <cfRule type="expression" dxfId="2029" priority="2106" stopIfTrue="1">
      <formula>LEN(TRIM(B66))=0</formula>
    </cfRule>
  </conditionalFormatting>
  <conditionalFormatting sqref="B66">
    <cfRule type="expression" dxfId="2028" priority="2105" stopIfTrue="1">
      <formula>LEN(TRIM(B66))=0</formula>
    </cfRule>
  </conditionalFormatting>
  <conditionalFormatting sqref="B29">
    <cfRule type="expression" dxfId="2027" priority="2142" stopIfTrue="1">
      <formula>LEN(TRIM(B29))=0</formula>
    </cfRule>
  </conditionalFormatting>
  <conditionalFormatting sqref="B29">
    <cfRule type="expression" dxfId="2026" priority="2141" stopIfTrue="1">
      <formula>LEN(TRIM(B29))=0</formula>
    </cfRule>
  </conditionalFormatting>
  <conditionalFormatting sqref="B29">
    <cfRule type="expression" dxfId="2025" priority="2140" stopIfTrue="1">
      <formula>LEN(TRIM(B29))=0</formula>
    </cfRule>
  </conditionalFormatting>
  <conditionalFormatting sqref="B29">
    <cfRule type="expression" dxfId="2024" priority="2139" stopIfTrue="1">
      <formula>LEN(TRIM(B29))=0</formula>
    </cfRule>
  </conditionalFormatting>
  <conditionalFormatting sqref="B29">
    <cfRule type="expression" dxfId="2023" priority="2138" stopIfTrue="1">
      <formula>LEN(TRIM(B29))=0</formula>
    </cfRule>
  </conditionalFormatting>
  <conditionalFormatting sqref="B29">
    <cfRule type="expression" dxfId="2022" priority="2137" stopIfTrue="1">
      <formula>LEN(TRIM(B29))=0</formula>
    </cfRule>
  </conditionalFormatting>
  <conditionalFormatting sqref="B29">
    <cfRule type="expression" dxfId="2021" priority="2136" stopIfTrue="1">
      <formula>LEN(TRIM(B29))=0</formula>
    </cfRule>
  </conditionalFormatting>
  <conditionalFormatting sqref="B29">
    <cfRule type="expression" dxfId="2020" priority="2135" stopIfTrue="1">
      <formula>LEN(TRIM(B29))=0</formula>
    </cfRule>
  </conditionalFormatting>
  <conditionalFormatting sqref="B29">
    <cfRule type="expression" dxfId="2019" priority="2134" stopIfTrue="1">
      <formula>LEN(TRIM(B29))=0</formula>
    </cfRule>
  </conditionalFormatting>
  <conditionalFormatting sqref="B29">
    <cfRule type="expression" dxfId="2018" priority="2133" stopIfTrue="1">
      <formula>LEN(TRIM(B29))=0</formula>
    </cfRule>
  </conditionalFormatting>
  <conditionalFormatting sqref="B29">
    <cfRule type="expression" dxfId="2017" priority="2132" stopIfTrue="1">
      <formula>LEN(TRIM(B29))=0</formula>
    </cfRule>
  </conditionalFormatting>
  <conditionalFormatting sqref="B29">
    <cfRule type="expression" dxfId="2016" priority="2131" stopIfTrue="1">
      <formula>LEN(TRIM(B29))=0</formula>
    </cfRule>
  </conditionalFormatting>
  <conditionalFormatting sqref="B29">
    <cfRule type="expression" dxfId="2015" priority="2130" stopIfTrue="1">
      <formula>LEN(TRIM(B29))=0</formula>
    </cfRule>
  </conditionalFormatting>
  <conditionalFormatting sqref="B29">
    <cfRule type="expression" dxfId="2014" priority="2129" stopIfTrue="1">
      <formula>LEN(TRIM(B29))=0</formula>
    </cfRule>
  </conditionalFormatting>
  <conditionalFormatting sqref="B29">
    <cfRule type="expression" dxfId="2013" priority="2128" stopIfTrue="1">
      <formula>LEN(TRIM(B29))=0</formula>
    </cfRule>
  </conditionalFormatting>
  <conditionalFormatting sqref="B29">
    <cfRule type="expression" dxfId="2012" priority="2127" stopIfTrue="1">
      <formula>LEN(TRIM(B29))=0</formula>
    </cfRule>
  </conditionalFormatting>
  <conditionalFormatting sqref="B29">
    <cfRule type="expression" dxfId="2011" priority="2126" stopIfTrue="1">
      <formula>LEN(TRIM(B29))=0</formula>
    </cfRule>
  </conditionalFormatting>
  <conditionalFormatting sqref="B29">
    <cfRule type="expression" dxfId="2010" priority="2125" stopIfTrue="1">
      <formula>LEN(TRIM(B29))=0</formula>
    </cfRule>
  </conditionalFormatting>
  <conditionalFormatting sqref="B29">
    <cfRule type="expression" dxfId="2009" priority="2124" stopIfTrue="1">
      <formula>LEN(TRIM(B29))=0</formula>
    </cfRule>
  </conditionalFormatting>
  <conditionalFormatting sqref="B29">
    <cfRule type="expression" dxfId="2008" priority="2123" stopIfTrue="1">
      <formula>LEN(TRIM(B29))=0</formula>
    </cfRule>
  </conditionalFormatting>
  <conditionalFormatting sqref="B52">
    <cfRule type="expression" dxfId="2007" priority="1124" stopIfTrue="1">
      <formula>LEN(TRIM(B52))=0</formula>
    </cfRule>
  </conditionalFormatting>
  <conditionalFormatting sqref="B52">
    <cfRule type="expression" dxfId="2006" priority="1123" stopIfTrue="1">
      <formula>LEN(TRIM(B52))=0</formula>
    </cfRule>
  </conditionalFormatting>
  <conditionalFormatting sqref="B54">
    <cfRule type="expression" dxfId="2005" priority="1122" stopIfTrue="1">
      <formula>LEN(TRIM(B54))=0</formula>
    </cfRule>
  </conditionalFormatting>
  <conditionalFormatting sqref="B54">
    <cfRule type="expression" dxfId="2004" priority="1121" stopIfTrue="1">
      <formula>LEN(TRIM(B54))=0</formula>
    </cfRule>
  </conditionalFormatting>
  <conditionalFormatting sqref="B54">
    <cfRule type="expression" dxfId="2003" priority="1120" stopIfTrue="1">
      <formula>LEN(TRIM(B54))=0</formula>
    </cfRule>
  </conditionalFormatting>
  <conditionalFormatting sqref="B54">
    <cfRule type="expression" dxfId="2002" priority="1119" stopIfTrue="1">
      <formula>LEN(TRIM(B54))=0</formula>
    </cfRule>
  </conditionalFormatting>
  <conditionalFormatting sqref="B54">
    <cfRule type="expression" dxfId="2001" priority="1118" stopIfTrue="1">
      <formula>LEN(TRIM(B54))=0</formula>
    </cfRule>
  </conditionalFormatting>
  <conditionalFormatting sqref="B54">
    <cfRule type="expression" dxfId="2000" priority="1117" stopIfTrue="1">
      <formula>LEN(TRIM(B54))=0</formula>
    </cfRule>
  </conditionalFormatting>
  <conditionalFormatting sqref="B54">
    <cfRule type="expression" dxfId="1999" priority="1116" stopIfTrue="1">
      <formula>LEN(TRIM(B54))=0</formula>
    </cfRule>
  </conditionalFormatting>
  <conditionalFormatting sqref="B54">
    <cfRule type="expression" dxfId="1998" priority="1115" stopIfTrue="1">
      <formula>LEN(TRIM(B54))=0</formula>
    </cfRule>
  </conditionalFormatting>
  <conditionalFormatting sqref="B54">
    <cfRule type="expression" dxfId="1997" priority="1114" stopIfTrue="1">
      <formula>LEN(TRIM(B54))=0</formula>
    </cfRule>
  </conditionalFormatting>
  <conditionalFormatting sqref="B54">
    <cfRule type="expression" dxfId="1996" priority="1113" stopIfTrue="1">
      <formula>LEN(TRIM(B54))=0</formula>
    </cfRule>
  </conditionalFormatting>
  <conditionalFormatting sqref="B54">
    <cfRule type="expression" dxfId="1995" priority="1112" stopIfTrue="1">
      <formula>LEN(TRIM(B54))=0</formula>
    </cfRule>
  </conditionalFormatting>
  <conditionalFormatting sqref="B54">
    <cfRule type="expression" dxfId="1994" priority="1111" stopIfTrue="1">
      <formula>LEN(TRIM(B54))=0</formula>
    </cfRule>
  </conditionalFormatting>
  <conditionalFormatting sqref="B54">
    <cfRule type="expression" dxfId="1993" priority="1110" stopIfTrue="1">
      <formula>LEN(TRIM(B54))=0</formula>
    </cfRule>
  </conditionalFormatting>
  <conditionalFormatting sqref="B54">
    <cfRule type="expression" dxfId="1992" priority="1109" stopIfTrue="1">
      <formula>LEN(TRIM(B54))=0</formula>
    </cfRule>
  </conditionalFormatting>
  <conditionalFormatting sqref="B54">
    <cfRule type="expression" dxfId="1991" priority="1108" stopIfTrue="1">
      <formula>LEN(TRIM(B54))=0</formula>
    </cfRule>
  </conditionalFormatting>
  <conditionalFormatting sqref="B54">
    <cfRule type="expression" dxfId="1990" priority="1107" stopIfTrue="1">
      <formula>LEN(TRIM(B54))=0</formula>
    </cfRule>
  </conditionalFormatting>
  <conditionalFormatting sqref="B54">
    <cfRule type="expression" dxfId="1989" priority="1106" stopIfTrue="1">
      <formula>LEN(TRIM(B54))=0</formula>
    </cfRule>
  </conditionalFormatting>
  <conditionalFormatting sqref="B54">
    <cfRule type="expression" dxfId="1988" priority="1105" stopIfTrue="1">
      <formula>LEN(TRIM(B54))=0</formula>
    </cfRule>
  </conditionalFormatting>
  <conditionalFormatting sqref="B40">
    <cfRule type="expression" dxfId="1987" priority="1424" stopIfTrue="1">
      <formula>LEN(TRIM(B40))=0</formula>
    </cfRule>
  </conditionalFormatting>
  <conditionalFormatting sqref="B40">
    <cfRule type="expression" dxfId="1986" priority="1423" stopIfTrue="1">
      <formula>LEN(TRIM(B40))=0</formula>
    </cfRule>
  </conditionalFormatting>
  <conditionalFormatting sqref="B40">
    <cfRule type="expression" dxfId="1985" priority="1422" stopIfTrue="1">
      <formula>LEN(TRIM(B40))=0</formula>
    </cfRule>
  </conditionalFormatting>
  <conditionalFormatting sqref="B40">
    <cfRule type="expression" dxfId="1984" priority="1421" stopIfTrue="1">
      <formula>LEN(TRIM(B40))=0</formula>
    </cfRule>
  </conditionalFormatting>
  <conditionalFormatting sqref="B40">
    <cfRule type="expression" dxfId="1983" priority="1420" stopIfTrue="1">
      <formula>LEN(TRIM(B40))=0</formula>
    </cfRule>
  </conditionalFormatting>
  <conditionalFormatting sqref="B40">
    <cfRule type="expression" dxfId="1982" priority="1419" stopIfTrue="1">
      <formula>LEN(TRIM(B40))=0</formula>
    </cfRule>
  </conditionalFormatting>
  <conditionalFormatting sqref="B40">
    <cfRule type="expression" dxfId="1981" priority="1418" stopIfTrue="1">
      <formula>LEN(TRIM(B40))=0</formula>
    </cfRule>
  </conditionalFormatting>
  <conditionalFormatting sqref="B40">
    <cfRule type="expression" dxfId="1980" priority="1417" stopIfTrue="1">
      <formula>LEN(TRIM(B40))=0</formula>
    </cfRule>
  </conditionalFormatting>
  <conditionalFormatting sqref="B40">
    <cfRule type="expression" dxfId="1979" priority="1416" stopIfTrue="1">
      <formula>LEN(TRIM(B40))=0</formula>
    </cfRule>
  </conditionalFormatting>
  <conditionalFormatting sqref="B40">
    <cfRule type="expression" dxfId="1978" priority="1415" stopIfTrue="1">
      <formula>LEN(TRIM(B40))=0</formula>
    </cfRule>
  </conditionalFormatting>
  <conditionalFormatting sqref="B40">
    <cfRule type="expression" dxfId="1977" priority="1414" stopIfTrue="1">
      <formula>LEN(TRIM(B40))=0</formula>
    </cfRule>
  </conditionalFormatting>
  <conditionalFormatting sqref="B40">
    <cfRule type="expression" dxfId="1976" priority="1413" stopIfTrue="1">
      <formula>LEN(TRIM(B40))=0</formula>
    </cfRule>
  </conditionalFormatting>
  <conditionalFormatting sqref="B40">
    <cfRule type="expression" dxfId="1975" priority="1412" stopIfTrue="1">
      <formula>LEN(TRIM(B40))=0</formula>
    </cfRule>
  </conditionalFormatting>
  <conditionalFormatting sqref="B40">
    <cfRule type="expression" dxfId="1974" priority="1411" stopIfTrue="1">
      <formula>LEN(TRIM(B40))=0</formula>
    </cfRule>
  </conditionalFormatting>
  <conditionalFormatting sqref="B40">
    <cfRule type="expression" dxfId="1973" priority="1410" stopIfTrue="1">
      <formula>LEN(TRIM(B40))=0</formula>
    </cfRule>
  </conditionalFormatting>
  <conditionalFormatting sqref="B40">
    <cfRule type="expression" dxfId="1972" priority="1409" stopIfTrue="1">
      <formula>LEN(TRIM(B40))=0</formula>
    </cfRule>
  </conditionalFormatting>
  <conditionalFormatting sqref="B40">
    <cfRule type="expression" dxfId="1971" priority="1408" stopIfTrue="1">
      <formula>LEN(TRIM(B40))=0</formula>
    </cfRule>
  </conditionalFormatting>
  <conditionalFormatting sqref="B40">
    <cfRule type="expression" dxfId="1970" priority="1407" stopIfTrue="1">
      <formula>LEN(TRIM(B40))=0</formula>
    </cfRule>
  </conditionalFormatting>
  <conditionalFormatting sqref="B40">
    <cfRule type="expression" dxfId="1969" priority="1406" stopIfTrue="1">
      <formula>LEN(TRIM(B40))=0</formula>
    </cfRule>
  </conditionalFormatting>
  <conditionalFormatting sqref="B40">
    <cfRule type="expression" dxfId="1968" priority="1405" stopIfTrue="1">
      <formula>LEN(TRIM(B40))=0</formula>
    </cfRule>
  </conditionalFormatting>
  <conditionalFormatting sqref="B40">
    <cfRule type="expression" dxfId="1967" priority="1404" stopIfTrue="1">
      <formula>LEN(TRIM(B40))=0</formula>
    </cfRule>
  </conditionalFormatting>
  <conditionalFormatting sqref="B40">
    <cfRule type="expression" dxfId="1966" priority="1403" stopIfTrue="1">
      <formula>LEN(TRIM(B40))=0</formula>
    </cfRule>
  </conditionalFormatting>
  <conditionalFormatting sqref="B40">
    <cfRule type="expression" dxfId="1965" priority="1402" stopIfTrue="1">
      <formula>LEN(TRIM(B40))=0</formula>
    </cfRule>
  </conditionalFormatting>
  <conditionalFormatting sqref="B40">
    <cfRule type="expression" dxfId="1964" priority="1401" stopIfTrue="1">
      <formula>LEN(TRIM(B40))=0</formula>
    </cfRule>
  </conditionalFormatting>
  <conditionalFormatting sqref="B40">
    <cfRule type="expression" dxfId="1963" priority="1400" stopIfTrue="1">
      <formula>LEN(TRIM(B40))=0</formula>
    </cfRule>
  </conditionalFormatting>
  <conditionalFormatting sqref="B40">
    <cfRule type="expression" dxfId="1962" priority="1399" stopIfTrue="1">
      <formula>LEN(TRIM(B40))=0</formula>
    </cfRule>
  </conditionalFormatting>
  <conditionalFormatting sqref="B40">
    <cfRule type="expression" dxfId="1961" priority="1398" stopIfTrue="1">
      <formula>LEN(TRIM(B40))=0</formula>
    </cfRule>
  </conditionalFormatting>
  <conditionalFormatting sqref="B40">
    <cfRule type="expression" dxfId="1960" priority="1397" stopIfTrue="1">
      <formula>LEN(TRIM(B40))=0</formula>
    </cfRule>
  </conditionalFormatting>
  <conditionalFormatting sqref="B40">
    <cfRule type="expression" dxfId="1959" priority="1396" stopIfTrue="1">
      <formula>LEN(TRIM(B40))=0</formula>
    </cfRule>
  </conditionalFormatting>
  <conditionalFormatting sqref="B40">
    <cfRule type="expression" dxfId="1958" priority="1395" stopIfTrue="1">
      <formula>LEN(TRIM(B40))=0</formula>
    </cfRule>
  </conditionalFormatting>
  <conditionalFormatting sqref="B40">
    <cfRule type="expression" dxfId="1957" priority="1394" stopIfTrue="1">
      <formula>LEN(TRIM(B40))=0</formula>
    </cfRule>
  </conditionalFormatting>
  <conditionalFormatting sqref="B40">
    <cfRule type="expression" dxfId="1956" priority="1393" stopIfTrue="1">
      <formula>LEN(TRIM(B40))=0</formula>
    </cfRule>
  </conditionalFormatting>
  <conditionalFormatting sqref="B40">
    <cfRule type="expression" dxfId="1955" priority="1392" stopIfTrue="1">
      <formula>LEN(TRIM(B40))=0</formula>
    </cfRule>
  </conditionalFormatting>
  <conditionalFormatting sqref="B40">
    <cfRule type="expression" dxfId="1954" priority="1391" stopIfTrue="1">
      <formula>LEN(TRIM(B40))=0</formula>
    </cfRule>
  </conditionalFormatting>
  <conditionalFormatting sqref="B40">
    <cfRule type="expression" dxfId="1953" priority="1390" stopIfTrue="1">
      <formula>LEN(TRIM(B40))=0</formula>
    </cfRule>
  </conditionalFormatting>
  <conditionalFormatting sqref="B40">
    <cfRule type="expression" dxfId="1952" priority="1389" stopIfTrue="1">
      <formula>LEN(TRIM(B40))=0</formula>
    </cfRule>
  </conditionalFormatting>
  <conditionalFormatting sqref="B40">
    <cfRule type="expression" dxfId="1951" priority="1388" stopIfTrue="1">
      <formula>LEN(TRIM(B40))=0</formula>
    </cfRule>
  </conditionalFormatting>
  <conditionalFormatting sqref="B40">
    <cfRule type="expression" dxfId="1950" priority="1387" stopIfTrue="1">
      <formula>LEN(TRIM(B40))=0</formula>
    </cfRule>
  </conditionalFormatting>
  <conditionalFormatting sqref="B40">
    <cfRule type="expression" dxfId="1949" priority="1386" stopIfTrue="1">
      <formula>LEN(TRIM(B40))=0</formula>
    </cfRule>
  </conditionalFormatting>
  <conditionalFormatting sqref="B40">
    <cfRule type="expression" dxfId="1948" priority="1385" stopIfTrue="1">
      <formula>LEN(TRIM(B40))=0</formula>
    </cfRule>
  </conditionalFormatting>
  <conditionalFormatting sqref="B52">
    <cfRule type="expression" dxfId="1947" priority="1144" stopIfTrue="1">
      <formula>LEN(TRIM(B52))=0</formula>
    </cfRule>
  </conditionalFormatting>
  <conditionalFormatting sqref="B52">
    <cfRule type="expression" dxfId="1946" priority="1143" stopIfTrue="1">
      <formula>LEN(TRIM(B52))=0</formula>
    </cfRule>
  </conditionalFormatting>
  <conditionalFormatting sqref="B52">
    <cfRule type="expression" dxfId="1945" priority="1142" stopIfTrue="1">
      <formula>LEN(TRIM(B52))=0</formula>
    </cfRule>
  </conditionalFormatting>
  <conditionalFormatting sqref="B52">
    <cfRule type="expression" dxfId="1944" priority="1141" stopIfTrue="1">
      <formula>LEN(TRIM(B52))=0</formula>
    </cfRule>
  </conditionalFormatting>
  <conditionalFormatting sqref="B52">
    <cfRule type="expression" dxfId="1943" priority="1140" stopIfTrue="1">
      <formula>LEN(TRIM(B52))=0</formula>
    </cfRule>
  </conditionalFormatting>
  <conditionalFormatting sqref="B52">
    <cfRule type="expression" dxfId="1942" priority="1139" stopIfTrue="1">
      <formula>LEN(TRIM(B52))=0</formula>
    </cfRule>
  </conditionalFormatting>
  <conditionalFormatting sqref="B52">
    <cfRule type="expression" dxfId="1941" priority="1138" stopIfTrue="1">
      <formula>LEN(TRIM(B52))=0</formula>
    </cfRule>
  </conditionalFormatting>
  <conditionalFormatting sqref="B52">
    <cfRule type="expression" dxfId="1940" priority="1137" stopIfTrue="1">
      <formula>LEN(TRIM(B52))=0</formula>
    </cfRule>
  </conditionalFormatting>
  <conditionalFormatting sqref="B52">
    <cfRule type="expression" dxfId="1939" priority="1136" stopIfTrue="1">
      <formula>LEN(TRIM(B52))=0</formula>
    </cfRule>
  </conditionalFormatting>
  <conditionalFormatting sqref="B52">
    <cfRule type="expression" dxfId="1938" priority="1135" stopIfTrue="1">
      <formula>LEN(TRIM(B52))=0</formula>
    </cfRule>
  </conditionalFormatting>
  <conditionalFormatting sqref="B52">
    <cfRule type="expression" dxfId="1937" priority="1134" stopIfTrue="1">
      <formula>LEN(TRIM(B52))=0</formula>
    </cfRule>
  </conditionalFormatting>
  <conditionalFormatting sqref="B52">
    <cfRule type="expression" dxfId="1936" priority="1133" stopIfTrue="1">
      <formula>LEN(TRIM(B52))=0</formula>
    </cfRule>
  </conditionalFormatting>
  <conditionalFormatting sqref="B52">
    <cfRule type="expression" dxfId="1935" priority="1132" stopIfTrue="1">
      <formula>LEN(TRIM(B52))=0</formula>
    </cfRule>
  </conditionalFormatting>
  <conditionalFormatting sqref="B52">
    <cfRule type="expression" dxfId="1934" priority="1131" stopIfTrue="1">
      <formula>LEN(TRIM(B52))=0</formula>
    </cfRule>
  </conditionalFormatting>
  <conditionalFormatting sqref="B52">
    <cfRule type="expression" dxfId="1933" priority="1130" stopIfTrue="1">
      <formula>LEN(TRIM(B52))=0</formula>
    </cfRule>
  </conditionalFormatting>
  <conditionalFormatting sqref="B52">
    <cfRule type="expression" dxfId="1932" priority="1129" stopIfTrue="1">
      <formula>LEN(TRIM(B52))=0</formula>
    </cfRule>
  </conditionalFormatting>
  <conditionalFormatting sqref="B52">
    <cfRule type="expression" dxfId="1931" priority="1128" stopIfTrue="1">
      <formula>LEN(TRIM(B52))=0</formula>
    </cfRule>
  </conditionalFormatting>
  <conditionalFormatting sqref="B52">
    <cfRule type="expression" dxfId="1930" priority="1127" stopIfTrue="1">
      <formula>LEN(TRIM(B52))=0</formula>
    </cfRule>
  </conditionalFormatting>
  <conditionalFormatting sqref="B52">
    <cfRule type="expression" dxfId="1929" priority="1126" stopIfTrue="1">
      <formula>LEN(TRIM(B52))=0</formula>
    </cfRule>
  </conditionalFormatting>
  <conditionalFormatting sqref="B52">
    <cfRule type="expression" dxfId="1928" priority="1125" stopIfTrue="1">
      <formula>LEN(TRIM(B52))=0</formula>
    </cfRule>
  </conditionalFormatting>
  <conditionalFormatting sqref="B56">
    <cfRule type="expression" dxfId="1927" priority="1024" stopIfTrue="1">
      <formula>LEN(TRIM(B56))=0</formula>
    </cfRule>
  </conditionalFormatting>
  <conditionalFormatting sqref="B56">
    <cfRule type="expression" dxfId="1926" priority="1023" stopIfTrue="1">
      <formula>LEN(TRIM(B56))=0</formula>
    </cfRule>
  </conditionalFormatting>
  <conditionalFormatting sqref="B56">
    <cfRule type="expression" dxfId="1925" priority="1022" stopIfTrue="1">
      <formula>LEN(TRIM(B56))=0</formula>
    </cfRule>
  </conditionalFormatting>
  <conditionalFormatting sqref="B56">
    <cfRule type="expression" dxfId="1924" priority="1021" stopIfTrue="1">
      <formula>LEN(TRIM(B56))=0</formula>
    </cfRule>
  </conditionalFormatting>
  <conditionalFormatting sqref="B56">
    <cfRule type="expression" dxfId="1923" priority="1020" stopIfTrue="1">
      <formula>LEN(TRIM(B56))=0</formula>
    </cfRule>
  </conditionalFormatting>
  <conditionalFormatting sqref="B56">
    <cfRule type="expression" dxfId="1922" priority="1019" stopIfTrue="1">
      <formula>LEN(TRIM(B56))=0</formula>
    </cfRule>
  </conditionalFormatting>
  <conditionalFormatting sqref="B56">
    <cfRule type="expression" dxfId="1921" priority="1018" stopIfTrue="1">
      <formula>LEN(TRIM(B56))=0</formula>
    </cfRule>
  </conditionalFormatting>
  <conditionalFormatting sqref="B56">
    <cfRule type="expression" dxfId="1920" priority="1017" stopIfTrue="1">
      <formula>LEN(TRIM(B56))=0</formula>
    </cfRule>
  </conditionalFormatting>
  <conditionalFormatting sqref="B56">
    <cfRule type="expression" dxfId="1919" priority="1016" stopIfTrue="1">
      <formula>LEN(TRIM(B56))=0</formula>
    </cfRule>
  </conditionalFormatting>
  <conditionalFormatting sqref="B56">
    <cfRule type="expression" dxfId="1918" priority="1015" stopIfTrue="1">
      <formula>LEN(TRIM(B56))=0</formula>
    </cfRule>
  </conditionalFormatting>
  <conditionalFormatting sqref="B56">
    <cfRule type="expression" dxfId="1917" priority="1014" stopIfTrue="1">
      <formula>LEN(TRIM(B56))=0</formula>
    </cfRule>
  </conditionalFormatting>
  <conditionalFormatting sqref="B56">
    <cfRule type="expression" dxfId="1916" priority="1013" stopIfTrue="1">
      <formula>LEN(TRIM(B56))=0</formula>
    </cfRule>
  </conditionalFormatting>
  <conditionalFormatting sqref="B56">
    <cfRule type="expression" dxfId="1915" priority="1012" stopIfTrue="1">
      <formula>LEN(TRIM(B56))=0</formula>
    </cfRule>
  </conditionalFormatting>
  <conditionalFormatting sqref="B56">
    <cfRule type="expression" dxfId="1914" priority="1011" stopIfTrue="1">
      <formula>LEN(TRIM(B56))=0</formula>
    </cfRule>
  </conditionalFormatting>
  <conditionalFormatting sqref="B56">
    <cfRule type="expression" dxfId="1913" priority="1010" stopIfTrue="1">
      <formula>LEN(TRIM(B56))=0</formula>
    </cfRule>
  </conditionalFormatting>
  <conditionalFormatting sqref="B56">
    <cfRule type="expression" dxfId="1912" priority="1009" stopIfTrue="1">
      <formula>LEN(TRIM(B56))=0</formula>
    </cfRule>
  </conditionalFormatting>
  <conditionalFormatting sqref="B56">
    <cfRule type="expression" dxfId="1911" priority="1008" stopIfTrue="1">
      <formula>LEN(TRIM(B56))=0</formula>
    </cfRule>
  </conditionalFormatting>
  <conditionalFormatting sqref="B56">
    <cfRule type="expression" dxfId="1910" priority="1007" stopIfTrue="1">
      <formula>LEN(TRIM(B56))=0</formula>
    </cfRule>
  </conditionalFormatting>
  <conditionalFormatting sqref="B56">
    <cfRule type="expression" dxfId="1909" priority="1006" stopIfTrue="1">
      <formula>LEN(TRIM(B56))=0</formula>
    </cfRule>
  </conditionalFormatting>
  <conditionalFormatting sqref="B56">
    <cfRule type="expression" dxfId="1908" priority="1005" stopIfTrue="1">
      <formula>LEN(TRIM(B56))=0</formula>
    </cfRule>
  </conditionalFormatting>
  <conditionalFormatting sqref="B56">
    <cfRule type="expression" dxfId="1907" priority="1004" stopIfTrue="1">
      <formula>LEN(TRIM(B56))=0</formula>
    </cfRule>
  </conditionalFormatting>
  <conditionalFormatting sqref="B56">
    <cfRule type="expression" dxfId="1906" priority="1003" stopIfTrue="1">
      <formula>LEN(TRIM(B56))=0</formula>
    </cfRule>
  </conditionalFormatting>
  <conditionalFormatting sqref="B56">
    <cfRule type="expression" dxfId="1905" priority="1002" stopIfTrue="1">
      <formula>LEN(TRIM(B56))=0</formula>
    </cfRule>
  </conditionalFormatting>
  <conditionalFormatting sqref="B56">
    <cfRule type="expression" dxfId="1904" priority="1001" stopIfTrue="1">
      <formula>LEN(TRIM(B56))=0</formula>
    </cfRule>
  </conditionalFormatting>
  <conditionalFormatting sqref="B56">
    <cfRule type="expression" dxfId="1903" priority="1000" stopIfTrue="1">
      <formula>LEN(TRIM(B56))=0</formula>
    </cfRule>
  </conditionalFormatting>
  <conditionalFormatting sqref="B56">
    <cfRule type="expression" dxfId="1902" priority="999" stopIfTrue="1">
      <formula>LEN(TRIM(B56))=0</formula>
    </cfRule>
  </conditionalFormatting>
  <conditionalFormatting sqref="B56">
    <cfRule type="expression" dxfId="1901" priority="998" stopIfTrue="1">
      <formula>LEN(TRIM(B56))=0</formula>
    </cfRule>
  </conditionalFormatting>
  <conditionalFormatting sqref="B56">
    <cfRule type="expression" dxfId="1900" priority="997" stopIfTrue="1">
      <formula>LEN(TRIM(B56))=0</formula>
    </cfRule>
  </conditionalFormatting>
  <conditionalFormatting sqref="B56">
    <cfRule type="expression" dxfId="1899" priority="996" stopIfTrue="1">
      <formula>LEN(TRIM(B56))=0</formula>
    </cfRule>
  </conditionalFormatting>
  <conditionalFormatting sqref="B56">
    <cfRule type="expression" dxfId="1898" priority="995" stopIfTrue="1">
      <formula>LEN(TRIM(B56))=0</formula>
    </cfRule>
  </conditionalFormatting>
  <conditionalFormatting sqref="B56">
    <cfRule type="expression" dxfId="1897" priority="994" stopIfTrue="1">
      <formula>LEN(TRIM(B56))=0</formula>
    </cfRule>
  </conditionalFormatting>
  <conditionalFormatting sqref="B56">
    <cfRule type="expression" dxfId="1896" priority="993" stopIfTrue="1">
      <formula>LEN(TRIM(B56))=0</formula>
    </cfRule>
  </conditionalFormatting>
  <conditionalFormatting sqref="B56">
    <cfRule type="expression" dxfId="1895" priority="992" stopIfTrue="1">
      <formula>LEN(TRIM(B56))=0</formula>
    </cfRule>
  </conditionalFormatting>
  <conditionalFormatting sqref="B56">
    <cfRule type="expression" dxfId="1894" priority="991" stopIfTrue="1">
      <formula>LEN(TRIM(B56))=0</formula>
    </cfRule>
  </conditionalFormatting>
  <conditionalFormatting sqref="B56">
    <cfRule type="expression" dxfId="1893" priority="990" stopIfTrue="1">
      <formula>LEN(TRIM(B56))=0</formula>
    </cfRule>
  </conditionalFormatting>
  <conditionalFormatting sqref="B56">
    <cfRule type="expression" dxfId="1892" priority="989" stopIfTrue="1">
      <formula>LEN(TRIM(B56))=0</formula>
    </cfRule>
  </conditionalFormatting>
  <conditionalFormatting sqref="B56">
    <cfRule type="expression" dxfId="1891" priority="988" stopIfTrue="1">
      <formula>LEN(TRIM(B56))=0</formula>
    </cfRule>
  </conditionalFormatting>
  <conditionalFormatting sqref="B56">
    <cfRule type="expression" dxfId="1890" priority="987" stopIfTrue="1">
      <formula>LEN(TRIM(B56))=0</formula>
    </cfRule>
  </conditionalFormatting>
  <conditionalFormatting sqref="B56">
    <cfRule type="expression" dxfId="1889" priority="986" stopIfTrue="1">
      <formula>LEN(TRIM(B56))=0</formula>
    </cfRule>
  </conditionalFormatting>
  <conditionalFormatting sqref="B56">
    <cfRule type="expression" dxfId="1888" priority="985" stopIfTrue="1">
      <formula>LEN(TRIM(B56))=0</formula>
    </cfRule>
  </conditionalFormatting>
  <conditionalFormatting sqref="C5">
    <cfRule type="containsBlanks" dxfId="1887" priority="2144">
      <formula>LEN(TRIM(C5))=0</formula>
    </cfRule>
  </conditionalFormatting>
  <conditionalFormatting sqref="C5">
    <cfRule type="containsBlanks" dxfId="1886" priority="2143">
      <formula>LEN(TRIM(C5))=0</formula>
    </cfRule>
  </conditionalFormatting>
  <conditionalFormatting sqref="B56">
    <cfRule type="expression" dxfId="1885" priority="982" stopIfTrue="1">
      <formula>LEN(TRIM(B56))=0</formula>
    </cfRule>
  </conditionalFormatting>
  <conditionalFormatting sqref="B56">
    <cfRule type="expression" dxfId="1884" priority="980" stopIfTrue="1">
      <formula>LEN(TRIM(B56))=0</formula>
    </cfRule>
  </conditionalFormatting>
  <conditionalFormatting sqref="B56">
    <cfRule type="expression" dxfId="1883" priority="978" stopIfTrue="1">
      <formula>LEN(TRIM(B56))=0</formula>
    </cfRule>
  </conditionalFormatting>
  <conditionalFormatting sqref="B56">
    <cfRule type="expression" dxfId="1882" priority="976" stopIfTrue="1">
      <formula>LEN(TRIM(B56))=0</formula>
    </cfRule>
  </conditionalFormatting>
  <conditionalFormatting sqref="B56">
    <cfRule type="expression" dxfId="1881" priority="974" stopIfTrue="1">
      <formula>LEN(TRIM(B56))=0</formula>
    </cfRule>
  </conditionalFormatting>
  <conditionalFormatting sqref="B56">
    <cfRule type="expression" dxfId="1880" priority="972" stopIfTrue="1">
      <formula>LEN(TRIM(B56))=0</formula>
    </cfRule>
  </conditionalFormatting>
  <conditionalFormatting sqref="B56">
    <cfRule type="expression" dxfId="1879" priority="970" stopIfTrue="1">
      <formula>LEN(TRIM(B56))=0</formula>
    </cfRule>
  </conditionalFormatting>
  <conditionalFormatting sqref="B56">
    <cfRule type="expression" dxfId="1878" priority="968" stopIfTrue="1">
      <formula>LEN(TRIM(B56))=0</formula>
    </cfRule>
  </conditionalFormatting>
  <conditionalFormatting sqref="B56">
    <cfRule type="expression" dxfId="1877" priority="966" stopIfTrue="1">
      <formula>LEN(TRIM(B56))=0</formula>
    </cfRule>
  </conditionalFormatting>
  <conditionalFormatting sqref="B56">
    <cfRule type="expression" dxfId="1876" priority="964" stopIfTrue="1">
      <formula>LEN(TRIM(B56))=0</formula>
    </cfRule>
  </conditionalFormatting>
  <conditionalFormatting sqref="B70">
    <cfRule type="expression" dxfId="1875" priority="962" stopIfTrue="1">
      <formula>LEN(TRIM(B70))=0</formula>
    </cfRule>
  </conditionalFormatting>
  <conditionalFormatting sqref="B70">
    <cfRule type="expression" dxfId="1874" priority="960" stopIfTrue="1">
      <formula>LEN(TRIM(B70))=0</formula>
    </cfRule>
  </conditionalFormatting>
  <conditionalFormatting sqref="B70">
    <cfRule type="expression" dxfId="1873" priority="958" stopIfTrue="1">
      <formula>LEN(TRIM(B70))=0</formula>
    </cfRule>
  </conditionalFormatting>
  <conditionalFormatting sqref="B70">
    <cfRule type="expression" dxfId="1872" priority="956" stopIfTrue="1">
      <formula>LEN(TRIM(B70))=0</formula>
    </cfRule>
  </conditionalFormatting>
  <conditionalFormatting sqref="B70">
    <cfRule type="expression" dxfId="1871" priority="954" stopIfTrue="1">
      <formula>LEN(TRIM(B70))=0</formula>
    </cfRule>
  </conditionalFormatting>
  <conditionalFormatting sqref="B70">
    <cfRule type="expression" dxfId="1870" priority="952" stopIfTrue="1">
      <formula>LEN(TRIM(B70))=0</formula>
    </cfRule>
  </conditionalFormatting>
  <conditionalFormatting sqref="B70">
    <cfRule type="expression" dxfId="1869" priority="950" stopIfTrue="1">
      <formula>LEN(TRIM(B70))=0</formula>
    </cfRule>
  </conditionalFormatting>
  <conditionalFormatting sqref="B70">
    <cfRule type="expression" dxfId="1868" priority="948" stopIfTrue="1">
      <formula>LEN(TRIM(B70))=0</formula>
    </cfRule>
  </conditionalFormatting>
  <conditionalFormatting sqref="B70">
    <cfRule type="expression" dxfId="1867" priority="946" stopIfTrue="1">
      <formula>LEN(TRIM(B70))=0</formula>
    </cfRule>
  </conditionalFormatting>
  <conditionalFormatting sqref="B70">
    <cfRule type="expression" dxfId="1866" priority="944" stopIfTrue="1">
      <formula>LEN(TRIM(B70))=0</formula>
    </cfRule>
  </conditionalFormatting>
  <conditionalFormatting sqref="B44">
    <cfRule type="expression" dxfId="1865" priority="1242" stopIfTrue="1">
      <formula>LEN(TRIM(B44))=0</formula>
    </cfRule>
  </conditionalFormatting>
  <conditionalFormatting sqref="B44">
    <cfRule type="expression" dxfId="1864" priority="1241" stopIfTrue="1">
      <formula>LEN(TRIM(B44))=0</formula>
    </cfRule>
  </conditionalFormatting>
  <conditionalFormatting sqref="B44">
    <cfRule type="expression" dxfId="1863" priority="1240" stopIfTrue="1">
      <formula>LEN(TRIM(B44))=0</formula>
    </cfRule>
  </conditionalFormatting>
  <conditionalFormatting sqref="B44">
    <cfRule type="expression" dxfId="1862" priority="1239" stopIfTrue="1">
      <formula>LEN(TRIM(B44))=0</formula>
    </cfRule>
  </conditionalFormatting>
  <conditionalFormatting sqref="B44">
    <cfRule type="expression" dxfId="1861" priority="1238" stopIfTrue="1">
      <formula>LEN(TRIM(B44))=0</formula>
    </cfRule>
  </conditionalFormatting>
  <conditionalFormatting sqref="B44">
    <cfRule type="expression" dxfId="1860" priority="1237" stopIfTrue="1">
      <formula>LEN(TRIM(B44))=0</formula>
    </cfRule>
  </conditionalFormatting>
  <conditionalFormatting sqref="B44">
    <cfRule type="expression" dxfId="1859" priority="1236" stopIfTrue="1">
      <formula>LEN(TRIM(B44))=0</formula>
    </cfRule>
  </conditionalFormatting>
  <conditionalFormatting sqref="B44">
    <cfRule type="expression" dxfId="1858" priority="1235" stopIfTrue="1">
      <formula>LEN(TRIM(B44))=0</formula>
    </cfRule>
  </conditionalFormatting>
  <conditionalFormatting sqref="B44">
    <cfRule type="expression" dxfId="1857" priority="1234" stopIfTrue="1">
      <formula>LEN(TRIM(B44))=0</formula>
    </cfRule>
  </conditionalFormatting>
  <conditionalFormatting sqref="B44">
    <cfRule type="expression" dxfId="1856" priority="1233" stopIfTrue="1">
      <formula>LEN(TRIM(B44))=0</formula>
    </cfRule>
  </conditionalFormatting>
  <conditionalFormatting sqref="B44">
    <cfRule type="expression" dxfId="1855" priority="1232" stopIfTrue="1">
      <formula>LEN(TRIM(B44))=0</formula>
    </cfRule>
  </conditionalFormatting>
  <conditionalFormatting sqref="B44">
    <cfRule type="expression" dxfId="1854" priority="1231" stopIfTrue="1">
      <formula>LEN(TRIM(B44))=0</formula>
    </cfRule>
  </conditionalFormatting>
  <conditionalFormatting sqref="B44">
    <cfRule type="expression" dxfId="1853" priority="1230" stopIfTrue="1">
      <formula>LEN(TRIM(B44))=0</formula>
    </cfRule>
  </conditionalFormatting>
  <conditionalFormatting sqref="B44">
    <cfRule type="expression" dxfId="1852" priority="1229" stopIfTrue="1">
      <formula>LEN(TRIM(B44))=0</formula>
    </cfRule>
  </conditionalFormatting>
  <conditionalFormatting sqref="B44">
    <cfRule type="expression" dxfId="1851" priority="1228" stopIfTrue="1">
      <formula>LEN(TRIM(B44))=0</formula>
    </cfRule>
  </conditionalFormatting>
  <conditionalFormatting sqref="B44">
    <cfRule type="expression" dxfId="1850" priority="1227" stopIfTrue="1">
      <formula>LEN(TRIM(B44))=0</formula>
    </cfRule>
  </conditionalFormatting>
  <conditionalFormatting sqref="B44">
    <cfRule type="expression" dxfId="1849" priority="1226" stopIfTrue="1">
      <formula>LEN(TRIM(B44))=0</formula>
    </cfRule>
  </conditionalFormatting>
  <conditionalFormatting sqref="B44">
    <cfRule type="expression" dxfId="1848" priority="1225" stopIfTrue="1">
      <formula>LEN(TRIM(B44))=0</formula>
    </cfRule>
  </conditionalFormatting>
  <conditionalFormatting sqref="B44">
    <cfRule type="expression" dxfId="1847" priority="1224" stopIfTrue="1">
      <formula>LEN(TRIM(B44))=0</formula>
    </cfRule>
  </conditionalFormatting>
  <conditionalFormatting sqref="B44">
    <cfRule type="expression" dxfId="1846" priority="1223" stopIfTrue="1">
      <formula>LEN(TRIM(B44))=0</formula>
    </cfRule>
  </conditionalFormatting>
  <conditionalFormatting sqref="B35">
    <cfRule type="expression" dxfId="1845" priority="1462" stopIfTrue="1">
      <formula>LEN(TRIM(B35))=0</formula>
    </cfRule>
  </conditionalFormatting>
  <conditionalFormatting sqref="B35">
    <cfRule type="expression" dxfId="1844" priority="1461" stopIfTrue="1">
      <formula>LEN(TRIM(B35))=0</formula>
    </cfRule>
  </conditionalFormatting>
  <conditionalFormatting sqref="B35">
    <cfRule type="expression" dxfId="1843" priority="1460" stopIfTrue="1">
      <formula>LEN(TRIM(B35))=0</formula>
    </cfRule>
  </conditionalFormatting>
  <conditionalFormatting sqref="B35">
    <cfRule type="expression" dxfId="1842" priority="1459" stopIfTrue="1">
      <formula>LEN(TRIM(B35))=0</formula>
    </cfRule>
  </conditionalFormatting>
  <conditionalFormatting sqref="B35">
    <cfRule type="expression" dxfId="1841" priority="1458" stopIfTrue="1">
      <formula>LEN(TRIM(B35))=0</formula>
    </cfRule>
  </conditionalFormatting>
  <conditionalFormatting sqref="B35">
    <cfRule type="expression" dxfId="1840" priority="1457" stopIfTrue="1">
      <formula>LEN(TRIM(B35))=0</formula>
    </cfRule>
  </conditionalFormatting>
  <conditionalFormatting sqref="B35">
    <cfRule type="expression" dxfId="1839" priority="1456" stopIfTrue="1">
      <formula>LEN(TRIM(B35))=0</formula>
    </cfRule>
  </conditionalFormatting>
  <conditionalFormatting sqref="B35">
    <cfRule type="expression" dxfId="1838" priority="1455" stopIfTrue="1">
      <formula>LEN(TRIM(B35))=0</formula>
    </cfRule>
  </conditionalFormatting>
  <conditionalFormatting sqref="B35">
    <cfRule type="expression" dxfId="1837" priority="1454" stopIfTrue="1">
      <formula>LEN(TRIM(B35))=0</formula>
    </cfRule>
  </conditionalFormatting>
  <conditionalFormatting sqref="B35">
    <cfRule type="expression" dxfId="1836" priority="1453" stopIfTrue="1">
      <formula>LEN(TRIM(B35))=0</formula>
    </cfRule>
  </conditionalFormatting>
  <conditionalFormatting sqref="B35">
    <cfRule type="expression" dxfId="1835" priority="1452" stopIfTrue="1">
      <formula>LEN(TRIM(B35))=0</formula>
    </cfRule>
  </conditionalFormatting>
  <conditionalFormatting sqref="B35">
    <cfRule type="expression" dxfId="1834" priority="1451" stopIfTrue="1">
      <formula>LEN(TRIM(B35))=0</formula>
    </cfRule>
  </conditionalFormatting>
  <conditionalFormatting sqref="B35">
    <cfRule type="expression" dxfId="1833" priority="1450" stopIfTrue="1">
      <formula>LEN(TRIM(B35))=0</formula>
    </cfRule>
  </conditionalFormatting>
  <conditionalFormatting sqref="B35">
    <cfRule type="expression" dxfId="1832" priority="1449" stopIfTrue="1">
      <formula>LEN(TRIM(B35))=0</formula>
    </cfRule>
  </conditionalFormatting>
  <conditionalFormatting sqref="B35">
    <cfRule type="expression" dxfId="1831" priority="1448" stopIfTrue="1">
      <formula>LEN(TRIM(B35))=0</formula>
    </cfRule>
  </conditionalFormatting>
  <conditionalFormatting sqref="B35">
    <cfRule type="expression" dxfId="1830" priority="1447" stopIfTrue="1">
      <formula>LEN(TRIM(B35))=0</formula>
    </cfRule>
  </conditionalFormatting>
  <conditionalFormatting sqref="B35">
    <cfRule type="expression" dxfId="1829" priority="1446" stopIfTrue="1">
      <formula>LEN(TRIM(B35))=0</formula>
    </cfRule>
  </conditionalFormatting>
  <conditionalFormatting sqref="B35">
    <cfRule type="expression" dxfId="1828" priority="1445" stopIfTrue="1">
      <formula>LEN(TRIM(B35))=0</formula>
    </cfRule>
  </conditionalFormatting>
  <conditionalFormatting sqref="B35">
    <cfRule type="expression" dxfId="1827" priority="1444" stopIfTrue="1">
      <formula>LEN(TRIM(B35))=0</formula>
    </cfRule>
  </conditionalFormatting>
  <conditionalFormatting sqref="B35">
    <cfRule type="expression" dxfId="1826" priority="1443" stopIfTrue="1">
      <formula>LEN(TRIM(B35))=0</formula>
    </cfRule>
  </conditionalFormatting>
  <conditionalFormatting sqref="B40">
    <cfRule type="expression" dxfId="1825" priority="1442" stopIfTrue="1">
      <formula>LEN(TRIM(B40))=0</formula>
    </cfRule>
  </conditionalFormatting>
  <conditionalFormatting sqref="B40">
    <cfRule type="expression" dxfId="1824" priority="1441" stopIfTrue="1">
      <formula>LEN(TRIM(B40))=0</formula>
    </cfRule>
  </conditionalFormatting>
  <conditionalFormatting sqref="B40">
    <cfRule type="expression" dxfId="1823" priority="1440" stopIfTrue="1">
      <formula>LEN(TRIM(B40))=0</formula>
    </cfRule>
  </conditionalFormatting>
  <conditionalFormatting sqref="B40">
    <cfRule type="expression" dxfId="1822" priority="1439" stopIfTrue="1">
      <formula>LEN(TRIM(B40))=0</formula>
    </cfRule>
  </conditionalFormatting>
  <conditionalFormatting sqref="B40">
    <cfRule type="expression" dxfId="1821" priority="1438" stopIfTrue="1">
      <formula>LEN(TRIM(B40))=0</formula>
    </cfRule>
  </conditionalFormatting>
  <conditionalFormatting sqref="B40">
    <cfRule type="expression" dxfId="1820" priority="1437" stopIfTrue="1">
      <formula>LEN(TRIM(B40))=0</formula>
    </cfRule>
  </conditionalFormatting>
  <conditionalFormatting sqref="B40">
    <cfRule type="expression" dxfId="1819" priority="1436" stopIfTrue="1">
      <formula>LEN(TRIM(B40))=0</formula>
    </cfRule>
  </conditionalFormatting>
  <conditionalFormatting sqref="B40">
    <cfRule type="expression" dxfId="1818" priority="1435" stopIfTrue="1">
      <formula>LEN(TRIM(B40))=0</formula>
    </cfRule>
  </conditionalFormatting>
  <conditionalFormatting sqref="B40">
    <cfRule type="expression" dxfId="1817" priority="1434" stopIfTrue="1">
      <formula>LEN(TRIM(B40))=0</formula>
    </cfRule>
  </conditionalFormatting>
  <conditionalFormatting sqref="B40">
    <cfRule type="expression" dxfId="1816" priority="1433" stopIfTrue="1">
      <formula>LEN(TRIM(B40))=0</formula>
    </cfRule>
  </conditionalFormatting>
  <conditionalFormatting sqref="B40">
    <cfRule type="expression" dxfId="1815" priority="1432" stopIfTrue="1">
      <formula>LEN(TRIM(B40))=0</formula>
    </cfRule>
  </conditionalFormatting>
  <conditionalFormatting sqref="B40">
    <cfRule type="expression" dxfId="1814" priority="1431" stopIfTrue="1">
      <formula>LEN(TRIM(B40))=0</formula>
    </cfRule>
  </conditionalFormatting>
  <conditionalFormatting sqref="B40">
    <cfRule type="expression" dxfId="1813" priority="1430" stopIfTrue="1">
      <formula>LEN(TRIM(B40))=0</formula>
    </cfRule>
  </conditionalFormatting>
  <conditionalFormatting sqref="B40">
    <cfRule type="expression" dxfId="1812" priority="1429" stopIfTrue="1">
      <formula>LEN(TRIM(B40))=0</formula>
    </cfRule>
  </conditionalFormatting>
  <conditionalFormatting sqref="B40">
    <cfRule type="expression" dxfId="1811" priority="1428" stopIfTrue="1">
      <formula>LEN(TRIM(B40))=0</formula>
    </cfRule>
  </conditionalFormatting>
  <conditionalFormatting sqref="B40">
    <cfRule type="expression" dxfId="1810" priority="1427" stopIfTrue="1">
      <formula>LEN(TRIM(B40))=0</formula>
    </cfRule>
  </conditionalFormatting>
  <conditionalFormatting sqref="B40">
    <cfRule type="expression" dxfId="1809" priority="1426" stopIfTrue="1">
      <formula>LEN(TRIM(B40))=0</formula>
    </cfRule>
  </conditionalFormatting>
  <conditionalFormatting sqref="B40">
    <cfRule type="expression" dxfId="1808" priority="1425" stopIfTrue="1">
      <formula>LEN(TRIM(B40))=0</formula>
    </cfRule>
  </conditionalFormatting>
  <conditionalFormatting sqref="B31">
    <cfRule type="expression" dxfId="1807" priority="1662" stopIfTrue="1">
      <formula>LEN(TRIM(B31))=0</formula>
    </cfRule>
  </conditionalFormatting>
  <conditionalFormatting sqref="B31">
    <cfRule type="expression" dxfId="1806" priority="1661" stopIfTrue="1">
      <formula>LEN(TRIM(B31))=0</formula>
    </cfRule>
  </conditionalFormatting>
  <conditionalFormatting sqref="B31">
    <cfRule type="expression" dxfId="1805" priority="1660" stopIfTrue="1">
      <formula>LEN(TRIM(B31))=0</formula>
    </cfRule>
  </conditionalFormatting>
  <conditionalFormatting sqref="B31">
    <cfRule type="expression" dxfId="1804" priority="1659" stopIfTrue="1">
      <formula>LEN(TRIM(B31))=0</formula>
    </cfRule>
  </conditionalFormatting>
  <conditionalFormatting sqref="B31">
    <cfRule type="expression" dxfId="1803" priority="1658" stopIfTrue="1">
      <formula>LEN(TRIM(B31))=0</formula>
    </cfRule>
  </conditionalFormatting>
  <conditionalFormatting sqref="B31">
    <cfRule type="expression" dxfId="1802" priority="1657" stopIfTrue="1">
      <formula>LEN(TRIM(B31))=0</formula>
    </cfRule>
  </conditionalFormatting>
  <conditionalFormatting sqref="B31">
    <cfRule type="expression" dxfId="1801" priority="1656" stopIfTrue="1">
      <formula>LEN(TRIM(B31))=0</formula>
    </cfRule>
  </conditionalFormatting>
  <conditionalFormatting sqref="B31">
    <cfRule type="expression" dxfId="1800" priority="1655" stopIfTrue="1">
      <formula>LEN(TRIM(B31))=0</formula>
    </cfRule>
  </conditionalFormatting>
  <conditionalFormatting sqref="B31">
    <cfRule type="expression" dxfId="1799" priority="1654" stopIfTrue="1">
      <formula>LEN(TRIM(B31))=0</formula>
    </cfRule>
  </conditionalFormatting>
  <conditionalFormatting sqref="B31">
    <cfRule type="expression" dxfId="1798" priority="1653" stopIfTrue="1">
      <formula>LEN(TRIM(B31))=0</formula>
    </cfRule>
  </conditionalFormatting>
  <conditionalFormatting sqref="B31">
    <cfRule type="expression" dxfId="1797" priority="1652" stopIfTrue="1">
      <formula>LEN(TRIM(B31))=0</formula>
    </cfRule>
  </conditionalFormatting>
  <conditionalFormatting sqref="B31">
    <cfRule type="expression" dxfId="1796" priority="1651" stopIfTrue="1">
      <formula>LEN(TRIM(B31))=0</formula>
    </cfRule>
  </conditionalFormatting>
  <conditionalFormatting sqref="B31">
    <cfRule type="expression" dxfId="1795" priority="1650" stopIfTrue="1">
      <formula>LEN(TRIM(B31))=0</formula>
    </cfRule>
  </conditionalFormatting>
  <conditionalFormatting sqref="B31">
    <cfRule type="expression" dxfId="1794" priority="1649" stopIfTrue="1">
      <formula>LEN(TRIM(B31))=0</formula>
    </cfRule>
  </conditionalFormatting>
  <conditionalFormatting sqref="B31">
    <cfRule type="expression" dxfId="1793" priority="1648" stopIfTrue="1">
      <formula>LEN(TRIM(B31))=0</formula>
    </cfRule>
  </conditionalFormatting>
  <conditionalFormatting sqref="B31">
    <cfRule type="expression" dxfId="1792" priority="1647" stopIfTrue="1">
      <formula>LEN(TRIM(B31))=0</formula>
    </cfRule>
  </conditionalFormatting>
  <conditionalFormatting sqref="B31">
    <cfRule type="expression" dxfId="1791" priority="1646" stopIfTrue="1">
      <formula>LEN(TRIM(B31))=0</formula>
    </cfRule>
  </conditionalFormatting>
  <conditionalFormatting sqref="B31">
    <cfRule type="expression" dxfId="1790" priority="1645" stopIfTrue="1">
      <formula>LEN(TRIM(B31))=0</formula>
    </cfRule>
  </conditionalFormatting>
  <conditionalFormatting sqref="B31">
    <cfRule type="expression" dxfId="1789" priority="1644" stopIfTrue="1">
      <formula>LEN(TRIM(B31))=0</formula>
    </cfRule>
  </conditionalFormatting>
  <conditionalFormatting sqref="B31">
    <cfRule type="expression" dxfId="1788" priority="1643" stopIfTrue="1">
      <formula>LEN(TRIM(B31))=0</formula>
    </cfRule>
  </conditionalFormatting>
  <conditionalFormatting sqref="B31">
    <cfRule type="expression" dxfId="1787" priority="1642" stopIfTrue="1">
      <formula>LEN(TRIM(B31))=0</formula>
    </cfRule>
  </conditionalFormatting>
  <conditionalFormatting sqref="B31">
    <cfRule type="expression" dxfId="1786" priority="1641" stopIfTrue="1">
      <formula>LEN(TRIM(B31))=0</formula>
    </cfRule>
  </conditionalFormatting>
  <conditionalFormatting sqref="B31">
    <cfRule type="expression" dxfId="1785" priority="1640" stopIfTrue="1">
      <formula>LEN(TRIM(B31))=0</formula>
    </cfRule>
  </conditionalFormatting>
  <conditionalFormatting sqref="B31">
    <cfRule type="expression" dxfId="1784" priority="1639" stopIfTrue="1">
      <formula>LEN(TRIM(B31))=0</formula>
    </cfRule>
  </conditionalFormatting>
  <conditionalFormatting sqref="B31">
    <cfRule type="expression" dxfId="1783" priority="1638" stopIfTrue="1">
      <formula>LEN(TRIM(B31))=0</formula>
    </cfRule>
  </conditionalFormatting>
  <conditionalFormatting sqref="B31">
    <cfRule type="expression" dxfId="1782" priority="1637" stopIfTrue="1">
      <formula>LEN(TRIM(B31))=0</formula>
    </cfRule>
  </conditionalFormatting>
  <conditionalFormatting sqref="B31">
    <cfRule type="expression" dxfId="1781" priority="1636" stopIfTrue="1">
      <formula>LEN(TRIM(B31))=0</formula>
    </cfRule>
  </conditionalFormatting>
  <conditionalFormatting sqref="B31">
    <cfRule type="expression" dxfId="1780" priority="1635" stopIfTrue="1">
      <formula>LEN(TRIM(B31))=0</formula>
    </cfRule>
  </conditionalFormatting>
  <conditionalFormatting sqref="B31">
    <cfRule type="expression" dxfId="1779" priority="1634" stopIfTrue="1">
      <formula>LEN(TRIM(B31))=0</formula>
    </cfRule>
  </conditionalFormatting>
  <conditionalFormatting sqref="B31">
    <cfRule type="expression" dxfId="1778" priority="1633" stopIfTrue="1">
      <formula>LEN(TRIM(B31))=0</formula>
    </cfRule>
  </conditionalFormatting>
  <conditionalFormatting sqref="B31">
    <cfRule type="expression" dxfId="1777" priority="1632" stopIfTrue="1">
      <formula>LEN(TRIM(B31))=0</formula>
    </cfRule>
  </conditionalFormatting>
  <conditionalFormatting sqref="B31">
    <cfRule type="expression" dxfId="1776" priority="1631" stopIfTrue="1">
      <formula>LEN(TRIM(B31))=0</formula>
    </cfRule>
  </conditionalFormatting>
  <conditionalFormatting sqref="B31">
    <cfRule type="expression" dxfId="1775" priority="1630" stopIfTrue="1">
      <formula>LEN(TRIM(B31))=0</formula>
    </cfRule>
  </conditionalFormatting>
  <conditionalFormatting sqref="B31">
    <cfRule type="expression" dxfId="1774" priority="1629" stopIfTrue="1">
      <formula>LEN(TRIM(B31))=0</formula>
    </cfRule>
  </conditionalFormatting>
  <conditionalFormatting sqref="B31">
    <cfRule type="expression" dxfId="1773" priority="1628" stopIfTrue="1">
      <formula>LEN(TRIM(B31))=0</formula>
    </cfRule>
  </conditionalFormatting>
  <conditionalFormatting sqref="B31">
    <cfRule type="expression" dxfId="1772" priority="1627" stopIfTrue="1">
      <formula>LEN(TRIM(B31))=0</formula>
    </cfRule>
  </conditionalFormatting>
  <conditionalFormatting sqref="B31">
    <cfRule type="expression" dxfId="1771" priority="1626" stopIfTrue="1">
      <formula>LEN(TRIM(B31))=0</formula>
    </cfRule>
  </conditionalFormatting>
  <conditionalFormatting sqref="B31">
    <cfRule type="expression" dxfId="1770" priority="1625" stopIfTrue="1">
      <formula>LEN(TRIM(B31))=0</formula>
    </cfRule>
  </conditionalFormatting>
  <conditionalFormatting sqref="B31">
    <cfRule type="expression" dxfId="1769" priority="1624" stopIfTrue="1">
      <formula>LEN(TRIM(B31))=0</formula>
    </cfRule>
  </conditionalFormatting>
  <conditionalFormatting sqref="B31">
    <cfRule type="expression" dxfId="1768" priority="1623" stopIfTrue="1">
      <formula>LEN(TRIM(B31))=0</formula>
    </cfRule>
  </conditionalFormatting>
  <conditionalFormatting sqref="B22">
    <cfRule type="expression" dxfId="1767" priority="1862" stopIfTrue="1">
      <formula>LEN(TRIM(B22))=0</formula>
    </cfRule>
  </conditionalFormatting>
  <conditionalFormatting sqref="B22">
    <cfRule type="expression" dxfId="1766" priority="1861" stopIfTrue="1">
      <formula>LEN(TRIM(B22))=0</formula>
    </cfRule>
  </conditionalFormatting>
  <conditionalFormatting sqref="B22">
    <cfRule type="expression" dxfId="1765" priority="1860" stopIfTrue="1">
      <formula>LEN(TRIM(B22))=0</formula>
    </cfRule>
  </conditionalFormatting>
  <conditionalFormatting sqref="B22">
    <cfRule type="expression" dxfId="1764" priority="1859" stopIfTrue="1">
      <formula>LEN(TRIM(B22))=0</formula>
    </cfRule>
  </conditionalFormatting>
  <conditionalFormatting sqref="B22">
    <cfRule type="expression" dxfId="1763" priority="1858" stopIfTrue="1">
      <formula>LEN(TRIM(B22))=0</formula>
    </cfRule>
  </conditionalFormatting>
  <conditionalFormatting sqref="B22">
    <cfRule type="expression" dxfId="1762" priority="1857" stopIfTrue="1">
      <formula>LEN(TRIM(B22))=0</formula>
    </cfRule>
  </conditionalFormatting>
  <conditionalFormatting sqref="B22">
    <cfRule type="expression" dxfId="1761" priority="1856" stopIfTrue="1">
      <formula>LEN(TRIM(B22))=0</formula>
    </cfRule>
  </conditionalFormatting>
  <conditionalFormatting sqref="B22">
    <cfRule type="expression" dxfId="1760" priority="1855" stopIfTrue="1">
      <formula>LEN(TRIM(B22))=0</formula>
    </cfRule>
  </conditionalFormatting>
  <conditionalFormatting sqref="B22">
    <cfRule type="expression" dxfId="1759" priority="1854" stopIfTrue="1">
      <formula>LEN(TRIM(B22))=0</formula>
    </cfRule>
  </conditionalFormatting>
  <conditionalFormatting sqref="B22">
    <cfRule type="expression" dxfId="1758" priority="1853" stopIfTrue="1">
      <formula>LEN(TRIM(B22))=0</formula>
    </cfRule>
  </conditionalFormatting>
  <conditionalFormatting sqref="B22">
    <cfRule type="expression" dxfId="1757" priority="1852" stopIfTrue="1">
      <formula>LEN(TRIM(B22))=0</formula>
    </cfRule>
  </conditionalFormatting>
  <conditionalFormatting sqref="B22">
    <cfRule type="expression" dxfId="1756" priority="1851" stopIfTrue="1">
      <formula>LEN(TRIM(B22))=0</formula>
    </cfRule>
  </conditionalFormatting>
  <conditionalFormatting sqref="B22">
    <cfRule type="expression" dxfId="1755" priority="1850" stopIfTrue="1">
      <formula>LEN(TRIM(B22))=0</formula>
    </cfRule>
  </conditionalFormatting>
  <conditionalFormatting sqref="B22">
    <cfRule type="expression" dxfId="1754" priority="1849" stopIfTrue="1">
      <formula>LEN(TRIM(B22))=0</formula>
    </cfRule>
  </conditionalFormatting>
  <conditionalFormatting sqref="B22">
    <cfRule type="expression" dxfId="1753" priority="1848" stopIfTrue="1">
      <formula>LEN(TRIM(B22))=0</formula>
    </cfRule>
  </conditionalFormatting>
  <conditionalFormatting sqref="B22">
    <cfRule type="expression" dxfId="1752" priority="1847" stopIfTrue="1">
      <formula>LEN(TRIM(B22))=0</formula>
    </cfRule>
  </conditionalFormatting>
  <conditionalFormatting sqref="B22">
    <cfRule type="expression" dxfId="1751" priority="1846" stopIfTrue="1">
      <formula>LEN(TRIM(B22))=0</formula>
    </cfRule>
  </conditionalFormatting>
  <conditionalFormatting sqref="B22">
    <cfRule type="expression" dxfId="1750" priority="1845" stopIfTrue="1">
      <formula>LEN(TRIM(B22))=0</formula>
    </cfRule>
  </conditionalFormatting>
  <conditionalFormatting sqref="B22">
    <cfRule type="expression" dxfId="1749" priority="1844" stopIfTrue="1">
      <formula>LEN(TRIM(B22))=0</formula>
    </cfRule>
  </conditionalFormatting>
  <conditionalFormatting sqref="B22">
    <cfRule type="expression" dxfId="1748" priority="1843" stopIfTrue="1">
      <formula>LEN(TRIM(B22))=0</formula>
    </cfRule>
  </conditionalFormatting>
  <conditionalFormatting sqref="B24">
    <cfRule type="expression" dxfId="1747" priority="1842" stopIfTrue="1">
      <formula>LEN(TRIM(B24))=0</formula>
    </cfRule>
  </conditionalFormatting>
  <conditionalFormatting sqref="B24">
    <cfRule type="expression" dxfId="1746" priority="1841" stopIfTrue="1">
      <formula>LEN(TRIM(B24))=0</formula>
    </cfRule>
  </conditionalFormatting>
  <conditionalFormatting sqref="B24">
    <cfRule type="expression" dxfId="1745" priority="1840" stopIfTrue="1">
      <formula>LEN(TRIM(B24))=0</formula>
    </cfRule>
  </conditionalFormatting>
  <conditionalFormatting sqref="B24">
    <cfRule type="expression" dxfId="1744" priority="1839" stopIfTrue="1">
      <formula>LEN(TRIM(B24))=0</formula>
    </cfRule>
  </conditionalFormatting>
  <conditionalFormatting sqref="B24">
    <cfRule type="expression" dxfId="1743" priority="1838" stopIfTrue="1">
      <formula>LEN(TRIM(B24))=0</formula>
    </cfRule>
  </conditionalFormatting>
  <conditionalFormatting sqref="B24">
    <cfRule type="expression" dxfId="1742" priority="1837" stopIfTrue="1">
      <formula>LEN(TRIM(B24))=0</formula>
    </cfRule>
  </conditionalFormatting>
  <conditionalFormatting sqref="B24">
    <cfRule type="expression" dxfId="1741" priority="1836" stopIfTrue="1">
      <formula>LEN(TRIM(B24))=0</formula>
    </cfRule>
  </conditionalFormatting>
  <conditionalFormatting sqref="B24">
    <cfRule type="expression" dxfId="1740" priority="1835" stopIfTrue="1">
      <formula>LEN(TRIM(B24))=0</formula>
    </cfRule>
  </conditionalFormatting>
  <conditionalFormatting sqref="B24">
    <cfRule type="expression" dxfId="1739" priority="1834" stopIfTrue="1">
      <formula>LEN(TRIM(B24))=0</formula>
    </cfRule>
  </conditionalFormatting>
  <conditionalFormatting sqref="B24">
    <cfRule type="expression" dxfId="1738" priority="1833" stopIfTrue="1">
      <formula>LEN(TRIM(B24))=0</formula>
    </cfRule>
  </conditionalFormatting>
  <conditionalFormatting sqref="B24">
    <cfRule type="expression" dxfId="1737" priority="1832" stopIfTrue="1">
      <formula>LEN(TRIM(B24))=0</formula>
    </cfRule>
  </conditionalFormatting>
  <conditionalFormatting sqref="B24">
    <cfRule type="expression" dxfId="1736" priority="1831" stopIfTrue="1">
      <formula>LEN(TRIM(B24))=0</formula>
    </cfRule>
  </conditionalFormatting>
  <conditionalFormatting sqref="B24">
    <cfRule type="expression" dxfId="1735" priority="1830" stopIfTrue="1">
      <formula>LEN(TRIM(B24))=0</formula>
    </cfRule>
  </conditionalFormatting>
  <conditionalFormatting sqref="B24">
    <cfRule type="expression" dxfId="1734" priority="1829" stopIfTrue="1">
      <formula>LEN(TRIM(B24))=0</formula>
    </cfRule>
  </conditionalFormatting>
  <conditionalFormatting sqref="B24">
    <cfRule type="expression" dxfId="1733" priority="1828" stopIfTrue="1">
      <formula>LEN(TRIM(B24))=0</formula>
    </cfRule>
  </conditionalFormatting>
  <conditionalFormatting sqref="B24">
    <cfRule type="expression" dxfId="1732" priority="1827" stopIfTrue="1">
      <formula>LEN(TRIM(B24))=0</formula>
    </cfRule>
  </conditionalFormatting>
  <conditionalFormatting sqref="B24">
    <cfRule type="expression" dxfId="1731" priority="1826" stopIfTrue="1">
      <formula>LEN(TRIM(B24))=0</formula>
    </cfRule>
  </conditionalFormatting>
  <conditionalFormatting sqref="B24">
    <cfRule type="expression" dxfId="1730" priority="1825" stopIfTrue="1">
      <formula>LEN(TRIM(B24))=0</formula>
    </cfRule>
  </conditionalFormatting>
  <conditionalFormatting sqref="B66">
    <cfRule type="expression" dxfId="1729" priority="2104" stopIfTrue="1">
      <formula>LEN(TRIM(B66))=0</formula>
    </cfRule>
  </conditionalFormatting>
  <conditionalFormatting sqref="B66">
    <cfRule type="expression" dxfId="1728" priority="2103" stopIfTrue="1">
      <formula>LEN(TRIM(B66))=0</formula>
    </cfRule>
  </conditionalFormatting>
  <conditionalFormatting sqref="B65 B61 B63">
    <cfRule type="expression" dxfId="1727" priority="2102" stopIfTrue="1">
      <formula>LEN(TRIM(B61))=0</formula>
    </cfRule>
  </conditionalFormatting>
  <conditionalFormatting sqref="B65 B61 B63">
    <cfRule type="expression" dxfId="1726" priority="2101" stopIfTrue="1">
      <formula>LEN(TRIM(B61))=0</formula>
    </cfRule>
  </conditionalFormatting>
  <conditionalFormatting sqref="B65 B61 B63">
    <cfRule type="expression" dxfId="1725" priority="2100" stopIfTrue="1">
      <formula>LEN(TRIM(B61))=0</formula>
    </cfRule>
  </conditionalFormatting>
  <conditionalFormatting sqref="B65 B61 B63">
    <cfRule type="expression" dxfId="1724" priority="2099" stopIfTrue="1">
      <formula>LEN(TRIM(B61))=0</formula>
    </cfRule>
  </conditionalFormatting>
  <conditionalFormatting sqref="B65 B61 B63">
    <cfRule type="expression" dxfId="1723" priority="2098" stopIfTrue="1">
      <formula>LEN(TRIM(B61))=0</formula>
    </cfRule>
  </conditionalFormatting>
  <conditionalFormatting sqref="B65 B61 B63">
    <cfRule type="expression" dxfId="1722" priority="2097" stopIfTrue="1">
      <formula>LEN(TRIM(B61))=0</formula>
    </cfRule>
  </conditionalFormatting>
  <conditionalFormatting sqref="B65 B61 B63">
    <cfRule type="expression" dxfId="1721" priority="2096" stopIfTrue="1">
      <formula>LEN(TRIM(B61))=0</formula>
    </cfRule>
  </conditionalFormatting>
  <conditionalFormatting sqref="B65 B61 B63">
    <cfRule type="expression" dxfId="1720" priority="2095" stopIfTrue="1">
      <formula>LEN(TRIM(B61))=0</formula>
    </cfRule>
  </conditionalFormatting>
  <conditionalFormatting sqref="B65 B61 B63">
    <cfRule type="expression" dxfId="1719" priority="2094" stopIfTrue="1">
      <formula>LEN(TRIM(B61))=0</formula>
    </cfRule>
  </conditionalFormatting>
  <conditionalFormatting sqref="B65 B61 B63">
    <cfRule type="expression" dxfId="1718" priority="2093" stopIfTrue="1">
      <formula>LEN(TRIM(B61))=0</formula>
    </cfRule>
  </conditionalFormatting>
  <conditionalFormatting sqref="B65 B61 B63">
    <cfRule type="expression" dxfId="1717" priority="2092" stopIfTrue="1">
      <formula>LEN(TRIM(B61))=0</formula>
    </cfRule>
  </conditionalFormatting>
  <conditionalFormatting sqref="B65 B61 B63">
    <cfRule type="expression" dxfId="1716" priority="2091" stopIfTrue="1">
      <formula>LEN(TRIM(B61))=0</formula>
    </cfRule>
  </conditionalFormatting>
  <conditionalFormatting sqref="B65 B61 B63">
    <cfRule type="expression" dxfId="1715" priority="2090" stopIfTrue="1">
      <formula>LEN(TRIM(B61))=0</formula>
    </cfRule>
  </conditionalFormatting>
  <conditionalFormatting sqref="B65 B61 B63">
    <cfRule type="expression" dxfId="1714" priority="2089" stopIfTrue="1">
      <formula>LEN(TRIM(B61))=0</formula>
    </cfRule>
  </conditionalFormatting>
  <conditionalFormatting sqref="B65 B61 B63">
    <cfRule type="expression" dxfId="1713" priority="2088" stopIfTrue="1">
      <formula>LEN(TRIM(B61))=0</formula>
    </cfRule>
  </conditionalFormatting>
  <conditionalFormatting sqref="B65 B61 B63">
    <cfRule type="expression" dxfId="1712" priority="2087" stopIfTrue="1">
      <formula>LEN(TRIM(B61))=0</formula>
    </cfRule>
  </conditionalFormatting>
  <conditionalFormatting sqref="B65 B61 B63">
    <cfRule type="expression" dxfId="1711" priority="2086" stopIfTrue="1">
      <formula>LEN(TRIM(B61))=0</formula>
    </cfRule>
  </conditionalFormatting>
  <conditionalFormatting sqref="B65 B61 B63">
    <cfRule type="expression" dxfId="1710" priority="2085" stopIfTrue="1">
      <formula>LEN(TRIM(B61))=0</formula>
    </cfRule>
  </conditionalFormatting>
  <conditionalFormatting sqref="B65 B61 B63">
    <cfRule type="expression" dxfId="1709" priority="2084" stopIfTrue="1">
      <formula>LEN(TRIM(B61))=0</formula>
    </cfRule>
  </conditionalFormatting>
  <conditionalFormatting sqref="B65 B61 B63">
    <cfRule type="expression" dxfId="1708" priority="2083" stopIfTrue="1">
      <formula>LEN(TRIM(B61))=0</formula>
    </cfRule>
  </conditionalFormatting>
  <conditionalFormatting sqref="B8">
    <cfRule type="expression" dxfId="1707" priority="1964" stopIfTrue="1">
      <formula>LEN(TRIM(B8))=0</formula>
    </cfRule>
  </conditionalFormatting>
  <conditionalFormatting sqref="B8">
    <cfRule type="expression" dxfId="1706" priority="1963" stopIfTrue="1">
      <formula>LEN(TRIM(B8))=0</formula>
    </cfRule>
  </conditionalFormatting>
  <conditionalFormatting sqref="B8">
    <cfRule type="expression" dxfId="1705" priority="1962" stopIfTrue="1">
      <formula>LEN(TRIM(B8))=0</formula>
    </cfRule>
  </conditionalFormatting>
  <conditionalFormatting sqref="B8">
    <cfRule type="expression" dxfId="1704" priority="1961" stopIfTrue="1">
      <formula>LEN(TRIM(B8))=0</formula>
    </cfRule>
  </conditionalFormatting>
  <conditionalFormatting sqref="B8">
    <cfRule type="expression" dxfId="1703" priority="1960" stopIfTrue="1">
      <formula>LEN(TRIM(B8))=0</formula>
    </cfRule>
  </conditionalFormatting>
  <conditionalFormatting sqref="B8">
    <cfRule type="expression" dxfId="1702" priority="1959" stopIfTrue="1">
      <formula>LEN(TRIM(B8))=0</formula>
    </cfRule>
  </conditionalFormatting>
  <conditionalFormatting sqref="B8">
    <cfRule type="expression" dxfId="1701" priority="1958" stopIfTrue="1">
      <formula>LEN(TRIM(B8))=0</formula>
    </cfRule>
  </conditionalFormatting>
  <conditionalFormatting sqref="B8">
    <cfRule type="expression" dxfId="1700" priority="1957" stopIfTrue="1">
      <formula>LEN(TRIM(B8))=0</formula>
    </cfRule>
  </conditionalFormatting>
  <conditionalFormatting sqref="B8">
    <cfRule type="expression" dxfId="1699" priority="1956" stopIfTrue="1">
      <formula>LEN(TRIM(B8))=0</formula>
    </cfRule>
  </conditionalFormatting>
  <conditionalFormatting sqref="B8">
    <cfRule type="expression" dxfId="1698" priority="1955" stopIfTrue="1">
      <formula>LEN(TRIM(B8))=0</formula>
    </cfRule>
  </conditionalFormatting>
  <conditionalFormatting sqref="B8">
    <cfRule type="expression" dxfId="1697" priority="1954" stopIfTrue="1">
      <formula>LEN(TRIM(B8))=0</formula>
    </cfRule>
  </conditionalFormatting>
  <conditionalFormatting sqref="B8">
    <cfRule type="expression" dxfId="1696" priority="1953" stopIfTrue="1">
      <formula>LEN(TRIM(B8))=0</formula>
    </cfRule>
  </conditionalFormatting>
  <conditionalFormatting sqref="B8">
    <cfRule type="expression" dxfId="1695" priority="1952" stopIfTrue="1">
      <formula>LEN(TRIM(B8))=0</formula>
    </cfRule>
  </conditionalFormatting>
  <conditionalFormatting sqref="B8">
    <cfRule type="expression" dxfId="1694" priority="1951" stopIfTrue="1">
      <formula>LEN(TRIM(B8))=0</formula>
    </cfRule>
  </conditionalFormatting>
  <conditionalFormatting sqref="B8">
    <cfRule type="expression" dxfId="1693" priority="1950" stopIfTrue="1">
      <formula>LEN(TRIM(B8))=0</formula>
    </cfRule>
  </conditionalFormatting>
  <conditionalFormatting sqref="B8">
    <cfRule type="expression" dxfId="1692" priority="1949" stopIfTrue="1">
      <formula>LEN(TRIM(B8))=0</formula>
    </cfRule>
  </conditionalFormatting>
  <conditionalFormatting sqref="B8">
    <cfRule type="expression" dxfId="1691" priority="1948" stopIfTrue="1">
      <formula>LEN(TRIM(B8))=0</formula>
    </cfRule>
  </conditionalFormatting>
  <conditionalFormatting sqref="B8">
    <cfRule type="expression" dxfId="1690" priority="1947" stopIfTrue="1">
      <formula>LEN(TRIM(B8))=0</formula>
    </cfRule>
  </conditionalFormatting>
  <conditionalFormatting sqref="B8">
    <cfRule type="expression" dxfId="1689" priority="1946" stopIfTrue="1">
      <formula>LEN(TRIM(B8))=0</formula>
    </cfRule>
  </conditionalFormatting>
  <conditionalFormatting sqref="B8">
    <cfRule type="expression" dxfId="1688" priority="1945" stopIfTrue="1">
      <formula>LEN(TRIM(B8))=0</formula>
    </cfRule>
  </conditionalFormatting>
  <conditionalFormatting sqref="B8">
    <cfRule type="expression" dxfId="1687" priority="1944" stopIfTrue="1">
      <formula>LEN(TRIM(B8))=0</formula>
    </cfRule>
  </conditionalFormatting>
  <conditionalFormatting sqref="B8">
    <cfRule type="expression" dxfId="1686" priority="1943" stopIfTrue="1">
      <formula>LEN(TRIM(B8))=0</formula>
    </cfRule>
  </conditionalFormatting>
  <conditionalFormatting sqref="B40">
    <cfRule type="expression" dxfId="1685" priority="1382" stopIfTrue="1">
      <formula>LEN(TRIM(B40))=0</formula>
    </cfRule>
  </conditionalFormatting>
  <conditionalFormatting sqref="B40">
    <cfRule type="expression" dxfId="1684" priority="1381" stopIfTrue="1">
      <formula>LEN(TRIM(B40))=0</formula>
    </cfRule>
  </conditionalFormatting>
  <conditionalFormatting sqref="B40">
    <cfRule type="expression" dxfId="1683" priority="1380" stopIfTrue="1">
      <formula>LEN(TRIM(B40))=0</formula>
    </cfRule>
  </conditionalFormatting>
  <conditionalFormatting sqref="B40">
    <cfRule type="expression" dxfId="1682" priority="1379" stopIfTrue="1">
      <formula>LEN(TRIM(B40))=0</formula>
    </cfRule>
  </conditionalFormatting>
  <conditionalFormatting sqref="B40">
    <cfRule type="expression" dxfId="1681" priority="1378" stopIfTrue="1">
      <formula>LEN(TRIM(B40))=0</formula>
    </cfRule>
  </conditionalFormatting>
  <conditionalFormatting sqref="B40">
    <cfRule type="expression" dxfId="1680" priority="1377" stopIfTrue="1">
      <formula>LEN(TRIM(B40))=0</formula>
    </cfRule>
  </conditionalFormatting>
  <conditionalFormatting sqref="B40">
    <cfRule type="expression" dxfId="1679" priority="1376" stopIfTrue="1">
      <formula>LEN(TRIM(B40))=0</formula>
    </cfRule>
  </conditionalFormatting>
  <conditionalFormatting sqref="B40">
    <cfRule type="expression" dxfId="1678" priority="1375" stopIfTrue="1">
      <formula>LEN(TRIM(B40))=0</formula>
    </cfRule>
  </conditionalFormatting>
  <conditionalFormatting sqref="B40">
    <cfRule type="expression" dxfId="1677" priority="1374" stopIfTrue="1">
      <formula>LEN(TRIM(B40))=0</formula>
    </cfRule>
  </conditionalFormatting>
  <conditionalFormatting sqref="B40">
    <cfRule type="expression" dxfId="1676" priority="1373" stopIfTrue="1">
      <formula>LEN(TRIM(B40))=0</formula>
    </cfRule>
  </conditionalFormatting>
  <conditionalFormatting sqref="B40">
    <cfRule type="expression" dxfId="1675" priority="1372" stopIfTrue="1">
      <formula>LEN(TRIM(B40))=0</formula>
    </cfRule>
  </conditionalFormatting>
  <conditionalFormatting sqref="B40">
    <cfRule type="expression" dxfId="1674" priority="1371" stopIfTrue="1">
      <formula>LEN(TRIM(B40))=0</formula>
    </cfRule>
  </conditionalFormatting>
  <conditionalFormatting sqref="B40">
    <cfRule type="expression" dxfId="1673" priority="1370" stopIfTrue="1">
      <formula>LEN(TRIM(B40))=0</formula>
    </cfRule>
  </conditionalFormatting>
  <conditionalFormatting sqref="B40">
    <cfRule type="expression" dxfId="1672" priority="1369" stopIfTrue="1">
      <formula>LEN(TRIM(B40))=0</formula>
    </cfRule>
  </conditionalFormatting>
  <conditionalFormatting sqref="B40">
    <cfRule type="expression" dxfId="1671" priority="1368" stopIfTrue="1">
      <formula>LEN(TRIM(B40))=0</formula>
    </cfRule>
  </conditionalFormatting>
  <conditionalFormatting sqref="B40">
    <cfRule type="expression" dxfId="1670" priority="1367" stopIfTrue="1">
      <formula>LEN(TRIM(B40))=0</formula>
    </cfRule>
  </conditionalFormatting>
  <conditionalFormatting sqref="B40">
    <cfRule type="expression" dxfId="1669" priority="1366" stopIfTrue="1">
      <formula>LEN(TRIM(B40))=0</formula>
    </cfRule>
  </conditionalFormatting>
  <conditionalFormatting sqref="B40">
    <cfRule type="expression" dxfId="1668" priority="1365" stopIfTrue="1">
      <formula>LEN(TRIM(B40))=0</formula>
    </cfRule>
  </conditionalFormatting>
  <conditionalFormatting sqref="B40">
    <cfRule type="expression" dxfId="1667" priority="1364" stopIfTrue="1">
      <formula>LEN(TRIM(B40))=0</formula>
    </cfRule>
  </conditionalFormatting>
  <conditionalFormatting sqref="B40">
    <cfRule type="expression" dxfId="1666" priority="1363" stopIfTrue="1">
      <formula>LEN(TRIM(B40))=0</formula>
    </cfRule>
  </conditionalFormatting>
  <conditionalFormatting sqref="B42">
    <cfRule type="expression" dxfId="1665" priority="1362" stopIfTrue="1">
      <formula>LEN(TRIM(B42))=0</formula>
    </cfRule>
  </conditionalFormatting>
  <conditionalFormatting sqref="B42">
    <cfRule type="expression" dxfId="1664" priority="1361" stopIfTrue="1">
      <formula>LEN(TRIM(B42))=0</formula>
    </cfRule>
  </conditionalFormatting>
  <conditionalFormatting sqref="B42">
    <cfRule type="expression" dxfId="1663" priority="1360" stopIfTrue="1">
      <formula>LEN(TRIM(B42))=0</formula>
    </cfRule>
  </conditionalFormatting>
  <conditionalFormatting sqref="B42">
    <cfRule type="expression" dxfId="1662" priority="1359" stopIfTrue="1">
      <formula>LEN(TRIM(B42))=0</formula>
    </cfRule>
  </conditionalFormatting>
  <conditionalFormatting sqref="B42">
    <cfRule type="expression" dxfId="1661" priority="1358" stopIfTrue="1">
      <formula>LEN(TRIM(B42))=0</formula>
    </cfRule>
  </conditionalFormatting>
  <conditionalFormatting sqref="B42">
    <cfRule type="expression" dxfId="1660" priority="1357" stopIfTrue="1">
      <formula>LEN(TRIM(B42))=0</formula>
    </cfRule>
  </conditionalFormatting>
  <conditionalFormatting sqref="B42">
    <cfRule type="expression" dxfId="1659" priority="1356" stopIfTrue="1">
      <formula>LEN(TRIM(B42))=0</formula>
    </cfRule>
  </conditionalFormatting>
  <conditionalFormatting sqref="B42">
    <cfRule type="expression" dxfId="1658" priority="1355" stopIfTrue="1">
      <formula>LEN(TRIM(B42))=0</formula>
    </cfRule>
  </conditionalFormatting>
  <conditionalFormatting sqref="B42">
    <cfRule type="expression" dxfId="1657" priority="1354" stopIfTrue="1">
      <formula>LEN(TRIM(B42))=0</formula>
    </cfRule>
  </conditionalFormatting>
  <conditionalFormatting sqref="B42">
    <cfRule type="expression" dxfId="1656" priority="1353" stopIfTrue="1">
      <formula>LEN(TRIM(B42))=0</formula>
    </cfRule>
  </conditionalFormatting>
  <conditionalFormatting sqref="B42">
    <cfRule type="expression" dxfId="1655" priority="1352" stopIfTrue="1">
      <formula>LEN(TRIM(B42))=0</formula>
    </cfRule>
  </conditionalFormatting>
  <conditionalFormatting sqref="B42">
    <cfRule type="expression" dxfId="1654" priority="1351" stopIfTrue="1">
      <formula>LEN(TRIM(B42))=0</formula>
    </cfRule>
  </conditionalFormatting>
  <conditionalFormatting sqref="B42">
    <cfRule type="expression" dxfId="1653" priority="1350" stopIfTrue="1">
      <formula>LEN(TRIM(B42))=0</formula>
    </cfRule>
  </conditionalFormatting>
  <conditionalFormatting sqref="B42">
    <cfRule type="expression" dxfId="1652" priority="1349" stopIfTrue="1">
      <formula>LEN(TRIM(B42))=0</formula>
    </cfRule>
  </conditionalFormatting>
  <conditionalFormatting sqref="B42">
    <cfRule type="expression" dxfId="1651" priority="1348" stopIfTrue="1">
      <formula>LEN(TRIM(B42))=0</formula>
    </cfRule>
  </conditionalFormatting>
  <conditionalFormatting sqref="B42">
    <cfRule type="expression" dxfId="1650" priority="1347" stopIfTrue="1">
      <formula>LEN(TRIM(B42))=0</formula>
    </cfRule>
  </conditionalFormatting>
  <conditionalFormatting sqref="B42">
    <cfRule type="expression" dxfId="1649" priority="1346" stopIfTrue="1">
      <formula>LEN(TRIM(B42))=0</formula>
    </cfRule>
  </conditionalFormatting>
  <conditionalFormatting sqref="B42">
    <cfRule type="expression" dxfId="1648" priority="1345" stopIfTrue="1">
      <formula>LEN(TRIM(B42))=0</formula>
    </cfRule>
  </conditionalFormatting>
  <conditionalFormatting sqref="B42">
    <cfRule type="expression" dxfId="1647" priority="1344" stopIfTrue="1">
      <formula>LEN(TRIM(B42))=0</formula>
    </cfRule>
  </conditionalFormatting>
  <conditionalFormatting sqref="B42">
    <cfRule type="expression" dxfId="1646" priority="1343" stopIfTrue="1">
      <formula>LEN(TRIM(B42))=0</formula>
    </cfRule>
  </conditionalFormatting>
  <conditionalFormatting sqref="B83">
    <cfRule type="expression" dxfId="1645" priority="542" stopIfTrue="1">
      <formula>LEN(TRIM(B83))=0</formula>
    </cfRule>
  </conditionalFormatting>
  <conditionalFormatting sqref="B83">
    <cfRule type="expression" dxfId="1644" priority="541" stopIfTrue="1">
      <formula>LEN(TRIM(B83))=0</formula>
    </cfRule>
  </conditionalFormatting>
  <conditionalFormatting sqref="B83">
    <cfRule type="expression" dxfId="1643" priority="540" stopIfTrue="1">
      <formula>LEN(TRIM(B83))=0</formula>
    </cfRule>
  </conditionalFormatting>
  <conditionalFormatting sqref="B83">
    <cfRule type="expression" dxfId="1642" priority="539" stopIfTrue="1">
      <formula>LEN(TRIM(B83))=0</formula>
    </cfRule>
  </conditionalFormatting>
  <conditionalFormatting sqref="B83">
    <cfRule type="expression" dxfId="1641" priority="538" stopIfTrue="1">
      <formula>LEN(TRIM(B83))=0</formula>
    </cfRule>
  </conditionalFormatting>
  <conditionalFormatting sqref="B83">
    <cfRule type="expression" dxfId="1640" priority="537" stopIfTrue="1">
      <formula>LEN(TRIM(B83))=0</formula>
    </cfRule>
  </conditionalFormatting>
  <conditionalFormatting sqref="B83">
    <cfRule type="expression" dxfId="1639" priority="536" stopIfTrue="1">
      <formula>LEN(TRIM(B83))=0</formula>
    </cfRule>
  </conditionalFormatting>
  <conditionalFormatting sqref="B83">
    <cfRule type="expression" dxfId="1638" priority="535" stopIfTrue="1">
      <formula>LEN(TRIM(B83))=0</formula>
    </cfRule>
  </conditionalFormatting>
  <conditionalFormatting sqref="B83">
    <cfRule type="expression" dxfId="1637" priority="534" stopIfTrue="1">
      <formula>LEN(TRIM(B83))=0</formula>
    </cfRule>
  </conditionalFormatting>
  <conditionalFormatting sqref="B83">
    <cfRule type="expression" dxfId="1636" priority="533" stopIfTrue="1">
      <formula>LEN(TRIM(B83))=0</formula>
    </cfRule>
  </conditionalFormatting>
  <conditionalFormatting sqref="B83">
    <cfRule type="expression" dxfId="1635" priority="532" stopIfTrue="1">
      <formula>LEN(TRIM(B83))=0</formula>
    </cfRule>
  </conditionalFormatting>
  <conditionalFormatting sqref="B83">
    <cfRule type="expression" dxfId="1634" priority="531" stopIfTrue="1">
      <formula>LEN(TRIM(B83))=0</formula>
    </cfRule>
  </conditionalFormatting>
  <conditionalFormatting sqref="B83">
    <cfRule type="expression" dxfId="1633" priority="530" stopIfTrue="1">
      <formula>LEN(TRIM(B83))=0</formula>
    </cfRule>
  </conditionalFormatting>
  <conditionalFormatting sqref="B83">
    <cfRule type="expression" dxfId="1632" priority="529" stopIfTrue="1">
      <formula>LEN(TRIM(B83))=0</formula>
    </cfRule>
  </conditionalFormatting>
  <conditionalFormatting sqref="B83">
    <cfRule type="expression" dxfId="1631" priority="528" stopIfTrue="1">
      <formula>LEN(TRIM(B83))=0</formula>
    </cfRule>
  </conditionalFormatting>
  <conditionalFormatting sqref="B83">
    <cfRule type="expression" dxfId="1630" priority="527" stopIfTrue="1">
      <formula>LEN(TRIM(B83))=0</formula>
    </cfRule>
  </conditionalFormatting>
  <conditionalFormatting sqref="B83">
    <cfRule type="expression" dxfId="1629" priority="526" stopIfTrue="1">
      <formula>LEN(TRIM(B83))=0</formula>
    </cfRule>
  </conditionalFormatting>
  <conditionalFormatting sqref="B83">
    <cfRule type="expression" dxfId="1628" priority="525" stopIfTrue="1">
      <formula>LEN(TRIM(B83))=0</formula>
    </cfRule>
  </conditionalFormatting>
  <conditionalFormatting sqref="B83">
    <cfRule type="expression" dxfId="1627" priority="524" stopIfTrue="1">
      <formula>LEN(TRIM(B83))=0</formula>
    </cfRule>
  </conditionalFormatting>
  <conditionalFormatting sqref="B83">
    <cfRule type="expression" dxfId="1626" priority="523" stopIfTrue="1">
      <formula>LEN(TRIM(B83))=0</formula>
    </cfRule>
  </conditionalFormatting>
  <conditionalFormatting sqref="B72">
    <cfRule type="expression" dxfId="1625" priority="842" stopIfTrue="1">
      <formula>LEN(TRIM(B72))=0</formula>
    </cfRule>
  </conditionalFormatting>
  <conditionalFormatting sqref="B72">
    <cfRule type="expression" dxfId="1624" priority="841" stopIfTrue="1">
      <formula>LEN(TRIM(B72))=0</formula>
    </cfRule>
  </conditionalFormatting>
  <conditionalFormatting sqref="B72">
    <cfRule type="expression" dxfId="1623" priority="840" stopIfTrue="1">
      <formula>LEN(TRIM(B72))=0</formula>
    </cfRule>
  </conditionalFormatting>
  <conditionalFormatting sqref="B72">
    <cfRule type="expression" dxfId="1622" priority="839" stopIfTrue="1">
      <formula>LEN(TRIM(B72))=0</formula>
    </cfRule>
  </conditionalFormatting>
  <conditionalFormatting sqref="B72">
    <cfRule type="expression" dxfId="1621" priority="838" stopIfTrue="1">
      <formula>LEN(TRIM(B72))=0</formula>
    </cfRule>
  </conditionalFormatting>
  <conditionalFormatting sqref="B72">
    <cfRule type="expression" dxfId="1620" priority="837" stopIfTrue="1">
      <formula>LEN(TRIM(B72))=0</formula>
    </cfRule>
  </conditionalFormatting>
  <conditionalFormatting sqref="B72">
    <cfRule type="expression" dxfId="1619" priority="836" stopIfTrue="1">
      <formula>LEN(TRIM(B72))=0</formula>
    </cfRule>
  </conditionalFormatting>
  <conditionalFormatting sqref="B72">
    <cfRule type="expression" dxfId="1618" priority="835" stopIfTrue="1">
      <formula>LEN(TRIM(B72))=0</formula>
    </cfRule>
  </conditionalFormatting>
  <conditionalFormatting sqref="B72">
    <cfRule type="expression" dxfId="1617" priority="834" stopIfTrue="1">
      <formula>LEN(TRIM(B72))=0</formula>
    </cfRule>
  </conditionalFormatting>
  <conditionalFormatting sqref="B72">
    <cfRule type="expression" dxfId="1616" priority="833" stopIfTrue="1">
      <formula>LEN(TRIM(B72))=0</formula>
    </cfRule>
  </conditionalFormatting>
  <conditionalFormatting sqref="B72">
    <cfRule type="expression" dxfId="1615" priority="832" stopIfTrue="1">
      <formula>LEN(TRIM(B72))=0</formula>
    </cfRule>
  </conditionalFormatting>
  <conditionalFormatting sqref="B72">
    <cfRule type="expression" dxfId="1614" priority="831" stopIfTrue="1">
      <formula>LEN(TRIM(B72))=0</formula>
    </cfRule>
  </conditionalFormatting>
  <conditionalFormatting sqref="B72">
    <cfRule type="expression" dxfId="1613" priority="830" stopIfTrue="1">
      <formula>LEN(TRIM(B72))=0</formula>
    </cfRule>
  </conditionalFormatting>
  <conditionalFormatting sqref="B72">
    <cfRule type="expression" dxfId="1612" priority="829" stopIfTrue="1">
      <formula>LEN(TRIM(B72))=0</formula>
    </cfRule>
  </conditionalFormatting>
  <conditionalFormatting sqref="B72">
    <cfRule type="expression" dxfId="1611" priority="828" stopIfTrue="1">
      <formula>LEN(TRIM(B72))=0</formula>
    </cfRule>
  </conditionalFormatting>
  <conditionalFormatting sqref="B72">
    <cfRule type="expression" dxfId="1610" priority="827" stopIfTrue="1">
      <formula>LEN(TRIM(B72))=0</formula>
    </cfRule>
  </conditionalFormatting>
  <conditionalFormatting sqref="B72">
    <cfRule type="expression" dxfId="1609" priority="826" stopIfTrue="1">
      <formula>LEN(TRIM(B72))=0</formula>
    </cfRule>
  </conditionalFormatting>
  <conditionalFormatting sqref="B72">
    <cfRule type="expression" dxfId="1608" priority="825" stopIfTrue="1">
      <formula>LEN(TRIM(B72))=0</formula>
    </cfRule>
  </conditionalFormatting>
  <conditionalFormatting sqref="B72">
    <cfRule type="expression" dxfId="1607" priority="824" stopIfTrue="1">
      <formula>LEN(TRIM(B72))=0</formula>
    </cfRule>
  </conditionalFormatting>
  <conditionalFormatting sqref="B72">
    <cfRule type="expression" dxfId="1606" priority="823" stopIfTrue="1">
      <formula>LEN(TRIM(B72))=0</formula>
    </cfRule>
  </conditionalFormatting>
  <conditionalFormatting sqref="B72">
    <cfRule type="expression" dxfId="1605" priority="822" stopIfTrue="1">
      <formula>LEN(TRIM(B72))=0</formula>
    </cfRule>
  </conditionalFormatting>
  <conditionalFormatting sqref="B72">
    <cfRule type="expression" dxfId="1604" priority="821" stopIfTrue="1">
      <formula>LEN(TRIM(B72))=0</formula>
    </cfRule>
  </conditionalFormatting>
  <conditionalFormatting sqref="B72">
    <cfRule type="expression" dxfId="1603" priority="820" stopIfTrue="1">
      <formula>LEN(TRIM(B72))=0</formula>
    </cfRule>
  </conditionalFormatting>
  <conditionalFormatting sqref="B72">
    <cfRule type="expression" dxfId="1602" priority="819" stopIfTrue="1">
      <formula>LEN(TRIM(B72))=0</formula>
    </cfRule>
  </conditionalFormatting>
  <conditionalFormatting sqref="B72">
    <cfRule type="expression" dxfId="1601" priority="818" stopIfTrue="1">
      <formula>LEN(TRIM(B72))=0</formula>
    </cfRule>
  </conditionalFormatting>
  <conditionalFormatting sqref="B72">
    <cfRule type="expression" dxfId="1600" priority="817" stopIfTrue="1">
      <formula>LEN(TRIM(B72))=0</formula>
    </cfRule>
  </conditionalFormatting>
  <conditionalFormatting sqref="B72">
    <cfRule type="expression" dxfId="1599" priority="816" stopIfTrue="1">
      <formula>LEN(TRIM(B72))=0</formula>
    </cfRule>
  </conditionalFormatting>
  <conditionalFormatting sqref="B72">
    <cfRule type="expression" dxfId="1598" priority="815" stopIfTrue="1">
      <formula>LEN(TRIM(B72))=0</formula>
    </cfRule>
  </conditionalFormatting>
  <conditionalFormatting sqref="B72">
    <cfRule type="expression" dxfId="1597" priority="814" stopIfTrue="1">
      <formula>LEN(TRIM(B72))=0</formula>
    </cfRule>
  </conditionalFormatting>
  <conditionalFormatting sqref="B72">
    <cfRule type="expression" dxfId="1596" priority="813" stopIfTrue="1">
      <formula>LEN(TRIM(B72))=0</formula>
    </cfRule>
  </conditionalFormatting>
  <conditionalFormatting sqref="B72">
    <cfRule type="expression" dxfId="1595" priority="812" stopIfTrue="1">
      <formula>LEN(TRIM(B72))=0</formula>
    </cfRule>
  </conditionalFormatting>
  <conditionalFormatting sqref="B72">
    <cfRule type="expression" dxfId="1594" priority="811" stopIfTrue="1">
      <formula>LEN(TRIM(B72))=0</formula>
    </cfRule>
  </conditionalFormatting>
  <conditionalFormatting sqref="B72">
    <cfRule type="expression" dxfId="1593" priority="810" stopIfTrue="1">
      <formula>LEN(TRIM(B72))=0</formula>
    </cfRule>
  </conditionalFormatting>
  <conditionalFormatting sqref="B72">
    <cfRule type="expression" dxfId="1592" priority="809" stopIfTrue="1">
      <formula>LEN(TRIM(B72))=0</formula>
    </cfRule>
  </conditionalFormatting>
  <conditionalFormatting sqref="B72">
    <cfRule type="expression" dxfId="1591" priority="808" stopIfTrue="1">
      <formula>LEN(TRIM(B72))=0</formula>
    </cfRule>
  </conditionalFormatting>
  <conditionalFormatting sqref="B72">
    <cfRule type="expression" dxfId="1590" priority="807" stopIfTrue="1">
      <formula>LEN(TRIM(B72))=0</formula>
    </cfRule>
  </conditionalFormatting>
  <conditionalFormatting sqref="B72">
    <cfRule type="expression" dxfId="1589" priority="806" stopIfTrue="1">
      <formula>LEN(TRIM(B72))=0</formula>
    </cfRule>
  </conditionalFormatting>
  <conditionalFormatting sqref="B72">
    <cfRule type="expression" dxfId="1588" priority="805" stopIfTrue="1">
      <formula>LEN(TRIM(B72))=0</formula>
    </cfRule>
  </conditionalFormatting>
  <conditionalFormatting sqref="B72">
    <cfRule type="expression" dxfId="1587" priority="804" stopIfTrue="1">
      <formula>LEN(TRIM(B72))=0</formula>
    </cfRule>
  </conditionalFormatting>
  <conditionalFormatting sqref="B72">
    <cfRule type="expression" dxfId="1586" priority="803" stopIfTrue="1">
      <formula>LEN(TRIM(B72))=0</formula>
    </cfRule>
  </conditionalFormatting>
  <conditionalFormatting sqref="B83">
    <cfRule type="expression" dxfId="1585" priority="562" stopIfTrue="1">
      <formula>LEN(TRIM(B83))=0</formula>
    </cfRule>
  </conditionalFormatting>
  <conditionalFormatting sqref="B83">
    <cfRule type="expression" dxfId="1584" priority="561" stopIfTrue="1">
      <formula>LEN(TRIM(B83))=0</formula>
    </cfRule>
  </conditionalFormatting>
  <conditionalFormatting sqref="B83">
    <cfRule type="expression" dxfId="1583" priority="560" stopIfTrue="1">
      <formula>LEN(TRIM(B83))=0</formula>
    </cfRule>
  </conditionalFormatting>
  <conditionalFormatting sqref="B83">
    <cfRule type="expression" dxfId="1582" priority="559" stopIfTrue="1">
      <formula>LEN(TRIM(B83))=0</formula>
    </cfRule>
  </conditionalFormatting>
  <conditionalFormatting sqref="B83">
    <cfRule type="expression" dxfId="1581" priority="558" stopIfTrue="1">
      <formula>LEN(TRIM(B83))=0</formula>
    </cfRule>
  </conditionalFormatting>
  <conditionalFormatting sqref="B83">
    <cfRule type="expression" dxfId="1580" priority="557" stopIfTrue="1">
      <formula>LEN(TRIM(B83))=0</formula>
    </cfRule>
  </conditionalFormatting>
  <conditionalFormatting sqref="B83">
    <cfRule type="expression" dxfId="1579" priority="556" stopIfTrue="1">
      <formula>LEN(TRIM(B83))=0</formula>
    </cfRule>
  </conditionalFormatting>
  <conditionalFormatting sqref="B83">
    <cfRule type="expression" dxfId="1578" priority="555" stopIfTrue="1">
      <formula>LEN(TRIM(B83))=0</formula>
    </cfRule>
  </conditionalFormatting>
  <conditionalFormatting sqref="B83">
    <cfRule type="expression" dxfId="1577" priority="554" stopIfTrue="1">
      <formula>LEN(TRIM(B83))=0</formula>
    </cfRule>
  </conditionalFormatting>
  <conditionalFormatting sqref="B83">
    <cfRule type="expression" dxfId="1576" priority="553" stopIfTrue="1">
      <formula>LEN(TRIM(B83))=0</formula>
    </cfRule>
  </conditionalFormatting>
  <conditionalFormatting sqref="B83">
    <cfRule type="expression" dxfId="1575" priority="552" stopIfTrue="1">
      <formula>LEN(TRIM(B83))=0</formula>
    </cfRule>
  </conditionalFormatting>
  <conditionalFormatting sqref="B83">
    <cfRule type="expression" dxfId="1574" priority="551" stopIfTrue="1">
      <formula>LEN(TRIM(B83))=0</formula>
    </cfRule>
  </conditionalFormatting>
  <conditionalFormatting sqref="B83">
    <cfRule type="expression" dxfId="1573" priority="550" stopIfTrue="1">
      <formula>LEN(TRIM(B83))=0</formula>
    </cfRule>
  </conditionalFormatting>
  <conditionalFormatting sqref="B83">
    <cfRule type="expression" dxfId="1572" priority="549" stopIfTrue="1">
      <formula>LEN(TRIM(B83))=0</formula>
    </cfRule>
  </conditionalFormatting>
  <conditionalFormatting sqref="B83">
    <cfRule type="expression" dxfId="1571" priority="548" stopIfTrue="1">
      <formula>LEN(TRIM(B83))=0</formula>
    </cfRule>
  </conditionalFormatting>
  <conditionalFormatting sqref="B83">
    <cfRule type="expression" dxfId="1570" priority="547" stopIfTrue="1">
      <formula>LEN(TRIM(B83))=0</formula>
    </cfRule>
  </conditionalFormatting>
  <conditionalFormatting sqref="B83">
    <cfRule type="expression" dxfId="1569" priority="546" stopIfTrue="1">
      <formula>LEN(TRIM(B83))=0</formula>
    </cfRule>
  </conditionalFormatting>
  <conditionalFormatting sqref="B83">
    <cfRule type="expression" dxfId="1568" priority="545" stopIfTrue="1">
      <formula>LEN(TRIM(B83))=0</formula>
    </cfRule>
  </conditionalFormatting>
  <conditionalFormatting sqref="B83">
    <cfRule type="expression" dxfId="1567" priority="544" stopIfTrue="1">
      <formula>LEN(TRIM(B83))=0</formula>
    </cfRule>
  </conditionalFormatting>
  <conditionalFormatting sqref="B83">
    <cfRule type="expression" dxfId="1566" priority="543" stopIfTrue="1">
      <formula>LEN(TRIM(B83))=0</formula>
    </cfRule>
  </conditionalFormatting>
  <conditionalFormatting sqref="B88">
    <cfRule type="expression" dxfId="1565" priority="442" stopIfTrue="1">
      <formula>LEN(TRIM(B88))=0</formula>
    </cfRule>
  </conditionalFormatting>
  <conditionalFormatting sqref="B88">
    <cfRule type="expression" dxfId="1564" priority="441" stopIfTrue="1">
      <formula>LEN(TRIM(B88))=0</formula>
    </cfRule>
  </conditionalFormatting>
  <conditionalFormatting sqref="B88">
    <cfRule type="expression" dxfId="1563" priority="440" stopIfTrue="1">
      <formula>LEN(TRIM(B88))=0</formula>
    </cfRule>
  </conditionalFormatting>
  <conditionalFormatting sqref="B88">
    <cfRule type="expression" dxfId="1562" priority="439" stopIfTrue="1">
      <formula>LEN(TRIM(B88))=0</formula>
    </cfRule>
  </conditionalFormatting>
  <conditionalFormatting sqref="B88">
    <cfRule type="expression" dxfId="1561" priority="438" stopIfTrue="1">
      <formula>LEN(TRIM(B88))=0</formula>
    </cfRule>
  </conditionalFormatting>
  <conditionalFormatting sqref="B88">
    <cfRule type="expression" dxfId="1560" priority="437" stopIfTrue="1">
      <formula>LEN(TRIM(B88))=0</formula>
    </cfRule>
  </conditionalFormatting>
  <conditionalFormatting sqref="B88">
    <cfRule type="expression" dxfId="1559" priority="436" stopIfTrue="1">
      <formula>LEN(TRIM(B88))=0</formula>
    </cfRule>
  </conditionalFormatting>
  <conditionalFormatting sqref="B88">
    <cfRule type="expression" dxfId="1558" priority="435" stopIfTrue="1">
      <formula>LEN(TRIM(B88))=0</formula>
    </cfRule>
  </conditionalFormatting>
  <conditionalFormatting sqref="B88">
    <cfRule type="expression" dxfId="1557" priority="434" stopIfTrue="1">
      <formula>LEN(TRIM(B88))=0</formula>
    </cfRule>
  </conditionalFormatting>
  <conditionalFormatting sqref="B88">
    <cfRule type="expression" dxfId="1556" priority="433" stopIfTrue="1">
      <formula>LEN(TRIM(B88))=0</formula>
    </cfRule>
  </conditionalFormatting>
  <conditionalFormatting sqref="B88">
    <cfRule type="expression" dxfId="1555" priority="432" stopIfTrue="1">
      <formula>LEN(TRIM(B88))=0</formula>
    </cfRule>
  </conditionalFormatting>
  <conditionalFormatting sqref="B88">
    <cfRule type="expression" dxfId="1554" priority="431" stopIfTrue="1">
      <formula>LEN(TRIM(B88))=0</formula>
    </cfRule>
  </conditionalFormatting>
  <conditionalFormatting sqref="B88">
    <cfRule type="expression" dxfId="1553" priority="430" stopIfTrue="1">
      <formula>LEN(TRIM(B88))=0</formula>
    </cfRule>
  </conditionalFormatting>
  <conditionalFormatting sqref="B88">
    <cfRule type="expression" dxfId="1552" priority="429" stopIfTrue="1">
      <formula>LEN(TRIM(B88))=0</formula>
    </cfRule>
  </conditionalFormatting>
  <conditionalFormatting sqref="B88">
    <cfRule type="expression" dxfId="1551" priority="428" stopIfTrue="1">
      <formula>LEN(TRIM(B88))=0</formula>
    </cfRule>
  </conditionalFormatting>
  <conditionalFormatting sqref="B88">
    <cfRule type="expression" dxfId="1550" priority="427" stopIfTrue="1">
      <formula>LEN(TRIM(B88))=0</formula>
    </cfRule>
  </conditionalFormatting>
  <conditionalFormatting sqref="B88">
    <cfRule type="expression" dxfId="1549" priority="426" stopIfTrue="1">
      <formula>LEN(TRIM(B88))=0</formula>
    </cfRule>
  </conditionalFormatting>
  <conditionalFormatting sqref="B88">
    <cfRule type="expression" dxfId="1548" priority="425" stopIfTrue="1">
      <formula>LEN(TRIM(B88))=0</formula>
    </cfRule>
  </conditionalFormatting>
  <conditionalFormatting sqref="B88">
    <cfRule type="expression" dxfId="1547" priority="424" stopIfTrue="1">
      <formula>LEN(TRIM(B88))=0</formula>
    </cfRule>
  </conditionalFormatting>
  <conditionalFormatting sqref="B88">
    <cfRule type="expression" dxfId="1546" priority="423" stopIfTrue="1">
      <formula>LEN(TRIM(B88))=0</formula>
    </cfRule>
  </conditionalFormatting>
  <conditionalFormatting sqref="B88">
    <cfRule type="expression" dxfId="1545" priority="422" stopIfTrue="1">
      <formula>LEN(TRIM(B88))=0</formula>
    </cfRule>
  </conditionalFormatting>
  <conditionalFormatting sqref="B88">
    <cfRule type="expression" dxfId="1544" priority="421" stopIfTrue="1">
      <formula>LEN(TRIM(B88))=0</formula>
    </cfRule>
  </conditionalFormatting>
  <conditionalFormatting sqref="B88">
    <cfRule type="expression" dxfId="1543" priority="420" stopIfTrue="1">
      <formula>LEN(TRIM(B88))=0</formula>
    </cfRule>
  </conditionalFormatting>
  <conditionalFormatting sqref="B88">
    <cfRule type="expression" dxfId="1542" priority="419" stopIfTrue="1">
      <formula>LEN(TRIM(B88))=0</formula>
    </cfRule>
  </conditionalFormatting>
  <conditionalFormatting sqref="B88">
    <cfRule type="expression" dxfId="1541" priority="418" stopIfTrue="1">
      <formula>LEN(TRIM(B88))=0</formula>
    </cfRule>
  </conditionalFormatting>
  <conditionalFormatting sqref="B88">
    <cfRule type="expression" dxfId="1540" priority="417" stopIfTrue="1">
      <formula>LEN(TRIM(B88))=0</formula>
    </cfRule>
  </conditionalFormatting>
  <conditionalFormatting sqref="B88">
    <cfRule type="expression" dxfId="1539" priority="416" stopIfTrue="1">
      <formula>LEN(TRIM(B88))=0</formula>
    </cfRule>
  </conditionalFormatting>
  <conditionalFormatting sqref="B88">
    <cfRule type="expression" dxfId="1538" priority="415" stopIfTrue="1">
      <formula>LEN(TRIM(B88))=0</formula>
    </cfRule>
  </conditionalFormatting>
  <conditionalFormatting sqref="B88">
    <cfRule type="expression" dxfId="1537" priority="414" stopIfTrue="1">
      <formula>LEN(TRIM(B88))=0</formula>
    </cfRule>
  </conditionalFormatting>
  <conditionalFormatting sqref="B88">
    <cfRule type="expression" dxfId="1536" priority="413" stopIfTrue="1">
      <formula>LEN(TRIM(B88))=0</formula>
    </cfRule>
  </conditionalFormatting>
  <conditionalFormatting sqref="B88">
    <cfRule type="expression" dxfId="1535" priority="412" stopIfTrue="1">
      <formula>LEN(TRIM(B88))=0</formula>
    </cfRule>
  </conditionalFormatting>
  <conditionalFormatting sqref="B88">
    <cfRule type="expression" dxfId="1534" priority="411" stopIfTrue="1">
      <formula>LEN(TRIM(B88))=0</formula>
    </cfRule>
  </conditionalFormatting>
  <conditionalFormatting sqref="B88">
    <cfRule type="expression" dxfId="1533" priority="410" stopIfTrue="1">
      <formula>LEN(TRIM(B88))=0</formula>
    </cfRule>
  </conditionalFormatting>
  <conditionalFormatting sqref="B88">
    <cfRule type="expression" dxfId="1532" priority="409" stopIfTrue="1">
      <formula>LEN(TRIM(B88))=0</formula>
    </cfRule>
  </conditionalFormatting>
  <conditionalFormatting sqref="B88">
    <cfRule type="expression" dxfId="1531" priority="408" stopIfTrue="1">
      <formula>LEN(TRIM(B88))=0</formula>
    </cfRule>
  </conditionalFormatting>
  <conditionalFormatting sqref="B88">
    <cfRule type="expression" dxfId="1530" priority="407" stopIfTrue="1">
      <formula>LEN(TRIM(B88))=0</formula>
    </cfRule>
  </conditionalFormatting>
  <conditionalFormatting sqref="B88">
    <cfRule type="expression" dxfId="1529" priority="406" stopIfTrue="1">
      <formula>LEN(TRIM(B88))=0</formula>
    </cfRule>
  </conditionalFormatting>
  <conditionalFormatting sqref="B88">
    <cfRule type="expression" dxfId="1528" priority="405" stopIfTrue="1">
      <formula>LEN(TRIM(B88))=0</formula>
    </cfRule>
  </conditionalFormatting>
  <conditionalFormatting sqref="B88">
    <cfRule type="expression" dxfId="1527" priority="404" stopIfTrue="1">
      <formula>LEN(TRIM(B88))=0</formula>
    </cfRule>
  </conditionalFormatting>
  <conditionalFormatting sqref="B88">
    <cfRule type="expression" dxfId="1526" priority="403" stopIfTrue="1">
      <formula>LEN(TRIM(B88))=0</formula>
    </cfRule>
  </conditionalFormatting>
  <conditionalFormatting sqref="B6">
    <cfRule type="expression" dxfId="1525" priority="2082" stopIfTrue="1">
      <formula>LEN(TRIM(B6))=0</formula>
    </cfRule>
  </conditionalFormatting>
  <conditionalFormatting sqref="B6">
    <cfRule type="expression" dxfId="1524" priority="2081" stopIfTrue="1">
      <formula>LEN(TRIM(B6))=0</formula>
    </cfRule>
  </conditionalFormatting>
  <conditionalFormatting sqref="B6">
    <cfRule type="expression" dxfId="1523" priority="2080" stopIfTrue="1">
      <formula>LEN(TRIM(B6))=0</formula>
    </cfRule>
  </conditionalFormatting>
  <conditionalFormatting sqref="B6">
    <cfRule type="expression" dxfId="1522" priority="2079" stopIfTrue="1">
      <formula>LEN(TRIM(B6))=0</formula>
    </cfRule>
  </conditionalFormatting>
  <conditionalFormatting sqref="B6">
    <cfRule type="expression" dxfId="1521" priority="2078" stopIfTrue="1">
      <formula>LEN(TRIM(B6))=0</formula>
    </cfRule>
  </conditionalFormatting>
  <conditionalFormatting sqref="B6">
    <cfRule type="expression" dxfId="1520" priority="2077" stopIfTrue="1">
      <formula>LEN(TRIM(B6))=0</formula>
    </cfRule>
  </conditionalFormatting>
  <conditionalFormatting sqref="B6">
    <cfRule type="expression" dxfId="1519" priority="2076" stopIfTrue="1">
      <formula>LEN(TRIM(B6))=0</formula>
    </cfRule>
  </conditionalFormatting>
  <conditionalFormatting sqref="B6">
    <cfRule type="expression" dxfId="1518" priority="2075" stopIfTrue="1">
      <formula>LEN(TRIM(B6))=0</formula>
    </cfRule>
  </conditionalFormatting>
  <conditionalFormatting sqref="B6">
    <cfRule type="expression" dxfId="1517" priority="2074" stopIfTrue="1">
      <formula>LEN(TRIM(B6))=0</formula>
    </cfRule>
  </conditionalFormatting>
  <conditionalFormatting sqref="B6">
    <cfRule type="expression" dxfId="1516" priority="2073" stopIfTrue="1">
      <formula>LEN(TRIM(B6))=0</formula>
    </cfRule>
  </conditionalFormatting>
  <conditionalFormatting sqref="B6">
    <cfRule type="expression" dxfId="1515" priority="2072" stopIfTrue="1">
      <formula>LEN(TRIM(B6))=0</formula>
    </cfRule>
  </conditionalFormatting>
  <conditionalFormatting sqref="B6">
    <cfRule type="expression" dxfId="1514" priority="2071" stopIfTrue="1">
      <formula>LEN(TRIM(B6))=0</formula>
    </cfRule>
  </conditionalFormatting>
  <conditionalFormatting sqref="B6">
    <cfRule type="expression" dxfId="1513" priority="2070" stopIfTrue="1">
      <formula>LEN(TRIM(B6))=0</formula>
    </cfRule>
  </conditionalFormatting>
  <conditionalFormatting sqref="B6">
    <cfRule type="expression" dxfId="1512" priority="2069" stopIfTrue="1">
      <formula>LEN(TRIM(B6))=0</formula>
    </cfRule>
  </conditionalFormatting>
  <conditionalFormatting sqref="B6">
    <cfRule type="expression" dxfId="1511" priority="2068" stopIfTrue="1">
      <formula>LEN(TRIM(B6))=0</formula>
    </cfRule>
  </conditionalFormatting>
  <conditionalFormatting sqref="B6">
    <cfRule type="expression" dxfId="1510" priority="2067" stopIfTrue="1">
      <formula>LEN(TRIM(B6))=0</formula>
    </cfRule>
  </conditionalFormatting>
  <conditionalFormatting sqref="B6">
    <cfRule type="expression" dxfId="1509" priority="2066" stopIfTrue="1">
      <formula>LEN(TRIM(B6))=0</formula>
    </cfRule>
  </conditionalFormatting>
  <conditionalFormatting sqref="B6">
    <cfRule type="expression" dxfId="1508" priority="2065" stopIfTrue="1">
      <formula>LEN(TRIM(B6))=0</formula>
    </cfRule>
  </conditionalFormatting>
  <conditionalFormatting sqref="B6">
    <cfRule type="expression" dxfId="1507" priority="2064" stopIfTrue="1">
      <formula>LEN(TRIM(B6))=0</formula>
    </cfRule>
  </conditionalFormatting>
  <conditionalFormatting sqref="B6">
    <cfRule type="expression" dxfId="1506" priority="2063" stopIfTrue="1">
      <formula>LEN(TRIM(B6))=0</formula>
    </cfRule>
  </conditionalFormatting>
  <conditionalFormatting sqref="B6">
    <cfRule type="expression" dxfId="1505" priority="2062" stopIfTrue="1">
      <formula>LEN(TRIM(B6))=0</formula>
    </cfRule>
  </conditionalFormatting>
  <conditionalFormatting sqref="B6">
    <cfRule type="expression" dxfId="1504" priority="2061" stopIfTrue="1">
      <formula>LEN(TRIM(B6))=0</formula>
    </cfRule>
  </conditionalFormatting>
  <conditionalFormatting sqref="B6">
    <cfRule type="expression" dxfId="1503" priority="2060" stopIfTrue="1">
      <formula>LEN(TRIM(B6))=0</formula>
    </cfRule>
  </conditionalFormatting>
  <conditionalFormatting sqref="B6">
    <cfRule type="expression" dxfId="1502" priority="2059" stopIfTrue="1">
      <formula>LEN(TRIM(B6))=0</formula>
    </cfRule>
  </conditionalFormatting>
  <conditionalFormatting sqref="B6">
    <cfRule type="expression" dxfId="1501" priority="2058" stopIfTrue="1">
      <formula>LEN(TRIM(B6))=0</formula>
    </cfRule>
  </conditionalFormatting>
  <conditionalFormatting sqref="B6">
    <cfRule type="expression" dxfId="1500" priority="2057" stopIfTrue="1">
      <formula>LEN(TRIM(B6))=0</formula>
    </cfRule>
  </conditionalFormatting>
  <conditionalFormatting sqref="B6">
    <cfRule type="expression" dxfId="1499" priority="2056" stopIfTrue="1">
      <formula>LEN(TRIM(B6))=0</formula>
    </cfRule>
  </conditionalFormatting>
  <conditionalFormatting sqref="B6">
    <cfRule type="expression" dxfId="1498" priority="2055" stopIfTrue="1">
      <formula>LEN(TRIM(B6))=0</formula>
    </cfRule>
  </conditionalFormatting>
  <conditionalFormatting sqref="B6">
    <cfRule type="expression" dxfId="1497" priority="2054" stopIfTrue="1">
      <formula>LEN(TRIM(B6))=0</formula>
    </cfRule>
  </conditionalFormatting>
  <conditionalFormatting sqref="B6">
    <cfRule type="expression" dxfId="1496" priority="2053" stopIfTrue="1">
      <formula>LEN(TRIM(B6))=0</formula>
    </cfRule>
  </conditionalFormatting>
  <conditionalFormatting sqref="B6">
    <cfRule type="expression" dxfId="1495" priority="2052" stopIfTrue="1">
      <formula>LEN(TRIM(B6))=0</formula>
    </cfRule>
  </conditionalFormatting>
  <conditionalFormatting sqref="B6">
    <cfRule type="expression" dxfId="1494" priority="2051" stopIfTrue="1">
      <formula>LEN(TRIM(B6))=0</formula>
    </cfRule>
  </conditionalFormatting>
  <conditionalFormatting sqref="B6">
    <cfRule type="expression" dxfId="1493" priority="2050" stopIfTrue="1">
      <formula>LEN(TRIM(B6))=0</formula>
    </cfRule>
  </conditionalFormatting>
  <conditionalFormatting sqref="B6">
    <cfRule type="expression" dxfId="1492" priority="2049" stopIfTrue="1">
      <formula>LEN(TRIM(B6))=0</formula>
    </cfRule>
  </conditionalFormatting>
  <conditionalFormatting sqref="B6">
    <cfRule type="expression" dxfId="1491" priority="2048" stopIfTrue="1">
      <formula>LEN(TRIM(B6))=0</formula>
    </cfRule>
  </conditionalFormatting>
  <conditionalFormatting sqref="B6">
    <cfRule type="expression" dxfId="1490" priority="2047" stopIfTrue="1">
      <formula>LEN(TRIM(B6))=0</formula>
    </cfRule>
  </conditionalFormatting>
  <conditionalFormatting sqref="B6">
    <cfRule type="expression" dxfId="1489" priority="2046" stopIfTrue="1">
      <formula>LEN(TRIM(B6))=0</formula>
    </cfRule>
  </conditionalFormatting>
  <conditionalFormatting sqref="B6">
    <cfRule type="expression" dxfId="1488" priority="2045" stopIfTrue="1">
      <formula>LEN(TRIM(B6))=0</formula>
    </cfRule>
  </conditionalFormatting>
  <conditionalFormatting sqref="B6">
    <cfRule type="expression" dxfId="1487" priority="2044" stopIfTrue="1">
      <formula>LEN(TRIM(B6))=0</formula>
    </cfRule>
  </conditionalFormatting>
  <conditionalFormatting sqref="B6">
    <cfRule type="expression" dxfId="1486" priority="2043" stopIfTrue="1">
      <formula>LEN(TRIM(B6))=0</formula>
    </cfRule>
  </conditionalFormatting>
  <conditionalFormatting sqref="B6">
    <cfRule type="expression" dxfId="1485" priority="2042" stopIfTrue="1">
      <formula>LEN(TRIM(B6))=0</formula>
    </cfRule>
  </conditionalFormatting>
  <conditionalFormatting sqref="B6">
    <cfRule type="expression" dxfId="1484" priority="2041" stopIfTrue="1">
      <formula>LEN(TRIM(B6))=0</formula>
    </cfRule>
  </conditionalFormatting>
  <conditionalFormatting sqref="B6">
    <cfRule type="expression" dxfId="1483" priority="2040" stopIfTrue="1">
      <formula>LEN(TRIM(B6))=0</formula>
    </cfRule>
  </conditionalFormatting>
  <conditionalFormatting sqref="B6">
    <cfRule type="expression" dxfId="1482" priority="2039" stopIfTrue="1">
      <formula>LEN(TRIM(B6))=0</formula>
    </cfRule>
  </conditionalFormatting>
  <conditionalFormatting sqref="B6">
    <cfRule type="expression" dxfId="1481" priority="2038" stopIfTrue="1">
      <formula>LEN(TRIM(B6))=0</formula>
    </cfRule>
  </conditionalFormatting>
  <conditionalFormatting sqref="B6">
    <cfRule type="expression" dxfId="1480" priority="2037" stopIfTrue="1">
      <formula>LEN(TRIM(B6))=0</formula>
    </cfRule>
  </conditionalFormatting>
  <conditionalFormatting sqref="B6">
    <cfRule type="expression" dxfId="1479" priority="2036" stopIfTrue="1">
      <formula>LEN(TRIM(B6))=0</formula>
    </cfRule>
  </conditionalFormatting>
  <conditionalFormatting sqref="B6">
    <cfRule type="expression" dxfId="1478" priority="2035" stopIfTrue="1">
      <formula>LEN(TRIM(B6))=0</formula>
    </cfRule>
  </conditionalFormatting>
  <conditionalFormatting sqref="B6">
    <cfRule type="expression" dxfId="1477" priority="2034" stopIfTrue="1">
      <formula>LEN(TRIM(B6))=0</formula>
    </cfRule>
  </conditionalFormatting>
  <conditionalFormatting sqref="B6">
    <cfRule type="expression" dxfId="1476" priority="2033" stopIfTrue="1">
      <formula>LEN(TRIM(B6))=0</formula>
    </cfRule>
  </conditionalFormatting>
  <conditionalFormatting sqref="B6">
    <cfRule type="expression" dxfId="1475" priority="2032" stopIfTrue="1">
      <formula>LEN(TRIM(B6))=0</formula>
    </cfRule>
  </conditionalFormatting>
  <conditionalFormatting sqref="B6">
    <cfRule type="expression" dxfId="1474" priority="2031" stopIfTrue="1">
      <formula>LEN(TRIM(B6))=0</formula>
    </cfRule>
  </conditionalFormatting>
  <conditionalFormatting sqref="B6">
    <cfRule type="expression" dxfId="1473" priority="2030" stopIfTrue="1">
      <formula>LEN(TRIM(B6))=0</formula>
    </cfRule>
  </conditionalFormatting>
  <conditionalFormatting sqref="B6">
    <cfRule type="expression" dxfId="1472" priority="2029" stopIfTrue="1">
      <formula>LEN(TRIM(B6))=0</formula>
    </cfRule>
  </conditionalFormatting>
  <conditionalFormatting sqref="B6">
    <cfRule type="expression" dxfId="1471" priority="2028" stopIfTrue="1">
      <formula>LEN(TRIM(B6))=0</formula>
    </cfRule>
  </conditionalFormatting>
  <conditionalFormatting sqref="B6">
    <cfRule type="expression" dxfId="1470" priority="2027" stopIfTrue="1">
      <formula>LEN(TRIM(B6))=0</formula>
    </cfRule>
  </conditionalFormatting>
  <conditionalFormatting sqref="B6">
    <cfRule type="expression" dxfId="1469" priority="2026" stopIfTrue="1">
      <formula>LEN(TRIM(B6))=0</formula>
    </cfRule>
  </conditionalFormatting>
  <conditionalFormatting sqref="B6">
    <cfRule type="expression" dxfId="1468" priority="2025" stopIfTrue="1">
      <formula>LEN(TRIM(B6))=0</formula>
    </cfRule>
  </conditionalFormatting>
  <conditionalFormatting sqref="B6">
    <cfRule type="expression" dxfId="1467" priority="2024" stopIfTrue="1">
      <formula>LEN(TRIM(B6))=0</formula>
    </cfRule>
  </conditionalFormatting>
  <conditionalFormatting sqref="B6">
    <cfRule type="expression" dxfId="1466" priority="2023" stopIfTrue="1">
      <formula>LEN(TRIM(B6))=0</formula>
    </cfRule>
  </conditionalFormatting>
  <conditionalFormatting sqref="B6">
    <cfRule type="expression" dxfId="1465" priority="2022" stopIfTrue="1">
      <formula>LEN(TRIM(B6))=0</formula>
    </cfRule>
  </conditionalFormatting>
  <conditionalFormatting sqref="B6">
    <cfRule type="expression" dxfId="1464" priority="2021" stopIfTrue="1">
      <formula>LEN(TRIM(B6))=0</formula>
    </cfRule>
  </conditionalFormatting>
  <conditionalFormatting sqref="B6">
    <cfRule type="expression" dxfId="1463" priority="2020" stopIfTrue="1">
      <formula>LEN(TRIM(B6))=0</formula>
    </cfRule>
  </conditionalFormatting>
  <conditionalFormatting sqref="B6">
    <cfRule type="expression" dxfId="1462" priority="2019" stopIfTrue="1">
      <formula>LEN(TRIM(B6))=0</formula>
    </cfRule>
  </conditionalFormatting>
  <conditionalFormatting sqref="B6">
    <cfRule type="expression" dxfId="1461" priority="2018" stopIfTrue="1">
      <formula>LEN(TRIM(B6))=0</formula>
    </cfRule>
  </conditionalFormatting>
  <conditionalFormatting sqref="B6">
    <cfRule type="expression" dxfId="1460" priority="2017" stopIfTrue="1">
      <formula>LEN(TRIM(B6))=0</formula>
    </cfRule>
  </conditionalFormatting>
  <conditionalFormatting sqref="B6">
    <cfRule type="expression" dxfId="1459" priority="2016" stopIfTrue="1">
      <formula>LEN(TRIM(B6))=0</formula>
    </cfRule>
  </conditionalFormatting>
  <conditionalFormatting sqref="B6">
    <cfRule type="expression" dxfId="1458" priority="2015" stopIfTrue="1">
      <formula>LEN(TRIM(B6))=0</formula>
    </cfRule>
  </conditionalFormatting>
  <conditionalFormatting sqref="B6">
    <cfRule type="expression" dxfId="1457" priority="2014" stopIfTrue="1">
      <formula>LEN(TRIM(B6))=0</formula>
    </cfRule>
  </conditionalFormatting>
  <conditionalFormatting sqref="B6">
    <cfRule type="expression" dxfId="1456" priority="2013" stopIfTrue="1">
      <formula>LEN(TRIM(B6))=0</formula>
    </cfRule>
  </conditionalFormatting>
  <conditionalFormatting sqref="B6">
    <cfRule type="expression" dxfId="1455" priority="2012" stopIfTrue="1">
      <formula>LEN(TRIM(B6))=0</formula>
    </cfRule>
  </conditionalFormatting>
  <conditionalFormatting sqref="B6">
    <cfRule type="expression" dxfId="1454" priority="2011" stopIfTrue="1">
      <formula>LEN(TRIM(B6))=0</formula>
    </cfRule>
  </conditionalFormatting>
  <conditionalFormatting sqref="B6">
    <cfRule type="expression" dxfId="1453" priority="2010" stopIfTrue="1">
      <formula>LEN(TRIM(B6))=0</formula>
    </cfRule>
  </conditionalFormatting>
  <conditionalFormatting sqref="B6">
    <cfRule type="expression" dxfId="1452" priority="2009" stopIfTrue="1">
      <formula>LEN(TRIM(B6))=0</formula>
    </cfRule>
  </conditionalFormatting>
  <conditionalFormatting sqref="B6">
    <cfRule type="expression" dxfId="1451" priority="2008" stopIfTrue="1">
      <formula>LEN(TRIM(B6))=0</formula>
    </cfRule>
  </conditionalFormatting>
  <conditionalFormatting sqref="B6">
    <cfRule type="expression" dxfId="1450" priority="2007" stopIfTrue="1">
      <formula>LEN(TRIM(B6))=0</formula>
    </cfRule>
  </conditionalFormatting>
  <conditionalFormatting sqref="B6">
    <cfRule type="expression" dxfId="1449" priority="2006" stopIfTrue="1">
      <formula>LEN(TRIM(B6))=0</formula>
    </cfRule>
  </conditionalFormatting>
  <conditionalFormatting sqref="B6">
    <cfRule type="expression" dxfId="1448" priority="2005" stopIfTrue="1">
      <formula>LEN(TRIM(B6))=0</formula>
    </cfRule>
  </conditionalFormatting>
  <conditionalFormatting sqref="B8">
    <cfRule type="expression" dxfId="1447" priority="1942" stopIfTrue="1">
      <formula>LEN(TRIM(B8))=0</formula>
    </cfRule>
  </conditionalFormatting>
  <conditionalFormatting sqref="B8">
    <cfRule type="expression" dxfId="1446" priority="1941" stopIfTrue="1">
      <formula>LEN(TRIM(B8))=0</formula>
    </cfRule>
  </conditionalFormatting>
  <conditionalFormatting sqref="B8">
    <cfRule type="expression" dxfId="1445" priority="1940" stopIfTrue="1">
      <formula>LEN(TRIM(B8))=0</formula>
    </cfRule>
  </conditionalFormatting>
  <conditionalFormatting sqref="B8">
    <cfRule type="expression" dxfId="1444" priority="1939" stopIfTrue="1">
      <formula>LEN(TRIM(B8))=0</formula>
    </cfRule>
  </conditionalFormatting>
  <conditionalFormatting sqref="B8">
    <cfRule type="expression" dxfId="1443" priority="1938" stopIfTrue="1">
      <formula>LEN(TRIM(B8))=0</formula>
    </cfRule>
  </conditionalFormatting>
  <conditionalFormatting sqref="B8">
    <cfRule type="expression" dxfId="1442" priority="1937" stopIfTrue="1">
      <formula>LEN(TRIM(B8))=0</formula>
    </cfRule>
  </conditionalFormatting>
  <conditionalFormatting sqref="B8">
    <cfRule type="expression" dxfId="1441" priority="1936" stopIfTrue="1">
      <formula>LEN(TRIM(B8))=0</formula>
    </cfRule>
  </conditionalFormatting>
  <conditionalFormatting sqref="B8">
    <cfRule type="expression" dxfId="1440" priority="1935" stopIfTrue="1">
      <formula>LEN(TRIM(B8))=0</formula>
    </cfRule>
  </conditionalFormatting>
  <conditionalFormatting sqref="B8">
    <cfRule type="expression" dxfId="1439" priority="1934" stopIfTrue="1">
      <formula>LEN(TRIM(B8))=0</formula>
    </cfRule>
  </conditionalFormatting>
  <conditionalFormatting sqref="B8">
    <cfRule type="expression" dxfId="1438" priority="1933" stopIfTrue="1">
      <formula>LEN(TRIM(B8))=0</formula>
    </cfRule>
  </conditionalFormatting>
  <conditionalFormatting sqref="B8">
    <cfRule type="expression" dxfId="1437" priority="1932" stopIfTrue="1">
      <formula>LEN(TRIM(B8))=0</formula>
    </cfRule>
  </conditionalFormatting>
  <conditionalFormatting sqref="B8">
    <cfRule type="expression" dxfId="1436" priority="1931" stopIfTrue="1">
      <formula>LEN(TRIM(B8))=0</formula>
    </cfRule>
  </conditionalFormatting>
  <conditionalFormatting sqref="B8">
    <cfRule type="expression" dxfId="1435" priority="1930" stopIfTrue="1">
      <formula>LEN(TRIM(B8))=0</formula>
    </cfRule>
  </conditionalFormatting>
  <conditionalFormatting sqref="B8">
    <cfRule type="expression" dxfId="1434" priority="1929" stopIfTrue="1">
      <formula>LEN(TRIM(B8))=0</formula>
    </cfRule>
  </conditionalFormatting>
  <conditionalFormatting sqref="B8">
    <cfRule type="expression" dxfId="1433" priority="1928" stopIfTrue="1">
      <formula>LEN(TRIM(B8))=0</formula>
    </cfRule>
  </conditionalFormatting>
  <conditionalFormatting sqref="B8">
    <cfRule type="expression" dxfId="1432" priority="1927" stopIfTrue="1">
      <formula>LEN(TRIM(B8))=0</formula>
    </cfRule>
  </conditionalFormatting>
  <conditionalFormatting sqref="B8">
    <cfRule type="expression" dxfId="1431" priority="1926" stopIfTrue="1">
      <formula>LEN(TRIM(B8))=0</formula>
    </cfRule>
  </conditionalFormatting>
  <conditionalFormatting sqref="B8">
    <cfRule type="expression" dxfId="1430" priority="1925" stopIfTrue="1">
      <formula>LEN(TRIM(B8))=0</formula>
    </cfRule>
  </conditionalFormatting>
  <conditionalFormatting sqref="B8">
    <cfRule type="expression" dxfId="1429" priority="1924" stopIfTrue="1">
      <formula>LEN(TRIM(B8))=0</formula>
    </cfRule>
  </conditionalFormatting>
  <conditionalFormatting sqref="B8">
    <cfRule type="expression" dxfId="1428" priority="1923" stopIfTrue="1">
      <formula>LEN(TRIM(B8))=0</formula>
    </cfRule>
  </conditionalFormatting>
  <conditionalFormatting sqref="B22">
    <cfRule type="expression" dxfId="1427" priority="1922" stopIfTrue="1">
      <formula>LEN(TRIM(B22))=0</formula>
    </cfRule>
  </conditionalFormatting>
  <conditionalFormatting sqref="B22">
    <cfRule type="expression" dxfId="1426" priority="1921" stopIfTrue="1">
      <formula>LEN(TRIM(B22))=0</formula>
    </cfRule>
  </conditionalFormatting>
  <conditionalFormatting sqref="B22">
    <cfRule type="expression" dxfId="1425" priority="1920" stopIfTrue="1">
      <formula>LEN(TRIM(B22))=0</formula>
    </cfRule>
  </conditionalFormatting>
  <conditionalFormatting sqref="B22">
    <cfRule type="expression" dxfId="1424" priority="1919" stopIfTrue="1">
      <formula>LEN(TRIM(B22))=0</formula>
    </cfRule>
  </conditionalFormatting>
  <conditionalFormatting sqref="B22">
    <cfRule type="expression" dxfId="1423" priority="1918" stopIfTrue="1">
      <formula>LEN(TRIM(B22))=0</formula>
    </cfRule>
  </conditionalFormatting>
  <conditionalFormatting sqref="B22">
    <cfRule type="expression" dxfId="1422" priority="1917" stopIfTrue="1">
      <formula>LEN(TRIM(B22))=0</formula>
    </cfRule>
  </conditionalFormatting>
  <conditionalFormatting sqref="B22">
    <cfRule type="expression" dxfId="1421" priority="1916" stopIfTrue="1">
      <formula>LEN(TRIM(B22))=0</formula>
    </cfRule>
  </conditionalFormatting>
  <conditionalFormatting sqref="B22">
    <cfRule type="expression" dxfId="1420" priority="1915" stopIfTrue="1">
      <formula>LEN(TRIM(B22))=0</formula>
    </cfRule>
  </conditionalFormatting>
  <conditionalFormatting sqref="B22">
    <cfRule type="expression" dxfId="1419" priority="1914" stopIfTrue="1">
      <formula>LEN(TRIM(B22))=0</formula>
    </cfRule>
  </conditionalFormatting>
  <conditionalFormatting sqref="B22">
    <cfRule type="expression" dxfId="1418" priority="1913" stopIfTrue="1">
      <formula>LEN(TRIM(B22))=0</formula>
    </cfRule>
  </conditionalFormatting>
  <conditionalFormatting sqref="B22">
    <cfRule type="expression" dxfId="1417" priority="1912" stopIfTrue="1">
      <formula>LEN(TRIM(B22))=0</formula>
    </cfRule>
  </conditionalFormatting>
  <conditionalFormatting sqref="B22">
    <cfRule type="expression" dxfId="1416" priority="1911" stopIfTrue="1">
      <formula>LEN(TRIM(B22))=0</formula>
    </cfRule>
  </conditionalFormatting>
  <conditionalFormatting sqref="B22">
    <cfRule type="expression" dxfId="1415" priority="1910" stopIfTrue="1">
      <formula>LEN(TRIM(B22))=0</formula>
    </cfRule>
  </conditionalFormatting>
  <conditionalFormatting sqref="B22">
    <cfRule type="expression" dxfId="1414" priority="1909" stopIfTrue="1">
      <formula>LEN(TRIM(B22))=0</formula>
    </cfRule>
  </conditionalFormatting>
  <conditionalFormatting sqref="B22">
    <cfRule type="expression" dxfId="1413" priority="1908" stopIfTrue="1">
      <formula>LEN(TRIM(B22))=0</formula>
    </cfRule>
  </conditionalFormatting>
  <conditionalFormatting sqref="B22">
    <cfRule type="expression" dxfId="1412" priority="1907" stopIfTrue="1">
      <formula>LEN(TRIM(B22))=0</formula>
    </cfRule>
  </conditionalFormatting>
  <conditionalFormatting sqref="B22">
    <cfRule type="expression" dxfId="1411" priority="1906" stopIfTrue="1">
      <formula>LEN(TRIM(B22))=0</formula>
    </cfRule>
  </conditionalFormatting>
  <conditionalFormatting sqref="B22">
    <cfRule type="expression" dxfId="1410" priority="1905" stopIfTrue="1">
      <formula>LEN(TRIM(B22))=0</formula>
    </cfRule>
  </conditionalFormatting>
  <conditionalFormatting sqref="B22">
    <cfRule type="expression" dxfId="1409" priority="1904" stopIfTrue="1">
      <formula>LEN(TRIM(B22))=0</formula>
    </cfRule>
  </conditionalFormatting>
  <conditionalFormatting sqref="B22">
    <cfRule type="expression" dxfId="1408" priority="1903" stopIfTrue="1">
      <formula>LEN(TRIM(B22))=0</formula>
    </cfRule>
  </conditionalFormatting>
  <conditionalFormatting sqref="B22">
    <cfRule type="expression" dxfId="1407" priority="1902" stopIfTrue="1">
      <formula>LEN(TRIM(B22))=0</formula>
    </cfRule>
  </conditionalFormatting>
  <conditionalFormatting sqref="B22">
    <cfRule type="expression" dxfId="1406" priority="1901" stopIfTrue="1">
      <formula>LEN(TRIM(B22))=0</formula>
    </cfRule>
  </conditionalFormatting>
  <conditionalFormatting sqref="B22">
    <cfRule type="expression" dxfId="1405" priority="1900" stopIfTrue="1">
      <formula>LEN(TRIM(B22))=0</formula>
    </cfRule>
  </conditionalFormatting>
  <conditionalFormatting sqref="B22">
    <cfRule type="expression" dxfId="1404" priority="1899" stopIfTrue="1">
      <formula>LEN(TRIM(B22))=0</formula>
    </cfRule>
  </conditionalFormatting>
  <conditionalFormatting sqref="B22">
    <cfRule type="expression" dxfId="1403" priority="1898" stopIfTrue="1">
      <formula>LEN(TRIM(B22))=0</formula>
    </cfRule>
  </conditionalFormatting>
  <conditionalFormatting sqref="B22">
    <cfRule type="expression" dxfId="1402" priority="1897" stopIfTrue="1">
      <formula>LEN(TRIM(B22))=0</formula>
    </cfRule>
  </conditionalFormatting>
  <conditionalFormatting sqref="B22">
    <cfRule type="expression" dxfId="1401" priority="1896" stopIfTrue="1">
      <formula>LEN(TRIM(B22))=0</formula>
    </cfRule>
  </conditionalFormatting>
  <conditionalFormatting sqref="B22">
    <cfRule type="expression" dxfId="1400" priority="1895" stopIfTrue="1">
      <formula>LEN(TRIM(B22))=0</formula>
    </cfRule>
  </conditionalFormatting>
  <conditionalFormatting sqref="B22">
    <cfRule type="expression" dxfId="1399" priority="1894" stopIfTrue="1">
      <formula>LEN(TRIM(B22))=0</formula>
    </cfRule>
  </conditionalFormatting>
  <conditionalFormatting sqref="B22">
    <cfRule type="expression" dxfId="1398" priority="1893" stopIfTrue="1">
      <formula>LEN(TRIM(B22))=0</formula>
    </cfRule>
  </conditionalFormatting>
  <conditionalFormatting sqref="B22">
    <cfRule type="expression" dxfId="1397" priority="1892" stopIfTrue="1">
      <formula>LEN(TRIM(B22))=0</formula>
    </cfRule>
  </conditionalFormatting>
  <conditionalFormatting sqref="B22">
    <cfRule type="expression" dxfId="1396" priority="1891" stopIfTrue="1">
      <formula>LEN(TRIM(B22))=0</formula>
    </cfRule>
  </conditionalFormatting>
  <conditionalFormatting sqref="B22">
    <cfRule type="expression" dxfId="1395" priority="1890" stopIfTrue="1">
      <formula>LEN(TRIM(B22))=0</formula>
    </cfRule>
  </conditionalFormatting>
  <conditionalFormatting sqref="B22">
    <cfRule type="expression" dxfId="1394" priority="1889" stopIfTrue="1">
      <formula>LEN(TRIM(B22))=0</formula>
    </cfRule>
  </conditionalFormatting>
  <conditionalFormatting sqref="B22">
    <cfRule type="expression" dxfId="1393" priority="1888" stopIfTrue="1">
      <formula>LEN(TRIM(B22))=0</formula>
    </cfRule>
  </conditionalFormatting>
  <conditionalFormatting sqref="B22">
    <cfRule type="expression" dxfId="1392" priority="1887" stopIfTrue="1">
      <formula>LEN(TRIM(B22))=0</formula>
    </cfRule>
  </conditionalFormatting>
  <conditionalFormatting sqref="B22">
    <cfRule type="expression" dxfId="1391" priority="1886" stopIfTrue="1">
      <formula>LEN(TRIM(B22))=0</formula>
    </cfRule>
  </conditionalFormatting>
  <conditionalFormatting sqref="B22">
    <cfRule type="expression" dxfId="1390" priority="1885" stopIfTrue="1">
      <formula>LEN(TRIM(B22))=0</formula>
    </cfRule>
  </conditionalFormatting>
  <conditionalFormatting sqref="B22">
    <cfRule type="expression" dxfId="1389" priority="1884" stopIfTrue="1">
      <formula>LEN(TRIM(B22))=0</formula>
    </cfRule>
  </conditionalFormatting>
  <conditionalFormatting sqref="B22">
    <cfRule type="expression" dxfId="1388" priority="1883" stopIfTrue="1">
      <formula>LEN(TRIM(B22))=0</formula>
    </cfRule>
  </conditionalFormatting>
  <conditionalFormatting sqref="B22">
    <cfRule type="expression" dxfId="1387" priority="1882" stopIfTrue="1">
      <formula>LEN(TRIM(B22))=0</formula>
    </cfRule>
  </conditionalFormatting>
  <conditionalFormatting sqref="B22">
    <cfRule type="expression" dxfId="1386" priority="1881" stopIfTrue="1">
      <formula>LEN(TRIM(B22))=0</formula>
    </cfRule>
  </conditionalFormatting>
  <conditionalFormatting sqref="B22">
    <cfRule type="expression" dxfId="1385" priority="1880" stopIfTrue="1">
      <formula>LEN(TRIM(B22))=0</formula>
    </cfRule>
  </conditionalFormatting>
  <conditionalFormatting sqref="B22">
    <cfRule type="expression" dxfId="1384" priority="1879" stopIfTrue="1">
      <formula>LEN(TRIM(B22))=0</formula>
    </cfRule>
  </conditionalFormatting>
  <conditionalFormatting sqref="B22">
    <cfRule type="expression" dxfId="1383" priority="1878" stopIfTrue="1">
      <formula>LEN(TRIM(B22))=0</formula>
    </cfRule>
  </conditionalFormatting>
  <conditionalFormatting sqref="B22">
    <cfRule type="expression" dxfId="1382" priority="1877" stopIfTrue="1">
      <formula>LEN(TRIM(B22))=0</formula>
    </cfRule>
  </conditionalFormatting>
  <conditionalFormatting sqref="B22">
    <cfRule type="expression" dxfId="1381" priority="1876" stopIfTrue="1">
      <formula>LEN(TRIM(B22))=0</formula>
    </cfRule>
  </conditionalFormatting>
  <conditionalFormatting sqref="B22">
    <cfRule type="expression" dxfId="1380" priority="1875" stopIfTrue="1">
      <formula>LEN(TRIM(B22))=0</formula>
    </cfRule>
  </conditionalFormatting>
  <conditionalFormatting sqref="B22">
    <cfRule type="expression" dxfId="1379" priority="1874" stopIfTrue="1">
      <formula>LEN(TRIM(B22))=0</formula>
    </cfRule>
  </conditionalFormatting>
  <conditionalFormatting sqref="B22">
    <cfRule type="expression" dxfId="1378" priority="1873" stopIfTrue="1">
      <formula>LEN(TRIM(B22))=0</formula>
    </cfRule>
  </conditionalFormatting>
  <conditionalFormatting sqref="B22">
    <cfRule type="expression" dxfId="1377" priority="1872" stopIfTrue="1">
      <formula>LEN(TRIM(B22))=0</formula>
    </cfRule>
  </conditionalFormatting>
  <conditionalFormatting sqref="B22">
    <cfRule type="expression" dxfId="1376" priority="1871" stopIfTrue="1">
      <formula>LEN(TRIM(B22))=0</formula>
    </cfRule>
  </conditionalFormatting>
  <conditionalFormatting sqref="B22">
    <cfRule type="expression" dxfId="1375" priority="1870" stopIfTrue="1">
      <formula>LEN(TRIM(B22))=0</formula>
    </cfRule>
  </conditionalFormatting>
  <conditionalFormatting sqref="B22">
    <cfRule type="expression" dxfId="1374" priority="1869" stopIfTrue="1">
      <formula>LEN(TRIM(B22))=0</formula>
    </cfRule>
  </conditionalFormatting>
  <conditionalFormatting sqref="B22">
    <cfRule type="expression" dxfId="1373" priority="1868" stopIfTrue="1">
      <formula>LEN(TRIM(B22))=0</formula>
    </cfRule>
  </conditionalFormatting>
  <conditionalFormatting sqref="B22">
    <cfRule type="expression" dxfId="1372" priority="1867" stopIfTrue="1">
      <formula>LEN(TRIM(B22))=0</formula>
    </cfRule>
  </conditionalFormatting>
  <conditionalFormatting sqref="B22">
    <cfRule type="expression" dxfId="1371" priority="1866" stopIfTrue="1">
      <formula>LEN(TRIM(B22))=0</formula>
    </cfRule>
  </conditionalFormatting>
  <conditionalFormatting sqref="B22">
    <cfRule type="expression" dxfId="1370" priority="1865" stopIfTrue="1">
      <formula>LEN(TRIM(B22))=0</formula>
    </cfRule>
  </conditionalFormatting>
  <conditionalFormatting sqref="B22">
    <cfRule type="expression" dxfId="1369" priority="1864" stopIfTrue="1">
      <formula>LEN(TRIM(B22))=0</formula>
    </cfRule>
  </conditionalFormatting>
  <conditionalFormatting sqref="B22">
    <cfRule type="expression" dxfId="1368" priority="1863" stopIfTrue="1">
      <formula>LEN(TRIM(B22))=0</formula>
    </cfRule>
  </conditionalFormatting>
  <conditionalFormatting sqref="B24">
    <cfRule type="expression" dxfId="1367" priority="1804" stopIfTrue="1">
      <formula>LEN(TRIM(B24))=0</formula>
    </cfRule>
  </conditionalFormatting>
  <conditionalFormatting sqref="B24">
    <cfRule type="expression" dxfId="1366" priority="1803" stopIfTrue="1">
      <formula>LEN(TRIM(B24))=0</formula>
    </cfRule>
  </conditionalFormatting>
  <conditionalFormatting sqref="B24">
    <cfRule type="expression" dxfId="1365" priority="1802" stopIfTrue="1">
      <formula>LEN(TRIM(B24))=0</formula>
    </cfRule>
  </conditionalFormatting>
  <conditionalFormatting sqref="B24">
    <cfRule type="expression" dxfId="1364" priority="1801" stopIfTrue="1">
      <formula>LEN(TRIM(B24))=0</formula>
    </cfRule>
  </conditionalFormatting>
  <conditionalFormatting sqref="B24">
    <cfRule type="expression" dxfId="1363" priority="1800" stopIfTrue="1">
      <formula>LEN(TRIM(B24))=0</formula>
    </cfRule>
  </conditionalFormatting>
  <conditionalFormatting sqref="B24">
    <cfRule type="expression" dxfId="1362" priority="1799" stopIfTrue="1">
      <formula>LEN(TRIM(B24))=0</formula>
    </cfRule>
  </conditionalFormatting>
  <conditionalFormatting sqref="B24">
    <cfRule type="expression" dxfId="1361" priority="1798" stopIfTrue="1">
      <formula>LEN(TRIM(B24))=0</formula>
    </cfRule>
  </conditionalFormatting>
  <conditionalFormatting sqref="B24">
    <cfRule type="expression" dxfId="1360" priority="1797" stopIfTrue="1">
      <formula>LEN(TRIM(B24))=0</formula>
    </cfRule>
  </conditionalFormatting>
  <conditionalFormatting sqref="B24">
    <cfRule type="expression" dxfId="1359" priority="1796" stopIfTrue="1">
      <formula>LEN(TRIM(B24))=0</formula>
    </cfRule>
  </conditionalFormatting>
  <conditionalFormatting sqref="B24">
    <cfRule type="expression" dxfId="1358" priority="1795" stopIfTrue="1">
      <formula>LEN(TRIM(B24))=0</formula>
    </cfRule>
  </conditionalFormatting>
  <conditionalFormatting sqref="B24">
    <cfRule type="expression" dxfId="1357" priority="1794" stopIfTrue="1">
      <formula>LEN(TRIM(B24))=0</formula>
    </cfRule>
  </conditionalFormatting>
  <conditionalFormatting sqref="B24">
    <cfRule type="expression" dxfId="1356" priority="1793" stopIfTrue="1">
      <formula>LEN(TRIM(B24))=0</formula>
    </cfRule>
  </conditionalFormatting>
  <conditionalFormatting sqref="B24">
    <cfRule type="expression" dxfId="1355" priority="1792" stopIfTrue="1">
      <formula>LEN(TRIM(B24))=0</formula>
    </cfRule>
  </conditionalFormatting>
  <conditionalFormatting sqref="B24">
    <cfRule type="expression" dxfId="1354" priority="1791" stopIfTrue="1">
      <formula>LEN(TRIM(B24))=0</formula>
    </cfRule>
  </conditionalFormatting>
  <conditionalFormatting sqref="B24">
    <cfRule type="expression" dxfId="1353" priority="1790" stopIfTrue="1">
      <formula>LEN(TRIM(B24))=0</formula>
    </cfRule>
  </conditionalFormatting>
  <conditionalFormatting sqref="B24">
    <cfRule type="expression" dxfId="1352" priority="1789" stopIfTrue="1">
      <formula>LEN(TRIM(B24))=0</formula>
    </cfRule>
  </conditionalFormatting>
  <conditionalFormatting sqref="B24">
    <cfRule type="expression" dxfId="1351" priority="1788" stopIfTrue="1">
      <formula>LEN(TRIM(B24))=0</formula>
    </cfRule>
  </conditionalFormatting>
  <conditionalFormatting sqref="B24">
    <cfRule type="expression" dxfId="1350" priority="1787" stopIfTrue="1">
      <formula>LEN(TRIM(B24))=0</formula>
    </cfRule>
  </conditionalFormatting>
  <conditionalFormatting sqref="B24">
    <cfRule type="expression" dxfId="1349" priority="1786" stopIfTrue="1">
      <formula>LEN(TRIM(B24))=0</formula>
    </cfRule>
  </conditionalFormatting>
  <conditionalFormatting sqref="B24">
    <cfRule type="expression" dxfId="1348" priority="1785" stopIfTrue="1">
      <formula>LEN(TRIM(B24))=0</formula>
    </cfRule>
  </conditionalFormatting>
  <conditionalFormatting sqref="B24">
    <cfRule type="expression" dxfId="1347" priority="1784" stopIfTrue="1">
      <formula>LEN(TRIM(B24))=0</formula>
    </cfRule>
  </conditionalFormatting>
  <conditionalFormatting sqref="B24">
    <cfRule type="expression" dxfId="1346" priority="1783" stopIfTrue="1">
      <formula>LEN(TRIM(B24))=0</formula>
    </cfRule>
  </conditionalFormatting>
  <conditionalFormatting sqref="B24">
    <cfRule type="expression" dxfId="1345" priority="1782" stopIfTrue="1">
      <formula>LEN(TRIM(B24))=0</formula>
    </cfRule>
  </conditionalFormatting>
  <conditionalFormatting sqref="B24">
    <cfRule type="expression" dxfId="1344" priority="1781" stopIfTrue="1">
      <formula>LEN(TRIM(B24))=0</formula>
    </cfRule>
  </conditionalFormatting>
  <conditionalFormatting sqref="B24">
    <cfRule type="expression" dxfId="1343" priority="1780" stopIfTrue="1">
      <formula>LEN(TRIM(B24))=0</formula>
    </cfRule>
  </conditionalFormatting>
  <conditionalFormatting sqref="B24">
    <cfRule type="expression" dxfId="1342" priority="1779" stopIfTrue="1">
      <formula>LEN(TRIM(B24))=0</formula>
    </cfRule>
  </conditionalFormatting>
  <conditionalFormatting sqref="B24">
    <cfRule type="expression" dxfId="1341" priority="1778" stopIfTrue="1">
      <formula>LEN(TRIM(B24))=0</formula>
    </cfRule>
  </conditionalFormatting>
  <conditionalFormatting sqref="B24">
    <cfRule type="expression" dxfId="1340" priority="1777" stopIfTrue="1">
      <formula>LEN(TRIM(B24))=0</formula>
    </cfRule>
  </conditionalFormatting>
  <conditionalFormatting sqref="B24">
    <cfRule type="expression" dxfId="1339" priority="1776" stopIfTrue="1">
      <formula>LEN(TRIM(B24))=0</formula>
    </cfRule>
  </conditionalFormatting>
  <conditionalFormatting sqref="B24">
    <cfRule type="expression" dxfId="1338" priority="1775" stopIfTrue="1">
      <formula>LEN(TRIM(B24))=0</formula>
    </cfRule>
  </conditionalFormatting>
  <conditionalFormatting sqref="B24">
    <cfRule type="expression" dxfId="1337" priority="1774" stopIfTrue="1">
      <formula>LEN(TRIM(B24))=0</formula>
    </cfRule>
  </conditionalFormatting>
  <conditionalFormatting sqref="B24">
    <cfRule type="expression" dxfId="1336" priority="1773" stopIfTrue="1">
      <formula>LEN(TRIM(B24))=0</formula>
    </cfRule>
  </conditionalFormatting>
  <conditionalFormatting sqref="B24">
    <cfRule type="expression" dxfId="1335" priority="1772" stopIfTrue="1">
      <formula>LEN(TRIM(B24))=0</formula>
    </cfRule>
  </conditionalFormatting>
  <conditionalFormatting sqref="B24">
    <cfRule type="expression" dxfId="1334" priority="1771" stopIfTrue="1">
      <formula>LEN(TRIM(B24))=0</formula>
    </cfRule>
  </conditionalFormatting>
  <conditionalFormatting sqref="B24">
    <cfRule type="expression" dxfId="1333" priority="1770" stopIfTrue="1">
      <formula>LEN(TRIM(B24))=0</formula>
    </cfRule>
  </conditionalFormatting>
  <conditionalFormatting sqref="B24">
    <cfRule type="expression" dxfId="1332" priority="1769" stopIfTrue="1">
      <formula>LEN(TRIM(B24))=0</formula>
    </cfRule>
  </conditionalFormatting>
  <conditionalFormatting sqref="B24">
    <cfRule type="expression" dxfId="1331" priority="1768" stopIfTrue="1">
      <formula>LEN(TRIM(B24))=0</formula>
    </cfRule>
  </conditionalFormatting>
  <conditionalFormatting sqref="B24">
    <cfRule type="expression" dxfId="1330" priority="1767" stopIfTrue="1">
      <formula>LEN(TRIM(B24))=0</formula>
    </cfRule>
  </conditionalFormatting>
  <conditionalFormatting sqref="B24">
    <cfRule type="expression" dxfId="1329" priority="1766" stopIfTrue="1">
      <formula>LEN(TRIM(B24))=0</formula>
    </cfRule>
  </conditionalFormatting>
  <conditionalFormatting sqref="B24">
    <cfRule type="expression" dxfId="1328" priority="1765" stopIfTrue="1">
      <formula>LEN(TRIM(B24))=0</formula>
    </cfRule>
  </conditionalFormatting>
  <conditionalFormatting sqref="B24">
    <cfRule type="expression" dxfId="1327" priority="1764" stopIfTrue="1">
      <formula>LEN(TRIM(B24))=0</formula>
    </cfRule>
  </conditionalFormatting>
  <conditionalFormatting sqref="B24">
    <cfRule type="expression" dxfId="1326" priority="1763" stopIfTrue="1">
      <formula>LEN(TRIM(B24))=0</formula>
    </cfRule>
  </conditionalFormatting>
  <conditionalFormatting sqref="B26">
    <cfRule type="expression" dxfId="1325" priority="1762" stopIfTrue="1">
      <formula>LEN(TRIM(B26))=0</formula>
    </cfRule>
  </conditionalFormatting>
  <conditionalFormatting sqref="B26">
    <cfRule type="expression" dxfId="1324" priority="1761" stopIfTrue="1">
      <formula>LEN(TRIM(B26))=0</formula>
    </cfRule>
  </conditionalFormatting>
  <conditionalFormatting sqref="B26">
    <cfRule type="expression" dxfId="1323" priority="1760" stopIfTrue="1">
      <formula>LEN(TRIM(B26))=0</formula>
    </cfRule>
  </conditionalFormatting>
  <conditionalFormatting sqref="B26">
    <cfRule type="expression" dxfId="1322" priority="1759" stopIfTrue="1">
      <formula>LEN(TRIM(B26))=0</formula>
    </cfRule>
  </conditionalFormatting>
  <conditionalFormatting sqref="B26">
    <cfRule type="expression" dxfId="1321" priority="1758" stopIfTrue="1">
      <formula>LEN(TRIM(B26))=0</formula>
    </cfRule>
  </conditionalFormatting>
  <conditionalFormatting sqref="B26">
    <cfRule type="expression" dxfId="1320" priority="1757" stopIfTrue="1">
      <formula>LEN(TRIM(B26))=0</formula>
    </cfRule>
  </conditionalFormatting>
  <conditionalFormatting sqref="B26">
    <cfRule type="expression" dxfId="1319" priority="1756" stopIfTrue="1">
      <formula>LEN(TRIM(B26))=0</formula>
    </cfRule>
  </conditionalFormatting>
  <conditionalFormatting sqref="B26">
    <cfRule type="expression" dxfId="1318" priority="1755" stopIfTrue="1">
      <formula>LEN(TRIM(B26))=0</formula>
    </cfRule>
  </conditionalFormatting>
  <conditionalFormatting sqref="B26">
    <cfRule type="expression" dxfId="1317" priority="1754" stopIfTrue="1">
      <formula>LEN(TRIM(B26))=0</formula>
    </cfRule>
  </conditionalFormatting>
  <conditionalFormatting sqref="B26">
    <cfRule type="expression" dxfId="1316" priority="1753" stopIfTrue="1">
      <formula>LEN(TRIM(B26))=0</formula>
    </cfRule>
  </conditionalFormatting>
  <conditionalFormatting sqref="B26">
    <cfRule type="expression" dxfId="1315" priority="1752" stopIfTrue="1">
      <formula>LEN(TRIM(B26))=0</formula>
    </cfRule>
  </conditionalFormatting>
  <conditionalFormatting sqref="B26">
    <cfRule type="expression" dxfId="1314" priority="1751" stopIfTrue="1">
      <formula>LEN(TRIM(B26))=0</formula>
    </cfRule>
  </conditionalFormatting>
  <conditionalFormatting sqref="B26">
    <cfRule type="expression" dxfId="1313" priority="1750" stopIfTrue="1">
      <formula>LEN(TRIM(B26))=0</formula>
    </cfRule>
  </conditionalFormatting>
  <conditionalFormatting sqref="B26">
    <cfRule type="expression" dxfId="1312" priority="1749" stopIfTrue="1">
      <formula>LEN(TRIM(B26))=0</formula>
    </cfRule>
  </conditionalFormatting>
  <conditionalFormatting sqref="B26">
    <cfRule type="expression" dxfId="1311" priority="1748" stopIfTrue="1">
      <formula>LEN(TRIM(B26))=0</formula>
    </cfRule>
  </conditionalFormatting>
  <conditionalFormatting sqref="B26">
    <cfRule type="expression" dxfId="1310" priority="1747" stopIfTrue="1">
      <formula>LEN(TRIM(B26))=0</formula>
    </cfRule>
  </conditionalFormatting>
  <conditionalFormatting sqref="B26">
    <cfRule type="expression" dxfId="1309" priority="1746" stopIfTrue="1">
      <formula>LEN(TRIM(B26))=0</formula>
    </cfRule>
  </conditionalFormatting>
  <conditionalFormatting sqref="B26">
    <cfRule type="expression" dxfId="1308" priority="1745" stopIfTrue="1">
      <formula>LEN(TRIM(B26))=0</formula>
    </cfRule>
  </conditionalFormatting>
  <conditionalFormatting sqref="B26">
    <cfRule type="expression" dxfId="1307" priority="1744" stopIfTrue="1">
      <formula>LEN(TRIM(B26))=0</formula>
    </cfRule>
  </conditionalFormatting>
  <conditionalFormatting sqref="B26">
    <cfRule type="expression" dxfId="1306" priority="1743" stopIfTrue="1">
      <formula>LEN(TRIM(B26))=0</formula>
    </cfRule>
  </conditionalFormatting>
  <conditionalFormatting sqref="B26">
    <cfRule type="expression" dxfId="1305" priority="1742" stopIfTrue="1">
      <formula>LEN(TRIM(B26))=0</formula>
    </cfRule>
  </conditionalFormatting>
  <conditionalFormatting sqref="B26">
    <cfRule type="expression" dxfId="1304" priority="1741" stopIfTrue="1">
      <formula>LEN(TRIM(B26))=0</formula>
    </cfRule>
  </conditionalFormatting>
  <conditionalFormatting sqref="B26">
    <cfRule type="expression" dxfId="1303" priority="1740" stopIfTrue="1">
      <formula>LEN(TRIM(B26))=0</formula>
    </cfRule>
  </conditionalFormatting>
  <conditionalFormatting sqref="B26">
    <cfRule type="expression" dxfId="1302" priority="1739" stopIfTrue="1">
      <formula>LEN(TRIM(B26))=0</formula>
    </cfRule>
  </conditionalFormatting>
  <conditionalFormatting sqref="B26">
    <cfRule type="expression" dxfId="1301" priority="1738" stopIfTrue="1">
      <formula>LEN(TRIM(B26))=0</formula>
    </cfRule>
  </conditionalFormatting>
  <conditionalFormatting sqref="B26">
    <cfRule type="expression" dxfId="1300" priority="1737" stopIfTrue="1">
      <formula>LEN(TRIM(B26))=0</formula>
    </cfRule>
  </conditionalFormatting>
  <conditionalFormatting sqref="B26">
    <cfRule type="expression" dxfId="1299" priority="1736" stopIfTrue="1">
      <formula>LEN(TRIM(B26))=0</formula>
    </cfRule>
  </conditionalFormatting>
  <conditionalFormatting sqref="B26">
    <cfRule type="expression" dxfId="1298" priority="1735" stopIfTrue="1">
      <formula>LEN(TRIM(B26))=0</formula>
    </cfRule>
  </conditionalFormatting>
  <conditionalFormatting sqref="B26">
    <cfRule type="expression" dxfId="1297" priority="1734" stopIfTrue="1">
      <formula>LEN(TRIM(B26))=0</formula>
    </cfRule>
  </conditionalFormatting>
  <conditionalFormatting sqref="B26">
    <cfRule type="expression" dxfId="1296" priority="1733" stopIfTrue="1">
      <formula>LEN(TRIM(B26))=0</formula>
    </cfRule>
  </conditionalFormatting>
  <conditionalFormatting sqref="B26">
    <cfRule type="expression" dxfId="1295" priority="1732" stopIfTrue="1">
      <formula>LEN(TRIM(B26))=0</formula>
    </cfRule>
  </conditionalFormatting>
  <conditionalFormatting sqref="B26">
    <cfRule type="expression" dxfId="1294" priority="1731" stopIfTrue="1">
      <formula>LEN(TRIM(B26))=0</formula>
    </cfRule>
  </conditionalFormatting>
  <conditionalFormatting sqref="B26">
    <cfRule type="expression" dxfId="1293" priority="1730" stopIfTrue="1">
      <formula>LEN(TRIM(B26))=0</formula>
    </cfRule>
  </conditionalFormatting>
  <conditionalFormatting sqref="B26">
    <cfRule type="expression" dxfId="1292" priority="1729" stopIfTrue="1">
      <formula>LEN(TRIM(B26))=0</formula>
    </cfRule>
  </conditionalFormatting>
  <conditionalFormatting sqref="B26">
    <cfRule type="expression" dxfId="1291" priority="1728" stopIfTrue="1">
      <formula>LEN(TRIM(B26))=0</formula>
    </cfRule>
  </conditionalFormatting>
  <conditionalFormatting sqref="B26">
    <cfRule type="expression" dxfId="1290" priority="1727" stopIfTrue="1">
      <formula>LEN(TRIM(B26))=0</formula>
    </cfRule>
  </conditionalFormatting>
  <conditionalFormatting sqref="B26">
    <cfRule type="expression" dxfId="1289" priority="1726" stopIfTrue="1">
      <formula>LEN(TRIM(B26))=0</formula>
    </cfRule>
  </conditionalFormatting>
  <conditionalFormatting sqref="B26">
    <cfRule type="expression" dxfId="1288" priority="1725" stopIfTrue="1">
      <formula>LEN(TRIM(B26))=0</formula>
    </cfRule>
  </conditionalFormatting>
  <conditionalFormatting sqref="B26">
    <cfRule type="expression" dxfId="1287" priority="1724" stopIfTrue="1">
      <formula>LEN(TRIM(B26))=0</formula>
    </cfRule>
  </conditionalFormatting>
  <conditionalFormatting sqref="B26">
    <cfRule type="expression" dxfId="1286" priority="1723" stopIfTrue="1">
      <formula>LEN(TRIM(B26))=0</formula>
    </cfRule>
  </conditionalFormatting>
  <conditionalFormatting sqref="B26">
    <cfRule type="expression" dxfId="1285" priority="1722" stopIfTrue="1">
      <formula>LEN(TRIM(B26))=0</formula>
    </cfRule>
  </conditionalFormatting>
  <conditionalFormatting sqref="B26">
    <cfRule type="expression" dxfId="1284" priority="1721" stopIfTrue="1">
      <formula>LEN(TRIM(B26))=0</formula>
    </cfRule>
  </conditionalFormatting>
  <conditionalFormatting sqref="B26">
    <cfRule type="expression" dxfId="1283" priority="1720" stopIfTrue="1">
      <formula>LEN(TRIM(B26))=0</formula>
    </cfRule>
  </conditionalFormatting>
  <conditionalFormatting sqref="B26">
    <cfRule type="expression" dxfId="1282" priority="1719" stopIfTrue="1">
      <formula>LEN(TRIM(B26))=0</formula>
    </cfRule>
  </conditionalFormatting>
  <conditionalFormatting sqref="B26">
    <cfRule type="expression" dxfId="1281" priority="1718" stopIfTrue="1">
      <formula>LEN(TRIM(B26))=0</formula>
    </cfRule>
  </conditionalFormatting>
  <conditionalFormatting sqref="B26">
    <cfRule type="expression" dxfId="1280" priority="1717" stopIfTrue="1">
      <formula>LEN(TRIM(B26))=0</formula>
    </cfRule>
  </conditionalFormatting>
  <conditionalFormatting sqref="B26">
    <cfRule type="expression" dxfId="1279" priority="1716" stopIfTrue="1">
      <formula>LEN(TRIM(B26))=0</formula>
    </cfRule>
  </conditionalFormatting>
  <conditionalFormatting sqref="B26">
    <cfRule type="expression" dxfId="1278" priority="1715" stopIfTrue="1">
      <formula>LEN(TRIM(B26))=0</formula>
    </cfRule>
  </conditionalFormatting>
  <conditionalFormatting sqref="B26">
    <cfRule type="expression" dxfId="1277" priority="1714" stopIfTrue="1">
      <formula>LEN(TRIM(B26))=0</formula>
    </cfRule>
  </conditionalFormatting>
  <conditionalFormatting sqref="B26">
    <cfRule type="expression" dxfId="1276" priority="1713" stopIfTrue="1">
      <formula>LEN(TRIM(B26))=0</formula>
    </cfRule>
  </conditionalFormatting>
  <conditionalFormatting sqref="B26">
    <cfRule type="expression" dxfId="1275" priority="1712" stopIfTrue="1">
      <formula>LEN(TRIM(B26))=0</formula>
    </cfRule>
  </conditionalFormatting>
  <conditionalFormatting sqref="B26">
    <cfRule type="expression" dxfId="1274" priority="1711" stopIfTrue="1">
      <formula>LEN(TRIM(B26))=0</formula>
    </cfRule>
  </conditionalFormatting>
  <conditionalFormatting sqref="B26">
    <cfRule type="expression" dxfId="1273" priority="1710" stopIfTrue="1">
      <formula>LEN(TRIM(B26))=0</formula>
    </cfRule>
  </conditionalFormatting>
  <conditionalFormatting sqref="B26">
    <cfRule type="expression" dxfId="1272" priority="1709" stopIfTrue="1">
      <formula>LEN(TRIM(B26))=0</formula>
    </cfRule>
  </conditionalFormatting>
  <conditionalFormatting sqref="B26">
    <cfRule type="expression" dxfId="1271" priority="1708" stopIfTrue="1">
      <formula>LEN(TRIM(B26))=0</formula>
    </cfRule>
  </conditionalFormatting>
  <conditionalFormatting sqref="B26">
    <cfRule type="expression" dxfId="1270" priority="1707" stopIfTrue="1">
      <formula>LEN(TRIM(B26))=0</formula>
    </cfRule>
  </conditionalFormatting>
  <conditionalFormatting sqref="B26">
    <cfRule type="expression" dxfId="1269" priority="1706" stopIfTrue="1">
      <formula>LEN(TRIM(B26))=0</formula>
    </cfRule>
  </conditionalFormatting>
  <conditionalFormatting sqref="B26">
    <cfRule type="expression" dxfId="1268" priority="1705" stopIfTrue="1">
      <formula>LEN(TRIM(B26))=0</formula>
    </cfRule>
  </conditionalFormatting>
  <conditionalFormatting sqref="B26">
    <cfRule type="expression" dxfId="1267" priority="1704" stopIfTrue="1">
      <formula>LEN(TRIM(B26))=0</formula>
    </cfRule>
  </conditionalFormatting>
  <conditionalFormatting sqref="B26">
    <cfRule type="expression" dxfId="1266" priority="1703" stopIfTrue="1">
      <formula>LEN(TRIM(B26))=0</formula>
    </cfRule>
  </conditionalFormatting>
  <conditionalFormatting sqref="B26">
    <cfRule type="expression" dxfId="1265" priority="1702" stopIfTrue="1">
      <formula>LEN(TRIM(B26))=0</formula>
    </cfRule>
  </conditionalFormatting>
  <conditionalFormatting sqref="B26">
    <cfRule type="expression" dxfId="1264" priority="1701" stopIfTrue="1">
      <formula>LEN(TRIM(B26))=0</formula>
    </cfRule>
  </conditionalFormatting>
  <conditionalFormatting sqref="B26">
    <cfRule type="expression" dxfId="1263" priority="1700" stopIfTrue="1">
      <formula>LEN(TRIM(B26))=0</formula>
    </cfRule>
  </conditionalFormatting>
  <conditionalFormatting sqref="B26">
    <cfRule type="expression" dxfId="1262" priority="1699" stopIfTrue="1">
      <formula>LEN(TRIM(B26))=0</formula>
    </cfRule>
  </conditionalFormatting>
  <conditionalFormatting sqref="B26">
    <cfRule type="expression" dxfId="1261" priority="1698" stopIfTrue="1">
      <formula>LEN(TRIM(B26))=0</formula>
    </cfRule>
  </conditionalFormatting>
  <conditionalFormatting sqref="B26">
    <cfRule type="expression" dxfId="1260" priority="1697" stopIfTrue="1">
      <formula>LEN(TRIM(B26))=0</formula>
    </cfRule>
  </conditionalFormatting>
  <conditionalFormatting sqref="B26">
    <cfRule type="expression" dxfId="1259" priority="1696" stopIfTrue="1">
      <formula>LEN(TRIM(B26))=0</formula>
    </cfRule>
  </conditionalFormatting>
  <conditionalFormatting sqref="B26">
    <cfRule type="expression" dxfId="1258" priority="1695" stopIfTrue="1">
      <formula>LEN(TRIM(B26))=0</formula>
    </cfRule>
  </conditionalFormatting>
  <conditionalFormatting sqref="B26">
    <cfRule type="expression" dxfId="1257" priority="1694" stopIfTrue="1">
      <formula>LEN(TRIM(B26))=0</formula>
    </cfRule>
  </conditionalFormatting>
  <conditionalFormatting sqref="B26">
    <cfRule type="expression" dxfId="1256" priority="1693" stopIfTrue="1">
      <formula>LEN(TRIM(B26))=0</formula>
    </cfRule>
  </conditionalFormatting>
  <conditionalFormatting sqref="B26">
    <cfRule type="expression" dxfId="1255" priority="1692" stopIfTrue="1">
      <formula>LEN(TRIM(B26))=0</formula>
    </cfRule>
  </conditionalFormatting>
  <conditionalFormatting sqref="B26">
    <cfRule type="expression" dxfId="1254" priority="1691" stopIfTrue="1">
      <formula>LEN(TRIM(B26))=0</formula>
    </cfRule>
  </conditionalFormatting>
  <conditionalFormatting sqref="B26">
    <cfRule type="expression" dxfId="1253" priority="1690" stopIfTrue="1">
      <formula>LEN(TRIM(B26))=0</formula>
    </cfRule>
  </conditionalFormatting>
  <conditionalFormatting sqref="B26">
    <cfRule type="expression" dxfId="1252" priority="1689" stopIfTrue="1">
      <formula>LEN(TRIM(B26))=0</formula>
    </cfRule>
  </conditionalFormatting>
  <conditionalFormatting sqref="B26">
    <cfRule type="expression" dxfId="1251" priority="1688" stopIfTrue="1">
      <formula>LEN(TRIM(B26))=0</formula>
    </cfRule>
  </conditionalFormatting>
  <conditionalFormatting sqref="B26">
    <cfRule type="expression" dxfId="1250" priority="1687" stopIfTrue="1">
      <formula>LEN(TRIM(B26))=0</formula>
    </cfRule>
  </conditionalFormatting>
  <conditionalFormatting sqref="B26">
    <cfRule type="expression" dxfId="1249" priority="1686" stopIfTrue="1">
      <formula>LEN(TRIM(B26))=0</formula>
    </cfRule>
  </conditionalFormatting>
  <conditionalFormatting sqref="B26">
    <cfRule type="expression" dxfId="1248" priority="1685" stopIfTrue="1">
      <formula>LEN(TRIM(B26))=0</formula>
    </cfRule>
  </conditionalFormatting>
  <conditionalFormatting sqref="B26">
    <cfRule type="expression" dxfId="1247" priority="1684" stopIfTrue="1">
      <formula>LEN(TRIM(B26))=0</formula>
    </cfRule>
  </conditionalFormatting>
  <conditionalFormatting sqref="B26">
    <cfRule type="expression" dxfId="1246" priority="1683" stopIfTrue="1">
      <formula>LEN(TRIM(B26))=0</formula>
    </cfRule>
  </conditionalFormatting>
  <conditionalFormatting sqref="B31">
    <cfRule type="expression" dxfId="1245" priority="1682" stopIfTrue="1">
      <formula>LEN(TRIM(B31))=0</formula>
    </cfRule>
  </conditionalFormatting>
  <conditionalFormatting sqref="B31">
    <cfRule type="expression" dxfId="1244" priority="1681" stopIfTrue="1">
      <formula>LEN(TRIM(B31))=0</formula>
    </cfRule>
  </conditionalFormatting>
  <conditionalFormatting sqref="B31">
    <cfRule type="expression" dxfId="1243" priority="1680" stopIfTrue="1">
      <formula>LEN(TRIM(B31))=0</formula>
    </cfRule>
  </conditionalFormatting>
  <conditionalFormatting sqref="B31">
    <cfRule type="expression" dxfId="1242" priority="1679" stopIfTrue="1">
      <formula>LEN(TRIM(B31))=0</formula>
    </cfRule>
  </conditionalFormatting>
  <conditionalFormatting sqref="B31">
    <cfRule type="expression" dxfId="1241" priority="1678" stopIfTrue="1">
      <formula>LEN(TRIM(B31))=0</formula>
    </cfRule>
  </conditionalFormatting>
  <conditionalFormatting sqref="B31">
    <cfRule type="expression" dxfId="1240" priority="1677" stopIfTrue="1">
      <formula>LEN(TRIM(B31))=0</formula>
    </cfRule>
  </conditionalFormatting>
  <conditionalFormatting sqref="B31">
    <cfRule type="expression" dxfId="1239" priority="1676" stopIfTrue="1">
      <formula>LEN(TRIM(B31))=0</formula>
    </cfRule>
  </conditionalFormatting>
  <conditionalFormatting sqref="B31">
    <cfRule type="expression" dxfId="1238" priority="1675" stopIfTrue="1">
      <formula>LEN(TRIM(B31))=0</formula>
    </cfRule>
  </conditionalFormatting>
  <conditionalFormatting sqref="B31">
    <cfRule type="expression" dxfId="1237" priority="1674" stopIfTrue="1">
      <formula>LEN(TRIM(B31))=0</formula>
    </cfRule>
  </conditionalFormatting>
  <conditionalFormatting sqref="B31">
    <cfRule type="expression" dxfId="1236" priority="1673" stopIfTrue="1">
      <formula>LEN(TRIM(B31))=0</formula>
    </cfRule>
  </conditionalFormatting>
  <conditionalFormatting sqref="B31">
    <cfRule type="expression" dxfId="1235" priority="1672" stopIfTrue="1">
      <formula>LEN(TRIM(B31))=0</formula>
    </cfRule>
  </conditionalFormatting>
  <conditionalFormatting sqref="B31">
    <cfRule type="expression" dxfId="1234" priority="1671" stopIfTrue="1">
      <formula>LEN(TRIM(B31))=0</formula>
    </cfRule>
  </conditionalFormatting>
  <conditionalFormatting sqref="B31">
    <cfRule type="expression" dxfId="1233" priority="1670" stopIfTrue="1">
      <formula>LEN(TRIM(B31))=0</formula>
    </cfRule>
  </conditionalFormatting>
  <conditionalFormatting sqref="B31">
    <cfRule type="expression" dxfId="1232" priority="1669" stopIfTrue="1">
      <formula>LEN(TRIM(B31))=0</formula>
    </cfRule>
  </conditionalFormatting>
  <conditionalFormatting sqref="B31">
    <cfRule type="expression" dxfId="1231" priority="1668" stopIfTrue="1">
      <formula>LEN(TRIM(B31))=0</formula>
    </cfRule>
  </conditionalFormatting>
  <conditionalFormatting sqref="B31">
    <cfRule type="expression" dxfId="1230" priority="1667" stopIfTrue="1">
      <formula>LEN(TRIM(B31))=0</formula>
    </cfRule>
  </conditionalFormatting>
  <conditionalFormatting sqref="B31">
    <cfRule type="expression" dxfId="1229" priority="1666" stopIfTrue="1">
      <formula>LEN(TRIM(B31))=0</formula>
    </cfRule>
  </conditionalFormatting>
  <conditionalFormatting sqref="B31">
    <cfRule type="expression" dxfId="1228" priority="1665" stopIfTrue="1">
      <formula>LEN(TRIM(B31))=0</formula>
    </cfRule>
  </conditionalFormatting>
  <conditionalFormatting sqref="B31">
    <cfRule type="expression" dxfId="1227" priority="1664" stopIfTrue="1">
      <formula>LEN(TRIM(B31))=0</formula>
    </cfRule>
  </conditionalFormatting>
  <conditionalFormatting sqref="B31">
    <cfRule type="expression" dxfId="1226" priority="1663" stopIfTrue="1">
      <formula>LEN(TRIM(B31))=0</formula>
    </cfRule>
  </conditionalFormatting>
  <conditionalFormatting sqref="B31">
    <cfRule type="expression" dxfId="1225" priority="1622" stopIfTrue="1">
      <formula>LEN(TRIM(B31))=0</formula>
    </cfRule>
  </conditionalFormatting>
  <conditionalFormatting sqref="B31">
    <cfRule type="expression" dxfId="1224" priority="1621" stopIfTrue="1">
      <formula>LEN(TRIM(B31))=0</formula>
    </cfRule>
  </conditionalFormatting>
  <conditionalFormatting sqref="B31">
    <cfRule type="expression" dxfId="1223" priority="1620" stopIfTrue="1">
      <formula>LEN(TRIM(B31))=0</formula>
    </cfRule>
  </conditionalFormatting>
  <conditionalFormatting sqref="B31">
    <cfRule type="expression" dxfId="1222" priority="1619" stopIfTrue="1">
      <formula>LEN(TRIM(B31))=0</formula>
    </cfRule>
  </conditionalFormatting>
  <conditionalFormatting sqref="B31">
    <cfRule type="expression" dxfId="1221" priority="1618" stopIfTrue="1">
      <formula>LEN(TRIM(B31))=0</formula>
    </cfRule>
  </conditionalFormatting>
  <conditionalFormatting sqref="B31">
    <cfRule type="expression" dxfId="1220" priority="1617" stopIfTrue="1">
      <formula>LEN(TRIM(B31))=0</formula>
    </cfRule>
  </conditionalFormatting>
  <conditionalFormatting sqref="B31">
    <cfRule type="expression" dxfId="1219" priority="1616" stopIfTrue="1">
      <formula>LEN(TRIM(B31))=0</formula>
    </cfRule>
  </conditionalFormatting>
  <conditionalFormatting sqref="B31">
    <cfRule type="expression" dxfId="1218" priority="1615" stopIfTrue="1">
      <formula>LEN(TRIM(B31))=0</formula>
    </cfRule>
  </conditionalFormatting>
  <conditionalFormatting sqref="B31">
    <cfRule type="expression" dxfId="1217" priority="1614" stopIfTrue="1">
      <formula>LEN(TRIM(B31))=0</formula>
    </cfRule>
  </conditionalFormatting>
  <conditionalFormatting sqref="B31">
    <cfRule type="expression" dxfId="1216" priority="1613" stopIfTrue="1">
      <formula>LEN(TRIM(B31))=0</formula>
    </cfRule>
  </conditionalFormatting>
  <conditionalFormatting sqref="B31">
    <cfRule type="expression" dxfId="1215" priority="1612" stopIfTrue="1">
      <formula>LEN(TRIM(B31))=0</formula>
    </cfRule>
  </conditionalFormatting>
  <conditionalFormatting sqref="B31">
    <cfRule type="expression" dxfId="1214" priority="1611" stopIfTrue="1">
      <formula>LEN(TRIM(B31))=0</formula>
    </cfRule>
  </conditionalFormatting>
  <conditionalFormatting sqref="B31">
    <cfRule type="expression" dxfId="1213" priority="1610" stopIfTrue="1">
      <formula>LEN(TRIM(B31))=0</formula>
    </cfRule>
  </conditionalFormatting>
  <conditionalFormatting sqref="B31">
    <cfRule type="expression" dxfId="1212" priority="1609" stopIfTrue="1">
      <formula>LEN(TRIM(B31))=0</formula>
    </cfRule>
  </conditionalFormatting>
  <conditionalFormatting sqref="B31">
    <cfRule type="expression" dxfId="1211" priority="1608" stopIfTrue="1">
      <formula>LEN(TRIM(B31))=0</formula>
    </cfRule>
  </conditionalFormatting>
  <conditionalFormatting sqref="B31">
    <cfRule type="expression" dxfId="1210" priority="1607" stopIfTrue="1">
      <formula>LEN(TRIM(B31))=0</formula>
    </cfRule>
  </conditionalFormatting>
  <conditionalFormatting sqref="B31">
    <cfRule type="expression" dxfId="1209" priority="1606" stopIfTrue="1">
      <formula>LEN(TRIM(B31))=0</formula>
    </cfRule>
  </conditionalFormatting>
  <conditionalFormatting sqref="B31">
    <cfRule type="expression" dxfId="1208" priority="1605" stopIfTrue="1">
      <formula>LEN(TRIM(B31))=0</formula>
    </cfRule>
  </conditionalFormatting>
  <conditionalFormatting sqref="B33">
    <cfRule type="expression" dxfId="1207" priority="1584" stopIfTrue="1">
      <formula>LEN(TRIM(B33))=0</formula>
    </cfRule>
  </conditionalFormatting>
  <conditionalFormatting sqref="B33">
    <cfRule type="expression" dxfId="1206" priority="1583" stopIfTrue="1">
      <formula>LEN(TRIM(B33))=0</formula>
    </cfRule>
  </conditionalFormatting>
  <conditionalFormatting sqref="B33">
    <cfRule type="expression" dxfId="1205" priority="1582" stopIfTrue="1">
      <formula>LEN(TRIM(B33))=0</formula>
    </cfRule>
  </conditionalFormatting>
  <conditionalFormatting sqref="B33">
    <cfRule type="expression" dxfId="1204" priority="1581" stopIfTrue="1">
      <formula>LEN(TRIM(B33))=0</formula>
    </cfRule>
  </conditionalFormatting>
  <conditionalFormatting sqref="B33">
    <cfRule type="expression" dxfId="1203" priority="1580" stopIfTrue="1">
      <formula>LEN(TRIM(B33))=0</formula>
    </cfRule>
  </conditionalFormatting>
  <conditionalFormatting sqref="B33">
    <cfRule type="expression" dxfId="1202" priority="1579" stopIfTrue="1">
      <formula>LEN(TRIM(B33))=0</formula>
    </cfRule>
  </conditionalFormatting>
  <conditionalFormatting sqref="B33">
    <cfRule type="expression" dxfId="1201" priority="1578" stopIfTrue="1">
      <formula>LEN(TRIM(B33))=0</formula>
    </cfRule>
  </conditionalFormatting>
  <conditionalFormatting sqref="B33">
    <cfRule type="expression" dxfId="1200" priority="1577" stopIfTrue="1">
      <formula>LEN(TRIM(B33))=0</formula>
    </cfRule>
  </conditionalFormatting>
  <conditionalFormatting sqref="B33">
    <cfRule type="expression" dxfId="1199" priority="1576" stopIfTrue="1">
      <formula>LEN(TRIM(B33))=0</formula>
    </cfRule>
  </conditionalFormatting>
  <conditionalFormatting sqref="B33">
    <cfRule type="expression" dxfId="1198" priority="1575" stopIfTrue="1">
      <formula>LEN(TRIM(B33))=0</formula>
    </cfRule>
  </conditionalFormatting>
  <conditionalFormatting sqref="B33">
    <cfRule type="expression" dxfId="1197" priority="1574" stopIfTrue="1">
      <formula>LEN(TRIM(B33))=0</formula>
    </cfRule>
  </conditionalFormatting>
  <conditionalFormatting sqref="B33">
    <cfRule type="expression" dxfId="1196" priority="1573" stopIfTrue="1">
      <formula>LEN(TRIM(B33))=0</formula>
    </cfRule>
  </conditionalFormatting>
  <conditionalFormatting sqref="B33">
    <cfRule type="expression" dxfId="1195" priority="1572" stopIfTrue="1">
      <formula>LEN(TRIM(B33))=0</formula>
    </cfRule>
  </conditionalFormatting>
  <conditionalFormatting sqref="B33">
    <cfRule type="expression" dxfId="1194" priority="1571" stopIfTrue="1">
      <formula>LEN(TRIM(B33))=0</formula>
    </cfRule>
  </conditionalFormatting>
  <conditionalFormatting sqref="B33">
    <cfRule type="expression" dxfId="1193" priority="1570" stopIfTrue="1">
      <formula>LEN(TRIM(B33))=0</formula>
    </cfRule>
  </conditionalFormatting>
  <conditionalFormatting sqref="B33">
    <cfRule type="expression" dxfId="1192" priority="1569" stopIfTrue="1">
      <formula>LEN(TRIM(B33))=0</formula>
    </cfRule>
  </conditionalFormatting>
  <conditionalFormatting sqref="B33">
    <cfRule type="expression" dxfId="1191" priority="1568" stopIfTrue="1">
      <formula>LEN(TRIM(B33))=0</formula>
    </cfRule>
  </conditionalFormatting>
  <conditionalFormatting sqref="B33">
    <cfRule type="expression" dxfId="1190" priority="1567" stopIfTrue="1">
      <formula>LEN(TRIM(B33))=0</formula>
    </cfRule>
  </conditionalFormatting>
  <conditionalFormatting sqref="B33">
    <cfRule type="expression" dxfId="1189" priority="1566" stopIfTrue="1">
      <formula>LEN(TRIM(B33))=0</formula>
    </cfRule>
  </conditionalFormatting>
  <conditionalFormatting sqref="B33">
    <cfRule type="expression" dxfId="1188" priority="1565" stopIfTrue="1">
      <formula>LEN(TRIM(B33))=0</formula>
    </cfRule>
  </conditionalFormatting>
  <conditionalFormatting sqref="B33">
    <cfRule type="expression" dxfId="1187" priority="1563" stopIfTrue="1">
      <formula>LEN(TRIM(B33))=0</formula>
    </cfRule>
  </conditionalFormatting>
  <conditionalFormatting sqref="B33">
    <cfRule type="expression" dxfId="1186" priority="1561" stopIfTrue="1">
      <formula>LEN(TRIM(B33))=0</formula>
    </cfRule>
  </conditionalFormatting>
  <conditionalFormatting sqref="B33">
    <cfRule type="expression" dxfId="1185" priority="1559" stopIfTrue="1">
      <formula>LEN(TRIM(B33))=0</formula>
    </cfRule>
  </conditionalFormatting>
  <conditionalFormatting sqref="B33">
    <cfRule type="expression" dxfId="1184" priority="1557" stopIfTrue="1">
      <formula>LEN(TRIM(B33))=0</formula>
    </cfRule>
  </conditionalFormatting>
  <conditionalFormatting sqref="B33">
    <cfRule type="expression" dxfId="1183" priority="1555" stopIfTrue="1">
      <formula>LEN(TRIM(B33))=0</formula>
    </cfRule>
  </conditionalFormatting>
  <conditionalFormatting sqref="B33">
    <cfRule type="expression" dxfId="1182" priority="1553" stopIfTrue="1">
      <formula>LEN(TRIM(B33))=0</formula>
    </cfRule>
  </conditionalFormatting>
  <conditionalFormatting sqref="B33">
    <cfRule type="expression" dxfId="1181" priority="1551" stopIfTrue="1">
      <formula>LEN(TRIM(B33))=0</formula>
    </cfRule>
  </conditionalFormatting>
  <conditionalFormatting sqref="B33">
    <cfRule type="expression" dxfId="1180" priority="1549" stopIfTrue="1">
      <formula>LEN(TRIM(B33))=0</formula>
    </cfRule>
  </conditionalFormatting>
  <conditionalFormatting sqref="B33">
    <cfRule type="expression" dxfId="1179" priority="1547" stopIfTrue="1">
      <formula>LEN(TRIM(B33))=0</formula>
    </cfRule>
  </conditionalFormatting>
  <conditionalFormatting sqref="B33">
    <cfRule type="expression" dxfId="1178" priority="1545" stopIfTrue="1">
      <formula>LEN(TRIM(B33))=0</formula>
    </cfRule>
  </conditionalFormatting>
  <conditionalFormatting sqref="B33">
    <cfRule type="expression" dxfId="1177" priority="1543" stopIfTrue="1">
      <formula>LEN(TRIM(B33))=0</formula>
    </cfRule>
  </conditionalFormatting>
  <conditionalFormatting sqref="B33">
    <cfRule type="expression" dxfId="1176" priority="1541" stopIfTrue="1">
      <formula>LEN(TRIM(B33))=0</formula>
    </cfRule>
  </conditionalFormatting>
  <conditionalFormatting sqref="B33">
    <cfRule type="expression" dxfId="1175" priority="1539" stopIfTrue="1">
      <formula>LEN(TRIM(B33))=0</formula>
    </cfRule>
  </conditionalFormatting>
  <conditionalFormatting sqref="B33">
    <cfRule type="expression" dxfId="1174" priority="1537" stopIfTrue="1">
      <formula>LEN(TRIM(B33))=0</formula>
    </cfRule>
  </conditionalFormatting>
  <conditionalFormatting sqref="B33">
    <cfRule type="expression" dxfId="1173" priority="1535" stopIfTrue="1">
      <formula>LEN(TRIM(B33))=0</formula>
    </cfRule>
  </conditionalFormatting>
  <conditionalFormatting sqref="B33">
    <cfRule type="expression" dxfId="1172" priority="1533" stopIfTrue="1">
      <formula>LEN(TRIM(B33))=0</formula>
    </cfRule>
  </conditionalFormatting>
  <conditionalFormatting sqref="B33">
    <cfRule type="expression" dxfId="1171" priority="1531" stopIfTrue="1">
      <formula>LEN(TRIM(B33))=0</formula>
    </cfRule>
  </conditionalFormatting>
  <conditionalFormatting sqref="B33">
    <cfRule type="expression" dxfId="1170" priority="1529" stopIfTrue="1">
      <formula>LEN(TRIM(B33))=0</formula>
    </cfRule>
  </conditionalFormatting>
  <conditionalFormatting sqref="B33">
    <cfRule type="expression" dxfId="1169" priority="1527" stopIfTrue="1">
      <formula>LEN(TRIM(B33))=0</formula>
    </cfRule>
  </conditionalFormatting>
  <conditionalFormatting sqref="B33">
    <cfRule type="expression" dxfId="1168" priority="1525" stopIfTrue="1">
      <formula>LEN(TRIM(B33))=0</formula>
    </cfRule>
  </conditionalFormatting>
  <conditionalFormatting sqref="B33">
    <cfRule type="expression" dxfId="1167" priority="1524" stopIfTrue="1">
      <formula>LEN(TRIM(B33))=0</formula>
    </cfRule>
  </conditionalFormatting>
  <conditionalFormatting sqref="B33">
    <cfRule type="expression" dxfId="1166" priority="1523" stopIfTrue="1">
      <formula>LEN(TRIM(B33))=0</formula>
    </cfRule>
  </conditionalFormatting>
  <conditionalFormatting sqref="B35">
    <cfRule type="expression" dxfId="1165" priority="1522" stopIfTrue="1">
      <formula>LEN(TRIM(B35))=0</formula>
    </cfRule>
  </conditionalFormatting>
  <conditionalFormatting sqref="B35">
    <cfRule type="expression" dxfId="1164" priority="1521" stopIfTrue="1">
      <formula>LEN(TRIM(B35))=0</formula>
    </cfRule>
  </conditionalFormatting>
  <conditionalFormatting sqref="B35">
    <cfRule type="expression" dxfId="1163" priority="1520" stopIfTrue="1">
      <formula>LEN(TRIM(B35))=0</formula>
    </cfRule>
  </conditionalFormatting>
  <conditionalFormatting sqref="B35">
    <cfRule type="expression" dxfId="1162" priority="1519" stopIfTrue="1">
      <formula>LEN(TRIM(B35))=0</formula>
    </cfRule>
  </conditionalFormatting>
  <conditionalFormatting sqref="B35">
    <cfRule type="expression" dxfId="1161" priority="1518" stopIfTrue="1">
      <formula>LEN(TRIM(B35))=0</formula>
    </cfRule>
  </conditionalFormatting>
  <conditionalFormatting sqref="B35">
    <cfRule type="expression" dxfId="1160" priority="1517" stopIfTrue="1">
      <formula>LEN(TRIM(B35))=0</formula>
    </cfRule>
  </conditionalFormatting>
  <conditionalFormatting sqref="B35">
    <cfRule type="expression" dxfId="1159" priority="1516" stopIfTrue="1">
      <formula>LEN(TRIM(B35))=0</formula>
    </cfRule>
  </conditionalFormatting>
  <conditionalFormatting sqref="B35">
    <cfRule type="expression" dxfId="1158" priority="1515" stopIfTrue="1">
      <formula>LEN(TRIM(B35))=0</formula>
    </cfRule>
  </conditionalFormatting>
  <conditionalFormatting sqref="B35">
    <cfRule type="expression" dxfId="1157" priority="1514" stopIfTrue="1">
      <formula>LEN(TRIM(B35))=0</formula>
    </cfRule>
  </conditionalFormatting>
  <conditionalFormatting sqref="B35">
    <cfRule type="expression" dxfId="1156" priority="1513" stopIfTrue="1">
      <formula>LEN(TRIM(B35))=0</formula>
    </cfRule>
  </conditionalFormatting>
  <conditionalFormatting sqref="B35">
    <cfRule type="expression" dxfId="1155" priority="1512" stopIfTrue="1">
      <formula>LEN(TRIM(B35))=0</formula>
    </cfRule>
  </conditionalFormatting>
  <conditionalFormatting sqref="B35">
    <cfRule type="expression" dxfId="1154" priority="1511" stopIfTrue="1">
      <formula>LEN(TRIM(B35))=0</formula>
    </cfRule>
  </conditionalFormatting>
  <conditionalFormatting sqref="B35">
    <cfRule type="expression" dxfId="1153" priority="1510" stopIfTrue="1">
      <formula>LEN(TRIM(B35))=0</formula>
    </cfRule>
  </conditionalFormatting>
  <conditionalFormatting sqref="B35">
    <cfRule type="expression" dxfId="1152" priority="1509" stopIfTrue="1">
      <formula>LEN(TRIM(B35))=0</formula>
    </cfRule>
  </conditionalFormatting>
  <conditionalFormatting sqref="B35">
    <cfRule type="expression" dxfId="1151" priority="1508" stopIfTrue="1">
      <formula>LEN(TRIM(B35))=0</formula>
    </cfRule>
  </conditionalFormatting>
  <conditionalFormatting sqref="B35">
    <cfRule type="expression" dxfId="1150" priority="1507" stopIfTrue="1">
      <formula>LEN(TRIM(B35))=0</formula>
    </cfRule>
  </conditionalFormatting>
  <conditionalFormatting sqref="B35">
    <cfRule type="expression" dxfId="1149" priority="1506" stopIfTrue="1">
      <formula>LEN(TRIM(B35))=0</formula>
    </cfRule>
  </conditionalFormatting>
  <conditionalFormatting sqref="B35">
    <cfRule type="expression" dxfId="1148" priority="1505" stopIfTrue="1">
      <formula>LEN(TRIM(B35))=0</formula>
    </cfRule>
  </conditionalFormatting>
  <conditionalFormatting sqref="B35">
    <cfRule type="expression" dxfId="1147" priority="1504" stopIfTrue="1">
      <formula>LEN(TRIM(B35))=0</formula>
    </cfRule>
  </conditionalFormatting>
  <conditionalFormatting sqref="B35">
    <cfRule type="expression" dxfId="1146" priority="1503" stopIfTrue="1">
      <formula>LEN(TRIM(B35))=0</formula>
    </cfRule>
  </conditionalFormatting>
  <conditionalFormatting sqref="B35">
    <cfRule type="expression" dxfId="1145" priority="1502" stopIfTrue="1">
      <formula>LEN(TRIM(B35))=0</formula>
    </cfRule>
  </conditionalFormatting>
  <conditionalFormatting sqref="B35">
    <cfRule type="expression" dxfId="1144" priority="1501" stopIfTrue="1">
      <formula>LEN(TRIM(B35))=0</formula>
    </cfRule>
  </conditionalFormatting>
  <conditionalFormatting sqref="B35">
    <cfRule type="expression" dxfId="1143" priority="1500" stopIfTrue="1">
      <formula>LEN(TRIM(B35))=0</formula>
    </cfRule>
  </conditionalFormatting>
  <conditionalFormatting sqref="B35">
    <cfRule type="expression" dxfId="1142" priority="1499" stopIfTrue="1">
      <formula>LEN(TRIM(B35))=0</formula>
    </cfRule>
  </conditionalFormatting>
  <conditionalFormatting sqref="B35">
    <cfRule type="expression" dxfId="1141" priority="1498" stopIfTrue="1">
      <formula>LEN(TRIM(B35))=0</formula>
    </cfRule>
  </conditionalFormatting>
  <conditionalFormatting sqref="B35">
    <cfRule type="expression" dxfId="1140" priority="1497" stopIfTrue="1">
      <formula>LEN(TRIM(B35))=0</formula>
    </cfRule>
  </conditionalFormatting>
  <conditionalFormatting sqref="B35">
    <cfRule type="expression" dxfId="1139" priority="1496" stopIfTrue="1">
      <formula>LEN(TRIM(B35))=0</formula>
    </cfRule>
  </conditionalFormatting>
  <conditionalFormatting sqref="B35">
    <cfRule type="expression" dxfId="1138" priority="1495" stopIfTrue="1">
      <formula>LEN(TRIM(B35))=0</formula>
    </cfRule>
  </conditionalFormatting>
  <conditionalFormatting sqref="B35">
    <cfRule type="expression" dxfId="1137" priority="1494" stopIfTrue="1">
      <formula>LEN(TRIM(B35))=0</formula>
    </cfRule>
  </conditionalFormatting>
  <conditionalFormatting sqref="B35">
    <cfRule type="expression" dxfId="1136" priority="1493" stopIfTrue="1">
      <formula>LEN(TRIM(B35))=0</formula>
    </cfRule>
  </conditionalFormatting>
  <conditionalFormatting sqref="B35">
    <cfRule type="expression" dxfId="1135" priority="1492" stopIfTrue="1">
      <formula>LEN(TRIM(B35))=0</formula>
    </cfRule>
  </conditionalFormatting>
  <conditionalFormatting sqref="B35">
    <cfRule type="expression" dxfId="1134" priority="1491" stopIfTrue="1">
      <formula>LEN(TRIM(B35))=0</formula>
    </cfRule>
  </conditionalFormatting>
  <conditionalFormatting sqref="B35">
    <cfRule type="expression" dxfId="1133" priority="1490" stopIfTrue="1">
      <formula>LEN(TRIM(B35))=0</formula>
    </cfRule>
  </conditionalFormatting>
  <conditionalFormatting sqref="B35">
    <cfRule type="expression" dxfId="1132" priority="1489" stopIfTrue="1">
      <formula>LEN(TRIM(B35))=0</formula>
    </cfRule>
  </conditionalFormatting>
  <conditionalFormatting sqref="B35">
    <cfRule type="expression" dxfId="1131" priority="1488" stopIfTrue="1">
      <formula>LEN(TRIM(B35))=0</formula>
    </cfRule>
  </conditionalFormatting>
  <conditionalFormatting sqref="B35">
    <cfRule type="expression" dxfId="1130" priority="1487" stopIfTrue="1">
      <formula>LEN(TRIM(B35))=0</formula>
    </cfRule>
  </conditionalFormatting>
  <conditionalFormatting sqref="B35">
    <cfRule type="expression" dxfId="1129" priority="1486" stopIfTrue="1">
      <formula>LEN(TRIM(B35))=0</formula>
    </cfRule>
  </conditionalFormatting>
  <conditionalFormatting sqref="B35">
    <cfRule type="expression" dxfId="1128" priority="1485" stopIfTrue="1">
      <formula>LEN(TRIM(B35))=0</formula>
    </cfRule>
  </conditionalFormatting>
  <conditionalFormatting sqref="B35">
    <cfRule type="expression" dxfId="1127" priority="1484" stopIfTrue="1">
      <formula>LEN(TRIM(B35))=0</formula>
    </cfRule>
  </conditionalFormatting>
  <conditionalFormatting sqref="B35">
    <cfRule type="expression" dxfId="1126" priority="1483" stopIfTrue="1">
      <formula>LEN(TRIM(B35))=0</formula>
    </cfRule>
  </conditionalFormatting>
  <conditionalFormatting sqref="B35">
    <cfRule type="expression" dxfId="1125" priority="1482" stopIfTrue="1">
      <formula>LEN(TRIM(B35))=0</formula>
    </cfRule>
  </conditionalFormatting>
  <conditionalFormatting sqref="B35">
    <cfRule type="expression" dxfId="1124" priority="1481" stopIfTrue="1">
      <formula>LEN(TRIM(B35))=0</formula>
    </cfRule>
  </conditionalFormatting>
  <conditionalFormatting sqref="B35">
    <cfRule type="expression" dxfId="1123" priority="1480" stopIfTrue="1">
      <formula>LEN(TRIM(B35))=0</formula>
    </cfRule>
  </conditionalFormatting>
  <conditionalFormatting sqref="B35">
    <cfRule type="expression" dxfId="1122" priority="1479" stopIfTrue="1">
      <formula>LEN(TRIM(B35))=0</formula>
    </cfRule>
  </conditionalFormatting>
  <conditionalFormatting sqref="B35">
    <cfRule type="expression" dxfId="1121" priority="1478" stopIfTrue="1">
      <formula>LEN(TRIM(B35))=0</formula>
    </cfRule>
  </conditionalFormatting>
  <conditionalFormatting sqref="B35">
    <cfRule type="expression" dxfId="1120" priority="1477" stopIfTrue="1">
      <formula>LEN(TRIM(B35))=0</formula>
    </cfRule>
  </conditionalFormatting>
  <conditionalFormatting sqref="B35">
    <cfRule type="expression" dxfId="1119" priority="1476" stopIfTrue="1">
      <formula>LEN(TRIM(B35))=0</formula>
    </cfRule>
  </conditionalFormatting>
  <conditionalFormatting sqref="B35">
    <cfRule type="expression" dxfId="1118" priority="1475" stopIfTrue="1">
      <formula>LEN(TRIM(B35))=0</formula>
    </cfRule>
  </conditionalFormatting>
  <conditionalFormatting sqref="B35">
    <cfRule type="expression" dxfId="1117" priority="1474" stopIfTrue="1">
      <formula>LEN(TRIM(B35))=0</formula>
    </cfRule>
  </conditionalFormatting>
  <conditionalFormatting sqref="B35">
    <cfRule type="expression" dxfId="1116" priority="1473" stopIfTrue="1">
      <formula>LEN(TRIM(B35))=0</formula>
    </cfRule>
  </conditionalFormatting>
  <conditionalFormatting sqref="B35">
    <cfRule type="expression" dxfId="1115" priority="1472" stopIfTrue="1">
      <formula>LEN(TRIM(B35))=0</formula>
    </cfRule>
  </conditionalFormatting>
  <conditionalFormatting sqref="B35">
    <cfRule type="expression" dxfId="1114" priority="1471" stopIfTrue="1">
      <formula>LEN(TRIM(B35))=0</formula>
    </cfRule>
  </conditionalFormatting>
  <conditionalFormatting sqref="B35">
    <cfRule type="expression" dxfId="1113" priority="1470" stopIfTrue="1">
      <formula>LEN(TRIM(B35))=0</formula>
    </cfRule>
  </conditionalFormatting>
  <conditionalFormatting sqref="B35">
    <cfRule type="expression" dxfId="1112" priority="1469" stopIfTrue="1">
      <formula>LEN(TRIM(B35))=0</formula>
    </cfRule>
  </conditionalFormatting>
  <conditionalFormatting sqref="B35">
    <cfRule type="expression" dxfId="1111" priority="1468" stopIfTrue="1">
      <formula>LEN(TRIM(B35))=0</formula>
    </cfRule>
  </conditionalFormatting>
  <conditionalFormatting sqref="B35">
    <cfRule type="expression" dxfId="1110" priority="1467" stopIfTrue="1">
      <formula>LEN(TRIM(B35))=0</formula>
    </cfRule>
  </conditionalFormatting>
  <conditionalFormatting sqref="B35">
    <cfRule type="expression" dxfId="1109" priority="1466" stopIfTrue="1">
      <formula>LEN(TRIM(B35))=0</formula>
    </cfRule>
  </conditionalFormatting>
  <conditionalFormatting sqref="B35">
    <cfRule type="expression" dxfId="1108" priority="1465" stopIfTrue="1">
      <formula>LEN(TRIM(B35))=0</formula>
    </cfRule>
  </conditionalFormatting>
  <conditionalFormatting sqref="B35">
    <cfRule type="expression" dxfId="1107" priority="1464" stopIfTrue="1">
      <formula>LEN(TRIM(B35))=0</formula>
    </cfRule>
  </conditionalFormatting>
  <conditionalFormatting sqref="B35">
    <cfRule type="expression" dxfId="1106" priority="1463" stopIfTrue="1">
      <formula>LEN(TRIM(B35))=0</formula>
    </cfRule>
  </conditionalFormatting>
  <conditionalFormatting sqref="B40">
    <cfRule type="expression" dxfId="1105" priority="1384" stopIfTrue="1">
      <formula>LEN(TRIM(B40))=0</formula>
    </cfRule>
  </conditionalFormatting>
  <conditionalFormatting sqref="B40">
    <cfRule type="expression" dxfId="1104" priority="1383" stopIfTrue="1">
      <formula>LEN(TRIM(B40))=0</formula>
    </cfRule>
  </conditionalFormatting>
  <conditionalFormatting sqref="B42">
    <cfRule type="expression" dxfId="1103" priority="1342" stopIfTrue="1">
      <formula>LEN(TRIM(B42))=0</formula>
    </cfRule>
  </conditionalFormatting>
  <conditionalFormatting sqref="B42">
    <cfRule type="expression" dxfId="1102" priority="1341" stopIfTrue="1">
      <formula>LEN(TRIM(B42))=0</formula>
    </cfRule>
  </conditionalFormatting>
  <conditionalFormatting sqref="B42">
    <cfRule type="expression" dxfId="1101" priority="1340" stopIfTrue="1">
      <formula>LEN(TRIM(B42))=0</formula>
    </cfRule>
  </conditionalFormatting>
  <conditionalFormatting sqref="B42">
    <cfRule type="expression" dxfId="1100" priority="1339" stopIfTrue="1">
      <formula>LEN(TRIM(B42))=0</formula>
    </cfRule>
  </conditionalFormatting>
  <conditionalFormatting sqref="B42">
    <cfRule type="expression" dxfId="1099" priority="1338" stopIfTrue="1">
      <formula>LEN(TRIM(B42))=0</formula>
    </cfRule>
  </conditionalFormatting>
  <conditionalFormatting sqref="B42">
    <cfRule type="expression" dxfId="1098" priority="1337" stopIfTrue="1">
      <formula>LEN(TRIM(B42))=0</formula>
    </cfRule>
  </conditionalFormatting>
  <conditionalFormatting sqref="B42">
    <cfRule type="expression" dxfId="1097" priority="1336" stopIfTrue="1">
      <formula>LEN(TRIM(B42))=0</formula>
    </cfRule>
  </conditionalFormatting>
  <conditionalFormatting sqref="B42">
    <cfRule type="expression" dxfId="1096" priority="1335" stopIfTrue="1">
      <formula>LEN(TRIM(B42))=0</formula>
    </cfRule>
  </conditionalFormatting>
  <conditionalFormatting sqref="B42">
    <cfRule type="expression" dxfId="1095" priority="1334" stopIfTrue="1">
      <formula>LEN(TRIM(B42))=0</formula>
    </cfRule>
  </conditionalFormatting>
  <conditionalFormatting sqref="B42">
    <cfRule type="expression" dxfId="1094" priority="1333" stopIfTrue="1">
      <formula>LEN(TRIM(B42))=0</formula>
    </cfRule>
  </conditionalFormatting>
  <conditionalFormatting sqref="B42">
    <cfRule type="expression" dxfId="1093" priority="1332" stopIfTrue="1">
      <formula>LEN(TRIM(B42))=0</formula>
    </cfRule>
  </conditionalFormatting>
  <conditionalFormatting sqref="B42">
    <cfRule type="expression" dxfId="1092" priority="1331" stopIfTrue="1">
      <formula>LEN(TRIM(B42))=0</formula>
    </cfRule>
  </conditionalFormatting>
  <conditionalFormatting sqref="B42">
    <cfRule type="expression" dxfId="1091" priority="1330" stopIfTrue="1">
      <formula>LEN(TRIM(B42))=0</formula>
    </cfRule>
  </conditionalFormatting>
  <conditionalFormatting sqref="B42">
    <cfRule type="expression" dxfId="1090" priority="1329" stopIfTrue="1">
      <formula>LEN(TRIM(B42))=0</formula>
    </cfRule>
  </conditionalFormatting>
  <conditionalFormatting sqref="B42">
    <cfRule type="expression" dxfId="1089" priority="1328" stopIfTrue="1">
      <formula>LEN(TRIM(B42))=0</formula>
    </cfRule>
  </conditionalFormatting>
  <conditionalFormatting sqref="B42">
    <cfRule type="expression" dxfId="1088" priority="1327" stopIfTrue="1">
      <formula>LEN(TRIM(B42))=0</formula>
    </cfRule>
  </conditionalFormatting>
  <conditionalFormatting sqref="B42">
    <cfRule type="expression" dxfId="1087" priority="1326" stopIfTrue="1">
      <formula>LEN(TRIM(B42))=0</formula>
    </cfRule>
  </conditionalFormatting>
  <conditionalFormatting sqref="B42">
    <cfRule type="expression" dxfId="1086" priority="1325" stopIfTrue="1">
      <formula>LEN(TRIM(B42))=0</formula>
    </cfRule>
  </conditionalFormatting>
  <conditionalFormatting sqref="B42">
    <cfRule type="expression" dxfId="1085" priority="1324" stopIfTrue="1">
      <formula>LEN(TRIM(B42))=0</formula>
    </cfRule>
  </conditionalFormatting>
  <conditionalFormatting sqref="B42">
    <cfRule type="expression" dxfId="1084" priority="1323" stopIfTrue="1">
      <formula>LEN(TRIM(B42))=0</formula>
    </cfRule>
  </conditionalFormatting>
  <conditionalFormatting sqref="B42">
    <cfRule type="expression" dxfId="1083" priority="1322" stopIfTrue="1">
      <formula>LEN(TRIM(B42))=0</formula>
    </cfRule>
  </conditionalFormatting>
  <conditionalFormatting sqref="B42">
    <cfRule type="expression" dxfId="1082" priority="1321" stopIfTrue="1">
      <formula>LEN(TRIM(B42))=0</formula>
    </cfRule>
  </conditionalFormatting>
  <conditionalFormatting sqref="B42">
    <cfRule type="expression" dxfId="1081" priority="1320" stopIfTrue="1">
      <formula>LEN(TRIM(B42))=0</formula>
    </cfRule>
  </conditionalFormatting>
  <conditionalFormatting sqref="B42">
    <cfRule type="expression" dxfId="1080" priority="1319" stopIfTrue="1">
      <formula>LEN(TRIM(B42))=0</formula>
    </cfRule>
  </conditionalFormatting>
  <conditionalFormatting sqref="B42">
    <cfRule type="expression" dxfId="1079" priority="1318" stopIfTrue="1">
      <formula>LEN(TRIM(B42))=0</formula>
    </cfRule>
  </conditionalFormatting>
  <conditionalFormatting sqref="B42">
    <cfRule type="expression" dxfId="1078" priority="1317" stopIfTrue="1">
      <formula>LEN(TRIM(B42))=0</formula>
    </cfRule>
  </conditionalFormatting>
  <conditionalFormatting sqref="B42">
    <cfRule type="expression" dxfId="1077" priority="1316" stopIfTrue="1">
      <formula>LEN(TRIM(B42))=0</formula>
    </cfRule>
  </conditionalFormatting>
  <conditionalFormatting sqref="B42">
    <cfRule type="expression" dxfId="1076" priority="1315" stopIfTrue="1">
      <formula>LEN(TRIM(B42))=0</formula>
    </cfRule>
  </conditionalFormatting>
  <conditionalFormatting sqref="B42">
    <cfRule type="expression" dxfId="1075" priority="1314" stopIfTrue="1">
      <formula>LEN(TRIM(B42))=0</formula>
    </cfRule>
  </conditionalFormatting>
  <conditionalFormatting sqref="B42">
    <cfRule type="expression" dxfId="1074" priority="1313" stopIfTrue="1">
      <formula>LEN(TRIM(B42))=0</formula>
    </cfRule>
  </conditionalFormatting>
  <conditionalFormatting sqref="B42">
    <cfRule type="expression" dxfId="1073" priority="1312" stopIfTrue="1">
      <formula>LEN(TRIM(B42))=0</formula>
    </cfRule>
  </conditionalFormatting>
  <conditionalFormatting sqref="B42">
    <cfRule type="expression" dxfId="1072" priority="1311" stopIfTrue="1">
      <formula>LEN(TRIM(B42))=0</formula>
    </cfRule>
  </conditionalFormatting>
  <conditionalFormatting sqref="B42">
    <cfRule type="expression" dxfId="1071" priority="1310" stopIfTrue="1">
      <formula>LEN(TRIM(B42))=0</formula>
    </cfRule>
  </conditionalFormatting>
  <conditionalFormatting sqref="B42">
    <cfRule type="expression" dxfId="1070" priority="1309" stopIfTrue="1">
      <formula>LEN(TRIM(B42))=0</formula>
    </cfRule>
  </conditionalFormatting>
  <conditionalFormatting sqref="B42">
    <cfRule type="expression" dxfId="1069" priority="1308" stopIfTrue="1">
      <formula>LEN(TRIM(B42))=0</formula>
    </cfRule>
  </conditionalFormatting>
  <conditionalFormatting sqref="B42">
    <cfRule type="expression" dxfId="1068" priority="1307" stopIfTrue="1">
      <formula>LEN(TRIM(B42))=0</formula>
    </cfRule>
  </conditionalFormatting>
  <conditionalFormatting sqref="B42">
    <cfRule type="expression" dxfId="1067" priority="1306" stopIfTrue="1">
      <formula>LEN(TRIM(B42))=0</formula>
    </cfRule>
  </conditionalFormatting>
  <conditionalFormatting sqref="B42">
    <cfRule type="expression" dxfId="1066" priority="1305" stopIfTrue="1">
      <formula>LEN(TRIM(B42))=0</formula>
    </cfRule>
  </conditionalFormatting>
  <conditionalFormatting sqref="B42">
    <cfRule type="expression" dxfId="1065" priority="1304" stopIfTrue="1">
      <formula>LEN(TRIM(B42))=0</formula>
    </cfRule>
  </conditionalFormatting>
  <conditionalFormatting sqref="B42">
    <cfRule type="expression" dxfId="1064" priority="1303" stopIfTrue="1">
      <formula>LEN(TRIM(B42))=0</formula>
    </cfRule>
  </conditionalFormatting>
  <conditionalFormatting sqref="B42">
    <cfRule type="expression" dxfId="1063" priority="1302" stopIfTrue="1">
      <formula>LEN(TRIM(B42))=0</formula>
    </cfRule>
  </conditionalFormatting>
  <conditionalFormatting sqref="B42">
    <cfRule type="expression" dxfId="1062" priority="1301" stopIfTrue="1">
      <formula>LEN(TRIM(B42))=0</formula>
    </cfRule>
  </conditionalFormatting>
  <conditionalFormatting sqref="B42">
    <cfRule type="expression" dxfId="1061" priority="1300" stopIfTrue="1">
      <formula>LEN(TRIM(B42))=0</formula>
    </cfRule>
  </conditionalFormatting>
  <conditionalFormatting sqref="B42">
    <cfRule type="expression" dxfId="1060" priority="1299" stopIfTrue="1">
      <formula>LEN(TRIM(B42))=0</formula>
    </cfRule>
  </conditionalFormatting>
  <conditionalFormatting sqref="B42">
    <cfRule type="expression" dxfId="1059" priority="1298" stopIfTrue="1">
      <formula>LEN(TRIM(B42))=0</formula>
    </cfRule>
  </conditionalFormatting>
  <conditionalFormatting sqref="B42">
    <cfRule type="expression" dxfId="1058" priority="1297" stopIfTrue="1">
      <formula>LEN(TRIM(B42))=0</formula>
    </cfRule>
  </conditionalFormatting>
  <conditionalFormatting sqref="B42">
    <cfRule type="expression" dxfId="1057" priority="1296" stopIfTrue="1">
      <formula>LEN(TRIM(B42))=0</formula>
    </cfRule>
  </conditionalFormatting>
  <conditionalFormatting sqref="B42">
    <cfRule type="expression" dxfId="1056" priority="1295" stopIfTrue="1">
      <formula>LEN(TRIM(B42))=0</formula>
    </cfRule>
  </conditionalFormatting>
  <conditionalFormatting sqref="B42">
    <cfRule type="expression" dxfId="1055" priority="1294" stopIfTrue="1">
      <formula>LEN(TRIM(B42))=0</formula>
    </cfRule>
  </conditionalFormatting>
  <conditionalFormatting sqref="B42">
    <cfRule type="expression" dxfId="1054" priority="1293" stopIfTrue="1">
      <formula>LEN(TRIM(B42))=0</formula>
    </cfRule>
  </conditionalFormatting>
  <conditionalFormatting sqref="B42">
    <cfRule type="expression" dxfId="1053" priority="1292" stopIfTrue="1">
      <formula>LEN(TRIM(B42))=0</formula>
    </cfRule>
  </conditionalFormatting>
  <conditionalFormatting sqref="B42">
    <cfRule type="expression" dxfId="1052" priority="1291" stopIfTrue="1">
      <formula>LEN(TRIM(B42))=0</formula>
    </cfRule>
  </conditionalFormatting>
  <conditionalFormatting sqref="B42">
    <cfRule type="expression" dxfId="1051" priority="1290" stopIfTrue="1">
      <formula>LEN(TRIM(B42))=0</formula>
    </cfRule>
  </conditionalFormatting>
  <conditionalFormatting sqref="B42">
    <cfRule type="expression" dxfId="1050" priority="1289" stopIfTrue="1">
      <formula>LEN(TRIM(B42))=0</formula>
    </cfRule>
  </conditionalFormatting>
  <conditionalFormatting sqref="B42">
    <cfRule type="expression" dxfId="1049" priority="1288" stopIfTrue="1">
      <formula>LEN(TRIM(B42))=0</formula>
    </cfRule>
  </conditionalFormatting>
  <conditionalFormatting sqref="B42">
    <cfRule type="expression" dxfId="1048" priority="1287" stopIfTrue="1">
      <formula>LEN(TRIM(B42))=0</formula>
    </cfRule>
  </conditionalFormatting>
  <conditionalFormatting sqref="B42">
    <cfRule type="expression" dxfId="1047" priority="1286" stopIfTrue="1">
      <formula>LEN(TRIM(B42))=0</formula>
    </cfRule>
  </conditionalFormatting>
  <conditionalFormatting sqref="B42">
    <cfRule type="expression" dxfId="1046" priority="1285" stopIfTrue="1">
      <formula>LEN(TRIM(B42))=0</formula>
    </cfRule>
  </conditionalFormatting>
  <conditionalFormatting sqref="B42">
    <cfRule type="expression" dxfId="1045" priority="1284" stopIfTrue="1">
      <formula>LEN(TRIM(B42))=0</formula>
    </cfRule>
  </conditionalFormatting>
  <conditionalFormatting sqref="B42">
    <cfRule type="expression" dxfId="1044" priority="1283" stopIfTrue="1">
      <formula>LEN(TRIM(B42))=0</formula>
    </cfRule>
  </conditionalFormatting>
  <conditionalFormatting sqref="B44">
    <cfRule type="expression" dxfId="1043" priority="1282" stopIfTrue="1">
      <formula>LEN(TRIM(B44))=0</formula>
    </cfRule>
  </conditionalFormatting>
  <conditionalFormatting sqref="B44">
    <cfRule type="expression" dxfId="1042" priority="1281" stopIfTrue="1">
      <formula>LEN(TRIM(B44))=0</formula>
    </cfRule>
  </conditionalFormatting>
  <conditionalFormatting sqref="B44">
    <cfRule type="expression" dxfId="1041" priority="1280" stopIfTrue="1">
      <formula>LEN(TRIM(B44))=0</formula>
    </cfRule>
  </conditionalFormatting>
  <conditionalFormatting sqref="B44">
    <cfRule type="expression" dxfId="1040" priority="1279" stopIfTrue="1">
      <formula>LEN(TRIM(B44))=0</formula>
    </cfRule>
  </conditionalFormatting>
  <conditionalFormatting sqref="B44">
    <cfRule type="expression" dxfId="1039" priority="1278" stopIfTrue="1">
      <formula>LEN(TRIM(B44))=0</formula>
    </cfRule>
  </conditionalFormatting>
  <conditionalFormatting sqref="B44">
    <cfRule type="expression" dxfId="1038" priority="1277" stopIfTrue="1">
      <formula>LEN(TRIM(B44))=0</formula>
    </cfRule>
  </conditionalFormatting>
  <conditionalFormatting sqref="B44">
    <cfRule type="expression" dxfId="1037" priority="1276" stopIfTrue="1">
      <formula>LEN(TRIM(B44))=0</formula>
    </cfRule>
  </conditionalFormatting>
  <conditionalFormatting sqref="B44">
    <cfRule type="expression" dxfId="1036" priority="1275" stopIfTrue="1">
      <formula>LEN(TRIM(B44))=0</formula>
    </cfRule>
  </conditionalFormatting>
  <conditionalFormatting sqref="B44">
    <cfRule type="expression" dxfId="1035" priority="1274" stopIfTrue="1">
      <formula>LEN(TRIM(B44))=0</formula>
    </cfRule>
  </conditionalFormatting>
  <conditionalFormatting sqref="B44">
    <cfRule type="expression" dxfId="1034" priority="1273" stopIfTrue="1">
      <formula>LEN(TRIM(B44))=0</formula>
    </cfRule>
  </conditionalFormatting>
  <conditionalFormatting sqref="B44">
    <cfRule type="expression" dxfId="1033" priority="1272" stopIfTrue="1">
      <formula>LEN(TRIM(B44))=0</formula>
    </cfRule>
  </conditionalFormatting>
  <conditionalFormatting sqref="B44">
    <cfRule type="expression" dxfId="1032" priority="1271" stopIfTrue="1">
      <formula>LEN(TRIM(B44))=0</formula>
    </cfRule>
  </conditionalFormatting>
  <conditionalFormatting sqref="B44">
    <cfRule type="expression" dxfId="1031" priority="1270" stopIfTrue="1">
      <formula>LEN(TRIM(B44))=0</formula>
    </cfRule>
  </conditionalFormatting>
  <conditionalFormatting sqref="B44">
    <cfRule type="expression" dxfId="1030" priority="1269" stopIfTrue="1">
      <formula>LEN(TRIM(B44))=0</formula>
    </cfRule>
  </conditionalFormatting>
  <conditionalFormatting sqref="B44">
    <cfRule type="expression" dxfId="1029" priority="1268" stopIfTrue="1">
      <formula>LEN(TRIM(B44))=0</formula>
    </cfRule>
  </conditionalFormatting>
  <conditionalFormatting sqref="B44">
    <cfRule type="expression" dxfId="1028" priority="1267" stopIfTrue="1">
      <formula>LEN(TRIM(B44))=0</formula>
    </cfRule>
  </conditionalFormatting>
  <conditionalFormatting sqref="B44">
    <cfRule type="expression" dxfId="1027" priority="1266" stopIfTrue="1">
      <formula>LEN(TRIM(B44))=0</formula>
    </cfRule>
  </conditionalFormatting>
  <conditionalFormatting sqref="B44">
    <cfRule type="expression" dxfId="1026" priority="1265" stopIfTrue="1">
      <formula>LEN(TRIM(B44))=0</formula>
    </cfRule>
  </conditionalFormatting>
  <conditionalFormatting sqref="B44">
    <cfRule type="expression" dxfId="1025" priority="1264" stopIfTrue="1">
      <formula>LEN(TRIM(B44))=0</formula>
    </cfRule>
  </conditionalFormatting>
  <conditionalFormatting sqref="B44">
    <cfRule type="expression" dxfId="1024" priority="1263" stopIfTrue="1">
      <formula>LEN(TRIM(B44))=0</formula>
    </cfRule>
  </conditionalFormatting>
  <conditionalFormatting sqref="B44">
    <cfRule type="expression" dxfId="1023" priority="1262" stopIfTrue="1">
      <formula>LEN(TRIM(B44))=0</formula>
    </cfRule>
  </conditionalFormatting>
  <conditionalFormatting sqref="B44">
    <cfRule type="expression" dxfId="1022" priority="1261" stopIfTrue="1">
      <formula>LEN(TRIM(B44))=0</formula>
    </cfRule>
  </conditionalFormatting>
  <conditionalFormatting sqref="B44">
    <cfRule type="expression" dxfId="1021" priority="1260" stopIfTrue="1">
      <formula>LEN(TRIM(B44))=0</formula>
    </cfRule>
  </conditionalFormatting>
  <conditionalFormatting sqref="B44">
    <cfRule type="expression" dxfId="1020" priority="1259" stopIfTrue="1">
      <formula>LEN(TRIM(B44))=0</formula>
    </cfRule>
  </conditionalFormatting>
  <conditionalFormatting sqref="B44">
    <cfRule type="expression" dxfId="1019" priority="1258" stopIfTrue="1">
      <formula>LEN(TRIM(B44))=0</formula>
    </cfRule>
  </conditionalFormatting>
  <conditionalFormatting sqref="B44">
    <cfRule type="expression" dxfId="1018" priority="1257" stopIfTrue="1">
      <formula>LEN(TRIM(B44))=0</formula>
    </cfRule>
  </conditionalFormatting>
  <conditionalFormatting sqref="B44">
    <cfRule type="expression" dxfId="1017" priority="1256" stopIfTrue="1">
      <formula>LEN(TRIM(B44))=0</formula>
    </cfRule>
  </conditionalFormatting>
  <conditionalFormatting sqref="B44">
    <cfRule type="expression" dxfId="1016" priority="1255" stopIfTrue="1">
      <formula>LEN(TRIM(B44))=0</formula>
    </cfRule>
  </conditionalFormatting>
  <conditionalFormatting sqref="B44">
    <cfRule type="expression" dxfId="1015" priority="1254" stopIfTrue="1">
      <formula>LEN(TRIM(B44))=0</formula>
    </cfRule>
  </conditionalFormatting>
  <conditionalFormatting sqref="B44">
    <cfRule type="expression" dxfId="1014" priority="1253" stopIfTrue="1">
      <formula>LEN(TRIM(B44))=0</formula>
    </cfRule>
  </conditionalFormatting>
  <conditionalFormatting sqref="B44">
    <cfRule type="expression" dxfId="1013" priority="1252" stopIfTrue="1">
      <formula>LEN(TRIM(B44))=0</formula>
    </cfRule>
  </conditionalFormatting>
  <conditionalFormatting sqref="B44">
    <cfRule type="expression" dxfId="1012" priority="1251" stopIfTrue="1">
      <formula>LEN(TRIM(B44))=0</formula>
    </cfRule>
  </conditionalFormatting>
  <conditionalFormatting sqref="B44">
    <cfRule type="expression" dxfId="1011" priority="1250" stopIfTrue="1">
      <formula>LEN(TRIM(B44))=0</formula>
    </cfRule>
  </conditionalFormatting>
  <conditionalFormatting sqref="B44">
    <cfRule type="expression" dxfId="1010" priority="1249" stopIfTrue="1">
      <formula>LEN(TRIM(B44))=0</formula>
    </cfRule>
  </conditionalFormatting>
  <conditionalFormatting sqref="B44">
    <cfRule type="expression" dxfId="1009" priority="1248" stopIfTrue="1">
      <formula>LEN(TRIM(B44))=0</formula>
    </cfRule>
  </conditionalFormatting>
  <conditionalFormatting sqref="B44">
    <cfRule type="expression" dxfId="1008" priority="1247" stopIfTrue="1">
      <formula>LEN(TRIM(B44))=0</formula>
    </cfRule>
  </conditionalFormatting>
  <conditionalFormatting sqref="B44">
    <cfRule type="expression" dxfId="1007" priority="1246" stopIfTrue="1">
      <formula>LEN(TRIM(B44))=0</formula>
    </cfRule>
  </conditionalFormatting>
  <conditionalFormatting sqref="B44">
    <cfRule type="expression" dxfId="1006" priority="1245" stopIfTrue="1">
      <formula>LEN(TRIM(B44))=0</formula>
    </cfRule>
  </conditionalFormatting>
  <conditionalFormatting sqref="B44">
    <cfRule type="expression" dxfId="1005" priority="1244" stopIfTrue="1">
      <formula>LEN(TRIM(B44))=0</formula>
    </cfRule>
  </conditionalFormatting>
  <conditionalFormatting sqref="B44">
    <cfRule type="expression" dxfId="1004" priority="1243" stopIfTrue="1">
      <formula>LEN(TRIM(B44))=0</formula>
    </cfRule>
  </conditionalFormatting>
  <conditionalFormatting sqref="B44">
    <cfRule type="expression" dxfId="1003" priority="1222" stopIfTrue="1">
      <formula>LEN(TRIM(B44))=0</formula>
    </cfRule>
  </conditionalFormatting>
  <conditionalFormatting sqref="B44">
    <cfRule type="expression" dxfId="1002" priority="1221" stopIfTrue="1">
      <formula>LEN(TRIM(B44))=0</formula>
    </cfRule>
  </conditionalFormatting>
  <conditionalFormatting sqref="B44">
    <cfRule type="expression" dxfId="1001" priority="1220" stopIfTrue="1">
      <formula>LEN(TRIM(B44))=0</formula>
    </cfRule>
  </conditionalFormatting>
  <conditionalFormatting sqref="B44">
    <cfRule type="expression" dxfId="1000" priority="1219" stopIfTrue="1">
      <formula>LEN(TRIM(B44))=0</formula>
    </cfRule>
  </conditionalFormatting>
  <conditionalFormatting sqref="B44">
    <cfRule type="expression" dxfId="999" priority="1218" stopIfTrue="1">
      <formula>LEN(TRIM(B44))=0</formula>
    </cfRule>
  </conditionalFormatting>
  <conditionalFormatting sqref="B44">
    <cfRule type="expression" dxfId="998" priority="1217" stopIfTrue="1">
      <formula>LEN(TRIM(B44))=0</formula>
    </cfRule>
  </conditionalFormatting>
  <conditionalFormatting sqref="B44">
    <cfRule type="expression" dxfId="997" priority="1216" stopIfTrue="1">
      <formula>LEN(TRIM(B44))=0</formula>
    </cfRule>
  </conditionalFormatting>
  <conditionalFormatting sqref="B44">
    <cfRule type="expression" dxfId="996" priority="1215" stopIfTrue="1">
      <formula>LEN(TRIM(B44))=0</formula>
    </cfRule>
  </conditionalFormatting>
  <conditionalFormatting sqref="B44">
    <cfRule type="expression" dxfId="995" priority="1214" stopIfTrue="1">
      <formula>LEN(TRIM(B44))=0</formula>
    </cfRule>
  </conditionalFormatting>
  <conditionalFormatting sqref="B44">
    <cfRule type="expression" dxfId="994" priority="1213" stopIfTrue="1">
      <formula>LEN(TRIM(B44))=0</formula>
    </cfRule>
  </conditionalFormatting>
  <conditionalFormatting sqref="B44">
    <cfRule type="expression" dxfId="993" priority="1212" stopIfTrue="1">
      <formula>LEN(TRIM(B44))=0</formula>
    </cfRule>
  </conditionalFormatting>
  <conditionalFormatting sqref="B44">
    <cfRule type="expression" dxfId="992" priority="1211" stopIfTrue="1">
      <formula>LEN(TRIM(B44))=0</formula>
    </cfRule>
  </conditionalFormatting>
  <conditionalFormatting sqref="B44">
    <cfRule type="expression" dxfId="991" priority="1210" stopIfTrue="1">
      <formula>LEN(TRIM(B44))=0</formula>
    </cfRule>
  </conditionalFormatting>
  <conditionalFormatting sqref="B44">
    <cfRule type="expression" dxfId="990" priority="1209" stopIfTrue="1">
      <formula>LEN(TRIM(B44))=0</formula>
    </cfRule>
  </conditionalFormatting>
  <conditionalFormatting sqref="B44">
    <cfRule type="expression" dxfId="989" priority="1208" stopIfTrue="1">
      <formula>LEN(TRIM(B44))=0</formula>
    </cfRule>
  </conditionalFormatting>
  <conditionalFormatting sqref="B44">
    <cfRule type="expression" dxfId="988" priority="1207" stopIfTrue="1">
      <formula>LEN(TRIM(B44))=0</formula>
    </cfRule>
  </conditionalFormatting>
  <conditionalFormatting sqref="B44">
    <cfRule type="expression" dxfId="987" priority="1206" stopIfTrue="1">
      <formula>LEN(TRIM(B44))=0</formula>
    </cfRule>
  </conditionalFormatting>
  <conditionalFormatting sqref="B44">
    <cfRule type="expression" dxfId="986" priority="1205" stopIfTrue="1">
      <formula>LEN(TRIM(B44))=0</formula>
    </cfRule>
  </conditionalFormatting>
  <conditionalFormatting sqref="B44">
    <cfRule type="expression" dxfId="985" priority="1204" stopIfTrue="1">
      <formula>LEN(TRIM(B44))=0</formula>
    </cfRule>
  </conditionalFormatting>
  <conditionalFormatting sqref="B44">
    <cfRule type="expression" dxfId="984" priority="1203" stopIfTrue="1">
      <formula>LEN(TRIM(B44))=0</formula>
    </cfRule>
  </conditionalFormatting>
  <conditionalFormatting sqref="B52">
    <cfRule type="expression" dxfId="983" priority="1202" stopIfTrue="1">
      <formula>LEN(TRIM(B52))=0</formula>
    </cfRule>
  </conditionalFormatting>
  <conditionalFormatting sqref="B52">
    <cfRule type="expression" dxfId="982" priority="1201" stopIfTrue="1">
      <formula>LEN(TRIM(B52))=0</formula>
    </cfRule>
  </conditionalFormatting>
  <conditionalFormatting sqref="B52">
    <cfRule type="expression" dxfId="981" priority="1200" stopIfTrue="1">
      <formula>LEN(TRIM(B52))=0</formula>
    </cfRule>
  </conditionalFormatting>
  <conditionalFormatting sqref="B52">
    <cfRule type="expression" dxfId="980" priority="1199" stopIfTrue="1">
      <formula>LEN(TRIM(B52))=0</formula>
    </cfRule>
  </conditionalFormatting>
  <conditionalFormatting sqref="B52">
    <cfRule type="expression" dxfId="979" priority="1198" stopIfTrue="1">
      <formula>LEN(TRIM(B52))=0</formula>
    </cfRule>
  </conditionalFormatting>
  <conditionalFormatting sqref="B52">
    <cfRule type="expression" dxfId="978" priority="1197" stopIfTrue="1">
      <formula>LEN(TRIM(B52))=0</formula>
    </cfRule>
  </conditionalFormatting>
  <conditionalFormatting sqref="B52">
    <cfRule type="expression" dxfId="977" priority="1196" stopIfTrue="1">
      <formula>LEN(TRIM(B52))=0</formula>
    </cfRule>
  </conditionalFormatting>
  <conditionalFormatting sqref="B52">
    <cfRule type="expression" dxfId="976" priority="1195" stopIfTrue="1">
      <formula>LEN(TRIM(B52))=0</formula>
    </cfRule>
  </conditionalFormatting>
  <conditionalFormatting sqref="B52">
    <cfRule type="expression" dxfId="975" priority="1194" stopIfTrue="1">
      <formula>LEN(TRIM(B52))=0</formula>
    </cfRule>
  </conditionalFormatting>
  <conditionalFormatting sqref="B52">
    <cfRule type="expression" dxfId="974" priority="1193" stopIfTrue="1">
      <formula>LEN(TRIM(B52))=0</formula>
    </cfRule>
  </conditionalFormatting>
  <conditionalFormatting sqref="B52">
    <cfRule type="expression" dxfId="973" priority="1192" stopIfTrue="1">
      <formula>LEN(TRIM(B52))=0</formula>
    </cfRule>
  </conditionalFormatting>
  <conditionalFormatting sqref="B52">
    <cfRule type="expression" dxfId="972" priority="1191" stopIfTrue="1">
      <formula>LEN(TRIM(B52))=0</formula>
    </cfRule>
  </conditionalFormatting>
  <conditionalFormatting sqref="B52">
    <cfRule type="expression" dxfId="971" priority="1190" stopIfTrue="1">
      <formula>LEN(TRIM(B52))=0</formula>
    </cfRule>
  </conditionalFormatting>
  <conditionalFormatting sqref="B52">
    <cfRule type="expression" dxfId="970" priority="1189" stopIfTrue="1">
      <formula>LEN(TRIM(B52))=0</formula>
    </cfRule>
  </conditionalFormatting>
  <conditionalFormatting sqref="B52">
    <cfRule type="expression" dxfId="969" priority="1188" stopIfTrue="1">
      <formula>LEN(TRIM(B52))=0</formula>
    </cfRule>
  </conditionalFormatting>
  <conditionalFormatting sqref="B52">
    <cfRule type="expression" dxfId="968" priority="1187" stopIfTrue="1">
      <formula>LEN(TRIM(B52))=0</formula>
    </cfRule>
  </conditionalFormatting>
  <conditionalFormatting sqref="B52">
    <cfRule type="expression" dxfId="967" priority="1186" stopIfTrue="1">
      <formula>LEN(TRIM(B52))=0</formula>
    </cfRule>
  </conditionalFormatting>
  <conditionalFormatting sqref="B52">
    <cfRule type="expression" dxfId="966" priority="1185" stopIfTrue="1">
      <formula>LEN(TRIM(B52))=0</formula>
    </cfRule>
  </conditionalFormatting>
  <conditionalFormatting sqref="B52">
    <cfRule type="expression" dxfId="965" priority="1184" stopIfTrue="1">
      <formula>LEN(TRIM(B52))=0</formula>
    </cfRule>
  </conditionalFormatting>
  <conditionalFormatting sqref="B52">
    <cfRule type="expression" dxfId="964" priority="1183" stopIfTrue="1">
      <formula>LEN(TRIM(B52))=0</formula>
    </cfRule>
  </conditionalFormatting>
  <conditionalFormatting sqref="B52">
    <cfRule type="expression" dxfId="963" priority="1182" stopIfTrue="1">
      <formula>LEN(TRIM(B52))=0</formula>
    </cfRule>
  </conditionalFormatting>
  <conditionalFormatting sqref="B52">
    <cfRule type="expression" dxfId="962" priority="1181" stopIfTrue="1">
      <formula>LEN(TRIM(B52))=0</formula>
    </cfRule>
  </conditionalFormatting>
  <conditionalFormatting sqref="B52">
    <cfRule type="expression" dxfId="961" priority="1180" stopIfTrue="1">
      <formula>LEN(TRIM(B52))=0</formula>
    </cfRule>
  </conditionalFormatting>
  <conditionalFormatting sqref="B52">
    <cfRule type="expression" dxfId="960" priority="1179" stopIfTrue="1">
      <formula>LEN(TRIM(B52))=0</formula>
    </cfRule>
  </conditionalFormatting>
  <conditionalFormatting sqref="B52">
    <cfRule type="expression" dxfId="959" priority="1178" stopIfTrue="1">
      <formula>LEN(TRIM(B52))=0</formula>
    </cfRule>
  </conditionalFormatting>
  <conditionalFormatting sqref="B52">
    <cfRule type="expression" dxfId="958" priority="1177" stopIfTrue="1">
      <formula>LEN(TRIM(B52))=0</formula>
    </cfRule>
  </conditionalFormatting>
  <conditionalFormatting sqref="B52">
    <cfRule type="expression" dxfId="957" priority="1176" stopIfTrue="1">
      <formula>LEN(TRIM(B52))=0</formula>
    </cfRule>
  </conditionalFormatting>
  <conditionalFormatting sqref="B52">
    <cfRule type="expression" dxfId="956" priority="1175" stopIfTrue="1">
      <formula>LEN(TRIM(B52))=0</formula>
    </cfRule>
  </conditionalFormatting>
  <conditionalFormatting sqref="B52">
    <cfRule type="expression" dxfId="955" priority="1174" stopIfTrue="1">
      <formula>LEN(TRIM(B52))=0</formula>
    </cfRule>
  </conditionalFormatting>
  <conditionalFormatting sqref="B52">
    <cfRule type="expression" dxfId="954" priority="1173" stopIfTrue="1">
      <formula>LEN(TRIM(B52))=0</formula>
    </cfRule>
  </conditionalFormatting>
  <conditionalFormatting sqref="B52">
    <cfRule type="expression" dxfId="953" priority="1172" stopIfTrue="1">
      <formula>LEN(TRIM(B52))=0</formula>
    </cfRule>
  </conditionalFormatting>
  <conditionalFormatting sqref="B52">
    <cfRule type="expression" dxfId="952" priority="1171" stopIfTrue="1">
      <formula>LEN(TRIM(B52))=0</formula>
    </cfRule>
  </conditionalFormatting>
  <conditionalFormatting sqref="B52">
    <cfRule type="expression" dxfId="951" priority="1170" stopIfTrue="1">
      <formula>LEN(TRIM(B52))=0</formula>
    </cfRule>
  </conditionalFormatting>
  <conditionalFormatting sqref="B52">
    <cfRule type="expression" dxfId="950" priority="1169" stopIfTrue="1">
      <formula>LEN(TRIM(B52))=0</formula>
    </cfRule>
  </conditionalFormatting>
  <conditionalFormatting sqref="B52">
    <cfRule type="expression" dxfId="949" priority="1168" stopIfTrue="1">
      <formula>LEN(TRIM(B52))=0</formula>
    </cfRule>
  </conditionalFormatting>
  <conditionalFormatting sqref="B52">
    <cfRule type="expression" dxfId="948" priority="1167" stopIfTrue="1">
      <formula>LEN(TRIM(B52))=0</formula>
    </cfRule>
  </conditionalFormatting>
  <conditionalFormatting sqref="B52">
    <cfRule type="expression" dxfId="947" priority="1166" stopIfTrue="1">
      <formula>LEN(TRIM(B52))=0</formula>
    </cfRule>
  </conditionalFormatting>
  <conditionalFormatting sqref="B52">
    <cfRule type="expression" dxfId="946" priority="1165" stopIfTrue="1">
      <formula>LEN(TRIM(B52))=0</formula>
    </cfRule>
  </conditionalFormatting>
  <conditionalFormatting sqref="B52">
    <cfRule type="expression" dxfId="945" priority="1164" stopIfTrue="1">
      <formula>LEN(TRIM(B52))=0</formula>
    </cfRule>
  </conditionalFormatting>
  <conditionalFormatting sqref="B52">
    <cfRule type="expression" dxfId="944" priority="1163" stopIfTrue="1">
      <formula>LEN(TRIM(B52))=0</formula>
    </cfRule>
  </conditionalFormatting>
  <conditionalFormatting sqref="B52">
    <cfRule type="expression" dxfId="943" priority="1162" stopIfTrue="1">
      <formula>LEN(TRIM(B52))=0</formula>
    </cfRule>
  </conditionalFormatting>
  <conditionalFormatting sqref="B52">
    <cfRule type="expression" dxfId="942" priority="1161" stopIfTrue="1">
      <formula>LEN(TRIM(B52))=0</formula>
    </cfRule>
  </conditionalFormatting>
  <conditionalFormatting sqref="B52">
    <cfRule type="expression" dxfId="941" priority="1160" stopIfTrue="1">
      <formula>LEN(TRIM(B52))=0</formula>
    </cfRule>
  </conditionalFormatting>
  <conditionalFormatting sqref="B52">
    <cfRule type="expression" dxfId="940" priority="1159" stopIfTrue="1">
      <formula>LEN(TRIM(B52))=0</formula>
    </cfRule>
  </conditionalFormatting>
  <conditionalFormatting sqref="B52">
    <cfRule type="expression" dxfId="939" priority="1158" stopIfTrue="1">
      <formula>LEN(TRIM(B52))=0</formula>
    </cfRule>
  </conditionalFormatting>
  <conditionalFormatting sqref="B52">
    <cfRule type="expression" dxfId="938" priority="1157" stopIfTrue="1">
      <formula>LEN(TRIM(B52))=0</formula>
    </cfRule>
  </conditionalFormatting>
  <conditionalFormatting sqref="B52">
    <cfRule type="expression" dxfId="937" priority="1156" stopIfTrue="1">
      <formula>LEN(TRIM(B52))=0</formula>
    </cfRule>
  </conditionalFormatting>
  <conditionalFormatting sqref="B52">
    <cfRule type="expression" dxfId="936" priority="1155" stopIfTrue="1">
      <formula>LEN(TRIM(B52))=0</formula>
    </cfRule>
  </conditionalFormatting>
  <conditionalFormatting sqref="B52">
    <cfRule type="expression" dxfId="935" priority="1154" stopIfTrue="1">
      <formula>LEN(TRIM(B52))=0</formula>
    </cfRule>
  </conditionalFormatting>
  <conditionalFormatting sqref="B52">
    <cfRule type="expression" dxfId="934" priority="1153" stopIfTrue="1">
      <formula>LEN(TRIM(B52))=0</formula>
    </cfRule>
  </conditionalFormatting>
  <conditionalFormatting sqref="B52">
    <cfRule type="expression" dxfId="933" priority="1152" stopIfTrue="1">
      <formula>LEN(TRIM(B52))=0</formula>
    </cfRule>
  </conditionalFormatting>
  <conditionalFormatting sqref="B52">
    <cfRule type="expression" dxfId="932" priority="1151" stopIfTrue="1">
      <formula>LEN(TRIM(B52))=0</formula>
    </cfRule>
  </conditionalFormatting>
  <conditionalFormatting sqref="B52">
    <cfRule type="expression" dxfId="931" priority="1150" stopIfTrue="1">
      <formula>LEN(TRIM(B52))=0</formula>
    </cfRule>
  </conditionalFormatting>
  <conditionalFormatting sqref="B52">
    <cfRule type="expression" dxfId="930" priority="1149" stopIfTrue="1">
      <formula>LEN(TRIM(B52))=0</formula>
    </cfRule>
  </conditionalFormatting>
  <conditionalFormatting sqref="B52">
    <cfRule type="expression" dxfId="929" priority="1148" stopIfTrue="1">
      <formula>LEN(TRIM(B52))=0</formula>
    </cfRule>
  </conditionalFormatting>
  <conditionalFormatting sqref="B52">
    <cfRule type="expression" dxfId="928" priority="1147" stopIfTrue="1">
      <formula>LEN(TRIM(B52))=0</formula>
    </cfRule>
  </conditionalFormatting>
  <conditionalFormatting sqref="B52">
    <cfRule type="expression" dxfId="927" priority="1146" stopIfTrue="1">
      <formula>LEN(TRIM(B52))=0</formula>
    </cfRule>
  </conditionalFormatting>
  <conditionalFormatting sqref="B52">
    <cfRule type="expression" dxfId="926" priority="1145" stopIfTrue="1">
      <formula>LEN(TRIM(B52))=0</formula>
    </cfRule>
  </conditionalFormatting>
  <conditionalFormatting sqref="B54">
    <cfRule type="expression" dxfId="925" priority="1104" stopIfTrue="1">
      <formula>LEN(TRIM(B54))=0</formula>
    </cfRule>
  </conditionalFormatting>
  <conditionalFormatting sqref="B54">
    <cfRule type="expression" dxfId="924" priority="1103" stopIfTrue="1">
      <formula>LEN(TRIM(B54))=0</formula>
    </cfRule>
  </conditionalFormatting>
  <conditionalFormatting sqref="B54">
    <cfRule type="expression" dxfId="923" priority="1102" stopIfTrue="1">
      <formula>LEN(TRIM(B54))=0</formula>
    </cfRule>
  </conditionalFormatting>
  <conditionalFormatting sqref="B54">
    <cfRule type="expression" dxfId="922" priority="1101" stopIfTrue="1">
      <formula>LEN(TRIM(B54))=0</formula>
    </cfRule>
  </conditionalFormatting>
  <conditionalFormatting sqref="B54">
    <cfRule type="expression" dxfId="921" priority="1100" stopIfTrue="1">
      <formula>LEN(TRIM(B54))=0</formula>
    </cfRule>
  </conditionalFormatting>
  <conditionalFormatting sqref="B54">
    <cfRule type="expression" dxfId="920" priority="1099" stopIfTrue="1">
      <formula>LEN(TRIM(B54))=0</formula>
    </cfRule>
  </conditionalFormatting>
  <conditionalFormatting sqref="B54">
    <cfRule type="expression" dxfId="919" priority="1098" stopIfTrue="1">
      <formula>LEN(TRIM(B54))=0</formula>
    </cfRule>
  </conditionalFormatting>
  <conditionalFormatting sqref="B54">
    <cfRule type="expression" dxfId="918" priority="1097" stopIfTrue="1">
      <formula>LEN(TRIM(B54))=0</formula>
    </cfRule>
  </conditionalFormatting>
  <conditionalFormatting sqref="B54">
    <cfRule type="expression" dxfId="917" priority="1096" stopIfTrue="1">
      <formula>LEN(TRIM(B54))=0</formula>
    </cfRule>
  </conditionalFormatting>
  <conditionalFormatting sqref="B54">
    <cfRule type="expression" dxfId="916" priority="1095" stopIfTrue="1">
      <formula>LEN(TRIM(B54))=0</formula>
    </cfRule>
  </conditionalFormatting>
  <conditionalFormatting sqref="B54">
    <cfRule type="expression" dxfId="915" priority="1094" stopIfTrue="1">
      <formula>LEN(TRIM(B54))=0</formula>
    </cfRule>
  </conditionalFormatting>
  <conditionalFormatting sqref="B54">
    <cfRule type="expression" dxfId="914" priority="1093" stopIfTrue="1">
      <formula>LEN(TRIM(B54))=0</formula>
    </cfRule>
  </conditionalFormatting>
  <conditionalFormatting sqref="B54">
    <cfRule type="expression" dxfId="913" priority="1092" stopIfTrue="1">
      <formula>LEN(TRIM(B54))=0</formula>
    </cfRule>
  </conditionalFormatting>
  <conditionalFormatting sqref="B54">
    <cfRule type="expression" dxfId="912" priority="1091" stopIfTrue="1">
      <formula>LEN(TRIM(B54))=0</formula>
    </cfRule>
  </conditionalFormatting>
  <conditionalFormatting sqref="B54">
    <cfRule type="expression" dxfId="911" priority="1090" stopIfTrue="1">
      <formula>LEN(TRIM(B54))=0</formula>
    </cfRule>
  </conditionalFormatting>
  <conditionalFormatting sqref="B54">
    <cfRule type="expression" dxfId="910" priority="1089" stopIfTrue="1">
      <formula>LEN(TRIM(B54))=0</formula>
    </cfRule>
  </conditionalFormatting>
  <conditionalFormatting sqref="B54">
    <cfRule type="expression" dxfId="909" priority="1088" stopIfTrue="1">
      <formula>LEN(TRIM(B54))=0</formula>
    </cfRule>
  </conditionalFormatting>
  <conditionalFormatting sqref="B54">
    <cfRule type="expression" dxfId="908" priority="1087" stopIfTrue="1">
      <formula>LEN(TRIM(B54))=0</formula>
    </cfRule>
  </conditionalFormatting>
  <conditionalFormatting sqref="B54">
    <cfRule type="expression" dxfId="907" priority="1086" stopIfTrue="1">
      <formula>LEN(TRIM(B54))=0</formula>
    </cfRule>
  </conditionalFormatting>
  <conditionalFormatting sqref="B54">
    <cfRule type="expression" dxfId="906" priority="1085" stopIfTrue="1">
      <formula>LEN(TRIM(B54))=0</formula>
    </cfRule>
  </conditionalFormatting>
  <conditionalFormatting sqref="B54">
    <cfRule type="expression" dxfId="905" priority="1084" stopIfTrue="1">
      <formula>LEN(TRIM(B54))=0</formula>
    </cfRule>
  </conditionalFormatting>
  <conditionalFormatting sqref="B54">
    <cfRule type="expression" dxfId="904" priority="1083" stopIfTrue="1">
      <formula>LEN(TRIM(B54))=0</formula>
    </cfRule>
  </conditionalFormatting>
  <conditionalFormatting sqref="B54">
    <cfRule type="expression" dxfId="903" priority="1082" stopIfTrue="1">
      <formula>LEN(TRIM(B54))=0</formula>
    </cfRule>
  </conditionalFormatting>
  <conditionalFormatting sqref="B54">
    <cfRule type="expression" dxfId="902" priority="1081" stopIfTrue="1">
      <formula>LEN(TRIM(B54))=0</formula>
    </cfRule>
  </conditionalFormatting>
  <conditionalFormatting sqref="B54">
    <cfRule type="expression" dxfId="901" priority="1080" stopIfTrue="1">
      <formula>LEN(TRIM(B54))=0</formula>
    </cfRule>
  </conditionalFormatting>
  <conditionalFormatting sqref="B54">
    <cfRule type="expression" dxfId="900" priority="1079" stopIfTrue="1">
      <formula>LEN(TRIM(B54))=0</formula>
    </cfRule>
  </conditionalFormatting>
  <conditionalFormatting sqref="B54">
    <cfRule type="expression" dxfId="899" priority="1078" stopIfTrue="1">
      <formula>LEN(TRIM(B54))=0</formula>
    </cfRule>
  </conditionalFormatting>
  <conditionalFormatting sqref="B54">
    <cfRule type="expression" dxfId="898" priority="1077" stopIfTrue="1">
      <formula>LEN(TRIM(B54))=0</formula>
    </cfRule>
  </conditionalFormatting>
  <conditionalFormatting sqref="B54">
    <cfRule type="expression" dxfId="897" priority="1076" stopIfTrue="1">
      <formula>LEN(TRIM(B54))=0</formula>
    </cfRule>
  </conditionalFormatting>
  <conditionalFormatting sqref="B54">
    <cfRule type="expression" dxfId="896" priority="1075" stopIfTrue="1">
      <formula>LEN(TRIM(B54))=0</formula>
    </cfRule>
  </conditionalFormatting>
  <conditionalFormatting sqref="B54">
    <cfRule type="expression" dxfId="895" priority="1074" stopIfTrue="1">
      <formula>LEN(TRIM(B54))=0</formula>
    </cfRule>
  </conditionalFormatting>
  <conditionalFormatting sqref="B54">
    <cfRule type="expression" dxfId="894" priority="1073" stopIfTrue="1">
      <formula>LEN(TRIM(B54))=0</formula>
    </cfRule>
  </conditionalFormatting>
  <conditionalFormatting sqref="B54">
    <cfRule type="expression" dxfId="893" priority="1072" stopIfTrue="1">
      <formula>LEN(TRIM(B54))=0</formula>
    </cfRule>
  </conditionalFormatting>
  <conditionalFormatting sqref="B54">
    <cfRule type="expression" dxfId="892" priority="1071" stopIfTrue="1">
      <formula>LEN(TRIM(B54))=0</formula>
    </cfRule>
  </conditionalFormatting>
  <conditionalFormatting sqref="B54">
    <cfRule type="expression" dxfId="891" priority="1070" stopIfTrue="1">
      <formula>LEN(TRIM(B54))=0</formula>
    </cfRule>
  </conditionalFormatting>
  <conditionalFormatting sqref="B54">
    <cfRule type="expression" dxfId="890" priority="1069" stopIfTrue="1">
      <formula>LEN(TRIM(B54))=0</formula>
    </cfRule>
  </conditionalFormatting>
  <conditionalFormatting sqref="B54">
    <cfRule type="expression" dxfId="889" priority="1068" stopIfTrue="1">
      <formula>LEN(TRIM(B54))=0</formula>
    </cfRule>
  </conditionalFormatting>
  <conditionalFormatting sqref="B54">
    <cfRule type="expression" dxfId="888" priority="1067" stopIfTrue="1">
      <formula>LEN(TRIM(B54))=0</formula>
    </cfRule>
  </conditionalFormatting>
  <conditionalFormatting sqref="B54">
    <cfRule type="expression" dxfId="887" priority="1066" stopIfTrue="1">
      <formula>LEN(TRIM(B54))=0</formula>
    </cfRule>
  </conditionalFormatting>
  <conditionalFormatting sqref="B54">
    <cfRule type="expression" dxfId="886" priority="1065" stopIfTrue="1">
      <formula>LEN(TRIM(B54))=0</formula>
    </cfRule>
  </conditionalFormatting>
  <conditionalFormatting sqref="B54">
    <cfRule type="expression" dxfId="885" priority="1064" stopIfTrue="1">
      <formula>LEN(TRIM(B54))=0</formula>
    </cfRule>
  </conditionalFormatting>
  <conditionalFormatting sqref="B54">
    <cfRule type="expression" dxfId="884" priority="1063" stopIfTrue="1">
      <formula>LEN(TRIM(B54))=0</formula>
    </cfRule>
  </conditionalFormatting>
  <conditionalFormatting sqref="B54">
    <cfRule type="expression" dxfId="883" priority="1062" stopIfTrue="1">
      <formula>LEN(TRIM(B54))=0</formula>
    </cfRule>
  </conditionalFormatting>
  <conditionalFormatting sqref="B54">
    <cfRule type="expression" dxfId="882" priority="1061" stopIfTrue="1">
      <formula>LEN(TRIM(B54))=0</formula>
    </cfRule>
  </conditionalFormatting>
  <conditionalFormatting sqref="B54">
    <cfRule type="expression" dxfId="881" priority="1060" stopIfTrue="1">
      <formula>LEN(TRIM(B54))=0</formula>
    </cfRule>
  </conditionalFormatting>
  <conditionalFormatting sqref="B54">
    <cfRule type="expression" dxfId="880" priority="1059" stopIfTrue="1">
      <formula>LEN(TRIM(B54))=0</formula>
    </cfRule>
  </conditionalFormatting>
  <conditionalFormatting sqref="B54">
    <cfRule type="expression" dxfId="879" priority="1058" stopIfTrue="1">
      <formula>LEN(TRIM(B54))=0</formula>
    </cfRule>
  </conditionalFormatting>
  <conditionalFormatting sqref="B54">
    <cfRule type="expression" dxfId="878" priority="1057" stopIfTrue="1">
      <formula>LEN(TRIM(B54))=0</formula>
    </cfRule>
  </conditionalFormatting>
  <conditionalFormatting sqref="B54">
    <cfRule type="expression" dxfId="877" priority="1056" stopIfTrue="1">
      <formula>LEN(TRIM(B54))=0</formula>
    </cfRule>
  </conditionalFormatting>
  <conditionalFormatting sqref="B54">
    <cfRule type="expression" dxfId="876" priority="1055" stopIfTrue="1">
      <formula>LEN(TRIM(B54))=0</formula>
    </cfRule>
  </conditionalFormatting>
  <conditionalFormatting sqref="B54">
    <cfRule type="expression" dxfId="875" priority="1054" stopIfTrue="1">
      <formula>LEN(TRIM(B54))=0</formula>
    </cfRule>
  </conditionalFormatting>
  <conditionalFormatting sqref="B54">
    <cfRule type="expression" dxfId="874" priority="1053" stopIfTrue="1">
      <formula>LEN(TRIM(B54))=0</formula>
    </cfRule>
  </conditionalFormatting>
  <conditionalFormatting sqref="B54">
    <cfRule type="expression" dxfId="873" priority="1052" stopIfTrue="1">
      <formula>LEN(TRIM(B54))=0</formula>
    </cfRule>
  </conditionalFormatting>
  <conditionalFormatting sqref="B54">
    <cfRule type="expression" dxfId="872" priority="1051" stopIfTrue="1">
      <formula>LEN(TRIM(B54))=0</formula>
    </cfRule>
  </conditionalFormatting>
  <conditionalFormatting sqref="B54">
    <cfRule type="expression" dxfId="871" priority="1050" stopIfTrue="1">
      <formula>LEN(TRIM(B54))=0</formula>
    </cfRule>
  </conditionalFormatting>
  <conditionalFormatting sqref="B54">
    <cfRule type="expression" dxfId="870" priority="1049" stopIfTrue="1">
      <formula>LEN(TRIM(B54))=0</formula>
    </cfRule>
  </conditionalFormatting>
  <conditionalFormatting sqref="B54">
    <cfRule type="expression" dxfId="869" priority="1048" stopIfTrue="1">
      <formula>LEN(TRIM(B54))=0</formula>
    </cfRule>
  </conditionalFormatting>
  <conditionalFormatting sqref="B54">
    <cfRule type="expression" dxfId="868" priority="1047" stopIfTrue="1">
      <formula>LEN(TRIM(B54))=0</formula>
    </cfRule>
  </conditionalFormatting>
  <conditionalFormatting sqref="B54">
    <cfRule type="expression" dxfId="867" priority="1046" stopIfTrue="1">
      <formula>LEN(TRIM(B54))=0</formula>
    </cfRule>
  </conditionalFormatting>
  <conditionalFormatting sqref="B54">
    <cfRule type="expression" dxfId="866" priority="1045" stopIfTrue="1">
      <formula>LEN(TRIM(B54))=0</formula>
    </cfRule>
  </conditionalFormatting>
  <conditionalFormatting sqref="B54">
    <cfRule type="expression" dxfId="865" priority="1044" stopIfTrue="1">
      <formula>LEN(TRIM(B54))=0</formula>
    </cfRule>
  </conditionalFormatting>
  <conditionalFormatting sqref="B54">
    <cfRule type="expression" dxfId="864" priority="1043" stopIfTrue="1">
      <formula>LEN(TRIM(B54))=0</formula>
    </cfRule>
  </conditionalFormatting>
  <conditionalFormatting sqref="B56">
    <cfRule type="expression" dxfId="863" priority="1042" stopIfTrue="1">
      <formula>LEN(TRIM(B56))=0</formula>
    </cfRule>
  </conditionalFormatting>
  <conditionalFormatting sqref="B56">
    <cfRule type="expression" dxfId="862" priority="1041" stopIfTrue="1">
      <formula>LEN(TRIM(B56))=0</formula>
    </cfRule>
  </conditionalFormatting>
  <conditionalFormatting sqref="B56">
    <cfRule type="expression" dxfId="861" priority="1040" stopIfTrue="1">
      <formula>LEN(TRIM(B56))=0</formula>
    </cfRule>
  </conditionalFormatting>
  <conditionalFormatting sqref="B56">
    <cfRule type="expression" dxfId="860" priority="1039" stopIfTrue="1">
      <formula>LEN(TRIM(B56))=0</formula>
    </cfRule>
  </conditionalFormatting>
  <conditionalFormatting sqref="B56">
    <cfRule type="expression" dxfId="859" priority="1038" stopIfTrue="1">
      <formula>LEN(TRIM(B56))=0</formula>
    </cfRule>
  </conditionalFormatting>
  <conditionalFormatting sqref="B56">
    <cfRule type="expression" dxfId="858" priority="1037" stopIfTrue="1">
      <formula>LEN(TRIM(B56))=0</formula>
    </cfRule>
  </conditionalFormatting>
  <conditionalFormatting sqref="B56">
    <cfRule type="expression" dxfId="857" priority="1036" stopIfTrue="1">
      <formula>LEN(TRIM(B56))=0</formula>
    </cfRule>
  </conditionalFormatting>
  <conditionalFormatting sqref="B56">
    <cfRule type="expression" dxfId="856" priority="1035" stopIfTrue="1">
      <formula>LEN(TRIM(B56))=0</formula>
    </cfRule>
  </conditionalFormatting>
  <conditionalFormatting sqref="B56">
    <cfRule type="expression" dxfId="855" priority="1034" stopIfTrue="1">
      <formula>LEN(TRIM(B56))=0</formula>
    </cfRule>
  </conditionalFormatting>
  <conditionalFormatting sqref="B56">
    <cfRule type="expression" dxfId="854" priority="1033" stopIfTrue="1">
      <formula>LEN(TRIM(B56))=0</formula>
    </cfRule>
  </conditionalFormatting>
  <conditionalFormatting sqref="B56">
    <cfRule type="expression" dxfId="853" priority="1032" stopIfTrue="1">
      <formula>LEN(TRIM(B56))=0</formula>
    </cfRule>
  </conditionalFormatting>
  <conditionalFormatting sqref="B56">
    <cfRule type="expression" dxfId="852" priority="1031" stopIfTrue="1">
      <formula>LEN(TRIM(B56))=0</formula>
    </cfRule>
  </conditionalFormatting>
  <conditionalFormatting sqref="B56">
    <cfRule type="expression" dxfId="851" priority="1030" stopIfTrue="1">
      <formula>LEN(TRIM(B56))=0</formula>
    </cfRule>
  </conditionalFormatting>
  <conditionalFormatting sqref="B56">
    <cfRule type="expression" dxfId="850" priority="1029" stopIfTrue="1">
      <formula>LEN(TRIM(B56))=0</formula>
    </cfRule>
  </conditionalFormatting>
  <conditionalFormatting sqref="B56">
    <cfRule type="expression" dxfId="849" priority="1028" stopIfTrue="1">
      <formula>LEN(TRIM(B56))=0</formula>
    </cfRule>
  </conditionalFormatting>
  <conditionalFormatting sqref="B56">
    <cfRule type="expression" dxfId="848" priority="1027" stopIfTrue="1">
      <formula>LEN(TRIM(B56))=0</formula>
    </cfRule>
  </conditionalFormatting>
  <conditionalFormatting sqref="B56">
    <cfRule type="expression" dxfId="847" priority="1026" stopIfTrue="1">
      <formula>LEN(TRIM(B56))=0</formula>
    </cfRule>
  </conditionalFormatting>
  <conditionalFormatting sqref="B56">
    <cfRule type="expression" dxfId="846" priority="1025" stopIfTrue="1">
      <formula>LEN(TRIM(B56))=0</formula>
    </cfRule>
  </conditionalFormatting>
  <conditionalFormatting sqref="B56">
    <cfRule type="expression" dxfId="845" priority="984" stopIfTrue="1">
      <formula>LEN(TRIM(B56))=0</formula>
    </cfRule>
  </conditionalFormatting>
  <conditionalFormatting sqref="B56">
    <cfRule type="expression" dxfId="844" priority="983" stopIfTrue="1">
      <formula>LEN(TRIM(B56))=0</formula>
    </cfRule>
  </conditionalFormatting>
  <conditionalFormatting sqref="B56">
    <cfRule type="expression" dxfId="843" priority="981" stopIfTrue="1">
      <formula>LEN(TRIM(B56))=0</formula>
    </cfRule>
  </conditionalFormatting>
  <conditionalFormatting sqref="B56">
    <cfRule type="expression" dxfId="842" priority="979" stopIfTrue="1">
      <formula>LEN(TRIM(B56))=0</formula>
    </cfRule>
  </conditionalFormatting>
  <conditionalFormatting sqref="B56">
    <cfRule type="expression" dxfId="841" priority="977" stopIfTrue="1">
      <formula>LEN(TRIM(B56))=0</formula>
    </cfRule>
  </conditionalFormatting>
  <conditionalFormatting sqref="B56">
    <cfRule type="expression" dxfId="840" priority="975" stopIfTrue="1">
      <formula>LEN(TRIM(B56))=0</formula>
    </cfRule>
  </conditionalFormatting>
  <conditionalFormatting sqref="B56">
    <cfRule type="expression" dxfId="839" priority="973" stopIfTrue="1">
      <formula>LEN(TRIM(B56))=0</formula>
    </cfRule>
  </conditionalFormatting>
  <conditionalFormatting sqref="B56">
    <cfRule type="expression" dxfId="838" priority="971" stopIfTrue="1">
      <formula>LEN(TRIM(B56))=0</formula>
    </cfRule>
  </conditionalFormatting>
  <conditionalFormatting sqref="B56">
    <cfRule type="expression" dxfId="837" priority="969" stopIfTrue="1">
      <formula>LEN(TRIM(B56))=0</formula>
    </cfRule>
  </conditionalFormatting>
  <conditionalFormatting sqref="B56">
    <cfRule type="expression" dxfId="836" priority="967" stopIfTrue="1">
      <formula>LEN(TRIM(B56))=0</formula>
    </cfRule>
  </conditionalFormatting>
  <conditionalFormatting sqref="B56">
    <cfRule type="expression" dxfId="835" priority="965" stopIfTrue="1">
      <formula>LEN(TRIM(B56))=0</formula>
    </cfRule>
  </conditionalFormatting>
  <conditionalFormatting sqref="B56">
    <cfRule type="expression" dxfId="834" priority="963" stopIfTrue="1">
      <formula>LEN(TRIM(B56))=0</formula>
    </cfRule>
  </conditionalFormatting>
  <conditionalFormatting sqref="B70">
    <cfRule type="expression" dxfId="833" priority="961" stopIfTrue="1">
      <formula>LEN(TRIM(B70))=0</formula>
    </cfRule>
  </conditionalFormatting>
  <conditionalFormatting sqref="B70">
    <cfRule type="expression" dxfId="832" priority="959" stopIfTrue="1">
      <formula>LEN(TRIM(B70))=0</formula>
    </cfRule>
  </conditionalFormatting>
  <conditionalFormatting sqref="B70">
    <cfRule type="expression" dxfId="831" priority="957" stopIfTrue="1">
      <formula>LEN(TRIM(B70))=0</formula>
    </cfRule>
  </conditionalFormatting>
  <conditionalFormatting sqref="B70">
    <cfRule type="expression" dxfId="830" priority="955" stopIfTrue="1">
      <formula>LEN(TRIM(B70))=0</formula>
    </cfRule>
  </conditionalFormatting>
  <conditionalFormatting sqref="B70">
    <cfRule type="expression" dxfId="829" priority="953" stopIfTrue="1">
      <formula>LEN(TRIM(B70))=0</formula>
    </cfRule>
  </conditionalFormatting>
  <conditionalFormatting sqref="B70">
    <cfRule type="expression" dxfId="828" priority="951" stopIfTrue="1">
      <formula>LEN(TRIM(B70))=0</formula>
    </cfRule>
  </conditionalFormatting>
  <conditionalFormatting sqref="B70">
    <cfRule type="expression" dxfId="827" priority="949" stopIfTrue="1">
      <formula>LEN(TRIM(B70))=0</formula>
    </cfRule>
  </conditionalFormatting>
  <conditionalFormatting sqref="B70">
    <cfRule type="expression" dxfId="826" priority="947" stopIfTrue="1">
      <formula>LEN(TRIM(B70))=0</formula>
    </cfRule>
  </conditionalFormatting>
  <conditionalFormatting sqref="B70">
    <cfRule type="expression" dxfId="825" priority="945" stopIfTrue="1">
      <formula>LEN(TRIM(B70))=0</formula>
    </cfRule>
  </conditionalFormatting>
  <conditionalFormatting sqref="B70">
    <cfRule type="expression" dxfId="824" priority="943" stopIfTrue="1">
      <formula>LEN(TRIM(B70))=0</formula>
    </cfRule>
  </conditionalFormatting>
  <conditionalFormatting sqref="B70">
    <cfRule type="expression" dxfId="823" priority="942" stopIfTrue="1">
      <formula>LEN(TRIM(B70))=0</formula>
    </cfRule>
  </conditionalFormatting>
  <conditionalFormatting sqref="B70">
    <cfRule type="expression" dxfId="822" priority="941" stopIfTrue="1">
      <formula>LEN(TRIM(B70))=0</formula>
    </cfRule>
  </conditionalFormatting>
  <conditionalFormatting sqref="B70">
    <cfRule type="expression" dxfId="821" priority="940" stopIfTrue="1">
      <formula>LEN(TRIM(B70))=0</formula>
    </cfRule>
  </conditionalFormatting>
  <conditionalFormatting sqref="B70">
    <cfRule type="expression" dxfId="820" priority="939" stopIfTrue="1">
      <formula>LEN(TRIM(B70))=0</formula>
    </cfRule>
  </conditionalFormatting>
  <conditionalFormatting sqref="B70">
    <cfRule type="expression" dxfId="819" priority="938" stopIfTrue="1">
      <formula>LEN(TRIM(B70))=0</formula>
    </cfRule>
  </conditionalFormatting>
  <conditionalFormatting sqref="B70">
    <cfRule type="expression" dxfId="818" priority="937" stopIfTrue="1">
      <formula>LEN(TRIM(B70))=0</formula>
    </cfRule>
  </conditionalFormatting>
  <conditionalFormatting sqref="B70">
    <cfRule type="expression" dxfId="817" priority="936" stopIfTrue="1">
      <formula>LEN(TRIM(B70))=0</formula>
    </cfRule>
  </conditionalFormatting>
  <conditionalFormatting sqref="B70">
    <cfRule type="expression" dxfId="816" priority="935" stopIfTrue="1">
      <formula>LEN(TRIM(B70))=0</formula>
    </cfRule>
  </conditionalFormatting>
  <conditionalFormatting sqref="B70">
    <cfRule type="expression" dxfId="815" priority="934" stopIfTrue="1">
      <formula>LEN(TRIM(B70))=0</formula>
    </cfRule>
  </conditionalFormatting>
  <conditionalFormatting sqref="B70">
    <cfRule type="expression" dxfId="814" priority="933" stopIfTrue="1">
      <formula>LEN(TRIM(B70))=0</formula>
    </cfRule>
  </conditionalFormatting>
  <conditionalFormatting sqref="B70">
    <cfRule type="expression" dxfId="813" priority="932" stopIfTrue="1">
      <formula>LEN(TRIM(B70))=0</formula>
    </cfRule>
  </conditionalFormatting>
  <conditionalFormatting sqref="B70">
    <cfRule type="expression" dxfId="812" priority="931" stopIfTrue="1">
      <formula>LEN(TRIM(B70))=0</formula>
    </cfRule>
  </conditionalFormatting>
  <conditionalFormatting sqref="B70">
    <cfRule type="expression" dxfId="811" priority="930" stopIfTrue="1">
      <formula>LEN(TRIM(B70))=0</formula>
    </cfRule>
  </conditionalFormatting>
  <conditionalFormatting sqref="B70">
    <cfRule type="expression" dxfId="810" priority="929" stopIfTrue="1">
      <formula>LEN(TRIM(B70))=0</formula>
    </cfRule>
  </conditionalFormatting>
  <conditionalFormatting sqref="B70">
    <cfRule type="expression" dxfId="809" priority="928" stopIfTrue="1">
      <formula>LEN(TRIM(B70))=0</formula>
    </cfRule>
  </conditionalFormatting>
  <conditionalFormatting sqref="B70">
    <cfRule type="expression" dxfId="808" priority="927" stopIfTrue="1">
      <formula>LEN(TRIM(B70))=0</formula>
    </cfRule>
  </conditionalFormatting>
  <conditionalFormatting sqref="B70">
    <cfRule type="expression" dxfId="807" priority="926" stopIfTrue="1">
      <formula>LEN(TRIM(B70))=0</formula>
    </cfRule>
  </conditionalFormatting>
  <conditionalFormatting sqref="B70">
    <cfRule type="expression" dxfId="806" priority="925" stopIfTrue="1">
      <formula>LEN(TRIM(B70))=0</formula>
    </cfRule>
  </conditionalFormatting>
  <conditionalFormatting sqref="B70">
    <cfRule type="expression" dxfId="805" priority="924" stopIfTrue="1">
      <formula>LEN(TRIM(B70))=0</formula>
    </cfRule>
  </conditionalFormatting>
  <conditionalFormatting sqref="B70">
    <cfRule type="expression" dxfId="804" priority="923" stopIfTrue="1">
      <formula>LEN(TRIM(B70))=0</formula>
    </cfRule>
  </conditionalFormatting>
  <conditionalFormatting sqref="B70">
    <cfRule type="expression" dxfId="803" priority="922" stopIfTrue="1">
      <formula>LEN(TRIM(B70))=0</formula>
    </cfRule>
  </conditionalFormatting>
  <conditionalFormatting sqref="B70">
    <cfRule type="expression" dxfId="802" priority="921" stopIfTrue="1">
      <formula>LEN(TRIM(B70))=0</formula>
    </cfRule>
  </conditionalFormatting>
  <conditionalFormatting sqref="B70">
    <cfRule type="expression" dxfId="801" priority="920" stopIfTrue="1">
      <formula>LEN(TRIM(B70))=0</formula>
    </cfRule>
  </conditionalFormatting>
  <conditionalFormatting sqref="B70">
    <cfRule type="expression" dxfId="800" priority="919" stopIfTrue="1">
      <formula>LEN(TRIM(B70))=0</formula>
    </cfRule>
  </conditionalFormatting>
  <conditionalFormatting sqref="B70">
    <cfRule type="expression" dxfId="799" priority="918" stopIfTrue="1">
      <formula>LEN(TRIM(B70))=0</formula>
    </cfRule>
  </conditionalFormatting>
  <conditionalFormatting sqref="B70">
    <cfRule type="expression" dxfId="798" priority="917" stopIfTrue="1">
      <formula>LEN(TRIM(B70))=0</formula>
    </cfRule>
  </conditionalFormatting>
  <conditionalFormatting sqref="B70">
    <cfRule type="expression" dxfId="797" priority="916" stopIfTrue="1">
      <formula>LEN(TRIM(B70))=0</formula>
    </cfRule>
  </conditionalFormatting>
  <conditionalFormatting sqref="B70">
    <cfRule type="expression" dxfId="796" priority="915" stopIfTrue="1">
      <formula>LEN(TRIM(B70))=0</formula>
    </cfRule>
  </conditionalFormatting>
  <conditionalFormatting sqref="B70">
    <cfRule type="expression" dxfId="795" priority="914" stopIfTrue="1">
      <formula>LEN(TRIM(B70))=0</formula>
    </cfRule>
  </conditionalFormatting>
  <conditionalFormatting sqref="B70">
    <cfRule type="expression" dxfId="794" priority="913" stopIfTrue="1">
      <formula>LEN(TRIM(B70))=0</formula>
    </cfRule>
  </conditionalFormatting>
  <conditionalFormatting sqref="B70">
    <cfRule type="expression" dxfId="793" priority="912" stopIfTrue="1">
      <formula>LEN(TRIM(B70))=0</formula>
    </cfRule>
  </conditionalFormatting>
  <conditionalFormatting sqref="B70">
    <cfRule type="expression" dxfId="792" priority="911" stopIfTrue="1">
      <formula>LEN(TRIM(B70))=0</formula>
    </cfRule>
  </conditionalFormatting>
  <conditionalFormatting sqref="B70">
    <cfRule type="expression" dxfId="791" priority="910" stopIfTrue="1">
      <formula>LEN(TRIM(B70))=0</formula>
    </cfRule>
  </conditionalFormatting>
  <conditionalFormatting sqref="B70">
    <cfRule type="expression" dxfId="790" priority="909" stopIfTrue="1">
      <formula>LEN(TRIM(B70))=0</formula>
    </cfRule>
  </conditionalFormatting>
  <conditionalFormatting sqref="B70">
    <cfRule type="expression" dxfId="789" priority="908" stopIfTrue="1">
      <formula>LEN(TRIM(B70))=0</formula>
    </cfRule>
  </conditionalFormatting>
  <conditionalFormatting sqref="B70">
    <cfRule type="expression" dxfId="788" priority="907" stopIfTrue="1">
      <formula>LEN(TRIM(B70))=0</formula>
    </cfRule>
  </conditionalFormatting>
  <conditionalFormatting sqref="B70">
    <cfRule type="expression" dxfId="787" priority="906" stopIfTrue="1">
      <formula>LEN(TRIM(B70))=0</formula>
    </cfRule>
  </conditionalFormatting>
  <conditionalFormatting sqref="B70">
    <cfRule type="expression" dxfId="786" priority="905" stopIfTrue="1">
      <formula>LEN(TRIM(B70))=0</formula>
    </cfRule>
  </conditionalFormatting>
  <conditionalFormatting sqref="B70">
    <cfRule type="expression" dxfId="785" priority="904" stopIfTrue="1">
      <formula>LEN(TRIM(B70))=0</formula>
    </cfRule>
  </conditionalFormatting>
  <conditionalFormatting sqref="B70">
    <cfRule type="expression" dxfId="784" priority="903" stopIfTrue="1">
      <formula>LEN(TRIM(B70))=0</formula>
    </cfRule>
  </conditionalFormatting>
  <conditionalFormatting sqref="B70">
    <cfRule type="expression" dxfId="783" priority="902" stopIfTrue="1">
      <formula>LEN(TRIM(B70))=0</formula>
    </cfRule>
  </conditionalFormatting>
  <conditionalFormatting sqref="B70">
    <cfRule type="expression" dxfId="782" priority="901" stopIfTrue="1">
      <formula>LEN(TRIM(B70))=0</formula>
    </cfRule>
  </conditionalFormatting>
  <conditionalFormatting sqref="B70">
    <cfRule type="expression" dxfId="781" priority="900" stopIfTrue="1">
      <formula>LEN(TRIM(B70))=0</formula>
    </cfRule>
  </conditionalFormatting>
  <conditionalFormatting sqref="B70">
    <cfRule type="expression" dxfId="780" priority="899" stopIfTrue="1">
      <formula>LEN(TRIM(B70))=0</formula>
    </cfRule>
  </conditionalFormatting>
  <conditionalFormatting sqref="B70">
    <cfRule type="expression" dxfId="779" priority="898" stopIfTrue="1">
      <formula>LEN(TRIM(B70))=0</formula>
    </cfRule>
  </conditionalFormatting>
  <conditionalFormatting sqref="B70">
    <cfRule type="expression" dxfId="778" priority="897" stopIfTrue="1">
      <formula>LEN(TRIM(B70))=0</formula>
    </cfRule>
  </conditionalFormatting>
  <conditionalFormatting sqref="B70">
    <cfRule type="expression" dxfId="777" priority="896" stopIfTrue="1">
      <formula>LEN(TRIM(B70))=0</formula>
    </cfRule>
  </conditionalFormatting>
  <conditionalFormatting sqref="B70">
    <cfRule type="expression" dxfId="776" priority="895" stopIfTrue="1">
      <formula>LEN(TRIM(B70))=0</formula>
    </cfRule>
  </conditionalFormatting>
  <conditionalFormatting sqref="B70">
    <cfRule type="expression" dxfId="775" priority="894" stopIfTrue="1">
      <formula>LEN(TRIM(B70))=0</formula>
    </cfRule>
  </conditionalFormatting>
  <conditionalFormatting sqref="B70">
    <cfRule type="expression" dxfId="774" priority="893" stopIfTrue="1">
      <formula>LEN(TRIM(B70))=0</formula>
    </cfRule>
  </conditionalFormatting>
  <conditionalFormatting sqref="B70">
    <cfRule type="expression" dxfId="773" priority="892" stopIfTrue="1">
      <formula>LEN(TRIM(B70))=0</formula>
    </cfRule>
  </conditionalFormatting>
  <conditionalFormatting sqref="B70">
    <cfRule type="expression" dxfId="772" priority="891" stopIfTrue="1">
      <formula>LEN(TRIM(B70))=0</formula>
    </cfRule>
  </conditionalFormatting>
  <conditionalFormatting sqref="B70">
    <cfRule type="expression" dxfId="771" priority="890" stopIfTrue="1">
      <formula>LEN(TRIM(B70))=0</formula>
    </cfRule>
  </conditionalFormatting>
  <conditionalFormatting sqref="B70">
    <cfRule type="expression" dxfId="770" priority="889" stopIfTrue="1">
      <formula>LEN(TRIM(B70))=0</formula>
    </cfRule>
  </conditionalFormatting>
  <conditionalFormatting sqref="B70">
    <cfRule type="expression" dxfId="769" priority="888" stopIfTrue="1">
      <formula>LEN(TRIM(B70))=0</formula>
    </cfRule>
  </conditionalFormatting>
  <conditionalFormatting sqref="B70">
    <cfRule type="expression" dxfId="768" priority="887" stopIfTrue="1">
      <formula>LEN(TRIM(B70))=0</formula>
    </cfRule>
  </conditionalFormatting>
  <conditionalFormatting sqref="B70">
    <cfRule type="expression" dxfId="767" priority="886" stopIfTrue="1">
      <formula>LEN(TRIM(B70))=0</formula>
    </cfRule>
  </conditionalFormatting>
  <conditionalFormatting sqref="B70">
    <cfRule type="expression" dxfId="766" priority="885" stopIfTrue="1">
      <formula>LEN(TRIM(B70))=0</formula>
    </cfRule>
  </conditionalFormatting>
  <conditionalFormatting sqref="B70">
    <cfRule type="expression" dxfId="765" priority="884" stopIfTrue="1">
      <formula>LEN(TRIM(B70))=0</formula>
    </cfRule>
  </conditionalFormatting>
  <conditionalFormatting sqref="B70">
    <cfRule type="expression" dxfId="764" priority="883" stopIfTrue="1">
      <formula>LEN(TRIM(B70))=0</formula>
    </cfRule>
  </conditionalFormatting>
  <conditionalFormatting sqref="B72">
    <cfRule type="expression" dxfId="763" priority="882" stopIfTrue="1">
      <formula>LEN(TRIM(B72))=0</formula>
    </cfRule>
  </conditionalFormatting>
  <conditionalFormatting sqref="B72">
    <cfRule type="expression" dxfId="762" priority="881" stopIfTrue="1">
      <formula>LEN(TRIM(B72))=0</formula>
    </cfRule>
  </conditionalFormatting>
  <conditionalFormatting sqref="B72">
    <cfRule type="expression" dxfId="761" priority="880" stopIfTrue="1">
      <formula>LEN(TRIM(B72))=0</formula>
    </cfRule>
  </conditionalFormatting>
  <conditionalFormatting sqref="B72">
    <cfRule type="expression" dxfId="760" priority="879" stopIfTrue="1">
      <formula>LEN(TRIM(B72))=0</formula>
    </cfRule>
  </conditionalFormatting>
  <conditionalFormatting sqref="B72">
    <cfRule type="expression" dxfId="759" priority="878" stopIfTrue="1">
      <formula>LEN(TRIM(B72))=0</formula>
    </cfRule>
  </conditionalFormatting>
  <conditionalFormatting sqref="B72">
    <cfRule type="expression" dxfId="758" priority="877" stopIfTrue="1">
      <formula>LEN(TRIM(B72))=0</formula>
    </cfRule>
  </conditionalFormatting>
  <conditionalFormatting sqref="B72">
    <cfRule type="expression" dxfId="757" priority="876" stopIfTrue="1">
      <formula>LEN(TRIM(B72))=0</formula>
    </cfRule>
  </conditionalFormatting>
  <conditionalFormatting sqref="B72">
    <cfRule type="expression" dxfId="756" priority="875" stopIfTrue="1">
      <formula>LEN(TRIM(B72))=0</formula>
    </cfRule>
  </conditionalFormatting>
  <conditionalFormatting sqref="B72">
    <cfRule type="expression" dxfId="755" priority="874" stopIfTrue="1">
      <formula>LEN(TRIM(B72))=0</formula>
    </cfRule>
  </conditionalFormatting>
  <conditionalFormatting sqref="B72">
    <cfRule type="expression" dxfId="754" priority="873" stopIfTrue="1">
      <formula>LEN(TRIM(B72))=0</formula>
    </cfRule>
  </conditionalFormatting>
  <conditionalFormatting sqref="B72">
    <cfRule type="expression" dxfId="753" priority="872" stopIfTrue="1">
      <formula>LEN(TRIM(B72))=0</formula>
    </cfRule>
  </conditionalFormatting>
  <conditionalFormatting sqref="B72">
    <cfRule type="expression" dxfId="752" priority="871" stopIfTrue="1">
      <formula>LEN(TRIM(B72))=0</formula>
    </cfRule>
  </conditionalFormatting>
  <conditionalFormatting sqref="B72">
    <cfRule type="expression" dxfId="751" priority="870" stopIfTrue="1">
      <formula>LEN(TRIM(B72))=0</formula>
    </cfRule>
  </conditionalFormatting>
  <conditionalFormatting sqref="B72">
    <cfRule type="expression" dxfId="750" priority="869" stopIfTrue="1">
      <formula>LEN(TRIM(B72))=0</formula>
    </cfRule>
  </conditionalFormatting>
  <conditionalFormatting sqref="B72">
    <cfRule type="expression" dxfId="749" priority="868" stopIfTrue="1">
      <formula>LEN(TRIM(B72))=0</formula>
    </cfRule>
  </conditionalFormatting>
  <conditionalFormatting sqref="B72">
    <cfRule type="expression" dxfId="748" priority="867" stopIfTrue="1">
      <formula>LEN(TRIM(B72))=0</formula>
    </cfRule>
  </conditionalFormatting>
  <conditionalFormatting sqref="B72">
    <cfRule type="expression" dxfId="747" priority="866" stopIfTrue="1">
      <formula>LEN(TRIM(B72))=0</formula>
    </cfRule>
  </conditionalFormatting>
  <conditionalFormatting sqref="B72">
    <cfRule type="expression" dxfId="746" priority="865" stopIfTrue="1">
      <formula>LEN(TRIM(B72))=0</formula>
    </cfRule>
  </conditionalFormatting>
  <conditionalFormatting sqref="B72">
    <cfRule type="expression" dxfId="745" priority="864" stopIfTrue="1">
      <formula>LEN(TRIM(B72))=0</formula>
    </cfRule>
  </conditionalFormatting>
  <conditionalFormatting sqref="B72">
    <cfRule type="expression" dxfId="744" priority="863" stopIfTrue="1">
      <formula>LEN(TRIM(B72))=0</formula>
    </cfRule>
  </conditionalFormatting>
  <conditionalFormatting sqref="B72">
    <cfRule type="expression" dxfId="743" priority="862" stopIfTrue="1">
      <formula>LEN(TRIM(B72))=0</formula>
    </cfRule>
  </conditionalFormatting>
  <conditionalFormatting sqref="B72">
    <cfRule type="expression" dxfId="742" priority="861" stopIfTrue="1">
      <formula>LEN(TRIM(B72))=0</formula>
    </cfRule>
  </conditionalFormatting>
  <conditionalFormatting sqref="B72">
    <cfRule type="expression" dxfId="741" priority="860" stopIfTrue="1">
      <formula>LEN(TRIM(B72))=0</formula>
    </cfRule>
  </conditionalFormatting>
  <conditionalFormatting sqref="B72">
    <cfRule type="expression" dxfId="740" priority="859" stopIfTrue="1">
      <formula>LEN(TRIM(B72))=0</formula>
    </cfRule>
  </conditionalFormatting>
  <conditionalFormatting sqref="B72">
    <cfRule type="expression" dxfId="739" priority="858" stopIfTrue="1">
      <formula>LEN(TRIM(B72))=0</formula>
    </cfRule>
  </conditionalFormatting>
  <conditionalFormatting sqref="B72">
    <cfRule type="expression" dxfId="738" priority="857" stopIfTrue="1">
      <formula>LEN(TRIM(B72))=0</formula>
    </cfRule>
  </conditionalFormatting>
  <conditionalFormatting sqref="B72">
    <cfRule type="expression" dxfId="737" priority="856" stopIfTrue="1">
      <formula>LEN(TRIM(B72))=0</formula>
    </cfRule>
  </conditionalFormatting>
  <conditionalFormatting sqref="B72">
    <cfRule type="expression" dxfId="736" priority="855" stopIfTrue="1">
      <formula>LEN(TRIM(B72))=0</formula>
    </cfRule>
  </conditionalFormatting>
  <conditionalFormatting sqref="B72">
    <cfRule type="expression" dxfId="735" priority="854" stopIfTrue="1">
      <formula>LEN(TRIM(B72))=0</formula>
    </cfRule>
  </conditionalFormatting>
  <conditionalFormatting sqref="B72">
    <cfRule type="expression" dxfId="734" priority="853" stopIfTrue="1">
      <formula>LEN(TRIM(B72))=0</formula>
    </cfRule>
  </conditionalFormatting>
  <conditionalFormatting sqref="B72">
    <cfRule type="expression" dxfId="733" priority="852" stopIfTrue="1">
      <formula>LEN(TRIM(B72))=0</formula>
    </cfRule>
  </conditionalFormatting>
  <conditionalFormatting sqref="B72">
    <cfRule type="expression" dxfId="732" priority="851" stopIfTrue="1">
      <formula>LEN(TRIM(B72))=0</formula>
    </cfRule>
  </conditionalFormatting>
  <conditionalFormatting sqref="B72">
    <cfRule type="expression" dxfId="731" priority="850" stopIfTrue="1">
      <formula>LEN(TRIM(B72))=0</formula>
    </cfRule>
  </conditionalFormatting>
  <conditionalFormatting sqref="B72">
    <cfRule type="expression" dxfId="730" priority="849" stopIfTrue="1">
      <formula>LEN(TRIM(B72))=0</formula>
    </cfRule>
  </conditionalFormatting>
  <conditionalFormatting sqref="B72">
    <cfRule type="expression" dxfId="729" priority="848" stopIfTrue="1">
      <formula>LEN(TRIM(B72))=0</formula>
    </cfRule>
  </conditionalFormatting>
  <conditionalFormatting sqref="B72">
    <cfRule type="expression" dxfId="728" priority="847" stopIfTrue="1">
      <formula>LEN(TRIM(B72))=0</formula>
    </cfRule>
  </conditionalFormatting>
  <conditionalFormatting sqref="B72">
    <cfRule type="expression" dxfId="727" priority="846" stopIfTrue="1">
      <formula>LEN(TRIM(B72))=0</formula>
    </cfRule>
  </conditionalFormatting>
  <conditionalFormatting sqref="B72">
    <cfRule type="expression" dxfId="726" priority="845" stopIfTrue="1">
      <formula>LEN(TRIM(B72))=0</formula>
    </cfRule>
  </conditionalFormatting>
  <conditionalFormatting sqref="B72">
    <cfRule type="expression" dxfId="725" priority="844" stopIfTrue="1">
      <formula>LEN(TRIM(B72))=0</formula>
    </cfRule>
  </conditionalFormatting>
  <conditionalFormatting sqref="B72">
    <cfRule type="expression" dxfId="724" priority="843" stopIfTrue="1">
      <formula>LEN(TRIM(B72))=0</formula>
    </cfRule>
  </conditionalFormatting>
  <conditionalFormatting sqref="B74">
    <cfRule type="expression" dxfId="723" priority="802" stopIfTrue="1">
      <formula>LEN(TRIM(B74))=0</formula>
    </cfRule>
  </conditionalFormatting>
  <conditionalFormatting sqref="B74">
    <cfRule type="expression" dxfId="722" priority="801" stopIfTrue="1">
      <formula>LEN(TRIM(B74))=0</formula>
    </cfRule>
  </conditionalFormatting>
  <conditionalFormatting sqref="B74">
    <cfRule type="expression" dxfId="721" priority="800" stopIfTrue="1">
      <formula>LEN(TRIM(B74))=0</formula>
    </cfRule>
  </conditionalFormatting>
  <conditionalFormatting sqref="B74">
    <cfRule type="expression" dxfId="720" priority="799" stopIfTrue="1">
      <formula>LEN(TRIM(B74))=0</formula>
    </cfRule>
  </conditionalFormatting>
  <conditionalFormatting sqref="B74">
    <cfRule type="expression" dxfId="719" priority="798" stopIfTrue="1">
      <formula>LEN(TRIM(B74))=0</formula>
    </cfRule>
  </conditionalFormatting>
  <conditionalFormatting sqref="B74">
    <cfRule type="expression" dxfId="718" priority="797" stopIfTrue="1">
      <formula>LEN(TRIM(B74))=0</formula>
    </cfRule>
  </conditionalFormatting>
  <conditionalFormatting sqref="B74">
    <cfRule type="expression" dxfId="717" priority="796" stopIfTrue="1">
      <formula>LEN(TRIM(B74))=0</formula>
    </cfRule>
  </conditionalFormatting>
  <conditionalFormatting sqref="B74">
    <cfRule type="expression" dxfId="716" priority="795" stopIfTrue="1">
      <formula>LEN(TRIM(B74))=0</formula>
    </cfRule>
  </conditionalFormatting>
  <conditionalFormatting sqref="B74">
    <cfRule type="expression" dxfId="715" priority="794" stopIfTrue="1">
      <formula>LEN(TRIM(B74))=0</formula>
    </cfRule>
  </conditionalFormatting>
  <conditionalFormatting sqref="B74">
    <cfRule type="expression" dxfId="714" priority="793" stopIfTrue="1">
      <formula>LEN(TRIM(B74))=0</formula>
    </cfRule>
  </conditionalFormatting>
  <conditionalFormatting sqref="B74">
    <cfRule type="expression" dxfId="713" priority="792" stopIfTrue="1">
      <formula>LEN(TRIM(B74))=0</formula>
    </cfRule>
  </conditionalFormatting>
  <conditionalFormatting sqref="B74">
    <cfRule type="expression" dxfId="712" priority="791" stopIfTrue="1">
      <formula>LEN(TRIM(B74))=0</formula>
    </cfRule>
  </conditionalFormatting>
  <conditionalFormatting sqref="B74">
    <cfRule type="expression" dxfId="711" priority="790" stopIfTrue="1">
      <formula>LEN(TRIM(B74))=0</formula>
    </cfRule>
  </conditionalFormatting>
  <conditionalFormatting sqref="B74">
    <cfRule type="expression" dxfId="710" priority="789" stopIfTrue="1">
      <formula>LEN(TRIM(B74))=0</formula>
    </cfRule>
  </conditionalFormatting>
  <conditionalFormatting sqref="B74">
    <cfRule type="expression" dxfId="709" priority="788" stopIfTrue="1">
      <formula>LEN(TRIM(B74))=0</formula>
    </cfRule>
  </conditionalFormatting>
  <conditionalFormatting sqref="B74">
    <cfRule type="expression" dxfId="708" priority="787" stopIfTrue="1">
      <formula>LEN(TRIM(B74))=0</formula>
    </cfRule>
  </conditionalFormatting>
  <conditionalFormatting sqref="B74">
    <cfRule type="expression" dxfId="707" priority="786" stopIfTrue="1">
      <formula>LEN(TRIM(B74))=0</formula>
    </cfRule>
  </conditionalFormatting>
  <conditionalFormatting sqref="B74">
    <cfRule type="expression" dxfId="706" priority="785" stopIfTrue="1">
      <formula>LEN(TRIM(B74))=0</formula>
    </cfRule>
  </conditionalFormatting>
  <conditionalFormatting sqref="B74">
    <cfRule type="expression" dxfId="705" priority="784" stopIfTrue="1">
      <formula>LEN(TRIM(B74))=0</formula>
    </cfRule>
  </conditionalFormatting>
  <conditionalFormatting sqref="B74">
    <cfRule type="expression" dxfId="704" priority="783" stopIfTrue="1">
      <formula>LEN(TRIM(B74))=0</formula>
    </cfRule>
  </conditionalFormatting>
  <conditionalFormatting sqref="B74">
    <cfRule type="expression" dxfId="703" priority="782" stopIfTrue="1">
      <formula>LEN(TRIM(B74))=0</formula>
    </cfRule>
  </conditionalFormatting>
  <conditionalFormatting sqref="B74">
    <cfRule type="expression" dxfId="702" priority="781" stopIfTrue="1">
      <formula>LEN(TRIM(B74))=0</formula>
    </cfRule>
  </conditionalFormatting>
  <conditionalFormatting sqref="B74">
    <cfRule type="expression" dxfId="701" priority="780" stopIfTrue="1">
      <formula>LEN(TRIM(B74))=0</formula>
    </cfRule>
  </conditionalFormatting>
  <conditionalFormatting sqref="B74">
    <cfRule type="expression" dxfId="700" priority="779" stopIfTrue="1">
      <formula>LEN(TRIM(B74))=0</formula>
    </cfRule>
  </conditionalFormatting>
  <conditionalFormatting sqref="B74">
    <cfRule type="expression" dxfId="699" priority="778" stopIfTrue="1">
      <formula>LEN(TRIM(B74))=0</formula>
    </cfRule>
  </conditionalFormatting>
  <conditionalFormatting sqref="B74">
    <cfRule type="expression" dxfId="698" priority="777" stopIfTrue="1">
      <formula>LEN(TRIM(B74))=0</formula>
    </cfRule>
  </conditionalFormatting>
  <conditionalFormatting sqref="B74">
    <cfRule type="expression" dxfId="697" priority="776" stopIfTrue="1">
      <formula>LEN(TRIM(B74))=0</formula>
    </cfRule>
  </conditionalFormatting>
  <conditionalFormatting sqref="B74">
    <cfRule type="expression" dxfId="696" priority="775" stopIfTrue="1">
      <formula>LEN(TRIM(B74))=0</formula>
    </cfRule>
  </conditionalFormatting>
  <conditionalFormatting sqref="B74">
    <cfRule type="expression" dxfId="695" priority="774" stopIfTrue="1">
      <formula>LEN(TRIM(B74))=0</formula>
    </cfRule>
  </conditionalFormatting>
  <conditionalFormatting sqref="B74">
    <cfRule type="expression" dxfId="694" priority="773" stopIfTrue="1">
      <formula>LEN(TRIM(B74))=0</formula>
    </cfRule>
  </conditionalFormatting>
  <conditionalFormatting sqref="B74">
    <cfRule type="expression" dxfId="693" priority="772" stopIfTrue="1">
      <formula>LEN(TRIM(B74))=0</formula>
    </cfRule>
  </conditionalFormatting>
  <conditionalFormatting sqref="B74">
    <cfRule type="expression" dxfId="692" priority="771" stopIfTrue="1">
      <formula>LEN(TRIM(B74))=0</formula>
    </cfRule>
  </conditionalFormatting>
  <conditionalFormatting sqref="B74">
    <cfRule type="expression" dxfId="691" priority="770" stopIfTrue="1">
      <formula>LEN(TRIM(B74))=0</formula>
    </cfRule>
  </conditionalFormatting>
  <conditionalFormatting sqref="B74">
    <cfRule type="expression" dxfId="690" priority="769" stopIfTrue="1">
      <formula>LEN(TRIM(B74))=0</formula>
    </cfRule>
  </conditionalFormatting>
  <conditionalFormatting sqref="B74">
    <cfRule type="expression" dxfId="689" priority="768" stopIfTrue="1">
      <formula>LEN(TRIM(B74))=0</formula>
    </cfRule>
  </conditionalFormatting>
  <conditionalFormatting sqref="B74">
    <cfRule type="expression" dxfId="688" priority="767" stopIfTrue="1">
      <formula>LEN(TRIM(B74))=0</formula>
    </cfRule>
  </conditionalFormatting>
  <conditionalFormatting sqref="B74">
    <cfRule type="expression" dxfId="687" priority="766" stopIfTrue="1">
      <formula>LEN(TRIM(B74))=0</formula>
    </cfRule>
  </conditionalFormatting>
  <conditionalFormatting sqref="B74">
    <cfRule type="expression" dxfId="686" priority="765" stopIfTrue="1">
      <formula>LEN(TRIM(B74))=0</formula>
    </cfRule>
  </conditionalFormatting>
  <conditionalFormatting sqref="B74">
    <cfRule type="expression" dxfId="685" priority="764" stopIfTrue="1">
      <formula>LEN(TRIM(B74))=0</formula>
    </cfRule>
  </conditionalFormatting>
  <conditionalFormatting sqref="B74">
    <cfRule type="expression" dxfId="684" priority="763" stopIfTrue="1">
      <formula>LEN(TRIM(B74))=0</formula>
    </cfRule>
  </conditionalFormatting>
  <conditionalFormatting sqref="B74">
    <cfRule type="expression" dxfId="683" priority="762" stopIfTrue="1">
      <formula>LEN(TRIM(B74))=0</formula>
    </cfRule>
  </conditionalFormatting>
  <conditionalFormatting sqref="B74">
    <cfRule type="expression" dxfId="682" priority="761" stopIfTrue="1">
      <formula>LEN(TRIM(B74))=0</formula>
    </cfRule>
  </conditionalFormatting>
  <conditionalFormatting sqref="B74">
    <cfRule type="expression" dxfId="681" priority="760" stopIfTrue="1">
      <formula>LEN(TRIM(B74))=0</formula>
    </cfRule>
  </conditionalFormatting>
  <conditionalFormatting sqref="B74">
    <cfRule type="expression" dxfId="680" priority="759" stopIfTrue="1">
      <formula>LEN(TRIM(B74))=0</formula>
    </cfRule>
  </conditionalFormatting>
  <conditionalFormatting sqref="B74">
    <cfRule type="expression" dxfId="679" priority="758" stopIfTrue="1">
      <formula>LEN(TRIM(B74))=0</formula>
    </cfRule>
  </conditionalFormatting>
  <conditionalFormatting sqref="B74">
    <cfRule type="expression" dxfId="678" priority="757" stopIfTrue="1">
      <formula>LEN(TRIM(B74))=0</formula>
    </cfRule>
  </conditionalFormatting>
  <conditionalFormatting sqref="B74">
    <cfRule type="expression" dxfId="677" priority="756" stopIfTrue="1">
      <formula>LEN(TRIM(B74))=0</formula>
    </cfRule>
  </conditionalFormatting>
  <conditionalFormatting sqref="B74">
    <cfRule type="expression" dxfId="676" priority="755" stopIfTrue="1">
      <formula>LEN(TRIM(B74))=0</formula>
    </cfRule>
  </conditionalFormatting>
  <conditionalFormatting sqref="B74">
    <cfRule type="expression" dxfId="675" priority="754" stopIfTrue="1">
      <formula>LEN(TRIM(B74))=0</formula>
    </cfRule>
  </conditionalFormatting>
  <conditionalFormatting sqref="B74">
    <cfRule type="expression" dxfId="674" priority="753" stopIfTrue="1">
      <formula>LEN(TRIM(B74))=0</formula>
    </cfRule>
  </conditionalFormatting>
  <conditionalFormatting sqref="B74">
    <cfRule type="expression" dxfId="673" priority="752" stopIfTrue="1">
      <formula>LEN(TRIM(B74))=0</formula>
    </cfRule>
  </conditionalFormatting>
  <conditionalFormatting sqref="B74">
    <cfRule type="expression" dxfId="672" priority="751" stopIfTrue="1">
      <formula>LEN(TRIM(B74))=0</formula>
    </cfRule>
  </conditionalFormatting>
  <conditionalFormatting sqref="B74">
    <cfRule type="expression" dxfId="671" priority="750" stopIfTrue="1">
      <formula>LEN(TRIM(B74))=0</formula>
    </cfRule>
  </conditionalFormatting>
  <conditionalFormatting sqref="B74">
    <cfRule type="expression" dxfId="670" priority="749" stopIfTrue="1">
      <formula>LEN(TRIM(B74))=0</formula>
    </cfRule>
  </conditionalFormatting>
  <conditionalFormatting sqref="B74">
    <cfRule type="expression" dxfId="669" priority="748" stopIfTrue="1">
      <formula>LEN(TRIM(B74))=0</formula>
    </cfRule>
  </conditionalFormatting>
  <conditionalFormatting sqref="B74">
    <cfRule type="expression" dxfId="668" priority="747" stopIfTrue="1">
      <formula>LEN(TRIM(B74))=0</formula>
    </cfRule>
  </conditionalFormatting>
  <conditionalFormatting sqref="B74">
    <cfRule type="expression" dxfId="667" priority="746" stopIfTrue="1">
      <formula>LEN(TRIM(B74))=0</formula>
    </cfRule>
  </conditionalFormatting>
  <conditionalFormatting sqref="B74">
    <cfRule type="expression" dxfId="666" priority="745" stopIfTrue="1">
      <formula>LEN(TRIM(B74))=0</formula>
    </cfRule>
  </conditionalFormatting>
  <conditionalFormatting sqref="B74">
    <cfRule type="expression" dxfId="665" priority="744" stopIfTrue="1">
      <formula>LEN(TRIM(B74))=0</formula>
    </cfRule>
  </conditionalFormatting>
  <conditionalFormatting sqref="B74">
    <cfRule type="expression" dxfId="664" priority="743" stopIfTrue="1">
      <formula>LEN(TRIM(B74))=0</formula>
    </cfRule>
  </conditionalFormatting>
  <conditionalFormatting sqref="B74">
    <cfRule type="expression" dxfId="663" priority="742" stopIfTrue="1">
      <formula>LEN(TRIM(B74))=0</formula>
    </cfRule>
  </conditionalFormatting>
  <conditionalFormatting sqref="B74">
    <cfRule type="expression" dxfId="662" priority="741" stopIfTrue="1">
      <formula>LEN(TRIM(B74))=0</formula>
    </cfRule>
  </conditionalFormatting>
  <conditionalFormatting sqref="B74">
    <cfRule type="expression" dxfId="661" priority="740" stopIfTrue="1">
      <formula>LEN(TRIM(B74))=0</formula>
    </cfRule>
  </conditionalFormatting>
  <conditionalFormatting sqref="B74">
    <cfRule type="expression" dxfId="660" priority="739" stopIfTrue="1">
      <formula>LEN(TRIM(B74))=0</formula>
    </cfRule>
  </conditionalFormatting>
  <conditionalFormatting sqref="B74">
    <cfRule type="expression" dxfId="659" priority="738" stopIfTrue="1">
      <formula>LEN(TRIM(B74))=0</formula>
    </cfRule>
  </conditionalFormatting>
  <conditionalFormatting sqref="B74">
    <cfRule type="expression" dxfId="658" priority="737" stopIfTrue="1">
      <formula>LEN(TRIM(B74))=0</formula>
    </cfRule>
  </conditionalFormatting>
  <conditionalFormatting sqref="B74">
    <cfRule type="expression" dxfId="657" priority="736" stopIfTrue="1">
      <formula>LEN(TRIM(B74))=0</formula>
    </cfRule>
  </conditionalFormatting>
  <conditionalFormatting sqref="B74">
    <cfRule type="expression" dxfId="656" priority="735" stopIfTrue="1">
      <formula>LEN(TRIM(B74))=0</formula>
    </cfRule>
  </conditionalFormatting>
  <conditionalFormatting sqref="B74">
    <cfRule type="expression" dxfId="655" priority="734" stopIfTrue="1">
      <formula>LEN(TRIM(B74))=0</formula>
    </cfRule>
  </conditionalFormatting>
  <conditionalFormatting sqref="B74">
    <cfRule type="expression" dxfId="654" priority="733" stopIfTrue="1">
      <formula>LEN(TRIM(B74))=0</formula>
    </cfRule>
  </conditionalFormatting>
  <conditionalFormatting sqref="B74">
    <cfRule type="expression" dxfId="653" priority="732" stopIfTrue="1">
      <formula>LEN(TRIM(B74))=0</formula>
    </cfRule>
  </conditionalFormatting>
  <conditionalFormatting sqref="B74">
    <cfRule type="expression" dxfId="652" priority="731" stopIfTrue="1">
      <formula>LEN(TRIM(B74))=0</formula>
    </cfRule>
  </conditionalFormatting>
  <conditionalFormatting sqref="B74">
    <cfRule type="expression" dxfId="651" priority="730" stopIfTrue="1">
      <formula>LEN(TRIM(B74))=0</formula>
    </cfRule>
  </conditionalFormatting>
  <conditionalFormatting sqref="B74">
    <cfRule type="expression" dxfId="650" priority="729" stopIfTrue="1">
      <formula>LEN(TRIM(B74))=0</formula>
    </cfRule>
  </conditionalFormatting>
  <conditionalFormatting sqref="B74">
    <cfRule type="expression" dxfId="649" priority="728" stopIfTrue="1">
      <formula>LEN(TRIM(B74))=0</formula>
    </cfRule>
  </conditionalFormatting>
  <conditionalFormatting sqref="B74">
    <cfRule type="expression" dxfId="648" priority="727" stopIfTrue="1">
      <formula>LEN(TRIM(B74))=0</formula>
    </cfRule>
  </conditionalFormatting>
  <conditionalFormatting sqref="B74">
    <cfRule type="expression" dxfId="647" priority="726" stopIfTrue="1">
      <formula>LEN(TRIM(B74))=0</formula>
    </cfRule>
  </conditionalFormatting>
  <conditionalFormatting sqref="B74">
    <cfRule type="expression" dxfId="646" priority="725" stopIfTrue="1">
      <formula>LEN(TRIM(B74))=0</formula>
    </cfRule>
  </conditionalFormatting>
  <conditionalFormatting sqref="B74">
    <cfRule type="expression" dxfId="645" priority="724" stopIfTrue="1">
      <formula>LEN(TRIM(B74))=0</formula>
    </cfRule>
  </conditionalFormatting>
  <conditionalFormatting sqref="B74">
    <cfRule type="expression" dxfId="644" priority="723" stopIfTrue="1">
      <formula>LEN(TRIM(B74))=0</formula>
    </cfRule>
  </conditionalFormatting>
  <conditionalFormatting sqref="B79">
    <cfRule type="expression" dxfId="643" priority="722" stopIfTrue="1">
      <formula>LEN(TRIM(B79))=0</formula>
    </cfRule>
  </conditionalFormatting>
  <conditionalFormatting sqref="B79">
    <cfRule type="expression" dxfId="642" priority="721" stopIfTrue="1">
      <formula>LEN(TRIM(B79))=0</formula>
    </cfRule>
  </conditionalFormatting>
  <conditionalFormatting sqref="B79">
    <cfRule type="expression" dxfId="641" priority="720" stopIfTrue="1">
      <formula>LEN(TRIM(B79))=0</formula>
    </cfRule>
  </conditionalFormatting>
  <conditionalFormatting sqref="B79">
    <cfRule type="expression" dxfId="640" priority="719" stopIfTrue="1">
      <formula>LEN(TRIM(B79))=0</formula>
    </cfRule>
  </conditionalFormatting>
  <conditionalFormatting sqref="B79">
    <cfRule type="expression" dxfId="639" priority="718" stopIfTrue="1">
      <formula>LEN(TRIM(B79))=0</formula>
    </cfRule>
  </conditionalFormatting>
  <conditionalFormatting sqref="B79">
    <cfRule type="expression" dxfId="638" priority="717" stopIfTrue="1">
      <formula>LEN(TRIM(B79))=0</formula>
    </cfRule>
  </conditionalFormatting>
  <conditionalFormatting sqref="B79">
    <cfRule type="expression" dxfId="637" priority="716" stopIfTrue="1">
      <formula>LEN(TRIM(B79))=0</formula>
    </cfRule>
  </conditionalFormatting>
  <conditionalFormatting sqref="B79">
    <cfRule type="expression" dxfId="636" priority="715" stopIfTrue="1">
      <formula>LEN(TRIM(B79))=0</formula>
    </cfRule>
  </conditionalFormatting>
  <conditionalFormatting sqref="B79">
    <cfRule type="expression" dxfId="635" priority="714" stopIfTrue="1">
      <formula>LEN(TRIM(B79))=0</formula>
    </cfRule>
  </conditionalFormatting>
  <conditionalFormatting sqref="B79">
    <cfRule type="expression" dxfId="634" priority="713" stopIfTrue="1">
      <formula>LEN(TRIM(B79))=0</formula>
    </cfRule>
  </conditionalFormatting>
  <conditionalFormatting sqref="B79">
    <cfRule type="expression" dxfId="633" priority="712" stopIfTrue="1">
      <formula>LEN(TRIM(B79))=0</formula>
    </cfRule>
  </conditionalFormatting>
  <conditionalFormatting sqref="B79">
    <cfRule type="expression" dxfId="632" priority="711" stopIfTrue="1">
      <formula>LEN(TRIM(B79))=0</formula>
    </cfRule>
  </conditionalFormatting>
  <conditionalFormatting sqref="B79">
    <cfRule type="expression" dxfId="631" priority="710" stopIfTrue="1">
      <formula>LEN(TRIM(B79))=0</formula>
    </cfRule>
  </conditionalFormatting>
  <conditionalFormatting sqref="B79">
    <cfRule type="expression" dxfId="630" priority="709" stopIfTrue="1">
      <formula>LEN(TRIM(B79))=0</formula>
    </cfRule>
  </conditionalFormatting>
  <conditionalFormatting sqref="B79">
    <cfRule type="expression" dxfId="629" priority="708" stopIfTrue="1">
      <formula>LEN(TRIM(B79))=0</formula>
    </cfRule>
  </conditionalFormatting>
  <conditionalFormatting sqref="B79">
    <cfRule type="expression" dxfId="628" priority="707" stopIfTrue="1">
      <formula>LEN(TRIM(B79))=0</formula>
    </cfRule>
  </conditionalFormatting>
  <conditionalFormatting sqref="B79">
    <cfRule type="expression" dxfId="627" priority="706" stopIfTrue="1">
      <formula>LEN(TRIM(B79))=0</formula>
    </cfRule>
  </conditionalFormatting>
  <conditionalFormatting sqref="B79">
    <cfRule type="expression" dxfId="626" priority="705" stopIfTrue="1">
      <formula>LEN(TRIM(B79))=0</formula>
    </cfRule>
  </conditionalFormatting>
  <conditionalFormatting sqref="B79">
    <cfRule type="expression" dxfId="625" priority="704" stopIfTrue="1">
      <formula>LEN(TRIM(B79))=0</formula>
    </cfRule>
  </conditionalFormatting>
  <conditionalFormatting sqref="B79">
    <cfRule type="expression" dxfId="624" priority="703" stopIfTrue="1">
      <formula>LEN(TRIM(B79))=0</formula>
    </cfRule>
  </conditionalFormatting>
  <conditionalFormatting sqref="B79">
    <cfRule type="expression" dxfId="623" priority="702" stopIfTrue="1">
      <formula>LEN(TRIM(B79))=0</formula>
    </cfRule>
  </conditionalFormatting>
  <conditionalFormatting sqref="B79">
    <cfRule type="expression" dxfId="622" priority="701" stopIfTrue="1">
      <formula>LEN(TRIM(B79))=0</formula>
    </cfRule>
  </conditionalFormatting>
  <conditionalFormatting sqref="B79">
    <cfRule type="expression" dxfId="621" priority="700" stopIfTrue="1">
      <formula>LEN(TRIM(B79))=0</formula>
    </cfRule>
  </conditionalFormatting>
  <conditionalFormatting sqref="B79">
    <cfRule type="expression" dxfId="620" priority="699" stopIfTrue="1">
      <formula>LEN(TRIM(B79))=0</formula>
    </cfRule>
  </conditionalFormatting>
  <conditionalFormatting sqref="B79">
    <cfRule type="expression" dxfId="619" priority="698" stopIfTrue="1">
      <formula>LEN(TRIM(B79))=0</formula>
    </cfRule>
  </conditionalFormatting>
  <conditionalFormatting sqref="B79">
    <cfRule type="expression" dxfId="618" priority="697" stopIfTrue="1">
      <formula>LEN(TRIM(B79))=0</formula>
    </cfRule>
  </conditionalFormatting>
  <conditionalFormatting sqref="B79">
    <cfRule type="expression" dxfId="617" priority="696" stopIfTrue="1">
      <formula>LEN(TRIM(B79))=0</formula>
    </cfRule>
  </conditionalFormatting>
  <conditionalFormatting sqref="B79">
    <cfRule type="expression" dxfId="616" priority="695" stopIfTrue="1">
      <formula>LEN(TRIM(B79))=0</formula>
    </cfRule>
  </conditionalFormatting>
  <conditionalFormatting sqref="B79">
    <cfRule type="expression" dxfId="615" priority="694" stopIfTrue="1">
      <formula>LEN(TRIM(B79))=0</formula>
    </cfRule>
  </conditionalFormatting>
  <conditionalFormatting sqref="B79">
    <cfRule type="expression" dxfId="614" priority="693" stopIfTrue="1">
      <formula>LEN(TRIM(B79))=0</formula>
    </cfRule>
  </conditionalFormatting>
  <conditionalFormatting sqref="B79">
    <cfRule type="expression" dxfId="613" priority="692" stopIfTrue="1">
      <formula>LEN(TRIM(B79))=0</formula>
    </cfRule>
  </conditionalFormatting>
  <conditionalFormatting sqref="B79">
    <cfRule type="expression" dxfId="612" priority="691" stopIfTrue="1">
      <formula>LEN(TRIM(B79))=0</formula>
    </cfRule>
  </conditionalFormatting>
  <conditionalFormatting sqref="B79">
    <cfRule type="expression" dxfId="611" priority="690" stopIfTrue="1">
      <formula>LEN(TRIM(B79))=0</formula>
    </cfRule>
  </conditionalFormatting>
  <conditionalFormatting sqref="B79">
    <cfRule type="expression" dxfId="610" priority="689" stopIfTrue="1">
      <formula>LEN(TRIM(B79))=0</formula>
    </cfRule>
  </conditionalFormatting>
  <conditionalFormatting sqref="B79">
    <cfRule type="expression" dxfId="609" priority="688" stopIfTrue="1">
      <formula>LEN(TRIM(B79))=0</formula>
    </cfRule>
  </conditionalFormatting>
  <conditionalFormatting sqref="B79">
    <cfRule type="expression" dxfId="608" priority="687" stopIfTrue="1">
      <formula>LEN(TRIM(B79))=0</formula>
    </cfRule>
  </conditionalFormatting>
  <conditionalFormatting sqref="B79">
    <cfRule type="expression" dxfId="607" priority="686" stopIfTrue="1">
      <formula>LEN(TRIM(B79))=0</formula>
    </cfRule>
  </conditionalFormatting>
  <conditionalFormatting sqref="B79">
    <cfRule type="expression" dxfId="606" priority="685" stopIfTrue="1">
      <formula>LEN(TRIM(B79))=0</formula>
    </cfRule>
  </conditionalFormatting>
  <conditionalFormatting sqref="B79">
    <cfRule type="expression" dxfId="605" priority="684" stopIfTrue="1">
      <formula>LEN(TRIM(B79))=0</formula>
    </cfRule>
  </conditionalFormatting>
  <conditionalFormatting sqref="B79">
    <cfRule type="expression" dxfId="604" priority="683" stopIfTrue="1">
      <formula>LEN(TRIM(B79))=0</formula>
    </cfRule>
  </conditionalFormatting>
  <conditionalFormatting sqref="B79">
    <cfRule type="expression" dxfId="603" priority="682" stopIfTrue="1">
      <formula>LEN(TRIM(B79))=0</formula>
    </cfRule>
  </conditionalFormatting>
  <conditionalFormatting sqref="B79">
    <cfRule type="expression" dxfId="602" priority="681" stopIfTrue="1">
      <formula>LEN(TRIM(B79))=0</formula>
    </cfRule>
  </conditionalFormatting>
  <conditionalFormatting sqref="B79">
    <cfRule type="expression" dxfId="601" priority="680" stopIfTrue="1">
      <formula>LEN(TRIM(B79))=0</formula>
    </cfRule>
  </conditionalFormatting>
  <conditionalFormatting sqref="B79">
    <cfRule type="expression" dxfId="600" priority="679" stopIfTrue="1">
      <formula>LEN(TRIM(B79))=0</formula>
    </cfRule>
  </conditionalFormatting>
  <conditionalFormatting sqref="B79">
    <cfRule type="expression" dxfId="599" priority="678" stopIfTrue="1">
      <formula>LEN(TRIM(B79))=0</formula>
    </cfRule>
  </conditionalFormatting>
  <conditionalFormatting sqref="B79">
    <cfRule type="expression" dxfId="598" priority="677" stopIfTrue="1">
      <formula>LEN(TRIM(B79))=0</formula>
    </cfRule>
  </conditionalFormatting>
  <conditionalFormatting sqref="B79">
    <cfRule type="expression" dxfId="597" priority="676" stopIfTrue="1">
      <formula>LEN(TRIM(B79))=0</formula>
    </cfRule>
  </conditionalFormatting>
  <conditionalFormatting sqref="B79">
    <cfRule type="expression" dxfId="596" priority="675" stopIfTrue="1">
      <formula>LEN(TRIM(B79))=0</formula>
    </cfRule>
  </conditionalFormatting>
  <conditionalFormatting sqref="B79">
    <cfRule type="expression" dxfId="595" priority="674" stopIfTrue="1">
      <formula>LEN(TRIM(B79))=0</formula>
    </cfRule>
  </conditionalFormatting>
  <conditionalFormatting sqref="B79">
    <cfRule type="expression" dxfId="594" priority="673" stopIfTrue="1">
      <formula>LEN(TRIM(B79))=0</formula>
    </cfRule>
  </conditionalFormatting>
  <conditionalFormatting sqref="B79">
    <cfRule type="expression" dxfId="593" priority="672" stopIfTrue="1">
      <formula>LEN(TRIM(B79))=0</formula>
    </cfRule>
  </conditionalFormatting>
  <conditionalFormatting sqref="B79">
    <cfRule type="expression" dxfId="592" priority="671" stopIfTrue="1">
      <formula>LEN(TRIM(B79))=0</formula>
    </cfRule>
  </conditionalFormatting>
  <conditionalFormatting sqref="B79">
    <cfRule type="expression" dxfId="591" priority="670" stopIfTrue="1">
      <formula>LEN(TRIM(B79))=0</formula>
    </cfRule>
  </conditionalFormatting>
  <conditionalFormatting sqref="B79">
    <cfRule type="expression" dxfId="590" priority="669" stopIfTrue="1">
      <formula>LEN(TRIM(B79))=0</formula>
    </cfRule>
  </conditionalFormatting>
  <conditionalFormatting sqref="B79">
    <cfRule type="expression" dxfId="589" priority="668" stopIfTrue="1">
      <formula>LEN(TRIM(B79))=0</formula>
    </cfRule>
  </conditionalFormatting>
  <conditionalFormatting sqref="B79">
    <cfRule type="expression" dxfId="588" priority="667" stopIfTrue="1">
      <formula>LEN(TRIM(B79))=0</formula>
    </cfRule>
  </conditionalFormatting>
  <conditionalFormatting sqref="B79">
    <cfRule type="expression" dxfId="587" priority="666" stopIfTrue="1">
      <formula>LEN(TRIM(B79))=0</formula>
    </cfRule>
  </conditionalFormatting>
  <conditionalFormatting sqref="B79">
    <cfRule type="expression" dxfId="586" priority="665" stopIfTrue="1">
      <formula>LEN(TRIM(B79))=0</formula>
    </cfRule>
  </conditionalFormatting>
  <conditionalFormatting sqref="B79">
    <cfRule type="expression" dxfId="585" priority="664" stopIfTrue="1">
      <formula>LEN(TRIM(B79))=0</formula>
    </cfRule>
  </conditionalFormatting>
  <conditionalFormatting sqref="B79">
    <cfRule type="expression" dxfId="584" priority="663" stopIfTrue="1">
      <formula>LEN(TRIM(B79))=0</formula>
    </cfRule>
  </conditionalFormatting>
  <conditionalFormatting sqref="B79">
    <cfRule type="expression" dxfId="583" priority="662" stopIfTrue="1">
      <formula>LEN(TRIM(B79))=0</formula>
    </cfRule>
  </conditionalFormatting>
  <conditionalFormatting sqref="B79">
    <cfRule type="expression" dxfId="582" priority="661" stopIfTrue="1">
      <formula>LEN(TRIM(B79))=0</formula>
    </cfRule>
  </conditionalFormatting>
  <conditionalFormatting sqref="B79">
    <cfRule type="expression" dxfId="581" priority="660" stopIfTrue="1">
      <formula>LEN(TRIM(B79))=0</formula>
    </cfRule>
  </conditionalFormatting>
  <conditionalFormatting sqref="B79">
    <cfRule type="expression" dxfId="580" priority="659" stopIfTrue="1">
      <formula>LEN(TRIM(B79))=0</formula>
    </cfRule>
  </conditionalFormatting>
  <conditionalFormatting sqref="B79">
    <cfRule type="expression" dxfId="579" priority="658" stopIfTrue="1">
      <formula>LEN(TRIM(B79))=0</formula>
    </cfRule>
  </conditionalFormatting>
  <conditionalFormatting sqref="B79">
    <cfRule type="expression" dxfId="578" priority="657" stopIfTrue="1">
      <formula>LEN(TRIM(B79))=0</formula>
    </cfRule>
  </conditionalFormatting>
  <conditionalFormatting sqref="B79">
    <cfRule type="expression" dxfId="577" priority="656" stopIfTrue="1">
      <formula>LEN(TRIM(B79))=0</formula>
    </cfRule>
  </conditionalFormatting>
  <conditionalFormatting sqref="B79">
    <cfRule type="expression" dxfId="576" priority="655" stopIfTrue="1">
      <formula>LEN(TRIM(B79))=0</formula>
    </cfRule>
  </conditionalFormatting>
  <conditionalFormatting sqref="B79">
    <cfRule type="expression" dxfId="575" priority="654" stopIfTrue="1">
      <formula>LEN(TRIM(B79))=0</formula>
    </cfRule>
  </conditionalFormatting>
  <conditionalFormatting sqref="B79">
    <cfRule type="expression" dxfId="574" priority="653" stopIfTrue="1">
      <formula>LEN(TRIM(B79))=0</formula>
    </cfRule>
  </conditionalFormatting>
  <conditionalFormatting sqref="B79">
    <cfRule type="expression" dxfId="573" priority="652" stopIfTrue="1">
      <formula>LEN(TRIM(B79))=0</formula>
    </cfRule>
  </conditionalFormatting>
  <conditionalFormatting sqref="B79">
    <cfRule type="expression" dxfId="572" priority="651" stopIfTrue="1">
      <formula>LEN(TRIM(B79))=0</formula>
    </cfRule>
  </conditionalFormatting>
  <conditionalFormatting sqref="B79">
    <cfRule type="expression" dxfId="571" priority="650" stopIfTrue="1">
      <formula>LEN(TRIM(B79))=0</formula>
    </cfRule>
  </conditionalFormatting>
  <conditionalFormatting sqref="B79">
    <cfRule type="expression" dxfId="570" priority="649" stopIfTrue="1">
      <formula>LEN(TRIM(B79))=0</formula>
    </cfRule>
  </conditionalFormatting>
  <conditionalFormatting sqref="B79">
    <cfRule type="expression" dxfId="569" priority="648" stopIfTrue="1">
      <formula>LEN(TRIM(B79))=0</formula>
    </cfRule>
  </conditionalFormatting>
  <conditionalFormatting sqref="B79">
    <cfRule type="expression" dxfId="568" priority="647" stopIfTrue="1">
      <formula>LEN(TRIM(B79))=0</formula>
    </cfRule>
  </conditionalFormatting>
  <conditionalFormatting sqref="B79">
    <cfRule type="expression" dxfId="567" priority="646" stopIfTrue="1">
      <formula>LEN(TRIM(B79))=0</formula>
    </cfRule>
  </conditionalFormatting>
  <conditionalFormatting sqref="B79">
    <cfRule type="expression" dxfId="566" priority="645" stopIfTrue="1">
      <formula>LEN(TRIM(B79))=0</formula>
    </cfRule>
  </conditionalFormatting>
  <conditionalFormatting sqref="B79">
    <cfRule type="expression" dxfId="565" priority="644" stopIfTrue="1">
      <formula>LEN(TRIM(B79))=0</formula>
    </cfRule>
  </conditionalFormatting>
  <conditionalFormatting sqref="B79">
    <cfRule type="expression" dxfId="564" priority="643" stopIfTrue="1">
      <formula>LEN(TRIM(B79))=0</formula>
    </cfRule>
  </conditionalFormatting>
  <conditionalFormatting sqref="B81">
    <cfRule type="expression" dxfId="563" priority="642" stopIfTrue="1">
      <formula>LEN(TRIM(B81))=0</formula>
    </cfRule>
  </conditionalFormatting>
  <conditionalFormatting sqref="B81">
    <cfRule type="expression" dxfId="562" priority="641" stopIfTrue="1">
      <formula>LEN(TRIM(B81))=0</formula>
    </cfRule>
  </conditionalFormatting>
  <conditionalFormatting sqref="B81">
    <cfRule type="expression" dxfId="561" priority="640" stopIfTrue="1">
      <formula>LEN(TRIM(B81))=0</formula>
    </cfRule>
  </conditionalFormatting>
  <conditionalFormatting sqref="B81">
    <cfRule type="expression" dxfId="560" priority="639" stopIfTrue="1">
      <formula>LEN(TRIM(B81))=0</formula>
    </cfRule>
  </conditionalFormatting>
  <conditionalFormatting sqref="B81">
    <cfRule type="expression" dxfId="559" priority="638" stopIfTrue="1">
      <formula>LEN(TRIM(B81))=0</formula>
    </cfRule>
  </conditionalFormatting>
  <conditionalFormatting sqref="B81">
    <cfRule type="expression" dxfId="558" priority="637" stopIfTrue="1">
      <formula>LEN(TRIM(B81))=0</formula>
    </cfRule>
  </conditionalFormatting>
  <conditionalFormatting sqref="B81">
    <cfRule type="expression" dxfId="557" priority="636" stopIfTrue="1">
      <formula>LEN(TRIM(B81))=0</formula>
    </cfRule>
  </conditionalFormatting>
  <conditionalFormatting sqref="B81">
    <cfRule type="expression" dxfId="556" priority="635" stopIfTrue="1">
      <formula>LEN(TRIM(B81))=0</formula>
    </cfRule>
  </conditionalFormatting>
  <conditionalFormatting sqref="B81">
    <cfRule type="expression" dxfId="555" priority="634" stopIfTrue="1">
      <formula>LEN(TRIM(B81))=0</formula>
    </cfRule>
  </conditionalFormatting>
  <conditionalFormatting sqref="B81">
    <cfRule type="expression" dxfId="554" priority="633" stopIfTrue="1">
      <formula>LEN(TRIM(B81))=0</formula>
    </cfRule>
  </conditionalFormatting>
  <conditionalFormatting sqref="B81">
    <cfRule type="expression" dxfId="553" priority="632" stopIfTrue="1">
      <formula>LEN(TRIM(B81))=0</formula>
    </cfRule>
  </conditionalFormatting>
  <conditionalFormatting sqref="B81">
    <cfRule type="expression" dxfId="552" priority="631" stopIfTrue="1">
      <formula>LEN(TRIM(B81))=0</formula>
    </cfRule>
  </conditionalFormatting>
  <conditionalFormatting sqref="B81">
    <cfRule type="expression" dxfId="551" priority="630" stopIfTrue="1">
      <formula>LEN(TRIM(B81))=0</formula>
    </cfRule>
  </conditionalFormatting>
  <conditionalFormatting sqref="B81">
    <cfRule type="expression" dxfId="550" priority="629" stopIfTrue="1">
      <formula>LEN(TRIM(B81))=0</formula>
    </cfRule>
  </conditionalFormatting>
  <conditionalFormatting sqref="B81">
    <cfRule type="expression" dxfId="549" priority="628" stopIfTrue="1">
      <formula>LEN(TRIM(B81))=0</formula>
    </cfRule>
  </conditionalFormatting>
  <conditionalFormatting sqref="B81">
    <cfRule type="expression" dxfId="548" priority="627" stopIfTrue="1">
      <formula>LEN(TRIM(B81))=0</formula>
    </cfRule>
  </conditionalFormatting>
  <conditionalFormatting sqref="B81">
    <cfRule type="expression" dxfId="547" priority="626" stopIfTrue="1">
      <formula>LEN(TRIM(B81))=0</formula>
    </cfRule>
  </conditionalFormatting>
  <conditionalFormatting sqref="B81">
    <cfRule type="expression" dxfId="546" priority="625" stopIfTrue="1">
      <formula>LEN(TRIM(B81))=0</formula>
    </cfRule>
  </conditionalFormatting>
  <conditionalFormatting sqref="B81">
    <cfRule type="expression" dxfId="545" priority="624" stopIfTrue="1">
      <formula>LEN(TRIM(B81))=0</formula>
    </cfRule>
  </conditionalFormatting>
  <conditionalFormatting sqref="B81">
    <cfRule type="expression" dxfId="544" priority="623" stopIfTrue="1">
      <formula>LEN(TRIM(B81))=0</formula>
    </cfRule>
  </conditionalFormatting>
  <conditionalFormatting sqref="B81">
    <cfRule type="expression" dxfId="543" priority="622" stopIfTrue="1">
      <formula>LEN(TRIM(B81))=0</formula>
    </cfRule>
  </conditionalFormatting>
  <conditionalFormatting sqref="B81">
    <cfRule type="expression" dxfId="542" priority="621" stopIfTrue="1">
      <formula>LEN(TRIM(B81))=0</formula>
    </cfRule>
  </conditionalFormatting>
  <conditionalFormatting sqref="B81">
    <cfRule type="expression" dxfId="541" priority="620" stopIfTrue="1">
      <formula>LEN(TRIM(B81))=0</formula>
    </cfRule>
  </conditionalFormatting>
  <conditionalFormatting sqref="B81">
    <cfRule type="expression" dxfId="540" priority="619" stopIfTrue="1">
      <formula>LEN(TRIM(B81))=0</formula>
    </cfRule>
  </conditionalFormatting>
  <conditionalFormatting sqref="B81">
    <cfRule type="expression" dxfId="539" priority="618" stopIfTrue="1">
      <formula>LEN(TRIM(B81))=0</formula>
    </cfRule>
  </conditionalFormatting>
  <conditionalFormatting sqref="B81">
    <cfRule type="expression" dxfId="538" priority="617" stopIfTrue="1">
      <formula>LEN(TRIM(B81))=0</formula>
    </cfRule>
  </conditionalFormatting>
  <conditionalFormatting sqref="B81">
    <cfRule type="expression" dxfId="537" priority="616" stopIfTrue="1">
      <formula>LEN(TRIM(B81))=0</formula>
    </cfRule>
  </conditionalFormatting>
  <conditionalFormatting sqref="B81">
    <cfRule type="expression" dxfId="536" priority="615" stopIfTrue="1">
      <formula>LEN(TRIM(B81))=0</formula>
    </cfRule>
  </conditionalFormatting>
  <conditionalFormatting sqref="B81">
    <cfRule type="expression" dxfId="535" priority="614" stopIfTrue="1">
      <formula>LEN(TRIM(B81))=0</formula>
    </cfRule>
  </conditionalFormatting>
  <conditionalFormatting sqref="B81">
    <cfRule type="expression" dxfId="534" priority="613" stopIfTrue="1">
      <formula>LEN(TRIM(B81))=0</formula>
    </cfRule>
  </conditionalFormatting>
  <conditionalFormatting sqref="B81">
    <cfRule type="expression" dxfId="533" priority="612" stopIfTrue="1">
      <formula>LEN(TRIM(B81))=0</formula>
    </cfRule>
  </conditionalFormatting>
  <conditionalFormatting sqref="B81">
    <cfRule type="expression" dxfId="532" priority="611" stopIfTrue="1">
      <formula>LEN(TRIM(B81))=0</formula>
    </cfRule>
  </conditionalFormatting>
  <conditionalFormatting sqref="B81">
    <cfRule type="expression" dxfId="531" priority="610" stopIfTrue="1">
      <formula>LEN(TRIM(B81))=0</formula>
    </cfRule>
  </conditionalFormatting>
  <conditionalFormatting sqref="B81">
    <cfRule type="expression" dxfId="530" priority="609" stopIfTrue="1">
      <formula>LEN(TRIM(B81))=0</formula>
    </cfRule>
  </conditionalFormatting>
  <conditionalFormatting sqref="B81">
    <cfRule type="expression" dxfId="529" priority="608" stopIfTrue="1">
      <formula>LEN(TRIM(B81))=0</formula>
    </cfRule>
  </conditionalFormatting>
  <conditionalFormatting sqref="B81">
    <cfRule type="expression" dxfId="528" priority="607" stopIfTrue="1">
      <formula>LEN(TRIM(B81))=0</formula>
    </cfRule>
  </conditionalFormatting>
  <conditionalFormatting sqref="B81">
    <cfRule type="expression" dxfId="527" priority="606" stopIfTrue="1">
      <formula>LEN(TRIM(B81))=0</formula>
    </cfRule>
  </conditionalFormatting>
  <conditionalFormatting sqref="B81">
    <cfRule type="expression" dxfId="526" priority="605" stopIfTrue="1">
      <formula>LEN(TRIM(B81))=0</formula>
    </cfRule>
  </conditionalFormatting>
  <conditionalFormatting sqref="B81">
    <cfRule type="expression" dxfId="525" priority="604" stopIfTrue="1">
      <formula>LEN(TRIM(B81))=0</formula>
    </cfRule>
  </conditionalFormatting>
  <conditionalFormatting sqref="B81">
    <cfRule type="expression" dxfId="524" priority="603" stopIfTrue="1">
      <formula>LEN(TRIM(B81))=0</formula>
    </cfRule>
  </conditionalFormatting>
  <conditionalFormatting sqref="B81">
    <cfRule type="expression" dxfId="523" priority="602" stopIfTrue="1">
      <formula>LEN(TRIM(B81))=0</formula>
    </cfRule>
  </conditionalFormatting>
  <conditionalFormatting sqref="B81">
    <cfRule type="expression" dxfId="522" priority="601" stopIfTrue="1">
      <formula>LEN(TRIM(B81))=0</formula>
    </cfRule>
  </conditionalFormatting>
  <conditionalFormatting sqref="B81">
    <cfRule type="expression" dxfId="521" priority="600" stopIfTrue="1">
      <formula>LEN(TRIM(B81))=0</formula>
    </cfRule>
  </conditionalFormatting>
  <conditionalFormatting sqref="B81">
    <cfRule type="expression" dxfId="520" priority="599" stopIfTrue="1">
      <formula>LEN(TRIM(B81))=0</formula>
    </cfRule>
  </conditionalFormatting>
  <conditionalFormatting sqref="B81">
    <cfRule type="expression" dxfId="519" priority="598" stopIfTrue="1">
      <formula>LEN(TRIM(B81))=0</formula>
    </cfRule>
  </conditionalFormatting>
  <conditionalFormatting sqref="B81">
    <cfRule type="expression" dxfId="518" priority="597" stopIfTrue="1">
      <formula>LEN(TRIM(B81))=0</formula>
    </cfRule>
  </conditionalFormatting>
  <conditionalFormatting sqref="B81">
    <cfRule type="expression" dxfId="517" priority="596" stopIfTrue="1">
      <formula>LEN(TRIM(B81))=0</formula>
    </cfRule>
  </conditionalFormatting>
  <conditionalFormatting sqref="B81">
    <cfRule type="expression" dxfId="516" priority="595" stopIfTrue="1">
      <formula>LEN(TRIM(B81))=0</formula>
    </cfRule>
  </conditionalFormatting>
  <conditionalFormatting sqref="B81">
    <cfRule type="expression" dxfId="515" priority="594" stopIfTrue="1">
      <formula>LEN(TRIM(B81))=0</formula>
    </cfRule>
  </conditionalFormatting>
  <conditionalFormatting sqref="B81">
    <cfRule type="expression" dxfId="514" priority="593" stopIfTrue="1">
      <formula>LEN(TRIM(B81))=0</formula>
    </cfRule>
  </conditionalFormatting>
  <conditionalFormatting sqref="B81">
    <cfRule type="expression" dxfId="513" priority="592" stopIfTrue="1">
      <formula>LEN(TRIM(B81))=0</formula>
    </cfRule>
  </conditionalFormatting>
  <conditionalFormatting sqref="B81">
    <cfRule type="expression" dxfId="512" priority="591" stopIfTrue="1">
      <formula>LEN(TRIM(B81))=0</formula>
    </cfRule>
  </conditionalFormatting>
  <conditionalFormatting sqref="B81">
    <cfRule type="expression" dxfId="511" priority="590" stopIfTrue="1">
      <formula>LEN(TRIM(B81))=0</formula>
    </cfRule>
  </conditionalFormatting>
  <conditionalFormatting sqref="B81">
    <cfRule type="expression" dxfId="510" priority="589" stopIfTrue="1">
      <formula>LEN(TRIM(B81))=0</formula>
    </cfRule>
  </conditionalFormatting>
  <conditionalFormatting sqref="B81">
    <cfRule type="expression" dxfId="509" priority="588" stopIfTrue="1">
      <formula>LEN(TRIM(B81))=0</formula>
    </cfRule>
  </conditionalFormatting>
  <conditionalFormatting sqref="B81">
    <cfRule type="expression" dxfId="508" priority="587" stopIfTrue="1">
      <formula>LEN(TRIM(B81))=0</formula>
    </cfRule>
  </conditionalFormatting>
  <conditionalFormatting sqref="B81">
    <cfRule type="expression" dxfId="507" priority="586" stopIfTrue="1">
      <formula>LEN(TRIM(B81))=0</formula>
    </cfRule>
  </conditionalFormatting>
  <conditionalFormatting sqref="B81">
    <cfRule type="expression" dxfId="506" priority="585" stopIfTrue="1">
      <formula>LEN(TRIM(B81))=0</formula>
    </cfRule>
  </conditionalFormatting>
  <conditionalFormatting sqref="B81">
    <cfRule type="expression" dxfId="505" priority="584" stopIfTrue="1">
      <formula>LEN(TRIM(B81))=0</formula>
    </cfRule>
  </conditionalFormatting>
  <conditionalFormatting sqref="B81">
    <cfRule type="expression" dxfId="504" priority="583" stopIfTrue="1">
      <formula>LEN(TRIM(B81))=0</formula>
    </cfRule>
  </conditionalFormatting>
  <conditionalFormatting sqref="B81">
    <cfRule type="expression" dxfId="503" priority="582" stopIfTrue="1">
      <formula>LEN(TRIM(B81))=0</formula>
    </cfRule>
  </conditionalFormatting>
  <conditionalFormatting sqref="B81">
    <cfRule type="expression" dxfId="502" priority="581" stopIfTrue="1">
      <formula>LEN(TRIM(B81))=0</formula>
    </cfRule>
  </conditionalFormatting>
  <conditionalFormatting sqref="B81">
    <cfRule type="expression" dxfId="501" priority="580" stopIfTrue="1">
      <formula>LEN(TRIM(B81))=0</formula>
    </cfRule>
  </conditionalFormatting>
  <conditionalFormatting sqref="B81">
    <cfRule type="expression" dxfId="500" priority="579" stopIfTrue="1">
      <formula>LEN(TRIM(B81))=0</formula>
    </cfRule>
  </conditionalFormatting>
  <conditionalFormatting sqref="B81">
    <cfRule type="expression" dxfId="499" priority="578" stopIfTrue="1">
      <formula>LEN(TRIM(B81))=0</formula>
    </cfRule>
  </conditionalFormatting>
  <conditionalFormatting sqref="B81">
    <cfRule type="expression" dxfId="498" priority="577" stopIfTrue="1">
      <formula>LEN(TRIM(B81))=0</formula>
    </cfRule>
  </conditionalFormatting>
  <conditionalFormatting sqref="B81">
    <cfRule type="expression" dxfId="497" priority="576" stopIfTrue="1">
      <formula>LEN(TRIM(B81))=0</formula>
    </cfRule>
  </conditionalFormatting>
  <conditionalFormatting sqref="B81">
    <cfRule type="expression" dxfId="496" priority="575" stopIfTrue="1">
      <formula>LEN(TRIM(B81))=0</formula>
    </cfRule>
  </conditionalFormatting>
  <conditionalFormatting sqref="B81">
    <cfRule type="expression" dxfId="495" priority="574" stopIfTrue="1">
      <formula>LEN(TRIM(B81))=0</formula>
    </cfRule>
  </conditionalFormatting>
  <conditionalFormatting sqref="B81">
    <cfRule type="expression" dxfId="494" priority="573" stopIfTrue="1">
      <formula>LEN(TRIM(B81))=0</formula>
    </cfRule>
  </conditionalFormatting>
  <conditionalFormatting sqref="B81">
    <cfRule type="expression" dxfId="493" priority="572" stopIfTrue="1">
      <formula>LEN(TRIM(B81))=0</formula>
    </cfRule>
  </conditionalFormatting>
  <conditionalFormatting sqref="B81">
    <cfRule type="expression" dxfId="492" priority="571" stopIfTrue="1">
      <formula>LEN(TRIM(B81))=0</formula>
    </cfRule>
  </conditionalFormatting>
  <conditionalFormatting sqref="B81">
    <cfRule type="expression" dxfId="491" priority="570" stopIfTrue="1">
      <formula>LEN(TRIM(B81))=0</formula>
    </cfRule>
  </conditionalFormatting>
  <conditionalFormatting sqref="B81">
    <cfRule type="expression" dxfId="490" priority="569" stopIfTrue="1">
      <formula>LEN(TRIM(B81))=0</formula>
    </cfRule>
  </conditionalFormatting>
  <conditionalFormatting sqref="B81">
    <cfRule type="expression" dxfId="489" priority="568" stopIfTrue="1">
      <formula>LEN(TRIM(B81))=0</formula>
    </cfRule>
  </conditionalFormatting>
  <conditionalFormatting sqref="B81">
    <cfRule type="expression" dxfId="488" priority="567" stopIfTrue="1">
      <formula>LEN(TRIM(B81))=0</formula>
    </cfRule>
  </conditionalFormatting>
  <conditionalFormatting sqref="B81">
    <cfRule type="expression" dxfId="487" priority="566" stopIfTrue="1">
      <formula>LEN(TRIM(B81))=0</formula>
    </cfRule>
  </conditionalFormatting>
  <conditionalFormatting sqref="B81">
    <cfRule type="expression" dxfId="486" priority="565" stopIfTrue="1">
      <formula>LEN(TRIM(B81))=0</formula>
    </cfRule>
  </conditionalFormatting>
  <conditionalFormatting sqref="B81">
    <cfRule type="expression" dxfId="485" priority="564" stopIfTrue="1">
      <formula>LEN(TRIM(B81))=0</formula>
    </cfRule>
  </conditionalFormatting>
  <conditionalFormatting sqref="B81">
    <cfRule type="expression" dxfId="484" priority="563" stopIfTrue="1">
      <formula>LEN(TRIM(B81))=0</formula>
    </cfRule>
  </conditionalFormatting>
  <conditionalFormatting sqref="B83">
    <cfRule type="expression" dxfId="483" priority="522" stopIfTrue="1">
      <formula>LEN(TRIM(B83))=0</formula>
    </cfRule>
  </conditionalFormatting>
  <conditionalFormatting sqref="B83">
    <cfRule type="expression" dxfId="482" priority="521" stopIfTrue="1">
      <formula>LEN(TRIM(B83))=0</formula>
    </cfRule>
  </conditionalFormatting>
  <conditionalFormatting sqref="B83">
    <cfRule type="expression" dxfId="481" priority="520" stopIfTrue="1">
      <formula>LEN(TRIM(B83))=0</formula>
    </cfRule>
  </conditionalFormatting>
  <conditionalFormatting sqref="B83">
    <cfRule type="expression" dxfId="480" priority="519" stopIfTrue="1">
      <formula>LEN(TRIM(B83))=0</formula>
    </cfRule>
  </conditionalFormatting>
  <conditionalFormatting sqref="B83">
    <cfRule type="expression" dxfId="479" priority="518" stopIfTrue="1">
      <formula>LEN(TRIM(B83))=0</formula>
    </cfRule>
  </conditionalFormatting>
  <conditionalFormatting sqref="B83">
    <cfRule type="expression" dxfId="478" priority="517" stopIfTrue="1">
      <formula>LEN(TRIM(B83))=0</formula>
    </cfRule>
  </conditionalFormatting>
  <conditionalFormatting sqref="B83">
    <cfRule type="expression" dxfId="477" priority="516" stopIfTrue="1">
      <formula>LEN(TRIM(B83))=0</formula>
    </cfRule>
  </conditionalFormatting>
  <conditionalFormatting sqref="B83">
    <cfRule type="expression" dxfId="476" priority="515" stopIfTrue="1">
      <formula>LEN(TRIM(B83))=0</formula>
    </cfRule>
  </conditionalFormatting>
  <conditionalFormatting sqref="B83">
    <cfRule type="expression" dxfId="475" priority="514" stopIfTrue="1">
      <formula>LEN(TRIM(B83))=0</formula>
    </cfRule>
  </conditionalFormatting>
  <conditionalFormatting sqref="B83">
    <cfRule type="expression" dxfId="474" priority="513" stopIfTrue="1">
      <formula>LEN(TRIM(B83))=0</formula>
    </cfRule>
  </conditionalFormatting>
  <conditionalFormatting sqref="B83">
    <cfRule type="expression" dxfId="473" priority="512" stopIfTrue="1">
      <formula>LEN(TRIM(B83))=0</formula>
    </cfRule>
  </conditionalFormatting>
  <conditionalFormatting sqref="B83">
    <cfRule type="expression" dxfId="472" priority="511" stopIfTrue="1">
      <formula>LEN(TRIM(B83))=0</formula>
    </cfRule>
  </conditionalFormatting>
  <conditionalFormatting sqref="B83">
    <cfRule type="expression" dxfId="471" priority="510" stopIfTrue="1">
      <formula>LEN(TRIM(B83))=0</formula>
    </cfRule>
  </conditionalFormatting>
  <conditionalFormatting sqref="B83">
    <cfRule type="expression" dxfId="470" priority="509" stopIfTrue="1">
      <formula>LEN(TRIM(B83))=0</formula>
    </cfRule>
  </conditionalFormatting>
  <conditionalFormatting sqref="B83">
    <cfRule type="expression" dxfId="469" priority="508" stopIfTrue="1">
      <formula>LEN(TRIM(B83))=0</formula>
    </cfRule>
  </conditionalFormatting>
  <conditionalFormatting sqref="B83">
    <cfRule type="expression" dxfId="468" priority="507" stopIfTrue="1">
      <formula>LEN(TRIM(B83))=0</formula>
    </cfRule>
  </conditionalFormatting>
  <conditionalFormatting sqref="B83">
    <cfRule type="expression" dxfId="467" priority="506" stopIfTrue="1">
      <formula>LEN(TRIM(B83))=0</formula>
    </cfRule>
  </conditionalFormatting>
  <conditionalFormatting sqref="B83">
    <cfRule type="expression" dxfId="466" priority="505" stopIfTrue="1">
      <formula>LEN(TRIM(B83))=0</formula>
    </cfRule>
  </conditionalFormatting>
  <conditionalFormatting sqref="B83">
    <cfRule type="expression" dxfId="465" priority="504" stopIfTrue="1">
      <formula>LEN(TRIM(B83))=0</formula>
    </cfRule>
  </conditionalFormatting>
  <conditionalFormatting sqref="B83">
    <cfRule type="expression" dxfId="464" priority="503" stopIfTrue="1">
      <formula>LEN(TRIM(B83))=0</formula>
    </cfRule>
  </conditionalFormatting>
  <conditionalFormatting sqref="B83">
    <cfRule type="expression" dxfId="463" priority="502" stopIfTrue="1">
      <formula>LEN(TRIM(B83))=0</formula>
    </cfRule>
  </conditionalFormatting>
  <conditionalFormatting sqref="B83">
    <cfRule type="expression" dxfId="462" priority="501" stopIfTrue="1">
      <formula>LEN(TRIM(B83))=0</formula>
    </cfRule>
  </conditionalFormatting>
  <conditionalFormatting sqref="B83">
    <cfRule type="expression" dxfId="461" priority="500" stopIfTrue="1">
      <formula>LEN(TRIM(B83))=0</formula>
    </cfRule>
  </conditionalFormatting>
  <conditionalFormatting sqref="B83">
    <cfRule type="expression" dxfId="460" priority="499" stopIfTrue="1">
      <formula>LEN(TRIM(B83))=0</formula>
    </cfRule>
  </conditionalFormatting>
  <conditionalFormatting sqref="B83">
    <cfRule type="expression" dxfId="459" priority="498" stopIfTrue="1">
      <formula>LEN(TRIM(B83))=0</formula>
    </cfRule>
  </conditionalFormatting>
  <conditionalFormatting sqref="B83">
    <cfRule type="expression" dxfId="458" priority="497" stopIfTrue="1">
      <formula>LEN(TRIM(B83))=0</formula>
    </cfRule>
  </conditionalFormatting>
  <conditionalFormatting sqref="B83">
    <cfRule type="expression" dxfId="457" priority="496" stopIfTrue="1">
      <formula>LEN(TRIM(B83))=0</formula>
    </cfRule>
  </conditionalFormatting>
  <conditionalFormatting sqref="B83">
    <cfRule type="expression" dxfId="456" priority="495" stopIfTrue="1">
      <formula>LEN(TRIM(B83))=0</formula>
    </cfRule>
  </conditionalFormatting>
  <conditionalFormatting sqref="B83">
    <cfRule type="expression" dxfId="455" priority="494" stopIfTrue="1">
      <formula>LEN(TRIM(B83))=0</formula>
    </cfRule>
  </conditionalFormatting>
  <conditionalFormatting sqref="B83">
    <cfRule type="expression" dxfId="454" priority="493" stopIfTrue="1">
      <formula>LEN(TRIM(B83))=0</formula>
    </cfRule>
  </conditionalFormatting>
  <conditionalFormatting sqref="B83">
    <cfRule type="expression" dxfId="453" priority="492" stopIfTrue="1">
      <formula>LEN(TRIM(B83))=0</formula>
    </cfRule>
  </conditionalFormatting>
  <conditionalFormatting sqref="B83">
    <cfRule type="expression" dxfId="452" priority="491" stopIfTrue="1">
      <formula>LEN(TRIM(B83))=0</formula>
    </cfRule>
  </conditionalFormatting>
  <conditionalFormatting sqref="B83">
    <cfRule type="expression" dxfId="451" priority="490" stopIfTrue="1">
      <formula>LEN(TRIM(B83))=0</formula>
    </cfRule>
  </conditionalFormatting>
  <conditionalFormatting sqref="B83">
    <cfRule type="expression" dxfId="450" priority="489" stopIfTrue="1">
      <formula>LEN(TRIM(B83))=0</formula>
    </cfRule>
  </conditionalFormatting>
  <conditionalFormatting sqref="B83">
    <cfRule type="expression" dxfId="449" priority="488" stopIfTrue="1">
      <formula>LEN(TRIM(B83))=0</formula>
    </cfRule>
  </conditionalFormatting>
  <conditionalFormatting sqref="B83">
    <cfRule type="expression" dxfId="448" priority="487" stopIfTrue="1">
      <formula>LEN(TRIM(B83))=0</formula>
    </cfRule>
  </conditionalFormatting>
  <conditionalFormatting sqref="B83">
    <cfRule type="expression" dxfId="447" priority="486" stopIfTrue="1">
      <formula>LEN(TRIM(B83))=0</formula>
    </cfRule>
  </conditionalFormatting>
  <conditionalFormatting sqref="B83">
    <cfRule type="expression" dxfId="446" priority="485" stopIfTrue="1">
      <formula>LEN(TRIM(B83))=0</formula>
    </cfRule>
  </conditionalFormatting>
  <conditionalFormatting sqref="B83">
    <cfRule type="expression" dxfId="445" priority="484" stopIfTrue="1">
      <formula>LEN(TRIM(B83))=0</formula>
    </cfRule>
  </conditionalFormatting>
  <conditionalFormatting sqref="B83">
    <cfRule type="expression" dxfId="444" priority="483" stopIfTrue="1">
      <formula>LEN(TRIM(B83))=0</formula>
    </cfRule>
  </conditionalFormatting>
  <conditionalFormatting sqref="B88">
    <cfRule type="expression" dxfId="443" priority="482" stopIfTrue="1">
      <formula>LEN(TRIM(B88))=0</formula>
    </cfRule>
  </conditionalFormatting>
  <conditionalFormatting sqref="B88">
    <cfRule type="expression" dxfId="442" priority="481" stopIfTrue="1">
      <formula>LEN(TRIM(B88))=0</formula>
    </cfRule>
  </conditionalFormatting>
  <conditionalFormatting sqref="B88">
    <cfRule type="expression" dxfId="441" priority="480" stopIfTrue="1">
      <formula>LEN(TRIM(B88))=0</formula>
    </cfRule>
  </conditionalFormatting>
  <conditionalFormatting sqref="B88">
    <cfRule type="expression" dxfId="440" priority="479" stopIfTrue="1">
      <formula>LEN(TRIM(B88))=0</formula>
    </cfRule>
  </conditionalFormatting>
  <conditionalFormatting sqref="B88">
    <cfRule type="expression" dxfId="439" priority="478" stopIfTrue="1">
      <formula>LEN(TRIM(B88))=0</formula>
    </cfRule>
  </conditionalFormatting>
  <conditionalFormatting sqref="B88">
    <cfRule type="expression" dxfId="438" priority="477" stopIfTrue="1">
      <formula>LEN(TRIM(B88))=0</formula>
    </cfRule>
  </conditionalFormatting>
  <conditionalFormatting sqref="B88">
    <cfRule type="expression" dxfId="437" priority="476" stopIfTrue="1">
      <formula>LEN(TRIM(B88))=0</formula>
    </cfRule>
  </conditionalFormatting>
  <conditionalFormatting sqref="B88">
    <cfRule type="expression" dxfId="436" priority="475" stopIfTrue="1">
      <formula>LEN(TRIM(B88))=0</formula>
    </cfRule>
  </conditionalFormatting>
  <conditionalFormatting sqref="B88">
    <cfRule type="expression" dxfId="435" priority="474" stopIfTrue="1">
      <formula>LEN(TRIM(B88))=0</formula>
    </cfRule>
  </conditionalFormatting>
  <conditionalFormatting sqref="B88">
    <cfRule type="expression" dxfId="434" priority="473" stopIfTrue="1">
      <formula>LEN(TRIM(B88))=0</formula>
    </cfRule>
  </conditionalFormatting>
  <conditionalFormatting sqref="B88">
    <cfRule type="expression" dxfId="433" priority="472" stopIfTrue="1">
      <formula>LEN(TRIM(B88))=0</formula>
    </cfRule>
  </conditionalFormatting>
  <conditionalFormatting sqref="B88">
    <cfRule type="expression" dxfId="432" priority="471" stopIfTrue="1">
      <formula>LEN(TRIM(B88))=0</formula>
    </cfRule>
  </conditionalFormatting>
  <conditionalFormatting sqref="B88">
    <cfRule type="expression" dxfId="431" priority="470" stopIfTrue="1">
      <formula>LEN(TRIM(B88))=0</formula>
    </cfRule>
  </conditionalFormatting>
  <conditionalFormatting sqref="B88">
    <cfRule type="expression" dxfId="430" priority="469" stopIfTrue="1">
      <formula>LEN(TRIM(B88))=0</formula>
    </cfRule>
  </conditionalFormatting>
  <conditionalFormatting sqref="B88">
    <cfRule type="expression" dxfId="429" priority="468" stopIfTrue="1">
      <formula>LEN(TRIM(B88))=0</formula>
    </cfRule>
  </conditionalFormatting>
  <conditionalFormatting sqref="B88">
    <cfRule type="expression" dxfId="428" priority="467" stopIfTrue="1">
      <formula>LEN(TRIM(B88))=0</formula>
    </cfRule>
  </conditionalFormatting>
  <conditionalFormatting sqref="B88">
    <cfRule type="expression" dxfId="427" priority="466" stopIfTrue="1">
      <formula>LEN(TRIM(B88))=0</formula>
    </cfRule>
  </conditionalFormatting>
  <conditionalFormatting sqref="B88">
    <cfRule type="expression" dxfId="426" priority="465" stopIfTrue="1">
      <formula>LEN(TRIM(B88))=0</formula>
    </cfRule>
  </conditionalFormatting>
  <conditionalFormatting sqref="B88">
    <cfRule type="expression" dxfId="425" priority="464" stopIfTrue="1">
      <formula>LEN(TRIM(B88))=0</formula>
    </cfRule>
  </conditionalFormatting>
  <conditionalFormatting sqref="B88">
    <cfRule type="expression" dxfId="424" priority="463" stopIfTrue="1">
      <formula>LEN(TRIM(B88))=0</formula>
    </cfRule>
  </conditionalFormatting>
  <conditionalFormatting sqref="B88">
    <cfRule type="expression" dxfId="423" priority="462" stopIfTrue="1">
      <formula>LEN(TRIM(B88))=0</formula>
    </cfRule>
  </conditionalFormatting>
  <conditionalFormatting sqref="B88">
    <cfRule type="expression" dxfId="422" priority="461" stopIfTrue="1">
      <formula>LEN(TRIM(B88))=0</formula>
    </cfRule>
  </conditionalFormatting>
  <conditionalFormatting sqref="B88">
    <cfRule type="expression" dxfId="421" priority="460" stopIfTrue="1">
      <formula>LEN(TRIM(B88))=0</formula>
    </cfRule>
  </conditionalFormatting>
  <conditionalFormatting sqref="B88">
    <cfRule type="expression" dxfId="420" priority="459" stopIfTrue="1">
      <formula>LEN(TRIM(B88))=0</formula>
    </cfRule>
  </conditionalFormatting>
  <conditionalFormatting sqref="B88">
    <cfRule type="expression" dxfId="419" priority="458" stopIfTrue="1">
      <formula>LEN(TRIM(B88))=0</formula>
    </cfRule>
  </conditionalFormatting>
  <conditionalFormatting sqref="B88">
    <cfRule type="expression" dxfId="418" priority="457" stopIfTrue="1">
      <formula>LEN(TRIM(B88))=0</formula>
    </cfRule>
  </conditionalFormatting>
  <conditionalFormatting sqref="B88">
    <cfRule type="expression" dxfId="417" priority="456" stopIfTrue="1">
      <formula>LEN(TRIM(B88))=0</formula>
    </cfRule>
  </conditionalFormatting>
  <conditionalFormatting sqref="B88">
    <cfRule type="expression" dxfId="416" priority="455" stopIfTrue="1">
      <formula>LEN(TRIM(B88))=0</formula>
    </cfRule>
  </conditionalFormatting>
  <conditionalFormatting sqref="B88">
    <cfRule type="expression" dxfId="415" priority="454" stopIfTrue="1">
      <formula>LEN(TRIM(B88))=0</formula>
    </cfRule>
  </conditionalFormatting>
  <conditionalFormatting sqref="B88">
    <cfRule type="expression" dxfId="414" priority="453" stopIfTrue="1">
      <formula>LEN(TRIM(B88))=0</formula>
    </cfRule>
  </conditionalFormatting>
  <conditionalFormatting sqref="B88">
    <cfRule type="expression" dxfId="413" priority="452" stopIfTrue="1">
      <formula>LEN(TRIM(B88))=0</formula>
    </cfRule>
  </conditionalFormatting>
  <conditionalFormatting sqref="B88">
    <cfRule type="expression" dxfId="412" priority="451" stopIfTrue="1">
      <formula>LEN(TRIM(B88))=0</formula>
    </cfRule>
  </conditionalFormatting>
  <conditionalFormatting sqref="B88">
    <cfRule type="expression" dxfId="411" priority="450" stopIfTrue="1">
      <formula>LEN(TRIM(B88))=0</formula>
    </cfRule>
  </conditionalFormatting>
  <conditionalFormatting sqref="B88">
    <cfRule type="expression" dxfId="410" priority="449" stopIfTrue="1">
      <formula>LEN(TRIM(B88))=0</formula>
    </cfRule>
  </conditionalFormatting>
  <conditionalFormatting sqref="B88">
    <cfRule type="expression" dxfId="409" priority="448" stopIfTrue="1">
      <formula>LEN(TRIM(B88))=0</formula>
    </cfRule>
  </conditionalFormatting>
  <conditionalFormatting sqref="B88">
    <cfRule type="expression" dxfId="408" priority="447" stopIfTrue="1">
      <formula>LEN(TRIM(B88))=0</formula>
    </cfRule>
  </conditionalFormatting>
  <conditionalFormatting sqref="B88">
    <cfRule type="expression" dxfId="407" priority="446" stopIfTrue="1">
      <formula>LEN(TRIM(B88))=0</formula>
    </cfRule>
  </conditionalFormatting>
  <conditionalFormatting sqref="B88">
    <cfRule type="expression" dxfId="406" priority="445" stopIfTrue="1">
      <formula>LEN(TRIM(B88))=0</formula>
    </cfRule>
  </conditionalFormatting>
  <conditionalFormatting sqref="B88">
    <cfRule type="expression" dxfId="405" priority="444" stopIfTrue="1">
      <formula>LEN(TRIM(B88))=0</formula>
    </cfRule>
  </conditionalFormatting>
  <conditionalFormatting sqref="B88">
    <cfRule type="expression" dxfId="404" priority="443" stopIfTrue="1">
      <formula>LEN(TRIM(B88))=0</formula>
    </cfRule>
  </conditionalFormatting>
  <conditionalFormatting sqref="B90">
    <cfRule type="expression" dxfId="403" priority="402" stopIfTrue="1">
      <formula>LEN(TRIM(B90))=0</formula>
    </cfRule>
  </conditionalFormatting>
  <conditionalFormatting sqref="B90">
    <cfRule type="expression" dxfId="402" priority="401" stopIfTrue="1">
      <formula>LEN(TRIM(B90))=0</formula>
    </cfRule>
  </conditionalFormatting>
  <conditionalFormatting sqref="B90">
    <cfRule type="expression" dxfId="401" priority="400" stopIfTrue="1">
      <formula>LEN(TRIM(B90))=0</formula>
    </cfRule>
  </conditionalFormatting>
  <conditionalFormatting sqref="B90">
    <cfRule type="expression" dxfId="400" priority="399" stopIfTrue="1">
      <formula>LEN(TRIM(B90))=0</formula>
    </cfRule>
  </conditionalFormatting>
  <conditionalFormatting sqref="B90">
    <cfRule type="expression" dxfId="399" priority="398" stopIfTrue="1">
      <formula>LEN(TRIM(B90))=0</formula>
    </cfRule>
  </conditionalFormatting>
  <conditionalFormatting sqref="B90">
    <cfRule type="expression" dxfId="398" priority="397" stopIfTrue="1">
      <formula>LEN(TRIM(B90))=0</formula>
    </cfRule>
  </conditionalFormatting>
  <conditionalFormatting sqref="B90">
    <cfRule type="expression" dxfId="397" priority="396" stopIfTrue="1">
      <formula>LEN(TRIM(B90))=0</formula>
    </cfRule>
  </conditionalFormatting>
  <conditionalFormatting sqref="B90">
    <cfRule type="expression" dxfId="396" priority="395" stopIfTrue="1">
      <formula>LEN(TRIM(B90))=0</formula>
    </cfRule>
  </conditionalFormatting>
  <conditionalFormatting sqref="B90">
    <cfRule type="expression" dxfId="395" priority="394" stopIfTrue="1">
      <formula>LEN(TRIM(B90))=0</formula>
    </cfRule>
  </conditionalFormatting>
  <conditionalFormatting sqref="B90">
    <cfRule type="expression" dxfId="394" priority="393" stopIfTrue="1">
      <formula>LEN(TRIM(B90))=0</formula>
    </cfRule>
  </conditionalFormatting>
  <conditionalFormatting sqref="B90">
    <cfRule type="expression" dxfId="393" priority="392" stopIfTrue="1">
      <formula>LEN(TRIM(B90))=0</formula>
    </cfRule>
  </conditionalFormatting>
  <conditionalFormatting sqref="B90">
    <cfRule type="expression" dxfId="392" priority="391" stopIfTrue="1">
      <formula>LEN(TRIM(B90))=0</formula>
    </cfRule>
  </conditionalFormatting>
  <conditionalFormatting sqref="B90">
    <cfRule type="expression" dxfId="391" priority="390" stopIfTrue="1">
      <formula>LEN(TRIM(B90))=0</formula>
    </cfRule>
  </conditionalFormatting>
  <conditionalFormatting sqref="B90">
    <cfRule type="expression" dxfId="390" priority="389" stopIfTrue="1">
      <formula>LEN(TRIM(B90))=0</formula>
    </cfRule>
  </conditionalFormatting>
  <conditionalFormatting sqref="B90">
    <cfRule type="expression" dxfId="389" priority="388" stopIfTrue="1">
      <formula>LEN(TRIM(B90))=0</formula>
    </cfRule>
  </conditionalFormatting>
  <conditionalFormatting sqref="B90">
    <cfRule type="expression" dxfId="388" priority="387" stopIfTrue="1">
      <formula>LEN(TRIM(B90))=0</formula>
    </cfRule>
  </conditionalFormatting>
  <conditionalFormatting sqref="B90">
    <cfRule type="expression" dxfId="387" priority="386" stopIfTrue="1">
      <formula>LEN(TRIM(B90))=0</formula>
    </cfRule>
  </conditionalFormatting>
  <conditionalFormatting sqref="B90">
    <cfRule type="expression" dxfId="386" priority="385" stopIfTrue="1">
      <formula>LEN(TRIM(B90))=0</formula>
    </cfRule>
  </conditionalFormatting>
  <conditionalFormatting sqref="B90">
    <cfRule type="expression" dxfId="385" priority="384" stopIfTrue="1">
      <formula>LEN(TRIM(B90))=0</formula>
    </cfRule>
  </conditionalFormatting>
  <conditionalFormatting sqref="B90">
    <cfRule type="expression" dxfId="384" priority="383" stopIfTrue="1">
      <formula>LEN(TRIM(B90))=0</formula>
    </cfRule>
  </conditionalFormatting>
  <conditionalFormatting sqref="B90">
    <cfRule type="expression" dxfId="383" priority="382" stopIfTrue="1">
      <formula>LEN(TRIM(B90))=0</formula>
    </cfRule>
  </conditionalFormatting>
  <conditionalFormatting sqref="B90">
    <cfRule type="expression" dxfId="382" priority="381" stopIfTrue="1">
      <formula>LEN(TRIM(B90))=0</formula>
    </cfRule>
  </conditionalFormatting>
  <conditionalFormatting sqref="B90">
    <cfRule type="expression" dxfId="381" priority="380" stopIfTrue="1">
      <formula>LEN(TRIM(B90))=0</formula>
    </cfRule>
  </conditionalFormatting>
  <conditionalFormatting sqref="B90">
    <cfRule type="expression" dxfId="380" priority="379" stopIfTrue="1">
      <formula>LEN(TRIM(B90))=0</formula>
    </cfRule>
  </conditionalFormatting>
  <conditionalFormatting sqref="B90">
    <cfRule type="expression" dxfId="379" priority="378" stopIfTrue="1">
      <formula>LEN(TRIM(B90))=0</formula>
    </cfRule>
  </conditionalFormatting>
  <conditionalFormatting sqref="B90">
    <cfRule type="expression" dxfId="378" priority="377" stopIfTrue="1">
      <formula>LEN(TRIM(B90))=0</formula>
    </cfRule>
  </conditionalFormatting>
  <conditionalFormatting sqref="B90">
    <cfRule type="expression" dxfId="377" priority="376" stopIfTrue="1">
      <formula>LEN(TRIM(B90))=0</formula>
    </cfRule>
  </conditionalFormatting>
  <conditionalFormatting sqref="B90">
    <cfRule type="expression" dxfId="376" priority="375" stopIfTrue="1">
      <formula>LEN(TRIM(B90))=0</formula>
    </cfRule>
  </conditionalFormatting>
  <conditionalFormatting sqref="B90">
    <cfRule type="expression" dxfId="375" priority="374" stopIfTrue="1">
      <formula>LEN(TRIM(B90))=0</formula>
    </cfRule>
  </conditionalFormatting>
  <conditionalFormatting sqref="B90">
    <cfRule type="expression" dxfId="374" priority="373" stopIfTrue="1">
      <formula>LEN(TRIM(B90))=0</formula>
    </cfRule>
  </conditionalFormatting>
  <conditionalFormatting sqref="B90">
    <cfRule type="expression" dxfId="373" priority="372" stopIfTrue="1">
      <formula>LEN(TRIM(B90))=0</formula>
    </cfRule>
  </conditionalFormatting>
  <conditionalFormatting sqref="B90">
    <cfRule type="expression" dxfId="372" priority="371" stopIfTrue="1">
      <formula>LEN(TRIM(B90))=0</formula>
    </cfRule>
  </conditionalFormatting>
  <conditionalFormatting sqref="B90">
    <cfRule type="expression" dxfId="371" priority="370" stopIfTrue="1">
      <formula>LEN(TRIM(B90))=0</formula>
    </cfRule>
  </conditionalFormatting>
  <conditionalFormatting sqref="B90">
    <cfRule type="expression" dxfId="370" priority="369" stopIfTrue="1">
      <formula>LEN(TRIM(B90))=0</formula>
    </cfRule>
  </conditionalFormatting>
  <conditionalFormatting sqref="B90">
    <cfRule type="expression" dxfId="369" priority="368" stopIfTrue="1">
      <formula>LEN(TRIM(B90))=0</formula>
    </cfRule>
  </conditionalFormatting>
  <conditionalFormatting sqref="B90">
    <cfRule type="expression" dxfId="368" priority="367" stopIfTrue="1">
      <formula>LEN(TRIM(B90))=0</formula>
    </cfRule>
  </conditionalFormatting>
  <conditionalFormatting sqref="B90">
    <cfRule type="expression" dxfId="367" priority="366" stopIfTrue="1">
      <formula>LEN(TRIM(B90))=0</formula>
    </cfRule>
  </conditionalFormatting>
  <conditionalFormatting sqref="B90">
    <cfRule type="expression" dxfId="366" priority="365" stopIfTrue="1">
      <formula>LEN(TRIM(B90))=0</formula>
    </cfRule>
  </conditionalFormatting>
  <conditionalFormatting sqref="B90">
    <cfRule type="expression" dxfId="365" priority="364" stopIfTrue="1">
      <formula>LEN(TRIM(B90))=0</formula>
    </cfRule>
  </conditionalFormatting>
  <conditionalFormatting sqref="B90">
    <cfRule type="expression" dxfId="364" priority="363" stopIfTrue="1">
      <formula>LEN(TRIM(B90))=0</formula>
    </cfRule>
  </conditionalFormatting>
  <conditionalFormatting sqref="B90">
    <cfRule type="expression" dxfId="363" priority="362" stopIfTrue="1">
      <formula>LEN(TRIM(B90))=0</formula>
    </cfRule>
  </conditionalFormatting>
  <conditionalFormatting sqref="B90">
    <cfRule type="expression" dxfId="362" priority="361" stopIfTrue="1">
      <formula>LEN(TRIM(B90))=0</formula>
    </cfRule>
  </conditionalFormatting>
  <conditionalFormatting sqref="B90">
    <cfRule type="expression" dxfId="361" priority="360" stopIfTrue="1">
      <formula>LEN(TRIM(B90))=0</formula>
    </cfRule>
  </conditionalFormatting>
  <conditionalFormatting sqref="B90">
    <cfRule type="expression" dxfId="360" priority="359" stopIfTrue="1">
      <formula>LEN(TRIM(B90))=0</formula>
    </cfRule>
  </conditionalFormatting>
  <conditionalFormatting sqref="B90">
    <cfRule type="expression" dxfId="359" priority="358" stopIfTrue="1">
      <formula>LEN(TRIM(B90))=0</formula>
    </cfRule>
  </conditionalFormatting>
  <conditionalFormatting sqref="B90">
    <cfRule type="expression" dxfId="358" priority="357" stopIfTrue="1">
      <formula>LEN(TRIM(B90))=0</formula>
    </cfRule>
  </conditionalFormatting>
  <conditionalFormatting sqref="B90">
    <cfRule type="expression" dxfId="357" priority="356" stopIfTrue="1">
      <formula>LEN(TRIM(B90))=0</formula>
    </cfRule>
  </conditionalFormatting>
  <conditionalFormatting sqref="B90">
    <cfRule type="expression" dxfId="356" priority="355" stopIfTrue="1">
      <formula>LEN(TRIM(B90))=0</formula>
    </cfRule>
  </conditionalFormatting>
  <conditionalFormatting sqref="B90">
    <cfRule type="expression" dxfId="355" priority="354" stopIfTrue="1">
      <formula>LEN(TRIM(B90))=0</formula>
    </cfRule>
  </conditionalFormatting>
  <conditionalFormatting sqref="B90">
    <cfRule type="expression" dxfId="354" priority="353" stopIfTrue="1">
      <formula>LEN(TRIM(B90))=0</formula>
    </cfRule>
  </conditionalFormatting>
  <conditionalFormatting sqref="B90">
    <cfRule type="expression" dxfId="353" priority="352" stopIfTrue="1">
      <formula>LEN(TRIM(B90))=0</formula>
    </cfRule>
  </conditionalFormatting>
  <conditionalFormatting sqref="B90">
    <cfRule type="expression" dxfId="352" priority="351" stopIfTrue="1">
      <formula>LEN(TRIM(B90))=0</formula>
    </cfRule>
  </conditionalFormatting>
  <conditionalFormatting sqref="B90">
    <cfRule type="expression" dxfId="351" priority="350" stopIfTrue="1">
      <formula>LEN(TRIM(B90))=0</formula>
    </cfRule>
  </conditionalFormatting>
  <conditionalFormatting sqref="B90">
    <cfRule type="expression" dxfId="350" priority="349" stopIfTrue="1">
      <formula>LEN(TRIM(B90))=0</formula>
    </cfRule>
  </conditionalFormatting>
  <conditionalFormatting sqref="B90">
    <cfRule type="expression" dxfId="349" priority="348" stopIfTrue="1">
      <formula>LEN(TRIM(B90))=0</formula>
    </cfRule>
  </conditionalFormatting>
  <conditionalFormatting sqref="B90">
    <cfRule type="expression" dxfId="348" priority="347" stopIfTrue="1">
      <formula>LEN(TRIM(B90))=0</formula>
    </cfRule>
  </conditionalFormatting>
  <conditionalFormatting sqref="B90">
    <cfRule type="expression" dxfId="347" priority="346" stopIfTrue="1">
      <formula>LEN(TRIM(B90))=0</formula>
    </cfRule>
  </conditionalFormatting>
  <conditionalFormatting sqref="B90">
    <cfRule type="expression" dxfId="346" priority="345" stopIfTrue="1">
      <formula>LEN(TRIM(B90))=0</formula>
    </cfRule>
  </conditionalFormatting>
  <conditionalFormatting sqref="B90">
    <cfRule type="expression" dxfId="345" priority="344" stopIfTrue="1">
      <formula>LEN(TRIM(B90))=0</formula>
    </cfRule>
  </conditionalFormatting>
  <conditionalFormatting sqref="B90">
    <cfRule type="expression" dxfId="344" priority="343" stopIfTrue="1">
      <formula>LEN(TRIM(B90))=0</formula>
    </cfRule>
  </conditionalFormatting>
  <conditionalFormatting sqref="B90">
    <cfRule type="expression" dxfId="343" priority="342" stopIfTrue="1">
      <formula>LEN(TRIM(B90))=0</formula>
    </cfRule>
  </conditionalFormatting>
  <conditionalFormatting sqref="B90">
    <cfRule type="expression" dxfId="342" priority="341" stopIfTrue="1">
      <formula>LEN(TRIM(B90))=0</formula>
    </cfRule>
  </conditionalFormatting>
  <conditionalFormatting sqref="B90">
    <cfRule type="expression" dxfId="341" priority="340" stopIfTrue="1">
      <formula>LEN(TRIM(B90))=0</formula>
    </cfRule>
  </conditionalFormatting>
  <conditionalFormatting sqref="B90">
    <cfRule type="expression" dxfId="340" priority="339" stopIfTrue="1">
      <formula>LEN(TRIM(B90))=0</formula>
    </cfRule>
  </conditionalFormatting>
  <conditionalFormatting sqref="B90">
    <cfRule type="expression" dxfId="339" priority="338" stopIfTrue="1">
      <formula>LEN(TRIM(B90))=0</formula>
    </cfRule>
  </conditionalFormatting>
  <conditionalFormatting sqref="B90">
    <cfRule type="expression" dxfId="338" priority="337" stopIfTrue="1">
      <formula>LEN(TRIM(B90))=0</formula>
    </cfRule>
  </conditionalFormatting>
  <conditionalFormatting sqref="B90">
    <cfRule type="expression" dxfId="337" priority="336" stopIfTrue="1">
      <formula>LEN(TRIM(B90))=0</formula>
    </cfRule>
  </conditionalFormatting>
  <conditionalFormatting sqref="B90">
    <cfRule type="expression" dxfId="336" priority="335" stopIfTrue="1">
      <formula>LEN(TRIM(B90))=0</formula>
    </cfRule>
  </conditionalFormatting>
  <conditionalFormatting sqref="B90">
    <cfRule type="expression" dxfId="335" priority="334" stopIfTrue="1">
      <formula>LEN(TRIM(B90))=0</formula>
    </cfRule>
  </conditionalFormatting>
  <conditionalFormatting sqref="B90">
    <cfRule type="expression" dxfId="334" priority="333" stopIfTrue="1">
      <formula>LEN(TRIM(B90))=0</formula>
    </cfRule>
  </conditionalFormatting>
  <conditionalFormatting sqref="B90">
    <cfRule type="expression" dxfId="333" priority="332" stopIfTrue="1">
      <formula>LEN(TRIM(B90))=0</formula>
    </cfRule>
  </conditionalFormatting>
  <conditionalFormatting sqref="B90">
    <cfRule type="expression" dxfId="332" priority="331" stopIfTrue="1">
      <formula>LEN(TRIM(B90))=0</formula>
    </cfRule>
  </conditionalFormatting>
  <conditionalFormatting sqref="B90">
    <cfRule type="expression" dxfId="331" priority="330" stopIfTrue="1">
      <formula>LEN(TRIM(B90))=0</formula>
    </cfRule>
  </conditionalFormatting>
  <conditionalFormatting sqref="B90">
    <cfRule type="expression" dxfId="330" priority="329" stopIfTrue="1">
      <formula>LEN(TRIM(B90))=0</formula>
    </cfRule>
  </conditionalFormatting>
  <conditionalFormatting sqref="B90">
    <cfRule type="expression" dxfId="329" priority="328" stopIfTrue="1">
      <formula>LEN(TRIM(B90))=0</formula>
    </cfRule>
  </conditionalFormatting>
  <conditionalFormatting sqref="B90">
    <cfRule type="expression" dxfId="328" priority="327" stopIfTrue="1">
      <formula>LEN(TRIM(B90))=0</formula>
    </cfRule>
  </conditionalFormatting>
  <conditionalFormatting sqref="B90">
    <cfRule type="expression" dxfId="327" priority="326" stopIfTrue="1">
      <formula>LEN(TRIM(B90))=0</formula>
    </cfRule>
  </conditionalFormatting>
  <conditionalFormatting sqref="B90">
    <cfRule type="expression" dxfId="326" priority="325" stopIfTrue="1">
      <formula>LEN(TRIM(B90))=0</formula>
    </cfRule>
  </conditionalFormatting>
  <conditionalFormatting sqref="B90">
    <cfRule type="expression" dxfId="325" priority="324" stopIfTrue="1">
      <formula>LEN(TRIM(B90))=0</formula>
    </cfRule>
  </conditionalFormatting>
  <conditionalFormatting sqref="B90">
    <cfRule type="expression" dxfId="324" priority="323" stopIfTrue="1">
      <formula>LEN(TRIM(B90))=0</formula>
    </cfRule>
  </conditionalFormatting>
  <conditionalFormatting sqref="B92">
    <cfRule type="expression" dxfId="323" priority="322" stopIfTrue="1">
      <formula>LEN(TRIM(B92))=0</formula>
    </cfRule>
  </conditionalFormatting>
  <conditionalFormatting sqref="B92">
    <cfRule type="expression" dxfId="322" priority="321" stopIfTrue="1">
      <formula>LEN(TRIM(B92))=0</formula>
    </cfRule>
  </conditionalFormatting>
  <conditionalFormatting sqref="B92">
    <cfRule type="expression" dxfId="321" priority="320" stopIfTrue="1">
      <formula>LEN(TRIM(B92))=0</formula>
    </cfRule>
  </conditionalFormatting>
  <conditionalFormatting sqref="B92">
    <cfRule type="expression" dxfId="320" priority="319" stopIfTrue="1">
      <formula>LEN(TRIM(B92))=0</formula>
    </cfRule>
  </conditionalFormatting>
  <conditionalFormatting sqref="B92">
    <cfRule type="expression" dxfId="319" priority="318" stopIfTrue="1">
      <formula>LEN(TRIM(B92))=0</formula>
    </cfRule>
  </conditionalFormatting>
  <conditionalFormatting sqref="B92">
    <cfRule type="expression" dxfId="318" priority="317" stopIfTrue="1">
      <formula>LEN(TRIM(B92))=0</formula>
    </cfRule>
  </conditionalFormatting>
  <conditionalFormatting sqref="B92">
    <cfRule type="expression" dxfId="317" priority="316" stopIfTrue="1">
      <formula>LEN(TRIM(B92))=0</formula>
    </cfRule>
  </conditionalFormatting>
  <conditionalFormatting sqref="B92">
    <cfRule type="expression" dxfId="316" priority="315" stopIfTrue="1">
      <formula>LEN(TRIM(B92))=0</formula>
    </cfRule>
  </conditionalFormatting>
  <conditionalFormatting sqref="B92">
    <cfRule type="expression" dxfId="315" priority="314" stopIfTrue="1">
      <formula>LEN(TRIM(B92))=0</formula>
    </cfRule>
  </conditionalFormatting>
  <conditionalFormatting sqref="B92">
    <cfRule type="expression" dxfId="314" priority="313" stopIfTrue="1">
      <formula>LEN(TRIM(B92))=0</formula>
    </cfRule>
  </conditionalFormatting>
  <conditionalFormatting sqref="B92">
    <cfRule type="expression" dxfId="313" priority="312" stopIfTrue="1">
      <formula>LEN(TRIM(B92))=0</formula>
    </cfRule>
  </conditionalFormatting>
  <conditionalFormatting sqref="B92">
    <cfRule type="expression" dxfId="312" priority="311" stopIfTrue="1">
      <formula>LEN(TRIM(B92))=0</formula>
    </cfRule>
  </conditionalFormatting>
  <conditionalFormatting sqref="B92">
    <cfRule type="expression" dxfId="311" priority="310" stopIfTrue="1">
      <formula>LEN(TRIM(B92))=0</formula>
    </cfRule>
  </conditionalFormatting>
  <conditionalFormatting sqref="B92">
    <cfRule type="expression" dxfId="310" priority="309" stopIfTrue="1">
      <formula>LEN(TRIM(B92))=0</formula>
    </cfRule>
  </conditionalFormatting>
  <conditionalFormatting sqref="B92">
    <cfRule type="expression" dxfId="309" priority="308" stopIfTrue="1">
      <formula>LEN(TRIM(B92))=0</formula>
    </cfRule>
  </conditionalFormatting>
  <conditionalFormatting sqref="B92">
    <cfRule type="expression" dxfId="308" priority="307" stopIfTrue="1">
      <formula>LEN(TRIM(B92))=0</formula>
    </cfRule>
  </conditionalFormatting>
  <conditionalFormatting sqref="B92">
    <cfRule type="expression" dxfId="307" priority="306" stopIfTrue="1">
      <formula>LEN(TRIM(B92))=0</formula>
    </cfRule>
  </conditionalFormatting>
  <conditionalFormatting sqref="B92">
    <cfRule type="expression" dxfId="306" priority="305" stopIfTrue="1">
      <formula>LEN(TRIM(B92))=0</formula>
    </cfRule>
  </conditionalFormatting>
  <conditionalFormatting sqref="B92">
    <cfRule type="expression" dxfId="305" priority="304" stopIfTrue="1">
      <formula>LEN(TRIM(B92))=0</formula>
    </cfRule>
  </conditionalFormatting>
  <conditionalFormatting sqref="B92">
    <cfRule type="expression" dxfId="304" priority="303" stopIfTrue="1">
      <formula>LEN(TRIM(B92))=0</formula>
    </cfRule>
  </conditionalFormatting>
  <conditionalFormatting sqref="B92">
    <cfRule type="expression" dxfId="303" priority="302" stopIfTrue="1">
      <formula>LEN(TRIM(B92))=0</formula>
    </cfRule>
  </conditionalFormatting>
  <conditionalFormatting sqref="B92">
    <cfRule type="expression" dxfId="302" priority="301" stopIfTrue="1">
      <formula>LEN(TRIM(B92))=0</formula>
    </cfRule>
  </conditionalFormatting>
  <conditionalFormatting sqref="B92">
    <cfRule type="expression" dxfId="301" priority="300" stopIfTrue="1">
      <formula>LEN(TRIM(B92))=0</formula>
    </cfRule>
  </conditionalFormatting>
  <conditionalFormatting sqref="B92">
    <cfRule type="expression" dxfId="300" priority="299" stopIfTrue="1">
      <formula>LEN(TRIM(B92))=0</formula>
    </cfRule>
  </conditionalFormatting>
  <conditionalFormatting sqref="B92">
    <cfRule type="expression" dxfId="299" priority="298" stopIfTrue="1">
      <formula>LEN(TRIM(B92))=0</formula>
    </cfRule>
  </conditionalFormatting>
  <conditionalFormatting sqref="B92">
    <cfRule type="expression" dxfId="298" priority="297" stopIfTrue="1">
      <formula>LEN(TRIM(B92))=0</formula>
    </cfRule>
  </conditionalFormatting>
  <conditionalFormatting sqref="B92">
    <cfRule type="expression" dxfId="297" priority="296" stopIfTrue="1">
      <formula>LEN(TRIM(B92))=0</formula>
    </cfRule>
  </conditionalFormatting>
  <conditionalFormatting sqref="B92">
    <cfRule type="expression" dxfId="296" priority="295" stopIfTrue="1">
      <formula>LEN(TRIM(B92))=0</formula>
    </cfRule>
  </conditionalFormatting>
  <conditionalFormatting sqref="B92">
    <cfRule type="expression" dxfId="295" priority="294" stopIfTrue="1">
      <formula>LEN(TRIM(B92))=0</formula>
    </cfRule>
  </conditionalFormatting>
  <conditionalFormatting sqref="B92">
    <cfRule type="expression" dxfId="294" priority="293" stopIfTrue="1">
      <formula>LEN(TRIM(B92))=0</formula>
    </cfRule>
  </conditionalFormatting>
  <conditionalFormatting sqref="B92">
    <cfRule type="expression" dxfId="293" priority="292" stopIfTrue="1">
      <formula>LEN(TRIM(B92))=0</formula>
    </cfRule>
  </conditionalFormatting>
  <conditionalFormatting sqref="B92">
    <cfRule type="expression" dxfId="292" priority="291" stopIfTrue="1">
      <formula>LEN(TRIM(B92))=0</formula>
    </cfRule>
  </conditionalFormatting>
  <conditionalFormatting sqref="B92">
    <cfRule type="expression" dxfId="291" priority="290" stopIfTrue="1">
      <formula>LEN(TRIM(B92))=0</formula>
    </cfRule>
  </conditionalFormatting>
  <conditionalFormatting sqref="B92">
    <cfRule type="expression" dxfId="290" priority="289" stopIfTrue="1">
      <formula>LEN(TRIM(B92))=0</formula>
    </cfRule>
  </conditionalFormatting>
  <conditionalFormatting sqref="B92">
    <cfRule type="expression" dxfId="289" priority="288" stopIfTrue="1">
      <formula>LEN(TRIM(B92))=0</formula>
    </cfRule>
  </conditionalFormatting>
  <conditionalFormatting sqref="B92">
    <cfRule type="expression" dxfId="288" priority="287" stopIfTrue="1">
      <formula>LEN(TRIM(B92))=0</formula>
    </cfRule>
  </conditionalFormatting>
  <conditionalFormatting sqref="B92">
    <cfRule type="expression" dxfId="287" priority="286" stopIfTrue="1">
      <formula>LEN(TRIM(B92))=0</formula>
    </cfRule>
  </conditionalFormatting>
  <conditionalFormatting sqref="B92">
    <cfRule type="expression" dxfId="286" priority="285" stopIfTrue="1">
      <formula>LEN(TRIM(B92))=0</formula>
    </cfRule>
  </conditionalFormatting>
  <conditionalFormatting sqref="B92">
    <cfRule type="expression" dxfId="285" priority="284" stopIfTrue="1">
      <formula>LEN(TRIM(B92))=0</formula>
    </cfRule>
  </conditionalFormatting>
  <conditionalFormatting sqref="B92">
    <cfRule type="expression" dxfId="284" priority="283" stopIfTrue="1">
      <formula>LEN(TRIM(B92))=0</formula>
    </cfRule>
  </conditionalFormatting>
  <conditionalFormatting sqref="B92">
    <cfRule type="expression" dxfId="283" priority="282" stopIfTrue="1">
      <formula>LEN(TRIM(B92))=0</formula>
    </cfRule>
  </conditionalFormatting>
  <conditionalFormatting sqref="B92">
    <cfRule type="expression" dxfId="282" priority="281" stopIfTrue="1">
      <formula>LEN(TRIM(B92))=0</formula>
    </cfRule>
  </conditionalFormatting>
  <conditionalFormatting sqref="B92">
    <cfRule type="expression" dxfId="281" priority="280" stopIfTrue="1">
      <formula>LEN(TRIM(B92))=0</formula>
    </cfRule>
  </conditionalFormatting>
  <conditionalFormatting sqref="B92">
    <cfRule type="expression" dxfId="280" priority="279" stopIfTrue="1">
      <formula>LEN(TRIM(B92))=0</formula>
    </cfRule>
  </conditionalFormatting>
  <conditionalFormatting sqref="B92">
    <cfRule type="expression" dxfId="279" priority="278" stopIfTrue="1">
      <formula>LEN(TRIM(B92))=0</formula>
    </cfRule>
  </conditionalFormatting>
  <conditionalFormatting sqref="B92">
    <cfRule type="expression" dxfId="278" priority="277" stopIfTrue="1">
      <formula>LEN(TRIM(B92))=0</formula>
    </cfRule>
  </conditionalFormatting>
  <conditionalFormatting sqref="B92">
    <cfRule type="expression" dxfId="277" priority="276" stopIfTrue="1">
      <formula>LEN(TRIM(B92))=0</formula>
    </cfRule>
  </conditionalFormatting>
  <conditionalFormatting sqref="B92">
    <cfRule type="expression" dxfId="276" priority="275" stopIfTrue="1">
      <formula>LEN(TRIM(B92))=0</formula>
    </cfRule>
  </conditionalFormatting>
  <conditionalFormatting sqref="B92">
    <cfRule type="expression" dxfId="275" priority="274" stopIfTrue="1">
      <formula>LEN(TRIM(B92))=0</formula>
    </cfRule>
  </conditionalFormatting>
  <conditionalFormatting sqref="B92">
    <cfRule type="expression" dxfId="274" priority="273" stopIfTrue="1">
      <formula>LEN(TRIM(B92))=0</formula>
    </cfRule>
  </conditionalFormatting>
  <conditionalFormatting sqref="B92">
    <cfRule type="expression" dxfId="273" priority="272" stopIfTrue="1">
      <formula>LEN(TRIM(B92))=0</formula>
    </cfRule>
  </conditionalFormatting>
  <conditionalFormatting sqref="B92">
    <cfRule type="expression" dxfId="272" priority="271" stopIfTrue="1">
      <formula>LEN(TRIM(B92))=0</formula>
    </cfRule>
  </conditionalFormatting>
  <conditionalFormatting sqref="B92">
    <cfRule type="expression" dxfId="271" priority="270" stopIfTrue="1">
      <formula>LEN(TRIM(B92))=0</formula>
    </cfRule>
  </conditionalFormatting>
  <conditionalFormatting sqref="B92">
    <cfRule type="expression" dxfId="270" priority="269" stopIfTrue="1">
      <formula>LEN(TRIM(B92))=0</formula>
    </cfRule>
  </conditionalFormatting>
  <conditionalFormatting sqref="B92">
    <cfRule type="expression" dxfId="269" priority="268" stopIfTrue="1">
      <formula>LEN(TRIM(B92))=0</formula>
    </cfRule>
  </conditionalFormatting>
  <conditionalFormatting sqref="B92">
    <cfRule type="expression" dxfId="268" priority="267" stopIfTrue="1">
      <formula>LEN(TRIM(B92))=0</formula>
    </cfRule>
  </conditionalFormatting>
  <conditionalFormatting sqref="B92">
    <cfRule type="expression" dxfId="267" priority="266" stopIfTrue="1">
      <formula>LEN(TRIM(B92))=0</formula>
    </cfRule>
  </conditionalFormatting>
  <conditionalFormatting sqref="B92">
    <cfRule type="expression" dxfId="266" priority="265" stopIfTrue="1">
      <formula>LEN(TRIM(B92))=0</formula>
    </cfRule>
  </conditionalFormatting>
  <conditionalFormatting sqref="B92">
    <cfRule type="expression" dxfId="265" priority="264" stopIfTrue="1">
      <formula>LEN(TRIM(B92))=0</formula>
    </cfRule>
  </conditionalFormatting>
  <conditionalFormatting sqref="B92">
    <cfRule type="expression" dxfId="264" priority="263" stopIfTrue="1">
      <formula>LEN(TRIM(B92))=0</formula>
    </cfRule>
  </conditionalFormatting>
  <conditionalFormatting sqref="B92">
    <cfRule type="expression" dxfId="263" priority="262" stopIfTrue="1">
      <formula>LEN(TRIM(B92))=0</formula>
    </cfRule>
  </conditionalFormatting>
  <conditionalFormatting sqref="B92">
    <cfRule type="expression" dxfId="262" priority="261" stopIfTrue="1">
      <formula>LEN(TRIM(B92))=0</formula>
    </cfRule>
  </conditionalFormatting>
  <conditionalFormatting sqref="B92">
    <cfRule type="expression" dxfId="261" priority="260" stopIfTrue="1">
      <formula>LEN(TRIM(B92))=0</formula>
    </cfRule>
  </conditionalFormatting>
  <conditionalFormatting sqref="B92">
    <cfRule type="expression" dxfId="260" priority="259" stopIfTrue="1">
      <formula>LEN(TRIM(B92))=0</formula>
    </cfRule>
  </conditionalFormatting>
  <conditionalFormatting sqref="B92">
    <cfRule type="expression" dxfId="259" priority="258" stopIfTrue="1">
      <formula>LEN(TRIM(B92))=0</formula>
    </cfRule>
  </conditionalFormatting>
  <conditionalFormatting sqref="B92">
    <cfRule type="expression" dxfId="258" priority="257" stopIfTrue="1">
      <formula>LEN(TRIM(B92))=0</formula>
    </cfRule>
  </conditionalFormatting>
  <conditionalFormatting sqref="B92">
    <cfRule type="expression" dxfId="257" priority="256" stopIfTrue="1">
      <formula>LEN(TRIM(B92))=0</formula>
    </cfRule>
  </conditionalFormatting>
  <conditionalFormatting sqref="B92">
    <cfRule type="expression" dxfId="256" priority="255" stopIfTrue="1">
      <formula>LEN(TRIM(B92))=0</formula>
    </cfRule>
  </conditionalFormatting>
  <conditionalFormatting sqref="B92">
    <cfRule type="expression" dxfId="255" priority="254" stopIfTrue="1">
      <formula>LEN(TRIM(B92))=0</formula>
    </cfRule>
  </conditionalFormatting>
  <conditionalFormatting sqref="B92">
    <cfRule type="expression" dxfId="254" priority="253" stopIfTrue="1">
      <formula>LEN(TRIM(B92))=0</formula>
    </cfRule>
  </conditionalFormatting>
  <conditionalFormatting sqref="B92">
    <cfRule type="expression" dxfId="253" priority="252" stopIfTrue="1">
      <formula>LEN(TRIM(B92))=0</formula>
    </cfRule>
  </conditionalFormatting>
  <conditionalFormatting sqref="B92">
    <cfRule type="expression" dxfId="252" priority="251" stopIfTrue="1">
      <formula>LEN(TRIM(B92))=0</formula>
    </cfRule>
  </conditionalFormatting>
  <conditionalFormatting sqref="B92">
    <cfRule type="expression" dxfId="251" priority="250" stopIfTrue="1">
      <formula>LEN(TRIM(B92))=0</formula>
    </cfRule>
  </conditionalFormatting>
  <conditionalFormatting sqref="B92">
    <cfRule type="expression" dxfId="250" priority="249" stopIfTrue="1">
      <formula>LEN(TRIM(B92))=0</formula>
    </cfRule>
  </conditionalFormatting>
  <conditionalFormatting sqref="B92">
    <cfRule type="expression" dxfId="249" priority="248" stopIfTrue="1">
      <formula>LEN(TRIM(B92))=0</formula>
    </cfRule>
  </conditionalFormatting>
  <conditionalFormatting sqref="B92">
    <cfRule type="expression" dxfId="248" priority="247" stopIfTrue="1">
      <formula>LEN(TRIM(B92))=0</formula>
    </cfRule>
  </conditionalFormatting>
  <conditionalFormatting sqref="B92">
    <cfRule type="expression" dxfId="247" priority="246" stopIfTrue="1">
      <formula>LEN(TRIM(B92))=0</formula>
    </cfRule>
  </conditionalFormatting>
  <conditionalFormatting sqref="B92">
    <cfRule type="expression" dxfId="246" priority="245" stopIfTrue="1">
      <formula>LEN(TRIM(B92))=0</formula>
    </cfRule>
  </conditionalFormatting>
  <conditionalFormatting sqref="B92">
    <cfRule type="expression" dxfId="245" priority="244" stopIfTrue="1">
      <formula>LEN(TRIM(B92))=0</formula>
    </cfRule>
  </conditionalFormatting>
  <conditionalFormatting sqref="B92">
    <cfRule type="expression" dxfId="244" priority="243" stopIfTrue="1">
      <formula>LEN(TRIM(B92))=0</formula>
    </cfRule>
  </conditionalFormatting>
  <conditionalFormatting sqref="B15">
    <cfRule type="expression" dxfId="243" priority="82" stopIfTrue="1">
      <formula>LEN(TRIM(B15))=0</formula>
    </cfRule>
  </conditionalFormatting>
  <conditionalFormatting sqref="B15">
    <cfRule type="expression" dxfId="242" priority="81" stopIfTrue="1">
      <formula>LEN(TRIM(B15))=0</formula>
    </cfRule>
  </conditionalFormatting>
  <conditionalFormatting sqref="B17">
    <cfRule type="expression" dxfId="241" priority="80" stopIfTrue="1">
      <formula>LEN(TRIM(B17))=0</formula>
    </cfRule>
  </conditionalFormatting>
  <conditionalFormatting sqref="B17">
    <cfRule type="expression" dxfId="240" priority="79" stopIfTrue="1">
      <formula>LEN(TRIM(B17))=0</formula>
    </cfRule>
  </conditionalFormatting>
  <conditionalFormatting sqref="B17">
    <cfRule type="expression" dxfId="239" priority="78" stopIfTrue="1">
      <formula>LEN(TRIM(B17))=0</formula>
    </cfRule>
  </conditionalFormatting>
  <conditionalFormatting sqref="B17">
    <cfRule type="expression" dxfId="238" priority="77" stopIfTrue="1">
      <formula>LEN(TRIM(B17))=0</formula>
    </cfRule>
  </conditionalFormatting>
  <conditionalFormatting sqref="B17">
    <cfRule type="expression" dxfId="237" priority="76" stopIfTrue="1">
      <formula>LEN(TRIM(B17))=0</formula>
    </cfRule>
  </conditionalFormatting>
  <conditionalFormatting sqref="B17">
    <cfRule type="expression" dxfId="236" priority="75" stopIfTrue="1">
      <formula>LEN(TRIM(B17))=0</formula>
    </cfRule>
  </conditionalFormatting>
  <conditionalFormatting sqref="B17">
    <cfRule type="expression" dxfId="235" priority="74" stopIfTrue="1">
      <formula>LEN(TRIM(B17))=0</formula>
    </cfRule>
  </conditionalFormatting>
  <conditionalFormatting sqref="B17">
    <cfRule type="expression" dxfId="234" priority="73" stopIfTrue="1">
      <formula>LEN(TRIM(B17))=0</formula>
    </cfRule>
  </conditionalFormatting>
  <conditionalFormatting sqref="B17">
    <cfRule type="expression" dxfId="233" priority="72" stopIfTrue="1">
      <formula>LEN(TRIM(B17))=0</formula>
    </cfRule>
  </conditionalFormatting>
  <conditionalFormatting sqref="B17">
    <cfRule type="expression" dxfId="232" priority="71" stopIfTrue="1">
      <formula>LEN(TRIM(B17))=0</formula>
    </cfRule>
  </conditionalFormatting>
  <conditionalFormatting sqref="B17">
    <cfRule type="expression" dxfId="231" priority="70" stopIfTrue="1">
      <formula>LEN(TRIM(B17))=0</formula>
    </cfRule>
  </conditionalFormatting>
  <conditionalFormatting sqref="B17">
    <cfRule type="expression" dxfId="230" priority="69" stopIfTrue="1">
      <formula>LEN(TRIM(B17))=0</formula>
    </cfRule>
  </conditionalFormatting>
  <conditionalFormatting sqref="B17">
    <cfRule type="expression" dxfId="229" priority="68" stopIfTrue="1">
      <formula>LEN(TRIM(B17))=0</formula>
    </cfRule>
  </conditionalFormatting>
  <conditionalFormatting sqref="B17">
    <cfRule type="expression" dxfId="228" priority="67" stopIfTrue="1">
      <formula>LEN(TRIM(B17))=0</formula>
    </cfRule>
  </conditionalFormatting>
  <conditionalFormatting sqref="B17">
    <cfRule type="expression" dxfId="227" priority="66" stopIfTrue="1">
      <formula>LEN(TRIM(B17))=0</formula>
    </cfRule>
  </conditionalFormatting>
  <conditionalFormatting sqref="B17">
    <cfRule type="expression" dxfId="226" priority="65" stopIfTrue="1">
      <formula>LEN(TRIM(B17))=0</formula>
    </cfRule>
  </conditionalFormatting>
  <conditionalFormatting sqref="B17">
    <cfRule type="expression" dxfId="225" priority="64" stopIfTrue="1">
      <formula>LEN(TRIM(B17))=0</formula>
    </cfRule>
  </conditionalFormatting>
  <conditionalFormatting sqref="B17">
    <cfRule type="expression" dxfId="224" priority="63" stopIfTrue="1">
      <formula>LEN(TRIM(B17))=0</formula>
    </cfRule>
  </conditionalFormatting>
  <conditionalFormatting sqref="B17">
    <cfRule type="expression" dxfId="223" priority="62" stopIfTrue="1">
      <formula>LEN(TRIM(B17))=0</formula>
    </cfRule>
  </conditionalFormatting>
  <conditionalFormatting sqref="B17">
    <cfRule type="expression" dxfId="222" priority="61" stopIfTrue="1">
      <formula>LEN(TRIM(B17))=0</formula>
    </cfRule>
  </conditionalFormatting>
  <conditionalFormatting sqref="B17">
    <cfRule type="expression" dxfId="221" priority="60" stopIfTrue="1">
      <formula>LEN(TRIM(B17))=0</formula>
    </cfRule>
  </conditionalFormatting>
  <conditionalFormatting sqref="B17">
    <cfRule type="expression" dxfId="220" priority="59" stopIfTrue="1">
      <formula>LEN(TRIM(B17))=0</formula>
    </cfRule>
  </conditionalFormatting>
  <conditionalFormatting sqref="B17">
    <cfRule type="expression" dxfId="219" priority="58" stopIfTrue="1">
      <formula>LEN(TRIM(B17))=0</formula>
    </cfRule>
  </conditionalFormatting>
  <conditionalFormatting sqref="B17">
    <cfRule type="expression" dxfId="218" priority="57" stopIfTrue="1">
      <formula>LEN(TRIM(B17))=0</formula>
    </cfRule>
  </conditionalFormatting>
  <conditionalFormatting sqref="B17">
    <cfRule type="expression" dxfId="217" priority="56" stopIfTrue="1">
      <formula>LEN(TRIM(B17))=0</formula>
    </cfRule>
  </conditionalFormatting>
  <conditionalFormatting sqref="B17">
    <cfRule type="expression" dxfId="216" priority="55" stopIfTrue="1">
      <formula>LEN(TRIM(B17))=0</formula>
    </cfRule>
  </conditionalFormatting>
  <conditionalFormatting sqref="B17">
    <cfRule type="expression" dxfId="215" priority="54" stopIfTrue="1">
      <formula>LEN(TRIM(B17))=0</formula>
    </cfRule>
  </conditionalFormatting>
  <conditionalFormatting sqref="B17">
    <cfRule type="expression" dxfId="214" priority="53" stopIfTrue="1">
      <formula>LEN(TRIM(B17))=0</formula>
    </cfRule>
  </conditionalFormatting>
  <conditionalFormatting sqref="B17">
    <cfRule type="expression" dxfId="213" priority="52" stopIfTrue="1">
      <formula>LEN(TRIM(B17))=0</formula>
    </cfRule>
  </conditionalFormatting>
  <conditionalFormatting sqref="B17">
    <cfRule type="expression" dxfId="212" priority="51" stopIfTrue="1">
      <formula>LEN(TRIM(B17))=0</formula>
    </cfRule>
  </conditionalFormatting>
  <conditionalFormatting sqref="B17">
    <cfRule type="expression" dxfId="211" priority="50" stopIfTrue="1">
      <formula>LEN(TRIM(B17))=0</formula>
    </cfRule>
  </conditionalFormatting>
  <conditionalFormatting sqref="B17">
    <cfRule type="expression" dxfId="210" priority="49" stopIfTrue="1">
      <formula>LEN(TRIM(B17))=0</formula>
    </cfRule>
  </conditionalFormatting>
  <conditionalFormatting sqref="B17">
    <cfRule type="expression" dxfId="209" priority="48" stopIfTrue="1">
      <formula>LEN(TRIM(B17))=0</formula>
    </cfRule>
  </conditionalFormatting>
  <conditionalFormatting sqref="B17">
    <cfRule type="expression" dxfId="208" priority="47" stopIfTrue="1">
      <formula>LEN(TRIM(B17))=0</formula>
    </cfRule>
  </conditionalFormatting>
  <conditionalFormatting sqref="B17">
    <cfRule type="expression" dxfId="207" priority="46" stopIfTrue="1">
      <formula>LEN(TRIM(B17))=0</formula>
    </cfRule>
  </conditionalFormatting>
  <conditionalFormatting sqref="B17">
    <cfRule type="expression" dxfId="206" priority="45" stopIfTrue="1">
      <formula>LEN(TRIM(B17))=0</formula>
    </cfRule>
  </conditionalFormatting>
  <conditionalFormatting sqref="B17">
    <cfRule type="expression" dxfId="205" priority="44" stopIfTrue="1">
      <formula>LEN(TRIM(B17))=0</formula>
    </cfRule>
  </conditionalFormatting>
  <conditionalFormatting sqref="B17">
    <cfRule type="expression" dxfId="204" priority="43" stopIfTrue="1">
      <formula>LEN(TRIM(B17))=0</formula>
    </cfRule>
  </conditionalFormatting>
  <conditionalFormatting sqref="C14">
    <cfRule type="containsBlanks" dxfId="203" priority="242">
      <formula>LEN(TRIM(C14))=0</formula>
    </cfRule>
  </conditionalFormatting>
  <conditionalFormatting sqref="C14">
    <cfRule type="containsBlanks" dxfId="202" priority="241">
      <formula>LEN(TRIM(C14))=0</formula>
    </cfRule>
  </conditionalFormatting>
  <conditionalFormatting sqref="B17">
    <cfRule type="expression" dxfId="201" priority="42" stopIfTrue="1">
      <formula>LEN(TRIM(B17))=0</formula>
    </cfRule>
  </conditionalFormatting>
  <conditionalFormatting sqref="B17">
    <cfRule type="expression" dxfId="200" priority="41" stopIfTrue="1">
      <formula>LEN(TRIM(B17))=0</formula>
    </cfRule>
  </conditionalFormatting>
  <conditionalFormatting sqref="B17">
    <cfRule type="expression" dxfId="199" priority="40" stopIfTrue="1">
      <formula>LEN(TRIM(B17))=0</formula>
    </cfRule>
  </conditionalFormatting>
  <conditionalFormatting sqref="B17">
    <cfRule type="expression" dxfId="198" priority="39" stopIfTrue="1">
      <formula>LEN(TRIM(B17))=0</formula>
    </cfRule>
  </conditionalFormatting>
  <conditionalFormatting sqref="B17">
    <cfRule type="expression" dxfId="197" priority="38" stopIfTrue="1">
      <formula>LEN(TRIM(B17))=0</formula>
    </cfRule>
  </conditionalFormatting>
  <conditionalFormatting sqref="B17">
    <cfRule type="expression" dxfId="196" priority="37" stopIfTrue="1">
      <formula>LEN(TRIM(B17))=0</formula>
    </cfRule>
  </conditionalFormatting>
  <conditionalFormatting sqref="B17">
    <cfRule type="expression" dxfId="195" priority="36" stopIfTrue="1">
      <formula>LEN(TRIM(B17))=0</formula>
    </cfRule>
  </conditionalFormatting>
  <conditionalFormatting sqref="B17">
    <cfRule type="expression" dxfId="194" priority="35" stopIfTrue="1">
      <formula>LEN(TRIM(B17))=0</formula>
    </cfRule>
  </conditionalFormatting>
  <conditionalFormatting sqref="B17">
    <cfRule type="expression" dxfId="193" priority="34" stopIfTrue="1">
      <formula>LEN(TRIM(B17))=0</formula>
    </cfRule>
  </conditionalFormatting>
  <conditionalFormatting sqref="B17">
    <cfRule type="expression" dxfId="192" priority="33" stopIfTrue="1">
      <formula>LEN(TRIM(B17))=0</formula>
    </cfRule>
  </conditionalFormatting>
  <conditionalFormatting sqref="B17">
    <cfRule type="expression" dxfId="191" priority="32" stopIfTrue="1">
      <formula>LEN(TRIM(B17))=0</formula>
    </cfRule>
  </conditionalFormatting>
  <conditionalFormatting sqref="B17">
    <cfRule type="expression" dxfId="190" priority="31" stopIfTrue="1">
      <formula>LEN(TRIM(B17))=0</formula>
    </cfRule>
  </conditionalFormatting>
  <conditionalFormatting sqref="B17">
    <cfRule type="expression" dxfId="189" priority="30" stopIfTrue="1">
      <formula>LEN(TRIM(B17))=0</formula>
    </cfRule>
  </conditionalFormatting>
  <conditionalFormatting sqref="B17">
    <cfRule type="expression" dxfId="188" priority="29" stopIfTrue="1">
      <formula>LEN(TRIM(B17))=0</formula>
    </cfRule>
  </conditionalFormatting>
  <conditionalFormatting sqref="B17">
    <cfRule type="expression" dxfId="187" priority="28" stopIfTrue="1">
      <formula>LEN(TRIM(B17))=0</formula>
    </cfRule>
  </conditionalFormatting>
  <conditionalFormatting sqref="B17">
    <cfRule type="expression" dxfId="186" priority="27" stopIfTrue="1">
      <formula>LEN(TRIM(B17))=0</formula>
    </cfRule>
  </conditionalFormatting>
  <conditionalFormatting sqref="B17">
    <cfRule type="expression" dxfId="185" priority="26" stopIfTrue="1">
      <formula>LEN(TRIM(B17))=0</formula>
    </cfRule>
  </conditionalFormatting>
  <conditionalFormatting sqref="B17">
    <cfRule type="expression" dxfId="184" priority="25" stopIfTrue="1">
      <formula>LEN(TRIM(B17))=0</formula>
    </cfRule>
  </conditionalFormatting>
  <conditionalFormatting sqref="B17">
    <cfRule type="expression" dxfId="183" priority="24" stopIfTrue="1">
      <formula>LEN(TRIM(B17))=0</formula>
    </cfRule>
  </conditionalFormatting>
  <conditionalFormatting sqref="B17">
    <cfRule type="expression" dxfId="182" priority="23" stopIfTrue="1">
      <formula>LEN(TRIM(B17))=0</formula>
    </cfRule>
  </conditionalFormatting>
  <conditionalFormatting sqref="B17">
    <cfRule type="expression" dxfId="181" priority="22" stopIfTrue="1">
      <formula>LEN(TRIM(B17))=0</formula>
    </cfRule>
  </conditionalFormatting>
  <conditionalFormatting sqref="B17">
    <cfRule type="expression" dxfId="180" priority="21" stopIfTrue="1">
      <formula>LEN(TRIM(B17))=0</formula>
    </cfRule>
  </conditionalFormatting>
  <conditionalFormatting sqref="B13">
    <cfRule type="expression" dxfId="179" priority="240" stopIfTrue="1">
      <formula>LEN(TRIM(B13))=0</formula>
    </cfRule>
  </conditionalFormatting>
  <conditionalFormatting sqref="B13">
    <cfRule type="expression" dxfId="178" priority="239" stopIfTrue="1">
      <formula>LEN(TRIM(B13))=0</formula>
    </cfRule>
  </conditionalFormatting>
  <conditionalFormatting sqref="B13">
    <cfRule type="expression" dxfId="177" priority="238" stopIfTrue="1">
      <formula>LEN(TRIM(B13))=0</formula>
    </cfRule>
  </conditionalFormatting>
  <conditionalFormatting sqref="B13">
    <cfRule type="expression" dxfId="176" priority="237" stopIfTrue="1">
      <formula>LEN(TRIM(B13))=0</formula>
    </cfRule>
  </conditionalFormatting>
  <conditionalFormatting sqref="B13">
    <cfRule type="expression" dxfId="175" priority="236" stopIfTrue="1">
      <formula>LEN(TRIM(B13))=0</formula>
    </cfRule>
  </conditionalFormatting>
  <conditionalFormatting sqref="B13">
    <cfRule type="expression" dxfId="174" priority="235" stopIfTrue="1">
      <formula>LEN(TRIM(B13))=0</formula>
    </cfRule>
  </conditionalFormatting>
  <conditionalFormatting sqref="B13">
    <cfRule type="expression" dxfId="173" priority="234" stopIfTrue="1">
      <formula>LEN(TRIM(B13))=0</formula>
    </cfRule>
  </conditionalFormatting>
  <conditionalFormatting sqref="B13">
    <cfRule type="expression" dxfId="172" priority="233" stopIfTrue="1">
      <formula>LEN(TRIM(B13))=0</formula>
    </cfRule>
  </conditionalFormatting>
  <conditionalFormatting sqref="B13">
    <cfRule type="expression" dxfId="171" priority="232" stopIfTrue="1">
      <formula>LEN(TRIM(B13))=0</formula>
    </cfRule>
  </conditionalFormatting>
  <conditionalFormatting sqref="B13">
    <cfRule type="expression" dxfId="170" priority="231" stopIfTrue="1">
      <formula>LEN(TRIM(B13))=0</formula>
    </cfRule>
  </conditionalFormatting>
  <conditionalFormatting sqref="B13">
    <cfRule type="expression" dxfId="169" priority="230" stopIfTrue="1">
      <formula>LEN(TRIM(B13))=0</formula>
    </cfRule>
  </conditionalFormatting>
  <conditionalFormatting sqref="B13">
    <cfRule type="expression" dxfId="168" priority="229" stopIfTrue="1">
      <formula>LEN(TRIM(B13))=0</formula>
    </cfRule>
  </conditionalFormatting>
  <conditionalFormatting sqref="B13">
    <cfRule type="expression" dxfId="167" priority="228" stopIfTrue="1">
      <formula>LEN(TRIM(B13))=0</formula>
    </cfRule>
  </conditionalFormatting>
  <conditionalFormatting sqref="B13">
    <cfRule type="expression" dxfId="166" priority="227" stopIfTrue="1">
      <formula>LEN(TRIM(B13))=0</formula>
    </cfRule>
  </conditionalFormatting>
  <conditionalFormatting sqref="B13">
    <cfRule type="expression" dxfId="165" priority="226" stopIfTrue="1">
      <formula>LEN(TRIM(B13))=0</formula>
    </cfRule>
  </conditionalFormatting>
  <conditionalFormatting sqref="B13">
    <cfRule type="expression" dxfId="164" priority="225" stopIfTrue="1">
      <formula>LEN(TRIM(B13))=0</formula>
    </cfRule>
  </conditionalFormatting>
  <conditionalFormatting sqref="B13">
    <cfRule type="expression" dxfId="163" priority="224" stopIfTrue="1">
      <formula>LEN(TRIM(B13))=0</formula>
    </cfRule>
  </conditionalFormatting>
  <conditionalFormatting sqref="B13">
    <cfRule type="expression" dxfId="162" priority="223" stopIfTrue="1">
      <formula>LEN(TRIM(B13))=0</formula>
    </cfRule>
  </conditionalFormatting>
  <conditionalFormatting sqref="B13">
    <cfRule type="expression" dxfId="161" priority="222" stopIfTrue="1">
      <formula>LEN(TRIM(B13))=0</formula>
    </cfRule>
  </conditionalFormatting>
  <conditionalFormatting sqref="B13">
    <cfRule type="expression" dxfId="160" priority="221" stopIfTrue="1">
      <formula>LEN(TRIM(B13))=0</formula>
    </cfRule>
  </conditionalFormatting>
  <conditionalFormatting sqref="B13">
    <cfRule type="expression" dxfId="159" priority="220" stopIfTrue="1">
      <formula>LEN(TRIM(B13))=0</formula>
    </cfRule>
  </conditionalFormatting>
  <conditionalFormatting sqref="B13">
    <cfRule type="expression" dxfId="158" priority="219" stopIfTrue="1">
      <formula>LEN(TRIM(B13))=0</formula>
    </cfRule>
  </conditionalFormatting>
  <conditionalFormatting sqref="B13">
    <cfRule type="expression" dxfId="157" priority="218" stopIfTrue="1">
      <formula>LEN(TRIM(B13))=0</formula>
    </cfRule>
  </conditionalFormatting>
  <conditionalFormatting sqref="B13">
    <cfRule type="expression" dxfId="156" priority="217" stopIfTrue="1">
      <formula>LEN(TRIM(B13))=0</formula>
    </cfRule>
  </conditionalFormatting>
  <conditionalFormatting sqref="B13">
    <cfRule type="expression" dxfId="155" priority="216" stopIfTrue="1">
      <formula>LEN(TRIM(B13))=0</formula>
    </cfRule>
  </conditionalFormatting>
  <conditionalFormatting sqref="B13">
    <cfRule type="expression" dxfId="154" priority="215" stopIfTrue="1">
      <formula>LEN(TRIM(B13))=0</formula>
    </cfRule>
  </conditionalFormatting>
  <conditionalFormatting sqref="B13">
    <cfRule type="expression" dxfId="153" priority="214" stopIfTrue="1">
      <formula>LEN(TRIM(B13))=0</formula>
    </cfRule>
  </conditionalFormatting>
  <conditionalFormatting sqref="B13">
    <cfRule type="expression" dxfId="152" priority="213" stopIfTrue="1">
      <formula>LEN(TRIM(B13))=0</formula>
    </cfRule>
  </conditionalFormatting>
  <conditionalFormatting sqref="B13">
    <cfRule type="expression" dxfId="151" priority="212" stopIfTrue="1">
      <formula>LEN(TRIM(B13))=0</formula>
    </cfRule>
  </conditionalFormatting>
  <conditionalFormatting sqref="B13">
    <cfRule type="expression" dxfId="150" priority="211" stopIfTrue="1">
      <formula>LEN(TRIM(B13))=0</formula>
    </cfRule>
  </conditionalFormatting>
  <conditionalFormatting sqref="B13">
    <cfRule type="expression" dxfId="149" priority="210" stopIfTrue="1">
      <formula>LEN(TRIM(B13))=0</formula>
    </cfRule>
  </conditionalFormatting>
  <conditionalFormatting sqref="B13">
    <cfRule type="expression" dxfId="148" priority="209" stopIfTrue="1">
      <formula>LEN(TRIM(B13))=0</formula>
    </cfRule>
  </conditionalFormatting>
  <conditionalFormatting sqref="B13">
    <cfRule type="expression" dxfId="147" priority="208" stopIfTrue="1">
      <formula>LEN(TRIM(B13))=0</formula>
    </cfRule>
  </conditionalFormatting>
  <conditionalFormatting sqref="B13">
    <cfRule type="expression" dxfId="146" priority="207" stopIfTrue="1">
      <formula>LEN(TRIM(B13))=0</formula>
    </cfRule>
  </conditionalFormatting>
  <conditionalFormatting sqref="B13">
    <cfRule type="expression" dxfId="145" priority="206" stopIfTrue="1">
      <formula>LEN(TRIM(B13))=0</formula>
    </cfRule>
  </conditionalFormatting>
  <conditionalFormatting sqref="B13">
    <cfRule type="expression" dxfId="144" priority="205" stopIfTrue="1">
      <formula>LEN(TRIM(B13))=0</formula>
    </cfRule>
  </conditionalFormatting>
  <conditionalFormatting sqref="B13">
    <cfRule type="expression" dxfId="143" priority="204" stopIfTrue="1">
      <formula>LEN(TRIM(B13))=0</formula>
    </cfRule>
  </conditionalFormatting>
  <conditionalFormatting sqref="B13">
    <cfRule type="expression" dxfId="142" priority="203" stopIfTrue="1">
      <formula>LEN(TRIM(B13))=0</formula>
    </cfRule>
  </conditionalFormatting>
  <conditionalFormatting sqref="B13">
    <cfRule type="expression" dxfId="141" priority="202" stopIfTrue="1">
      <formula>LEN(TRIM(B13))=0</formula>
    </cfRule>
  </conditionalFormatting>
  <conditionalFormatting sqref="B13">
    <cfRule type="expression" dxfId="140" priority="201" stopIfTrue="1">
      <formula>LEN(TRIM(B13))=0</formula>
    </cfRule>
  </conditionalFormatting>
  <conditionalFormatting sqref="B13">
    <cfRule type="expression" dxfId="139" priority="200" stopIfTrue="1">
      <formula>LEN(TRIM(B13))=0</formula>
    </cfRule>
  </conditionalFormatting>
  <conditionalFormatting sqref="B13">
    <cfRule type="expression" dxfId="138" priority="199" stopIfTrue="1">
      <formula>LEN(TRIM(B13))=0</formula>
    </cfRule>
  </conditionalFormatting>
  <conditionalFormatting sqref="B13">
    <cfRule type="expression" dxfId="137" priority="198" stopIfTrue="1">
      <formula>LEN(TRIM(B13))=0</formula>
    </cfRule>
  </conditionalFormatting>
  <conditionalFormatting sqref="B13">
    <cfRule type="expression" dxfId="136" priority="197" stopIfTrue="1">
      <formula>LEN(TRIM(B13))=0</formula>
    </cfRule>
  </conditionalFormatting>
  <conditionalFormatting sqref="B13">
    <cfRule type="expression" dxfId="135" priority="196" stopIfTrue="1">
      <formula>LEN(TRIM(B13))=0</formula>
    </cfRule>
  </conditionalFormatting>
  <conditionalFormatting sqref="B13">
    <cfRule type="expression" dxfId="134" priority="195" stopIfTrue="1">
      <formula>LEN(TRIM(B13))=0</formula>
    </cfRule>
  </conditionalFormatting>
  <conditionalFormatting sqref="B13">
    <cfRule type="expression" dxfId="133" priority="194" stopIfTrue="1">
      <formula>LEN(TRIM(B13))=0</formula>
    </cfRule>
  </conditionalFormatting>
  <conditionalFormatting sqref="B13">
    <cfRule type="expression" dxfId="132" priority="193" stopIfTrue="1">
      <formula>LEN(TRIM(B13))=0</formula>
    </cfRule>
  </conditionalFormatting>
  <conditionalFormatting sqref="B13">
    <cfRule type="expression" dxfId="131" priority="192" stopIfTrue="1">
      <formula>LEN(TRIM(B13))=0</formula>
    </cfRule>
  </conditionalFormatting>
  <conditionalFormatting sqref="B13">
    <cfRule type="expression" dxfId="130" priority="191" stopIfTrue="1">
      <formula>LEN(TRIM(B13))=0</formula>
    </cfRule>
  </conditionalFormatting>
  <conditionalFormatting sqref="B13">
    <cfRule type="expression" dxfId="129" priority="190" stopIfTrue="1">
      <formula>LEN(TRIM(B13))=0</formula>
    </cfRule>
  </conditionalFormatting>
  <conditionalFormatting sqref="B13">
    <cfRule type="expression" dxfId="128" priority="189" stopIfTrue="1">
      <formula>LEN(TRIM(B13))=0</formula>
    </cfRule>
  </conditionalFormatting>
  <conditionalFormatting sqref="B13">
    <cfRule type="expression" dxfId="127" priority="188" stopIfTrue="1">
      <formula>LEN(TRIM(B13))=0</formula>
    </cfRule>
  </conditionalFormatting>
  <conditionalFormatting sqref="B13">
    <cfRule type="expression" dxfId="126" priority="187" stopIfTrue="1">
      <formula>LEN(TRIM(B13))=0</formula>
    </cfRule>
  </conditionalFormatting>
  <conditionalFormatting sqref="B13">
    <cfRule type="expression" dxfId="125" priority="186" stopIfTrue="1">
      <formula>LEN(TRIM(B13))=0</formula>
    </cfRule>
  </conditionalFormatting>
  <conditionalFormatting sqref="B13">
    <cfRule type="expression" dxfId="124" priority="185" stopIfTrue="1">
      <formula>LEN(TRIM(B13))=0</formula>
    </cfRule>
  </conditionalFormatting>
  <conditionalFormatting sqref="B13">
    <cfRule type="expression" dxfId="123" priority="184" stopIfTrue="1">
      <formula>LEN(TRIM(B13))=0</formula>
    </cfRule>
  </conditionalFormatting>
  <conditionalFormatting sqref="B13">
    <cfRule type="expression" dxfId="122" priority="183" stopIfTrue="1">
      <formula>LEN(TRIM(B13))=0</formula>
    </cfRule>
  </conditionalFormatting>
  <conditionalFormatting sqref="B13">
    <cfRule type="expression" dxfId="121" priority="182" stopIfTrue="1">
      <formula>LEN(TRIM(B13))=0</formula>
    </cfRule>
  </conditionalFormatting>
  <conditionalFormatting sqref="B13">
    <cfRule type="expression" dxfId="120" priority="181" stopIfTrue="1">
      <formula>LEN(TRIM(B13))=0</formula>
    </cfRule>
  </conditionalFormatting>
  <conditionalFormatting sqref="B13">
    <cfRule type="expression" dxfId="119" priority="180" stopIfTrue="1">
      <formula>LEN(TRIM(B13))=0</formula>
    </cfRule>
  </conditionalFormatting>
  <conditionalFormatting sqref="B13">
    <cfRule type="expression" dxfId="118" priority="179" stopIfTrue="1">
      <formula>LEN(TRIM(B13))=0</formula>
    </cfRule>
  </conditionalFormatting>
  <conditionalFormatting sqref="B13">
    <cfRule type="expression" dxfId="117" priority="178" stopIfTrue="1">
      <formula>LEN(TRIM(B13))=0</formula>
    </cfRule>
  </conditionalFormatting>
  <conditionalFormatting sqref="B13">
    <cfRule type="expression" dxfId="116" priority="177" stopIfTrue="1">
      <formula>LEN(TRIM(B13))=0</formula>
    </cfRule>
  </conditionalFormatting>
  <conditionalFormatting sqref="B13">
    <cfRule type="expression" dxfId="115" priority="176" stopIfTrue="1">
      <formula>LEN(TRIM(B13))=0</formula>
    </cfRule>
  </conditionalFormatting>
  <conditionalFormatting sqref="B13">
    <cfRule type="expression" dxfId="114" priority="175" stopIfTrue="1">
      <formula>LEN(TRIM(B13))=0</formula>
    </cfRule>
  </conditionalFormatting>
  <conditionalFormatting sqref="B13">
    <cfRule type="expression" dxfId="113" priority="174" stopIfTrue="1">
      <formula>LEN(TRIM(B13))=0</formula>
    </cfRule>
  </conditionalFormatting>
  <conditionalFormatting sqref="B13">
    <cfRule type="expression" dxfId="112" priority="173" stopIfTrue="1">
      <formula>LEN(TRIM(B13))=0</formula>
    </cfRule>
  </conditionalFormatting>
  <conditionalFormatting sqref="B13">
    <cfRule type="expression" dxfId="111" priority="172" stopIfTrue="1">
      <formula>LEN(TRIM(B13))=0</formula>
    </cfRule>
  </conditionalFormatting>
  <conditionalFormatting sqref="B13">
    <cfRule type="expression" dxfId="110" priority="171" stopIfTrue="1">
      <formula>LEN(TRIM(B13))=0</formula>
    </cfRule>
  </conditionalFormatting>
  <conditionalFormatting sqref="B13">
    <cfRule type="expression" dxfId="109" priority="170" stopIfTrue="1">
      <formula>LEN(TRIM(B13))=0</formula>
    </cfRule>
  </conditionalFormatting>
  <conditionalFormatting sqref="B13">
    <cfRule type="expression" dxfId="108" priority="169" stopIfTrue="1">
      <formula>LEN(TRIM(B13))=0</formula>
    </cfRule>
  </conditionalFormatting>
  <conditionalFormatting sqref="B13">
    <cfRule type="expression" dxfId="107" priority="168" stopIfTrue="1">
      <formula>LEN(TRIM(B13))=0</formula>
    </cfRule>
  </conditionalFormatting>
  <conditionalFormatting sqref="B13">
    <cfRule type="expression" dxfId="106" priority="167" stopIfTrue="1">
      <formula>LEN(TRIM(B13))=0</formula>
    </cfRule>
  </conditionalFormatting>
  <conditionalFormatting sqref="B13">
    <cfRule type="expression" dxfId="105" priority="166" stopIfTrue="1">
      <formula>LEN(TRIM(B13))=0</formula>
    </cfRule>
  </conditionalFormatting>
  <conditionalFormatting sqref="B13">
    <cfRule type="expression" dxfId="104" priority="165" stopIfTrue="1">
      <formula>LEN(TRIM(B13))=0</formula>
    </cfRule>
  </conditionalFormatting>
  <conditionalFormatting sqref="B13">
    <cfRule type="expression" dxfId="103" priority="164" stopIfTrue="1">
      <formula>LEN(TRIM(B13))=0</formula>
    </cfRule>
  </conditionalFormatting>
  <conditionalFormatting sqref="B13">
    <cfRule type="expression" dxfId="102" priority="163" stopIfTrue="1">
      <formula>LEN(TRIM(B13))=0</formula>
    </cfRule>
  </conditionalFormatting>
  <conditionalFormatting sqref="B13">
    <cfRule type="expression" dxfId="101" priority="162" stopIfTrue="1">
      <formula>LEN(TRIM(B13))=0</formula>
    </cfRule>
  </conditionalFormatting>
  <conditionalFormatting sqref="B13">
    <cfRule type="expression" dxfId="100" priority="161" stopIfTrue="1">
      <formula>LEN(TRIM(B13))=0</formula>
    </cfRule>
  </conditionalFormatting>
  <conditionalFormatting sqref="B15">
    <cfRule type="expression" dxfId="99" priority="160" stopIfTrue="1">
      <formula>LEN(TRIM(B15))=0</formula>
    </cfRule>
  </conditionalFormatting>
  <conditionalFormatting sqref="B15">
    <cfRule type="expression" dxfId="98" priority="159" stopIfTrue="1">
      <formula>LEN(TRIM(B15))=0</formula>
    </cfRule>
  </conditionalFormatting>
  <conditionalFormatting sqref="B15">
    <cfRule type="expression" dxfId="97" priority="158" stopIfTrue="1">
      <formula>LEN(TRIM(B15))=0</formula>
    </cfRule>
  </conditionalFormatting>
  <conditionalFormatting sqref="B15">
    <cfRule type="expression" dxfId="96" priority="157" stopIfTrue="1">
      <formula>LEN(TRIM(B15))=0</formula>
    </cfRule>
  </conditionalFormatting>
  <conditionalFormatting sqref="B15">
    <cfRule type="expression" dxfId="95" priority="156" stopIfTrue="1">
      <formula>LEN(TRIM(B15))=0</formula>
    </cfRule>
  </conditionalFormatting>
  <conditionalFormatting sqref="B15">
    <cfRule type="expression" dxfId="94" priority="155" stopIfTrue="1">
      <formula>LEN(TRIM(B15))=0</formula>
    </cfRule>
  </conditionalFormatting>
  <conditionalFormatting sqref="B15">
    <cfRule type="expression" dxfId="93" priority="154" stopIfTrue="1">
      <formula>LEN(TRIM(B15))=0</formula>
    </cfRule>
  </conditionalFormatting>
  <conditionalFormatting sqref="B15">
    <cfRule type="expression" dxfId="92" priority="153" stopIfTrue="1">
      <formula>LEN(TRIM(B15))=0</formula>
    </cfRule>
  </conditionalFormatting>
  <conditionalFormatting sqref="B15">
    <cfRule type="expression" dxfId="91" priority="152" stopIfTrue="1">
      <formula>LEN(TRIM(B15))=0</formula>
    </cfRule>
  </conditionalFormatting>
  <conditionalFormatting sqref="B15">
    <cfRule type="expression" dxfId="90" priority="151" stopIfTrue="1">
      <formula>LEN(TRIM(B15))=0</formula>
    </cfRule>
  </conditionalFormatting>
  <conditionalFormatting sqref="B15">
    <cfRule type="expression" dxfId="89" priority="150" stopIfTrue="1">
      <formula>LEN(TRIM(B15))=0</formula>
    </cfRule>
  </conditionalFormatting>
  <conditionalFormatting sqref="B15">
    <cfRule type="expression" dxfId="88" priority="149" stopIfTrue="1">
      <formula>LEN(TRIM(B15))=0</formula>
    </cfRule>
  </conditionalFormatting>
  <conditionalFormatting sqref="B15">
    <cfRule type="expression" dxfId="87" priority="148" stopIfTrue="1">
      <formula>LEN(TRIM(B15))=0</formula>
    </cfRule>
  </conditionalFormatting>
  <conditionalFormatting sqref="B15">
    <cfRule type="expression" dxfId="86" priority="147" stopIfTrue="1">
      <formula>LEN(TRIM(B15))=0</formula>
    </cfRule>
  </conditionalFormatting>
  <conditionalFormatting sqref="B15">
    <cfRule type="expression" dxfId="85" priority="146" stopIfTrue="1">
      <formula>LEN(TRIM(B15))=0</formula>
    </cfRule>
  </conditionalFormatting>
  <conditionalFormatting sqref="B15">
    <cfRule type="expression" dxfId="84" priority="145" stopIfTrue="1">
      <formula>LEN(TRIM(B15))=0</formula>
    </cfRule>
  </conditionalFormatting>
  <conditionalFormatting sqref="B15">
    <cfRule type="expression" dxfId="83" priority="144" stopIfTrue="1">
      <formula>LEN(TRIM(B15))=0</formula>
    </cfRule>
  </conditionalFormatting>
  <conditionalFormatting sqref="B15">
    <cfRule type="expression" dxfId="82" priority="143" stopIfTrue="1">
      <formula>LEN(TRIM(B15))=0</formula>
    </cfRule>
  </conditionalFormatting>
  <conditionalFormatting sqref="B15">
    <cfRule type="expression" dxfId="81" priority="142" stopIfTrue="1">
      <formula>LEN(TRIM(B15))=0</formula>
    </cfRule>
  </conditionalFormatting>
  <conditionalFormatting sqref="B15">
    <cfRule type="expression" dxfId="80" priority="141" stopIfTrue="1">
      <formula>LEN(TRIM(B15))=0</formula>
    </cfRule>
  </conditionalFormatting>
  <conditionalFormatting sqref="B15">
    <cfRule type="expression" dxfId="79" priority="140" stopIfTrue="1">
      <formula>LEN(TRIM(B15))=0</formula>
    </cfRule>
  </conditionalFormatting>
  <conditionalFormatting sqref="B15">
    <cfRule type="expression" dxfId="78" priority="139" stopIfTrue="1">
      <formula>LEN(TRIM(B15))=0</formula>
    </cfRule>
  </conditionalFormatting>
  <conditionalFormatting sqref="B15">
    <cfRule type="expression" dxfId="77" priority="138" stopIfTrue="1">
      <formula>LEN(TRIM(B15))=0</formula>
    </cfRule>
  </conditionalFormatting>
  <conditionalFormatting sqref="B15">
    <cfRule type="expression" dxfId="76" priority="137" stopIfTrue="1">
      <formula>LEN(TRIM(B15))=0</formula>
    </cfRule>
  </conditionalFormatting>
  <conditionalFormatting sqref="B15">
    <cfRule type="expression" dxfId="75" priority="136" stopIfTrue="1">
      <formula>LEN(TRIM(B15))=0</formula>
    </cfRule>
  </conditionalFormatting>
  <conditionalFormatting sqref="B15">
    <cfRule type="expression" dxfId="74" priority="135" stopIfTrue="1">
      <formula>LEN(TRIM(B15))=0</formula>
    </cfRule>
  </conditionalFormatting>
  <conditionalFormatting sqref="B15">
    <cfRule type="expression" dxfId="73" priority="134" stopIfTrue="1">
      <formula>LEN(TRIM(B15))=0</formula>
    </cfRule>
  </conditionalFormatting>
  <conditionalFormatting sqref="B15">
    <cfRule type="expression" dxfId="72" priority="133" stopIfTrue="1">
      <formula>LEN(TRIM(B15))=0</formula>
    </cfRule>
  </conditionalFormatting>
  <conditionalFormatting sqref="B15">
    <cfRule type="expression" dxfId="71" priority="132" stopIfTrue="1">
      <formula>LEN(TRIM(B15))=0</formula>
    </cfRule>
  </conditionalFormatting>
  <conditionalFormatting sqref="B15">
    <cfRule type="expression" dxfId="70" priority="131" stopIfTrue="1">
      <formula>LEN(TRIM(B15))=0</formula>
    </cfRule>
  </conditionalFormatting>
  <conditionalFormatting sqref="B15">
    <cfRule type="expression" dxfId="69" priority="130" stopIfTrue="1">
      <formula>LEN(TRIM(B15))=0</formula>
    </cfRule>
  </conditionalFormatting>
  <conditionalFormatting sqref="B15">
    <cfRule type="expression" dxfId="68" priority="129" stopIfTrue="1">
      <formula>LEN(TRIM(B15))=0</formula>
    </cfRule>
  </conditionalFormatting>
  <conditionalFormatting sqref="B15">
    <cfRule type="expression" dxfId="67" priority="128" stopIfTrue="1">
      <formula>LEN(TRIM(B15))=0</formula>
    </cfRule>
  </conditionalFormatting>
  <conditionalFormatting sqref="B15">
    <cfRule type="expression" dxfId="66" priority="127" stopIfTrue="1">
      <formula>LEN(TRIM(B15))=0</formula>
    </cfRule>
  </conditionalFormatting>
  <conditionalFormatting sqref="B15">
    <cfRule type="expression" dxfId="65" priority="126" stopIfTrue="1">
      <formula>LEN(TRIM(B15))=0</formula>
    </cfRule>
  </conditionalFormatting>
  <conditionalFormatting sqref="B15">
    <cfRule type="expression" dxfId="64" priority="125" stopIfTrue="1">
      <formula>LEN(TRIM(B15))=0</formula>
    </cfRule>
  </conditionalFormatting>
  <conditionalFormatting sqref="B15">
    <cfRule type="expression" dxfId="63" priority="124" stopIfTrue="1">
      <formula>LEN(TRIM(B15))=0</formula>
    </cfRule>
  </conditionalFormatting>
  <conditionalFormatting sqref="B15">
    <cfRule type="expression" dxfId="62" priority="123" stopIfTrue="1">
      <formula>LEN(TRIM(B15))=0</formula>
    </cfRule>
  </conditionalFormatting>
  <conditionalFormatting sqref="B15">
    <cfRule type="expression" dxfId="61" priority="122" stopIfTrue="1">
      <formula>LEN(TRIM(B15))=0</formula>
    </cfRule>
  </conditionalFormatting>
  <conditionalFormatting sqref="B15">
    <cfRule type="expression" dxfId="60" priority="121" stopIfTrue="1">
      <formula>LEN(TRIM(B15))=0</formula>
    </cfRule>
  </conditionalFormatting>
  <conditionalFormatting sqref="B15">
    <cfRule type="expression" dxfId="59" priority="120" stopIfTrue="1">
      <formula>LEN(TRIM(B15))=0</formula>
    </cfRule>
  </conditionalFormatting>
  <conditionalFormatting sqref="B15">
    <cfRule type="expression" dxfId="58" priority="119" stopIfTrue="1">
      <formula>LEN(TRIM(B15))=0</formula>
    </cfRule>
  </conditionalFormatting>
  <conditionalFormatting sqref="B15">
    <cfRule type="expression" dxfId="57" priority="118" stopIfTrue="1">
      <formula>LEN(TRIM(B15))=0</formula>
    </cfRule>
  </conditionalFormatting>
  <conditionalFormatting sqref="B15">
    <cfRule type="expression" dxfId="56" priority="117" stopIfTrue="1">
      <formula>LEN(TRIM(B15))=0</formula>
    </cfRule>
  </conditionalFormatting>
  <conditionalFormatting sqref="B15">
    <cfRule type="expression" dxfId="55" priority="116" stopIfTrue="1">
      <formula>LEN(TRIM(B15))=0</formula>
    </cfRule>
  </conditionalFormatting>
  <conditionalFormatting sqref="B15">
    <cfRule type="expression" dxfId="54" priority="115" stopIfTrue="1">
      <formula>LEN(TRIM(B15))=0</formula>
    </cfRule>
  </conditionalFormatting>
  <conditionalFormatting sqref="B15">
    <cfRule type="expression" dxfId="53" priority="114" stopIfTrue="1">
      <formula>LEN(TRIM(B15))=0</formula>
    </cfRule>
  </conditionalFormatting>
  <conditionalFormatting sqref="B15">
    <cfRule type="expression" dxfId="52" priority="113" stopIfTrue="1">
      <formula>LEN(TRIM(B15))=0</formula>
    </cfRule>
  </conditionalFormatting>
  <conditionalFormatting sqref="B15">
    <cfRule type="expression" dxfId="51" priority="112" stopIfTrue="1">
      <formula>LEN(TRIM(B15))=0</formula>
    </cfRule>
  </conditionalFormatting>
  <conditionalFormatting sqref="B15">
    <cfRule type="expression" dxfId="50" priority="111" stopIfTrue="1">
      <formula>LEN(TRIM(B15))=0</formula>
    </cfRule>
  </conditionalFormatting>
  <conditionalFormatting sqref="B15">
    <cfRule type="expression" dxfId="49" priority="110" stopIfTrue="1">
      <formula>LEN(TRIM(B15))=0</formula>
    </cfRule>
  </conditionalFormatting>
  <conditionalFormatting sqref="B15">
    <cfRule type="expression" dxfId="48" priority="109" stopIfTrue="1">
      <formula>LEN(TRIM(B15))=0</formula>
    </cfRule>
  </conditionalFormatting>
  <conditionalFormatting sqref="B15">
    <cfRule type="expression" dxfId="47" priority="108" stopIfTrue="1">
      <formula>LEN(TRIM(B15))=0</formula>
    </cfRule>
  </conditionalFormatting>
  <conditionalFormatting sqref="B15">
    <cfRule type="expression" dxfId="46" priority="107" stopIfTrue="1">
      <formula>LEN(TRIM(B15))=0</formula>
    </cfRule>
  </conditionalFormatting>
  <conditionalFormatting sqref="B15">
    <cfRule type="expression" dxfId="45" priority="106" stopIfTrue="1">
      <formula>LEN(TRIM(B15))=0</formula>
    </cfRule>
  </conditionalFormatting>
  <conditionalFormatting sqref="B15">
    <cfRule type="expression" dxfId="44" priority="105" stopIfTrue="1">
      <formula>LEN(TRIM(B15))=0</formula>
    </cfRule>
  </conditionalFormatting>
  <conditionalFormatting sqref="B15">
    <cfRule type="expression" dxfId="43" priority="104" stopIfTrue="1">
      <formula>LEN(TRIM(B15))=0</formula>
    </cfRule>
  </conditionalFormatting>
  <conditionalFormatting sqref="B15">
    <cfRule type="expression" dxfId="42" priority="103" stopIfTrue="1">
      <formula>LEN(TRIM(B15))=0</formula>
    </cfRule>
  </conditionalFormatting>
  <conditionalFormatting sqref="B15">
    <cfRule type="expression" dxfId="41" priority="102" stopIfTrue="1">
      <formula>LEN(TRIM(B15))=0</formula>
    </cfRule>
  </conditionalFormatting>
  <conditionalFormatting sqref="B15">
    <cfRule type="expression" dxfId="40" priority="101" stopIfTrue="1">
      <formula>LEN(TRIM(B15))=0</formula>
    </cfRule>
  </conditionalFormatting>
  <conditionalFormatting sqref="B15">
    <cfRule type="expression" dxfId="39" priority="100" stopIfTrue="1">
      <formula>LEN(TRIM(B15))=0</formula>
    </cfRule>
  </conditionalFormatting>
  <conditionalFormatting sqref="B15">
    <cfRule type="expression" dxfId="38" priority="99" stopIfTrue="1">
      <formula>LEN(TRIM(B15))=0</formula>
    </cfRule>
  </conditionalFormatting>
  <conditionalFormatting sqref="B15">
    <cfRule type="expression" dxfId="37" priority="98" stopIfTrue="1">
      <formula>LEN(TRIM(B15))=0</formula>
    </cfRule>
  </conditionalFormatting>
  <conditionalFormatting sqref="B15">
    <cfRule type="expression" dxfId="36" priority="97" stopIfTrue="1">
      <formula>LEN(TRIM(B15))=0</formula>
    </cfRule>
  </conditionalFormatting>
  <conditionalFormatting sqref="B15">
    <cfRule type="expression" dxfId="35" priority="96" stopIfTrue="1">
      <formula>LEN(TRIM(B15))=0</formula>
    </cfRule>
  </conditionalFormatting>
  <conditionalFormatting sqref="B15">
    <cfRule type="expression" dxfId="34" priority="95" stopIfTrue="1">
      <formula>LEN(TRIM(B15))=0</formula>
    </cfRule>
  </conditionalFormatting>
  <conditionalFormatting sqref="B15">
    <cfRule type="expression" dxfId="33" priority="94" stopIfTrue="1">
      <formula>LEN(TRIM(B15))=0</formula>
    </cfRule>
  </conditionalFormatting>
  <conditionalFormatting sqref="B15">
    <cfRule type="expression" dxfId="32" priority="93" stopIfTrue="1">
      <formula>LEN(TRIM(B15))=0</formula>
    </cfRule>
  </conditionalFormatting>
  <conditionalFormatting sqref="B15">
    <cfRule type="expression" dxfId="31" priority="92" stopIfTrue="1">
      <formula>LEN(TRIM(B15))=0</formula>
    </cfRule>
  </conditionalFormatting>
  <conditionalFormatting sqref="B15">
    <cfRule type="expression" dxfId="30" priority="91" stopIfTrue="1">
      <formula>LEN(TRIM(B15))=0</formula>
    </cfRule>
  </conditionalFormatting>
  <conditionalFormatting sqref="B15">
    <cfRule type="expression" dxfId="29" priority="90" stopIfTrue="1">
      <formula>LEN(TRIM(B15))=0</formula>
    </cfRule>
  </conditionalFormatting>
  <conditionalFormatting sqref="B15">
    <cfRule type="expression" dxfId="28" priority="89" stopIfTrue="1">
      <formula>LEN(TRIM(B15))=0</formula>
    </cfRule>
  </conditionalFormatting>
  <conditionalFormatting sqref="B15">
    <cfRule type="expression" dxfId="27" priority="88" stopIfTrue="1">
      <formula>LEN(TRIM(B15))=0</formula>
    </cfRule>
  </conditionalFormatting>
  <conditionalFormatting sqref="B15">
    <cfRule type="expression" dxfId="26" priority="87" stopIfTrue="1">
      <formula>LEN(TRIM(B15))=0</formula>
    </cfRule>
  </conditionalFormatting>
  <conditionalFormatting sqref="B15">
    <cfRule type="expression" dxfId="25" priority="86" stopIfTrue="1">
      <formula>LEN(TRIM(B15))=0</formula>
    </cfRule>
  </conditionalFormatting>
  <conditionalFormatting sqref="B15">
    <cfRule type="expression" dxfId="24" priority="85" stopIfTrue="1">
      <formula>LEN(TRIM(B15))=0</formula>
    </cfRule>
  </conditionalFormatting>
  <conditionalFormatting sqref="B15">
    <cfRule type="expression" dxfId="23" priority="84" stopIfTrue="1">
      <formula>LEN(TRIM(B15))=0</formula>
    </cfRule>
  </conditionalFormatting>
  <conditionalFormatting sqref="B15">
    <cfRule type="expression" dxfId="22" priority="83" stopIfTrue="1">
      <formula>LEN(TRIM(B15))=0</formula>
    </cfRule>
  </conditionalFormatting>
  <conditionalFormatting sqref="B17">
    <cfRule type="expression" dxfId="21" priority="20" stopIfTrue="1">
      <formula>LEN(TRIM(B17))=0</formula>
    </cfRule>
  </conditionalFormatting>
  <conditionalFormatting sqref="B17">
    <cfRule type="expression" dxfId="20" priority="19" stopIfTrue="1">
      <formula>LEN(TRIM(B17))=0</formula>
    </cfRule>
  </conditionalFormatting>
  <conditionalFormatting sqref="B17">
    <cfRule type="expression" dxfId="19" priority="18" stopIfTrue="1">
      <formula>LEN(TRIM(B17))=0</formula>
    </cfRule>
  </conditionalFormatting>
  <conditionalFormatting sqref="B17">
    <cfRule type="expression" dxfId="18" priority="17" stopIfTrue="1">
      <formula>LEN(TRIM(B17))=0</formula>
    </cfRule>
  </conditionalFormatting>
  <conditionalFormatting sqref="B17">
    <cfRule type="expression" dxfId="17" priority="16" stopIfTrue="1">
      <formula>LEN(TRIM(B17))=0</formula>
    </cfRule>
  </conditionalFormatting>
  <conditionalFormatting sqref="B17">
    <cfRule type="expression" dxfId="16" priority="15" stopIfTrue="1">
      <formula>LEN(TRIM(B17))=0</formula>
    </cfRule>
  </conditionalFormatting>
  <conditionalFormatting sqref="B17">
    <cfRule type="expression" dxfId="15" priority="14" stopIfTrue="1">
      <formula>LEN(TRIM(B17))=0</formula>
    </cfRule>
  </conditionalFormatting>
  <conditionalFormatting sqref="B17">
    <cfRule type="expression" dxfId="14" priority="13" stopIfTrue="1">
      <formula>LEN(TRIM(B17))=0</formula>
    </cfRule>
  </conditionalFormatting>
  <conditionalFormatting sqref="B17">
    <cfRule type="expression" dxfId="13" priority="12" stopIfTrue="1">
      <formula>LEN(TRIM(B17))=0</formula>
    </cfRule>
  </conditionalFormatting>
  <conditionalFormatting sqref="B17">
    <cfRule type="expression" dxfId="12" priority="11" stopIfTrue="1">
      <formula>LEN(TRIM(B17))=0</formula>
    </cfRule>
  </conditionalFormatting>
  <conditionalFormatting sqref="B17">
    <cfRule type="expression" dxfId="11" priority="10" stopIfTrue="1">
      <formula>LEN(TRIM(B17))=0</formula>
    </cfRule>
  </conditionalFormatting>
  <conditionalFormatting sqref="B17">
    <cfRule type="expression" dxfId="10" priority="9" stopIfTrue="1">
      <formula>LEN(TRIM(B17))=0</formula>
    </cfRule>
  </conditionalFormatting>
  <conditionalFormatting sqref="B17">
    <cfRule type="expression" dxfId="9" priority="8" stopIfTrue="1">
      <formula>LEN(TRIM(B17))=0</formula>
    </cfRule>
  </conditionalFormatting>
  <conditionalFormatting sqref="B17">
    <cfRule type="expression" dxfId="8" priority="7" stopIfTrue="1">
      <formula>LEN(TRIM(B17))=0</formula>
    </cfRule>
  </conditionalFormatting>
  <conditionalFormatting sqref="B17">
    <cfRule type="expression" dxfId="7" priority="6" stopIfTrue="1">
      <formula>LEN(TRIM(B17))=0</formula>
    </cfRule>
  </conditionalFormatting>
  <conditionalFormatting sqref="B17">
    <cfRule type="expression" dxfId="6" priority="5" stopIfTrue="1">
      <formula>LEN(TRIM(B17))=0</formula>
    </cfRule>
  </conditionalFormatting>
  <conditionalFormatting sqref="B17">
    <cfRule type="expression" dxfId="5" priority="4" stopIfTrue="1">
      <formula>LEN(TRIM(B17))=0</formula>
    </cfRule>
  </conditionalFormatting>
  <conditionalFormatting sqref="B17">
    <cfRule type="expression" dxfId="4" priority="3" stopIfTrue="1">
      <formula>LEN(TRIM(B17))=0</formula>
    </cfRule>
  </conditionalFormatting>
  <conditionalFormatting sqref="B17">
    <cfRule type="expression" dxfId="3" priority="2" stopIfTrue="1">
      <formula>LEN(TRIM(B17))=0</formula>
    </cfRule>
  </conditionalFormatting>
  <conditionalFormatting sqref="B17">
    <cfRule type="expression" dxfId="2" priority="1" stopIfTrue="1">
      <formula>LEN(TRIM(B17))=0</formula>
    </cfRule>
  </conditionalFormatting>
  <pageMargins left="0.75" right="0.75" top="1" bottom="1" header="0.5" footer="0.5"/>
  <pageSetup paperSize="9" orientation="portrait" r:id="rId1"/>
  <headerFooter alignWithMargins="0"/>
  <ignoredErrors>
    <ignoredError sqref="B58:Q59 B67:Q67 C62:D62 N62 C52:D52 K52 C53:D53 K53 M52:N52 N53 P52:Q52 P53:Q53 C61:D61 K61 K62 M61:N61 P61:Q61 P62:Q62 C73:D73 C70:D70 K70 C71:D71 K71 M70:N70 P71:Q71 M71:N71 P70:Q70 B60 D60:Q60 J13 J22 J31 J40 J79 J88 J4 H52:J52 H53:I53 C54:D54 H54:Q54 C55:D55 H55:Q55 C56:D56 H56:Q56 C57:D57 H57:Q57 H61:J61 H62:I62 C63:D63 H63:Q63 C64:D64 H64:Q64 C65:D65 H65:Q65 C66:D66 H66:Q66 H70:J70 H71:I71 C72:D72 H72:Q72 H73:Q73 B69:Q69 C68:Q68"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O218"/>
  <sheetViews>
    <sheetView zoomScale="90" zoomScaleNormal="90" workbookViewId="0">
      <selection activeCell="A185" sqref="A185:XFD185"/>
    </sheetView>
  </sheetViews>
  <sheetFormatPr defaultColWidth="9" defaultRowHeight="15.75"/>
  <cols>
    <col min="1" max="1" width="41.875" style="117" customWidth="1"/>
    <col min="2" max="2" width="12.875" style="117" customWidth="1"/>
    <col min="3" max="3" width="12.5" style="116" customWidth="1"/>
    <col min="4" max="4" width="9.25" style="116" bestFit="1" customWidth="1"/>
    <col min="5" max="5" width="12.125" style="118" customWidth="1"/>
    <col min="6" max="6" width="15" style="118" customWidth="1"/>
    <col min="7" max="7" width="9.5" style="119" customWidth="1"/>
    <col min="8" max="8" width="6.875" style="116" bestFit="1" customWidth="1"/>
    <col min="9" max="9" width="9.375" style="116" customWidth="1"/>
    <col min="10" max="10" width="14.625" style="116" customWidth="1"/>
    <col min="11" max="11" width="12.5" style="116" customWidth="1"/>
    <col min="12" max="13" width="9" style="116"/>
    <col min="14" max="14" width="22.5" style="116" customWidth="1"/>
    <col min="15" max="15" width="9" style="116"/>
    <col min="16" max="16384" width="9" style="117"/>
  </cols>
  <sheetData>
    <row r="1" spans="1:15" s="314" customFormat="1">
      <c r="A1" s="313" t="str">
        <f>Summary!A2</f>
        <v>HW356009-P1</v>
      </c>
      <c r="C1" s="115"/>
      <c r="D1" s="115"/>
      <c r="E1" s="115"/>
      <c r="F1" s="115"/>
      <c r="G1" s="115"/>
      <c r="H1" s="115"/>
      <c r="I1" s="115"/>
      <c r="J1" s="115"/>
      <c r="K1" s="115"/>
      <c r="L1" s="115"/>
      <c r="M1" s="115"/>
      <c r="N1" s="115"/>
      <c r="O1" s="115"/>
    </row>
    <row r="2" spans="1:15" s="315" customFormat="1">
      <c r="A2" s="315" t="s">
        <v>220</v>
      </c>
      <c r="C2" s="116"/>
      <c r="D2" s="116"/>
      <c r="E2" s="116"/>
      <c r="F2" s="116"/>
      <c r="G2" s="116"/>
      <c r="H2" s="116"/>
      <c r="I2" s="116"/>
      <c r="J2" s="116"/>
      <c r="K2" s="116"/>
      <c r="L2" s="116"/>
      <c r="M2" s="116"/>
      <c r="N2" s="116"/>
      <c r="O2" s="116"/>
    </row>
    <row r="3" spans="1:15" s="315" customFormat="1">
      <c r="A3" s="315" t="s">
        <v>34</v>
      </c>
      <c r="C3" s="116"/>
      <c r="D3" s="116"/>
      <c r="E3" s="116"/>
      <c r="F3" s="116"/>
      <c r="G3" s="116"/>
      <c r="H3" s="116"/>
      <c r="I3" s="116"/>
      <c r="J3" s="116"/>
      <c r="K3" s="116"/>
      <c r="L3" s="116"/>
      <c r="M3" s="116"/>
      <c r="N3" s="116"/>
      <c r="O3" s="116"/>
    </row>
    <row r="4" spans="1:15" s="315" customFormat="1">
      <c r="A4" s="315" t="s">
        <v>223</v>
      </c>
      <c r="C4" s="116"/>
      <c r="D4" s="116"/>
      <c r="E4" s="116"/>
      <c r="F4" s="116"/>
      <c r="G4" s="116"/>
      <c r="H4" s="116"/>
      <c r="I4" s="116"/>
      <c r="J4" s="116"/>
      <c r="K4" s="116"/>
      <c r="L4" s="116"/>
      <c r="M4" s="116"/>
      <c r="N4" s="116"/>
      <c r="O4" s="116"/>
    </row>
    <row r="5" spans="1:15" s="315" customFormat="1">
      <c r="A5" s="315" t="s">
        <v>188</v>
      </c>
      <c r="C5" s="116"/>
      <c r="D5" s="116"/>
      <c r="E5" s="116"/>
      <c r="F5" s="116"/>
      <c r="G5" s="116"/>
      <c r="H5" s="116"/>
      <c r="I5" s="116"/>
      <c r="J5" s="116"/>
      <c r="K5" s="116"/>
      <c r="L5" s="116"/>
      <c r="M5" s="116"/>
      <c r="N5" s="116"/>
      <c r="O5" s="116"/>
    </row>
    <row r="6" spans="1:15" s="315" customFormat="1">
      <c r="A6" s="315" t="s">
        <v>34</v>
      </c>
      <c r="C6" s="116"/>
      <c r="D6" s="116"/>
      <c r="E6" s="116"/>
      <c r="F6" s="116"/>
      <c r="G6" s="116"/>
      <c r="H6" s="116"/>
      <c r="I6" s="116"/>
      <c r="J6" s="116"/>
      <c r="K6" s="116"/>
      <c r="L6" s="116"/>
      <c r="M6" s="116"/>
      <c r="N6" s="116"/>
      <c r="O6" s="116"/>
    </row>
    <row r="7" spans="1:15" s="315" customFormat="1">
      <c r="A7" s="315" t="s">
        <v>222</v>
      </c>
      <c r="C7" s="116"/>
      <c r="D7" s="116"/>
      <c r="E7" s="116"/>
      <c r="F7" s="116"/>
      <c r="G7" s="116"/>
      <c r="H7" s="116"/>
      <c r="I7" s="116"/>
      <c r="J7" s="116"/>
      <c r="K7" s="116"/>
      <c r="L7" s="116"/>
      <c r="M7" s="116"/>
      <c r="N7" s="116"/>
      <c r="O7" s="116"/>
    </row>
    <row r="8" spans="1:15" s="315" customFormat="1">
      <c r="C8" s="116"/>
      <c r="D8" s="116"/>
      <c r="E8" s="116"/>
      <c r="F8" s="116"/>
      <c r="G8" s="116"/>
      <c r="H8" s="116"/>
      <c r="I8" s="116"/>
      <c r="J8" s="116"/>
      <c r="K8" s="116"/>
      <c r="L8" s="116"/>
      <c r="M8" s="116"/>
      <c r="N8" s="116"/>
      <c r="O8" s="116"/>
    </row>
    <row r="9" spans="1:15" s="315" customFormat="1">
      <c r="A9" s="315" t="s">
        <v>258</v>
      </c>
      <c r="C9" s="116"/>
      <c r="D9" s="116"/>
      <c r="E9" s="116"/>
      <c r="F9" s="116"/>
      <c r="G9" s="116"/>
      <c r="H9" s="116"/>
      <c r="I9" s="116"/>
      <c r="J9" s="116"/>
      <c r="K9" s="116"/>
      <c r="L9" s="116"/>
      <c r="M9" s="116"/>
      <c r="N9" s="116"/>
      <c r="O9" s="116"/>
    </row>
    <row r="10" spans="1:15" s="315" customFormat="1">
      <c r="A10" s="315" t="s">
        <v>221</v>
      </c>
      <c r="C10" s="116"/>
      <c r="D10" s="116"/>
      <c r="E10" s="116"/>
      <c r="F10" s="116"/>
      <c r="G10" s="116"/>
      <c r="H10" s="116"/>
      <c r="I10" s="116"/>
      <c r="J10" s="116"/>
      <c r="K10" s="116"/>
      <c r="L10" s="116"/>
      <c r="M10" s="116"/>
      <c r="N10" s="116"/>
      <c r="O10" s="116"/>
    </row>
    <row r="11" spans="1:15" s="315" customFormat="1">
      <c r="A11" s="315" t="s">
        <v>259</v>
      </c>
      <c r="C11" s="116"/>
      <c r="D11" s="116"/>
      <c r="E11" s="116"/>
      <c r="F11" s="116"/>
      <c r="G11" s="116"/>
      <c r="H11" s="116"/>
      <c r="I11" s="116"/>
      <c r="J11" s="116"/>
      <c r="K11" s="116"/>
      <c r="L11" s="116"/>
      <c r="M11" s="116"/>
      <c r="N11" s="116"/>
      <c r="O11" s="116"/>
    </row>
    <row r="12" spans="1:15" s="315" customFormat="1">
      <c r="C12" s="116"/>
      <c r="D12" s="116"/>
      <c r="E12" s="116"/>
      <c r="F12" s="116"/>
      <c r="G12" s="116"/>
      <c r="H12" s="116"/>
      <c r="I12" s="116"/>
      <c r="J12" s="116"/>
      <c r="K12" s="116"/>
      <c r="L12" s="116"/>
      <c r="M12" s="116"/>
      <c r="N12" s="116"/>
      <c r="O12" s="116"/>
    </row>
    <row r="13" spans="1:15" s="315" customFormat="1">
      <c r="A13" s="315" t="s">
        <v>35</v>
      </c>
      <c r="B13" s="315" t="s">
        <v>36</v>
      </c>
      <c r="C13" s="116" t="s">
        <v>37</v>
      </c>
      <c r="D13" s="116" t="s">
        <v>38</v>
      </c>
      <c r="E13" s="116" t="s">
        <v>39</v>
      </c>
      <c r="F13" s="116" t="s">
        <v>40</v>
      </c>
      <c r="G13" s="116"/>
      <c r="H13" s="116"/>
      <c r="I13" s="116"/>
      <c r="J13" s="116"/>
      <c r="K13" s="116"/>
      <c r="L13" s="116"/>
      <c r="M13" s="116"/>
      <c r="N13" s="116"/>
      <c r="O13" s="116"/>
    </row>
    <row r="14" spans="1:15" s="315" customFormat="1">
      <c r="A14" s="315" t="s">
        <v>41</v>
      </c>
      <c r="B14" s="315" t="s">
        <v>42</v>
      </c>
      <c r="C14" s="116"/>
      <c r="D14" s="116"/>
      <c r="E14" s="116"/>
      <c r="F14" s="116"/>
      <c r="G14" s="116"/>
      <c r="H14" s="116"/>
      <c r="I14" s="116"/>
      <c r="J14" s="116"/>
      <c r="K14" s="116"/>
      <c r="L14" s="116"/>
      <c r="M14" s="116"/>
      <c r="N14" s="116"/>
      <c r="O14" s="116"/>
    </row>
    <row r="15" spans="1:15" s="315" customFormat="1">
      <c r="A15" s="315" t="s">
        <v>43</v>
      </c>
      <c r="C15" s="116"/>
      <c r="D15" s="116"/>
      <c r="E15" s="116"/>
      <c r="F15" s="116"/>
      <c r="G15" s="116"/>
      <c r="H15" s="116"/>
      <c r="I15" s="116"/>
      <c r="J15" s="116"/>
      <c r="K15" s="116"/>
      <c r="L15" s="116"/>
      <c r="M15" s="116"/>
      <c r="N15" s="116"/>
      <c r="O15" s="116"/>
    </row>
    <row r="16" spans="1:15" s="316" customFormat="1">
      <c r="C16" s="317"/>
      <c r="D16" s="317"/>
      <c r="E16" s="317"/>
      <c r="F16" s="317"/>
      <c r="G16" s="317"/>
      <c r="H16" s="317"/>
      <c r="I16" s="317"/>
      <c r="J16" s="317"/>
      <c r="K16" s="317"/>
      <c r="L16" s="317"/>
      <c r="M16" s="317"/>
      <c r="N16" s="317"/>
      <c r="O16" s="317"/>
    </row>
    <row r="17" spans="1:15" s="315" customFormat="1">
      <c r="A17" s="315" t="s">
        <v>260</v>
      </c>
      <c r="C17" s="116"/>
      <c r="D17" s="116"/>
      <c r="E17" s="116"/>
      <c r="F17" s="116"/>
      <c r="G17" s="116"/>
      <c r="H17" s="116"/>
      <c r="I17" s="116"/>
      <c r="J17" s="116"/>
      <c r="K17" s="116"/>
      <c r="L17" s="116"/>
      <c r="M17" s="116"/>
      <c r="N17" s="116"/>
      <c r="O17" s="116"/>
    </row>
    <row r="18" spans="1:15" s="315" customFormat="1">
      <c r="A18" s="315" t="s">
        <v>195</v>
      </c>
      <c r="C18" s="116"/>
      <c r="D18" s="116"/>
      <c r="E18" s="116"/>
      <c r="F18" s="116"/>
      <c r="G18" s="116"/>
      <c r="H18" s="116"/>
      <c r="I18" s="116"/>
      <c r="J18" s="116"/>
      <c r="K18" s="116"/>
      <c r="L18" s="116"/>
      <c r="M18" s="116"/>
      <c r="N18" s="116"/>
      <c r="O18" s="116"/>
    </row>
    <row r="19" spans="1:15" s="316" customFormat="1">
      <c r="A19" s="316" t="s">
        <v>259</v>
      </c>
      <c r="C19" s="317"/>
      <c r="D19" s="317"/>
      <c r="E19" s="317"/>
      <c r="F19" s="317"/>
      <c r="G19" s="317"/>
      <c r="H19" s="317"/>
      <c r="I19" s="317"/>
      <c r="J19" s="317"/>
      <c r="K19" s="317"/>
      <c r="L19" s="317"/>
      <c r="M19" s="317"/>
      <c r="N19" s="317"/>
      <c r="O19" s="317"/>
    </row>
    <row r="20" spans="1:15" s="315" customFormat="1">
      <c r="C20" s="116"/>
      <c r="D20" s="116"/>
      <c r="E20" s="116"/>
      <c r="F20" s="116"/>
      <c r="G20" s="116"/>
      <c r="H20" s="116"/>
      <c r="I20" s="116"/>
      <c r="J20" s="116"/>
      <c r="K20" s="116"/>
      <c r="L20" s="116"/>
      <c r="M20" s="116"/>
      <c r="N20" s="116"/>
      <c r="O20" s="116"/>
    </row>
    <row r="21" spans="1:15" s="315" customFormat="1">
      <c r="A21" s="315" t="s">
        <v>35</v>
      </c>
      <c r="B21" s="315" t="s">
        <v>36</v>
      </c>
      <c r="C21" s="116" t="s">
        <v>37</v>
      </c>
      <c r="D21" s="116" t="s">
        <v>38</v>
      </c>
      <c r="E21" s="116" t="s">
        <v>39</v>
      </c>
      <c r="F21" s="116" t="s">
        <v>40</v>
      </c>
      <c r="G21" s="116"/>
      <c r="H21" s="116"/>
      <c r="I21" s="116"/>
      <c r="J21" s="116"/>
      <c r="K21" s="116"/>
      <c r="L21" s="116"/>
      <c r="M21" s="116"/>
      <c r="N21" s="116"/>
      <c r="O21" s="116"/>
    </row>
    <row r="22" spans="1:15" s="315" customFormat="1">
      <c r="A22" s="315" t="s">
        <v>41</v>
      </c>
      <c r="B22" s="315" t="s">
        <v>42</v>
      </c>
      <c r="C22" s="116"/>
      <c r="D22" s="116"/>
      <c r="E22" s="116"/>
      <c r="F22" s="116"/>
      <c r="G22" s="116"/>
      <c r="H22" s="116"/>
      <c r="I22" s="116"/>
      <c r="J22" s="116"/>
      <c r="K22" s="116"/>
      <c r="L22" s="116"/>
      <c r="M22" s="116"/>
      <c r="N22" s="116"/>
      <c r="O22" s="116"/>
    </row>
    <row r="23" spans="1:15" s="315" customFormat="1">
      <c r="A23" s="315" t="s">
        <v>43</v>
      </c>
      <c r="C23" s="116"/>
      <c r="D23" s="116"/>
      <c r="E23" s="116"/>
      <c r="F23" s="116"/>
      <c r="G23" s="116"/>
      <c r="H23" s="116"/>
      <c r="I23" s="116"/>
      <c r="J23" s="116"/>
      <c r="K23" s="116"/>
      <c r="L23" s="116"/>
      <c r="M23" s="116"/>
      <c r="N23" s="116"/>
      <c r="O23" s="116"/>
    </row>
    <row r="24" spans="1:15" s="316" customFormat="1">
      <c r="C24" s="317"/>
      <c r="D24" s="317"/>
      <c r="E24" s="317"/>
      <c r="F24" s="317"/>
      <c r="G24" s="317"/>
      <c r="H24" s="317"/>
      <c r="I24" s="317"/>
      <c r="J24" s="317"/>
      <c r="K24" s="317"/>
      <c r="L24" s="317"/>
      <c r="M24" s="317"/>
      <c r="N24" s="317"/>
      <c r="O24" s="317"/>
    </row>
    <row r="25" spans="1:15" s="315" customFormat="1">
      <c r="C25" s="116"/>
      <c r="D25" s="116"/>
      <c r="E25" s="116"/>
      <c r="F25" s="116"/>
      <c r="G25" s="116"/>
      <c r="H25" s="116"/>
      <c r="I25" s="116"/>
      <c r="J25" s="116"/>
      <c r="K25" s="116"/>
      <c r="L25" s="116"/>
      <c r="M25" s="116"/>
      <c r="N25" s="116"/>
      <c r="O25" s="116"/>
    </row>
    <row r="26" spans="1:15" s="315" customFormat="1">
      <c r="C26" s="116"/>
      <c r="D26" s="116"/>
      <c r="E26" s="116"/>
      <c r="F26" s="116"/>
      <c r="G26" s="116"/>
      <c r="H26" s="116"/>
      <c r="I26" s="116"/>
      <c r="J26" s="116"/>
      <c r="K26" s="116"/>
      <c r="L26" s="116"/>
      <c r="M26" s="116"/>
      <c r="N26" s="116"/>
      <c r="O26" s="116"/>
    </row>
    <row r="27" spans="1:15" s="316" customFormat="1" ht="47.25">
      <c r="A27" s="316" t="s">
        <v>3</v>
      </c>
      <c r="B27" s="316" t="s">
        <v>44</v>
      </c>
      <c r="C27" s="317" t="s">
        <v>242</v>
      </c>
      <c r="D27" s="317" t="s">
        <v>4</v>
      </c>
      <c r="E27" s="317" t="s">
        <v>45</v>
      </c>
      <c r="F27" s="317" t="s">
        <v>46</v>
      </c>
      <c r="G27" s="317" t="s">
        <v>0</v>
      </c>
      <c r="H27" s="317" t="s">
        <v>47</v>
      </c>
      <c r="I27" s="317" t="s">
        <v>48</v>
      </c>
      <c r="J27" s="317" t="s">
        <v>243</v>
      </c>
      <c r="K27" s="317" t="s">
        <v>49</v>
      </c>
      <c r="L27" s="317" t="s">
        <v>142</v>
      </c>
      <c r="M27" s="317" t="s">
        <v>194</v>
      </c>
      <c r="N27" s="317" t="s">
        <v>96</v>
      </c>
      <c r="O27" s="317"/>
    </row>
    <row r="28" spans="1:15" s="315" customFormat="1">
      <c r="A28" s="315" t="s">
        <v>97</v>
      </c>
      <c r="B28" s="315" t="s">
        <v>50</v>
      </c>
      <c r="C28" s="116" t="s">
        <v>5</v>
      </c>
      <c r="D28" s="116">
        <v>1</v>
      </c>
      <c r="E28" s="269">
        <v>0</v>
      </c>
      <c r="F28" s="269">
        <v>0</v>
      </c>
      <c r="G28" s="116" t="e">
        <v>#DIV/0!</v>
      </c>
      <c r="H28" s="116"/>
      <c r="I28" s="116">
        <v>0</v>
      </c>
      <c r="J28" s="116" t="e">
        <v>#DIV/0!</v>
      </c>
      <c r="K28" s="116" t="s">
        <v>5</v>
      </c>
      <c r="L28" s="116">
        <v>23</v>
      </c>
      <c r="M28" s="116">
        <v>1</v>
      </c>
      <c r="N28" s="116" t="s">
        <v>261</v>
      </c>
      <c r="O28" s="116"/>
    </row>
    <row r="29" spans="1:15" s="315" customFormat="1">
      <c r="A29" s="315" t="s">
        <v>97</v>
      </c>
      <c r="B29" s="315" t="s">
        <v>50</v>
      </c>
      <c r="C29" s="116" t="s">
        <v>5</v>
      </c>
      <c r="D29" s="116">
        <v>1</v>
      </c>
      <c r="E29" s="269">
        <v>0</v>
      </c>
      <c r="F29" s="269">
        <v>0</v>
      </c>
      <c r="G29" s="116" t="e">
        <v>#DIV/0!</v>
      </c>
      <c r="H29" s="116"/>
      <c r="I29" s="116">
        <v>0</v>
      </c>
      <c r="J29" s="116" t="e">
        <v>#DIV/0!</v>
      </c>
      <c r="K29" s="116" t="s">
        <v>5</v>
      </c>
      <c r="L29" s="116">
        <v>24</v>
      </c>
      <c r="M29" s="116">
        <v>1</v>
      </c>
      <c r="N29" s="116" t="s">
        <v>262</v>
      </c>
      <c r="O29" s="116"/>
    </row>
    <row r="30" spans="1:15" s="315" customFormat="1">
      <c r="A30" s="315" t="s">
        <v>263</v>
      </c>
      <c r="B30" s="315" t="s">
        <v>50</v>
      </c>
      <c r="C30" s="116" t="s">
        <v>5</v>
      </c>
      <c r="D30" s="116">
        <v>1.1100000000000001</v>
      </c>
      <c r="E30" s="269">
        <v>129000</v>
      </c>
      <c r="F30" s="269">
        <v>1270000</v>
      </c>
      <c r="G30" s="116">
        <v>0.10199999999999999</v>
      </c>
      <c r="H30" s="116"/>
      <c r="I30" s="116">
        <v>0</v>
      </c>
      <c r="J30" s="116">
        <v>0</v>
      </c>
      <c r="K30" s="116" t="s">
        <v>5</v>
      </c>
      <c r="L30" s="116">
        <v>1</v>
      </c>
      <c r="M30" s="116">
        <v>2</v>
      </c>
      <c r="N30" s="116" t="s">
        <v>264</v>
      </c>
      <c r="O30" s="116"/>
    </row>
    <row r="31" spans="1:15" s="315" customFormat="1">
      <c r="A31" s="315" t="s">
        <v>265</v>
      </c>
      <c r="B31" s="315" t="s">
        <v>50</v>
      </c>
      <c r="C31" s="116" t="s">
        <v>5</v>
      </c>
      <c r="D31" s="116">
        <v>1.1100000000000001</v>
      </c>
      <c r="E31" s="269">
        <v>134000</v>
      </c>
      <c r="F31" s="269">
        <v>1370000</v>
      </c>
      <c r="G31" s="116">
        <v>9.7699999999999995E-2</v>
      </c>
      <c r="H31" s="116"/>
      <c r="I31" s="116">
        <v>0</v>
      </c>
      <c r="J31" s="116">
        <v>0</v>
      </c>
      <c r="K31" s="116" t="s">
        <v>5</v>
      </c>
      <c r="L31" s="116">
        <v>2</v>
      </c>
      <c r="M31" s="116">
        <v>2</v>
      </c>
      <c r="N31" s="116" t="s">
        <v>266</v>
      </c>
      <c r="O31" s="116"/>
    </row>
    <row r="32" spans="1:15" s="315" customFormat="1">
      <c r="A32" s="315" t="s">
        <v>267</v>
      </c>
      <c r="B32" s="315" t="s">
        <v>50</v>
      </c>
      <c r="C32" s="116" t="s">
        <v>5</v>
      </c>
      <c r="D32" s="116">
        <v>10</v>
      </c>
      <c r="E32" s="269">
        <v>671000</v>
      </c>
      <c r="F32" s="269">
        <v>1320000</v>
      </c>
      <c r="G32" s="116">
        <v>0.50700000000000001</v>
      </c>
      <c r="H32" s="116"/>
      <c r="I32" s="116">
        <v>0</v>
      </c>
      <c r="J32" s="116">
        <v>0</v>
      </c>
      <c r="K32" s="116" t="s">
        <v>5</v>
      </c>
      <c r="L32" s="116">
        <v>13</v>
      </c>
      <c r="M32" s="116">
        <v>2</v>
      </c>
      <c r="N32" s="116" t="s">
        <v>268</v>
      </c>
      <c r="O32" s="116"/>
    </row>
    <row r="33" spans="1:15" s="315" customFormat="1">
      <c r="A33" s="315" t="s">
        <v>269</v>
      </c>
      <c r="B33" s="315" t="s">
        <v>50</v>
      </c>
      <c r="C33" s="116" t="s">
        <v>5</v>
      </c>
      <c r="D33" s="116">
        <v>10</v>
      </c>
      <c r="E33" s="269">
        <v>651000</v>
      </c>
      <c r="F33" s="269">
        <v>1290000</v>
      </c>
      <c r="G33" s="116">
        <v>0.505</v>
      </c>
      <c r="H33" s="116"/>
      <c r="I33" s="116">
        <v>0</v>
      </c>
      <c r="J33" s="116">
        <v>0</v>
      </c>
      <c r="K33" s="116" t="s">
        <v>5</v>
      </c>
      <c r="L33" s="116">
        <v>14</v>
      </c>
      <c r="M33" s="116">
        <v>2</v>
      </c>
      <c r="N33" s="116" t="s">
        <v>270</v>
      </c>
      <c r="O33" s="116"/>
    </row>
    <row r="34" spans="1:15" s="315" customFormat="1">
      <c r="A34" s="315" t="s">
        <v>271</v>
      </c>
      <c r="B34" s="315" t="s">
        <v>50</v>
      </c>
      <c r="C34" s="116" t="s">
        <v>5</v>
      </c>
      <c r="D34" s="116">
        <v>10</v>
      </c>
      <c r="E34" s="269">
        <v>707000</v>
      </c>
      <c r="F34" s="269">
        <v>1330000</v>
      </c>
      <c r="G34" s="116">
        <v>0.53300000000000003</v>
      </c>
      <c r="H34" s="116"/>
      <c r="I34" s="116">
        <v>0</v>
      </c>
      <c r="J34" s="116">
        <v>0</v>
      </c>
      <c r="K34" s="116" t="s">
        <v>5</v>
      </c>
      <c r="L34" s="116">
        <v>25</v>
      </c>
      <c r="M34" s="116">
        <v>2</v>
      </c>
      <c r="N34" s="116" t="s">
        <v>272</v>
      </c>
      <c r="O34" s="116"/>
    </row>
    <row r="35" spans="1:15" s="315" customFormat="1">
      <c r="A35" s="315" t="s">
        <v>273</v>
      </c>
      <c r="B35" s="315" t="s">
        <v>50</v>
      </c>
      <c r="C35" s="116" t="s">
        <v>5</v>
      </c>
      <c r="D35" s="116">
        <v>10</v>
      </c>
      <c r="E35" s="269">
        <v>706000</v>
      </c>
      <c r="F35" s="269">
        <v>1220000</v>
      </c>
      <c r="G35" s="116">
        <v>0.57999999999999996</v>
      </c>
      <c r="H35" s="116"/>
      <c r="I35" s="116">
        <v>0</v>
      </c>
      <c r="J35" s="116">
        <v>0</v>
      </c>
      <c r="K35" s="116" t="s">
        <v>5</v>
      </c>
      <c r="L35" s="116">
        <v>26</v>
      </c>
      <c r="M35" s="116">
        <v>2</v>
      </c>
      <c r="N35" s="116" t="s">
        <v>274</v>
      </c>
      <c r="O35" s="116"/>
    </row>
    <row r="36" spans="1:15" s="315" customFormat="1">
      <c r="A36" s="315" t="s">
        <v>275</v>
      </c>
      <c r="B36" s="315" t="s">
        <v>50</v>
      </c>
      <c r="C36" s="116" t="s">
        <v>5</v>
      </c>
      <c r="D36" s="116">
        <v>10</v>
      </c>
      <c r="E36" s="269">
        <v>667000</v>
      </c>
      <c r="F36" s="269">
        <v>1250000</v>
      </c>
      <c r="G36" s="116">
        <v>0.53200000000000003</v>
      </c>
      <c r="H36" s="116"/>
      <c r="I36" s="116">
        <v>0</v>
      </c>
      <c r="J36" s="116">
        <v>0</v>
      </c>
      <c r="K36" s="116" t="s">
        <v>5</v>
      </c>
      <c r="L36" s="116">
        <v>37</v>
      </c>
      <c r="M36" s="116">
        <v>2</v>
      </c>
      <c r="N36" s="116" t="s">
        <v>276</v>
      </c>
      <c r="O36" s="116"/>
    </row>
    <row r="37" spans="1:15" s="315" customFormat="1">
      <c r="A37" s="315" t="s">
        <v>277</v>
      </c>
      <c r="B37" s="315" t="s">
        <v>50</v>
      </c>
      <c r="C37" s="116" t="s">
        <v>5</v>
      </c>
      <c r="D37" s="116">
        <v>10</v>
      </c>
      <c r="E37" s="269">
        <v>719000</v>
      </c>
      <c r="F37" s="269">
        <v>1300000</v>
      </c>
      <c r="G37" s="116">
        <v>0.55400000000000005</v>
      </c>
      <c r="H37" s="116"/>
      <c r="I37" s="116">
        <v>0</v>
      </c>
      <c r="J37" s="116">
        <v>0</v>
      </c>
      <c r="K37" s="116" t="s">
        <v>5</v>
      </c>
      <c r="L37" s="116">
        <v>38</v>
      </c>
      <c r="M37" s="116">
        <v>2</v>
      </c>
      <c r="N37" s="116" t="s">
        <v>278</v>
      </c>
      <c r="O37" s="116"/>
    </row>
    <row r="38" spans="1:15" s="315" customFormat="1">
      <c r="A38" s="315" t="s">
        <v>97</v>
      </c>
      <c r="B38" s="315" t="s">
        <v>50</v>
      </c>
      <c r="C38" s="116" t="s">
        <v>5</v>
      </c>
      <c r="D38" s="116">
        <v>1</v>
      </c>
      <c r="E38" s="269">
        <v>0</v>
      </c>
      <c r="F38" s="269">
        <v>0</v>
      </c>
      <c r="G38" s="116" t="e">
        <v>#DIV/0!</v>
      </c>
      <c r="H38" s="116"/>
      <c r="I38" s="116">
        <v>0</v>
      </c>
      <c r="J38" s="116" t="e">
        <v>#DIV/0!</v>
      </c>
      <c r="K38" s="116" t="s">
        <v>5</v>
      </c>
      <c r="L38" s="116">
        <v>23</v>
      </c>
      <c r="M38" s="116">
        <v>1</v>
      </c>
      <c r="N38" s="116" t="s">
        <v>279</v>
      </c>
      <c r="O38" s="116"/>
    </row>
    <row r="39" spans="1:15" s="315" customFormat="1">
      <c r="A39" s="315" t="s">
        <v>97</v>
      </c>
      <c r="B39" s="315" t="s">
        <v>50</v>
      </c>
      <c r="C39" s="116" t="s">
        <v>5</v>
      </c>
      <c r="D39" s="116">
        <v>1</v>
      </c>
      <c r="E39" s="269">
        <v>0</v>
      </c>
      <c r="F39" s="269">
        <v>0</v>
      </c>
      <c r="G39" s="116" t="e">
        <v>#DIV/0!</v>
      </c>
      <c r="H39" s="116"/>
      <c r="I39" s="116">
        <v>0</v>
      </c>
      <c r="J39" s="116" t="e">
        <v>#DIV/0!</v>
      </c>
      <c r="K39" s="116" t="s">
        <v>5</v>
      </c>
      <c r="L39" s="116">
        <v>24</v>
      </c>
      <c r="M39" s="116">
        <v>1</v>
      </c>
      <c r="N39" s="116" t="s">
        <v>280</v>
      </c>
      <c r="O39" s="116"/>
    </row>
    <row r="40" spans="1:15" s="315" customFormat="1">
      <c r="A40" s="315" t="s">
        <v>281</v>
      </c>
      <c r="B40" s="315" t="s">
        <v>50</v>
      </c>
      <c r="C40" s="116" t="s">
        <v>5</v>
      </c>
      <c r="D40" s="116">
        <v>1.1100000000000001</v>
      </c>
      <c r="E40" s="269">
        <v>145000</v>
      </c>
      <c r="F40" s="269">
        <v>1260000</v>
      </c>
      <c r="G40" s="116">
        <v>0.115</v>
      </c>
      <c r="H40" s="116"/>
      <c r="I40" s="116">
        <v>0</v>
      </c>
      <c r="J40" s="116">
        <v>0</v>
      </c>
      <c r="K40" s="116" t="s">
        <v>5</v>
      </c>
      <c r="L40" s="116">
        <v>3</v>
      </c>
      <c r="M40" s="116">
        <v>2</v>
      </c>
      <c r="N40" s="116" t="s">
        <v>282</v>
      </c>
      <c r="O40" s="116"/>
    </row>
    <row r="41" spans="1:15" s="315" customFormat="1">
      <c r="A41" s="315" t="s">
        <v>283</v>
      </c>
      <c r="B41" s="315" t="s">
        <v>50</v>
      </c>
      <c r="C41" s="116" t="s">
        <v>5</v>
      </c>
      <c r="D41" s="116">
        <v>1.1100000000000001</v>
      </c>
      <c r="E41" s="269">
        <v>154000</v>
      </c>
      <c r="F41" s="269">
        <v>1290000</v>
      </c>
      <c r="G41" s="116">
        <v>0.11899999999999999</v>
      </c>
      <c r="H41" s="116"/>
      <c r="I41" s="116">
        <v>0</v>
      </c>
      <c r="J41" s="116">
        <v>0</v>
      </c>
      <c r="K41" s="116" t="s">
        <v>5</v>
      </c>
      <c r="L41" s="116">
        <v>4</v>
      </c>
      <c r="M41" s="116">
        <v>2</v>
      </c>
      <c r="N41" s="116" t="s">
        <v>284</v>
      </c>
      <c r="O41" s="116"/>
    </row>
    <row r="42" spans="1:15" s="315" customFormat="1">
      <c r="A42" s="315" t="s">
        <v>285</v>
      </c>
      <c r="B42" s="315" t="s">
        <v>50</v>
      </c>
      <c r="C42" s="116" t="s">
        <v>5</v>
      </c>
      <c r="D42" s="116">
        <v>10</v>
      </c>
      <c r="E42" s="269">
        <v>704000</v>
      </c>
      <c r="F42" s="269">
        <v>1270000</v>
      </c>
      <c r="G42" s="116">
        <v>0.55600000000000005</v>
      </c>
      <c r="H42" s="116"/>
      <c r="I42" s="116">
        <v>0</v>
      </c>
      <c r="J42" s="116">
        <v>0</v>
      </c>
      <c r="K42" s="116" t="s">
        <v>5</v>
      </c>
      <c r="L42" s="116">
        <v>15</v>
      </c>
      <c r="M42" s="116">
        <v>2</v>
      </c>
      <c r="N42" s="116" t="s">
        <v>286</v>
      </c>
      <c r="O42" s="116"/>
    </row>
    <row r="43" spans="1:15" s="315" customFormat="1">
      <c r="A43" s="315" t="s">
        <v>287</v>
      </c>
      <c r="B43" s="315" t="s">
        <v>50</v>
      </c>
      <c r="C43" s="116" t="s">
        <v>5</v>
      </c>
      <c r="D43" s="116">
        <v>10</v>
      </c>
      <c r="E43" s="269">
        <v>816000</v>
      </c>
      <c r="F43" s="269">
        <v>1370000</v>
      </c>
      <c r="G43" s="116">
        <v>0.59499999999999997</v>
      </c>
      <c r="H43" s="116"/>
      <c r="I43" s="116">
        <v>0</v>
      </c>
      <c r="J43" s="116">
        <v>0</v>
      </c>
      <c r="K43" s="116" t="s">
        <v>5</v>
      </c>
      <c r="L43" s="116">
        <v>16</v>
      </c>
      <c r="M43" s="116">
        <v>2</v>
      </c>
      <c r="N43" s="116" t="s">
        <v>288</v>
      </c>
      <c r="O43" s="116"/>
    </row>
    <row r="44" spans="1:15" s="315" customFormat="1">
      <c r="A44" s="315" t="s">
        <v>289</v>
      </c>
      <c r="B44" s="315" t="s">
        <v>50</v>
      </c>
      <c r="C44" s="116" t="s">
        <v>5</v>
      </c>
      <c r="D44" s="116">
        <v>10</v>
      </c>
      <c r="E44" s="269">
        <v>791000</v>
      </c>
      <c r="F44" s="269">
        <v>1300000</v>
      </c>
      <c r="G44" s="116">
        <v>0.60799999999999998</v>
      </c>
      <c r="H44" s="116"/>
      <c r="I44" s="116">
        <v>0</v>
      </c>
      <c r="J44" s="116">
        <v>0</v>
      </c>
      <c r="K44" s="116" t="s">
        <v>5</v>
      </c>
      <c r="L44" s="116">
        <v>27</v>
      </c>
      <c r="M44" s="116">
        <v>2</v>
      </c>
      <c r="N44" s="116" t="s">
        <v>290</v>
      </c>
      <c r="O44" s="116"/>
    </row>
    <row r="45" spans="1:15" s="316" customFormat="1">
      <c r="A45" s="316" t="s">
        <v>291</v>
      </c>
      <c r="B45" s="316" t="s">
        <v>50</v>
      </c>
      <c r="C45" s="317" t="s">
        <v>5</v>
      </c>
      <c r="D45" s="317">
        <v>10</v>
      </c>
      <c r="E45" s="318">
        <v>770000</v>
      </c>
      <c r="F45" s="318">
        <v>1250000</v>
      </c>
      <c r="G45" s="317">
        <v>0.61399999999999999</v>
      </c>
      <c r="H45" s="317"/>
      <c r="I45" s="317">
        <v>0</v>
      </c>
      <c r="J45" s="317">
        <v>0</v>
      </c>
      <c r="K45" s="317" t="s">
        <v>5</v>
      </c>
      <c r="L45" s="317">
        <v>28</v>
      </c>
      <c r="M45" s="317">
        <v>2</v>
      </c>
      <c r="N45" s="317" t="s">
        <v>292</v>
      </c>
      <c r="O45" s="317"/>
    </row>
    <row r="46" spans="1:15" s="315" customFormat="1">
      <c r="A46" s="315" t="s">
        <v>293</v>
      </c>
      <c r="B46" s="315" t="s">
        <v>50</v>
      </c>
      <c r="C46" s="116" t="s">
        <v>5</v>
      </c>
      <c r="D46" s="116">
        <v>10</v>
      </c>
      <c r="E46" s="269">
        <v>755000</v>
      </c>
      <c r="F46" s="269">
        <v>1320000</v>
      </c>
      <c r="G46" s="116">
        <v>0.57099999999999995</v>
      </c>
      <c r="H46" s="116"/>
      <c r="I46" s="116">
        <v>0</v>
      </c>
      <c r="J46" s="116">
        <v>0</v>
      </c>
      <c r="K46" s="116" t="s">
        <v>5</v>
      </c>
      <c r="L46" s="116">
        <v>39</v>
      </c>
      <c r="M46" s="116">
        <v>2</v>
      </c>
      <c r="N46" s="116" t="s">
        <v>294</v>
      </c>
      <c r="O46" s="116"/>
    </row>
    <row r="47" spans="1:15" s="315" customFormat="1">
      <c r="A47" s="315" t="s">
        <v>295</v>
      </c>
      <c r="B47" s="315" t="s">
        <v>50</v>
      </c>
      <c r="C47" s="116" t="s">
        <v>5</v>
      </c>
      <c r="D47" s="116">
        <v>10</v>
      </c>
      <c r="E47" s="269">
        <v>762000</v>
      </c>
      <c r="F47" s="269">
        <v>1280000</v>
      </c>
      <c r="G47" s="116">
        <v>0.59599999999999997</v>
      </c>
      <c r="H47" s="116"/>
      <c r="I47" s="116">
        <v>0</v>
      </c>
      <c r="J47" s="116">
        <v>0</v>
      </c>
      <c r="K47" s="116" t="s">
        <v>5</v>
      </c>
      <c r="L47" s="116">
        <v>40</v>
      </c>
      <c r="M47" s="116">
        <v>2</v>
      </c>
      <c r="N47" s="116" t="s">
        <v>296</v>
      </c>
      <c r="O47" s="116"/>
    </row>
    <row r="48" spans="1:15" s="315" customFormat="1">
      <c r="A48" s="315" t="s">
        <v>97</v>
      </c>
      <c r="B48" s="315" t="s">
        <v>50</v>
      </c>
      <c r="C48" s="116" t="s">
        <v>5</v>
      </c>
      <c r="D48" s="116">
        <v>1</v>
      </c>
      <c r="E48" s="269">
        <v>0</v>
      </c>
      <c r="F48" s="269">
        <v>0</v>
      </c>
      <c r="G48" s="116" t="e">
        <v>#DIV/0!</v>
      </c>
      <c r="H48" s="116"/>
      <c r="I48" s="116">
        <v>0</v>
      </c>
      <c r="J48" s="116" t="e">
        <v>#DIV/0!</v>
      </c>
      <c r="K48" s="116" t="s">
        <v>5</v>
      </c>
      <c r="L48" s="116">
        <v>23</v>
      </c>
      <c r="M48" s="116">
        <v>1</v>
      </c>
      <c r="N48" s="116" t="s">
        <v>297</v>
      </c>
      <c r="O48" s="116"/>
    </row>
    <row r="49" spans="1:15" s="315" customFormat="1">
      <c r="A49" s="315" t="s">
        <v>97</v>
      </c>
      <c r="B49" s="315" t="s">
        <v>50</v>
      </c>
      <c r="C49" s="116" t="s">
        <v>5</v>
      </c>
      <c r="D49" s="116">
        <v>1</v>
      </c>
      <c r="E49" s="269">
        <v>0</v>
      </c>
      <c r="F49" s="269">
        <v>0</v>
      </c>
      <c r="G49" s="116" t="e">
        <v>#DIV/0!</v>
      </c>
      <c r="H49" s="116"/>
      <c r="I49" s="116">
        <v>0</v>
      </c>
      <c r="J49" s="116" t="e">
        <v>#DIV/0!</v>
      </c>
      <c r="K49" s="116" t="s">
        <v>5</v>
      </c>
      <c r="L49" s="116">
        <v>24</v>
      </c>
      <c r="M49" s="116">
        <v>1</v>
      </c>
      <c r="N49" s="116" t="s">
        <v>298</v>
      </c>
      <c r="O49" s="116"/>
    </row>
    <row r="50" spans="1:15" s="315" customFormat="1">
      <c r="A50" s="315" t="s">
        <v>299</v>
      </c>
      <c r="B50" s="315" t="s">
        <v>50</v>
      </c>
      <c r="C50" s="116" t="s">
        <v>5</v>
      </c>
      <c r="D50" s="116">
        <v>1.1100000000000001</v>
      </c>
      <c r="E50" s="269">
        <v>144000</v>
      </c>
      <c r="F50" s="269">
        <v>1280000</v>
      </c>
      <c r="G50" s="116">
        <v>0.112</v>
      </c>
      <c r="H50" s="116"/>
      <c r="I50" s="116">
        <v>0</v>
      </c>
      <c r="J50" s="116">
        <v>0</v>
      </c>
      <c r="K50" s="116" t="s">
        <v>5</v>
      </c>
      <c r="L50" s="116">
        <v>5</v>
      </c>
      <c r="M50" s="116">
        <v>2</v>
      </c>
      <c r="N50" s="116" t="s">
        <v>300</v>
      </c>
      <c r="O50" s="116"/>
    </row>
    <row r="51" spans="1:15" s="315" customFormat="1">
      <c r="A51" s="315" t="s">
        <v>301</v>
      </c>
      <c r="B51" s="315" t="s">
        <v>50</v>
      </c>
      <c r="C51" s="116" t="s">
        <v>5</v>
      </c>
      <c r="D51" s="116">
        <v>1.1100000000000001</v>
      </c>
      <c r="E51" s="269">
        <v>158000</v>
      </c>
      <c r="F51" s="269">
        <v>1340000</v>
      </c>
      <c r="G51" s="116">
        <v>0.11700000000000001</v>
      </c>
      <c r="H51" s="116"/>
      <c r="I51" s="116">
        <v>0</v>
      </c>
      <c r="J51" s="116">
        <v>0</v>
      </c>
      <c r="K51" s="116" t="s">
        <v>5</v>
      </c>
      <c r="L51" s="116">
        <v>6</v>
      </c>
      <c r="M51" s="116">
        <v>2</v>
      </c>
      <c r="N51" s="116" t="s">
        <v>302</v>
      </c>
      <c r="O51" s="116"/>
    </row>
    <row r="52" spans="1:15" s="315" customFormat="1">
      <c r="A52" s="315" t="s">
        <v>303</v>
      </c>
      <c r="B52" s="315" t="s">
        <v>50</v>
      </c>
      <c r="C52" s="116" t="s">
        <v>5</v>
      </c>
      <c r="D52" s="116">
        <v>10</v>
      </c>
      <c r="E52" s="269">
        <v>754000</v>
      </c>
      <c r="F52" s="269">
        <v>1360000</v>
      </c>
      <c r="G52" s="116">
        <v>0.55600000000000005</v>
      </c>
      <c r="H52" s="116"/>
      <c r="I52" s="116">
        <v>0</v>
      </c>
      <c r="J52" s="116">
        <v>0</v>
      </c>
      <c r="K52" s="116" t="s">
        <v>5</v>
      </c>
      <c r="L52" s="116">
        <v>17</v>
      </c>
      <c r="M52" s="116">
        <v>2</v>
      </c>
      <c r="N52" s="116" t="s">
        <v>304</v>
      </c>
      <c r="O52" s="116"/>
    </row>
    <row r="53" spans="1:15" s="315" customFormat="1">
      <c r="A53" s="315" t="s">
        <v>305</v>
      </c>
      <c r="B53" s="315" t="s">
        <v>50</v>
      </c>
      <c r="C53" s="116" t="s">
        <v>5</v>
      </c>
      <c r="D53" s="116">
        <v>10</v>
      </c>
      <c r="E53" s="269">
        <v>779000</v>
      </c>
      <c r="F53" s="269">
        <v>1370000</v>
      </c>
      <c r="G53" s="116">
        <v>0.56999999999999995</v>
      </c>
      <c r="H53" s="116"/>
      <c r="I53" s="116">
        <v>0</v>
      </c>
      <c r="J53" s="116">
        <v>0</v>
      </c>
      <c r="K53" s="116" t="s">
        <v>5</v>
      </c>
      <c r="L53" s="116">
        <v>18</v>
      </c>
      <c r="M53" s="116">
        <v>2</v>
      </c>
      <c r="N53" s="116" t="s">
        <v>306</v>
      </c>
      <c r="O53" s="116"/>
    </row>
    <row r="54" spans="1:15" s="315" customFormat="1">
      <c r="A54" s="315" t="s">
        <v>307</v>
      </c>
      <c r="B54" s="315" t="s">
        <v>50</v>
      </c>
      <c r="C54" s="116" t="s">
        <v>5</v>
      </c>
      <c r="D54" s="116">
        <v>10</v>
      </c>
      <c r="E54" s="269">
        <v>797000</v>
      </c>
      <c r="F54" s="269">
        <v>1370000</v>
      </c>
      <c r="G54" s="116">
        <v>0.57999999999999996</v>
      </c>
      <c r="H54" s="116"/>
      <c r="I54" s="116">
        <v>0</v>
      </c>
      <c r="J54" s="116">
        <v>0</v>
      </c>
      <c r="K54" s="116" t="s">
        <v>5</v>
      </c>
      <c r="L54" s="116">
        <v>29</v>
      </c>
      <c r="M54" s="116">
        <v>2</v>
      </c>
      <c r="N54" s="116" t="s">
        <v>308</v>
      </c>
      <c r="O54" s="116"/>
    </row>
    <row r="55" spans="1:15" s="315" customFormat="1">
      <c r="A55" s="315" t="s">
        <v>309</v>
      </c>
      <c r="B55" s="315" t="s">
        <v>50</v>
      </c>
      <c r="C55" s="116" t="s">
        <v>5</v>
      </c>
      <c r="D55" s="116">
        <v>10</v>
      </c>
      <c r="E55" s="269">
        <v>779000</v>
      </c>
      <c r="F55" s="269">
        <v>1350000</v>
      </c>
      <c r="G55" s="116">
        <v>0.57699999999999996</v>
      </c>
      <c r="H55" s="116"/>
      <c r="I55" s="116">
        <v>0</v>
      </c>
      <c r="J55" s="116">
        <v>0</v>
      </c>
      <c r="K55" s="116" t="s">
        <v>5</v>
      </c>
      <c r="L55" s="116">
        <v>30</v>
      </c>
      <c r="M55" s="116">
        <v>2</v>
      </c>
      <c r="N55" s="116" t="s">
        <v>310</v>
      </c>
      <c r="O55" s="116"/>
    </row>
    <row r="56" spans="1:15" s="315" customFormat="1">
      <c r="A56" s="315" t="s">
        <v>311</v>
      </c>
      <c r="B56" s="315" t="s">
        <v>50</v>
      </c>
      <c r="C56" s="116" t="s">
        <v>5</v>
      </c>
      <c r="D56" s="116">
        <v>10</v>
      </c>
      <c r="E56" s="269">
        <v>777000</v>
      </c>
      <c r="F56" s="269">
        <v>1320000</v>
      </c>
      <c r="G56" s="116">
        <v>0.58699999999999997</v>
      </c>
      <c r="H56" s="116"/>
      <c r="I56" s="116">
        <v>0</v>
      </c>
      <c r="J56" s="116">
        <v>0</v>
      </c>
      <c r="K56" s="116" t="s">
        <v>5</v>
      </c>
      <c r="L56" s="116">
        <v>41</v>
      </c>
      <c r="M56" s="116">
        <v>2</v>
      </c>
      <c r="N56" s="116" t="s">
        <v>312</v>
      </c>
      <c r="O56" s="116"/>
    </row>
    <row r="57" spans="1:15" s="315" customFormat="1">
      <c r="A57" s="315" t="s">
        <v>313</v>
      </c>
      <c r="B57" s="315" t="s">
        <v>50</v>
      </c>
      <c r="C57" s="116" t="s">
        <v>5</v>
      </c>
      <c r="D57" s="116">
        <v>10</v>
      </c>
      <c r="E57" s="269">
        <v>765000</v>
      </c>
      <c r="F57" s="269">
        <v>1320000</v>
      </c>
      <c r="G57" s="116">
        <v>0.57699999999999996</v>
      </c>
      <c r="H57" s="116"/>
      <c r="I57" s="116">
        <v>0</v>
      </c>
      <c r="J57" s="116">
        <v>0</v>
      </c>
      <c r="K57" s="116" t="s">
        <v>5</v>
      </c>
      <c r="L57" s="116">
        <v>42</v>
      </c>
      <c r="M57" s="116">
        <v>2</v>
      </c>
      <c r="N57" s="116" t="s">
        <v>314</v>
      </c>
      <c r="O57" s="116"/>
    </row>
    <row r="58" spans="1:15" s="315" customFormat="1">
      <c r="A58" s="315" t="s">
        <v>97</v>
      </c>
      <c r="B58" s="315" t="s">
        <v>50</v>
      </c>
      <c r="C58" s="116" t="s">
        <v>5</v>
      </c>
      <c r="D58" s="116">
        <v>1</v>
      </c>
      <c r="E58" s="269">
        <v>0</v>
      </c>
      <c r="F58" s="269">
        <v>0</v>
      </c>
      <c r="G58" s="116" t="e">
        <v>#DIV/0!</v>
      </c>
      <c r="H58" s="116"/>
      <c r="I58" s="116">
        <v>0</v>
      </c>
      <c r="J58" s="116" t="e">
        <v>#DIV/0!</v>
      </c>
      <c r="K58" s="116" t="s">
        <v>5</v>
      </c>
      <c r="L58" s="116">
        <v>23</v>
      </c>
      <c r="M58" s="116">
        <v>1</v>
      </c>
      <c r="N58" s="116" t="s">
        <v>315</v>
      </c>
      <c r="O58" s="116"/>
    </row>
    <row r="59" spans="1:15" s="315" customFormat="1">
      <c r="A59" s="315" t="s">
        <v>97</v>
      </c>
      <c r="B59" s="315" t="s">
        <v>50</v>
      </c>
      <c r="C59" s="116" t="s">
        <v>5</v>
      </c>
      <c r="D59" s="116">
        <v>1</v>
      </c>
      <c r="E59" s="269">
        <v>0</v>
      </c>
      <c r="F59" s="269">
        <v>0</v>
      </c>
      <c r="G59" s="116" t="e">
        <v>#DIV/0!</v>
      </c>
      <c r="H59" s="116"/>
      <c r="I59" s="116">
        <v>0</v>
      </c>
      <c r="J59" s="116" t="e">
        <v>#DIV/0!</v>
      </c>
      <c r="K59" s="116" t="s">
        <v>5</v>
      </c>
      <c r="L59" s="116">
        <v>24</v>
      </c>
      <c r="M59" s="116">
        <v>1</v>
      </c>
      <c r="N59" s="116" t="s">
        <v>316</v>
      </c>
      <c r="O59" s="116"/>
    </row>
    <row r="60" spans="1:15" s="315" customFormat="1">
      <c r="A60" s="315" t="s">
        <v>317</v>
      </c>
      <c r="B60" s="315" t="s">
        <v>50</v>
      </c>
      <c r="C60" s="116" t="s">
        <v>5</v>
      </c>
      <c r="D60" s="116">
        <v>1.1100000000000001</v>
      </c>
      <c r="E60" s="269">
        <v>216000</v>
      </c>
      <c r="F60" s="269">
        <v>1330000</v>
      </c>
      <c r="G60" s="116">
        <v>0.16200000000000001</v>
      </c>
      <c r="H60" s="116"/>
      <c r="I60" s="116">
        <v>0</v>
      </c>
      <c r="J60" s="116">
        <v>0</v>
      </c>
      <c r="K60" s="116" t="s">
        <v>5</v>
      </c>
      <c r="L60" s="116">
        <v>7</v>
      </c>
      <c r="M60" s="116">
        <v>2</v>
      </c>
      <c r="N60" s="116" t="s">
        <v>318</v>
      </c>
      <c r="O60" s="116"/>
    </row>
    <row r="61" spans="1:15" s="315" customFormat="1">
      <c r="A61" s="315" t="s">
        <v>319</v>
      </c>
      <c r="B61" s="315" t="s">
        <v>50</v>
      </c>
      <c r="C61" s="116" t="s">
        <v>5</v>
      </c>
      <c r="D61" s="116">
        <v>1.1100000000000001</v>
      </c>
      <c r="E61" s="269">
        <v>213000</v>
      </c>
      <c r="F61" s="269">
        <v>1320000</v>
      </c>
      <c r="G61" s="116">
        <v>0.16200000000000001</v>
      </c>
      <c r="H61" s="116"/>
      <c r="I61" s="116">
        <v>0</v>
      </c>
      <c r="J61" s="116">
        <v>0</v>
      </c>
      <c r="K61" s="116" t="s">
        <v>5</v>
      </c>
      <c r="L61" s="116">
        <v>8</v>
      </c>
      <c r="M61" s="116">
        <v>2</v>
      </c>
      <c r="N61" s="116" t="s">
        <v>320</v>
      </c>
      <c r="O61" s="116"/>
    </row>
    <row r="62" spans="1:15" s="315" customFormat="1">
      <c r="A62" s="315" t="s">
        <v>321</v>
      </c>
      <c r="B62" s="315" t="s">
        <v>50</v>
      </c>
      <c r="C62" s="116" t="s">
        <v>5</v>
      </c>
      <c r="D62" s="116">
        <v>10</v>
      </c>
      <c r="E62" s="269">
        <v>691000</v>
      </c>
      <c r="F62" s="269">
        <v>1340000</v>
      </c>
      <c r="G62" s="116">
        <v>0.51500000000000001</v>
      </c>
      <c r="H62" s="116"/>
      <c r="I62" s="116">
        <v>0</v>
      </c>
      <c r="J62" s="116">
        <v>0</v>
      </c>
      <c r="K62" s="116" t="s">
        <v>5</v>
      </c>
      <c r="L62" s="116">
        <v>19</v>
      </c>
      <c r="M62" s="116">
        <v>2</v>
      </c>
      <c r="N62" s="116" t="s">
        <v>322</v>
      </c>
      <c r="O62" s="116"/>
    </row>
    <row r="63" spans="1:15" s="315" customFormat="1">
      <c r="A63" s="315" t="s">
        <v>323</v>
      </c>
      <c r="B63" s="315" t="s">
        <v>50</v>
      </c>
      <c r="C63" s="116" t="s">
        <v>5</v>
      </c>
      <c r="D63" s="116">
        <v>10</v>
      </c>
      <c r="E63" s="269">
        <v>721000</v>
      </c>
      <c r="F63" s="269">
        <v>1270000</v>
      </c>
      <c r="G63" s="116">
        <v>0.56799999999999995</v>
      </c>
      <c r="H63" s="116"/>
      <c r="I63" s="116">
        <v>0</v>
      </c>
      <c r="J63" s="116">
        <v>0</v>
      </c>
      <c r="K63" s="116" t="s">
        <v>5</v>
      </c>
      <c r="L63" s="116">
        <v>20</v>
      </c>
      <c r="M63" s="116">
        <v>2</v>
      </c>
      <c r="N63" s="116" t="s">
        <v>324</v>
      </c>
      <c r="O63" s="116"/>
    </row>
    <row r="64" spans="1:15" s="315" customFormat="1">
      <c r="A64" s="315" t="s">
        <v>325</v>
      </c>
      <c r="B64" s="315" t="s">
        <v>50</v>
      </c>
      <c r="C64" s="116" t="s">
        <v>5</v>
      </c>
      <c r="D64" s="116">
        <v>10</v>
      </c>
      <c r="E64" s="269">
        <v>784000</v>
      </c>
      <c r="F64" s="269">
        <v>1310000</v>
      </c>
      <c r="G64" s="116">
        <v>0.59699999999999998</v>
      </c>
      <c r="H64" s="116"/>
      <c r="I64" s="116">
        <v>0</v>
      </c>
      <c r="J64" s="116">
        <v>0</v>
      </c>
      <c r="K64" s="116" t="s">
        <v>5</v>
      </c>
      <c r="L64" s="116">
        <v>31</v>
      </c>
      <c r="M64" s="116">
        <v>2</v>
      </c>
      <c r="N64" s="116" t="s">
        <v>326</v>
      </c>
      <c r="O64" s="116"/>
    </row>
    <row r="65" spans="1:15" s="315" customFormat="1">
      <c r="A65" s="315" t="s">
        <v>327</v>
      </c>
      <c r="B65" s="315" t="s">
        <v>50</v>
      </c>
      <c r="C65" s="116" t="s">
        <v>5</v>
      </c>
      <c r="D65" s="116">
        <v>10</v>
      </c>
      <c r="E65" s="269">
        <v>758000</v>
      </c>
      <c r="F65" s="269">
        <v>1360000</v>
      </c>
      <c r="G65" s="116">
        <v>0.55600000000000005</v>
      </c>
      <c r="H65" s="116"/>
      <c r="I65" s="116">
        <v>0</v>
      </c>
      <c r="J65" s="116">
        <v>0</v>
      </c>
      <c r="K65" s="116" t="s">
        <v>5</v>
      </c>
      <c r="L65" s="116">
        <v>32</v>
      </c>
      <c r="M65" s="116">
        <v>2</v>
      </c>
      <c r="N65" s="116" t="s">
        <v>328</v>
      </c>
      <c r="O65" s="116"/>
    </row>
    <row r="66" spans="1:15" s="315" customFormat="1">
      <c r="A66" s="315" t="s">
        <v>329</v>
      </c>
      <c r="B66" s="315" t="s">
        <v>50</v>
      </c>
      <c r="C66" s="116" t="s">
        <v>5</v>
      </c>
      <c r="D66" s="116">
        <v>10</v>
      </c>
      <c r="E66" s="269">
        <v>695000</v>
      </c>
      <c r="F66" s="269">
        <v>1200000</v>
      </c>
      <c r="G66" s="116">
        <v>0.57699999999999996</v>
      </c>
      <c r="H66" s="116"/>
      <c r="I66" s="116">
        <v>0</v>
      </c>
      <c r="J66" s="116">
        <v>0</v>
      </c>
      <c r="K66" s="116" t="s">
        <v>5</v>
      </c>
      <c r="L66" s="116">
        <v>43</v>
      </c>
      <c r="M66" s="116">
        <v>2</v>
      </c>
      <c r="N66" s="116" t="s">
        <v>330</v>
      </c>
      <c r="O66" s="116"/>
    </row>
    <row r="67" spans="1:15" s="315" customFormat="1">
      <c r="A67" s="315" t="s">
        <v>331</v>
      </c>
      <c r="B67" s="315" t="s">
        <v>50</v>
      </c>
      <c r="C67" s="116" t="s">
        <v>5</v>
      </c>
      <c r="D67" s="116">
        <v>10</v>
      </c>
      <c r="E67" s="269">
        <v>730000</v>
      </c>
      <c r="F67" s="269">
        <v>1270000</v>
      </c>
      <c r="G67" s="116">
        <v>0.57399999999999995</v>
      </c>
      <c r="H67" s="116"/>
      <c r="I67" s="116">
        <v>0</v>
      </c>
      <c r="J67" s="116">
        <v>0</v>
      </c>
      <c r="K67" s="116" t="s">
        <v>5</v>
      </c>
      <c r="L67" s="116">
        <v>44</v>
      </c>
      <c r="M67" s="116">
        <v>2</v>
      </c>
      <c r="N67" s="116" t="s">
        <v>332</v>
      </c>
      <c r="O67" s="116"/>
    </row>
    <row r="68" spans="1:15" s="315" customFormat="1">
      <c r="A68" s="315" t="s">
        <v>97</v>
      </c>
      <c r="B68" s="315" t="s">
        <v>50</v>
      </c>
      <c r="C68" s="116" t="s">
        <v>5</v>
      </c>
      <c r="D68" s="116">
        <v>1</v>
      </c>
      <c r="E68" s="269">
        <v>0</v>
      </c>
      <c r="F68" s="269">
        <v>0</v>
      </c>
      <c r="G68" s="116" t="e">
        <v>#DIV/0!</v>
      </c>
      <c r="H68" s="116"/>
      <c r="I68" s="116">
        <v>0</v>
      </c>
      <c r="J68" s="116" t="e">
        <v>#DIV/0!</v>
      </c>
      <c r="K68" s="116" t="s">
        <v>5</v>
      </c>
      <c r="L68" s="116">
        <v>23</v>
      </c>
      <c r="M68" s="116">
        <v>1</v>
      </c>
      <c r="N68" s="116" t="s">
        <v>333</v>
      </c>
      <c r="O68" s="116"/>
    </row>
    <row r="69" spans="1:15" s="315" customFormat="1">
      <c r="A69" s="315" t="s">
        <v>97</v>
      </c>
      <c r="B69" s="315" t="s">
        <v>50</v>
      </c>
      <c r="C69" s="116" t="s">
        <v>5</v>
      </c>
      <c r="D69" s="116">
        <v>1</v>
      </c>
      <c r="E69" s="269">
        <v>0</v>
      </c>
      <c r="F69" s="269">
        <v>0</v>
      </c>
      <c r="G69" s="116" t="e">
        <v>#DIV/0!</v>
      </c>
      <c r="H69" s="116"/>
      <c r="I69" s="116">
        <v>0</v>
      </c>
      <c r="J69" s="116" t="e">
        <v>#DIV/0!</v>
      </c>
      <c r="K69" s="116" t="s">
        <v>5</v>
      </c>
      <c r="L69" s="116">
        <v>24</v>
      </c>
      <c r="M69" s="116">
        <v>1</v>
      </c>
      <c r="N69" s="116" t="s">
        <v>334</v>
      </c>
      <c r="O69" s="116"/>
    </row>
    <row r="70" spans="1:15" s="315" customFormat="1">
      <c r="A70" s="315" t="s">
        <v>335</v>
      </c>
      <c r="B70" s="315" t="s">
        <v>50</v>
      </c>
      <c r="C70" s="116" t="s">
        <v>5</v>
      </c>
      <c r="D70" s="116">
        <v>1.1100000000000001</v>
      </c>
      <c r="E70" s="269">
        <v>174000</v>
      </c>
      <c r="F70" s="269">
        <v>1310000</v>
      </c>
      <c r="G70" s="116">
        <v>0.13300000000000001</v>
      </c>
      <c r="H70" s="116"/>
      <c r="I70" s="116">
        <v>0</v>
      </c>
      <c r="J70" s="116">
        <v>0</v>
      </c>
      <c r="K70" s="116" t="s">
        <v>5</v>
      </c>
      <c r="L70" s="116">
        <v>9</v>
      </c>
      <c r="M70" s="116">
        <v>2</v>
      </c>
      <c r="N70" s="116" t="s">
        <v>336</v>
      </c>
      <c r="O70" s="116"/>
    </row>
    <row r="71" spans="1:15" s="315" customFormat="1">
      <c r="A71" s="315" t="s">
        <v>337</v>
      </c>
      <c r="B71" s="315" t="s">
        <v>50</v>
      </c>
      <c r="C71" s="116" t="s">
        <v>5</v>
      </c>
      <c r="D71" s="116">
        <v>1.1100000000000001</v>
      </c>
      <c r="E71" s="269">
        <v>172000</v>
      </c>
      <c r="F71" s="269">
        <v>1280000</v>
      </c>
      <c r="G71" s="116">
        <v>0.13400000000000001</v>
      </c>
      <c r="H71" s="116"/>
      <c r="I71" s="116">
        <v>0</v>
      </c>
      <c r="J71" s="116">
        <v>0</v>
      </c>
      <c r="K71" s="116" t="s">
        <v>5</v>
      </c>
      <c r="L71" s="116">
        <v>10</v>
      </c>
      <c r="M71" s="116">
        <v>2</v>
      </c>
      <c r="N71" s="116" t="s">
        <v>338</v>
      </c>
      <c r="O71" s="116"/>
    </row>
    <row r="72" spans="1:15" s="315" customFormat="1">
      <c r="A72" s="315" t="s">
        <v>339</v>
      </c>
      <c r="B72" s="315" t="s">
        <v>50</v>
      </c>
      <c r="C72" s="116" t="s">
        <v>5</v>
      </c>
      <c r="D72" s="116">
        <v>10</v>
      </c>
      <c r="E72" s="269">
        <v>715000</v>
      </c>
      <c r="F72" s="269">
        <v>1320000</v>
      </c>
      <c r="G72" s="116">
        <v>0.54100000000000004</v>
      </c>
      <c r="H72" s="116"/>
      <c r="I72" s="116">
        <v>0</v>
      </c>
      <c r="J72" s="116">
        <v>0</v>
      </c>
      <c r="K72" s="116" t="s">
        <v>5</v>
      </c>
      <c r="L72" s="116">
        <v>21</v>
      </c>
      <c r="M72" s="116">
        <v>2</v>
      </c>
      <c r="N72" s="116" t="s">
        <v>340</v>
      </c>
      <c r="O72" s="116"/>
    </row>
    <row r="73" spans="1:15" s="315" customFormat="1">
      <c r="A73" s="315" t="s">
        <v>341</v>
      </c>
      <c r="B73" s="315" t="s">
        <v>50</v>
      </c>
      <c r="C73" s="116" t="s">
        <v>5</v>
      </c>
      <c r="D73" s="116">
        <v>10</v>
      </c>
      <c r="E73" s="269">
        <v>715000</v>
      </c>
      <c r="F73" s="269">
        <v>1300000</v>
      </c>
      <c r="G73" s="116">
        <v>0.54900000000000004</v>
      </c>
      <c r="H73" s="116"/>
      <c r="I73" s="116">
        <v>0</v>
      </c>
      <c r="J73" s="116">
        <v>0</v>
      </c>
      <c r="K73" s="116" t="s">
        <v>5</v>
      </c>
      <c r="L73" s="116">
        <v>22</v>
      </c>
      <c r="M73" s="116">
        <v>2</v>
      </c>
      <c r="N73" s="116" t="s">
        <v>342</v>
      </c>
      <c r="O73" s="116"/>
    </row>
    <row r="74" spans="1:15" s="315" customFormat="1">
      <c r="A74" s="315" t="s">
        <v>343</v>
      </c>
      <c r="B74" s="315" t="s">
        <v>50</v>
      </c>
      <c r="C74" s="116" t="s">
        <v>5</v>
      </c>
      <c r="D74" s="116">
        <v>10</v>
      </c>
      <c r="E74" s="269">
        <v>758000</v>
      </c>
      <c r="F74" s="269">
        <v>1310000</v>
      </c>
      <c r="G74" s="116">
        <v>0.57799999999999996</v>
      </c>
      <c r="H74" s="116"/>
      <c r="I74" s="116">
        <v>0</v>
      </c>
      <c r="J74" s="116">
        <v>0</v>
      </c>
      <c r="K74" s="116" t="s">
        <v>5</v>
      </c>
      <c r="L74" s="116">
        <v>33</v>
      </c>
      <c r="M74" s="116">
        <v>2</v>
      </c>
      <c r="N74" s="116" t="s">
        <v>344</v>
      </c>
      <c r="O74" s="116"/>
    </row>
    <row r="75" spans="1:15" s="315" customFormat="1">
      <c r="A75" s="315" t="s">
        <v>345</v>
      </c>
      <c r="B75" s="315" t="s">
        <v>50</v>
      </c>
      <c r="C75" s="116" t="s">
        <v>5</v>
      </c>
      <c r="D75" s="116">
        <v>10</v>
      </c>
      <c r="E75" s="269">
        <v>742000</v>
      </c>
      <c r="F75" s="269">
        <v>1290000</v>
      </c>
      <c r="G75" s="116">
        <v>0.57299999999999995</v>
      </c>
      <c r="H75" s="116"/>
      <c r="I75" s="116">
        <v>0</v>
      </c>
      <c r="J75" s="116">
        <v>0</v>
      </c>
      <c r="K75" s="116" t="s">
        <v>5</v>
      </c>
      <c r="L75" s="116">
        <v>34</v>
      </c>
      <c r="M75" s="116">
        <v>2</v>
      </c>
      <c r="N75" s="116" t="s">
        <v>346</v>
      </c>
      <c r="O75" s="116"/>
    </row>
    <row r="76" spans="1:15" s="315" customFormat="1">
      <c r="A76" s="315" t="s">
        <v>347</v>
      </c>
      <c r="B76" s="315" t="s">
        <v>50</v>
      </c>
      <c r="C76" s="116" t="s">
        <v>5</v>
      </c>
      <c r="D76" s="116">
        <v>10</v>
      </c>
      <c r="E76" s="269">
        <v>756000</v>
      </c>
      <c r="F76" s="269">
        <v>1270000</v>
      </c>
      <c r="G76" s="116">
        <v>0.59699999999999998</v>
      </c>
      <c r="H76" s="116"/>
      <c r="I76" s="116">
        <v>0</v>
      </c>
      <c r="J76" s="116">
        <v>0</v>
      </c>
      <c r="K76" s="116" t="s">
        <v>5</v>
      </c>
      <c r="L76" s="116">
        <v>45</v>
      </c>
      <c r="M76" s="116">
        <v>2</v>
      </c>
      <c r="N76" s="116" t="s">
        <v>348</v>
      </c>
      <c r="O76" s="116"/>
    </row>
    <row r="77" spans="1:15" s="315" customFormat="1">
      <c r="A77" s="315" t="s">
        <v>349</v>
      </c>
      <c r="B77" s="315" t="s">
        <v>50</v>
      </c>
      <c r="C77" s="116" t="s">
        <v>5</v>
      </c>
      <c r="D77" s="116">
        <v>10</v>
      </c>
      <c r="E77" s="269">
        <v>760000</v>
      </c>
      <c r="F77" s="269">
        <v>1310000</v>
      </c>
      <c r="G77" s="116">
        <v>0.57999999999999996</v>
      </c>
      <c r="H77" s="116"/>
      <c r="I77" s="116">
        <v>0</v>
      </c>
      <c r="J77" s="116">
        <v>0</v>
      </c>
      <c r="K77" s="116" t="s">
        <v>5</v>
      </c>
      <c r="L77" s="116">
        <v>46</v>
      </c>
      <c r="M77" s="116">
        <v>2</v>
      </c>
      <c r="N77" s="116" t="s">
        <v>350</v>
      </c>
      <c r="O77" s="116"/>
    </row>
    <row r="78" spans="1:15" s="315" customFormat="1">
      <c r="C78" s="116"/>
      <c r="D78" s="116"/>
      <c r="E78" s="116"/>
      <c r="F78" s="116"/>
      <c r="G78" s="116"/>
      <c r="H78" s="116"/>
      <c r="I78" s="116"/>
      <c r="J78" s="116"/>
      <c r="K78" s="116"/>
      <c r="L78" s="116"/>
      <c r="M78" s="116"/>
      <c r="N78" s="116"/>
      <c r="O78" s="116"/>
    </row>
    <row r="79" spans="1:15" s="314" customFormat="1">
      <c r="A79" s="314" t="s">
        <v>184</v>
      </c>
      <c r="C79" s="115"/>
      <c r="D79" s="115"/>
      <c r="E79" s="115"/>
      <c r="F79" s="115"/>
      <c r="G79" s="115"/>
      <c r="H79" s="115"/>
      <c r="I79" s="115"/>
      <c r="J79" s="115"/>
      <c r="K79" s="115"/>
      <c r="L79" s="115"/>
      <c r="M79" s="115"/>
      <c r="N79" s="115"/>
      <c r="O79" s="115"/>
    </row>
    <row r="80" spans="1:15" s="315" customFormat="1">
      <c r="A80" s="315" t="s">
        <v>220</v>
      </c>
      <c r="C80" s="116"/>
      <c r="D80" s="116"/>
      <c r="E80" s="116"/>
      <c r="F80" s="116"/>
      <c r="G80" s="116"/>
      <c r="H80" s="116"/>
      <c r="I80" s="116"/>
      <c r="J80" s="116"/>
      <c r="K80" s="116"/>
      <c r="L80" s="116"/>
      <c r="M80" s="116"/>
      <c r="N80" s="116"/>
      <c r="O80" s="116"/>
    </row>
    <row r="81" spans="1:15" s="315" customFormat="1">
      <c r="A81" s="315" t="s">
        <v>34</v>
      </c>
      <c r="C81" s="116"/>
      <c r="D81" s="116"/>
      <c r="E81" s="116"/>
      <c r="F81" s="116"/>
      <c r="G81" s="116"/>
      <c r="H81" s="116"/>
      <c r="I81" s="116"/>
      <c r="J81" s="116"/>
      <c r="K81" s="116"/>
      <c r="L81" s="116"/>
      <c r="M81" s="116"/>
      <c r="N81" s="116"/>
      <c r="O81" s="116"/>
    </row>
    <row r="82" spans="1:15" s="315" customFormat="1">
      <c r="A82" s="315" t="s">
        <v>223</v>
      </c>
      <c r="C82" s="116"/>
      <c r="D82" s="116"/>
      <c r="E82" s="116"/>
      <c r="F82" s="116"/>
      <c r="G82" s="116"/>
      <c r="H82" s="116"/>
      <c r="I82" s="116"/>
      <c r="J82" s="116"/>
      <c r="K82" s="116"/>
      <c r="L82" s="116"/>
      <c r="M82" s="116"/>
      <c r="N82" s="116"/>
      <c r="O82" s="116"/>
    </row>
    <row r="83" spans="1:15" s="315" customFormat="1">
      <c r="A83" s="315" t="s">
        <v>188</v>
      </c>
      <c r="C83" s="116"/>
      <c r="D83" s="116"/>
      <c r="E83" s="116"/>
      <c r="F83" s="116"/>
      <c r="G83" s="116"/>
      <c r="H83" s="116"/>
      <c r="I83" s="116"/>
      <c r="J83" s="116"/>
      <c r="K83" s="116"/>
      <c r="L83" s="116"/>
      <c r="M83" s="116"/>
      <c r="N83" s="116"/>
      <c r="O83" s="116"/>
    </row>
    <row r="84" spans="1:15" s="315" customFormat="1">
      <c r="A84" s="315" t="s">
        <v>34</v>
      </c>
      <c r="C84" s="116"/>
      <c r="D84" s="116"/>
      <c r="E84" s="116"/>
      <c r="F84" s="116"/>
      <c r="G84" s="116"/>
      <c r="H84" s="116"/>
      <c r="I84" s="116"/>
      <c r="J84" s="116"/>
      <c r="K84" s="116"/>
      <c r="L84" s="116"/>
      <c r="M84" s="116"/>
      <c r="N84" s="116"/>
      <c r="O84" s="116"/>
    </row>
    <row r="85" spans="1:15" s="315" customFormat="1">
      <c r="A85" s="315" t="s">
        <v>222</v>
      </c>
      <c r="C85" s="116"/>
      <c r="D85" s="116"/>
      <c r="E85" s="116"/>
      <c r="F85" s="116"/>
      <c r="G85" s="116"/>
      <c r="H85" s="116"/>
      <c r="I85" s="116"/>
      <c r="J85" s="116"/>
      <c r="K85" s="116"/>
      <c r="L85" s="116"/>
      <c r="M85" s="116"/>
      <c r="N85" s="116"/>
      <c r="O85" s="116"/>
    </row>
    <row r="86" spans="1:15" s="315" customFormat="1">
      <c r="C86" s="116"/>
      <c r="D86" s="116"/>
      <c r="E86" s="116"/>
      <c r="F86" s="116"/>
      <c r="G86" s="116"/>
      <c r="H86" s="116"/>
      <c r="I86" s="116"/>
      <c r="J86" s="116"/>
      <c r="K86" s="116"/>
      <c r="L86" s="116"/>
      <c r="M86" s="116"/>
      <c r="N86" s="116"/>
      <c r="O86" s="116"/>
    </row>
    <row r="87" spans="1:15" s="315" customFormat="1">
      <c r="A87" s="315" t="s">
        <v>232</v>
      </c>
      <c r="C87" s="116"/>
      <c r="D87" s="116"/>
      <c r="E87" s="116"/>
      <c r="F87" s="116"/>
      <c r="G87" s="116"/>
      <c r="H87" s="116"/>
      <c r="I87" s="116"/>
      <c r="J87" s="116"/>
      <c r="K87" s="116"/>
      <c r="L87" s="116"/>
      <c r="M87" s="116"/>
      <c r="N87" s="116"/>
      <c r="O87" s="116"/>
    </row>
    <row r="88" spans="1:15" s="315" customFormat="1">
      <c r="A88" s="315" t="s">
        <v>221</v>
      </c>
      <c r="C88" s="116"/>
      <c r="D88" s="116"/>
      <c r="E88" s="116"/>
      <c r="F88" s="116"/>
      <c r="G88" s="116"/>
      <c r="H88" s="116"/>
      <c r="I88" s="116"/>
      <c r="J88" s="116"/>
      <c r="K88" s="116"/>
      <c r="L88" s="116"/>
      <c r="M88" s="116"/>
      <c r="N88" s="116"/>
      <c r="O88" s="116"/>
    </row>
    <row r="89" spans="1:15" s="315" customFormat="1">
      <c r="A89" s="315" t="s">
        <v>141</v>
      </c>
      <c r="C89" s="116"/>
      <c r="D89" s="116"/>
      <c r="E89" s="116"/>
      <c r="F89" s="116"/>
      <c r="G89" s="116"/>
      <c r="H89" s="116"/>
      <c r="I89" s="116"/>
      <c r="J89" s="116"/>
      <c r="K89" s="116"/>
      <c r="L89" s="116"/>
      <c r="M89" s="116"/>
      <c r="N89" s="116"/>
      <c r="O89" s="116"/>
    </row>
    <row r="90" spans="1:15" s="315" customFormat="1">
      <c r="C90" s="116"/>
      <c r="D90" s="116"/>
      <c r="E90" s="116"/>
      <c r="F90" s="116"/>
      <c r="G90" s="116"/>
      <c r="H90" s="116"/>
      <c r="I90" s="116"/>
      <c r="J90" s="116"/>
      <c r="K90" s="116"/>
      <c r="L90" s="116"/>
      <c r="M90" s="116"/>
      <c r="N90" s="116"/>
      <c r="O90" s="116"/>
    </row>
    <row r="91" spans="1:15" s="315" customFormat="1">
      <c r="A91" s="315" t="s">
        <v>35</v>
      </c>
      <c r="B91" s="315" t="s">
        <v>36</v>
      </c>
      <c r="C91" s="116" t="s">
        <v>37</v>
      </c>
      <c r="D91" s="116" t="s">
        <v>38</v>
      </c>
      <c r="E91" s="116" t="s">
        <v>39</v>
      </c>
      <c r="F91" s="116" t="s">
        <v>40</v>
      </c>
      <c r="G91" s="116"/>
      <c r="H91" s="116"/>
      <c r="I91" s="116"/>
      <c r="J91" s="116"/>
      <c r="K91" s="116"/>
      <c r="L91" s="116"/>
      <c r="M91" s="116"/>
      <c r="N91" s="116"/>
      <c r="O91" s="116"/>
    </row>
    <row r="92" spans="1:15" s="315" customFormat="1">
      <c r="A92" s="315" t="s">
        <v>41</v>
      </c>
      <c r="B92" s="315" t="s">
        <v>42</v>
      </c>
      <c r="C92" s="116"/>
      <c r="D92" s="116"/>
      <c r="E92" s="116"/>
      <c r="F92" s="116"/>
      <c r="G92" s="116"/>
      <c r="H92" s="116"/>
      <c r="I92" s="116"/>
      <c r="J92" s="116"/>
      <c r="K92" s="116"/>
      <c r="L92" s="116"/>
      <c r="M92" s="116"/>
      <c r="N92" s="116"/>
      <c r="O92" s="116"/>
    </row>
    <row r="93" spans="1:15" s="315" customFormat="1">
      <c r="A93" s="315" t="s">
        <v>43</v>
      </c>
      <c r="C93" s="116"/>
      <c r="D93" s="116"/>
      <c r="E93" s="116"/>
      <c r="F93" s="116"/>
      <c r="G93" s="116"/>
      <c r="H93" s="116"/>
      <c r="I93" s="116"/>
      <c r="J93" s="116"/>
      <c r="K93" s="116"/>
      <c r="L93" s="116"/>
      <c r="M93" s="116"/>
      <c r="N93" s="116"/>
      <c r="O93" s="116"/>
    </row>
    <row r="94" spans="1:15" s="316" customFormat="1">
      <c r="C94" s="317"/>
      <c r="D94" s="317"/>
      <c r="E94" s="317"/>
      <c r="F94" s="317"/>
      <c r="G94" s="317"/>
      <c r="H94" s="317"/>
      <c r="I94" s="317"/>
      <c r="J94" s="317"/>
      <c r="K94" s="317"/>
      <c r="L94" s="317"/>
      <c r="M94" s="317"/>
      <c r="N94" s="317"/>
      <c r="O94" s="317"/>
    </row>
    <row r="95" spans="1:15" s="315" customFormat="1">
      <c r="A95" s="315" t="s">
        <v>231</v>
      </c>
      <c r="C95" s="116"/>
      <c r="D95" s="116"/>
      <c r="E95" s="116"/>
      <c r="F95" s="116"/>
      <c r="G95" s="116"/>
      <c r="H95" s="116"/>
      <c r="I95" s="116"/>
      <c r="J95" s="116"/>
      <c r="K95" s="116"/>
      <c r="L95" s="116"/>
      <c r="M95" s="116"/>
      <c r="N95" s="116"/>
      <c r="O95" s="116"/>
    </row>
    <row r="96" spans="1:15" s="315" customFormat="1">
      <c r="A96" s="315" t="s">
        <v>195</v>
      </c>
      <c r="C96" s="116"/>
      <c r="D96" s="116"/>
      <c r="E96" s="116"/>
      <c r="F96" s="116"/>
      <c r="G96" s="116"/>
      <c r="H96" s="116"/>
      <c r="I96" s="116"/>
      <c r="J96" s="116"/>
      <c r="K96" s="116"/>
      <c r="L96" s="116"/>
      <c r="M96" s="116"/>
      <c r="N96" s="116"/>
      <c r="O96" s="116"/>
    </row>
    <row r="97" spans="1:15" s="316" customFormat="1">
      <c r="A97" s="316" t="s">
        <v>141</v>
      </c>
      <c r="C97" s="317"/>
      <c r="D97" s="317"/>
      <c r="E97" s="317"/>
      <c r="F97" s="317"/>
      <c r="G97" s="317"/>
      <c r="H97" s="317"/>
      <c r="I97" s="317"/>
      <c r="J97" s="317"/>
      <c r="K97" s="317"/>
      <c r="L97" s="317"/>
      <c r="M97" s="317"/>
      <c r="N97" s="317"/>
      <c r="O97" s="317"/>
    </row>
    <row r="98" spans="1:15" s="315" customFormat="1">
      <c r="C98" s="116"/>
      <c r="D98" s="116"/>
      <c r="E98" s="116"/>
      <c r="F98" s="116"/>
      <c r="G98" s="116"/>
      <c r="H98" s="116"/>
      <c r="I98" s="116"/>
      <c r="J98" s="116"/>
      <c r="K98" s="116"/>
      <c r="L98" s="116"/>
      <c r="M98" s="116"/>
      <c r="N98" s="116"/>
      <c r="O98" s="116"/>
    </row>
    <row r="99" spans="1:15" s="315" customFormat="1">
      <c r="A99" s="315" t="s">
        <v>35</v>
      </c>
      <c r="B99" s="315" t="s">
        <v>36</v>
      </c>
      <c r="C99" s="116" t="s">
        <v>37</v>
      </c>
      <c r="D99" s="116" t="s">
        <v>38</v>
      </c>
      <c r="E99" s="116" t="s">
        <v>39</v>
      </c>
      <c r="F99" s="116" t="s">
        <v>40</v>
      </c>
      <c r="G99" s="116"/>
      <c r="H99" s="116"/>
      <c r="I99" s="116"/>
      <c r="J99" s="116"/>
      <c r="K99" s="116"/>
      <c r="L99" s="116"/>
      <c r="M99" s="116"/>
      <c r="N99" s="116"/>
      <c r="O99" s="116"/>
    </row>
    <row r="100" spans="1:15" s="315" customFormat="1">
      <c r="A100" s="315" t="s">
        <v>41</v>
      </c>
      <c r="B100" s="315" t="s">
        <v>42</v>
      </c>
      <c r="C100" s="116"/>
      <c r="D100" s="116"/>
      <c r="E100" s="116"/>
      <c r="F100" s="116"/>
      <c r="G100" s="116"/>
      <c r="H100" s="116"/>
      <c r="I100" s="116"/>
      <c r="J100" s="116"/>
      <c r="K100" s="116"/>
      <c r="L100" s="116"/>
      <c r="M100" s="116"/>
      <c r="N100" s="116"/>
      <c r="O100" s="116"/>
    </row>
    <row r="101" spans="1:15" s="315" customFormat="1">
      <c r="A101" s="315" t="s">
        <v>43</v>
      </c>
      <c r="C101" s="116"/>
      <c r="D101" s="116"/>
      <c r="E101" s="116"/>
      <c r="F101" s="116"/>
      <c r="G101" s="116"/>
      <c r="H101" s="116"/>
      <c r="I101" s="116"/>
      <c r="J101" s="116"/>
      <c r="K101" s="116"/>
      <c r="L101" s="116"/>
      <c r="M101" s="116"/>
      <c r="N101" s="116"/>
      <c r="O101" s="116"/>
    </row>
    <row r="102" spans="1:15" s="315" customFormat="1">
      <c r="C102" s="116"/>
      <c r="D102" s="116"/>
      <c r="E102" s="116"/>
      <c r="F102" s="116"/>
      <c r="G102" s="116"/>
      <c r="H102" s="116"/>
      <c r="I102" s="116"/>
      <c r="J102" s="116"/>
      <c r="K102" s="116"/>
      <c r="L102" s="116"/>
      <c r="M102" s="116"/>
      <c r="N102" s="116"/>
      <c r="O102" s="116"/>
    </row>
    <row r="103" spans="1:15" s="315" customFormat="1">
      <c r="C103" s="116"/>
      <c r="D103" s="116"/>
      <c r="E103" s="116"/>
      <c r="F103" s="116"/>
      <c r="G103" s="116"/>
      <c r="H103" s="116"/>
      <c r="I103" s="116"/>
      <c r="J103" s="116"/>
      <c r="K103" s="116"/>
      <c r="L103" s="116"/>
      <c r="M103" s="116"/>
      <c r="N103" s="116"/>
      <c r="O103" s="116"/>
    </row>
    <row r="104" spans="1:15" s="315" customFormat="1">
      <c r="C104" s="116"/>
      <c r="D104" s="116"/>
      <c r="E104" s="116"/>
      <c r="F104" s="116"/>
      <c r="G104" s="116"/>
      <c r="H104" s="116"/>
      <c r="I104" s="116"/>
      <c r="J104" s="116"/>
      <c r="K104" s="116"/>
      <c r="L104" s="116"/>
      <c r="M104" s="116"/>
      <c r="N104" s="116"/>
      <c r="O104" s="116"/>
    </row>
    <row r="105" spans="1:15" s="316" customFormat="1" ht="47.25">
      <c r="A105" s="316" t="s">
        <v>3</v>
      </c>
      <c r="B105" s="316" t="s">
        <v>44</v>
      </c>
      <c r="C105" s="317" t="s">
        <v>242</v>
      </c>
      <c r="D105" s="317" t="s">
        <v>4</v>
      </c>
      <c r="E105" s="317" t="s">
        <v>45</v>
      </c>
      <c r="F105" s="317" t="s">
        <v>46</v>
      </c>
      <c r="G105" s="317" t="s">
        <v>0</v>
      </c>
      <c r="H105" s="317" t="s">
        <v>47</v>
      </c>
      <c r="I105" s="317" t="s">
        <v>48</v>
      </c>
      <c r="J105" s="317" t="s">
        <v>243</v>
      </c>
      <c r="K105" s="317" t="s">
        <v>49</v>
      </c>
      <c r="L105" s="317" t="s">
        <v>142</v>
      </c>
      <c r="M105" s="317" t="s">
        <v>194</v>
      </c>
      <c r="N105" s="317" t="s">
        <v>96</v>
      </c>
      <c r="O105" s="317"/>
    </row>
    <row r="106" spans="1:15" s="315" customFormat="1">
      <c r="A106" s="315" t="s">
        <v>97</v>
      </c>
      <c r="B106" s="315" t="s">
        <v>50</v>
      </c>
      <c r="C106" s="116" t="s">
        <v>5</v>
      </c>
      <c r="D106" s="116">
        <v>1</v>
      </c>
      <c r="E106" s="269">
        <v>0</v>
      </c>
      <c r="F106" s="269">
        <v>0</v>
      </c>
      <c r="G106" s="116" t="e">
        <v>#DIV/0!</v>
      </c>
      <c r="H106" s="116"/>
      <c r="I106" s="116">
        <v>0</v>
      </c>
      <c r="J106" s="116" t="e">
        <v>#DIV/0!</v>
      </c>
      <c r="K106" s="116" t="s">
        <v>5</v>
      </c>
      <c r="L106" s="116">
        <v>11</v>
      </c>
      <c r="M106" s="116">
        <v>1</v>
      </c>
      <c r="N106" s="116" t="s">
        <v>351</v>
      </c>
      <c r="O106" s="116"/>
    </row>
    <row r="107" spans="1:15" s="315" customFormat="1">
      <c r="A107" s="315" t="s">
        <v>97</v>
      </c>
      <c r="B107" s="315" t="s">
        <v>50</v>
      </c>
      <c r="C107" s="116" t="s">
        <v>5</v>
      </c>
      <c r="D107" s="116">
        <v>1</v>
      </c>
      <c r="E107" s="269">
        <v>0</v>
      </c>
      <c r="F107" s="269">
        <v>0</v>
      </c>
      <c r="G107" s="116" t="e">
        <v>#DIV/0!</v>
      </c>
      <c r="H107" s="116"/>
      <c r="I107" s="116">
        <v>0</v>
      </c>
      <c r="J107" s="116" t="e">
        <v>#DIV/0!</v>
      </c>
      <c r="K107" s="116" t="s">
        <v>5</v>
      </c>
      <c r="L107" s="116">
        <v>12</v>
      </c>
      <c r="M107" s="116">
        <v>1</v>
      </c>
      <c r="N107" s="116" t="s">
        <v>352</v>
      </c>
      <c r="O107" s="116"/>
    </row>
    <row r="108" spans="1:15" s="315" customFormat="1">
      <c r="A108" s="315" t="s">
        <v>143</v>
      </c>
      <c r="B108" s="315" t="s">
        <v>50</v>
      </c>
      <c r="C108" s="116" t="s">
        <v>5</v>
      </c>
      <c r="D108" s="116">
        <v>2</v>
      </c>
      <c r="E108" s="269">
        <v>6230</v>
      </c>
      <c r="F108" s="269">
        <v>172000</v>
      </c>
      <c r="G108" s="116">
        <v>3.6200000000000003E-2</v>
      </c>
      <c r="H108" s="116"/>
      <c r="I108" s="116">
        <v>0</v>
      </c>
      <c r="J108" s="116">
        <v>0</v>
      </c>
      <c r="K108" s="116" t="s">
        <v>5</v>
      </c>
      <c r="L108" s="116">
        <v>1</v>
      </c>
      <c r="M108" s="116">
        <v>1</v>
      </c>
      <c r="N108" s="116" t="s">
        <v>353</v>
      </c>
      <c r="O108" s="116"/>
    </row>
    <row r="109" spans="1:15" s="315" customFormat="1">
      <c r="A109" s="315" t="s">
        <v>144</v>
      </c>
      <c r="B109" s="315" t="s">
        <v>50</v>
      </c>
      <c r="C109" s="116" t="s">
        <v>5</v>
      </c>
      <c r="D109" s="116">
        <v>2</v>
      </c>
      <c r="E109" s="269">
        <v>6040</v>
      </c>
      <c r="F109" s="269">
        <v>169000</v>
      </c>
      <c r="G109" s="116">
        <v>3.5799999999999998E-2</v>
      </c>
      <c r="H109" s="116"/>
      <c r="I109" s="116">
        <v>0</v>
      </c>
      <c r="J109" s="116">
        <v>0</v>
      </c>
      <c r="K109" s="116" t="s">
        <v>5</v>
      </c>
      <c r="L109" s="116">
        <v>6</v>
      </c>
      <c r="M109" s="116">
        <v>1</v>
      </c>
      <c r="N109" s="116" t="s">
        <v>354</v>
      </c>
      <c r="O109" s="116"/>
    </row>
    <row r="110" spans="1:15" s="315" customFormat="1">
      <c r="A110" s="315" t="s">
        <v>145</v>
      </c>
      <c r="B110" s="315" t="s">
        <v>50</v>
      </c>
      <c r="C110" s="116" t="s">
        <v>5</v>
      </c>
      <c r="D110" s="116">
        <v>2</v>
      </c>
      <c r="E110" s="269">
        <v>1390000</v>
      </c>
      <c r="F110" s="269">
        <v>177000</v>
      </c>
      <c r="G110" s="116">
        <v>7.86</v>
      </c>
      <c r="H110" s="116"/>
      <c r="I110" s="116">
        <v>0</v>
      </c>
      <c r="J110" s="116">
        <v>0</v>
      </c>
      <c r="K110" s="116" t="s">
        <v>5</v>
      </c>
      <c r="L110" s="116">
        <v>13</v>
      </c>
      <c r="M110" s="116">
        <v>1</v>
      </c>
      <c r="N110" s="116" t="s">
        <v>355</v>
      </c>
      <c r="O110" s="116"/>
    </row>
    <row r="111" spans="1:15" s="315" customFormat="1">
      <c r="A111" s="315" t="s">
        <v>146</v>
      </c>
      <c r="B111" s="315" t="s">
        <v>50</v>
      </c>
      <c r="C111" s="116" t="s">
        <v>5</v>
      </c>
      <c r="D111" s="116">
        <v>2</v>
      </c>
      <c r="E111" s="269">
        <v>1350000</v>
      </c>
      <c r="F111" s="269">
        <v>169000</v>
      </c>
      <c r="G111" s="116">
        <v>7.98</v>
      </c>
      <c r="H111" s="116"/>
      <c r="I111" s="116">
        <v>0</v>
      </c>
      <c r="J111" s="116">
        <v>0</v>
      </c>
      <c r="K111" s="116" t="s">
        <v>5</v>
      </c>
      <c r="L111" s="116">
        <v>18</v>
      </c>
      <c r="M111" s="116">
        <v>1</v>
      </c>
      <c r="N111" s="116" t="s">
        <v>356</v>
      </c>
      <c r="O111" s="116"/>
    </row>
    <row r="112" spans="1:15" s="315" customFormat="1">
      <c r="A112" s="315" t="s">
        <v>147</v>
      </c>
      <c r="B112" s="315" t="s">
        <v>50</v>
      </c>
      <c r="C112" s="116" t="s">
        <v>5</v>
      </c>
      <c r="D112" s="116">
        <v>2</v>
      </c>
      <c r="E112" s="269">
        <v>1450000</v>
      </c>
      <c r="F112" s="269">
        <v>161000</v>
      </c>
      <c r="G112" s="116">
        <v>9</v>
      </c>
      <c r="H112" s="116"/>
      <c r="I112" s="116">
        <v>0</v>
      </c>
      <c r="J112" s="116">
        <v>0</v>
      </c>
      <c r="K112" s="116" t="s">
        <v>5</v>
      </c>
      <c r="L112" s="116">
        <v>25</v>
      </c>
      <c r="M112" s="116">
        <v>1</v>
      </c>
      <c r="N112" s="116" t="s">
        <v>357</v>
      </c>
      <c r="O112" s="116"/>
    </row>
    <row r="113" spans="1:15" s="315" customFormat="1">
      <c r="A113" s="315" t="s">
        <v>148</v>
      </c>
      <c r="B113" s="315" t="s">
        <v>50</v>
      </c>
      <c r="C113" s="116" t="s">
        <v>5</v>
      </c>
      <c r="D113" s="116">
        <v>2</v>
      </c>
      <c r="E113" s="269">
        <v>1410000</v>
      </c>
      <c r="F113" s="269">
        <v>159000</v>
      </c>
      <c r="G113" s="116">
        <v>8.8699999999999992</v>
      </c>
      <c r="H113" s="116"/>
      <c r="I113" s="116">
        <v>0</v>
      </c>
      <c r="J113" s="116">
        <v>0</v>
      </c>
      <c r="K113" s="116" t="s">
        <v>5</v>
      </c>
      <c r="L113" s="116">
        <v>30</v>
      </c>
      <c r="M113" s="116">
        <v>1</v>
      </c>
      <c r="N113" s="116" t="s">
        <v>358</v>
      </c>
      <c r="O113" s="116"/>
    </row>
    <row r="114" spans="1:15" s="315" customFormat="1">
      <c r="A114" s="315" t="s">
        <v>97</v>
      </c>
      <c r="B114" s="315" t="s">
        <v>50</v>
      </c>
      <c r="C114" s="116" t="s">
        <v>5</v>
      </c>
      <c r="D114" s="116">
        <v>1</v>
      </c>
      <c r="E114" s="269">
        <v>0</v>
      </c>
      <c r="F114" s="269">
        <v>1090</v>
      </c>
      <c r="G114" s="116">
        <v>0</v>
      </c>
      <c r="H114" s="116"/>
      <c r="I114" s="116">
        <v>0</v>
      </c>
      <c r="J114" s="116" t="s">
        <v>359</v>
      </c>
      <c r="K114" s="116" t="s">
        <v>5</v>
      </c>
      <c r="L114" s="116">
        <v>11</v>
      </c>
      <c r="M114" s="116">
        <v>1</v>
      </c>
      <c r="N114" s="116" t="s">
        <v>360</v>
      </c>
      <c r="O114" s="116"/>
    </row>
    <row r="115" spans="1:15" s="315" customFormat="1">
      <c r="A115" s="315" t="s">
        <v>97</v>
      </c>
      <c r="B115" s="315" t="s">
        <v>50</v>
      </c>
      <c r="C115" s="116" t="s">
        <v>5</v>
      </c>
      <c r="D115" s="116">
        <v>1</v>
      </c>
      <c r="E115" s="269">
        <v>0</v>
      </c>
      <c r="F115" s="269">
        <v>0</v>
      </c>
      <c r="G115" s="116" t="e">
        <v>#DIV/0!</v>
      </c>
      <c r="H115" s="116"/>
      <c r="I115" s="116">
        <v>0</v>
      </c>
      <c r="J115" s="116" t="e">
        <v>#DIV/0!</v>
      </c>
      <c r="K115" s="116" t="s">
        <v>5</v>
      </c>
      <c r="L115" s="116">
        <v>12</v>
      </c>
      <c r="M115" s="116">
        <v>1</v>
      </c>
      <c r="N115" s="116" t="s">
        <v>361</v>
      </c>
      <c r="O115" s="116"/>
    </row>
    <row r="116" spans="1:15" s="315" customFormat="1">
      <c r="A116" s="315" t="s">
        <v>196</v>
      </c>
      <c r="B116" s="315" t="s">
        <v>50</v>
      </c>
      <c r="C116" s="116" t="s">
        <v>5</v>
      </c>
      <c r="D116" s="116">
        <v>2</v>
      </c>
      <c r="E116" s="269">
        <v>6630</v>
      </c>
      <c r="F116" s="269">
        <v>161000</v>
      </c>
      <c r="G116" s="116">
        <v>4.1099999999999998E-2</v>
      </c>
      <c r="H116" s="116"/>
      <c r="I116" s="116">
        <v>0</v>
      </c>
      <c r="J116" s="116">
        <v>0</v>
      </c>
      <c r="K116" s="116" t="s">
        <v>5</v>
      </c>
      <c r="L116" s="116">
        <v>2</v>
      </c>
      <c r="M116" s="116">
        <v>1</v>
      </c>
      <c r="N116" s="116" t="s">
        <v>362</v>
      </c>
      <c r="O116" s="116"/>
    </row>
    <row r="117" spans="1:15" s="315" customFormat="1">
      <c r="A117" s="315" t="s">
        <v>197</v>
      </c>
      <c r="B117" s="315" t="s">
        <v>50</v>
      </c>
      <c r="C117" s="116" t="s">
        <v>5</v>
      </c>
      <c r="D117" s="116">
        <v>2</v>
      </c>
      <c r="E117" s="269">
        <v>6350</v>
      </c>
      <c r="F117" s="269">
        <v>160000</v>
      </c>
      <c r="G117" s="116">
        <v>3.9800000000000002E-2</v>
      </c>
      <c r="H117" s="116"/>
      <c r="I117" s="116">
        <v>0</v>
      </c>
      <c r="J117" s="116">
        <v>0</v>
      </c>
      <c r="K117" s="116" t="s">
        <v>5</v>
      </c>
      <c r="L117" s="116">
        <v>7</v>
      </c>
      <c r="M117" s="116">
        <v>1</v>
      </c>
      <c r="N117" s="116" t="s">
        <v>363</v>
      </c>
      <c r="O117" s="116"/>
    </row>
    <row r="118" spans="1:15" s="315" customFormat="1">
      <c r="A118" s="315" t="s">
        <v>198</v>
      </c>
      <c r="B118" s="315" t="s">
        <v>50</v>
      </c>
      <c r="C118" s="116" t="s">
        <v>5</v>
      </c>
      <c r="D118" s="116">
        <v>2</v>
      </c>
      <c r="E118" s="269">
        <v>1360000</v>
      </c>
      <c r="F118" s="269">
        <v>172000</v>
      </c>
      <c r="G118" s="116">
        <v>7.88</v>
      </c>
      <c r="H118" s="116"/>
      <c r="I118" s="116">
        <v>0</v>
      </c>
      <c r="J118" s="116">
        <v>0</v>
      </c>
      <c r="K118" s="116" t="s">
        <v>5</v>
      </c>
      <c r="L118" s="116">
        <v>14</v>
      </c>
      <c r="M118" s="116">
        <v>1</v>
      </c>
      <c r="N118" s="116" t="s">
        <v>364</v>
      </c>
      <c r="O118" s="116"/>
    </row>
    <row r="119" spans="1:15" s="315" customFormat="1">
      <c r="A119" s="315" t="s">
        <v>199</v>
      </c>
      <c r="B119" s="315" t="s">
        <v>50</v>
      </c>
      <c r="C119" s="116" t="s">
        <v>5</v>
      </c>
      <c r="D119" s="116">
        <v>2</v>
      </c>
      <c r="E119" s="269">
        <v>1420000</v>
      </c>
      <c r="F119" s="269">
        <v>167000</v>
      </c>
      <c r="G119" s="116">
        <v>8.4600000000000009</v>
      </c>
      <c r="H119" s="116"/>
      <c r="I119" s="116">
        <v>0</v>
      </c>
      <c r="J119" s="116">
        <v>0</v>
      </c>
      <c r="K119" s="116" t="s">
        <v>5</v>
      </c>
      <c r="L119" s="116">
        <v>19</v>
      </c>
      <c r="M119" s="116">
        <v>1</v>
      </c>
      <c r="N119" s="116" t="s">
        <v>365</v>
      </c>
      <c r="O119" s="116"/>
    </row>
    <row r="120" spans="1:15" s="315" customFormat="1">
      <c r="A120" s="315" t="s">
        <v>200</v>
      </c>
      <c r="B120" s="315" t="s">
        <v>50</v>
      </c>
      <c r="C120" s="116" t="s">
        <v>5</v>
      </c>
      <c r="D120" s="116">
        <v>2</v>
      </c>
      <c r="E120" s="269">
        <v>1560000</v>
      </c>
      <c r="F120" s="269">
        <v>167000</v>
      </c>
      <c r="G120" s="116">
        <v>9.31</v>
      </c>
      <c r="H120" s="116"/>
      <c r="I120" s="116">
        <v>0</v>
      </c>
      <c r="J120" s="116">
        <v>0</v>
      </c>
      <c r="K120" s="116" t="s">
        <v>5</v>
      </c>
      <c r="L120" s="116">
        <v>26</v>
      </c>
      <c r="M120" s="116">
        <v>1</v>
      </c>
      <c r="N120" s="116" t="s">
        <v>366</v>
      </c>
      <c r="O120" s="116"/>
    </row>
    <row r="121" spans="1:15" s="315" customFormat="1">
      <c r="A121" s="315" t="s">
        <v>201</v>
      </c>
      <c r="B121" s="315" t="s">
        <v>50</v>
      </c>
      <c r="C121" s="116" t="s">
        <v>5</v>
      </c>
      <c r="D121" s="116">
        <v>2</v>
      </c>
      <c r="E121" s="269">
        <v>1490000</v>
      </c>
      <c r="F121" s="269">
        <v>158000</v>
      </c>
      <c r="G121" s="116">
        <v>9.43</v>
      </c>
      <c r="H121" s="116"/>
      <c r="I121" s="116">
        <v>0</v>
      </c>
      <c r="J121" s="116">
        <v>0</v>
      </c>
      <c r="K121" s="116" t="s">
        <v>5</v>
      </c>
      <c r="L121" s="116">
        <v>31</v>
      </c>
      <c r="M121" s="116">
        <v>1</v>
      </c>
      <c r="N121" s="116" t="s">
        <v>367</v>
      </c>
      <c r="O121" s="116"/>
    </row>
    <row r="122" spans="1:15" s="315" customFormat="1">
      <c r="A122" s="315" t="s">
        <v>97</v>
      </c>
      <c r="B122" s="315" t="s">
        <v>50</v>
      </c>
      <c r="C122" s="116" t="s">
        <v>5</v>
      </c>
      <c r="D122" s="116">
        <v>1</v>
      </c>
      <c r="E122" s="269">
        <v>0</v>
      </c>
      <c r="F122" s="269">
        <v>925</v>
      </c>
      <c r="G122" s="116">
        <v>0</v>
      </c>
      <c r="H122" s="116"/>
      <c r="I122" s="116">
        <v>0</v>
      </c>
      <c r="J122" s="116" t="s">
        <v>359</v>
      </c>
      <c r="K122" s="116" t="s">
        <v>5</v>
      </c>
      <c r="L122" s="116">
        <v>11</v>
      </c>
      <c r="M122" s="116">
        <v>1</v>
      </c>
      <c r="N122" s="116" t="s">
        <v>368</v>
      </c>
      <c r="O122" s="116"/>
    </row>
    <row r="123" spans="1:15" s="315" customFormat="1">
      <c r="A123" s="315" t="s">
        <v>97</v>
      </c>
      <c r="B123" s="315" t="s">
        <v>50</v>
      </c>
      <c r="C123" s="116" t="s">
        <v>5</v>
      </c>
      <c r="D123" s="116">
        <v>1</v>
      </c>
      <c r="E123" s="269">
        <v>0</v>
      </c>
      <c r="F123" s="269">
        <v>0</v>
      </c>
      <c r="G123" s="116" t="e">
        <v>#DIV/0!</v>
      </c>
      <c r="H123" s="116"/>
      <c r="I123" s="116">
        <v>0</v>
      </c>
      <c r="J123" s="116" t="e">
        <v>#DIV/0!</v>
      </c>
      <c r="K123" s="116" t="s">
        <v>5</v>
      </c>
      <c r="L123" s="116">
        <v>12</v>
      </c>
      <c r="M123" s="116">
        <v>1</v>
      </c>
      <c r="N123" s="116" t="s">
        <v>369</v>
      </c>
      <c r="O123" s="116"/>
    </row>
    <row r="124" spans="1:15" s="315" customFormat="1">
      <c r="A124" s="315" t="s">
        <v>202</v>
      </c>
      <c r="B124" s="315" t="s">
        <v>50</v>
      </c>
      <c r="C124" s="116" t="s">
        <v>5</v>
      </c>
      <c r="D124" s="116">
        <v>2</v>
      </c>
      <c r="E124" s="269">
        <v>40400</v>
      </c>
      <c r="F124" s="269">
        <v>163000</v>
      </c>
      <c r="G124" s="116">
        <v>0.247</v>
      </c>
      <c r="H124" s="116"/>
      <c r="I124" s="116">
        <v>0</v>
      </c>
      <c r="J124" s="116">
        <v>0</v>
      </c>
      <c r="K124" s="116" t="s">
        <v>5</v>
      </c>
      <c r="L124" s="116">
        <v>3</v>
      </c>
      <c r="M124" s="116">
        <v>1</v>
      </c>
      <c r="N124" s="116" t="s">
        <v>370</v>
      </c>
      <c r="O124" s="116"/>
    </row>
    <row r="125" spans="1:15" s="315" customFormat="1">
      <c r="A125" s="315" t="s">
        <v>203</v>
      </c>
      <c r="B125" s="315" t="s">
        <v>50</v>
      </c>
      <c r="C125" s="116" t="s">
        <v>5</v>
      </c>
      <c r="D125" s="116">
        <v>2</v>
      </c>
      <c r="E125" s="269">
        <v>39800</v>
      </c>
      <c r="F125" s="269">
        <v>164000</v>
      </c>
      <c r="G125" s="116">
        <v>0.24299999999999999</v>
      </c>
      <c r="H125" s="116"/>
      <c r="I125" s="116">
        <v>0</v>
      </c>
      <c r="J125" s="116">
        <v>0</v>
      </c>
      <c r="K125" s="116" t="s">
        <v>5</v>
      </c>
      <c r="L125" s="116">
        <v>8</v>
      </c>
      <c r="M125" s="116">
        <v>1</v>
      </c>
      <c r="N125" s="116" t="s">
        <v>371</v>
      </c>
      <c r="O125" s="116"/>
    </row>
    <row r="126" spans="1:15" s="315" customFormat="1">
      <c r="A126" s="315" t="s">
        <v>204</v>
      </c>
      <c r="B126" s="315" t="s">
        <v>50</v>
      </c>
      <c r="C126" s="116" t="s">
        <v>5</v>
      </c>
      <c r="D126" s="116">
        <v>2</v>
      </c>
      <c r="E126" s="269">
        <v>1280000</v>
      </c>
      <c r="F126" s="269">
        <v>163000</v>
      </c>
      <c r="G126" s="116">
        <v>7.88</v>
      </c>
      <c r="H126" s="116"/>
      <c r="I126" s="116">
        <v>0</v>
      </c>
      <c r="J126" s="116">
        <v>0</v>
      </c>
      <c r="K126" s="116" t="s">
        <v>5</v>
      </c>
      <c r="L126" s="116">
        <v>15</v>
      </c>
      <c r="M126" s="116">
        <v>1</v>
      </c>
      <c r="N126" s="116" t="s">
        <v>372</v>
      </c>
      <c r="O126" s="116"/>
    </row>
    <row r="127" spans="1:15" s="315" customFormat="1">
      <c r="A127" s="315" t="s">
        <v>205</v>
      </c>
      <c r="B127" s="315" t="s">
        <v>50</v>
      </c>
      <c r="C127" s="116" t="s">
        <v>5</v>
      </c>
      <c r="D127" s="116">
        <v>2</v>
      </c>
      <c r="E127" s="269">
        <v>1370000</v>
      </c>
      <c r="F127" s="269">
        <v>159000</v>
      </c>
      <c r="G127" s="116">
        <v>8.6</v>
      </c>
      <c r="H127" s="116"/>
      <c r="I127" s="116">
        <v>0</v>
      </c>
      <c r="J127" s="116">
        <v>0</v>
      </c>
      <c r="K127" s="116" t="s">
        <v>5</v>
      </c>
      <c r="L127" s="116">
        <v>20</v>
      </c>
      <c r="M127" s="116">
        <v>1</v>
      </c>
      <c r="N127" s="116" t="s">
        <v>373</v>
      </c>
      <c r="O127" s="116"/>
    </row>
    <row r="128" spans="1:15" s="315" customFormat="1">
      <c r="A128" s="315" t="s">
        <v>206</v>
      </c>
      <c r="B128" s="315" t="s">
        <v>50</v>
      </c>
      <c r="C128" s="116" t="s">
        <v>5</v>
      </c>
      <c r="D128" s="116">
        <v>2</v>
      </c>
      <c r="E128" s="269">
        <v>1430000</v>
      </c>
      <c r="F128" s="269">
        <v>155000</v>
      </c>
      <c r="G128" s="116">
        <v>9.2200000000000006</v>
      </c>
      <c r="H128" s="116"/>
      <c r="I128" s="116">
        <v>0</v>
      </c>
      <c r="J128" s="116">
        <v>0</v>
      </c>
      <c r="K128" s="116" t="s">
        <v>5</v>
      </c>
      <c r="L128" s="116">
        <v>27</v>
      </c>
      <c r="M128" s="116">
        <v>1</v>
      </c>
      <c r="N128" s="116" t="s">
        <v>374</v>
      </c>
      <c r="O128" s="116"/>
    </row>
    <row r="129" spans="1:15" s="315" customFormat="1">
      <c r="A129" s="315" t="s">
        <v>207</v>
      </c>
      <c r="B129" s="315" t="s">
        <v>50</v>
      </c>
      <c r="C129" s="116" t="s">
        <v>5</v>
      </c>
      <c r="D129" s="116">
        <v>2</v>
      </c>
      <c r="E129" s="269">
        <v>1410000</v>
      </c>
      <c r="F129" s="269">
        <v>159000</v>
      </c>
      <c r="G129" s="116">
        <v>8.89</v>
      </c>
      <c r="H129" s="116"/>
      <c r="I129" s="116">
        <v>0</v>
      </c>
      <c r="J129" s="116">
        <v>0</v>
      </c>
      <c r="K129" s="116" t="s">
        <v>5</v>
      </c>
      <c r="L129" s="116">
        <v>32</v>
      </c>
      <c r="M129" s="116">
        <v>1</v>
      </c>
      <c r="N129" s="116" t="s">
        <v>375</v>
      </c>
      <c r="O129" s="116"/>
    </row>
    <row r="130" spans="1:15" s="315" customFormat="1">
      <c r="A130" s="315" t="s">
        <v>97</v>
      </c>
      <c r="B130" s="315" t="s">
        <v>50</v>
      </c>
      <c r="C130" s="116" t="s">
        <v>5</v>
      </c>
      <c r="D130" s="116">
        <v>1</v>
      </c>
      <c r="E130" s="269">
        <v>0</v>
      </c>
      <c r="F130" s="269">
        <v>1280</v>
      </c>
      <c r="G130" s="116">
        <v>0</v>
      </c>
      <c r="H130" s="116"/>
      <c r="I130" s="116">
        <v>0</v>
      </c>
      <c r="J130" s="116" t="s">
        <v>359</v>
      </c>
      <c r="K130" s="116" t="s">
        <v>5</v>
      </c>
      <c r="L130" s="116">
        <v>11</v>
      </c>
      <c r="M130" s="116">
        <v>1</v>
      </c>
      <c r="N130" s="116" t="s">
        <v>376</v>
      </c>
      <c r="O130" s="116"/>
    </row>
    <row r="131" spans="1:15" s="315" customFormat="1">
      <c r="A131" s="315" t="s">
        <v>97</v>
      </c>
      <c r="B131" s="315" t="s">
        <v>50</v>
      </c>
      <c r="C131" s="116" t="s">
        <v>5</v>
      </c>
      <c r="D131" s="116">
        <v>1</v>
      </c>
      <c r="E131" s="269">
        <v>0</v>
      </c>
      <c r="F131" s="269">
        <v>0</v>
      </c>
      <c r="G131" s="116" t="e">
        <v>#DIV/0!</v>
      </c>
      <c r="H131" s="116"/>
      <c r="I131" s="116">
        <v>0</v>
      </c>
      <c r="J131" s="116" t="e">
        <v>#DIV/0!</v>
      </c>
      <c r="K131" s="116" t="s">
        <v>5</v>
      </c>
      <c r="L131" s="116">
        <v>12</v>
      </c>
      <c r="M131" s="116">
        <v>1</v>
      </c>
      <c r="N131" s="116" t="s">
        <v>377</v>
      </c>
      <c r="O131" s="116"/>
    </row>
    <row r="132" spans="1:15" s="315" customFormat="1">
      <c r="A132" s="315" t="s">
        <v>169</v>
      </c>
      <c r="B132" s="315" t="s">
        <v>50</v>
      </c>
      <c r="C132" s="116" t="s">
        <v>5</v>
      </c>
      <c r="D132" s="116">
        <v>2</v>
      </c>
      <c r="E132" s="269">
        <v>4260</v>
      </c>
      <c r="F132" s="269">
        <v>159000</v>
      </c>
      <c r="G132" s="116">
        <v>2.69E-2</v>
      </c>
      <c r="H132" s="116"/>
      <c r="I132" s="116">
        <v>0</v>
      </c>
      <c r="J132" s="116">
        <v>0</v>
      </c>
      <c r="K132" s="116" t="s">
        <v>5</v>
      </c>
      <c r="L132" s="116">
        <v>4</v>
      </c>
      <c r="M132" s="116">
        <v>1</v>
      </c>
      <c r="N132" s="116" t="s">
        <v>378</v>
      </c>
      <c r="O132" s="116"/>
    </row>
    <row r="133" spans="1:15" s="315" customFormat="1">
      <c r="A133" s="315" t="s">
        <v>170</v>
      </c>
      <c r="B133" s="315" t="s">
        <v>50</v>
      </c>
      <c r="C133" s="116" t="s">
        <v>5</v>
      </c>
      <c r="D133" s="116">
        <v>2</v>
      </c>
      <c r="E133" s="269">
        <v>4120</v>
      </c>
      <c r="F133" s="269">
        <v>166000</v>
      </c>
      <c r="G133" s="116">
        <v>2.4899999999999999E-2</v>
      </c>
      <c r="H133" s="116"/>
      <c r="I133" s="116">
        <v>0</v>
      </c>
      <c r="J133" s="116">
        <v>0</v>
      </c>
      <c r="K133" s="116" t="s">
        <v>5</v>
      </c>
      <c r="L133" s="116">
        <v>9</v>
      </c>
      <c r="M133" s="116">
        <v>1</v>
      </c>
      <c r="N133" s="116" t="s">
        <v>379</v>
      </c>
      <c r="O133" s="116"/>
    </row>
    <row r="134" spans="1:15" s="315" customFormat="1">
      <c r="A134" s="315" t="s">
        <v>171</v>
      </c>
      <c r="B134" s="315" t="s">
        <v>50</v>
      </c>
      <c r="C134" s="116" t="s">
        <v>5</v>
      </c>
      <c r="D134" s="116">
        <v>2</v>
      </c>
      <c r="E134" s="269">
        <v>1220000</v>
      </c>
      <c r="F134" s="269">
        <v>162000</v>
      </c>
      <c r="G134" s="116">
        <v>7.53</v>
      </c>
      <c r="H134" s="116"/>
      <c r="I134" s="116">
        <v>0</v>
      </c>
      <c r="J134" s="116">
        <v>0</v>
      </c>
      <c r="K134" s="116" t="s">
        <v>5</v>
      </c>
      <c r="L134" s="116">
        <v>16</v>
      </c>
      <c r="M134" s="116">
        <v>1</v>
      </c>
      <c r="N134" s="116" t="s">
        <v>380</v>
      </c>
      <c r="O134" s="116"/>
    </row>
    <row r="135" spans="1:15" s="315" customFormat="1">
      <c r="A135" s="315" t="s">
        <v>172</v>
      </c>
      <c r="B135" s="315" t="s">
        <v>50</v>
      </c>
      <c r="C135" s="116" t="s">
        <v>5</v>
      </c>
      <c r="D135" s="116">
        <v>2</v>
      </c>
      <c r="E135" s="269">
        <v>1180000</v>
      </c>
      <c r="F135" s="269">
        <v>162000</v>
      </c>
      <c r="G135" s="116">
        <v>7.26</v>
      </c>
      <c r="H135" s="116"/>
      <c r="I135" s="116">
        <v>0</v>
      </c>
      <c r="J135" s="116">
        <v>0</v>
      </c>
      <c r="K135" s="116" t="s">
        <v>5</v>
      </c>
      <c r="L135" s="116">
        <v>21</v>
      </c>
      <c r="M135" s="116">
        <v>1</v>
      </c>
      <c r="N135" s="116" t="s">
        <v>381</v>
      </c>
      <c r="O135" s="116"/>
    </row>
    <row r="136" spans="1:15" s="315" customFormat="1">
      <c r="A136" s="315" t="s">
        <v>173</v>
      </c>
      <c r="B136" s="315" t="s">
        <v>50</v>
      </c>
      <c r="C136" s="116" t="s">
        <v>5</v>
      </c>
      <c r="D136" s="116">
        <v>2</v>
      </c>
      <c r="E136" s="269">
        <v>1340000</v>
      </c>
      <c r="F136" s="269">
        <v>155000</v>
      </c>
      <c r="G136" s="116">
        <v>8.65</v>
      </c>
      <c r="H136" s="116"/>
      <c r="I136" s="116">
        <v>0</v>
      </c>
      <c r="J136" s="116">
        <v>0</v>
      </c>
      <c r="K136" s="116" t="s">
        <v>5</v>
      </c>
      <c r="L136" s="116">
        <v>28</v>
      </c>
      <c r="M136" s="116">
        <v>1</v>
      </c>
      <c r="N136" s="116" t="s">
        <v>382</v>
      </c>
      <c r="O136" s="116"/>
    </row>
    <row r="137" spans="1:15" s="315" customFormat="1">
      <c r="A137" s="315" t="s">
        <v>174</v>
      </c>
      <c r="B137" s="315" t="s">
        <v>50</v>
      </c>
      <c r="C137" s="116" t="s">
        <v>5</v>
      </c>
      <c r="D137" s="116">
        <v>2</v>
      </c>
      <c r="E137" s="269">
        <v>1340000</v>
      </c>
      <c r="F137" s="269">
        <v>152000</v>
      </c>
      <c r="G137" s="116">
        <v>8.82</v>
      </c>
      <c r="H137" s="116"/>
      <c r="I137" s="116">
        <v>0</v>
      </c>
      <c r="J137" s="116">
        <v>0</v>
      </c>
      <c r="K137" s="116" t="s">
        <v>5</v>
      </c>
      <c r="L137" s="116">
        <v>33</v>
      </c>
      <c r="M137" s="116">
        <v>1</v>
      </c>
      <c r="N137" s="116" t="s">
        <v>383</v>
      </c>
      <c r="O137" s="116"/>
    </row>
    <row r="138" spans="1:15" s="315" customFormat="1">
      <c r="A138" s="315" t="s">
        <v>97</v>
      </c>
      <c r="B138" s="315" t="s">
        <v>50</v>
      </c>
      <c r="C138" s="116" t="s">
        <v>5</v>
      </c>
      <c r="D138" s="116">
        <v>1</v>
      </c>
      <c r="E138" s="269">
        <v>0</v>
      </c>
      <c r="F138" s="269">
        <v>1100</v>
      </c>
      <c r="G138" s="116">
        <v>0</v>
      </c>
      <c r="H138" s="116"/>
      <c r="I138" s="116">
        <v>0</v>
      </c>
      <c r="J138" s="116" t="s">
        <v>359</v>
      </c>
      <c r="K138" s="116" t="s">
        <v>5</v>
      </c>
      <c r="L138" s="116">
        <v>11</v>
      </c>
      <c r="M138" s="116">
        <v>1</v>
      </c>
      <c r="N138" s="116" t="s">
        <v>384</v>
      </c>
      <c r="O138" s="116"/>
    </row>
    <row r="139" spans="1:15" s="315" customFormat="1">
      <c r="A139" s="315" t="s">
        <v>97</v>
      </c>
      <c r="B139" s="315" t="s">
        <v>50</v>
      </c>
      <c r="C139" s="116" t="s">
        <v>5</v>
      </c>
      <c r="D139" s="116">
        <v>1</v>
      </c>
      <c r="E139" s="269">
        <v>0</v>
      </c>
      <c r="F139" s="269">
        <v>0</v>
      </c>
      <c r="G139" s="116" t="e">
        <v>#DIV/0!</v>
      </c>
      <c r="H139" s="116"/>
      <c r="I139" s="116">
        <v>0</v>
      </c>
      <c r="J139" s="116" t="e">
        <v>#DIV/0!</v>
      </c>
      <c r="K139" s="116" t="s">
        <v>5</v>
      </c>
      <c r="L139" s="116">
        <v>12</v>
      </c>
      <c r="M139" s="116">
        <v>1</v>
      </c>
      <c r="N139" s="116" t="s">
        <v>385</v>
      </c>
      <c r="O139" s="116"/>
    </row>
    <row r="140" spans="1:15" s="315" customFormat="1">
      <c r="A140" s="315" t="s">
        <v>149</v>
      </c>
      <c r="B140" s="315" t="s">
        <v>50</v>
      </c>
      <c r="C140" s="116" t="s">
        <v>5</v>
      </c>
      <c r="D140" s="116">
        <v>2</v>
      </c>
      <c r="E140" s="269">
        <v>67500</v>
      </c>
      <c r="F140" s="269">
        <v>159000</v>
      </c>
      <c r="G140" s="116">
        <v>0.42499999999999999</v>
      </c>
      <c r="H140" s="116"/>
      <c r="I140" s="116">
        <v>0</v>
      </c>
      <c r="J140" s="116">
        <v>0</v>
      </c>
      <c r="K140" s="116" t="s">
        <v>5</v>
      </c>
      <c r="L140" s="116">
        <v>5</v>
      </c>
      <c r="M140" s="116">
        <v>1</v>
      </c>
      <c r="N140" s="116" t="s">
        <v>386</v>
      </c>
      <c r="O140" s="116"/>
    </row>
    <row r="141" spans="1:15" s="315" customFormat="1">
      <c r="A141" s="315" t="s">
        <v>150</v>
      </c>
      <c r="B141" s="315" t="s">
        <v>50</v>
      </c>
      <c r="C141" s="116" t="s">
        <v>5</v>
      </c>
      <c r="D141" s="116">
        <v>2</v>
      </c>
      <c r="E141" s="269">
        <v>64300</v>
      </c>
      <c r="F141" s="269">
        <v>163000</v>
      </c>
      <c r="G141" s="116">
        <v>0.39400000000000002</v>
      </c>
      <c r="H141" s="116"/>
      <c r="I141" s="116">
        <v>0</v>
      </c>
      <c r="J141" s="116">
        <v>0</v>
      </c>
      <c r="K141" s="116" t="s">
        <v>5</v>
      </c>
      <c r="L141" s="116">
        <v>10</v>
      </c>
      <c r="M141" s="116">
        <v>1</v>
      </c>
      <c r="N141" s="116" t="s">
        <v>387</v>
      </c>
      <c r="O141" s="116"/>
    </row>
    <row r="142" spans="1:15" s="315" customFormat="1">
      <c r="A142" s="315" t="s">
        <v>151</v>
      </c>
      <c r="B142" s="315" t="s">
        <v>50</v>
      </c>
      <c r="C142" s="116" t="s">
        <v>5</v>
      </c>
      <c r="D142" s="116">
        <v>2</v>
      </c>
      <c r="E142" s="269">
        <v>1120000</v>
      </c>
      <c r="F142" s="269">
        <v>152000</v>
      </c>
      <c r="G142" s="116">
        <v>7.36</v>
      </c>
      <c r="H142" s="116"/>
      <c r="I142" s="116">
        <v>0</v>
      </c>
      <c r="J142" s="116">
        <v>0</v>
      </c>
      <c r="K142" s="116" t="s">
        <v>5</v>
      </c>
      <c r="L142" s="116">
        <v>17</v>
      </c>
      <c r="M142" s="116">
        <v>1</v>
      </c>
      <c r="N142" s="116" t="s">
        <v>388</v>
      </c>
      <c r="O142" s="116"/>
    </row>
    <row r="143" spans="1:15" s="315" customFormat="1">
      <c r="A143" s="315" t="s">
        <v>152</v>
      </c>
      <c r="B143" s="315" t="s">
        <v>50</v>
      </c>
      <c r="C143" s="116" t="s">
        <v>5</v>
      </c>
      <c r="D143" s="116">
        <v>2</v>
      </c>
      <c r="E143" s="269">
        <v>1060000</v>
      </c>
      <c r="F143" s="269">
        <v>153000</v>
      </c>
      <c r="G143" s="116">
        <v>6.91</v>
      </c>
      <c r="H143" s="116"/>
      <c r="I143" s="116">
        <v>0</v>
      </c>
      <c r="J143" s="116">
        <v>0</v>
      </c>
      <c r="K143" s="116" t="s">
        <v>5</v>
      </c>
      <c r="L143" s="116">
        <v>22</v>
      </c>
      <c r="M143" s="116">
        <v>1</v>
      </c>
      <c r="N143" s="116" t="s">
        <v>389</v>
      </c>
      <c r="O143" s="116"/>
    </row>
    <row r="144" spans="1:15" s="315" customFormat="1">
      <c r="A144" s="315" t="s">
        <v>153</v>
      </c>
      <c r="B144" s="315" t="s">
        <v>50</v>
      </c>
      <c r="C144" s="116" t="s">
        <v>5</v>
      </c>
      <c r="D144" s="116">
        <v>2</v>
      </c>
      <c r="E144" s="269">
        <v>1230000</v>
      </c>
      <c r="F144" s="269">
        <v>151000</v>
      </c>
      <c r="G144" s="116">
        <v>8.11</v>
      </c>
      <c r="H144" s="116"/>
      <c r="I144" s="116">
        <v>0</v>
      </c>
      <c r="J144" s="116">
        <v>0</v>
      </c>
      <c r="K144" s="116" t="s">
        <v>5</v>
      </c>
      <c r="L144" s="116">
        <v>29</v>
      </c>
      <c r="M144" s="116">
        <v>1</v>
      </c>
      <c r="N144" s="116" t="s">
        <v>390</v>
      </c>
      <c r="O144" s="116"/>
    </row>
    <row r="145" spans="1:15" s="315" customFormat="1">
      <c r="A145" s="315" t="s">
        <v>154</v>
      </c>
      <c r="B145" s="315" t="s">
        <v>50</v>
      </c>
      <c r="C145" s="116" t="s">
        <v>5</v>
      </c>
      <c r="D145" s="116">
        <v>2</v>
      </c>
      <c r="E145" s="269">
        <v>1230000</v>
      </c>
      <c r="F145" s="269">
        <v>149000</v>
      </c>
      <c r="G145" s="116">
        <v>8.27</v>
      </c>
      <c r="H145" s="116"/>
      <c r="I145" s="116">
        <v>0</v>
      </c>
      <c r="J145" s="116">
        <v>0</v>
      </c>
      <c r="K145" s="116" t="s">
        <v>5</v>
      </c>
      <c r="L145" s="116">
        <v>34</v>
      </c>
      <c r="M145" s="116">
        <v>1</v>
      </c>
      <c r="N145" s="116" t="s">
        <v>391</v>
      </c>
      <c r="O145" s="116"/>
    </row>
    <row r="146" spans="1:15" s="315" customFormat="1">
      <c r="C146" s="116"/>
      <c r="D146" s="116"/>
      <c r="E146" s="116"/>
      <c r="F146" s="116"/>
      <c r="G146" s="116"/>
      <c r="H146" s="116"/>
      <c r="I146" s="116"/>
      <c r="J146" s="116"/>
      <c r="K146" s="116"/>
      <c r="L146" s="116"/>
      <c r="M146" s="116"/>
      <c r="N146" s="116"/>
      <c r="O146" s="116"/>
    </row>
    <row r="147" spans="1:15" s="315" customFormat="1">
      <c r="C147" s="116"/>
      <c r="D147" s="116"/>
      <c r="E147" s="116"/>
      <c r="F147" s="116"/>
      <c r="G147" s="116"/>
      <c r="H147" s="116"/>
      <c r="I147" s="116"/>
      <c r="J147" s="116"/>
      <c r="K147" s="116"/>
      <c r="L147" s="116"/>
      <c r="M147" s="116"/>
      <c r="N147" s="116"/>
      <c r="O147" s="116"/>
    </row>
    <row r="148" spans="1:15">
      <c r="A148" s="315"/>
      <c r="B148" s="315"/>
      <c r="E148" s="269"/>
      <c r="F148" s="269"/>
      <c r="G148" s="116"/>
    </row>
    <row r="149" spans="1:15">
      <c r="A149" s="315"/>
      <c r="B149" s="315"/>
      <c r="E149" s="269"/>
      <c r="F149" s="269"/>
      <c r="G149" s="116"/>
    </row>
    <row r="150" spans="1:15">
      <c r="A150" s="315"/>
      <c r="B150" s="315"/>
      <c r="E150" s="116"/>
      <c r="F150" s="116"/>
      <c r="G150" s="116"/>
    </row>
    <row r="151" spans="1:15" s="314" customFormat="1">
      <c r="A151" s="314" t="s">
        <v>185</v>
      </c>
      <c r="C151" s="115"/>
      <c r="D151" s="115"/>
      <c r="E151" s="115"/>
      <c r="F151" s="115"/>
      <c r="G151" s="115"/>
      <c r="H151" s="115"/>
      <c r="I151" s="115"/>
      <c r="J151" s="115"/>
      <c r="K151" s="115"/>
      <c r="L151" s="115"/>
      <c r="M151" s="115"/>
      <c r="N151" s="115"/>
      <c r="O151" s="115"/>
    </row>
    <row r="152" spans="1:15" s="315" customFormat="1">
      <c r="A152" s="315" t="s">
        <v>230</v>
      </c>
      <c r="C152" s="116"/>
      <c r="D152" s="116"/>
      <c r="E152" s="116"/>
      <c r="F152" s="116"/>
      <c r="G152" s="116"/>
      <c r="H152" s="116"/>
      <c r="I152" s="116"/>
      <c r="J152" s="116"/>
      <c r="K152" s="116"/>
      <c r="L152" s="116"/>
      <c r="M152" s="116"/>
      <c r="N152" s="116"/>
      <c r="O152" s="116"/>
    </row>
    <row r="153" spans="1:15" s="315" customFormat="1">
      <c r="A153" s="315" t="s">
        <v>34</v>
      </c>
      <c r="C153" s="116"/>
      <c r="D153" s="116"/>
      <c r="E153" s="116"/>
      <c r="F153" s="116"/>
      <c r="G153" s="116"/>
      <c r="H153" s="116"/>
      <c r="I153" s="116"/>
      <c r="J153" s="116"/>
      <c r="K153" s="116"/>
      <c r="L153" s="116"/>
      <c r="M153" s="116"/>
      <c r="N153" s="116"/>
      <c r="O153" s="116"/>
    </row>
    <row r="154" spans="1:15" s="315" customFormat="1">
      <c r="A154" s="315" t="s">
        <v>140</v>
      </c>
      <c r="C154" s="116"/>
      <c r="D154" s="116"/>
      <c r="E154" s="116"/>
      <c r="F154" s="116"/>
      <c r="G154" s="116"/>
      <c r="H154" s="116"/>
      <c r="I154" s="116"/>
      <c r="J154" s="116"/>
      <c r="K154" s="116"/>
      <c r="L154" s="116"/>
      <c r="M154" s="116"/>
      <c r="N154" s="116"/>
      <c r="O154" s="116"/>
    </row>
    <row r="155" spans="1:15" s="315" customFormat="1">
      <c r="A155" s="315" t="s">
        <v>193</v>
      </c>
      <c r="C155" s="116"/>
      <c r="D155" s="116"/>
      <c r="E155" s="116"/>
      <c r="F155" s="116"/>
      <c r="G155" s="116"/>
      <c r="H155" s="116"/>
      <c r="I155" s="116"/>
      <c r="J155" s="116"/>
      <c r="K155" s="116"/>
      <c r="L155" s="116"/>
      <c r="M155" s="116"/>
      <c r="N155" s="116"/>
      <c r="O155" s="116"/>
    </row>
    <row r="156" spans="1:15" s="315" customFormat="1">
      <c r="A156" s="315" t="s">
        <v>34</v>
      </c>
      <c r="C156" s="116"/>
      <c r="D156" s="116"/>
      <c r="E156" s="116"/>
      <c r="F156" s="116"/>
      <c r="G156" s="116"/>
      <c r="H156" s="116"/>
      <c r="I156" s="116"/>
      <c r="J156" s="116"/>
      <c r="K156" s="116"/>
      <c r="L156" s="116"/>
      <c r="M156" s="116"/>
      <c r="N156" s="116"/>
      <c r="O156" s="116"/>
    </row>
    <row r="157" spans="1:15" s="315" customFormat="1">
      <c r="A157" s="315" t="s">
        <v>222</v>
      </c>
      <c r="C157" s="116"/>
      <c r="D157" s="116"/>
      <c r="E157" s="116"/>
      <c r="F157" s="116"/>
      <c r="G157" s="116"/>
      <c r="H157" s="116"/>
      <c r="I157" s="116"/>
      <c r="J157" s="116"/>
      <c r="K157" s="116"/>
      <c r="L157" s="116"/>
      <c r="M157" s="116"/>
      <c r="N157" s="116"/>
      <c r="O157" s="116"/>
    </row>
    <row r="158" spans="1:15" s="315" customFormat="1">
      <c r="C158" s="116"/>
      <c r="D158" s="116"/>
      <c r="E158" s="116"/>
      <c r="F158" s="116"/>
      <c r="G158" s="116"/>
      <c r="H158" s="116"/>
      <c r="I158" s="116"/>
      <c r="J158" s="116"/>
      <c r="K158" s="116"/>
      <c r="L158" s="116"/>
      <c r="M158" s="116"/>
      <c r="N158" s="116"/>
      <c r="O158" s="116"/>
    </row>
    <row r="159" spans="1:15" s="315" customFormat="1">
      <c r="A159" s="315" t="s">
        <v>246</v>
      </c>
      <c r="C159" s="116"/>
      <c r="D159" s="116"/>
      <c r="E159" s="116"/>
      <c r="F159" s="116"/>
      <c r="G159" s="116"/>
      <c r="H159" s="116"/>
      <c r="I159" s="116"/>
      <c r="J159" s="116"/>
      <c r="K159" s="116"/>
      <c r="L159" s="116"/>
      <c r="M159" s="116"/>
      <c r="N159" s="116"/>
      <c r="O159" s="116"/>
    </row>
    <row r="160" spans="1:15" s="315" customFormat="1">
      <c r="A160" s="315" t="s">
        <v>233</v>
      </c>
      <c r="C160" s="116"/>
      <c r="D160" s="116"/>
      <c r="E160" s="116"/>
      <c r="F160" s="116"/>
      <c r="G160" s="116"/>
      <c r="H160" s="116"/>
      <c r="I160" s="116"/>
      <c r="J160" s="116"/>
      <c r="K160" s="116"/>
      <c r="L160" s="116"/>
      <c r="M160" s="116"/>
      <c r="N160" s="116"/>
      <c r="O160" s="116"/>
    </row>
    <row r="161" spans="1:15" s="315" customFormat="1">
      <c r="A161" s="315" t="s">
        <v>224</v>
      </c>
      <c r="C161" s="116"/>
      <c r="D161" s="116"/>
      <c r="E161" s="116"/>
      <c r="F161" s="116"/>
      <c r="G161" s="116"/>
      <c r="H161" s="116"/>
      <c r="I161" s="116"/>
      <c r="J161" s="116"/>
      <c r="K161" s="116"/>
      <c r="L161" s="116"/>
      <c r="M161" s="116"/>
      <c r="N161" s="116"/>
      <c r="O161" s="116"/>
    </row>
    <row r="162" spans="1:15" s="315" customFormat="1">
      <c r="C162" s="116"/>
      <c r="D162" s="116"/>
      <c r="E162" s="116"/>
      <c r="F162" s="116"/>
      <c r="G162" s="116"/>
      <c r="H162" s="116"/>
      <c r="I162" s="116"/>
      <c r="J162" s="116"/>
      <c r="K162" s="116"/>
      <c r="L162" s="116"/>
      <c r="M162" s="116"/>
      <c r="N162" s="116"/>
      <c r="O162" s="116"/>
    </row>
    <row r="163" spans="1:15" s="315" customFormat="1">
      <c r="A163" s="315" t="s">
        <v>35</v>
      </c>
      <c r="B163" s="315" t="s">
        <v>36</v>
      </c>
      <c r="C163" s="116" t="s">
        <v>37</v>
      </c>
      <c r="D163" s="116" t="s">
        <v>38</v>
      </c>
      <c r="E163" s="116" t="s">
        <v>39</v>
      </c>
      <c r="F163" s="116" t="s">
        <v>40</v>
      </c>
      <c r="G163" s="116"/>
      <c r="H163" s="116"/>
      <c r="I163" s="116"/>
      <c r="J163" s="116"/>
      <c r="K163" s="116"/>
      <c r="L163" s="116"/>
      <c r="M163" s="116"/>
      <c r="N163" s="116"/>
      <c r="O163" s="116"/>
    </row>
    <row r="164" spans="1:15" s="315" customFormat="1">
      <c r="A164" s="315" t="s">
        <v>41</v>
      </c>
      <c r="B164" s="315" t="s">
        <v>42</v>
      </c>
      <c r="C164" s="116"/>
      <c r="D164" s="116"/>
      <c r="E164" s="116"/>
      <c r="F164" s="116"/>
      <c r="G164" s="116"/>
      <c r="H164" s="116"/>
      <c r="I164" s="116"/>
      <c r="J164" s="116"/>
      <c r="K164" s="116"/>
      <c r="L164" s="116"/>
      <c r="M164" s="116"/>
      <c r="N164" s="116"/>
      <c r="O164" s="116"/>
    </row>
    <row r="165" spans="1:15" s="315" customFormat="1">
      <c r="A165" s="315" t="s">
        <v>43</v>
      </c>
      <c r="C165" s="116"/>
      <c r="D165" s="116"/>
      <c r="E165" s="116"/>
      <c r="F165" s="116"/>
      <c r="G165" s="116"/>
      <c r="H165" s="116"/>
      <c r="I165" s="116"/>
      <c r="J165" s="116"/>
      <c r="K165" s="116"/>
      <c r="L165" s="116"/>
      <c r="M165" s="116"/>
      <c r="N165" s="116"/>
      <c r="O165" s="116"/>
    </row>
    <row r="166" spans="1:15" s="316" customFormat="1">
      <c r="C166" s="317"/>
      <c r="D166" s="317"/>
      <c r="E166" s="317"/>
      <c r="F166" s="317"/>
      <c r="G166" s="317"/>
      <c r="H166" s="317"/>
      <c r="I166" s="317"/>
      <c r="J166" s="317"/>
      <c r="K166" s="317"/>
      <c r="L166" s="317"/>
      <c r="M166" s="317"/>
      <c r="N166" s="317"/>
      <c r="O166" s="317"/>
    </row>
    <row r="167" spans="1:15" s="315" customFormat="1">
      <c r="C167" s="116"/>
      <c r="D167" s="116"/>
      <c r="E167" s="116"/>
      <c r="F167" s="116"/>
      <c r="G167" s="116"/>
      <c r="H167" s="116"/>
      <c r="I167" s="116"/>
      <c r="J167" s="116"/>
      <c r="K167" s="116"/>
      <c r="L167" s="116"/>
      <c r="M167" s="116"/>
      <c r="N167" s="116"/>
      <c r="O167" s="116"/>
    </row>
    <row r="168" spans="1:15" s="315" customFormat="1">
      <c r="C168" s="116"/>
      <c r="D168" s="116"/>
      <c r="E168" s="116"/>
      <c r="F168" s="116"/>
      <c r="G168" s="116"/>
      <c r="H168" s="116"/>
      <c r="I168" s="116"/>
      <c r="J168" s="116"/>
      <c r="K168" s="116"/>
      <c r="L168" s="116"/>
      <c r="M168" s="116"/>
      <c r="N168" s="116"/>
      <c r="O168" s="116"/>
    </row>
    <row r="169" spans="1:15" s="316" customFormat="1" ht="47.25">
      <c r="A169" s="316" t="s">
        <v>3</v>
      </c>
      <c r="B169" s="316" t="s">
        <v>44</v>
      </c>
      <c r="C169" s="317" t="s">
        <v>242</v>
      </c>
      <c r="D169" s="317" t="s">
        <v>4</v>
      </c>
      <c r="E169" s="317" t="s">
        <v>45</v>
      </c>
      <c r="F169" s="317" t="s">
        <v>46</v>
      </c>
      <c r="G169" s="317" t="s">
        <v>0</v>
      </c>
      <c r="H169" s="317" t="s">
        <v>47</v>
      </c>
      <c r="I169" s="317" t="s">
        <v>48</v>
      </c>
      <c r="J169" s="317" t="s">
        <v>243</v>
      </c>
      <c r="K169" s="317" t="s">
        <v>49</v>
      </c>
      <c r="L169" s="317" t="s">
        <v>142</v>
      </c>
      <c r="M169" s="317" t="s">
        <v>194</v>
      </c>
      <c r="N169" s="317" t="s">
        <v>96</v>
      </c>
      <c r="O169" s="317"/>
    </row>
    <row r="170" spans="1:15" s="315" customFormat="1">
      <c r="A170" s="315" t="s">
        <v>97</v>
      </c>
      <c r="B170" s="315" t="s">
        <v>50</v>
      </c>
      <c r="C170" s="116" t="s">
        <v>5</v>
      </c>
      <c r="D170" s="116">
        <v>1</v>
      </c>
      <c r="E170" s="269">
        <v>0</v>
      </c>
      <c r="F170" s="269">
        <v>0</v>
      </c>
      <c r="G170" s="116" t="e">
        <v>#DIV/0!</v>
      </c>
      <c r="H170" s="116"/>
      <c r="I170" s="116">
        <v>0</v>
      </c>
      <c r="J170" s="116" t="e">
        <v>#DIV/0!</v>
      </c>
      <c r="K170" s="116" t="s">
        <v>5</v>
      </c>
      <c r="L170" s="116">
        <v>11</v>
      </c>
      <c r="M170" s="116">
        <v>1</v>
      </c>
      <c r="N170" s="116" t="s">
        <v>392</v>
      </c>
      <c r="O170" s="116"/>
    </row>
    <row r="171" spans="1:15" s="315" customFormat="1">
      <c r="A171" s="315" t="s">
        <v>97</v>
      </c>
      <c r="B171" s="315" t="s">
        <v>50</v>
      </c>
      <c r="C171" s="116" t="s">
        <v>5</v>
      </c>
      <c r="D171" s="116">
        <v>1</v>
      </c>
      <c r="E171" s="269">
        <v>0</v>
      </c>
      <c r="F171" s="269">
        <v>0</v>
      </c>
      <c r="G171" s="116" t="e">
        <v>#DIV/0!</v>
      </c>
      <c r="H171" s="116"/>
      <c r="I171" s="116">
        <v>0</v>
      </c>
      <c r="J171" s="116" t="e">
        <v>#DIV/0!</v>
      </c>
      <c r="K171" s="116" t="s">
        <v>5</v>
      </c>
      <c r="L171" s="116">
        <v>12</v>
      </c>
      <c r="M171" s="116">
        <v>1</v>
      </c>
      <c r="N171" s="116" t="s">
        <v>393</v>
      </c>
      <c r="O171" s="116"/>
    </row>
    <row r="172" spans="1:15" s="315" customFormat="1">
      <c r="A172" s="315" t="s">
        <v>155</v>
      </c>
      <c r="B172" s="315" t="s">
        <v>50</v>
      </c>
      <c r="C172" s="116" t="s">
        <v>5</v>
      </c>
      <c r="D172" s="116">
        <v>2</v>
      </c>
      <c r="E172" s="269">
        <v>9860</v>
      </c>
      <c r="F172" s="269">
        <v>912000</v>
      </c>
      <c r="G172" s="116">
        <v>1.0800000000000001E-2</v>
      </c>
      <c r="H172" s="116"/>
      <c r="I172" s="116">
        <v>0</v>
      </c>
      <c r="J172" s="116">
        <v>0</v>
      </c>
      <c r="K172" s="116" t="s">
        <v>5</v>
      </c>
      <c r="L172" s="116">
        <v>37</v>
      </c>
      <c r="M172" s="116">
        <v>1</v>
      </c>
      <c r="N172" s="116" t="s">
        <v>394</v>
      </c>
      <c r="O172" s="116"/>
    </row>
    <row r="173" spans="1:15" s="315" customFormat="1">
      <c r="A173" s="315" t="s">
        <v>156</v>
      </c>
      <c r="B173" s="315" t="s">
        <v>50</v>
      </c>
      <c r="C173" s="116" t="s">
        <v>5</v>
      </c>
      <c r="D173" s="116">
        <v>2</v>
      </c>
      <c r="E173" s="269">
        <v>9660</v>
      </c>
      <c r="F173" s="269">
        <v>919000</v>
      </c>
      <c r="G173" s="116">
        <v>1.0500000000000001E-2</v>
      </c>
      <c r="H173" s="116"/>
      <c r="I173" s="116">
        <v>0</v>
      </c>
      <c r="J173" s="116">
        <v>0</v>
      </c>
      <c r="K173" s="116" t="s">
        <v>5</v>
      </c>
      <c r="L173" s="116">
        <v>42</v>
      </c>
      <c r="M173" s="116">
        <v>1</v>
      </c>
      <c r="N173" s="116" t="s">
        <v>395</v>
      </c>
      <c r="O173" s="116"/>
    </row>
    <row r="174" spans="1:15" s="315" customFormat="1">
      <c r="A174" s="315" t="s">
        <v>157</v>
      </c>
      <c r="B174" s="315" t="s">
        <v>50</v>
      </c>
      <c r="C174" s="116" t="s">
        <v>5</v>
      </c>
      <c r="D174" s="116">
        <v>2</v>
      </c>
      <c r="E174" s="269">
        <v>13200</v>
      </c>
      <c r="F174" s="269">
        <v>934000</v>
      </c>
      <c r="G174" s="116">
        <v>1.41E-2</v>
      </c>
      <c r="H174" s="116"/>
      <c r="I174" s="116">
        <v>0</v>
      </c>
      <c r="J174" s="116">
        <v>0</v>
      </c>
      <c r="K174" s="116" t="s">
        <v>5</v>
      </c>
      <c r="L174" s="116">
        <v>49</v>
      </c>
      <c r="M174" s="116">
        <v>1</v>
      </c>
      <c r="N174" s="116" t="s">
        <v>396</v>
      </c>
      <c r="O174" s="116"/>
    </row>
    <row r="175" spans="1:15" s="315" customFormat="1">
      <c r="A175" s="315" t="s">
        <v>158</v>
      </c>
      <c r="B175" s="315" t="s">
        <v>50</v>
      </c>
      <c r="C175" s="116" t="s">
        <v>5</v>
      </c>
      <c r="D175" s="116">
        <v>2</v>
      </c>
      <c r="E175" s="269">
        <v>11700</v>
      </c>
      <c r="F175" s="269">
        <v>935000</v>
      </c>
      <c r="G175" s="116">
        <v>1.2500000000000001E-2</v>
      </c>
      <c r="H175" s="116"/>
      <c r="I175" s="116">
        <v>0</v>
      </c>
      <c r="J175" s="116">
        <v>0</v>
      </c>
      <c r="K175" s="116" t="s">
        <v>5</v>
      </c>
      <c r="L175" s="116">
        <v>54</v>
      </c>
      <c r="M175" s="116">
        <v>1</v>
      </c>
      <c r="N175" s="116" t="s">
        <v>397</v>
      </c>
      <c r="O175" s="116"/>
    </row>
    <row r="176" spans="1:15" s="315" customFormat="1">
      <c r="A176" s="315" t="s">
        <v>159</v>
      </c>
      <c r="B176" s="315" t="s">
        <v>50</v>
      </c>
      <c r="C176" s="116" t="s">
        <v>5</v>
      </c>
      <c r="D176" s="116">
        <v>2</v>
      </c>
      <c r="E176" s="269">
        <v>23700</v>
      </c>
      <c r="F176" s="269">
        <v>893000</v>
      </c>
      <c r="G176" s="116">
        <v>2.6499999999999999E-2</v>
      </c>
      <c r="H176" s="116"/>
      <c r="I176" s="116">
        <v>0</v>
      </c>
      <c r="J176" s="116">
        <v>0</v>
      </c>
      <c r="K176" s="116" t="s">
        <v>5</v>
      </c>
      <c r="L176" s="116">
        <v>61</v>
      </c>
      <c r="M176" s="116">
        <v>1</v>
      </c>
      <c r="N176" s="116" t="s">
        <v>398</v>
      </c>
      <c r="O176" s="116"/>
    </row>
    <row r="177" spans="1:15" s="316" customFormat="1">
      <c r="A177" s="316" t="s">
        <v>160</v>
      </c>
      <c r="B177" s="316" t="s">
        <v>50</v>
      </c>
      <c r="C177" s="317" t="s">
        <v>5</v>
      </c>
      <c r="D177" s="317">
        <v>2</v>
      </c>
      <c r="E177" s="318">
        <v>24200</v>
      </c>
      <c r="F177" s="318">
        <v>870000</v>
      </c>
      <c r="G177" s="317">
        <v>2.7900000000000001E-2</v>
      </c>
      <c r="H177" s="317"/>
      <c r="I177" s="317">
        <v>0</v>
      </c>
      <c r="J177" s="317">
        <v>0</v>
      </c>
      <c r="K177" s="317" t="s">
        <v>5</v>
      </c>
      <c r="L177" s="317">
        <v>66</v>
      </c>
      <c r="M177" s="317">
        <v>1</v>
      </c>
      <c r="N177" s="317" t="s">
        <v>399</v>
      </c>
      <c r="O177" s="317"/>
    </row>
    <row r="178" spans="1:15" s="315" customFormat="1">
      <c r="A178" s="315" t="s">
        <v>97</v>
      </c>
      <c r="B178" s="315" t="s">
        <v>50</v>
      </c>
      <c r="C178" s="116" t="s">
        <v>5</v>
      </c>
      <c r="D178" s="116">
        <v>1</v>
      </c>
      <c r="E178" s="269">
        <v>0</v>
      </c>
      <c r="F178" s="269">
        <v>0</v>
      </c>
      <c r="G178" s="116" t="e">
        <v>#DIV/0!</v>
      </c>
      <c r="H178" s="116"/>
      <c r="I178" s="116">
        <v>0</v>
      </c>
      <c r="J178" s="116" t="e">
        <v>#DIV/0!</v>
      </c>
      <c r="K178" s="116" t="s">
        <v>5</v>
      </c>
      <c r="L178" s="116">
        <v>11</v>
      </c>
      <c r="M178" s="116">
        <v>1</v>
      </c>
      <c r="N178" s="116" t="s">
        <v>400</v>
      </c>
      <c r="O178" s="116"/>
    </row>
    <row r="179" spans="1:15" s="315" customFormat="1">
      <c r="A179" s="315" t="s">
        <v>97</v>
      </c>
      <c r="B179" s="315" t="s">
        <v>50</v>
      </c>
      <c r="C179" s="116" t="s">
        <v>5</v>
      </c>
      <c r="D179" s="116">
        <v>1</v>
      </c>
      <c r="E179" s="269">
        <v>0</v>
      </c>
      <c r="F179" s="269">
        <v>0</v>
      </c>
      <c r="G179" s="116" t="e">
        <v>#DIV/0!</v>
      </c>
      <c r="H179" s="116"/>
      <c r="I179" s="116">
        <v>0</v>
      </c>
      <c r="J179" s="116" t="e">
        <v>#DIV/0!</v>
      </c>
      <c r="K179" s="116" t="s">
        <v>5</v>
      </c>
      <c r="L179" s="116">
        <v>12</v>
      </c>
      <c r="M179" s="116">
        <v>1</v>
      </c>
      <c r="N179" s="116" t="s">
        <v>401</v>
      </c>
      <c r="O179" s="116"/>
    </row>
    <row r="180" spans="1:15" s="315" customFormat="1">
      <c r="A180" s="315" t="s">
        <v>208</v>
      </c>
      <c r="B180" s="315" t="s">
        <v>50</v>
      </c>
      <c r="C180" s="116" t="s">
        <v>5</v>
      </c>
      <c r="D180" s="116">
        <v>2</v>
      </c>
      <c r="E180" s="269">
        <v>9720</v>
      </c>
      <c r="F180" s="269">
        <v>890000</v>
      </c>
      <c r="G180" s="116">
        <v>1.09E-2</v>
      </c>
      <c r="H180" s="116"/>
      <c r="I180" s="116">
        <v>0</v>
      </c>
      <c r="J180" s="116">
        <v>0</v>
      </c>
      <c r="K180" s="116" t="s">
        <v>5</v>
      </c>
      <c r="L180" s="116">
        <v>38</v>
      </c>
      <c r="M180" s="116">
        <v>1</v>
      </c>
      <c r="N180" s="116" t="s">
        <v>402</v>
      </c>
      <c r="O180" s="116"/>
    </row>
    <row r="181" spans="1:15" s="315" customFormat="1">
      <c r="A181" s="315" t="s">
        <v>209</v>
      </c>
      <c r="B181" s="315" t="s">
        <v>50</v>
      </c>
      <c r="C181" s="116" t="s">
        <v>5</v>
      </c>
      <c r="D181" s="116">
        <v>2</v>
      </c>
      <c r="E181" s="269">
        <v>9290</v>
      </c>
      <c r="F181" s="269">
        <v>920000</v>
      </c>
      <c r="G181" s="116">
        <v>1.01E-2</v>
      </c>
      <c r="H181" s="116"/>
      <c r="I181" s="116">
        <v>0</v>
      </c>
      <c r="J181" s="116">
        <v>0</v>
      </c>
      <c r="K181" s="116" t="s">
        <v>5</v>
      </c>
      <c r="L181" s="116">
        <v>43</v>
      </c>
      <c r="M181" s="116">
        <v>1</v>
      </c>
      <c r="N181" s="116" t="s">
        <v>403</v>
      </c>
      <c r="O181" s="116"/>
    </row>
    <row r="182" spans="1:15" s="315" customFormat="1">
      <c r="A182" s="315" t="s">
        <v>210</v>
      </c>
      <c r="B182" s="315" t="s">
        <v>50</v>
      </c>
      <c r="C182" s="116" t="s">
        <v>5</v>
      </c>
      <c r="D182" s="116">
        <v>2</v>
      </c>
      <c r="E182" s="269">
        <v>11400</v>
      </c>
      <c r="F182" s="269">
        <v>948000</v>
      </c>
      <c r="G182" s="116">
        <v>1.2E-2</v>
      </c>
      <c r="H182" s="116"/>
      <c r="I182" s="116">
        <v>0</v>
      </c>
      <c r="J182" s="116">
        <v>0</v>
      </c>
      <c r="K182" s="116" t="s">
        <v>5</v>
      </c>
      <c r="L182" s="116">
        <v>50</v>
      </c>
      <c r="M182" s="116">
        <v>1</v>
      </c>
      <c r="N182" s="116" t="s">
        <v>404</v>
      </c>
      <c r="O182" s="116"/>
    </row>
    <row r="183" spans="1:15" s="315" customFormat="1">
      <c r="A183" s="315" t="s">
        <v>211</v>
      </c>
      <c r="B183" s="315" t="s">
        <v>50</v>
      </c>
      <c r="C183" s="116" t="s">
        <v>5</v>
      </c>
      <c r="D183" s="116">
        <v>2</v>
      </c>
      <c r="E183" s="269">
        <v>11300</v>
      </c>
      <c r="F183" s="269">
        <v>943000</v>
      </c>
      <c r="G183" s="116">
        <v>1.2E-2</v>
      </c>
      <c r="H183" s="116"/>
      <c r="I183" s="116">
        <v>0</v>
      </c>
      <c r="J183" s="116">
        <v>0</v>
      </c>
      <c r="K183" s="116" t="s">
        <v>5</v>
      </c>
      <c r="L183" s="116">
        <v>55</v>
      </c>
      <c r="M183" s="116">
        <v>1</v>
      </c>
      <c r="N183" s="116" t="s">
        <v>405</v>
      </c>
      <c r="O183" s="116"/>
    </row>
    <row r="184" spans="1:15" s="315" customFormat="1">
      <c r="A184" s="315" t="s">
        <v>212</v>
      </c>
      <c r="B184" s="315" t="s">
        <v>50</v>
      </c>
      <c r="C184" s="116" t="s">
        <v>5</v>
      </c>
      <c r="D184" s="116">
        <v>2</v>
      </c>
      <c r="E184" s="269">
        <v>23000</v>
      </c>
      <c r="F184" s="269">
        <v>927000</v>
      </c>
      <c r="G184" s="116">
        <v>2.4799999999999999E-2</v>
      </c>
      <c r="H184" s="116"/>
      <c r="I184" s="116">
        <v>0</v>
      </c>
      <c r="J184" s="116">
        <v>0</v>
      </c>
      <c r="K184" s="116" t="s">
        <v>5</v>
      </c>
      <c r="L184" s="116">
        <v>62</v>
      </c>
      <c r="M184" s="116">
        <v>1</v>
      </c>
      <c r="N184" s="116" t="s">
        <v>406</v>
      </c>
      <c r="O184" s="116"/>
    </row>
    <row r="185" spans="1:15" s="315" customFormat="1">
      <c r="A185" s="315" t="s">
        <v>213</v>
      </c>
      <c r="B185" s="315" t="s">
        <v>50</v>
      </c>
      <c r="C185" s="116" t="s">
        <v>5</v>
      </c>
      <c r="D185" s="116">
        <v>2</v>
      </c>
      <c r="E185" s="269">
        <v>21000</v>
      </c>
      <c r="F185" s="269">
        <v>896000</v>
      </c>
      <c r="G185" s="116">
        <v>2.3400000000000001E-2</v>
      </c>
      <c r="H185" s="116"/>
      <c r="I185" s="116">
        <v>0</v>
      </c>
      <c r="J185" s="116">
        <v>0</v>
      </c>
      <c r="K185" s="116" t="s">
        <v>5</v>
      </c>
      <c r="L185" s="116">
        <v>67</v>
      </c>
      <c r="M185" s="116">
        <v>1</v>
      </c>
      <c r="N185" s="116" t="s">
        <v>407</v>
      </c>
      <c r="O185" s="116"/>
    </row>
    <row r="186" spans="1:15" s="315" customFormat="1">
      <c r="A186" s="315" t="s">
        <v>97</v>
      </c>
      <c r="B186" s="315" t="s">
        <v>50</v>
      </c>
      <c r="C186" s="116" t="s">
        <v>5</v>
      </c>
      <c r="D186" s="116">
        <v>1</v>
      </c>
      <c r="E186" s="269">
        <v>0</v>
      </c>
      <c r="F186" s="269">
        <v>0</v>
      </c>
      <c r="G186" s="116" t="e">
        <v>#DIV/0!</v>
      </c>
      <c r="H186" s="116"/>
      <c r="I186" s="116">
        <v>0</v>
      </c>
      <c r="J186" s="116" t="e">
        <v>#DIV/0!</v>
      </c>
      <c r="K186" s="116" t="s">
        <v>5</v>
      </c>
      <c r="L186" s="116">
        <v>11</v>
      </c>
      <c r="M186" s="116">
        <v>1</v>
      </c>
      <c r="N186" s="116" t="s">
        <v>408</v>
      </c>
      <c r="O186" s="116"/>
    </row>
    <row r="187" spans="1:15" s="315" customFormat="1">
      <c r="A187" s="315" t="s">
        <v>97</v>
      </c>
      <c r="B187" s="315" t="s">
        <v>50</v>
      </c>
      <c r="C187" s="116" t="s">
        <v>5</v>
      </c>
      <c r="D187" s="116">
        <v>1</v>
      </c>
      <c r="E187" s="269">
        <v>0</v>
      </c>
      <c r="F187" s="269">
        <v>0</v>
      </c>
      <c r="G187" s="116" t="e">
        <v>#DIV/0!</v>
      </c>
      <c r="H187" s="116"/>
      <c r="I187" s="116">
        <v>0</v>
      </c>
      <c r="J187" s="116" t="e">
        <v>#DIV/0!</v>
      </c>
      <c r="K187" s="116" t="s">
        <v>5</v>
      </c>
      <c r="L187" s="116">
        <v>12</v>
      </c>
      <c r="M187" s="116">
        <v>1</v>
      </c>
      <c r="N187" s="116" t="s">
        <v>409</v>
      </c>
      <c r="O187" s="116"/>
    </row>
    <row r="188" spans="1:15" s="315" customFormat="1">
      <c r="A188" s="315" t="s">
        <v>214</v>
      </c>
      <c r="B188" s="315" t="s">
        <v>50</v>
      </c>
      <c r="C188" s="116" t="s">
        <v>5</v>
      </c>
      <c r="D188" s="116">
        <v>2</v>
      </c>
      <c r="E188" s="269">
        <v>8000</v>
      </c>
      <c r="F188" s="269">
        <v>885000</v>
      </c>
      <c r="G188" s="116">
        <v>9.0299999999999998E-3</v>
      </c>
      <c r="H188" s="116"/>
      <c r="I188" s="116">
        <v>0</v>
      </c>
      <c r="J188" s="116">
        <v>0</v>
      </c>
      <c r="K188" s="116" t="s">
        <v>5</v>
      </c>
      <c r="L188" s="116">
        <v>39</v>
      </c>
      <c r="M188" s="116">
        <v>1</v>
      </c>
      <c r="N188" s="116" t="s">
        <v>410</v>
      </c>
      <c r="O188" s="116"/>
    </row>
    <row r="189" spans="1:15" s="315" customFormat="1">
      <c r="A189" s="315" t="s">
        <v>215</v>
      </c>
      <c r="B189" s="315" t="s">
        <v>50</v>
      </c>
      <c r="C189" s="116" t="s">
        <v>5</v>
      </c>
      <c r="D189" s="116">
        <v>2</v>
      </c>
      <c r="E189" s="269">
        <v>8860</v>
      </c>
      <c r="F189" s="269">
        <v>926000</v>
      </c>
      <c r="G189" s="116">
        <v>9.5700000000000004E-3</v>
      </c>
      <c r="H189" s="116"/>
      <c r="I189" s="116">
        <v>0</v>
      </c>
      <c r="J189" s="116">
        <v>0</v>
      </c>
      <c r="K189" s="116" t="s">
        <v>5</v>
      </c>
      <c r="L189" s="116">
        <v>44</v>
      </c>
      <c r="M189" s="116">
        <v>1</v>
      </c>
      <c r="N189" s="116" t="s">
        <v>411</v>
      </c>
      <c r="O189" s="116"/>
    </row>
    <row r="190" spans="1:15" s="315" customFormat="1">
      <c r="A190" s="315" t="s">
        <v>216</v>
      </c>
      <c r="B190" s="315" t="s">
        <v>50</v>
      </c>
      <c r="C190" s="116" t="s">
        <v>5</v>
      </c>
      <c r="D190" s="116">
        <v>2</v>
      </c>
      <c r="E190" s="269">
        <v>10600</v>
      </c>
      <c r="F190" s="269">
        <v>949000</v>
      </c>
      <c r="G190" s="116">
        <v>1.12E-2</v>
      </c>
      <c r="H190" s="116"/>
      <c r="I190" s="116">
        <v>0</v>
      </c>
      <c r="J190" s="116">
        <v>0</v>
      </c>
      <c r="K190" s="116" t="s">
        <v>5</v>
      </c>
      <c r="L190" s="116">
        <v>51</v>
      </c>
      <c r="M190" s="116">
        <v>1</v>
      </c>
      <c r="N190" s="116" t="s">
        <v>412</v>
      </c>
      <c r="O190" s="116"/>
    </row>
    <row r="191" spans="1:15" s="315" customFormat="1">
      <c r="A191" s="315" t="s">
        <v>217</v>
      </c>
      <c r="B191" s="315" t="s">
        <v>50</v>
      </c>
      <c r="C191" s="116" t="s">
        <v>5</v>
      </c>
      <c r="D191" s="116">
        <v>2</v>
      </c>
      <c r="E191" s="269">
        <v>10800</v>
      </c>
      <c r="F191" s="269">
        <v>952000</v>
      </c>
      <c r="G191" s="116">
        <v>1.1299999999999999E-2</v>
      </c>
      <c r="H191" s="116"/>
      <c r="I191" s="116">
        <v>0</v>
      </c>
      <c r="J191" s="116">
        <v>0</v>
      </c>
      <c r="K191" s="116" t="s">
        <v>5</v>
      </c>
      <c r="L191" s="116">
        <v>56</v>
      </c>
      <c r="M191" s="116">
        <v>1</v>
      </c>
      <c r="N191" s="116" t="s">
        <v>413</v>
      </c>
      <c r="O191" s="116"/>
    </row>
    <row r="192" spans="1:15" s="315" customFormat="1">
      <c r="A192" s="315" t="s">
        <v>218</v>
      </c>
      <c r="B192" s="315" t="s">
        <v>50</v>
      </c>
      <c r="C192" s="116" t="s">
        <v>5</v>
      </c>
      <c r="D192" s="116">
        <v>2</v>
      </c>
      <c r="E192" s="269">
        <v>21000</v>
      </c>
      <c r="F192" s="269">
        <v>888000</v>
      </c>
      <c r="G192" s="116">
        <v>2.3699999999999999E-2</v>
      </c>
      <c r="H192" s="116"/>
      <c r="I192" s="116">
        <v>0</v>
      </c>
      <c r="J192" s="116">
        <v>0</v>
      </c>
      <c r="K192" s="116" t="s">
        <v>5</v>
      </c>
      <c r="L192" s="116">
        <v>63</v>
      </c>
      <c r="M192" s="116">
        <v>1</v>
      </c>
      <c r="N192" s="116" t="s">
        <v>414</v>
      </c>
      <c r="O192" s="116"/>
    </row>
    <row r="193" spans="1:15" s="315" customFormat="1">
      <c r="A193" s="315" t="s">
        <v>219</v>
      </c>
      <c r="B193" s="315" t="s">
        <v>50</v>
      </c>
      <c r="C193" s="116" t="s">
        <v>5</v>
      </c>
      <c r="D193" s="116">
        <v>2</v>
      </c>
      <c r="E193" s="269">
        <v>21700</v>
      </c>
      <c r="F193" s="269">
        <v>884000</v>
      </c>
      <c r="G193" s="116">
        <v>2.46E-2</v>
      </c>
      <c r="H193" s="116"/>
      <c r="I193" s="116">
        <v>0</v>
      </c>
      <c r="J193" s="116">
        <v>0</v>
      </c>
      <c r="K193" s="116" t="s">
        <v>5</v>
      </c>
      <c r="L193" s="116">
        <v>68</v>
      </c>
      <c r="M193" s="116">
        <v>1</v>
      </c>
      <c r="N193" s="116" t="s">
        <v>415</v>
      </c>
      <c r="O193" s="116"/>
    </row>
    <row r="194" spans="1:15" s="315" customFormat="1">
      <c r="A194" s="315" t="s">
        <v>97</v>
      </c>
      <c r="B194" s="315" t="s">
        <v>50</v>
      </c>
      <c r="C194" s="116" t="s">
        <v>5</v>
      </c>
      <c r="D194" s="116">
        <v>1</v>
      </c>
      <c r="E194" s="269">
        <v>0</v>
      </c>
      <c r="F194" s="269">
        <v>0</v>
      </c>
      <c r="G194" s="116" t="e">
        <v>#DIV/0!</v>
      </c>
      <c r="H194" s="116"/>
      <c r="I194" s="116">
        <v>0</v>
      </c>
      <c r="J194" s="116" t="e">
        <v>#DIV/0!</v>
      </c>
      <c r="K194" s="116" t="s">
        <v>5</v>
      </c>
      <c r="L194" s="116">
        <v>11</v>
      </c>
      <c r="M194" s="116">
        <v>1</v>
      </c>
      <c r="N194" s="116" t="s">
        <v>416</v>
      </c>
      <c r="O194" s="116"/>
    </row>
    <row r="195" spans="1:15">
      <c r="A195" s="117" t="s">
        <v>97</v>
      </c>
      <c r="B195" s="117" t="s">
        <v>50</v>
      </c>
      <c r="C195" s="116" t="s">
        <v>5</v>
      </c>
      <c r="D195" s="116">
        <v>1</v>
      </c>
      <c r="E195" s="269">
        <v>0</v>
      </c>
      <c r="F195" s="269">
        <v>0</v>
      </c>
      <c r="G195" s="116" t="e">
        <v>#DIV/0!</v>
      </c>
      <c r="I195" s="116">
        <v>0</v>
      </c>
      <c r="J195" s="116" t="e">
        <v>#DIV/0!</v>
      </c>
      <c r="K195" s="116" t="s">
        <v>5</v>
      </c>
      <c r="L195" s="116">
        <v>12</v>
      </c>
      <c r="M195" s="116">
        <v>1</v>
      </c>
      <c r="N195" s="116" t="s">
        <v>417</v>
      </c>
    </row>
    <row r="196" spans="1:15">
      <c r="A196" s="117" t="s">
        <v>175</v>
      </c>
      <c r="B196" s="117" t="s">
        <v>50</v>
      </c>
      <c r="C196" s="116" t="s">
        <v>5</v>
      </c>
      <c r="D196" s="116">
        <v>2</v>
      </c>
      <c r="E196" s="269">
        <v>7060</v>
      </c>
      <c r="F196" s="269">
        <v>855000</v>
      </c>
      <c r="G196" s="116">
        <v>8.26E-3</v>
      </c>
      <c r="I196" s="116">
        <v>0</v>
      </c>
      <c r="J196" s="116">
        <v>0</v>
      </c>
      <c r="K196" s="116" t="s">
        <v>5</v>
      </c>
      <c r="L196" s="116">
        <v>40</v>
      </c>
      <c r="M196" s="116">
        <v>1</v>
      </c>
      <c r="N196" s="116" t="s">
        <v>418</v>
      </c>
    </row>
    <row r="197" spans="1:15">
      <c r="A197" s="117" t="s">
        <v>176</v>
      </c>
      <c r="B197" s="117" t="s">
        <v>50</v>
      </c>
      <c r="C197" s="116" t="s">
        <v>5</v>
      </c>
      <c r="D197" s="116">
        <v>2</v>
      </c>
      <c r="E197" s="269">
        <v>8090</v>
      </c>
      <c r="F197" s="269">
        <v>827000</v>
      </c>
      <c r="G197" s="116">
        <v>9.7900000000000001E-3</v>
      </c>
      <c r="I197" s="116">
        <v>0</v>
      </c>
      <c r="J197" s="116">
        <v>0</v>
      </c>
      <c r="K197" s="116" t="s">
        <v>5</v>
      </c>
      <c r="L197" s="116">
        <v>45</v>
      </c>
      <c r="M197" s="116">
        <v>1</v>
      </c>
      <c r="N197" s="116" t="s">
        <v>419</v>
      </c>
    </row>
    <row r="198" spans="1:15">
      <c r="A198" s="117" t="s">
        <v>177</v>
      </c>
      <c r="B198" s="117" t="s">
        <v>50</v>
      </c>
      <c r="C198" s="116" t="s">
        <v>5</v>
      </c>
      <c r="D198" s="116">
        <v>2</v>
      </c>
      <c r="E198" s="269">
        <v>11300</v>
      </c>
      <c r="F198" s="269">
        <v>830000</v>
      </c>
      <c r="G198" s="116">
        <v>1.37E-2</v>
      </c>
      <c r="I198" s="116">
        <v>0</v>
      </c>
      <c r="J198" s="116">
        <v>0</v>
      </c>
      <c r="K198" s="116" t="s">
        <v>5</v>
      </c>
      <c r="L198" s="116">
        <v>52</v>
      </c>
      <c r="M198" s="116">
        <v>1</v>
      </c>
      <c r="N198" s="116" t="s">
        <v>420</v>
      </c>
    </row>
    <row r="199" spans="1:15">
      <c r="A199" s="117" t="s">
        <v>178</v>
      </c>
      <c r="B199" s="117" t="s">
        <v>50</v>
      </c>
      <c r="C199" s="116" t="s">
        <v>5</v>
      </c>
      <c r="D199" s="116">
        <v>2</v>
      </c>
      <c r="E199" s="269">
        <v>12000</v>
      </c>
      <c r="F199" s="269">
        <v>840000</v>
      </c>
      <c r="G199" s="116">
        <v>1.43E-2</v>
      </c>
      <c r="I199" s="116">
        <v>0</v>
      </c>
      <c r="J199" s="116">
        <v>0</v>
      </c>
      <c r="K199" s="116" t="s">
        <v>5</v>
      </c>
      <c r="L199" s="116">
        <v>57</v>
      </c>
      <c r="M199" s="116">
        <v>1</v>
      </c>
      <c r="N199" s="116" t="s">
        <v>421</v>
      </c>
    </row>
    <row r="200" spans="1:15">
      <c r="A200" s="117" t="s">
        <v>179</v>
      </c>
      <c r="B200" s="117" t="s">
        <v>50</v>
      </c>
      <c r="C200" s="116" t="s">
        <v>5</v>
      </c>
      <c r="D200" s="116">
        <v>2</v>
      </c>
      <c r="E200" s="269">
        <v>20500</v>
      </c>
      <c r="F200" s="269">
        <v>823000</v>
      </c>
      <c r="G200" s="116">
        <v>2.5000000000000001E-2</v>
      </c>
      <c r="I200" s="116">
        <v>0</v>
      </c>
      <c r="J200" s="116">
        <v>0</v>
      </c>
      <c r="K200" s="116" t="s">
        <v>5</v>
      </c>
      <c r="L200" s="116">
        <v>64</v>
      </c>
      <c r="M200" s="116">
        <v>1</v>
      </c>
      <c r="N200" s="116" t="s">
        <v>422</v>
      </c>
    </row>
    <row r="201" spans="1:15">
      <c r="A201" s="117" t="s">
        <v>180</v>
      </c>
      <c r="B201" s="117" t="s">
        <v>50</v>
      </c>
      <c r="C201" s="116" t="s">
        <v>5</v>
      </c>
      <c r="D201" s="116">
        <v>2</v>
      </c>
      <c r="E201" s="269">
        <v>19100</v>
      </c>
      <c r="F201" s="269">
        <v>772000</v>
      </c>
      <c r="G201" s="116">
        <v>2.4799999999999999E-2</v>
      </c>
      <c r="I201" s="116">
        <v>0</v>
      </c>
      <c r="J201" s="116">
        <v>0</v>
      </c>
      <c r="K201" s="116" t="s">
        <v>5</v>
      </c>
      <c r="L201" s="116">
        <v>69</v>
      </c>
      <c r="M201" s="116">
        <v>1</v>
      </c>
      <c r="N201" s="116" t="s">
        <v>423</v>
      </c>
    </row>
    <row r="202" spans="1:15">
      <c r="A202" s="117" t="s">
        <v>97</v>
      </c>
      <c r="B202" s="117" t="s">
        <v>50</v>
      </c>
      <c r="C202" s="116" t="s">
        <v>5</v>
      </c>
      <c r="D202" s="116">
        <v>1</v>
      </c>
      <c r="E202" s="269">
        <v>0</v>
      </c>
      <c r="F202" s="269">
        <v>0</v>
      </c>
      <c r="G202" s="116" t="e">
        <v>#DIV/0!</v>
      </c>
      <c r="I202" s="116">
        <v>0</v>
      </c>
      <c r="J202" s="116" t="e">
        <v>#DIV/0!</v>
      </c>
      <c r="K202" s="116" t="s">
        <v>5</v>
      </c>
      <c r="L202" s="116">
        <v>11</v>
      </c>
      <c r="M202" s="116">
        <v>1</v>
      </c>
      <c r="N202" s="116" t="s">
        <v>424</v>
      </c>
    </row>
    <row r="203" spans="1:15">
      <c r="A203" s="117" t="s">
        <v>97</v>
      </c>
      <c r="B203" s="117" t="s">
        <v>50</v>
      </c>
      <c r="C203" s="116" t="s">
        <v>5</v>
      </c>
      <c r="D203" s="116">
        <v>1</v>
      </c>
      <c r="E203" s="269">
        <v>0</v>
      </c>
      <c r="F203" s="269">
        <v>0</v>
      </c>
      <c r="G203" s="116" t="e">
        <v>#DIV/0!</v>
      </c>
      <c r="I203" s="116">
        <v>0</v>
      </c>
      <c r="J203" s="116" t="e">
        <v>#DIV/0!</v>
      </c>
      <c r="K203" s="116" t="s">
        <v>5</v>
      </c>
      <c r="L203" s="116">
        <v>12</v>
      </c>
      <c r="M203" s="116">
        <v>1</v>
      </c>
      <c r="N203" s="116" t="s">
        <v>425</v>
      </c>
    </row>
    <row r="204" spans="1:15">
      <c r="A204" s="117" t="s">
        <v>161</v>
      </c>
      <c r="B204" s="117" t="s">
        <v>50</v>
      </c>
      <c r="C204" s="116" t="s">
        <v>5</v>
      </c>
      <c r="D204" s="116">
        <v>2</v>
      </c>
      <c r="E204" s="269">
        <v>7840</v>
      </c>
      <c r="F204" s="269">
        <v>788000</v>
      </c>
      <c r="G204" s="116">
        <v>9.9500000000000005E-3</v>
      </c>
      <c r="I204" s="116">
        <v>0</v>
      </c>
      <c r="J204" s="116">
        <v>0</v>
      </c>
      <c r="K204" s="116" t="s">
        <v>5</v>
      </c>
      <c r="L204" s="116">
        <v>41</v>
      </c>
      <c r="M204" s="116">
        <v>1</v>
      </c>
      <c r="N204" s="116" t="s">
        <v>426</v>
      </c>
    </row>
    <row r="205" spans="1:15">
      <c r="A205" s="117" t="s">
        <v>162</v>
      </c>
      <c r="B205" s="117" t="s">
        <v>50</v>
      </c>
      <c r="C205" s="116" t="s">
        <v>5</v>
      </c>
      <c r="D205" s="116">
        <v>2</v>
      </c>
      <c r="E205" s="269">
        <v>7610</v>
      </c>
      <c r="F205" s="269">
        <v>742000</v>
      </c>
      <c r="G205" s="116">
        <v>1.03E-2</v>
      </c>
      <c r="I205" s="116">
        <v>0</v>
      </c>
      <c r="J205" s="116">
        <v>0</v>
      </c>
      <c r="K205" s="116" t="s">
        <v>5</v>
      </c>
      <c r="L205" s="116">
        <v>46</v>
      </c>
      <c r="M205" s="116">
        <v>1</v>
      </c>
      <c r="N205" s="116" t="s">
        <v>427</v>
      </c>
    </row>
    <row r="206" spans="1:15">
      <c r="A206" s="117" t="s">
        <v>163</v>
      </c>
      <c r="B206" s="117" t="s">
        <v>50</v>
      </c>
      <c r="C206" s="116" t="s">
        <v>5</v>
      </c>
      <c r="D206" s="116">
        <v>2</v>
      </c>
      <c r="E206" s="269">
        <v>9790</v>
      </c>
      <c r="F206" s="269">
        <v>779000</v>
      </c>
      <c r="G206" s="116">
        <v>1.26E-2</v>
      </c>
      <c r="I206" s="116">
        <v>0</v>
      </c>
      <c r="J206" s="116">
        <v>0</v>
      </c>
      <c r="K206" s="116" t="s">
        <v>5</v>
      </c>
      <c r="L206" s="116">
        <v>53</v>
      </c>
      <c r="M206" s="116">
        <v>1</v>
      </c>
      <c r="N206" s="116" t="s">
        <v>428</v>
      </c>
    </row>
    <row r="207" spans="1:15">
      <c r="A207" s="117" t="s">
        <v>164</v>
      </c>
      <c r="B207" s="117" t="s">
        <v>50</v>
      </c>
      <c r="C207" s="116" t="s">
        <v>5</v>
      </c>
      <c r="D207" s="116">
        <v>2</v>
      </c>
      <c r="E207" s="269">
        <v>9760</v>
      </c>
      <c r="F207" s="269">
        <v>751000</v>
      </c>
      <c r="G207" s="116">
        <v>1.2999999999999999E-2</v>
      </c>
      <c r="I207" s="116">
        <v>0</v>
      </c>
      <c r="J207" s="116">
        <v>0</v>
      </c>
      <c r="K207" s="116" t="s">
        <v>5</v>
      </c>
      <c r="L207" s="116">
        <v>58</v>
      </c>
      <c r="M207" s="116">
        <v>1</v>
      </c>
      <c r="N207" s="116" t="s">
        <v>429</v>
      </c>
    </row>
    <row r="208" spans="1:15">
      <c r="A208" s="117" t="s">
        <v>165</v>
      </c>
      <c r="B208" s="117" t="s">
        <v>50</v>
      </c>
      <c r="C208" s="116" t="s">
        <v>5</v>
      </c>
      <c r="D208" s="116">
        <v>2</v>
      </c>
      <c r="E208" s="269">
        <v>19300</v>
      </c>
      <c r="F208" s="269">
        <v>765000</v>
      </c>
      <c r="G208" s="116">
        <v>2.52E-2</v>
      </c>
      <c r="I208" s="116">
        <v>0</v>
      </c>
      <c r="J208" s="116">
        <v>0</v>
      </c>
      <c r="K208" s="116" t="s">
        <v>5</v>
      </c>
      <c r="L208" s="116">
        <v>65</v>
      </c>
      <c r="M208" s="116">
        <v>1</v>
      </c>
      <c r="N208" s="116" t="s">
        <v>430</v>
      </c>
    </row>
    <row r="209" spans="1:14">
      <c r="A209" s="117" t="s">
        <v>166</v>
      </c>
      <c r="B209" s="117" t="s">
        <v>50</v>
      </c>
      <c r="C209" s="116" t="s">
        <v>5</v>
      </c>
      <c r="D209" s="116">
        <v>2</v>
      </c>
      <c r="E209" s="269">
        <v>19100</v>
      </c>
      <c r="F209" s="269">
        <v>822000</v>
      </c>
      <c r="G209" s="116">
        <v>2.3300000000000001E-2</v>
      </c>
      <c r="I209" s="116">
        <v>0</v>
      </c>
      <c r="J209" s="116">
        <v>0</v>
      </c>
      <c r="K209" s="116" t="s">
        <v>5</v>
      </c>
      <c r="L209" s="116">
        <v>70</v>
      </c>
      <c r="M209" s="116">
        <v>1</v>
      </c>
      <c r="N209" s="116" t="s">
        <v>431</v>
      </c>
    </row>
    <row r="210" spans="1:14">
      <c r="E210" s="116"/>
      <c r="F210" s="116"/>
      <c r="G210" s="116"/>
    </row>
    <row r="211" spans="1:14">
      <c r="E211" s="269"/>
      <c r="F211" s="269"/>
      <c r="G211" s="116"/>
    </row>
    <row r="212" spans="1:14">
      <c r="E212" s="269"/>
      <c r="F212" s="269"/>
      <c r="G212" s="116"/>
    </row>
    <row r="213" spans="1:14">
      <c r="E213" s="269"/>
      <c r="F213" s="269"/>
      <c r="G213" s="116"/>
    </row>
    <row r="214" spans="1:14">
      <c r="E214" s="269"/>
      <c r="F214" s="269"/>
      <c r="G214" s="116"/>
    </row>
    <row r="215" spans="1:14">
      <c r="E215" s="269"/>
      <c r="F215" s="269"/>
      <c r="G215" s="116"/>
    </row>
    <row r="216" spans="1:14">
      <c r="E216" s="269"/>
      <c r="F216" s="269"/>
      <c r="G216" s="116"/>
    </row>
    <row r="217" spans="1:14">
      <c r="E217" s="269"/>
      <c r="F217" s="269"/>
      <c r="G217" s="116"/>
    </row>
    <row r="218" spans="1:14">
      <c r="E218" s="116"/>
      <c r="F218" s="116"/>
      <c r="G218" s="116"/>
    </row>
  </sheetData>
  <phoneticPr fontId="2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zoomScale="90" zoomScaleNormal="90" workbookViewId="0">
      <selection activeCell="O17" sqref="O17"/>
    </sheetView>
  </sheetViews>
  <sheetFormatPr defaultRowHeight="15.75"/>
  <cols>
    <col min="1" max="1" width="2.625" style="16" customWidth="1"/>
    <col min="2" max="2" width="23.375" style="16" customWidth="1"/>
    <col min="3" max="3" width="24.125" style="16" customWidth="1"/>
    <col min="4" max="4" width="14" style="16" bestFit="1" customWidth="1"/>
    <col min="5" max="5" width="15.875" style="16" customWidth="1"/>
    <col min="6" max="6" width="12.25" style="16" customWidth="1"/>
    <col min="7" max="7" width="22" style="16" customWidth="1"/>
    <col min="8" max="8" width="11.125" style="16" customWidth="1"/>
    <col min="9" max="9" width="13.5" style="16" customWidth="1"/>
    <col min="10" max="256" width="9" style="16"/>
    <col min="257" max="257" width="2.625" style="16" customWidth="1"/>
    <col min="258" max="258" width="23.375" style="16" customWidth="1"/>
    <col min="259" max="259" width="21.875" style="16" customWidth="1"/>
    <col min="260" max="260" width="18.375" style="16" customWidth="1"/>
    <col min="261" max="261" width="15.875" style="16" customWidth="1"/>
    <col min="262" max="262" width="12.25" style="16" customWidth="1"/>
    <col min="263" max="263" width="14.875" style="16" customWidth="1"/>
    <col min="264" max="264" width="9" style="16"/>
    <col min="265" max="265" width="18.25" style="16" customWidth="1"/>
    <col min="266" max="512" width="9" style="16"/>
    <col min="513" max="513" width="2.625" style="16" customWidth="1"/>
    <col min="514" max="514" width="23.375" style="16" customWidth="1"/>
    <col min="515" max="515" width="21.875" style="16" customWidth="1"/>
    <col min="516" max="516" width="18.375" style="16" customWidth="1"/>
    <col min="517" max="517" width="15.875" style="16" customWidth="1"/>
    <col min="518" max="518" width="12.25" style="16" customWidth="1"/>
    <col min="519" max="519" width="14.875" style="16" customWidth="1"/>
    <col min="520" max="520" width="9" style="16"/>
    <col min="521" max="521" width="18.25" style="16" customWidth="1"/>
    <col min="522" max="768" width="9" style="16"/>
    <col min="769" max="769" width="2.625" style="16" customWidth="1"/>
    <col min="770" max="770" width="23.375" style="16" customWidth="1"/>
    <col min="771" max="771" width="21.875" style="16" customWidth="1"/>
    <col min="772" max="772" width="18.375" style="16" customWidth="1"/>
    <col min="773" max="773" width="15.875" style="16" customWidth="1"/>
    <col min="774" max="774" width="12.25" style="16" customWidth="1"/>
    <col min="775" max="775" width="14.875" style="16" customWidth="1"/>
    <col min="776" max="776" width="9" style="16"/>
    <col min="777" max="777" width="18.25" style="16" customWidth="1"/>
    <col min="778" max="1024" width="9" style="16"/>
    <col min="1025" max="1025" width="2.625" style="16" customWidth="1"/>
    <col min="1026" max="1026" width="23.375" style="16" customWidth="1"/>
    <col min="1027" max="1027" width="21.875" style="16" customWidth="1"/>
    <col min="1028" max="1028" width="18.375" style="16" customWidth="1"/>
    <col min="1029" max="1029" width="15.875" style="16" customWidth="1"/>
    <col min="1030" max="1030" width="12.25" style="16" customWidth="1"/>
    <col min="1031" max="1031" width="14.875" style="16" customWidth="1"/>
    <col min="1032" max="1032" width="9" style="16"/>
    <col min="1033" max="1033" width="18.25" style="16" customWidth="1"/>
    <col min="1034" max="1280" width="9" style="16"/>
    <col min="1281" max="1281" width="2.625" style="16" customWidth="1"/>
    <col min="1282" max="1282" width="23.375" style="16" customWidth="1"/>
    <col min="1283" max="1283" width="21.875" style="16" customWidth="1"/>
    <col min="1284" max="1284" width="18.375" style="16" customWidth="1"/>
    <col min="1285" max="1285" width="15.875" style="16" customWidth="1"/>
    <col min="1286" max="1286" width="12.25" style="16" customWidth="1"/>
    <col min="1287" max="1287" width="14.875" style="16" customWidth="1"/>
    <col min="1288" max="1288" width="9" style="16"/>
    <col min="1289" max="1289" width="18.25" style="16" customWidth="1"/>
    <col min="1290" max="1536" width="9" style="16"/>
    <col min="1537" max="1537" width="2.625" style="16" customWidth="1"/>
    <col min="1538" max="1538" width="23.375" style="16" customWidth="1"/>
    <col min="1539" max="1539" width="21.875" style="16" customWidth="1"/>
    <col min="1540" max="1540" width="18.375" style="16" customWidth="1"/>
    <col min="1541" max="1541" width="15.875" style="16" customWidth="1"/>
    <col min="1542" max="1542" width="12.25" style="16" customWidth="1"/>
    <col min="1543" max="1543" width="14.875" style="16" customWidth="1"/>
    <col min="1544" max="1544" width="9" style="16"/>
    <col min="1545" max="1545" width="18.25" style="16" customWidth="1"/>
    <col min="1546" max="1792" width="9" style="16"/>
    <col min="1793" max="1793" width="2.625" style="16" customWidth="1"/>
    <col min="1794" max="1794" width="23.375" style="16" customWidth="1"/>
    <col min="1795" max="1795" width="21.875" style="16" customWidth="1"/>
    <col min="1796" max="1796" width="18.375" style="16" customWidth="1"/>
    <col min="1797" max="1797" width="15.875" style="16" customWidth="1"/>
    <col min="1798" max="1798" width="12.25" style="16" customWidth="1"/>
    <col min="1799" max="1799" width="14.875" style="16" customWidth="1"/>
    <col min="1800" max="1800" width="9" style="16"/>
    <col min="1801" max="1801" width="18.25" style="16" customWidth="1"/>
    <col min="1802" max="2048" width="9" style="16"/>
    <col min="2049" max="2049" width="2.625" style="16" customWidth="1"/>
    <col min="2050" max="2050" width="23.375" style="16" customWidth="1"/>
    <col min="2051" max="2051" width="21.875" style="16" customWidth="1"/>
    <col min="2052" max="2052" width="18.375" style="16" customWidth="1"/>
    <col min="2053" max="2053" width="15.875" style="16" customWidth="1"/>
    <col min="2054" max="2054" width="12.25" style="16" customWidth="1"/>
    <col min="2055" max="2055" width="14.875" style="16" customWidth="1"/>
    <col min="2056" max="2056" width="9" style="16"/>
    <col min="2057" max="2057" width="18.25" style="16" customWidth="1"/>
    <col min="2058" max="2304" width="9" style="16"/>
    <col min="2305" max="2305" width="2.625" style="16" customWidth="1"/>
    <col min="2306" max="2306" width="23.375" style="16" customWidth="1"/>
    <col min="2307" max="2307" width="21.875" style="16" customWidth="1"/>
    <col min="2308" max="2308" width="18.375" style="16" customWidth="1"/>
    <col min="2309" max="2309" width="15.875" style="16" customWidth="1"/>
    <col min="2310" max="2310" width="12.25" style="16" customWidth="1"/>
    <col min="2311" max="2311" width="14.875" style="16" customWidth="1"/>
    <col min="2312" max="2312" width="9" style="16"/>
    <col min="2313" max="2313" width="18.25" style="16" customWidth="1"/>
    <col min="2314" max="2560" width="9" style="16"/>
    <col min="2561" max="2561" width="2.625" style="16" customWidth="1"/>
    <col min="2562" max="2562" width="23.375" style="16" customWidth="1"/>
    <col min="2563" max="2563" width="21.875" style="16" customWidth="1"/>
    <col min="2564" max="2564" width="18.375" style="16" customWidth="1"/>
    <col min="2565" max="2565" width="15.875" style="16" customWidth="1"/>
    <col min="2566" max="2566" width="12.25" style="16" customWidth="1"/>
    <col min="2567" max="2567" width="14.875" style="16" customWidth="1"/>
    <col min="2568" max="2568" width="9" style="16"/>
    <col min="2569" max="2569" width="18.25" style="16" customWidth="1"/>
    <col min="2570" max="2816" width="9" style="16"/>
    <col min="2817" max="2817" width="2.625" style="16" customWidth="1"/>
    <col min="2818" max="2818" width="23.375" style="16" customWidth="1"/>
    <col min="2819" max="2819" width="21.875" style="16" customWidth="1"/>
    <col min="2820" max="2820" width="18.375" style="16" customWidth="1"/>
    <col min="2821" max="2821" width="15.875" style="16" customWidth="1"/>
    <col min="2822" max="2822" width="12.25" style="16" customWidth="1"/>
    <col min="2823" max="2823" width="14.875" style="16" customWidth="1"/>
    <col min="2824" max="2824" width="9" style="16"/>
    <col min="2825" max="2825" width="18.25" style="16" customWidth="1"/>
    <col min="2826" max="3072" width="9" style="16"/>
    <col min="3073" max="3073" width="2.625" style="16" customWidth="1"/>
    <col min="3074" max="3074" width="23.375" style="16" customWidth="1"/>
    <col min="3075" max="3075" width="21.875" style="16" customWidth="1"/>
    <col min="3076" max="3076" width="18.375" style="16" customWidth="1"/>
    <col min="3077" max="3077" width="15.875" style="16" customWidth="1"/>
    <col min="3078" max="3078" width="12.25" style="16" customWidth="1"/>
    <col min="3079" max="3079" width="14.875" style="16" customWidth="1"/>
    <col min="3080" max="3080" width="9" style="16"/>
    <col min="3081" max="3081" width="18.25" style="16" customWidth="1"/>
    <col min="3082" max="3328" width="9" style="16"/>
    <col min="3329" max="3329" width="2.625" style="16" customWidth="1"/>
    <col min="3330" max="3330" width="23.375" style="16" customWidth="1"/>
    <col min="3331" max="3331" width="21.875" style="16" customWidth="1"/>
    <col min="3332" max="3332" width="18.375" style="16" customWidth="1"/>
    <col min="3333" max="3333" width="15.875" style="16" customWidth="1"/>
    <col min="3334" max="3334" width="12.25" style="16" customWidth="1"/>
    <col min="3335" max="3335" width="14.875" style="16" customWidth="1"/>
    <col min="3336" max="3336" width="9" style="16"/>
    <col min="3337" max="3337" width="18.25" style="16" customWidth="1"/>
    <col min="3338" max="3584" width="9" style="16"/>
    <col min="3585" max="3585" width="2.625" style="16" customWidth="1"/>
    <col min="3586" max="3586" width="23.375" style="16" customWidth="1"/>
    <col min="3587" max="3587" width="21.875" style="16" customWidth="1"/>
    <col min="3588" max="3588" width="18.375" style="16" customWidth="1"/>
    <col min="3589" max="3589" width="15.875" style="16" customWidth="1"/>
    <col min="3590" max="3590" width="12.25" style="16" customWidth="1"/>
    <col min="3591" max="3591" width="14.875" style="16" customWidth="1"/>
    <col min="3592" max="3592" width="9" style="16"/>
    <col min="3593" max="3593" width="18.25" style="16" customWidth="1"/>
    <col min="3594" max="3840" width="9" style="16"/>
    <col min="3841" max="3841" width="2.625" style="16" customWidth="1"/>
    <col min="3842" max="3842" width="23.375" style="16" customWidth="1"/>
    <col min="3843" max="3843" width="21.875" style="16" customWidth="1"/>
    <col min="3844" max="3844" width="18.375" style="16" customWidth="1"/>
    <col min="3845" max="3845" width="15.875" style="16" customWidth="1"/>
    <col min="3846" max="3846" width="12.25" style="16" customWidth="1"/>
    <col min="3847" max="3847" width="14.875" style="16" customWidth="1"/>
    <col min="3848" max="3848" width="9" style="16"/>
    <col min="3849" max="3849" width="18.25" style="16" customWidth="1"/>
    <col min="3850" max="4096" width="9" style="16"/>
    <col min="4097" max="4097" width="2.625" style="16" customWidth="1"/>
    <col min="4098" max="4098" width="23.375" style="16" customWidth="1"/>
    <col min="4099" max="4099" width="21.875" style="16" customWidth="1"/>
    <col min="4100" max="4100" width="18.375" style="16" customWidth="1"/>
    <col min="4101" max="4101" width="15.875" style="16" customWidth="1"/>
    <col min="4102" max="4102" width="12.25" style="16" customWidth="1"/>
    <col min="4103" max="4103" width="14.875" style="16" customWidth="1"/>
    <col min="4104" max="4104" width="9" style="16"/>
    <col min="4105" max="4105" width="18.25" style="16" customWidth="1"/>
    <col min="4106" max="4352" width="9" style="16"/>
    <col min="4353" max="4353" width="2.625" style="16" customWidth="1"/>
    <col min="4354" max="4354" width="23.375" style="16" customWidth="1"/>
    <col min="4355" max="4355" width="21.875" style="16" customWidth="1"/>
    <col min="4356" max="4356" width="18.375" style="16" customWidth="1"/>
    <col min="4357" max="4357" width="15.875" style="16" customWidth="1"/>
    <col min="4358" max="4358" width="12.25" style="16" customWidth="1"/>
    <col min="4359" max="4359" width="14.875" style="16" customWidth="1"/>
    <col min="4360" max="4360" width="9" style="16"/>
    <col min="4361" max="4361" width="18.25" style="16" customWidth="1"/>
    <col min="4362" max="4608" width="9" style="16"/>
    <col min="4609" max="4609" width="2.625" style="16" customWidth="1"/>
    <col min="4610" max="4610" width="23.375" style="16" customWidth="1"/>
    <col min="4611" max="4611" width="21.875" style="16" customWidth="1"/>
    <col min="4612" max="4612" width="18.375" style="16" customWidth="1"/>
    <col min="4613" max="4613" width="15.875" style="16" customWidth="1"/>
    <col min="4614" max="4614" width="12.25" style="16" customWidth="1"/>
    <col min="4615" max="4615" width="14.875" style="16" customWidth="1"/>
    <col min="4616" max="4616" width="9" style="16"/>
    <col min="4617" max="4617" width="18.25" style="16" customWidth="1"/>
    <col min="4618" max="4864" width="9" style="16"/>
    <col min="4865" max="4865" width="2.625" style="16" customWidth="1"/>
    <col min="4866" max="4866" width="23.375" style="16" customWidth="1"/>
    <col min="4867" max="4867" width="21.875" style="16" customWidth="1"/>
    <col min="4868" max="4868" width="18.375" style="16" customWidth="1"/>
    <col min="4869" max="4869" width="15.875" style="16" customWidth="1"/>
    <col min="4870" max="4870" width="12.25" style="16" customWidth="1"/>
    <col min="4871" max="4871" width="14.875" style="16" customWidth="1"/>
    <col min="4872" max="4872" width="9" style="16"/>
    <col min="4873" max="4873" width="18.25" style="16" customWidth="1"/>
    <col min="4874" max="5120" width="9" style="16"/>
    <col min="5121" max="5121" width="2.625" style="16" customWidth="1"/>
    <col min="5122" max="5122" width="23.375" style="16" customWidth="1"/>
    <col min="5123" max="5123" width="21.875" style="16" customWidth="1"/>
    <col min="5124" max="5124" width="18.375" style="16" customWidth="1"/>
    <col min="5125" max="5125" width="15.875" style="16" customWidth="1"/>
    <col min="5126" max="5126" width="12.25" style="16" customWidth="1"/>
    <col min="5127" max="5127" width="14.875" style="16" customWidth="1"/>
    <col min="5128" max="5128" width="9" style="16"/>
    <col min="5129" max="5129" width="18.25" style="16" customWidth="1"/>
    <col min="5130" max="5376" width="9" style="16"/>
    <col min="5377" max="5377" width="2.625" style="16" customWidth="1"/>
    <col min="5378" max="5378" width="23.375" style="16" customWidth="1"/>
    <col min="5379" max="5379" width="21.875" style="16" customWidth="1"/>
    <col min="5380" max="5380" width="18.375" style="16" customWidth="1"/>
    <col min="5381" max="5381" width="15.875" style="16" customWidth="1"/>
    <col min="5382" max="5382" width="12.25" style="16" customWidth="1"/>
    <col min="5383" max="5383" width="14.875" style="16" customWidth="1"/>
    <col min="5384" max="5384" width="9" style="16"/>
    <col min="5385" max="5385" width="18.25" style="16" customWidth="1"/>
    <col min="5386" max="5632" width="9" style="16"/>
    <col min="5633" max="5633" width="2.625" style="16" customWidth="1"/>
    <col min="5634" max="5634" width="23.375" style="16" customWidth="1"/>
    <col min="5635" max="5635" width="21.875" style="16" customWidth="1"/>
    <col min="5636" max="5636" width="18.375" style="16" customWidth="1"/>
    <col min="5637" max="5637" width="15.875" style="16" customWidth="1"/>
    <col min="5638" max="5638" width="12.25" style="16" customWidth="1"/>
    <col min="5639" max="5639" width="14.875" style="16" customWidth="1"/>
    <col min="5640" max="5640" width="9" style="16"/>
    <col min="5641" max="5641" width="18.25" style="16" customWidth="1"/>
    <col min="5642" max="5888" width="9" style="16"/>
    <col min="5889" max="5889" width="2.625" style="16" customWidth="1"/>
    <col min="5890" max="5890" width="23.375" style="16" customWidth="1"/>
    <col min="5891" max="5891" width="21.875" style="16" customWidth="1"/>
    <col min="5892" max="5892" width="18.375" style="16" customWidth="1"/>
    <col min="5893" max="5893" width="15.875" style="16" customWidth="1"/>
    <col min="5894" max="5894" width="12.25" style="16" customWidth="1"/>
    <col min="5895" max="5895" width="14.875" style="16" customWidth="1"/>
    <col min="5896" max="5896" width="9" style="16"/>
    <col min="5897" max="5897" width="18.25" style="16" customWidth="1"/>
    <col min="5898" max="6144" width="9" style="16"/>
    <col min="6145" max="6145" width="2.625" style="16" customWidth="1"/>
    <col min="6146" max="6146" width="23.375" style="16" customWidth="1"/>
    <col min="6147" max="6147" width="21.875" style="16" customWidth="1"/>
    <col min="6148" max="6148" width="18.375" style="16" customWidth="1"/>
    <col min="6149" max="6149" width="15.875" style="16" customWidth="1"/>
    <col min="6150" max="6150" width="12.25" style="16" customWidth="1"/>
    <col min="6151" max="6151" width="14.875" style="16" customWidth="1"/>
    <col min="6152" max="6152" width="9" style="16"/>
    <col min="6153" max="6153" width="18.25" style="16" customWidth="1"/>
    <col min="6154" max="6400" width="9" style="16"/>
    <col min="6401" max="6401" width="2.625" style="16" customWidth="1"/>
    <col min="6402" max="6402" width="23.375" style="16" customWidth="1"/>
    <col min="6403" max="6403" width="21.875" style="16" customWidth="1"/>
    <col min="6404" max="6404" width="18.375" style="16" customWidth="1"/>
    <col min="6405" max="6405" width="15.875" style="16" customWidth="1"/>
    <col min="6406" max="6406" width="12.25" style="16" customWidth="1"/>
    <col min="6407" max="6407" width="14.875" style="16" customWidth="1"/>
    <col min="6408" max="6408" width="9" style="16"/>
    <col min="6409" max="6409" width="18.25" style="16" customWidth="1"/>
    <col min="6410" max="6656" width="9" style="16"/>
    <col min="6657" max="6657" width="2.625" style="16" customWidth="1"/>
    <col min="6658" max="6658" width="23.375" style="16" customWidth="1"/>
    <col min="6659" max="6659" width="21.875" style="16" customWidth="1"/>
    <col min="6660" max="6660" width="18.375" style="16" customWidth="1"/>
    <col min="6661" max="6661" width="15.875" style="16" customWidth="1"/>
    <col min="6662" max="6662" width="12.25" style="16" customWidth="1"/>
    <col min="6663" max="6663" width="14.875" style="16" customWidth="1"/>
    <col min="6664" max="6664" width="9" style="16"/>
    <col min="6665" max="6665" width="18.25" style="16" customWidth="1"/>
    <col min="6666" max="6912" width="9" style="16"/>
    <col min="6913" max="6913" width="2.625" style="16" customWidth="1"/>
    <col min="6914" max="6914" width="23.375" style="16" customWidth="1"/>
    <col min="6915" max="6915" width="21.875" style="16" customWidth="1"/>
    <col min="6916" max="6916" width="18.375" style="16" customWidth="1"/>
    <col min="6917" max="6917" width="15.875" style="16" customWidth="1"/>
    <col min="6918" max="6918" width="12.25" style="16" customWidth="1"/>
    <col min="6919" max="6919" width="14.875" style="16" customWidth="1"/>
    <col min="6920" max="6920" width="9" style="16"/>
    <col min="6921" max="6921" width="18.25" style="16" customWidth="1"/>
    <col min="6922" max="7168" width="9" style="16"/>
    <col min="7169" max="7169" width="2.625" style="16" customWidth="1"/>
    <col min="7170" max="7170" width="23.375" style="16" customWidth="1"/>
    <col min="7171" max="7171" width="21.875" style="16" customWidth="1"/>
    <col min="7172" max="7172" width="18.375" style="16" customWidth="1"/>
    <col min="7173" max="7173" width="15.875" style="16" customWidth="1"/>
    <col min="7174" max="7174" width="12.25" style="16" customWidth="1"/>
    <col min="7175" max="7175" width="14.875" style="16" customWidth="1"/>
    <col min="7176" max="7176" width="9" style="16"/>
    <col min="7177" max="7177" width="18.25" style="16" customWidth="1"/>
    <col min="7178" max="7424" width="9" style="16"/>
    <col min="7425" max="7425" width="2.625" style="16" customWidth="1"/>
    <col min="7426" max="7426" width="23.375" style="16" customWidth="1"/>
    <col min="7427" max="7427" width="21.875" style="16" customWidth="1"/>
    <col min="7428" max="7428" width="18.375" style="16" customWidth="1"/>
    <col min="7429" max="7429" width="15.875" style="16" customWidth="1"/>
    <col min="7430" max="7430" width="12.25" style="16" customWidth="1"/>
    <col min="7431" max="7431" width="14.875" style="16" customWidth="1"/>
    <col min="7432" max="7432" width="9" style="16"/>
    <col min="7433" max="7433" width="18.25" style="16" customWidth="1"/>
    <col min="7434" max="7680" width="9" style="16"/>
    <col min="7681" max="7681" width="2.625" style="16" customWidth="1"/>
    <col min="7682" max="7682" width="23.375" style="16" customWidth="1"/>
    <col min="7683" max="7683" width="21.875" style="16" customWidth="1"/>
    <col min="7684" max="7684" width="18.375" style="16" customWidth="1"/>
    <col min="7685" max="7685" width="15.875" style="16" customWidth="1"/>
    <col min="7686" max="7686" width="12.25" style="16" customWidth="1"/>
    <col min="7687" max="7687" width="14.875" style="16" customWidth="1"/>
    <col min="7688" max="7688" width="9" style="16"/>
    <col min="7689" max="7689" width="18.25" style="16" customWidth="1"/>
    <col min="7690" max="7936" width="9" style="16"/>
    <col min="7937" max="7937" width="2.625" style="16" customWidth="1"/>
    <col min="7938" max="7938" width="23.375" style="16" customWidth="1"/>
    <col min="7939" max="7939" width="21.875" style="16" customWidth="1"/>
    <col min="7940" max="7940" width="18.375" style="16" customWidth="1"/>
    <col min="7941" max="7941" width="15.875" style="16" customWidth="1"/>
    <col min="7942" max="7942" width="12.25" style="16" customWidth="1"/>
    <col min="7943" max="7943" width="14.875" style="16" customWidth="1"/>
    <col min="7944" max="7944" width="9" style="16"/>
    <col min="7945" max="7945" width="18.25" style="16" customWidth="1"/>
    <col min="7946" max="8192" width="9" style="16"/>
    <col min="8193" max="8193" width="2.625" style="16" customWidth="1"/>
    <col min="8194" max="8194" width="23.375" style="16" customWidth="1"/>
    <col min="8195" max="8195" width="21.875" style="16" customWidth="1"/>
    <col min="8196" max="8196" width="18.375" style="16" customWidth="1"/>
    <col min="8197" max="8197" width="15.875" style="16" customWidth="1"/>
    <col min="8198" max="8198" width="12.25" style="16" customWidth="1"/>
    <col min="8199" max="8199" width="14.875" style="16" customWidth="1"/>
    <col min="8200" max="8200" width="9" style="16"/>
    <col min="8201" max="8201" width="18.25" style="16" customWidth="1"/>
    <col min="8202" max="8448" width="9" style="16"/>
    <col min="8449" max="8449" width="2.625" style="16" customWidth="1"/>
    <col min="8450" max="8450" width="23.375" style="16" customWidth="1"/>
    <col min="8451" max="8451" width="21.875" style="16" customWidth="1"/>
    <col min="8452" max="8452" width="18.375" style="16" customWidth="1"/>
    <col min="8453" max="8453" width="15.875" style="16" customWidth="1"/>
    <col min="8454" max="8454" width="12.25" style="16" customWidth="1"/>
    <col min="8455" max="8455" width="14.875" style="16" customWidth="1"/>
    <col min="8456" max="8456" width="9" style="16"/>
    <col min="8457" max="8457" width="18.25" style="16" customWidth="1"/>
    <col min="8458" max="8704" width="9" style="16"/>
    <col min="8705" max="8705" width="2.625" style="16" customWidth="1"/>
    <col min="8706" max="8706" width="23.375" style="16" customWidth="1"/>
    <col min="8707" max="8707" width="21.875" style="16" customWidth="1"/>
    <col min="8708" max="8708" width="18.375" style="16" customWidth="1"/>
    <col min="8709" max="8709" width="15.875" style="16" customWidth="1"/>
    <col min="8710" max="8710" width="12.25" style="16" customWidth="1"/>
    <col min="8711" max="8711" width="14.875" style="16" customWidth="1"/>
    <col min="8712" max="8712" width="9" style="16"/>
    <col min="8713" max="8713" width="18.25" style="16" customWidth="1"/>
    <col min="8714" max="8960" width="9" style="16"/>
    <col min="8961" max="8961" width="2.625" style="16" customWidth="1"/>
    <col min="8962" max="8962" width="23.375" style="16" customWidth="1"/>
    <col min="8963" max="8963" width="21.875" style="16" customWidth="1"/>
    <col min="8964" max="8964" width="18.375" style="16" customWidth="1"/>
    <col min="8965" max="8965" width="15.875" style="16" customWidth="1"/>
    <col min="8966" max="8966" width="12.25" style="16" customWidth="1"/>
    <col min="8967" max="8967" width="14.875" style="16" customWidth="1"/>
    <col min="8968" max="8968" width="9" style="16"/>
    <col min="8969" max="8969" width="18.25" style="16" customWidth="1"/>
    <col min="8970" max="9216" width="9" style="16"/>
    <col min="9217" max="9217" width="2.625" style="16" customWidth="1"/>
    <col min="9218" max="9218" width="23.375" style="16" customWidth="1"/>
    <col min="9219" max="9219" width="21.875" style="16" customWidth="1"/>
    <col min="9220" max="9220" width="18.375" style="16" customWidth="1"/>
    <col min="9221" max="9221" width="15.875" style="16" customWidth="1"/>
    <col min="9222" max="9222" width="12.25" style="16" customWidth="1"/>
    <col min="9223" max="9223" width="14.875" style="16" customWidth="1"/>
    <col min="9224" max="9224" width="9" style="16"/>
    <col min="9225" max="9225" width="18.25" style="16" customWidth="1"/>
    <col min="9226" max="9472" width="9" style="16"/>
    <col min="9473" max="9473" width="2.625" style="16" customWidth="1"/>
    <col min="9474" max="9474" width="23.375" style="16" customWidth="1"/>
    <col min="9475" max="9475" width="21.875" style="16" customWidth="1"/>
    <col min="9476" max="9476" width="18.375" style="16" customWidth="1"/>
    <col min="9477" max="9477" width="15.875" style="16" customWidth="1"/>
    <col min="9478" max="9478" width="12.25" style="16" customWidth="1"/>
    <col min="9479" max="9479" width="14.875" style="16" customWidth="1"/>
    <col min="9480" max="9480" width="9" style="16"/>
    <col min="9481" max="9481" width="18.25" style="16" customWidth="1"/>
    <col min="9482" max="9728" width="9" style="16"/>
    <col min="9729" max="9729" width="2.625" style="16" customWidth="1"/>
    <col min="9730" max="9730" width="23.375" style="16" customWidth="1"/>
    <col min="9731" max="9731" width="21.875" style="16" customWidth="1"/>
    <col min="9732" max="9732" width="18.375" style="16" customWidth="1"/>
    <col min="9733" max="9733" width="15.875" style="16" customWidth="1"/>
    <col min="9734" max="9734" width="12.25" style="16" customWidth="1"/>
    <col min="9735" max="9735" width="14.875" style="16" customWidth="1"/>
    <col min="9736" max="9736" width="9" style="16"/>
    <col min="9737" max="9737" width="18.25" style="16" customWidth="1"/>
    <col min="9738" max="9984" width="9" style="16"/>
    <col min="9985" max="9985" width="2.625" style="16" customWidth="1"/>
    <col min="9986" max="9986" width="23.375" style="16" customWidth="1"/>
    <col min="9987" max="9987" width="21.875" style="16" customWidth="1"/>
    <col min="9988" max="9988" width="18.375" style="16" customWidth="1"/>
    <col min="9989" max="9989" width="15.875" style="16" customWidth="1"/>
    <col min="9990" max="9990" width="12.25" style="16" customWidth="1"/>
    <col min="9991" max="9991" width="14.875" style="16" customWidth="1"/>
    <col min="9992" max="9992" width="9" style="16"/>
    <col min="9993" max="9993" width="18.25" style="16" customWidth="1"/>
    <col min="9994" max="10240" width="9" style="16"/>
    <col min="10241" max="10241" width="2.625" style="16" customWidth="1"/>
    <col min="10242" max="10242" width="23.375" style="16" customWidth="1"/>
    <col min="10243" max="10243" width="21.875" style="16" customWidth="1"/>
    <col min="10244" max="10244" width="18.375" style="16" customWidth="1"/>
    <col min="10245" max="10245" width="15.875" style="16" customWidth="1"/>
    <col min="10246" max="10246" width="12.25" style="16" customWidth="1"/>
    <col min="10247" max="10247" width="14.875" style="16" customWidth="1"/>
    <col min="10248" max="10248" width="9" style="16"/>
    <col min="10249" max="10249" width="18.25" style="16" customWidth="1"/>
    <col min="10250" max="10496" width="9" style="16"/>
    <col min="10497" max="10497" width="2.625" style="16" customWidth="1"/>
    <col min="10498" max="10498" width="23.375" style="16" customWidth="1"/>
    <col min="10499" max="10499" width="21.875" style="16" customWidth="1"/>
    <col min="10500" max="10500" width="18.375" style="16" customWidth="1"/>
    <col min="10501" max="10501" width="15.875" style="16" customWidth="1"/>
    <col min="10502" max="10502" width="12.25" style="16" customWidth="1"/>
    <col min="10503" max="10503" width="14.875" style="16" customWidth="1"/>
    <col min="10504" max="10504" width="9" style="16"/>
    <col min="10505" max="10505" width="18.25" style="16" customWidth="1"/>
    <col min="10506" max="10752" width="9" style="16"/>
    <col min="10753" max="10753" width="2.625" style="16" customWidth="1"/>
    <col min="10754" max="10754" width="23.375" style="16" customWidth="1"/>
    <col min="10755" max="10755" width="21.875" style="16" customWidth="1"/>
    <col min="10756" max="10756" width="18.375" style="16" customWidth="1"/>
    <col min="10757" max="10757" width="15.875" style="16" customWidth="1"/>
    <col min="10758" max="10758" width="12.25" style="16" customWidth="1"/>
    <col min="10759" max="10759" width="14.875" style="16" customWidth="1"/>
    <col min="10760" max="10760" width="9" style="16"/>
    <col min="10761" max="10761" width="18.25" style="16" customWidth="1"/>
    <col min="10762" max="11008" width="9" style="16"/>
    <col min="11009" max="11009" width="2.625" style="16" customWidth="1"/>
    <col min="11010" max="11010" width="23.375" style="16" customWidth="1"/>
    <col min="11011" max="11011" width="21.875" style="16" customWidth="1"/>
    <col min="11012" max="11012" width="18.375" style="16" customWidth="1"/>
    <col min="11013" max="11013" width="15.875" style="16" customWidth="1"/>
    <col min="11014" max="11014" width="12.25" style="16" customWidth="1"/>
    <col min="11015" max="11015" width="14.875" style="16" customWidth="1"/>
    <col min="11016" max="11016" width="9" style="16"/>
    <col min="11017" max="11017" width="18.25" style="16" customWidth="1"/>
    <col min="11018" max="11264" width="9" style="16"/>
    <col min="11265" max="11265" width="2.625" style="16" customWidth="1"/>
    <col min="11266" max="11266" width="23.375" style="16" customWidth="1"/>
    <col min="11267" max="11267" width="21.875" style="16" customWidth="1"/>
    <col min="11268" max="11268" width="18.375" style="16" customWidth="1"/>
    <col min="11269" max="11269" width="15.875" style="16" customWidth="1"/>
    <col min="11270" max="11270" width="12.25" style="16" customWidth="1"/>
    <col min="11271" max="11271" width="14.875" style="16" customWidth="1"/>
    <col min="11272" max="11272" width="9" style="16"/>
    <col min="11273" max="11273" width="18.25" style="16" customWidth="1"/>
    <col min="11274" max="11520" width="9" style="16"/>
    <col min="11521" max="11521" width="2.625" style="16" customWidth="1"/>
    <col min="11522" max="11522" width="23.375" style="16" customWidth="1"/>
    <col min="11523" max="11523" width="21.875" style="16" customWidth="1"/>
    <col min="11524" max="11524" width="18.375" style="16" customWidth="1"/>
    <col min="11525" max="11525" width="15.875" style="16" customWidth="1"/>
    <col min="11526" max="11526" width="12.25" style="16" customWidth="1"/>
    <col min="11527" max="11527" width="14.875" style="16" customWidth="1"/>
    <col min="11528" max="11528" width="9" style="16"/>
    <col min="11529" max="11529" width="18.25" style="16" customWidth="1"/>
    <col min="11530" max="11776" width="9" style="16"/>
    <col min="11777" max="11777" width="2.625" style="16" customWidth="1"/>
    <col min="11778" max="11778" width="23.375" style="16" customWidth="1"/>
    <col min="11779" max="11779" width="21.875" style="16" customWidth="1"/>
    <col min="11780" max="11780" width="18.375" style="16" customWidth="1"/>
    <col min="11781" max="11781" width="15.875" style="16" customWidth="1"/>
    <col min="11782" max="11782" width="12.25" style="16" customWidth="1"/>
    <col min="11783" max="11783" width="14.875" style="16" customWidth="1"/>
    <col min="11784" max="11784" width="9" style="16"/>
    <col min="11785" max="11785" width="18.25" style="16" customWidth="1"/>
    <col min="11786" max="12032" width="9" style="16"/>
    <col min="12033" max="12033" width="2.625" style="16" customWidth="1"/>
    <col min="12034" max="12034" width="23.375" style="16" customWidth="1"/>
    <col min="12035" max="12035" width="21.875" style="16" customWidth="1"/>
    <col min="12036" max="12036" width="18.375" style="16" customWidth="1"/>
    <col min="12037" max="12037" width="15.875" style="16" customWidth="1"/>
    <col min="12038" max="12038" width="12.25" style="16" customWidth="1"/>
    <col min="12039" max="12039" width="14.875" style="16" customWidth="1"/>
    <col min="12040" max="12040" width="9" style="16"/>
    <col min="12041" max="12041" width="18.25" style="16" customWidth="1"/>
    <col min="12042" max="12288" width="9" style="16"/>
    <col min="12289" max="12289" width="2.625" style="16" customWidth="1"/>
    <col min="12290" max="12290" width="23.375" style="16" customWidth="1"/>
    <col min="12291" max="12291" width="21.875" style="16" customWidth="1"/>
    <col min="12292" max="12292" width="18.375" style="16" customWidth="1"/>
    <col min="12293" max="12293" width="15.875" style="16" customWidth="1"/>
    <col min="12294" max="12294" width="12.25" style="16" customWidth="1"/>
    <col min="12295" max="12295" width="14.875" style="16" customWidth="1"/>
    <col min="12296" max="12296" width="9" style="16"/>
    <col min="12297" max="12297" width="18.25" style="16" customWidth="1"/>
    <col min="12298" max="12544" width="9" style="16"/>
    <col min="12545" max="12545" width="2.625" style="16" customWidth="1"/>
    <col min="12546" max="12546" width="23.375" style="16" customWidth="1"/>
    <col min="12547" max="12547" width="21.875" style="16" customWidth="1"/>
    <col min="12548" max="12548" width="18.375" style="16" customWidth="1"/>
    <col min="12549" max="12549" width="15.875" style="16" customWidth="1"/>
    <col min="12550" max="12550" width="12.25" style="16" customWidth="1"/>
    <col min="12551" max="12551" width="14.875" style="16" customWidth="1"/>
    <col min="12552" max="12552" width="9" style="16"/>
    <col min="12553" max="12553" width="18.25" style="16" customWidth="1"/>
    <col min="12554" max="12800" width="9" style="16"/>
    <col min="12801" max="12801" width="2.625" style="16" customWidth="1"/>
    <col min="12802" max="12802" width="23.375" style="16" customWidth="1"/>
    <col min="12803" max="12803" width="21.875" style="16" customWidth="1"/>
    <col min="12804" max="12804" width="18.375" style="16" customWidth="1"/>
    <col min="12805" max="12805" width="15.875" style="16" customWidth="1"/>
    <col min="12806" max="12806" width="12.25" style="16" customWidth="1"/>
    <col min="12807" max="12807" width="14.875" style="16" customWidth="1"/>
    <col min="12808" max="12808" width="9" style="16"/>
    <col min="12809" max="12809" width="18.25" style="16" customWidth="1"/>
    <col min="12810" max="13056" width="9" style="16"/>
    <col min="13057" max="13057" width="2.625" style="16" customWidth="1"/>
    <col min="13058" max="13058" width="23.375" style="16" customWidth="1"/>
    <col min="13059" max="13059" width="21.875" style="16" customWidth="1"/>
    <col min="13060" max="13060" width="18.375" style="16" customWidth="1"/>
    <col min="13061" max="13061" width="15.875" style="16" customWidth="1"/>
    <col min="13062" max="13062" width="12.25" style="16" customWidth="1"/>
    <col min="13063" max="13063" width="14.875" style="16" customWidth="1"/>
    <col min="13064" max="13064" width="9" style="16"/>
    <col min="13065" max="13065" width="18.25" style="16" customWidth="1"/>
    <col min="13066" max="13312" width="9" style="16"/>
    <col min="13313" max="13313" width="2.625" style="16" customWidth="1"/>
    <col min="13314" max="13314" width="23.375" style="16" customWidth="1"/>
    <col min="13315" max="13315" width="21.875" style="16" customWidth="1"/>
    <col min="13316" max="13316" width="18.375" style="16" customWidth="1"/>
    <col min="13317" max="13317" width="15.875" style="16" customWidth="1"/>
    <col min="13318" max="13318" width="12.25" style="16" customWidth="1"/>
    <col min="13319" max="13319" width="14.875" style="16" customWidth="1"/>
    <col min="13320" max="13320" width="9" style="16"/>
    <col min="13321" max="13321" width="18.25" style="16" customWidth="1"/>
    <col min="13322" max="13568" width="9" style="16"/>
    <col min="13569" max="13569" width="2.625" style="16" customWidth="1"/>
    <col min="13570" max="13570" width="23.375" style="16" customWidth="1"/>
    <col min="13571" max="13571" width="21.875" style="16" customWidth="1"/>
    <col min="13572" max="13572" width="18.375" style="16" customWidth="1"/>
    <col min="13573" max="13573" width="15.875" style="16" customWidth="1"/>
    <col min="13574" max="13574" width="12.25" style="16" customWidth="1"/>
    <col min="13575" max="13575" width="14.875" style="16" customWidth="1"/>
    <col min="13576" max="13576" width="9" style="16"/>
    <col min="13577" max="13577" width="18.25" style="16" customWidth="1"/>
    <col min="13578" max="13824" width="9" style="16"/>
    <col min="13825" max="13825" width="2.625" style="16" customWidth="1"/>
    <col min="13826" max="13826" width="23.375" style="16" customWidth="1"/>
    <col min="13827" max="13827" width="21.875" style="16" customWidth="1"/>
    <col min="13828" max="13828" width="18.375" style="16" customWidth="1"/>
    <col min="13829" max="13829" width="15.875" style="16" customWidth="1"/>
    <col min="13830" max="13830" width="12.25" style="16" customWidth="1"/>
    <col min="13831" max="13831" width="14.875" style="16" customWidth="1"/>
    <col min="13832" max="13832" width="9" style="16"/>
    <col min="13833" max="13833" width="18.25" style="16" customWidth="1"/>
    <col min="13834" max="14080" width="9" style="16"/>
    <col min="14081" max="14081" width="2.625" style="16" customWidth="1"/>
    <col min="14082" max="14082" width="23.375" style="16" customWidth="1"/>
    <col min="14083" max="14083" width="21.875" style="16" customWidth="1"/>
    <col min="14084" max="14084" width="18.375" style="16" customWidth="1"/>
    <col min="14085" max="14085" width="15.875" style="16" customWidth="1"/>
    <col min="14086" max="14086" width="12.25" style="16" customWidth="1"/>
    <col min="14087" max="14087" width="14.875" style="16" customWidth="1"/>
    <col min="14088" max="14088" width="9" style="16"/>
    <col min="14089" max="14089" width="18.25" style="16" customWidth="1"/>
    <col min="14090" max="14336" width="9" style="16"/>
    <col min="14337" max="14337" width="2.625" style="16" customWidth="1"/>
    <col min="14338" max="14338" width="23.375" style="16" customWidth="1"/>
    <col min="14339" max="14339" width="21.875" style="16" customWidth="1"/>
    <col min="14340" max="14340" width="18.375" style="16" customWidth="1"/>
    <col min="14341" max="14341" width="15.875" style="16" customWidth="1"/>
    <col min="14342" max="14342" width="12.25" style="16" customWidth="1"/>
    <col min="14343" max="14343" width="14.875" style="16" customWidth="1"/>
    <col min="14344" max="14344" width="9" style="16"/>
    <col min="14345" max="14345" width="18.25" style="16" customWidth="1"/>
    <col min="14346" max="14592" width="9" style="16"/>
    <col min="14593" max="14593" width="2.625" style="16" customWidth="1"/>
    <col min="14594" max="14594" width="23.375" style="16" customWidth="1"/>
    <col min="14595" max="14595" width="21.875" style="16" customWidth="1"/>
    <col min="14596" max="14596" width="18.375" style="16" customWidth="1"/>
    <col min="14597" max="14597" width="15.875" style="16" customWidth="1"/>
    <col min="14598" max="14598" width="12.25" style="16" customWidth="1"/>
    <col min="14599" max="14599" width="14.875" style="16" customWidth="1"/>
    <col min="14600" max="14600" width="9" style="16"/>
    <col min="14601" max="14601" width="18.25" style="16" customWidth="1"/>
    <col min="14602" max="14848" width="9" style="16"/>
    <col min="14849" max="14849" width="2.625" style="16" customWidth="1"/>
    <col min="14850" max="14850" width="23.375" style="16" customWidth="1"/>
    <col min="14851" max="14851" width="21.875" style="16" customWidth="1"/>
    <col min="14852" max="14852" width="18.375" style="16" customWidth="1"/>
    <col min="14853" max="14853" width="15.875" style="16" customWidth="1"/>
    <col min="14854" max="14854" width="12.25" style="16" customWidth="1"/>
    <col min="14855" max="14855" width="14.875" style="16" customWidth="1"/>
    <col min="14856" max="14856" width="9" style="16"/>
    <col min="14857" max="14857" width="18.25" style="16" customWidth="1"/>
    <col min="14858" max="15104" width="9" style="16"/>
    <col min="15105" max="15105" width="2.625" style="16" customWidth="1"/>
    <col min="15106" max="15106" width="23.375" style="16" customWidth="1"/>
    <col min="15107" max="15107" width="21.875" style="16" customWidth="1"/>
    <col min="15108" max="15108" width="18.375" style="16" customWidth="1"/>
    <col min="15109" max="15109" width="15.875" style="16" customWidth="1"/>
    <col min="15110" max="15110" width="12.25" style="16" customWidth="1"/>
    <col min="15111" max="15111" width="14.875" style="16" customWidth="1"/>
    <col min="15112" max="15112" width="9" style="16"/>
    <col min="15113" max="15113" width="18.25" style="16" customWidth="1"/>
    <col min="15114" max="15360" width="9" style="16"/>
    <col min="15361" max="15361" width="2.625" style="16" customWidth="1"/>
    <col min="15362" max="15362" width="23.375" style="16" customWidth="1"/>
    <col min="15363" max="15363" width="21.875" style="16" customWidth="1"/>
    <col min="15364" max="15364" width="18.375" style="16" customWidth="1"/>
    <col min="15365" max="15365" width="15.875" style="16" customWidth="1"/>
    <col min="15366" max="15366" width="12.25" style="16" customWidth="1"/>
    <col min="15367" max="15367" width="14.875" style="16" customWidth="1"/>
    <col min="15368" max="15368" width="9" style="16"/>
    <col min="15369" max="15369" width="18.25" style="16" customWidth="1"/>
    <col min="15370" max="15616" width="9" style="16"/>
    <col min="15617" max="15617" width="2.625" style="16" customWidth="1"/>
    <col min="15618" max="15618" width="23.375" style="16" customWidth="1"/>
    <col min="15619" max="15619" width="21.875" style="16" customWidth="1"/>
    <col min="15620" max="15620" width="18.375" style="16" customWidth="1"/>
    <col min="15621" max="15621" width="15.875" style="16" customWidth="1"/>
    <col min="15622" max="15622" width="12.25" style="16" customWidth="1"/>
    <col min="15623" max="15623" width="14.875" style="16" customWidth="1"/>
    <col min="15624" max="15624" width="9" style="16"/>
    <col min="15625" max="15625" width="18.25" style="16" customWidth="1"/>
    <col min="15626" max="15872" width="9" style="16"/>
    <col min="15873" max="15873" width="2.625" style="16" customWidth="1"/>
    <col min="15874" max="15874" width="23.375" style="16" customWidth="1"/>
    <col min="15875" max="15875" width="21.875" style="16" customWidth="1"/>
    <col min="15876" max="15876" width="18.375" style="16" customWidth="1"/>
    <col min="15877" max="15877" width="15.875" style="16" customWidth="1"/>
    <col min="15878" max="15878" width="12.25" style="16" customWidth="1"/>
    <col min="15879" max="15879" width="14.875" style="16" customWidth="1"/>
    <col min="15880" max="15880" width="9" style="16"/>
    <col min="15881" max="15881" width="18.25" style="16" customWidth="1"/>
    <col min="15882" max="16128" width="9" style="16"/>
    <col min="16129" max="16129" width="2.625" style="16" customWidth="1"/>
    <col min="16130" max="16130" width="23.375" style="16" customWidth="1"/>
    <col min="16131" max="16131" width="21.875" style="16" customWidth="1"/>
    <col min="16132" max="16132" width="18.375" style="16" customWidth="1"/>
    <col min="16133" max="16133" width="15.875" style="16" customWidth="1"/>
    <col min="16134" max="16134" width="12.25" style="16" customWidth="1"/>
    <col min="16135" max="16135" width="14.875" style="16" customWidth="1"/>
    <col min="16136" max="16136" width="9" style="16"/>
    <col min="16137" max="16137" width="18.25" style="16" customWidth="1"/>
    <col min="16138" max="16384" width="9" style="16"/>
  </cols>
  <sheetData>
    <row r="1" spans="1:11" ht="21" customHeight="1">
      <c r="B1" s="17" t="s">
        <v>21</v>
      </c>
    </row>
    <row r="2" spans="1:11" ht="20.25" customHeight="1" thickBot="1">
      <c r="C2" s="18"/>
      <c r="D2" s="18"/>
      <c r="E2" s="18"/>
      <c r="F2" s="18"/>
      <c r="G2" s="18"/>
      <c r="H2" s="18"/>
      <c r="I2" s="18"/>
    </row>
    <row r="3" spans="1:11" ht="32.450000000000003" customHeight="1">
      <c r="B3" s="23" t="s">
        <v>70</v>
      </c>
      <c r="C3" s="394" t="str">
        <f>Summary!A2</f>
        <v>HW356009-P1</v>
      </c>
      <c r="D3" s="394" t="s">
        <v>168</v>
      </c>
      <c r="E3" s="394" t="s">
        <v>168</v>
      </c>
      <c r="F3" s="394" t="s">
        <v>168</v>
      </c>
      <c r="G3" s="394" t="s">
        <v>168</v>
      </c>
      <c r="H3" s="394" t="s">
        <v>168</v>
      </c>
      <c r="I3" s="395" t="s">
        <v>168</v>
      </c>
    </row>
    <row r="4" spans="1:11" ht="37.5" customHeight="1">
      <c r="B4" s="36" t="s">
        <v>22</v>
      </c>
      <c r="C4" s="396" t="s">
        <v>91</v>
      </c>
      <c r="D4" s="396"/>
      <c r="E4" s="250"/>
      <c r="F4" s="250"/>
      <c r="G4" s="250"/>
      <c r="H4" s="250"/>
      <c r="I4" s="251"/>
    </row>
    <row r="5" spans="1:11" ht="51" customHeight="1">
      <c r="B5" s="36" t="s">
        <v>20</v>
      </c>
      <c r="C5" s="397" t="s">
        <v>240</v>
      </c>
      <c r="D5" s="397"/>
      <c r="E5" s="397"/>
      <c r="F5" s="397"/>
      <c r="G5" s="397"/>
      <c r="H5" s="397"/>
      <c r="I5" s="398"/>
    </row>
    <row r="6" spans="1:11" ht="24.75" customHeight="1">
      <c r="B6" s="36" t="s">
        <v>23</v>
      </c>
      <c r="C6" s="197">
        <v>1</v>
      </c>
      <c r="D6" s="253" t="s">
        <v>181</v>
      </c>
      <c r="E6" s="253"/>
      <c r="F6" s="253"/>
      <c r="G6" s="253"/>
      <c r="H6" s="253"/>
      <c r="I6" s="254"/>
    </row>
    <row r="7" spans="1:11" ht="24.75" customHeight="1">
      <c r="B7" s="36" t="s">
        <v>24</v>
      </c>
      <c r="C7" s="405" t="s">
        <v>71</v>
      </c>
      <c r="D7" s="405"/>
      <c r="E7" s="405"/>
      <c r="F7" s="405"/>
      <c r="G7" s="405"/>
      <c r="H7" s="405"/>
      <c r="I7" s="406"/>
    </row>
    <row r="8" spans="1:11" ht="31.5" customHeight="1" thickBot="1">
      <c r="B8" s="37" t="s">
        <v>25</v>
      </c>
      <c r="C8" s="407" t="s">
        <v>26</v>
      </c>
      <c r="D8" s="407"/>
      <c r="E8" s="407"/>
      <c r="F8" s="407"/>
      <c r="G8" s="407"/>
      <c r="H8" s="407"/>
      <c r="I8" s="408"/>
    </row>
    <row r="9" spans="1:11" ht="15" customHeight="1"/>
    <row r="10" spans="1:11" s="255" customFormat="1" ht="16.5" thickBot="1">
      <c r="A10" s="45"/>
      <c r="B10" s="164" t="s">
        <v>6</v>
      </c>
      <c r="C10" s="165"/>
      <c r="D10" s="165"/>
      <c r="E10" s="165"/>
      <c r="F10" s="165"/>
      <c r="G10" s="165"/>
      <c r="H10" s="38"/>
      <c r="I10" s="38"/>
      <c r="J10" s="38"/>
    </row>
    <row r="11" spans="1:11" s="255" customFormat="1" ht="32.25" customHeight="1">
      <c r="A11" s="38"/>
      <c r="B11" s="222" t="s">
        <v>7</v>
      </c>
      <c r="C11" s="262" t="s">
        <v>227</v>
      </c>
      <c r="D11" s="282"/>
      <c r="E11" s="223"/>
      <c r="F11" s="223"/>
      <c r="G11" s="222"/>
      <c r="H11" s="38"/>
      <c r="I11" s="38"/>
      <c r="J11" s="38"/>
    </row>
    <row r="12" spans="1:11" s="255" customFormat="1" ht="30.75" customHeight="1">
      <c r="A12" s="38"/>
      <c r="B12" s="224" t="s">
        <v>63</v>
      </c>
      <c r="C12" s="312" t="s">
        <v>245</v>
      </c>
      <c r="D12" s="323" t="s">
        <v>255</v>
      </c>
      <c r="E12" s="225"/>
      <c r="F12" s="225"/>
      <c r="G12" s="224"/>
      <c r="H12" s="40"/>
      <c r="I12" s="38"/>
      <c r="J12" s="38"/>
    </row>
    <row r="13" spans="1:11" s="255" customFormat="1">
      <c r="A13" s="38"/>
      <c r="B13" s="226" t="s">
        <v>64</v>
      </c>
      <c r="C13" s="38" t="s">
        <v>238</v>
      </c>
      <c r="D13" s="38" t="s">
        <v>8</v>
      </c>
      <c r="E13" s="38"/>
      <c r="F13" s="38"/>
      <c r="G13" s="226"/>
      <c r="H13" s="38"/>
      <c r="I13" s="38"/>
      <c r="J13" s="38"/>
    </row>
    <row r="14" spans="1:11" s="255" customFormat="1">
      <c r="A14" s="38"/>
      <c r="B14" s="226"/>
      <c r="C14" s="38" t="s">
        <v>12</v>
      </c>
      <c r="D14" s="275" t="s">
        <v>225</v>
      </c>
      <c r="E14" s="44"/>
      <c r="F14" s="38"/>
      <c r="G14" s="226"/>
      <c r="H14" s="38"/>
      <c r="I14" s="38"/>
      <c r="J14" s="38"/>
    </row>
    <row r="15" spans="1:11" s="255" customFormat="1">
      <c r="A15" s="38"/>
      <c r="B15" s="226"/>
      <c r="C15" s="38" t="s">
        <v>17</v>
      </c>
      <c r="D15" s="246">
        <v>20</v>
      </c>
      <c r="E15" s="38" t="s">
        <v>9</v>
      </c>
      <c r="F15" s="38"/>
      <c r="G15" s="38"/>
      <c r="K15" s="38"/>
    </row>
    <row r="16" spans="1:11" s="255" customFormat="1">
      <c r="A16" s="38"/>
      <c r="B16" s="227"/>
      <c r="C16" s="38" t="s">
        <v>127</v>
      </c>
      <c r="D16" s="246">
        <v>50</v>
      </c>
      <c r="E16" s="38" t="s">
        <v>9</v>
      </c>
      <c r="F16" s="38"/>
      <c r="G16" s="38"/>
      <c r="K16" s="38"/>
    </row>
    <row r="17" spans="1:12" s="255" customFormat="1">
      <c r="A17" s="38"/>
      <c r="B17" s="227"/>
      <c r="C17" s="38" t="s">
        <v>128</v>
      </c>
      <c r="D17" s="246">
        <v>50</v>
      </c>
      <c r="E17" s="38" t="s">
        <v>9</v>
      </c>
      <c r="F17" s="38"/>
      <c r="G17" s="38"/>
      <c r="K17" s="44"/>
    </row>
    <row r="18" spans="1:12" s="255" customFormat="1">
      <c r="A18" s="38"/>
      <c r="B18" s="228"/>
      <c r="C18" s="38" t="s">
        <v>27</v>
      </c>
      <c r="D18" s="246">
        <v>5500</v>
      </c>
      <c r="E18" s="38" t="s">
        <v>10</v>
      </c>
      <c r="F18" s="38"/>
      <c r="G18" s="38"/>
      <c r="K18" s="38"/>
    </row>
    <row r="19" spans="1:12" s="255" customFormat="1">
      <c r="A19" s="38"/>
      <c r="B19" s="227"/>
      <c r="C19" s="38" t="s">
        <v>18</v>
      </c>
      <c r="D19" s="246">
        <v>500</v>
      </c>
      <c r="E19" s="38" t="s">
        <v>11</v>
      </c>
      <c r="F19" s="263"/>
      <c r="G19" s="263"/>
      <c r="K19" s="38"/>
    </row>
    <row r="20" spans="1:12" s="255" customFormat="1" ht="16.5" thickBot="1">
      <c r="A20" s="38"/>
      <c r="B20" s="229"/>
      <c r="C20" s="230" t="s">
        <v>19</v>
      </c>
      <c r="D20" s="310">
        <v>10</v>
      </c>
      <c r="E20" s="230" t="s">
        <v>10</v>
      </c>
      <c r="F20" s="230"/>
      <c r="G20" s="264"/>
      <c r="H20" s="256"/>
      <c r="I20" s="40"/>
      <c r="J20" s="59"/>
      <c r="K20" s="40"/>
    </row>
    <row r="21" spans="1:12" s="255" customFormat="1">
      <c r="A21" s="38"/>
      <c r="B21" s="231" t="s">
        <v>65</v>
      </c>
      <c r="C21" s="409" t="s">
        <v>247</v>
      </c>
      <c r="D21" s="409"/>
      <c r="E21" s="231" t="s">
        <v>61</v>
      </c>
      <c r="F21" s="231" t="s">
        <v>62</v>
      </c>
      <c r="G21" s="231" t="s">
        <v>66</v>
      </c>
      <c r="H21" s="256"/>
      <c r="I21" s="40"/>
      <c r="J21" s="213"/>
      <c r="K21" s="213"/>
    </row>
    <row r="22" spans="1:12" s="255" customFormat="1" ht="16.899999999999999" customHeight="1">
      <c r="A22" s="38"/>
      <c r="B22" s="247" t="str">
        <f>Summary!A2</f>
        <v>HW356009-P1</v>
      </c>
      <c r="C22" s="410" t="s">
        <v>256</v>
      </c>
      <c r="D22" s="410"/>
      <c r="E22" s="59">
        <v>65</v>
      </c>
      <c r="F22" s="59">
        <v>41</v>
      </c>
      <c r="G22" s="246">
        <v>15</v>
      </c>
      <c r="H22" s="38"/>
      <c r="I22" s="213"/>
      <c r="J22" s="213"/>
      <c r="K22" s="213"/>
    </row>
    <row r="23" spans="1:12" s="255" customFormat="1" ht="16.5" thickBot="1">
      <c r="A23" s="38"/>
      <c r="B23" s="267" t="str">
        <f>CONCATENATE("IS (",D12,")")</f>
        <v>IS (Glibenclamide)</v>
      </c>
      <c r="C23" s="411" t="s">
        <v>257</v>
      </c>
      <c r="D23" s="411"/>
      <c r="E23" s="272">
        <v>90</v>
      </c>
      <c r="F23" s="272">
        <v>40</v>
      </c>
      <c r="G23" s="274">
        <v>15</v>
      </c>
      <c r="H23" s="38"/>
      <c r="I23" s="213"/>
      <c r="J23" s="213"/>
      <c r="K23" s="213"/>
    </row>
    <row r="24" spans="1:12" s="255" customFormat="1" ht="16.5" thickBot="1">
      <c r="A24" s="38"/>
      <c r="B24" s="162"/>
      <c r="C24" s="43"/>
      <c r="D24" s="43"/>
      <c r="E24" s="41"/>
      <c r="F24" s="41"/>
      <c r="G24" s="260"/>
      <c r="H24" s="38"/>
    </row>
    <row r="25" spans="1:12" s="255" customFormat="1">
      <c r="A25" s="38"/>
      <c r="B25" s="153" t="s">
        <v>67</v>
      </c>
      <c r="C25" s="248" t="s">
        <v>226</v>
      </c>
      <c r="D25" s="248"/>
      <c r="E25" s="248"/>
      <c r="F25" s="248"/>
      <c r="G25" s="257"/>
      <c r="H25" s="257"/>
      <c r="I25" s="257"/>
      <c r="J25" s="257"/>
      <c r="K25" s="256"/>
      <c r="L25" s="256"/>
    </row>
    <row r="26" spans="1:12" s="255" customFormat="1" ht="18.75">
      <c r="A26" s="38"/>
      <c r="B26" s="215"/>
      <c r="C26" s="40" t="s">
        <v>191</v>
      </c>
      <c r="D26" s="40"/>
      <c r="E26" s="213"/>
      <c r="F26" s="213"/>
      <c r="G26" s="256"/>
      <c r="H26" s="256"/>
      <c r="I26" s="256"/>
      <c r="J26" s="256"/>
      <c r="K26" s="256"/>
      <c r="L26" s="256"/>
    </row>
    <row r="27" spans="1:12" s="255" customFormat="1">
      <c r="A27" s="38"/>
      <c r="B27" s="216"/>
      <c r="C27" s="214" t="s">
        <v>192</v>
      </c>
      <c r="D27" s="265"/>
      <c r="E27" s="40"/>
      <c r="F27" s="230"/>
      <c r="G27" s="257"/>
      <c r="H27" s="257"/>
      <c r="I27" s="257"/>
      <c r="J27" s="257"/>
      <c r="K27" s="256"/>
      <c r="L27" s="256"/>
    </row>
    <row r="28" spans="1:12" s="255" customFormat="1">
      <c r="A28" s="38"/>
      <c r="B28" s="211" t="s">
        <v>13</v>
      </c>
      <c r="C28" s="217" t="s">
        <v>14</v>
      </c>
      <c r="D28" s="217" t="s">
        <v>239</v>
      </c>
      <c r="E28" s="218"/>
      <c r="F28" s="40"/>
      <c r="G28" s="252"/>
      <c r="H28" s="217"/>
      <c r="I28" s="217"/>
      <c r="J28" s="215"/>
      <c r="K28" s="40"/>
      <c r="L28" s="256"/>
    </row>
    <row r="29" spans="1:12" s="255" customFormat="1">
      <c r="A29" s="38"/>
      <c r="B29" s="258"/>
      <c r="C29" s="61" t="s">
        <v>15</v>
      </c>
      <c r="D29" s="61" t="s">
        <v>16</v>
      </c>
      <c r="E29" s="61"/>
      <c r="F29" s="61"/>
      <c r="G29" s="258"/>
      <c r="H29" s="61"/>
      <c r="I29" s="61"/>
      <c r="J29" s="61"/>
      <c r="K29" s="61"/>
      <c r="L29" s="256"/>
    </row>
    <row r="30" spans="1:12" s="255" customFormat="1">
      <c r="A30" s="38"/>
      <c r="B30" s="258"/>
      <c r="C30" s="42">
        <v>0.5</v>
      </c>
      <c r="D30" s="41">
        <v>10</v>
      </c>
      <c r="E30" s="219"/>
      <c r="F30" s="59"/>
      <c r="G30" s="258"/>
      <c r="H30" s="219"/>
      <c r="I30" s="59"/>
      <c r="J30" s="219"/>
      <c r="K30" s="59"/>
      <c r="L30" s="256"/>
    </row>
    <row r="31" spans="1:12" s="255" customFormat="1">
      <c r="A31" s="38"/>
      <c r="B31" s="258"/>
      <c r="C31" s="42">
        <v>1</v>
      </c>
      <c r="D31" s="41">
        <v>95</v>
      </c>
      <c r="E31" s="219"/>
      <c r="F31" s="59"/>
      <c r="G31" s="258"/>
      <c r="H31" s="219"/>
      <c r="I31" s="59"/>
      <c r="J31" s="219"/>
      <c r="K31" s="59"/>
      <c r="L31" s="256"/>
    </row>
    <row r="32" spans="1:12" s="255" customFormat="1">
      <c r="A32" s="38"/>
      <c r="B32" s="213"/>
      <c r="C32" s="42">
        <v>1.8</v>
      </c>
      <c r="D32" s="41">
        <v>95</v>
      </c>
      <c r="E32" s="219"/>
      <c r="F32" s="59"/>
      <c r="G32" s="213"/>
      <c r="H32" s="219"/>
      <c r="I32" s="59"/>
      <c r="J32" s="219"/>
      <c r="K32" s="59"/>
      <c r="L32" s="256"/>
    </row>
    <row r="33" spans="1:12" s="255" customFormat="1">
      <c r="A33" s="38"/>
      <c r="B33" s="213"/>
      <c r="C33" s="42">
        <v>1.81</v>
      </c>
      <c r="D33" s="41">
        <v>10</v>
      </c>
      <c r="E33" s="219"/>
      <c r="F33" s="59"/>
      <c r="G33" s="213"/>
      <c r="H33" s="219"/>
      <c r="I33" s="59"/>
      <c r="J33" s="219"/>
      <c r="K33" s="59"/>
      <c r="L33" s="256"/>
    </row>
    <row r="34" spans="1:12" s="255" customFormat="1" ht="16.5" thickBot="1">
      <c r="A34" s="38"/>
      <c r="B34" s="259"/>
      <c r="C34" s="220">
        <v>3</v>
      </c>
      <c r="D34" s="266" t="s">
        <v>68</v>
      </c>
      <c r="E34" s="220"/>
      <c r="F34" s="221"/>
      <c r="G34" s="259"/>
      <c r="H34" s="219"/>
      <c r="I34" s="232"/>
      <c r="J34" s="219"/>
      <c r="K34" s="232"/>
      <c r="L34" s="256"/>
    </row>
    <row r="35" spans="1:12" s="255" customFormat="1">
      <c r="A35" s="38"/>
      <c r="B35" s="213"/>
      <c r="C35" s="219"/>
      <c r="D35" s="232"/>
      <c r="E35" s="213"/>
      <c r="I35" s="42"/>
      <c r="J35" s="43"/>
      <c r="K35" s="257"/>
      <c r="L35" s="256"/>
    </row>
    <row r="36" spans="1:12" s="255" customFormat="1" ht="16.5" thickBot="1">
      <c r="A36" s="38"/>
      <c r="B36" s="213"/>
      <c r="C36" s="42"/>
      <c r="D36" s="43"/>
      <c r="E36" s="239"/>
      <c r="F36" s="40"/>
      <c r="G36" s="42"/>
      <c r="H36" s="43"/>
      <c r="I36" s="42"/>
      <c r="J36" s="43"/>
      <c r="K36" s="256"/>
      <c r="L36" s="256"/>
    </row>
    <row r="37" spans="1:12" s="255" customFormat="1" ht="38.25" customHeight="1">
      <c r="A37" s="38"/>
      <c r="B37" s="48" t="s">
        <v>28</v>
      </c>
      <c r="C37" s="403" t="s">
        <v>95</v>
      </c>
      <c r="D37" s="403"/>
      <c r="E37" s="403"/>
      <c r="F37" s="403"/>
      <c r="G37" s="403"/>
      <c r="H37" s="403"/>
      <c r="I37" s="38"/>
      <c r="J37" s="38"/>
    </row>
    <row r="38" spans="1:12" s="255" customFormat="1" ht="36.75" customHeight="1">
      <c r="A38" s="38"/>
      <c r="B38" s="252" t="s">
        <v>29</v>
      </c>
      <c r="C38" s="402" t="s">
        <v>30</v>
      </c>
      <c r="D38" s="402"/>
      <c r="E38" s="402"/>
      <c r="F38" s="402"/>
      <c r="G38" s="402"/>
      <c r="H38" s="402"/>
      <c r="I38" s="38"/>
      <c r="J38" s="38"/>
    </row>
    <row r="39" spans="1:12" s="255" customFormat="1" ht="38.25" customHeight="1">
      <c r="A39" s="38"/>
      <c r="B39" s="252" t="s">
        <v>31</v>
      </c>
      <c r="C39" s="401" t="s">
        <v>190</v>
      </c>
      <c r="D39" s="401"/>
      <c r="E39" s="401"/>
      <c r="F39" s="401"/>
      <c r="G39" s="401"/>
      <c r="H39" s="401"/>
      <c r="I39" s="39"/>
      <c r="J39" s="39"/>
    </row>
    <row r="40" spans="1:12" s="255" customFormat="1" ht="111.6" customHeight="1">
      <c r="A40" s="38"/>
      <c r="B40" s="399" t="s">
        <v>69</v>
      </c>
      <c r="C40" s="401" t="s">
        <v>98</v>
      </c>
      <c r="D40" s="401"/>
      <c r="E40" s="401"/>
      <c r="F40" s="401"/>
      <c r="G40" s="401"/>
      <c r="H40" s="401"/>
      <c r="I40" s="38"/>
      <c r="J40" s="38"/>
    </row>
    <row r="41" spans="1:12" s="255" customFormat="1" ht="60.6" customHeight="1" thickBot="1">
      <c r="B41" s="400"/>
      <c r="C41" s="404" t="s">
        <v>186</v>
      </c>
      <c r="D41" s="404"/>
      <c r="E41" s="404"/>
      <c r="F41" s="404"/>
      <c r="G41" s="404"/>
      <c r="H41" s="404"/>
      <c r="I41" s="213"/>
    </row>
  </sheetData>
  <mergeCells count="14">
    <mergeCell ref="C3:I3"/>
    <mergeCell ref="C4:D4"/>
    <mergeCell ref="C5:I5"/>
    <mergeCell ref="B40:B41"/>
    <mergeCell ref="C39:H39"/>
    <mergeCell ref="C38:H38"/>
    <mergeCell ref="C37:H37"/>
    <mergeCell ref="C40:H40"/>
    <mergeCell ref="C41:H41"/>
    <mergeCell ref="C7:I7"/>
    <mergeCell ref="C8:I8"/>
    <mergeCell ref="C21:D21"/>
    <mergeCell ref="C22:D22"/>
    <mergeCell ref="C23:D23"/>
  </mergeCells>
  <phoneticPr fontId="3" type="noConversion"/>
  <conditionalFormatting sqref="D14:D20">
    <cfRule type="containsBlanks" dxfId="1" priority="2" stopIfTrue="1">
      <formula>LEN(TRIM(D14))=0</formula>
    </cfRule>
  </conditionalFormatting>
  <conditionalFormatting sqref="D14:D20">
    <cfRule type="expression" dxfId="0" priority="1" stopIfTrue="1">
      <formula>LEN(TRIM(D14))=0</formula>
    </cfRule>
  </conditionalFormatting>
  <pageMargins left="0.75" right="0.75" top="1" bottom="1" header="0.5" footer="0.5"/>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3</vt:i4>
      </vt:variant>
    </vt:vector>
  </HeadingPairs>
  <TitlesOfParts>
    <vt:vector size="9" baseType="lpstr">
      <vt:lpstr>CoverPage</vt:lpstr>
      <vt:lpstr>Summary</vt:lpstr>
      <vt:lpstr>HW356009-P1</vt:lpstr>
      <vt:lpstr>Controls</vt:lpstr>
      <vt:lpstr>Raw data</vt:lpstr>
      <vt:lpstr>Experimental detail</vt:lpstr>
      <vt:lpstr>CoverPage!OLE_LINK1</vt:lpstr>
      <vt:lpstr>CoverPage!OLE_LINK10</vt:lpstr>
      <vt:lpstr>CoverPage!OLE_LINK12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2025-03-04T06:17:14Z</dcterms:modified>
</cp:coreProperties>
</file>