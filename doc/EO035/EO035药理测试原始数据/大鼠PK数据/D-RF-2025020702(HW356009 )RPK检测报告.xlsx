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Users\User\Desktop\"/>
    </mc:Choice>
  </mc:AlternateContent>
  <bookViews>
    <workbookView xWindow="0" yWindow="0" windowWidth="27945" windowHeight="12375" tabRatio="777"/>
  </bookViews>
  <sheets>
    <sheet name="封面" sheetId="41" r:id="rId1"/>
    <sheet name="结果汇总" sheetId="48" r:id="rId2"/>
    <sheet name="PK参数" sheetId="49" r:id="rId3"/>
    <sheet name="原始数据" sheetId="43" r:id="rId4"/>
    <sheet name="标曲&amp;质控" sheetId="44" r:id="rId5"/>
    <sheet name="给药制剂浓度检测" sheetId="50" r:id="rId6"/>
    <sheet name="LC-MS分析方法 " sheetId="40" r:id="rId7"/>
    <sheet name="试验设计" sheetId="34" r:id="rId8"/>
  </sheets>
  <definedNames>
    <definedName name="_xlnm.Print_Area" localSheetId="1">#REF!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8" i="48" l="1"/>
  <c r="Q53" i="48"/>
  <c r="M53" i="48"/>
  <c r="H48" i="48"/>
  <c r="P12" i="48"/>
  <c r="G8" i="48"/>
  <c r="O53" i="48" l="1"/>
  <c r="P9" i="48"/>
  <c r="Q14" i="48"/>
  <c r="P16" i="48"/>
  <c r="P13" i="48"/>
  <c r="Q12" i="48"/>
  <c r="P8" i="48"/>
  <c r="G16" i="48"/>
  <c r="H15" i="48"/>
  <c r="G28" i="40"/>
  <c r="G27" i="40"/>
  <c r="G26" i="40"/>
  <c r="G25" i="40"/>
  <c r="G24" i="40"/>
  <c r="H14" i="50"/>
  <c r="H13" i="50"/>
  <c r="H12" i="50"/>
  <c r="H11" i="50"/>
  <c r="H10" i="50"/>
  <c r="H9" i="50"/>
  <c r="B115" i="43"/>
  <c r="B114" i="43"/>
  <c r="B113" i="43"/>
  <c r="A1" i="49"/>
  <c r="I55" i="48"/>
  <c r="H55" i="48"/>
  <c r="F55" i="48"/>
  <c r="E55" i="48"/>
  <c r="D55" i="48"/>
  <c r="I54" i="48"/>
  <c r="H54" i="48"/>
  <c r="F54" i="48"/>
  <c r="E54" i="48"/>
  <c r="D54" i="48"/>
  <c r="R53" i="48"/>
  <c r="N53" i="48"/>
  <c r="I53" i="48"/>
  <c r="H53" i="48"/>
  <c r="F53" i="48"/>
  <c r="E53" i="48"/>
  <c r="D53" i="48"/>
  <c r="R52" i="48"/>
  <c r="Q52" i="48"/>
  <c r="O52" i="48"/>
  <c r="N52" i="48"/>
  <c r="M52" i="48"/>
  <c r="I52" i="48"/>
  <c r="H52" i="48"/>
  <c r="F52" i="48"/>
  <c r="E52" i="48"/>
  <c r="D52" i="48"/>
  <c r="R51" i="48"/>
  <c r="Q51" i="48"/>
  <c r="O51" i="48"/>
  <c r="N51" i="48"/>
  <c r="M51" i="48"/>
  <c r="I51" i="48"/>
  <c r="H51" i="48"/>
  <c r="F51" i="48"/>
  <c r="E51" i="48"/>
  <c r="D51" i="48"/>
  <c r="R50" i="48"/>
  <c r="Q50" i="48"/>
  <c r="O50" i="48"/>
  <c r="N50" i="48"/>
  <c r="M50" i="48"/>
  <c r="I50" i="48"/>
  <c r="H50" i="48"/>
  <c r="F50" i="48"/>
  <c r="E50" i="48"/>
  <c r="D50" i="48"/>
  <c r="R49" i="48"/>
  <c r="Q49" i="48"/>
  <c r="O49" i="48"/>
  <c r="N49" i="48"/>
  <c r="M49" i="48"/>
  <c r="I49" i="48"/>
  <c r="H49" i="48"/>
  <c r="F49" i="48"/>
  <c r="E49" i="48"/>
  <c r="D49" i="48"/>
  <c r="R48" i="48"/>
  <c r="O48" i="48"/>
  <c r="N48" i="48"/>
  <c r="M48" i="48"/>
  <c r="I48" i="48"/>
  <c r="F48" i="48"/>
  <c r="E48" i="48"/>
  <c r="D48" i="48"/>
  <c r="R47" i="48"/>
  <c r="Q47" i="48"/>
  <c r="O47" i="48"/>
  <c r="N47" i="48"/>
  <c r="M47" i="48"/>
  <c r="I47" i="48"/>
  <c r="H47" i="48"/>
  <c r="F47" i="48"/>
  <c r="E47" i="48"/>
  <c r="D47" i="48"/>
  <c r="R46" i="48"/>
  <c r="Q46" i="48"/>
  <c r="O46" i="48"/>
  <c r="N46" i="48"/>
  <c r="M46" i="48"/>
  <c r="I46" i="48"/>
  <c r="H46" i="48"/>
  <c r="F46" i="48"/>
  <c r="E46" i="48"/>
  <c r="D46" i="48"/>
  <c r="R45" i="48"/>
  <c r="Q45" i="48"/>
  <c r="O45" i="48"/>
  <c r="N45" i="48"/>
  <c r="M45" i="48"/>
  <c r="I45" i="48"/>
  <c r="H45" i="48"/>
  <c r="F45" i="48"/>
  <c r="E45" i="48"/>
  <c r="D45" i="48"/>
  <c r="R44" i="48"/>
  <c r="Q44" i="48"/>
  <c r="O44" i="48"/>
  <c r="N44" i="48"/>
  <c r="M44" i="48"/>
  <c r="I44" i="48"/>
  <c r="H44" i="48"/>
  <c r="F44" i="48"/>
  <c r="E44" i="48"/>
  <c r="D44" i="48"/>
  <c r="R43" i="48"/>
  <c r="Q43" i="48"/>
  <c r="O43" i="48"/>
  <c r="N43" i="48"/>
  <c r="M43" i="48"/>
  <c r="I43" i="48"/>
  <c r="H43" i="48"/>
  <c r="F43" i="48"/>
  <c r="E43" i="48"/>
  <c r="D43" i="48"/>
  <c r="R42" i="48"/>
  <c r="Q42" i="48"/>
  <c r="O42" i="48"/>
  <c r="N42" i="48"/>
  <c r="M42" i="48"/>
  <c r="I42" i="48"/>
  <c r="H42" i="48"/>
  <c r="F42" i="48"/>
  <c r="E42" i="48"/>
  <c r="D42" i="48"/>
  <c r="R41" i="48"/>
  <c r="Q41" i="48"/>
  <c r="O41" i="48"/>
  <c r="N41" i="48"/>
  <c r="M41" i="48"/>
  <c r="I41" i="48"/>
  <c r="H41" i="48"/>
  <c r="F41" i="48"/>
  <c r="E41" i="48"/>
  <c r="D41" i="48"/>
  <c r="M38" i="48"/>
  <c r="D38" i="48"/>
  <c r="Q16" i="48"/>
  <c r="H16" i="48"/>
  <c r="Q15" i="48"/>
  <c r="P15" i="48"/>
  <c r="G15" i="48"/>
  <c r="P14" i="48"/>
  <c r="H14" i="48"/>
  <c r="G14" i="48"/>
  <c r="Q13" i="48"/>
  <c r="H13" i="48"/>
  <c r="G13" i="48"/>
  <c r="H12" i="48"/>
  <c r="G12" i="48"/>
  <c r="Q11" i="48"/>
  <c r="P11" i="48"/>
  <c r="H11" i="48"/>
  <c r="G11" i="48"/>
  <c r="Q10" i="48"/>
  <c r="P10" i="48"/>
  <c r="H10" i="48"/>
  <c r="G10" i="48"/>
  <c r="Q9" i="48"/>
  <c r="H9" i="48"/>
  <c r="G9" i="48"/>
  <c r="Q8" i="48"/>
  <c r="H8" i="48"/>
  <c r="L5" i="48"/>
  <c r="C5" i="48"/>
  <c r="I9" i="50" l="1"/>
  <c r="J9" i="50" s="1"/>
  <c r="I12" i="50"/>
  <c r="J12" i="50" s="1"/>
  <c r="K12" i="50" l="1"/>
  <c r="K9" i="50"/>
</calcChain>
</file>

<file path=xl/sharedStrings.xml><?xml version="1.0" encoding="utf-8"?>
<sst xmlns="http://schemas.openxmlformats.org/spreadsheetml/2006/main" count="897" uniqueCount="380">
  <si>
    <r>
      <rPr>
        <sz val="16"/>
        <rFont val="宋体"/>
        <charset val="134"/>
      </rPr>
      <t>合肥中科普瑞昇生物医药科技有限公司</t>
    </r>
  </si>
  <si>
    <r>
      <rPr>
        <b/>
        <sz val="12"/>
        <rFont val="宋体"/>
        <charset val="134"/>
      </rPr>
      <t>项目编号：</t>
    </r>
  </si>
  <si>
    <t>D-RF-2024020702</t>
  </si>
  <si>
    <r>
      <rPr>
        <b/>
        <sz val="12"/>
        <rFont val="宋体"/>
        <charset val="134"/>
      </rPr>
      <t>化合物名称</t>
    </r>
  </si>
  <si>
    <t>HW356009</t>
  </si>
  <si>
    <r>
      <rPr>
        <b/>
        <sz val="12"/>
        <rFont val="宋体"/>
        <charset val="134"/>
      </rPr>
      <t>项目名称：</t>
    </r>
  </si>
  <si>
    <t>化合物HW356009在大鼠体内药代动力学研究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</si>
  <si>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</si>
  <si>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</si>
  <si>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t>2025-02-10
2025-02-11
2025-02-12
2025-02-12</t>
  </si>
  <si>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</si>
  <si>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地址：合肥市高新区孔雀台路与习友路交叉路口国家健康大数据产业园</t>
    </r>
    <r>
      <rPr>
        <sz val="12"/>
        <rFont val="Times New Roman"/>
        <family val="1"/>
      </rPr>
      <t>A6</t>
    </r>
    <r>
      <rPr>
        <sz val="12"/>
        <rFont val="宋体"/>
        <charset val="134"/>
      </rPr>
      <t>栋</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 xml:space="preserve">jshao@precedo.cn
</t>
    </r>
  </si>
  <si>
    <r>
      <rPr>
        <b/>
        <sz val="12"/>
        <color theme="1"/>
        <rFont val="宋体"/>
        <charset val="134"/>
      </rPr>
      <t>委托单位</t>
    </r>
  </si>
  <si>
    <r>
      <rPr>
        <sz val="12"/>
        <color theme="1"/>
        <rFont val="宋体"/>
        <charset val="134"/>
      </rPr>
      <t>负责人：刘勇</t>
    </r>
    <r>
      <rPr>
        <sz val="12"/>
        <color theme="1"/>
        <rFont val="Times New Roman"/>
        <family val="1"/>
      </rPr>
      <t xml:space="preserve">
</t>
    </r>
    <r>
      <rPr>
        <sz val="12"/>
        <color theme="1"/>
        <rFont val="宋体"/>
        <charset val="134"/>
      </rPr>
      <t>委托单位名称：人福医药</t>
    </r>
    <r>
      <rPr>
        <sz val="12"/>
        <color theme="1"/>
        <rFont val="Times New Roman"/>
        <family val="1"/>
      </rPr>
      <t xml:space="preserve">
</t>
    </r>
    <r>
      <rPr>
        <sz val="12"/>
        <color theme="1"/>
        <rFont val="宋体"/>
        <charset val="134"/>
      </rPr>
      <t>邮箱：</t>
    </r>
    <r>
      <rPr>
        <sz val="12"/>
        <color theme="1"/>
        <rFont val="Times New Roman"/>
        <family val="1"/>
      </rPr>
      <t xml:space="preserve">liuyong@renfu.com
</t>
    </r>
    <r>
      <rPr>
        <sz val="12"/>
        <color theme="1"/>
        <rFont val="宋体"/>
        <charset val="134"/>
      </rPr>
      <t>联系方式：</t>
    </r>
    <r>
      <rPr>
        <sz val="12"/>
        <color theme="1"/>
        <rFont val="Times New Roman"/>
        <family val="1"/>
      </rPr>
      <t>18062052364</t>
    </r>
  </si>
  <si>
    <r>
      <rPr>
        <b/>
        <sz val="12"/>
        <rFont val="宋体"/>
        <charset val="134"/>
      </rPr>
      <t>质控人员</t>
    </r>
  </si>
  <si>
    <t>刘海宾</t>
  </si>
  <si>
    <r>
      <rPr>
        <b/>
        <sz val="12"/>
        <rFont val="宋体"/>
        <charset val="134"/>
      </rPr>
      <t>分析负责人</t>
    </r>
  </si>
  <si>
    <t>奚冬冬</t>
  </si>
  <si>
    <r>
      <rPr>
        <b/>
        <sz val="12"/>
        <rFont val="宋体"/>
        <charset val="134"/>
      </rPr>
      <t>动物负责人</t>
    </r>
  </si>
  <si>
    <t>卢秋宇</t>
  </si>
  <si>
    <t>HW356009 PK 数据</t>
  </si>
  <si>
    <r>
      <rPr>
        <b/>
        <sz val="12"/>
        <rFont val="宋体"/>
        <charset val="134"/>
      </rPr>
      <t>化合物信息和制剂配制</t>
    </r>
  </si>
  <si>
    <r>
      <rPr>
        <b/>
        <sz val="11"/>
        <rFont val="宋体"/>
        <charset val="134"/>
      </rPr>
      <t>化合物信息</t>
    </r>
  </si>
  <si>
    <t>表1：单次静脉注射给予HW356009后大鼠血浆中药物浓度</t>
  </si>
  <si>
    <t>表2：单次灌胃口服给予HW356009后大鼠血浆中药物浓度</t>
  </si>
  <si>
    <r>
      <rPr>
        <sz val="11"/>
        <rFont val="宋体"/>
        <charset val="134"/>
      </rPr>
      <t>化合物名称</t>
    </r>
  </si>
  <si>
    <r>
      <rPr>
        <sz val="11"/>
        <rFont val="宋体"/>
        <charset val="134"/>
      </rPr>
      <t>批号</t>
    </r>
  </si>
  <si>
    <t>HWH817-LHX-35-151</t>
  </si>
  <si>
    <r>
      <rPr>
        <sz val="11"/>
        <rFont val="宋体"/>
        <charset val="134"/>
      </rPr>
      <t>分子量</t>
    </r>
  </si>
  <si>
    <t>IV-1 mg/kg</t>
  </si>
  <si>
    <t>PO-10 mg/kg</t>
  </si>
  <si>
    <r>
      <rPr>
        <sz val="11"/>
        <rFont val="宋体"/>
        <charset val="134"/>
      </rPr>
      <t>纯度</t>
    </r>
  </si>
  <si>
    <t>Time (h)</t>
  </si>
  <si>
    <t>Mean</t>
  </si>
  <si>
    <t>SD</t>
  </si>
  <si>
    <r>
      <rPr>
        <b/>
        <sz val="11"/>
        <rFont val="Times New Roman"/>
        <family val="1"/>
      </rPr>
      <t>PK</t>
    </r>
    <r>
      <rPr>
        <b/>
        <sz val="11"/>
        <rFont val="宋体"/>
        <charset val="134"/>
      </rPr>
      <t>研究基本信息</t>
    </r>
  </si>
  <si>
    <r>
      <rPr>
        <sz val="11"/>
        <rFont val="宋体"/>
        <charset val="134"/>
      </rPr>
      <t>给药途径</t>
    </r>
    <r>
      <rPr>
        <sz val="11"/>
        <rFont val="Times New Roman"/>
        <family val="1"/>
      </rPr>
      <t>:</t>
    </r>
  </si>
  <si>
    <t>IV</t>
  </si>
  <si>
    <r>
      <rPr>
        <b/>
        <sz val="11"/>
        <rFont val="宋体"/>
        <charset val="134"/>
      </rPr>
      <t>推荐溶媒</t>
    </r>
    <r>
      <rPr>
        <b/>
        <sz val="11"/>
        <rFont val="Times New Roman"/>
        <family val="1"/>
      </rPr>
      <t>:</t>
    </r>
  </si>
  <si>
    <t>5%DMSO+10%Solutol+85%Saline</t>
  </si>
  <si>
    <r>
      <rPr>
        <sz val="11"/>
        <rFont val="宋体"/>
        <charset val="134"/>
      </rPr>
      <t>剂量</t>
    </r>
    <r>
      <rPr>
        <sz val="11"/>
        <rFont val="Times New Roman"/>
        <family val="1"/>
      </rPr>
      <t xml:space="preserve"> (mg/kg):</t>
    </r>
  </si>
  <si>
    <r>
      <rPr>
        <sz val="11"/>
        <rFont val="宋体"/>
        <charset val="134"/>
      </rPr>
      <t>浓度</t>
    </r>
    <r>
      <rPr>
        <sz val="11"/>
        <rFont val="Times New Roman"/>
        <family val="1"/>
      </rPr>
      <t>(mg/mL):</t>
    </r>
  </si>
  <si>
    <r>
      <rPr>
        <sz val="11"/>
        <rFont val="宋体"/>
        <charset val="134"/>
      </rPr>
      <t>给药体积</t>
    </r>
    <r>
      <rPr>
        <sz val="11"/>
        <rFont val="Times New Roman"/>
        <family val="1"/>
      </rPr>
      <t xml:space="preserve"> (mL/kg):</t>
    </r>
  </si>
  <si>
    <t>PO</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</si>
  <si>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</si>
  <si>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</si>
  <si>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</si>
  <si>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</si>
  <si>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</si>
  <si>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</si>
  <si>
    <r>
      <rPr>
        <sz val="11"/>
        <rFont val="宋体"/>
        <charset val="134"/>
      </rPr>
      <t>最终总体积</t>
    </r>
    <r>
      <rPr>
        <sz val="11"/>
        <rFont val="Times New Roman"/>
        <family val="1"/>
      </rPr>
      <t>(mL)</t>
    </r>
  </si>
  <si>
    <r>
      <rPr>
        <sz val="11"/>
        <rFont val="Times New Roman"/>
        <family val="1"/>
      </rPr>
      <t>DMSO</t>
    </r>
    <r>
      <rPr>
        <sz val="11"/>
        <rFont val="宋体"/>
        <charset val="134"/>
      </rPr>
      <t>体积</t>
    </r>
    <r>
      <rPr>
        <sz val="11"/>
        <rFont val="Times New Roman"/>
        <family val="1"/>
      </rPr>
      <t>(mL)</t>
    </r>
  </si>
  <si>
    <r>
      <rPr>
        <sz val="11"/>
        <rFont val="宋体"/>
        <charset val="134"/>
      </rPr>
      <t>母液</t>
    </r>
  </si>
  <si>
    <t>DMSO</t>
  </si>
  <si>
    <r>
      <rPr>
        <b/>
        <sz val="11"/>
        <rFont val="Times New Roman"/>
        <family val="1"/>
      </rPr>
      <t>PO</t>
    </r>
    <r>
      <rPr>
        <b/>
        <sz val="11"/>
        <rFont val="宋体"/>
        <charset val="134"/>
      </rPr>
      <t>制剂配制过程（给药当天现配现用）</t>
    </r>
  </si>
  <si>
    <r>
      <rPr>
        <sz val="11"/>
        <rFont val="Times New Roman"/>
        <family val="1"/>
      </rPr>
      <t xml:space="preserve">(1) </t>
    </r>
    <r>
      <rPr>
        <sz val="11"/>
        <rFont val="宋体"/>
        <charset val="134"/>
      </rPr>
      <t>准确称取化合物</t>
    </r>
    <r>
      <rPr>
        <sz val="11"/>
        <rFont val="Times New Roman"/>
        <family val="1"/>
      </rPr>
      <t>13.20 mg</t>
    </r>
    <r>
      <rPr>
        <sz val="11"/>
        <rFont val="宋体"/>
        <charset val="134"/>
      </rPr>
      <t>，放入</t>
    </r>
    <r>
      <rPr>
        <sz val="11"/>
        <rFont val="Times New Roman"/>
        <family val="1"/>
      </rPr>
      <t xml:space="preserve">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</si>
  <si>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0.641 mL DMSO</t>
    </r>
    <r>
      <rPr>
        <sz val="11"/>
        <rFont val="宋体"/>
        <charset val="134"/>
      </rPr>
      <t>，涡旋超声至化合物呈无色澄清状态，即可得到母液</t>
    </r>
  </si>
  <si>
    <r>
      <rPr>
        <sz val="11"/>
        <rFont val="Times New Roman"/>
        <family val="1"/>
      </rPr>
      <t xml:space="preserve">(3) </t>
    </r>
    <r>
      <rPr>
        <sz val="11"/>
        <rFont val="宋体"/>
        <charset val="134"/>
      </rPr>
      <t>取母液</t>
    </r>
    <r>
      <rPr>
        <sz val="11"/>
        <rFont val="Times New Roman"/>
        <family val="1"/>
      </rPr>
      <t>0.561 mL</t>
    </r>
    <r>
      <rPr>
        <sz val="11"/>
        <rFont val="宋体"/>
        <charset val="134"/>
      </rPr>
      <t>，放入</t>
    </r>
    <r>
      <rPr>
        <sz val="11"/>
        <rFont val="Times New Roman"/>
        <family val="1"/>
      </rPr>
      <t xml:space="preserve">15 mL </t>
    </r>
    <r>
      <rPr>
        <sz val="11"/>
        <rFont val="宋体"/>
        <charset val="134"/>
      </rPr>
      <t>玻璃瓶中</t>
    </r>
  </si>
  <si>
    <r>
      <rPr>
        <sz val="11"/>
        <rFont val="Times New Roman"/>
        <family val="1"/>
      </rPr>
      <t xml:space="preserve">(4) </t>
    </r>
    <r>
      <rPr>
        <sz val="11"/>
        <rFont val="宋体"/>
        <charset val="134"/>
      </rPr>
      <t>加入</t>
    </r>
    <r>
      <rPr>
        <sz val="11"/>
        <rFont val="Times New Roman"/>
        <family val="1"/>
      </rPr>
      <t>1.122 mL Solutol</t>
    </r>
    <r>
      <rPr>
        <sz val="11"/>
        <rFont val="宋体"/>
        <charset val="134"/>
      </rPr>
      <t>，涡旋超声至化合物呈无色澄清状态</t>
    </r>
  </si>
  <si>
    <r>
      <rPr>
        <sz val="11"/>
        <rFont val="Times New Roman"/>
        <family val="1"/>
      </rPr>
      <t xml:space="preserve">(5) </t>
    </r>
    <r>
      <rPr>
        <sz val="11"/>
        <rFont val="宋体"/>
        <charset val="134"/>
      </rPr>
      <t>加入</t>
    </r>
    <r>
      <rPr>
        <sz val="11"/>
        <rFont val="Times New Roman"/>
        <family val="1"/>
      </rPr>
      <t>9.537 mL Saline</t>
    </r>
    <r>
      <rPr>
        <sz val="11"/>
        <rFont val="宋体"/>
        <charset val="134"/>
      </rPr>
      <t>，涡旋超声至化合物呈无色澄清状态，即可得到</t>
    </r>
    <r>
      <rPr>
        <sz val="11"/>
        <rFont val="Times New Roman"/>
        <family val="1"/>
      </rPr>
      <t>PO</t>
    </r>
    <r>
      <rPr>
        <sz val="11"/>
        <rFont val="宋体"/>
        <charset val="134"/>
      </rPr>
      <t>制剂</t>
    </r>
  </si>
  <si>
    <r>
      <rPr>
        <b/>
        <sz val="11"/>
        <rFont val="Times New Roman"/>
        <family val="1"/>
      </rPr>
      <t>IV</t>
    </r>
    <r>
      <rPr>
        <b/>
        <sz val="11"/>
        <rFont val="宋体"/>
        <charset val="134"/>
      </rPr>
      <t>制剂配制过程（给药当天现配现用）</t>
    </r>
  </si>
  <si>
    <t>表5：单次静脉注射给予HW356009后大鼠血浆PK数据</t>
  </si>
  <si>
    <t>表6：单次灌胃口服给予HW356009后大鼠血浆PK数据</t>
  </si>
  <si>
    <r>
      <rPr>
        <sz val="11"/>
        <rFont val="Times New Roman"/>
        <family val="1"/>
      </rPr>
      <t xml:space="preserve">(1) </t>
    </r>
    <r>
      <rPr>
        <sz val="11"/>
        <rFont val="宋体"/>
        <charset val="134"/>
      </rPr>
      <t>取母液</t>
    </r>
    <r>
      <rPr>
        <sz val="11"/>
        <rFont val="Times New Roman"/>
        <family val="1"/>
      </rPr>
      <t>0.080 mL</t>
    </r>
    <r>
      <rPr>
        <sz val="11"/>
        <rFont val="宋体"/>
        <charset val="134"/>
      </rPr>
      <t>，放入</t>
    </r>
    <r>
      <rPr>
        <sz val="11"/>
        <rFont val="Times New Roman"/>
        <family val="1"/>
      </rPr>
      <t xml:space="preserve">15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</si>
  <si>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0.320 mL DMSO</t>
    </r>
    <r>
      <rPr>
        <sz val="11"/>
        <rFont val="宋体"/>
        <charset val="134"/>
      </rPr>
      <t>，涡旋超声至化合物呈无色澄清状态</t>
    </r>
  </si>
  <si>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</si>
  <si>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</si>
  <si>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</si>
  <si>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r>
      <rPr>
        <sz val="11"/>
        <rFont val="Times New Roman"/>
        <family val="1"/>
      </rPr>
      <t xml:space="preserve">(3) </t>
    </r>
    <r>
      <rPr>
        <sz val="11"/>
        <rFont val="宋体"/>
        <charset val="134"/>
      </rPr>
      <t>加入</t>
    </r>
    <r>
      <rPr>
        <sz val="11"/>
        <rFont val="Times New Roman"/>
        <family val="1"/>
      </rPr>
      <t>0.800 mL Solutol</t>
    </r>
    <r>
      <rPr>
        <sz val="11"/>
        <rFont val="宋体"/>
        <charset val="134"/>
      </rPr>
      <t>，涡旋超声至化合物呈无色澄清状态</t>
    </r>
  </si>
  <si>
    <r>
      <rPr>
        <sz val="11"/>
        <rFont val="宋体"/>
        <charset val="134"/>
      </rPr>
      <t>分组</t>
    </r>
  </si>
  <si>
    <r>
      <rPr>
        <sz val="11"/>
        <rFont val="Times New Roman"/>
        <family val="1"/>
      </rPr>
      <t xml:space="preserve">(4) </t>
    </r>
    <r>
      <rPr>
        <sz val="11"/>
        <rFont val="宋体"/>
        <charset val="134"/>
      </rPr>
      <t>加入</t>
    </r>
    <r>
      <rPr>
        <sz val="11"/>
        <rFont val="Times New Roman"/>
        <family val="1"/>
      </rPr>
      <t>6.800 mL Saline</t>
    </r>
    <r>
      <rPr>
        <sz val="11"/>
        <rFont val="宋体"/>
        <charset val="134"/>
      </rPr>
      <t>，涡旋超声至化合物呈无色澄清状态，即可得到</t>
    </r>
    <r>
      <rPr>
        <sz val="11"/>
        <rFont val="Times New Roman"/>
        <family val="1"/>
      </rPr>
      <t>IV</t>
    </r>
    <r>
      <rPr>
        <sz val="11"/>
        <rFont val="宋体"/>
        <charset val="134"/>
      </rPr>
      <t>制剂</t>
    </r>
  </si>
  <si>
    <r>
      <rPr>
        <sz val="11"/>
        <rFont val="宋体"/>
        <charset val="134"/>
      </rPr>
      <t>分析物</t>
    </r>
  </si>
  <si>
    <r>
      <rPr>
        <sz val="11"/>
        <rFont val="宋体"/>
        <charset val="134"/>
      </rPr>
      <t>给药剂量</t>
    </r>
  </si>
  <si>
    <t>mg/kg</t>
  </si>
  <si>
    <r>
      <rPr>
        <b/>
        <sz val="11"/>
        <rFont val="宋体"/>
        <charset val="134"/>
      </rPr>
      <t>动物临床观察：</t>
    </r>
  </si>
  <si>
    <t>Rsq_adjusted</t>
  </si>
  <si>
    <t>No_points_lambda_z</t>
  </si>
  <si>
    <r>
      <rPr>
        <sz val="11"/>
        <rFont val="宋体"/>
        <charset val="134"/>
      </rPr>
      <t>所有实验动物均未观察到异常现象。</t>
    </r>
  </si>
  <si>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</si>
  <si>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</si>
  <si>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</si>
  <si>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b/>
        <sz val="11"/>
        <rFont val="宋体"/>
        <charset val="134"/>
      </rPr>
      <t>动物体重：</t>
    </r>
  </si>
  <si>
    <r>
      <rPr>
        <sz val="11"/>
        <rFont val="Times New Roman"/>
        <family val="1"/>
      </rPr>
      <t>C</t>
    </r>
    <r>
      <rPr>
        <vertAlign val="subscript"/>
        <sz val="11"/>
        <rFont val="Times New Roman"/>
        <family val="1"/>
      </rPr>
      <t xml:space="preserve">max </t>
    </r>
    <r>
      <rPr>
        <sz val="11"/>
        <rFont val="Times New Roman"/>
        <family val="1"/>
      </rPr>
      <t>(ng/mL)</t>
    </r>
  </si>
  <si>
    <r>
      <rPr>
        <sz val="11"/>
        <rFont val="宋体"/>
        <charset val="134"/>
      </rPr>
      <t>动物编号</t>
    </r>
  </si>
  <si>
    <r>
      <rPr>
        <sz val="11"/>
        <rFont val="Times New Roman"/>
        <family val="1"/>
      </rPr>
      <t>AUC</t>
    </r>
    <r>
      <rPr>
        <vertAlign val="subscript"/>
        <sz val="11"/>
        <rFont val="Times New Roman"/>
        <family val="1"/>
      </rPr>
      <t xml:space="preserve">(0-t) </t>
    </r>
    <r>
      <rPr>
        <sz val="11"/>
        <rFont val="Times New Roman"/>
        <family val="1"/>
      </rPr>
      <t>(h*ng/mL)</t>
    </r>
  </si>
  <si>
    <r>
      <rPr>
        <sz val="11"/>
        <rFont val="宋体"/>
        <charset val="134"/>
      </rPr>
      <t>体重</t>
    </r>
    <r>
      <rPr>
        <sz val="11"/>
        <rFont val="Times New Roman"/>
        <family val="1"/>
      </rPr>
      <t>(g)</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</si>
  <si>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</si>
  <si>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</si>
  <si>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</si>
  <si>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0</t>
    </r>
    <r>
      <rPr>
        <sz val="11"/>
        <rFont val="Times New Roman"/>
        <family val="1"/>
      </rPr>
      <t>(ng/mL)</t>
    </r>
  </si>
  <si>
    <r>
      <rPr>
        <sz val="11"/>
        <rFont val="Times New Roman"/>
        <family val="1"/>
      </rPr>
      <t>AUC</t>
    </r>
    <r>
      <rPr>
        <vertAlign val="subscript"/>
        <sz val="11"/>
        <rFont val="Times New Roman"/>
        <family val="1"/>
      </rPr>
      <t>Extrap</t>
    </r>
    <r>
      <rPr>
        <sz val="11"/>
        <rFont val="Times New Roman"/>
        <family val="1"/>
      </rPr>
      <t>(%)</t>
    </r>
  </si>
  <si>
    <r>
      <rPr>
        <sz val="11"/>
        <rFont val="Times New Roman"/>
        <family val="1"/>
      </rPr>
      <t>V</t>
    </r>
    <r>
      <rPr>
        <vertAlign val="subscript"/>
        <sz val="11"/>
        <rFont val="Times New Roman"/>
        <family val="1"/>
      </rPr>
      <t>ss</t>
    </r>
    <r>
      <rPr>
        <sz val="11"/>
        <rFont val="Times New Roman"/>
        <family val="1"/>
      </rPr>
      <t>(L/kg)</t>
    </r>
  </si>
  <si>
    <t>AUMC_Extrap({%})</t>
  </si>
  <si>
    <r>
      <rPr>
        <sz val="11"/>
        <rFont val="Times New Roman"/>
        <family val="1"/>
      </rPr>
      <t>V</t>
    </r>
    <r>
      <rPr>
        <vertAlign val="subscript"/>
        <sz val="11"/>
        <rFont val="Times New Roman"/>
        <family val="1"/>
      </rPr>
      <t>z(</t>
    </r>
    <r>
      <rPr>
        <sz val="11"/>
        <rFont val="Times New Roman"/>
        <family val="1"/>
      </rPr>
      <t>L/kg)</t>
    </r>
  </si>
  <si>
    <t>F(%)</t>
  </si>
  <si>
    <t>Cl(L/kg/h)</t>
  </si>
  <si>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T1/2</t>
    </r>
    <r>
      <rPr>
        <sz val="11"/>
        <rFont val="宋体"/>
        <charset val="134"/>
      </rPr>
      <t>可能不准确。</t>
    </r>
    <r>
      <rPr>
        <sz val="11"/>
        <rFont val="Times New Roman"/>
        <family val="1"/>
      </rPr>
      <t xml:space="preserve">
</t>
    </r>
    <r>
      <rPr>
        <sz val="11"/>
        <rFont val="宋体"/>
        <charset val="134"/>
      </rPr>
      <t>若</t>
    </r>
    <r>
      <rPr>
        <sz val="11"/>
        <rFont val="Times New Roman"/>
        <family val="1"/>
      </rPr>
      <t>AUCExtrap(%)</t>
    </r>
    <r>
      <rPr>
        <sz val="11"/>
        <rFont val="宋体"/>
        <charset val="134"/>
      </rPr>
      <t>的数值大于</t>
    </r>
    <r>
      <rPr>
        <sz val="11"/>
        <rFont val="Times New Roman"/>
        <family val="1"/>
      </rPr>
      <t>20%</t>
    </r>
    <r>
      <rPr>
        <sz val="11"/>
        <rFont val="宋体"/>
        <charset val="134"/>
      </rPr>
      <t>，则消除相拟合的</t>
    </r>
    <r>
      <rPr>
        <sz val="11"/>
        <rFont val="Times New Roman"/>
        <family val="1"/>
      </rPr>
      <t>AUC0-∞</t>
    </r>
    <r>
      <rPr>
        <sz val="11"/>
        <rFont val="宋体"/>
        <charset val="134"/>
      </rPr>
      <t>可能不准确。</t>
    </r>
    <r>
      <rPr>
        <sz val="11"/>
        <rFont val="Times New Roman"/>
        <family val="1"/>
      </rPr>
      <t xml:space="preserve">
</t>
    </r>
    <r>
      <rPr>
        <sz val="11"/>
        <rFont val="宋体"/>
        <charset val="134"/>
      </rPr>
      <t>若</t>
    </r>
    <r>
      <rPr>
        <sz val="11"/>
        <rFont val="Times New Roman"/>
        <family val="1"/>
      </rPr>
      <t>AUMC_Extrap({%})</t>
    </r>
    <r>
      <rPr>
        <sz val="11"/>
        <rFont val="宋体"/>
        <charset val="134"/>
      </rPr>
      <t>的数值大于</t>
    </r>
    <r>
      <rPr>
        <sz val="11"/>
        <rFont val="Times New Roman"/>
        <family val="1"/>
      </rPr>
      <t>20%</t>
    </r>
    <r>
      <rPr>
        <sz val="11"/>
        <rFont val="宋体"/>
        <charset val="134"/>
      </rPr>
      <t>，则消除相拟合的</t>
    </r>
    <r>
      <rPr>
        <sz val="11"/>
        <rFont val="Times New Roman"/>
        <family val="1"/>
      </rPr>
      <t>MRT0-∞</t>
    </r>
    <r>
      <rPr>
        <sz val="11"/>
        <rFont val="宋体"/>
        <charset val="134"/>
      </rPr>
      <t>可能不准确。
由于末端未完全消除，用AUC(0-t) (h*ng/mL)计算生物利用度。</t>
    </r>
  </si>
  <si>
    <t>Sort</t>
  </si>
  <si>
    <t>N_Samples</t>
  </si>
  <si>
    <t>Dose(mg/kg)</t>
  </si>
  <si>
    <t>Rsq</t>
  </si>
  <si>
    <t>Corr_XY</t>
  </si>
  <si>
    <t>Lambda_z(1/h)</t>
  </si>
  <si>
    <t>Lambda_z_intercept</t>
  </si>
  <si>
    <t>Lambda_z_lower(h)</t>
  </si>
  <si>
    <t>Lambda_z_upper(h)</t>
  </si>
  <si>
    <t>HL_Lambda_z(h)</t>
  </si>
  <si>
    <t>Span</t>
  </si>
  <si>
    <t>Tmax(h)</t>
  </si>
  <si>
    <t>Cmax(ng/mL)</t>
  </si>
  <si>
    <t>Cmax_D(kg*ng/mL/mg)</t>
  </si>
  <si>
    <t>C0(ng/mL)</t>
  </si>
  <si>
    <t>Tlast(h)</t>
  </si>
  <si>
    <t>Clast(ng/mL)</t>
  </si>
  <si>
    <t>Clast_pred(ng/mL)</t>
  </si>
  <si>
    <t>AUClast(h*ng/mL)</t>
  </si>
  <si>
    <t>AUClast_D(h*kg*ng/mL/mg)</t>
  </si>
  <si>
    <t>AUCall(h*ng/mL)</t>
  </si>
  <si>
    <t>AUCINF_obs(h*ng/mL)</t>
  </si>
  <si>
    <t>AUCINF_D_obs(h*kg*ng/mL/mg)</t>
  </si>
  <si>
    <t>AUC_%Extrap_obs({%})</t>
  </si>
  <si>
    <t>AUC_%Back_Ext_obs({%})</t>
  </si>
  <si>
    <t>Vz_obs(L/kg)</t>
  </si>
  <si>
    <t>Cl_obs(L/h/kg)</t>
  </si>
  <si>
    <t>AUCINF_pred(h*ng/mL)</t>
  </si>
  <si>
    <t>AUCINF_D_pred(h*kg*ng/mL/mg)</t>
  </si>
  <si>
    <t>AUC_%Extrap_pred({%})</t>
  </si>
  <si>
    <t>AUC_%Back_Ext_pred({%})</t>
  </si>
  <si>
    <t>Vz_pred(L/kg)</t>
  </si>
  <si>
    <t>Cl_pred(L/h/kg)</t>
  </si>
  <si>
    <t>AUMClast(h*h*ng/mL)</t>
  </si>
  <si>
    <t>AUMCINF_obs(h*h*ng/mL)</t>
  </si>
  <si>
    <t>AUMC_%Extrap_obs({%})</t>
  </si>
  <si>
    <t>AUMCINF_pred(h*h*ng/mL)</t>
  </si>
  <si>
    <t>AUMC_%Extrap_pred({%})</t>
  </si>
  <si>
    <t>MRTlast(h)</t>
  </si>
  <si>
    <t>MRTINF_obs(h)</t>
  </si>
  <si>
    <t>MRTINF_pred(h)</t>
  </si>
  <si>
    <t>Vss_obs(L/kg)</t>
  </si>
  <si>
    <t>Vss_pred(L/kg)</t>
  </si>
  <si>
    <t>Tlag(h)</t>
  </si>
  <si>
    <t>Vz_F_obs(L/kg)</t>
  </si>
  <si>
    <t>Cl_F_obs(L/h/kg)</t>
  </si>
  <si>
    <t>Vz_F_pred(L/kg)</t>
  </si>
  <si>
    <t>Cl_F_pred(L/h/kg)</t>
  </si>
  <si>
    <t>Peak Name: Tolbutamide</t>
  </si>
  <si>
    <t>Use as Internal Standard</t>
  </si>
  <si>
    <t>Q1/Q3 Masses: 271.10/155.00 Da</t>
  </si>
  <si>
    <t>Peak Name: HW356009</t>
  </si>
  <si>
    <t>Internal Standard: Tolbutamide</t>
  </si>
  <si>
    <t>Q1/Q3 Masses: 604.30/411.20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</si>
  <si>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</si>
  <si>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</si>
  <si>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</si>
  <si>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</si>
  <si>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</si>
  <si>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</si>
  <si>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</si>
  <si>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</si>
  <si>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</si>
  <si>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</si>
  <si>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</si>
  <si>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</si>
  <si>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</si>
  <si>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</si>
  <si>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</si>
  <si>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</si>
  <si>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</si>
  <si>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</si>
  <si>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</si>
  <si>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</si>
  <si>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</si>
  <si>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</si>
  <si>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</si>
  <si>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</si>
  <si>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</si>
  <si>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</si>
  <si>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</si>
  <si>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HW356009-20250211-Rat-Plasma\SA.wiff</t>
  </si>
  <si>
    <t>N/A</t>
  </si>
  <si>
    <t>Blank</t>
  </si>
  <si>
    <t>No Peak</t>
  </si>
  <si>
    <t>B-STD1</t>
  </si>
  <si>
    <t>Standard</t>
  </si>
  <si>
    <t>B-STD2</t>
  </si>
  <si>
    <t>B-STD3</t>
  </si>
  <si>
    <t>B-STD4</t>
  </si>
  <si>
    <t>B-STD5</t>
  </si>
  <si>
    <t>B-STD6</t>
  </si>
  <si>
    <t>B-STD7</t>
  </si>
  <si>
    <t>B-STD8</t>
  </si>
  <si>
    <t>B-LQC-1</t>
  </si>
  <si>
    <t>Quality Control</t>
  </si>
  <si>
    <t>B-MQC-1</t>
  </si>
  <si>
    <t>B-HQC-1</t>
  </si>
  <si>
    <t>B-DQC-1</t>
  </si>
  <si>
    <t>B-DQC-2</t>
  </si>
  <si>
    <t>B-DQC-3</t>
  </si>
  <si>
    <t>IV-DOSE-1</t>
  </si>
  <si>
    <t>IV-DOSE-2</t>
  </si>
  <si>
    <t>IV-DOSE-3</t>
  </si>
  <si>
    <t>PO-DOSE-1</t>
  </si>
  <si>
    <t>PO-DOSE-2</t>
  </si>
  <si>
    <t>PO-DOSE-3</t>
  </si>
  <si>
    <t>HW356009-Plasma-1MPK-IV-24hr-Rat1</t>
  </si>
  <si>
    <t>HW356009-Plasma-1MPK-IV-24hr-Rat2</t>
  </si>
  <si>
    <t>HW356009-Plasma-1MPK-IV-24hr-Rat3</t>
  </si>
  <si>
    <t>HW356009-Plasma-1MPK-IV-8hr-Rat1</t>
  </si>
  <si>
    <t>HW356009-Plasma-1MPK-IV-8hr-Rat2</t>
  </si>
  <si>
    <t>HW356009-Plasma-1MPK-IV-8hr-Rat3</t>
  </si>
  <si>
    <t xml:space="preserve">HW356009-Plasma-1MPK-IV-6hr-Rat1 </t>
  </si>
  <si>
    <t>HW356009-Plasma-1MPK-IV-6hr-Rat2</t>
  </si>
  <si>
    <t>HW356009-Plasma-1MPK-IV-6hr-Rat3</t>
  </si>
  <si>
    <t xml:space="preserve">HW356009-Plasma-1MPK-IV-4hr-Rat1 </t>
  </si>
  <si>
    <t>HW356009-Plasma-1MPK-IV-4hr-Rat2</t>
  </si>
  <si>
    <t>HW356009-Plasma-1MPK-IV-4hr-Rat3</t>
  </si>
  <si>
    <t xml:space="preserve">HW356009-Plasma-1MPK-IV-2hr-Rat1 </t>
  </si>
  <si>
    <t xml:space="preserve">HW356009-Plasma-1MPK-IV-2hr-Rat2 </t>
  </si>
  <si>
    <t>HW356009-Plasma-1MPK-IV-2hr-Rat3</t>
  </si>
  <si>
    <t xml:space="preserve">HW356009-Plasma-1MPK-IV-1hr-Rat1 </t>
  </si>
  <si>
    <t xml:space="preserve">HW356009-Plasma-1MPK-IV-1hr-Rat2 </t>
  </si>
  <si>
    <t xml:space="preserve">HW356009-Plasma-1MPK-IV-1hr-Rat3 </t>
  </si>
  <si>
    <t xml:space="preserve">HW356009-Plasma-1MPK-IV-30min-Rat1 </t>
  </si>
  <si>
    <t xml:space="preserve">HW356009-Plasma-1MPK-IV-30min-Rat2 </t>
  </si>
  <si>
    <t xml:space="preserve">HW356009-Plasma-1MPK-IV-30min-Rat3 </t>
  </si>
  <si>
    <t xml:space="preserve">HW356009-Plasma-1MPK-IV-15min-Rat1 </t>
  </si>
  <si>
    <t xml:space="preserve">HW356009-Plasma-1MPK-IV-15min-Rat2 </t>
  </si>
  <si>
    <t xml:space="preserve">HW356009-Plasma-1MPK-IV-15min-Rat3 </t>
  </si>
  <si>
    <t xml:space="preserve">HW356009-Plasma-1MPK-IV-5min-Rat1 </t>
  </si>
  <si>
    <t xml:space="preserve">HW356009-Plasma-1MPK-IV-5min-Rat2  </t>
  </si>
  <si>
    <t xml:space="preserve">HW356009-Plasma-1MPK-IV-5min-Rat3 </t>
  </si>
  <si>
    <t>HW356009-Plasma-10MPK-PO-24hr-Rat4</t>
  </si>
  <si>
    <t>HW356009-Plasma-10MPK-PO-24hr-Rat5</t>
  </si>
  <si>
    <t>HW356009-Plasma-10MPK-PO-24hr-Rat6</t>
  </si>
  <si>
    <t xml:space="preserve">HW356009-Plasma-10MPK-PO-8hr-Rat4 </t>
  </si>
  <si>
    <t xml:space="preserve">HW356009-Plasma-10MPK-PO-8hr-Rat5 </t>
  </si>
  <si>
    <t xml:space="preserve">HW356009-Plasma-10MPK-PO-8hr-Rat6 </t>
  </si>
  <si>
    <t xml:space="preserve">HW356009-Plasma-10MPK-PO-6hr-Rat4 </t>
  </si>
  <si>
    <t xml:space="preserve">HW356009-Plasma-10MPK-PO-6hr-Rat5 </t>
  </si>
  <si>
    <t>HW356009-Plasma-10MPK-PO-6hr-Rat6</t>
  </si>
  <si>
    <t xml:space="preserve">HW356009-Plasma-10MPK-PO-4hr-Rat4 </t>
  </si>
  <si>
    <t xml:space="preserve">HW356009-Plasma-10MPK-PO-4hr-Rat5 </t>
  </si>
  <si>
    <t>HW356009-Plasma-10MPK-PO-4hr-Rat6</t>
  </si>
  <si>
    <t>HW356009-Plasma-10MPK-PO-2hr-Rat4</t>
  </si>
  <si>
    <t xml:space="preserve">HW356009-Plasma-10MPK-PO-2hr-Rat5 </t>
  </si>
  <si>
    <t xml:space="preserve">HW356009-Plasma-10MPK-PO-2hr-Rat6 </t>
  </si>
  <si>
    <t xml:space="preserve">HW356009-Plasma-10MPK-PO-1hr-Rat4 </t>
  </si>
  <si>
    <t xml:space="preserve">HW356009-Plasma-10MPK-PO-1hr-Rat5  </t>
  </si>
  <si>
    <t xml:space="preserve">HW356009-Plasma-10MPK-PO-1hr-Rat6  </t>
  </si>
  <si>
    <t xml:space="preserve">HW356009-Plasma-10MPK-PO-30min-Rat4  </t>
  </si>
  <si>
    <t xml:space="preserve">HW356009-Plasma-10MPK-PO-30min-Rat5  </t>
  </si>
  <si>
    <t xml:space="preserve">HW356009-Plasma-10MPK-PO-30min-Rat6  </t>
  </si>
  <si>
    <t xml:space="preserve">HW356009-Plasma-10MPK-PO-15min-Rat4  </t>
  </si>
  <si>
    <t xml:space="preserve">HW356009-Plasma-10MPK-PO-15min-Rat5  </t>
  </si>
  <si>
    <t xml:space="preserve">HW356009-Plasma-10MPK-PO-15min-Rat6  </t>
  </si>
  <si>
    <t xml:space="preserve">HW356009-Plasma-10MPK-PO-5min-Rat4 </t>
  </si>
  <si>
    <t xml:space="preserve">HW356009-Plasma-10MPK-PO-5min-Rat5 </t>
  </si>
  <si>
    <t xml:space="preserve">HW356009-Plasma-10MPK-PO-5min-Rat6  </t>
  </si>
  <si>
    <t>B-LQC-2</t>
  </si>
  <si>
    <t>B-MQC-2</t>
  </si>
  <si>
    <t>B-HQC-2</t>
  </si>
  <si>
    <r>
      <rPr>
        <sz val="11"/>
        <rFont val="宋体"/>
        <charset val="134"/>
      </rPr>
      <t>内标峰面积均值（</t>
    </r>
    <r>
      <rPr>
        <sz val="11"/>
        <rFont val="Times New Roman"/>
        <family val="1"/>
      </rPr>
      <t>Double Blank</t>
    </r>
    <r>
      <rPr>
        <sz val="11"/>
        <rFont val="宋体"/>
        <charset val="134"/>
      </rPr>
      <t>除外）</t>
    </r>
  </si>
  <si>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</si>
  <si>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</si>
  <si>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</si>
  <si>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</si>
  <si>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</si>
  <si>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</si>
  <si>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</si>
  <si>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family val="1"/>
      </rPr>
      <t>%</t>
    </r>
  </si>
  <si>
    <t>质控样本</t>
  </si>
  <si>
    <t>准确度%</t>
  </si>
  <si>
    <t>B-LQC</t>
  </si>
  <si>
    <t>B-MQC</t>
  </si>
  <si>
    <t>B-HQC</t>
  </si>
  <si>
    <t>B-DQC</t>
  </si>
  <si>
    <t>NA</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</si>
  <si>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</si>
  <si>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t xml:space="preserve">PK </t>
    </r>
    <r>
      <rPr>
        <b/>
        <sz val="11"/>
        <rFont val="宋体"/>
        <charset val="134"/>
      </rPr>
      <t>给药制剂浓度测定</t>
    </r>
  </si>
  <si>
    <t>IV&amp;PO</t>
  </si>
  <si>
    <r>
      <rPr>
        <sz val="11"/>
        <rFont val="宋体"/>
        <charset val="134"/>
      </rPr>
      <t>检测步骤：</t>
    </r>
    <r>
      <rPr>
        <sz val="11"/>
        <rFont val="Times New Roman"/>
        <family val="1"/>
      </rPr>
      <t xml:space="preserve"> (</t>
    </r>
    <r>
      <rPr>
        <sz val="11"/>
        <rFont val="宋体"/>
        <charset val="134"/>
      </rPr>
      <t>将药制剂原液稀释</t>
    </r>
    <r>
      <rPr>
        <sz val="11"/>
        <rFont val="Times New Roman"/>
        <family val="1"/>
      </rPr>
      <t>40000</t>
    </r>
    <r>
      <rPr>
        <sz val="11"/>
        <rFont val="宋体"/>
        <charset val="134"/>
      </rPr>
      <t>倍后进行浓度检测</t>
    </r>
    <r>
      <rPr>
        <sz val="11"/>
        <rFont val="Times New Roman"/>
        <family val="1"/>
      </rPr>
      <t>):</t>
    </r>
  </si>
  <si>
    <r>
      <t>1)</t>
    </r>
    <r>
      <rPr>
        <sz val="11"/>
        <rFont val="宋体"/>
        <charset val="134"/>
      </rPr>
      <t>移取制剂</t>
    </r>
    <r>
      <rPr>
        <sz val="11"/>
        <rFont val="Times New Roman"/>
        <family val="1"/>
      </rPr>
      <t>50μL</t>
    </r>
    <r>
      <rPr>
        <sz val="11"/>
        <rFont val="宋体"/>
        <charset val="134"/>
      </rPr>
      <t>，加入二甲基亚砜</t>
    </r>
    <r>
      <rPr>
        <sz val="11"/>
        <rFont val="Times New Roman"/>
        <family val="1"/>
      </rPr>
      <t>950 μL</t>
    </r>
    <r>
      <rPr>
        <sz val="11"/>
        <rFont val="宋体"/>
        <charset val="134"/>
      </rPr>
      <t>混合均匀（该过程稀释</t>
    </r>
    <r>
      <rPr>
        <sz val="11"/>
        <rFont val="Times New Roman"/>
        <family val="1"/>
      </rPr>
      <t>20</t>
    </r>
    <r>
      <rPr>
        <sz val="11"/>
        <rFont val="宋体"/>
        <charset val="134"/>
      </rPr>
      <t>倍）</t>
    </r>
    <r>
      <rPr>
        <sz val="11"/>
        <rFont val="Times New Roman"/>
        <family val="1"/>
      </rPr>
      <t>;</t>
    </r>
  </si>
  <si>
    <r>
      <t xml:space="preserve">2) </t>
    </r>
    <r>
      <rPr>
        <sz val="11"/>
        <rFont val="宋体"/>
        <charset val="134"/>
      </rPr>
      <t>将第一步中的制剂稀释液移取</t>
    </r>
    <r>
      <rPr>
        <sz val="11"/>
        <rFont val="Times New Roman"/>
        <family val="1"/>
      </rPr>
      <t>10 μL</t>
    </r>
    <r>
      <rPr>
        <sz val="11"/>
        <rFont val="宋体"/>
        <charset val="134"/>
      </rPr>
      <t>，准确加入甲醇</t>
    </r>
    <r>
      <rPr>
        <sz val="11"/>
        <rFont val="Times New Roman"/>
        <family val="1"/>
      </rPr>
      <t>990 μL</t>
    </r>
    <r>
      <rPr>
        <sz val="11"/>
        <rFont val="宋体"/>
        <charset val="134"/>
      </rPr>
      <t>，混合均匀（该过程稀释</t>
    </r>
    <r>
      <rPr>
        <sz val="11"/>
        <rFont val="Times New Roman"/>
        <family val="1"/>
      </rPr>
      <t>100</t>
    </r>
    <r>
      <rPr>
        <sz val="11"/>
        <rFont val="宋体"/>
        <charset val="134"/>
      </rPr>
      <t>倍）；</t>
    </r>
  </si>
  <si>
    <r>
      <t>4)</t>
    </r>
    <r>
      <rPr>
        <sz val="11"/>
        <rFont val="宋体"/>
        <charset val="134"/>
      </rPr>
      <t>将步骤三的溶液移取</t>
    </r>
    <r>
      <rPr>
        <sz val="11"/>
        <rFont val="Times New Roman"/>
        <family val="1"/>
      </rPr>
      <t xml:space="preserve">2.5 μL </t>
    </r>
    <r>
      <rPr>
        <sz val="11"/>
        <rFont val="宋体"/>
        <charset val="134"/>
      </rPr>
      <t>加入到</t>
    </r>
    <r>
      <rPr>
        <sz val="11"/>
        <rFont val="Times New Roman"/>
        <family val="1"/>
      </rPr>
      <t>47.5 μL</t>
    </r>
    <r>
      <rPr>
        <sz val="11"/>
        <rFont val="宋体"/>
        <charset val="134"/>
      </rPr>
      <t>的血浆中，按提取标准和线性一起处理（此过程稀释</t>
    </r>
    <r>
      <rPr>
        <sz val="11"/>
        <rFont val="Times New Roman"/>
        <family val="1"/>
      </rPr>
      <t>20</t>
    </r>
    <r>
      <rPr>
        <sz val="11"/>
        <rFont val="宋体"/>
        <charset val="134"/>
      </rPr>
      <t>倍）。</t>
    </r>
  </si>
  <si>
    <r>
      <rPr>
        <sz val="11"/>
        <rFont val="宋体"/>
        <charset val="134"/>
      </rPr>
      <t>给药方式</t>
    </r>
  </si>
  <si>
    <r>
      <rPr>
        <sz val="11"/>
        <rFont val="宋体"/>
        <charset val="134"/>
      </rPr>
      <t>设计浓度</t>
    </r>
    <r>
      <rPr>
        <sz val="11"/>
        <rFont val="Times New Roman"/>
        <family val="1"/>
      </rPr>
      <t>. (mg/mL)</t>
    </r>
  </si>
  <si>
    <r>
      <rPr>
        <sz val="11"/>
        <rFont val="宋体"/>
        <charset val="134"/>
      </rPr>
      <t>稀释倍数</t>
    </r>
  </si>
  <si>
    <r>
      <rPr>
        <sz val="11"/>
        <rFont val="宋体"/>
        <charset val="134"/>
      </rPr>
      <t>测试浓度</t>
    </r>
    <r>
      <rPr>
        <sz val="11"/>
        <rFont val="Times New Roman"/>
        <family val="1"/>
      </rPr>
      <t>(ng/mL)</t>
    </r>
  </si>
  <si>
    <r>
      <rPr>
        <sz val="11"/>
        <rFont val="宋体"/>
        <charset val="134"/>
      </rPr>
      <t>计算浓度</t>
    </r>
    <r>
      <rPr>
        <sz val="11"/>
        <rFont val="Times New Roman"/>
        <family val="1"/>
      </rPr>
      <t xml:space="preserve"> (mg/mL)</t>
    </r>
  </si>
  <si>
    <r>
      <rPr>
        <sz val="11"/>
        <rFont val="宋体"/>
        <charset val="134"/>
      </rPr>
      <t>平均浓度</t>
    </r>
    <r>
      <rPr>
        <sz val="11"/>
        <rFont val="Times New Roman"/>
        <family val="1"/>
      </rPr>
      <t xml:space="preserve"> (mg/mL)</t>
    </r>
  </si>
  <si>
    <r>
      <rPr>
        <sz val="11"/>
        <rFont val="宋体"/>
        <charset val="134"/>
      </rPr>
      <t>偏差</t>
    </r>
    <r>
      <rPr>
        <sz val="11"/>
        <rFont val="Times New Roman"/>
        <family val="1"/>
      </rPr>
      <t xml:space="preserve"> (%)</t>
    </r>
  </si>
  <si>
    <r>
      <rPr>
        <sz val="11"/>
        <rFont val="宋体"/>
        <charset val="134"/>
      </rPr>
      <t>变异系数</t>
    </r>
    <r>
      <rPr>
        <sz val="11"/>
        <rFont val="Times New Roman"/>
        <family val="1"/>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</si>
  <si>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</si>
  <si>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</si>
  <si>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</si>
  <si>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family val="1"/>
      </rPr>
      <t>(IV</t>
    </r>
    <r>
      <rPr>
        <sz val="11"/>
        <rFont val="宋体"/>
        <charset val="134"/>
      </rPr>
      <t>：</t>
    </r>
    <r>
      <rPr>
        <sz val="11"/>
        <rFont val="Times New Roman"/>
        <family val="1"/>
      </rPr>
      <t>0.2 mg/mL</t>
    </r>
    <r>
      <rPr>
        <sz val="11"/>
        <rFont val="宋体"/>
        <charset val="134"/>
      </rPr>
      <t>，</t>
    </r>
    <r>
      <rPr>
        <sz val="11"/>
        <rFont val="Times New Roman"/>
        <family val="1"/>
      </rPr>
      <t>PO:1 mg/mL)</t>
    </r>
    <r>
      <rPr>
        <sz val="11"/>
        <rFont val="宋体"/>
        <charset val="134"/>
      </rPr>
      <t>比较，</t>
    </r>
    <r>
      <rPr>
        <sz val="11"/>
        <rFont val="Times New Roman"/>
        <family val="1"/>
      </rPr>
      <t xml:space="preserve"> </t>
    </r>
    <r>
      <rPr>
        <sz val="11"/>
        <rFont val="宋体"/>
        <charset val="134"/>
      </rPr>
      <t>剂量浓度在</t>
    </r>
    <r>
      <rPr>
        <sz val="11"/>
        <rFont val="Times New Roman"/>
        <family val="1"/>
      </rPr>
      <t>(± 20%)</t>
    </r>
    <r>
      <rPr>
        <sz val="11"/>
        <rFont val="宋体"/>
        <charset val="134"/>
      </rPr>
      <t>标准范围内。</t>
    </r>
  </si>
  <si>
    <r>
      <rPr>
        <b/>
        <sz val="11"/>
        <color indexed="8"/>
        <rFont val="宋体"/>
        <charset val="134"/>
      </rPr>
      <t>分析方法</t>
    </r>
  </si>
  <si>
    <r>
      <rPr>
        <b/>
        <sz val="11"/>
        <color indexed="8"/>
        <rFont val="宋体"/>
        <charset val="134"/>
      </rPr>
      <t>设备型号</t>
    </r>
  </si>
  <si>
    <t>LC-MS/MS ( Triple Quad 5500+)</t>
  </si>
  <si>
    <r>
      <rPr>
        <b/>
        <sz val="11"/>
        <color indexed="8"/>
        <rFont val="宋体"/>
        <charset val="134"/>
      </rPr>
      <t>设备编号</t>
    </r>
  </si>
  <si>
    <t>LC-MS/MS-004</t>
  </si>
  <si>
    <r>
      <rPr>
        <b/>
        <sz val="11"/>
        <color indexed="8"/>
        <rFont val="宋体"/>
        <charset val="134"/>
      </rPr>
      <t>基质类型</t>
    </r>
  </si>
  <si>
    <t>大鼠血浆</t>
  </si>
  <si>
    <r>
      <rPr>
        <b/>
        <sz val="11"/>
        <color indexed="8"/>
        <rFont val="宋体"/>
        <charset val="134"/>
      </rPr>
      <t>分析物</t>
    </r>
  </si>
  <si>
    <r>
      <rPr>
        <b/>
        <sz val="11"/>
        <color indexed="8"/>
        <rFont val="宋体"/>
        <charset val="134"/>
      </rPr>
      <t>内标</t>
    </r>
  </si>
  <si>
    <t>Tolbutamide</t>
  </si>
  <si>
    <r>
      <rPr>
        <b/>
        <sz val="11"/>
        <color indexed="8"/>
        <rFont val="宋体"/>
        <charset val="134"/>
      </rPr>
      <t>质谱条件</t>
    </r>
  </si>
  <si>
    <r>
      <rPr>
        <sz val="11"/>
        <color rgb="FF000000"/>
        <rFont val="Times New Roman"/>
        <family val="1"/>
      </rPr>
      <t>ESI</t>
    </r>
    <r>
      <rPr>
        <sz val="11"/>
        <color rgb="FF000000"/>
        <rFont val="宋体"/>
        <charset val="134"/>
      </rPr>
      <t>源正离子模式</t>
    </r>
  </si>
  <si>
    <r>
      <rPr>
        <sz val="11"/>
        <color indexed="8"/>
        <rFont val="宋体"/>
        <charset val="134"/>
      </rPr>
      <t>多反应监测</t>
    </r>
  </si>
  <si>
    <t xml:space="preserve"> </t>
  </si>
  <si>
    <r>
      <rPr>
        <b/>
        <sz val="11"/>
        <color indexed="8"/>
        <rFont val="宋体"/>
        <charset val="134"/>
      </rPr>
      <t>液相条件</t>
    </r>
  </si>
  <si>
    <r>
      <rPr>
        <sz val="11"/>
        <rFont val="宋体"/>
        <charset val="134"/>
      </rPr>
      <t>色谱柱</t>
    </r>
  </si>
  <si>
    <t>Synergi 4µm Fusion-RP 80A LC Column 50*2 mm</t>
  </si>
  <si>
    <r>
      <rPr>
        <sz val="11"/>
        <rFont val="宋体"/>
        <charset val="134"/>
      </rPr>
      <t>色谱型号</t>
    </r>
  </si>
  <si>
    <t>Exion LC</t>
  </si>
  <si>
    <r>
      <rPr>
        <sz val="11"/>
        <rFont val="宋体"/>
        <charset val="134"/>
      </rPr>
      <t>流动相</t>
    </r>
  </si>
  <si>
    <r>
      <rPr>
        <sz val="11"/>
        <rFont val="Times New Roman"/>
        <family val="1"/>
      </rPr>
      <t xml:space="preserve">A: </t>
    </r>
    <r>
      <rPr>
        <sz val="11"/>
        <rFont val="宋体"/>
        <charset val="134"/>
      </rPr>
      <t>水（含</t>
    </r>
    <r>
      <rPr>
        <sz val="11"/>
        <rFont val="Times New Roman"/>
        <family val="1"/>
      </rPr>
      <t>0.1%FA</t>
    </r>
    <r>
      <rPr>
        <sz val="11"/>
        <rFont val="宋体"/>
        <charset val="134"/>
      </rPr>
      <t>）</t>
    </r>
  </si>
  <si>
    <r>
      <rPr>
        <sz val="11"/>
        <rFont val="Times New Roman"/>
        <family val="1"/>
      </rPr>
      <t>B:</t>
    </r>
    <r>
      <rPr>
        <sz val="11"/>
        <rFont val="宋体"/>
        <charset val="134"/>
      </rPr>
      <t>乙腈</t>
    </r>
  </si>
  <si>
    <r>
      <rPr>
        <sz val="11"/>
        <rFont val="宋体"/>
        <charset val="134"/>
      </rPr>
      <t>液相程序</t>
    </r>
  </si>
  <si>
    <r>
      <rPr>
        <sz val="11"/>
        <rFont val="宋体"/>
        <charset val="134"/>
      </rPr>
      <t>时间</t>
    </r>
    <r>
      <rPr>
        <sz val="11"/>
        <rFont val="Times New Roman"/>
        <family val="1"/>
      </rPr>
      <t xml:space="preserve"> (min)</t>
    </r>
  </si>
  <si>
    <r>
      <rPr>
        <sz val="11"/>
        <rFont val="宋体"/>
        <charset val="134"/>
      </rPr>
      <t>流速</t>
    </r>
    <r>
      <rPr>
        <sz val="11"/>
        <rFont val="Times New Roman"/>
        <family val="1"/>
      </rPr>
      <t xml:space="preserve"> (mL/min)</t>
    </r>
  </si>
  <si>
    <t>A (%)</t>
  </si>
  <si>
    <t>B (%)</t>
  </si>
  <si>
    <r>
      <rPr>
        <sz val="11"/>
        <rFont val="宋体"/>
        <charset val="134"/>
      </rPr>
      <t>柱温</t>
    </r>
    <r>
      <rPr>
        <sz val="11"/>
        <rFont val="Times New Roman"/>
        <family val="1"/>
      </rPr>
      <t xml:space="preserve"> (°C):</t>
    </r>
  </si>
  <si>
    <r>
      <rPr>
        <sz val="11"/>
        <rFont val="宋体"/>
        <charset val="134"/>
      </rPr>
      <t>进样体积</t>
    </r>
    <r>
      <rPr>
        <sz val="11"/>
        <rFont val="Times New Roman"/>
        <family val="1"/>
      </rPr>
      <t>(μL):</t>
    </r>
  </si>
  <si>
    <r>
      <rPr>
        <sz val="11"/>
        <color indexed="8"/>
        <rFont val="宋体"/>
        <charset val="134"/>
      </rPr>
      <t>保留时间</t>
    </r>
    <r>
      <rPr>
        <sz val="11"/>
        <color indexed="8"/>
        <rFont val="Times New Roman"/>
        <family val="1"/>
      </rPr>
      <t>:</t>
    </r>
  </si>
  <si>
    <t>1.18 min</t>
  </si>
  <si>
    <t>IS:</t>
  </si>
  <si>
    <t>0.85 min</t>
  </si>
  <si>
    <r>
      <rPr>
        <b/>
        <sz val="11"/>
        <color indexed="8"/>
        <rFont val="宋体"/>
        <charset val="134"/>
      </rPr>
      <t>样品前处理</t>
    </r>
  </si>
  <si>
    <r>
      <rPr>
        <sz val="11"/>
        <rFont val="Times New Roman"/>
        <family val="1"/>
      </rPr>
      <t xml:space="preserve">1. </t>
    </r>
    <r>
      <rPr>
        <sz val="11"/>
        <rFont val="宋体"/>
        <charset val="134"/>
      </rPr>
      <t>所有样品完全融化后，混匀</t>
    </r>
    <r>
      <rPr>
        <sz val="11"/>
        <rFont val="Times New Roman"/>
        <family val="1"/>
      </rPr>
      <t>10</t>
    </r>
    <r>
      <rPr>
        <sz val="11"/>
        <rFont val="宋体"/>
        <charset val="134"/>
      </rPr>
      <t>～</t>
    </r>
    <r>
      <rPr>
        <sz val="11"/>
        <rFont val="Times New Roman"/>
        <family val="1"/>
      </rPr>
      <t>30</t>
    </r>
    <r>
      <rPr>
        <sz val="11"/>
        <rFont val="宋体"/>
        <charset val="134"/>
      </rPr>
      <t>秒，</t>
    </r>
    <r>
      <rPr>
        <sz val="11"/>
        <rFont val="Times New Roman"/>
        <family val="1"/>
      </rPr>
      <t>4000 rpm</t>
    </r>
    <r>
      <rPr>
        <sz val="11"/>
        <rFont val="宋体"/>
        <charset val="134"/>
      </rPr>
      <t>、</t>
    </r>
    <r>
      <rPr>
        <sz val="11"/>
        <rFont val="Times New Roman"/>
        <family val="1"/>
      </rPr>
      <t>4 °C</t>
    </r>
    <r>
      <rPr>
        <sz val="11"/>
        <rFont val="宋体"/>
        <charset val="134"/>
      </rPr>
      <t>条件下离心</t>
    </r>
    <r>
      <rPr>
        <sz val="11"/>
        <rFont val="Times New Roman"/>
        <family val="1"/>
      </rPr>
      <t xml:space="preserve">0.5 </t>
    </r>
    <r>
      <rPr>
        <sz val="11"/>
        <rFont val="宋体"/>
        <charset val="134"/>
      </rPr>
      <t>分钟。</t>
    </r>
    <r>
      <rPr>
        <sz val="11"/>
        <rFont val="Times New Roman"/>
        <family val="1"/>
      </rPr>
      <t xml:space="preserve">
2.</t>
    </r>
    <r>
      <rPr>
        <sz val="11"/>
        <rFont val="宋体"/>
        <charset val="134"/>
      </rPr>
      <t>移取</t>
    </r>
    <r>
      <rPr>
        <sz val="11"/>
        <rFont val="Times New Roman"/>
        <family val="1"/>
      </rPr>
      <t>20 μL</t>
    </r>
    <r>
      <rPr>
        <sz val="11"/>
        <rFont val="宋体"/>
        <charset val="134"/>
      </rPr>
      <t>血浆样品（空白样品加</t>
    </r>
    <r>
      <rPr>
        <sz val="11"/>
        <rFont val="Times New Roman"/>
        <family val="1"/>
      </rPr>
      <t>20 μL</t>
    </r>
    <r>
      <rPr>
        <sz val="11"/>
        <rFont val="宋体"/>
        <charset val="134"/>
      </rPr>
      <t>空白血浆）至</t>
    </r>
    <r>
      <rPr>
        <sz val="11"/>
        <rFont val="Times New Roman"/>
        <family val="1"/>
      </rPr>
      <t xml:space="preserve">96 </t>
    </r>
    <r>
      <rPr>
        <sz val="11"/>
        <rFont val="宋体"/>
        <charset val="134"/>
      </rPr>
      <t>孔板中，加入</t>
    </r>
    <r>
      <rPr>
        <sz val="11"/>
        <rFont val="Times New Roman"/>
        <family val="1"/>
      </rPr>
      <t>200 μL</t>
    </r>
    <r>
      <rPr>
        <sz val="11"/>
        <rFont val="宋体"/>
        <charset val="134"/>
      </rPr>
      <t>（</t>
    </r>
    <r>
      <rPr>
        <sz val="11"/>
        <rFont val="Times New Roman"/>
        <family val="1"/>
      </rPr>
      <t>50%</t>
    </r>
    <r>
      <rPr>
        <sz val="11"/>
        <rFont val="宋体"/>
        <charset val="134"/>
      </rPr>
      <t>甲醇乙腈溶液（浓度：</t>
    </r>
    <r>
      <rPr>
        <sz val="11"/>
        <rFont val="Times New Roman"/>
        <family val="1"/>
      </rPr>
      <t>100 ng/mL</t>
    </r>
    <r>
      <rPr>
        <sz val="11"/>
        <rFont val="宋体"/>
        <charset val="134"/>
      </rPr>
      <t>））溶液（</t>
    </r>
    <r>
      <rPr>
        <sz val="11"/>
        <rFont val="Times New Roman"/>
        <family val="1"/>
      </rPr>
      <t>Doubleblank</t>
    </r>
    <r>
      <rPr>
        <sz val="11"/>
        <rFont val="宋体"/>
        <charset val="134"/>
      </rPr>
      <t>样品加入</t>
    </r>
    <r>
      <rPr>
        <sz val="11"/>
        <rFont val="Times New Roman"/>
        <family val="1"/>
      </rPr>
      <t>200 μL50%</t>
    </r>
    <r>
      <rPr>
        <sz val="11"/>
        <rFont val="宋体"/>
        <charset val="134"/>
      </rPr>
      <t>甲醇乙腈溶液）。</t>
    </r>
    <r>
      <rPr>
        <sz val="11"/>
        <rFont val="Times New Roman"/>
        <family val="1"/>
      </rPr>
      <t xml:space="preserve">
3. </t>
    </r>
    <r>
      <rPr>
        <sz val="11"/>
        <rFont val="宋体"/>
        <charset val="134"/>
      </rPr>
      <t>将样品涡旋</t>
    </r>
    <r>
      <rPr>
        <sz val="11"/>
        <rFont val="Times New Roman"/>
        <family val="1"/>
      </rPr>
      <t>5</t>
    </r>
    <r>
      <rPr>
        <sz val="11"/>
        <rFont val="宋体"/>
        <charset val="134"/>
      </rPr>
      <t>分钟后，在</t>
    </r>
    <r>
      <rPr>
        <sz val="11"/>
        <rFont val="Times New Roman"/>
        <family val="1"/>
      </rPr>
      <t>4000 rpm</t>
    </r>
    <r>
      <rPr>
        <sz val="11"/>
        <rFont val="宋体"/>
        <charset val="134"/>
      </rPr>
      <t>、</t>
    </r>
    <r>
      <rPr>
        <sz val="11"/>
        <rFont val="Times New Roman"/>
        <family val="1"/>
      </rPr>
      <t>4 °C</t>
    </r>
    <r>
      <rPr>
        <sz val="11"/>
        <rFont val="宋体"/>
        <charset val="134"/>
      </rPr>
      <t>条件下离心</t>
    </r>
    <r>
      <rPr>
        <sz val="11"/>
        <rFont val="Times New Roman"/>
        <family val="1"/>
      </rPr>
      <t xml:space="preserve">10 </t>
    </r>
    <r>
      <rPr>
        <sz val="11"/>
        <rFont val="宋体"/>
        <charset val="134"/>
      </rPr>
      <t>分钟，移取</t>
    </r>
    <r>
      <rPr>
        <sz val="11"/>
        <rFont val="Times New Roman"/>
        <family val="1"/>
      </rPr>
      <t>100 μL</t>
    </r>
    <r>
      <rPr>
        <sz val="11"/>
        <rFont val="宋体"/>
        <charset val="134"/>
      </rPr>
      <t>加入到</t>
    </r>
    <r>
      <rPr>
        <sz val="11"/>
        <rFont val="Times New Roman"/>
        <family val="1"/>
      </rPr>
      <t>100 μL</t>
    </r>
    <r>
      <rPr>
        <sz val="11"/>
        <rFont val="宋体"/>
        <charset val="134"/>
      </rPr>
      <t>水中，混合均匀，交由</t>
    </r>
    <r>
      <rPr>
        <sz val="11"/>
        <rFont val="Times New Roman"/>
        <family val="1"/>
      </rPr>
      <t>LC-MS/MS</t>
    </r>
    <r>
      <rPr>
        <sz val="11"/>
        <rFont val="宋体"/>
        <charset val="134"/>
      </rPr>
      <t>分析。</t>
    </r>
  </si>
  <si>
    <r>
      <rPr>
        <b/>
        <sz val="11"/>
        <color indexed="8"/>
        <rFont val="宋体"/>
        <charset val="134"/>
      </rPr>
      <t>线性范围</t>
    </r>
  </si>
  <si>
    <t>1-2000 ng/mL</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</si>
  <si>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</si>
  <si>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</si>
  <si>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</si>
  <si>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</si>
  <si>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</si>
  <si>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</si>
  <si>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</si>
  <si>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t>RT</t>
  </si>
  <si>
    <r>
      <rPr>
        <sz val="11"/>
        <color rgb="FF000000"/>
        <rFont val="宋体"/>
        <charset val="134"/>
      </rPr>
      <t>游离形式</t>
    </r>
  </si>
  <si>
    <t>-</t>
  </si>
  <si>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</si>
  <si>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</si>
  <si>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</si>
  <si>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family val="1"/>
      </rPr>
      <t>5%DMSO+10%Solutol+85%Saline</t>
    </r>
  </si>
  <si>
    <r>
      <rPr>
        <b/>
        <sz val="11"/>
        <color indexed="8"/>
        <rFont val="宋体"/>
        <charset val="134"/>
      </rPr>
      <t>实验动物</t>
    </r>
  </si>
  <si>
    <r>
      <rPr>
        <sz val="11"/>
        <color rgb="FF000000"/>
        <rFont val="宋体"/>
        <charset val="134"/>
      </rPr>
      <t>种属：</t>
    </r>
    <r>
      <rPr>
        <sz val="11"/>
        <color rgb="FF000000"/>
        <rFont val="Times New Roman"/>
        <family val="1"/>
      </rPr>
      <t>SD</t>
    </r>
    <r>
      <rPr>
        <sz val="11"/>
        <color rgb="FF000000"/>
        <rFont val="宋体"/>
        <charset val="134"/>
      </rPr>
      <t>大鼠，</t>
    </r>
    <r>
      <rPr>
        <sz val="11"/>
        <color rgb="FF000000"/>
        <rFont val="Times New Roman"/>
        <family val="1"/>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</si>
  <si>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</si>
  <si>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family val="1"/>
      </rPr>
      <t>8</t>
    </r>
    <r>
      <rPr>
        <sz val="11"/>
        <color rgb="FF000000"/>
        <rFont val="宋体"/>
        <charset val="134"/>
      </rPr>
      <t>只。实验需要：雄性</t>
    </r>
    <r>
      <rPr>
        <sz val="11"/>
        <color rgb="FF000000"/>
        <rFont val="Times New Roman"/>
        <family val="1"/>
      </rPr>
      <t>6</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</si>
  <si>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</si>
  <si>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</si>
  <si>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</si>
  <si>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</si>
  <si>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</si>
  <si>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</si>
  <si>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</si>
  <si>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</si>
  <si>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</si>
  <si>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</si>
  <si>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rgb="FF000000"/>
        <rFont val="宋体"/>
        <charset val="134"/>
      </rPr>
      <t>雄性</t>
    </r>
  </si>
  <si>
    <t>(mg/kg)</t>
  </si>
  <si>
    <t>(mg/mL)</t>
  </si>
  <si>
    <t>(mL/kg)</t>
  </si>
  <si>
    <r>
      <rPr>
        <sz val="11"/>
        <color rgb="FF000000"/>
        <rFont val="Times New Roman"/>
        <family val="1"/>
      </rPr>
      <t>IV</t>
    </r>
    <r>
      <rPr>
        <sz val="11"/>
        <color rgb="FF000000"/>
        <rFont val="宋体"/>
        <charset val="134"/>
      </rPr>
      <t>，单次</t>
    </r>
  </si>
  <si>
    <r>
      <rPr>
        <sz val="11"/>
        <color rgb="FF000000"/>
        <rFont val="宋体"/>
        <charset val="134"/>
      </rPr>
      <t>血浆</t>
    </r>
  </si>
  <si>
    <r>
      <rPr>
        <sz val="11"/>
        <color rgb="FF000000"/>
        <rFont val="Times New Roman"/>
        <family val="1"/>
      </rPr>
      <t>PO*</t>
    </r>
    <r>
      <rPr>
        <sz val="11"/>
        <color rgb="FF000000"/>
        <rFont val="宋体"/>
        <charset val="134"/>
      </rPr>
      <t>，单次</t>
    </r>
  </si>
  <si>
    <r>
      <rPr>
        <sz val="11"/>
        <color rgb="FF000000"/>
        <rFont val="宋体"/>
        <charset val="134"/>
      </rPr>
      <t>注：</t>
    </r>
    <r>
      <rPr>
        <sz val="11"/>
        <color rgb="FF000000"/>
        <rFont val="Times New Roman"/>
        <family val="1"/>
      </rPr>
      <t xml:space="preserve"> *, </t>
    </r>
    <r>
      <rPr>
        <sz val="11"/>
        <color rgb="FF000000"/>
        <rFont val="宋体"/>
        <charset val="134"/>
      </rPr>
      <t>口服给药组动物给药前禁食过夜（</t>
    </r>
    <r>
      <rPr>
        <sz val="11"/>
        <color rgb="FF000000"/>
        <rFont val="Times New Roman"/>
        <family val="1"/>
      </rPr>
      <t>10-14</t>
    </r>
    <r>
      <rPr>
        <sz val="11"/>
        <color rgb="FF000000"/>
        <rFont val="宋体"/>
        <charset val="134"/>
      </rPr>
      <t>小时），给药</t>
    </r>
    <r>
      <rPr>
        <sz val="11"/>
        <color rgb="FF000000"/>
        <rFont val="Times New Roman"/>
        <family val="1"/>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</si>
  <si>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</si>
  <si>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给药前称重，根据体重，计算给药量。通过静脉注射和灌胃口服给药。</t>
    </r>
  </si>
  <si>
    <r>
      <rPr>
        <b/>
        <sz val="11"/>
        <color indexed="8"/>
        <rFont val="宋体"/>
        <charset val="134"/>
      </rPr>
      <t>采血时间点：</t>
    </r>
  </si>
  <si>
    <r>
      <rPr>
        <sz val="11"/>
        <color rgb="FF000000"/>
        <rFont val="宋体"/>
        <charset val="134"/>
      </rPr>
      <t>给药后：</t>
    </r>
    <r>
      <rPr>
        <sz val="11"/>
        <color rgb="FF000000"/>
        <rFont val="Times New Roman"/>
        <family val="1"/>
      </rPr>
      <t>0.083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</si>
  <si>
    <r>
      <rPr>
        <sz val="11"/>
        <color rgb="FF000000"/>
        <rFont val="宋体"/>
        <charset val="134"/>
      </rPr>
      <t>经颈静脉采血，每个样品采集约</t>
    </r>
    <r>
      <rPr>
        <sz val="11"/>
        <color rgb="FF000000"/>
        <rFont val="Times New Roman"/>
        <family val="1"/>
      </rPr>
      <t>0.25 mL</t>
    </r>
    <r>
      <rPr>
        <sz val="11"/>
        <color rgb="FF000000"/>
        <rFont val="宋体"/>
        <charset val="134"/>
      </rPr>
      <t>，</t>
    </r>
    <r>
      <rPr>
        <sz val="11"/>
        <color rgb="FF000000"/>
        <rFont val="Times New Roman"/>
        <family val="1"/>
      </rPr>
      <t>EDTA-K2</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</si>
  <si>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</si>
  <si>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</si>
  <si>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</si>
  <si>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</si>
  <si>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</si>
  <si>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family val="1"/>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</si>
</sst>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 #,##0.00_ ;_ * \-#,##0.00_ ;_ * &quot;-&quot;??_ ;_ @_ "/>
    <numFmt numFmtId="176" formatCode="0.00_ "/>
    <numFmt numFmtId="177" formatCode="0_ "/>
    <numFmt numFmtId="178" formatCode="0.0"/>
    <numFmt numFmtId="179" formatCode="0.0_ "/>
    <numFmt numFmtId="180" formatCode="0_);[Red]\(0\)"/>
    <numFmt numFmtId="181" formatCode="0.00_);[Red]\(0.00\)"/>
    <numFmt numFmtId="182" formatCode="0.000_ "/>
    <numFmt numFmtId="183" formatCode="0.0_);[Red]\(0.0\)"/>
    <numFmt numFmtId="184" formatCode="0.0000_ "/>
    <numFmt numFmtId="185" formatCode="0.000"/>
    <numFmt numFmtId="186" formatCode="0.0000"/>
    <numFmt numFmtId="187" formatCode="0.00000"/>
  </numFmts>
  <fonts count="59"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name val="Times New Roman"/>
      <family val="1"/>
    </font>
    <font>
      <sz val="11"/>
      <color rgb="FF000000"/>
      <name val="Times New Roman"/>
      <family val="1"/>
    </font>
    <font>
      <sz val="11"/>
      <color rgb="FF000000"/>
      <name val="宋体"/>
      <charset val="134"/>
    </font>
    <font>
      <b/>
      <sz val="11"/>
      <color rgb="FF000000"/>
      <name val="Times New Roman"/>
      <family val="1"/>
    </font>
    <font>
      <sz val="10.5"/>
      <color theme="1"/>
      <name val="Times New Roman"/>
      <family val="1"/>
    </font>
    <font>
      <b/>
      <sz val="11"/>
      <name val="Times New Roman"/>
      <family val="1"/>
    </font>
    <font>
      <b/>
      <u/>
      <sz val="11"/>
      <name val="Times New Roman"/>
      <family val="1"/>
    </font>
    <font>
      <b/>
      <sz val="11"/>
      <name val="宋体"/>
      <charset val="134"/>
    </font>
    <font>
      <b/>
      <sz val="14"/>
      <name val="Times New Roman"/>
      <family val="1"/>
    </font>
    <font>
      <b/>
      <sz val="12"/>
      <name val="宋体"/>
      <charset val="134"/>
    </font>
    <font>
      <b/>
      <sz val="12"/>
      <name val="Times New Roman"/>
      <family val="1"/>
    </font>
    <font>
      <sz val="11"/>
      <name val="宋体"/>
      <charset val="134"/>
    </font>
    <font>
      <sz val="11"/>
      <color rgb="FFFF0000"/>
      <name val="Times New Roman"/>
      <family val="1"/>
    </font>
    <font>
      <sz val="12"/>
      <name val="Times New Roman"/>
      <family val="1"/>
    </font>
    <font>
      <sz val="16"/>
      <name val="Times New Roman"/>
      <family val="1"/>
    </font>
    <font>
      <b/>
      <sz val="12"/>
      <color theme="1"/>
      <name val="Times New Roman"/>
      <family val="1"/>
    </font>
    <font>
      <sz val="12"/>
      <color theme="1"/>
      <name val="Times New Roman"/>
      <family val="1"/>
    </font>
    <font>
      <sz val="12"/>
      <name val="宋体"/>
      <charset val="134"/>
    </font>
    <font>
      <b/>
      <sz val="12"/>
      <color indexed="8"/>
      <name val="Times New Roman"/>
      <family val="1"/>
    </font>
    <font>
      <sz val="10"/>
      <name val="Times New Roman"/>
      <family val="1"/>
    </font>
    <font>
      <sz val="12"/>
      <color indexed="8"/>
      <name val="Times New Roman"/>
      <family val="1"/>
    </font>
    <font>
      <sz val="11"/>
      <color theme="1"/>
      <name val="宋体"/>
      <charset val="134"/>
      <scheme val="minor"/>
    </font>
    <font>
      <sz val="12"/>
      <color indexed="8"/>
      <name val="Calibri"/>
      <family val="2"/>
    </font>
    <font>
      <sz val="12"/>
      <color indexed="9"/>
      <name val="Calibri"/>
      <family val="2"/>
    </font>
    <font>
      <sz val="12"/>
      <color indexed="14"/>
      <name val="Calibri"/>
      <family val="2"/>
    </font>
    <font>
      <b/>
      <sz val="12"/>
      <color indexed="52"/>
      <name val="Calibri"/>
      <family val="2"/>
    </font>
    <font>
      <b/>
      <sz val="12"/>
      <color indexed="9"/>
      <name val="Calibri"/>
      <family val="2"/>
    </font>
    <font>
      <i/>
      <sz val="12"/>
      <color indexed="23"/>
      <name val="Calibri"/>
      <family val="2"/>
    </font>
    <font>
      <sz val="12"/>
      <color indexed="17"/>
      <name val="Calibri"/>
      <family val="2"/>
    </font>
    <font>
      <b/>
      <sz val="15"/>
      <color indexed="62"/>
      <name val="Calibri"/>
      <family val="2"/>
    </font>
    <font>
      <b/>
      <sz val="13"/>
      <color indexed="62"/>
      <name val="Calibri"/>
      <family val="2"/>
    </font>
    <font>
      <b/>
      <sz val="11"/>
      <color indexed="62"/>
      <name val="Calibri"/>
      <family val="2"/>
    </font>
    <font>
      <sz val="12"/>
      <color indexed="62"/>
      <name val="Calibri"/>
      <family val="2"/>
    </font>
    <font>
      <sz val="12"/>
      <color indexed="52"/>
      <name val="Calibri"/>
      <family val="2"/>
    </font>
    <font>
      <sz val="12"/>
      <color indexed="60"/>
      <name val="Calibri"/>
      <family val="2"/>
    </font>
    <font>
      <sz val="10"/>
      <color indexed="0"/>
      <name val="Arial"/>
      <family val="2"/>
    </font>
    <font>
      <sz val="10"/>
      <name val="Arial"/>
      <family val="2"/>
    </font>
    <font>
      <sz val="11"/>
      <color indexed="8"/>
      <name val="宋体"/>
      <charset val="134"/>
    </font>
    <font>
      <b/>
      <sz val="12"/>
      <color indexed="63"/>
      <name val="Calibri"/>
      <family val="2"/>
    </font>
    <font>
      <sz val="10"/>
      <color indexed="8"/>
      <name val="Arial"/>
      <family val="2"/>
    </font>
    <font>
      <b/>
      <sz val="18"/>
      <color indexed="62"/>
      <name val="Cambria"/>
      <family val="1"/>
    </font>
    <font>
      <b/>
      <sz val="12"/>
      <color indexed="8"/>
      <name val="Calibri"/>
      <family val="2"/>
    </font>
    <font>
      <sz val="12"/>
      <color indexed="10"/>
      <name val="Calibri"/>
      <family val="2"/>
    </font>
    <font>
      <sz val="10"/>
      <name val="Tahoma"/>
      <family val="2"/>
    </font>
    <font>
      <sz val="10"/>
      <name val="MS Sans Serif"/>
      <family val="2"/>
    </font>
    <font>
      <sz val="12"/>
      <color theme="1"/>
      <name val="宋体"/>
      <charset val="134"/>
    </font>
    <font>
      <b/>
      <sz val="11"/>
      <color indexed="8"/>
      <name val="宋体"/>
      <charset val="134"/>
    </font>
    <font>
      <vertAlign val="subscript"/>
      <sz val="11"/>
      <name val="Times New Roman"/>
      <family val="1"/>
    </font>
    <font>
      <vertAlign val="subscript"/>
      <sz val="11"/>
      <name val="宋体"/>
      <charset val="134"/>
    </font>
    <font>
      <b/>
      <sz val="12"/>
      <color theme="1"/>
      <name val="宋体"/>
      <charset val="134"/>
    </font>
    <font>
      <b/>
      <u/>
      <sz val="11"/>
      <name val="宋体"/>
      <charset val="134"/>
    </font>
    <font>
      <b/>
      <sz val="11"/>
      <color rgb="FF000000"/>
      <name val="宋体"/>
      <charset val="134"/>
    </font>
    <font>
      <sz val="16"/>
      <name val="宋体"/>
      <charset val="134"/>
    </font>
    <font>
      <sz val="9"/>
      <name val="宋体"/>
      <charset val="134"/>
      <scheme val="minor"/>
    </font>
    <font>
      <sz val="9"/>
      <name val="宋体"/>
      <family val="3"/>
      <charset val="134"/>
      <scheme val="minor"/>
    </font>
  </fonts>
  <fills count="25">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theme="9" tint="0.59999389629810485"/>
        <bgColor indexed="64"/>
      </patternFill>
    </fill>
    <fill>
      <patternFill patternType="solid">
        <fgColor indexed="9"/>
        <bgColor indexed="64"/>
      </patternFill>
    </fill>
    <fill>
      <patternFill patternType="solid">
        <fgColor indexed="47"/>
        <bgColor indexed="64"/>
      </patternFill>
    </fill>
    <fill>
      <patternFill patternType="solid">
        <fgColor theme="5" tint="0.79976805932798245"/>
        <bgColor indexed="64"/>
      </patternFill>
    </fill>
    <fill>
      <patternFill patternType="solid">
        <fgColor theme="5" tint="0.79973754081850645"/>
        <bgColor indexed="64"/>
      </patternFill>
    </fill>
    <fill>
      <patternFill patternType="solid">
        <fgColor indexed="26"/>
        <bgColor indexed="64"/>
      </patternFill>
    </fill>
    <fill>
      <patternFill patternType="solid">
        <fgColor theme="7" tint="0.79976805932798245"/>
        <bgColor indexed="64"/>
      </patternFill>
    </fill>
    <fill>
      <patternFill patternType="solid">
        <fgColor theme="7" tint="0.79973754081850645"/>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39">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329">
    <xf numFmtId="0" fontId="0" fillId="0" borderId="0"/>
    <xf numFmtId="0" fontId="26" fillId="6"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5" fillId="8" borderId="0" applyNumberFormat="0" applyBorder="0" applyAlignment="0" applyProtection="0">
      <alignment vertical="center"/>
    </xf>
    <xf numFmtId="0" fontId="26" fillId="7" borderId="0" applyNumberFormat="0" applyBorder="0" applyAlignment="0" applyProtection="0"/>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6" fillId="7" borderId="0" applyNumberFormat="0" applyBorder="0" applyAlignment="0" applyProtection="0"/>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8" borderId="0" applyNumberFormat="0" applyBorder="0" applyAlignment="0" applyProtection="0">
      <alignment vertical="center"/>
    </xf>
    <xf numFmtId="0" fontId="26" fillId="10" borderId="0" applyNumberFormat="0" applyBorder="0" applyAlignment="0" applyProtection="0"/>
    <xf numFmtId="0" fontId="26" fillId="10" borderId="0" applyNumberFormat="0" applyBorder="0" applyAlignment="0" applyProtection="0"/>
    <xf numFmtId="0" fontId="26" fillId="6" borderId="0" applyNumberFormat="0" applyBorder="0" applyAlignment="0" applyProtection="0"/>
    <xf numFmtId="0" fontId="25" fillId="11" borderId="0" applyNumberFormat="0" applyBorder="0" applyAlignment="0" applyProtection="0">
      <alignment vertical="center"/>
    </xf>
    <xf numFmtId="0" fontId="26" fillId="6" borderId="0" applyNumberFormat="0" applyBorder="0" applyAlignment="0" applyProtection="0"/>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6" fillId="6" borderId="0" applyNumberFormat="0" applyBorder="0" applyAlignment="0" applyProtection="0"/>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5" fillId="11" borderId="0" applyNumberFormat="0" applyBorder="0" applyAlignment="0" applyProtection="0">
      <alignment vertical="center"/>
    </xf>
    <xf numFmtId="0" fontId="26" fillId="13" borderId="0" applyNumberFormat="0" applyBorder="0" applyAlignment="0" applyProtection="0"/>
    <xf numFmtId="0" fontId="26" fillId="13"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5"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6" borderId="0" applyNumberFormat="0" applyBorder="0" applyAlignment="0" applyProtection="0"/>
    <xf numFmtId="0" fontId="26" fillId="14" borderId="0" applyNumberFormat="0" applyBorder="0" applyAlignment="0" applyProtection="0"/>
    <xf numFmtId="0" fontId="26" fillId="14" borderId="0" applyNumberFormat="0" applyBorder="0" applyAlignment="0" applyProtection="0"/>
    <xf numFmtId="0" fontId="26" fillId="17" borderId="0" applyNumberFormat="0" applyBorder="0" applyAlignment="0" applyProtection="0"/>
    <xf numFmtId="0" fontId="26" fillId="17" borderId="0" applyNumberFormat="0" applyBorder="0" applyAlignment="0" applyProtection="0"/>
    <xf numFmtId="0" fontId="26" fillId="7" borderId="0" applyNumberFormat="0" applyBorder="0" applyAlignment="0" applyProtection="0"/>
    <xf numFmtId="0" fontId="25" fillId="5" borderId="0" applyNumberFormat="0" applyBorder="0" applyAlignment="0" applyProtection="0">
      <alignment vertical="center"/>
    </xf>
    <xf numFmtId="0" fontId="26" fillId="7" borderId="0" applyNumberFormat="0" applyBorder="0" applyAlignment="0" applyProtection="0"/>
    <xf numFmtId="0" fontId="25" fillId="5" borderId="0" applyNumberFormat="0" applyBorder="0" applyAlignment="0" applyProtection="0">
      <alignment vertical="center"/>
    </xf>
    <xf numFmtId="0" fontId="26" fillId="7" borderId="0" applyNumberFormat="0" applyBorder="0" applyAlignment="0" applyProtection="0"/>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7" fillId="18" borderId="0" applyNumberFormat="0" applyBorder="0" applyAlignment="0" applyProtection="0"/>
    <xf numFmtId="0" fontId="27" fillId="18" borderId="0" applyNumberFormat="0" applyBorder="0" applyAlignment="0" applyProtection="0"/>
    <xf numFmtId="0" fontId="27" fillId="15" borderId="0" applyNumberFormat="0" applyBorder="0" applyAlignment="0" applyProtection="0"/>
    <xf numFmtId="0" fontId="27" fillId="15" borderId="0" applyNumberFormat="0" applyBorder="0" applyAlignment="0" applyProtection="0"/>
    <xf numFmtId="0" fontId="27" fillId="16" borderId="0" applyNumberFormat="0" applyBorder="0" applyAlignment="0" applyProtection="0"/>
    <xf numFmtId="0" fontId="27" fillId="16" borderId="0" applyNumberFormat="0" applyBorder="0" applyAlignment="0" applyProtection="0"/>
    <xf numFmtId="0" fontId="27" fillId="14"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7" borderId="0" applyNumberFormat="0" applyBorder="0" applyAlignment="0" applyProtection="0"/>
    <xf numFmtId="0" fontId="27" fillId="7"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21" borderId="0" applyNumberFormat="0" applyBorder="0" applyAlignment="0" applyProtection="0"/>
    <xf numFmtId="0" fontId="27" fillId="21" borderId="0" applyNumberFormat="0" applyBorder="0" applyAlignment="0" applyProtection="0"/>
    <xf numFmtId="0" fontId="28" fillId="22" borderId="0" applyNumberFormat="0" applyBorder="0" applyAlignment="0" applyProtection="0"/>
    <xf numFmtId="0" fontId="28" fillId="22" borderId="0" applyNumberFormat="0" applyBorder="0" applyAlignment="0" applyProtection="0"/>
    <xf numFmtId="0" fontId="29" fillId="6" borderId="30" applyNumberFormat="0" applyAlignment="0" applyProtection="0"/>
    <xf numFmtId="0" fontId="29" fillId="6" borderId="30" applyNumberFormat="0" applyAlignment="0" applyProtection="0"/>
    <xf numFmtId="0" fontId="30" fillId="23" borderId="31" applyNumberFormat="0" applyAlignment="0" applyProtection="0"/>
    <xf numFmtId="0" fontId="30" fillId="23" borderId="31" applyNumberFormat="0" applyAlignment="0" applyProtection="0"/>
    <xf numFmtId="0" fontId="31" fillId="0" borderId="0" applyNumberFormat="0" applyFill="0" applyBorder="0" applyAlignment="0" applyProtection="0"/>
    <xf numFmtId="0" fontId="32" fillId="24" borderId="0" applyNumberFormat="0" applyBorder="0" applyAlignment="0" applyProtection="0"/>
    <xf numFmtId="0" fontId="32" fillId="24" borderId="0" applyNumberFormat="0" applyBorder="0" applyAlignment="0" applyProtection="0"/>
    <xf numFmtId="0" fontId="33" fillId="0" borderId="32" applyNumberFormat="0" applyFill="0" applyAlignment="0" applyProtection="0"/>
    <xf numFmtId="0" fontId="34" fillId="0" borderId="33" applyNumberFormat="0" applyFill="0" applyAlignment="0" applyProtection="0"/>
    <xf numFmtId="0" fontId="35" fillId="0" borderId="34" applyNumberFormat="0" applyFill="0" applyAlignment="0" applyProtection="0"/>
    <xf numFmtId="0" fontId="35" fillId="0" borderId="0" applyNumberFormat="0" applyFill="0" applyBorder="0" applyAlignment="0" applyProtection="0"/>
    <xf numFmtId="0" fontId="36" fillId="7" borderId="30" applyNumberFormat="0" applyAlignment="0" applyProtection="0"/>
    <xf numFmtId="0" fontId="36" fillId="7" borderId="30" applyNumberFormat="0" applyAlignment="0" applyProtection="0"/>
    <xf numFmtId="0" fontId="37" fillId="0" borderId="35" applyNumberFormat="0" applyFill="0" applyAlignment="0" applyProtection="0"/>
    <xf numFmtId="0" fontId="38" fillId="16" borderId="0" applyNumberFormat="0" applyBorder="0" applyAlignment="0" applyProtection="0"/>
    <xf numFmtId="0" fontId="38" fillId="16" borderId="0" applyNumberFormat="0" applyBorder="0" applyAlignment="0" applyProtection="0"/>
    <xf numFmtId="0" fontId="39" fillId="0" borderId="0"/>
    <xf numFmtId="0" fontId="40" fillId="0" borderId="0">
      <alignment vertical="top"/>
    </xf>
    <xf numFmtId="0" fontId="25" fillId="0" borderId="0">
      <alignment vertical="center"/>
    </xf>
    <xf numFmtId="0" fontId="25" fillId="0" borderId="0">
      <alignment vertical="center"/>
    </xf>
    <xf numFmtId="0" fontId="21" fillId="0" borderId="0">
      <alignment vertical="center"/>
    </xf>
    <xf numFmtId="0" fontId="21" fillId="0" borderId="0">
      <alignment vertical="center"/>
    </xf>
    <xf numFmtId="0" fontId="25" fillId="0" borderId="0">
      <alignment vertical="center"/>
    </xf>
    <xf numFmtId="0" fontId="40" fillId="0" borderId="0"/>
    <xf numFmtId="0" fontId="39" fillId="0" borderId="0"/>
    <xf numFmtId="0" fontId="21" fillId="10" borderId="36" applyNumberFormat="0" applyFont="0" applyAlignment="0" applyProtection="0"/>
    <xf numFmtId="0" fontId="25" fillId="4" borderId="29" applyNumberFormat="0" applyFont="0" applyAlignment="0" applyProtection="0"/>
    <xf numFmtId="0" fontId="25"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25"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25" fillId="4" borderId="29" applyNumberFormat="0" applyFont="0" applyAlignment="0" applyProtection="0"/>
    <xf numFmtId="0" fontId="25"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25" fillId="4" borderId="29" applyNumberFormat="0" applyFont="0" applyAlignment="0" applyProtection="0"/>
    <xf numFmtId="0" fontId="25"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41" fillId="4" borderId="29"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21" fillId="10" borderId="36" applyNumberFormat="0" applyFont="0" applyAlignment="0" applyProtection="0"/>
    <xf numFmtId="0" fontId="42" fillId="6" borderId="37" applyNumberFormat="0" applyAlignment="0" applyProtection="0"/>
    <xf numFmtId="0" fontId="42" fillId="6" borderId="37" applyNumberFormat="0" applyAlignment="0" applyProtection="0"/>
    <xf numFmtId="0" fontId="43" fillId="0" borderId="0">
      <alignment vertical="top"/>
    </xf>
    <xf numFmtId="0" fontId="43" fillId="0" borderId="0">
      <alignment vertical="top"/>
    </xf>
    <xf numFmtId="0" fontId="43" fillId="0" borderId="0">
      <alignment vertical="top"/>
    </xf>
    <xf numFmtId="0" fontId="44" fillId="0" borderId="0" applyNumberFormat="0" applyFill="0" applyBorder="0" applyAlignment="0" applyProtection="0"/>
    <xf numFmtId="0" fontId="45" fillId="0" borderId="38" applyNumberFormat="0" applyFill="0" applyAlignment="0" applyProtection="0"/>
    <xf numFmtId="0" fontId="45" fillId="0" borderId="38" applyNumberFormat="0" applyFill="0" applyAlignment="0" applyProtection="0"/>
    <xf numFmtId="0" fontId="46" fillId="0" borderId="0" applyNumberFormat="0" applyFill="0" applyBorder="0" applyAlignment="0" applyProtection="0"/>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0" fontId="47" fillId="0" borderId="0"/>
    <xf numFmtId="0" fontId="25" fillId="0" borderId="0">
      <alignment vertical="center"/>
    </xf>
    <xf numFmtId="0" fontId="47" fillId="0" borderId="0"/>
    <xf numFmtId="0" fontId="25" fillId="0" borderId="0"/>
    <xf numFmtId="0" fontId="25" fillId="0" borderId="0"/>
    <xf numFmtId="0" fontId="47" fillId="0" borderId="0"/>
    <xf numFmtId="0" fontId="25" fillId="0" borderId="0"/>
    <xf numFmtId="0" fontId="25" fillId="0" borderId="0">
      <alignment vertical="center"/>
    </xf>
    <xf numFmtId="0" fontId="47"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1" fillId="0" borderId="0">
      <alignment vertical="center"/>
    </xf>
    <xf numFmtId="0" fontId="25" fillId="0" borderId="0"/>
    <xf numFmtId="0" fontId="25" fillId="0" borderId="0"/>
    <xf numFmtId="0" fontId="47" fillId="0" borderId="0"/>
    <xf numFmtId="0" fontId="47" fillId="0" borderId="0"/>
    <xf numFmtId="0" fontId="47" fillId="0" borderId="0"/>
    <xf numFmtId="0" fontId="47" fillId="0" borderId="0"/>
    <xf numFmtId="0" fontId="25" fillId="0" borderId="0">
      <alignment vertical="center"/>
    </xf>
    <xf numFmtId="0" fontId="25" fillId="0" borderId="0">
      <alignment vertical="center"/>
    </xf>
    <xf numFmtId="0" fontId="47" fillId="0" borderId="0"/>
    <xf numFmtId="0" fontId="21" fillId="0" borderId="0">
      <alignment vertical="top"/>
    </xf>
    <xf numFmtId="0" fontId="47" fillId="0" borderId="0"/>
    <xf numFmtId="0" fontId="25" fillId="0" borderId="0">
      <alignment vertical="center"/>
    </xf>
    <xf numFmtId="0" fontId="47"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xf numFmtId="0" fontId="21" fillId="0" borderId="0"/>
    <xf numFmtId="0" fontId="21" fillId="0" borderId="0"/>
    <xf numFmtId="0" fontId="21" fillId="0" borderId="0"/>
    <xf numFmtId="0" fontId="21" fillId="0" borderId="0">
      <alignment vertical="top"/>
    </xf>
    <xf numFmtId="0" fontId="21" fillId="0" borderId="0">
      <alignment vertical="top"/>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1" fillId="0" borderId="0">
      <alignment vertical="top"/>
    </xf>
    <xf numFmtId="0" fontId="25" fillId="0" borderId="0">
      <alignment vertical="center"/>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5" fillId="0" borderId="0">
      <alignment vertical="center"/>
    </xf>
    <xf numFmtId="0" fontId="47"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7" fillId="0" borderId="0"/>
    <xf numFmtId="0" fontId="47" fillId="0" borderId="0"/>
    <xf numFmtId="0" fontId="47" fillId="0" borderId="0"/>
    <xf numFmtId="0" fontId="47" fillId="0" borderId="0"/>
    <xf numFmtId="0" fontId="47" fillId="0" borderId="0"/>
    <xf numFmtId="0" fontId="25" fillId="0" borderId="0"/>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21" fillId="0" borderId="0">
      <alignment vertical="top"/>
    </xf>
    <xf numFmtId="0" fontId="48" fillId="0" borderId="0">
      <alignment vertical="top"/>
    </xf>
    <xf numFmtId="0" fontId="21" fillId="0" borderId="0">
      <alignment vertical="top"/>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7" fillId="0" borderId="0"/>
    <xf numFmtId="0" fontId="25" fillId="0" borderId="0"/>
    <xf numFmtId="0" fontId="47" fillId="0" borderId="0"/>
    <xf numFmtId="0" fontId="47" fillId="0" borderId="0"/>
    <xf numFmtId="0" fontId="25" fillId="0" borderId="0">
      <alignment vertical="center"/>
    </xf>
    <xf numFmtId="0" fontId="25" fillId="0" borderId="0">
      <alignment vertical="center"/>
    </xf>
    <xf numFmtId="0" fontId="25" fillId="0" borderId="0">
      <alignment vertical="center"/>
    </xf>
    <xf numFmtId="0" fontId="47" fillId="0" borderId="0"/>
    <xf numFmtId="0" fontId="25" fillId="0" borderId="0">
      <alignment vertical="center"/>
    </xf>
    <xf numFmtId="0" fontId="47" fillId="0" borderId="0"/>
    <xf numFmtId="0" fontId="25" fillId="0" borderId="0"/>
    <xf numFmtId="0" fontId="25" fillId="0" borderId="0"/>
    <xf numFmtId="0" fontId="25" fillId="0" borderId="0"/>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xf numFmtId="0" fontId="25" fillId="0" borderId="0">
      <alignment vertical="center"/>
    </xf>
    <xf numFmtId="0" fontId="25" fillId="0" borderId="0">
      <alignment vertical="center"/>
    </xf>
    <xf numFmtId="0" fontId="25"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43" fillId="0" borderId="0">
      <alignment vertical="top"/>
    </xf>
    <xf numFmtId="0" fontId="40" fillId="0" borderId="0">
      <alignment vertical="top"/>
    </xf>
    <xf numFmtId="0" fontId="43" fillId="0" borderId="0">
      <alignment vertical="top"/>
    </xf>
    <xf numFmtId="9" fontId="21" fillId="0" borderId="0" applyFont="0" applyFill="0" applyBorder="0" applyAlignment="0" applyProtection="0">
      <alignment vertical="center"/>
    </xf>
  </cellStyleXfs>
  <cellXfs count="551">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6" fontId="2" fillId="2" borderId="4"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5" fillId="2" borderId="5" xfId="0" applyFont="1" applyFill="1" applyBorder="1" applyAlignment="1"/>
    <xf numFmtId="0" fontId="2" fillId="2" borderId="6" xfId="0" applyFont="1" applyFill="1" applyBorder="1" applyAlignment="1"/>
    <xf numFmtId="0" fontId="5"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7" fillId="2" borderId="11" xfId="0" applyFont="1" applyFill="1" applyBorder="1" applyAlignment="1">
      <alignment horizontal="center" vertical="center" wrapText="1"/>
    </xf>
    <xf numFmtId="177" fontId="2" fillId="2" borderId="4" xfId="0" applyNumberFormat="1" applyFont="1" applyFill="1" applyBorder="1" applyAlignment="1">
      <alignment horizontal="center" vertical="center" wrapText="1"/>
    </xf>
    <xf numFmtId="0" fontId="5" fillId="2" borderId="11" xfId="0" applyFont="1" applyFill="1" applyBorder="1" applyAlignment="1">
      <alignment horizontal="center" vertical="center" wrapText="1"/>
    </xf>
    <xf numFmtId="49" fontId="2" fillId="2" borderId="11" xfId="0" applyNumberFormat="1" applyFont="1" applyFill="1" applyBorder="1" applyAlignment="1">
      <alignment horizontal="center" vertical="center" wrapText="1"/>
    </xf>
    <xf numFmtId="0" fontId="2" fillId="2" borderId="11" xfId="0" applyFont="1" applyFill="1" applyBorder="1" applyAlignment="1">
      <alignment horizontal="center" vertical="center" wrapText="1"/>
    </xf>
    <xf numFmtId="0" fontId="5" fillId="2" borderId="0" xfId="0" applyFont="1" applyFill="1" applyBorder="1" applyAlignment="1">
      <alignment horizontal="left" vertical="center" wrapText="1"/>
    </xf>
    <xf numFmtId="0" fontId="5" fillId="2" borderId="12" xfId="0" applyFont="1" applyFill="1" applyBorder="1" applyAlignment="1"/>
    <xf numFmtId="0" fontId="2" fillId="2" borderId="13" xfId="0" applyFont="1" applyFill="1" applyBorder="1" applyAlignment="1"/>
    <xf numFmtId="0" fontId="2" fillId="2" borderId="0" xfId="0" applyFont="1" applyFill="1" applyBorder="1" applyAlignment="1">
      <alignment horizontal="left" vertical="top"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2" fillId="2" borderId="22" xfId="0" applyFont="1" applyFill="1" applyBorder="1" applyAlignment="1"/>
    <xf numFmtId="0" fontId="2" fillId="0" borderId="0" xfId="0" applyFont="1" applyFill="1" applyAlignment="1">
      <alignment horizontal="left" vertical="center"/>
    </xf>
    <xf numFmtId="0" fontId="3" fillId="0" borderId="1" xfId="149" applyFont="1" applyBorder="1" applyAlignment="1">
      <alignment horizontal="left" vertical="center"/>
    </xf>
    <xf numFmtId="0" fontId="1" fillId="0" borderId="2" xfId="149" applyFont="1" applyBorder="1" applyAlignment="1">
      <alignment horizontal="left" vertical="center"/>
    </xf>
    <xf numFmtId="0" fontId="2" fillId="0" borderId="2" xfId="0" applyFont="1" applyBorder="1" applyAlignment="1">
      <alignment horizontal="left" vertical="center"/>
    </xf>
    <xf numFmtId="0" fontId="1" fillId="0" borderId="3" xfId="149" applyFont="1" applyBorder="1" applyAlignment="1">
      <alignment horizontal="left" vertical="center"/>
    </xf>
    <xf numFmtId="0" fontId="3" fillId="0" borderId="0" xfId="149" applyFont="1" applyAlignment="1">
      <alignment horizontal="left" vertical="center" wrapText="1"/>
    </xf>
    <xf numFmtId="0" fontId="2" fillId="0" borderId="0" xfId="149" applyFont="1" applyAlignment="1">
      <alignment horizontal="left" vertical="center"/>
    </xf>
    <xf numFmtId="0" fontId="1" fillId="0" borderId="0" xfId="149" applyFont="1" applyAlignment="1">
      <alignment horizontal="left" vertical="center"/>
    </xf>
    <xf numFmtId="0" fontId="2" fillId="0" borderId="0" xfId="0" applyFont="1" applyAlignment="1">
      <alignment horizontal="left" vertical="center"/>
    </xf>
    <xf numFmtId="0" fontId="4" fillId="0" borderId="0" xfId="149" applyFont="1" applyAlignment="1">
      <alignment horizontal="left" vertical="center" wrapText="1"/>
    </xf>
    <xf numFmtId="0" fontId="2" fillId="0" borderId="3" xfId="149" applyFont="1" applyBorder="1" applyAlignment="1">
      <alignment horizontal="left" vertical="center"/>
    </xf>
    <xf numFmtId="0" fontId="3" fillId="0" borderId="0" xfId="149" applyFont="1" applyAlignment="1">
      <alignment horizontal="left" vertical="center"/>
    </xf>
    <xf numFmtId="0" fontId="5" fillId="0" borderId="0" xfId="149" applyFont="1" applyAlignment="1">
      <alignment horizontal="left" vertical="center"/>
    </xf>
    <xf numFmtId="0" fontId="1" fillId="0" borderId="0" xfId="0" applyFont="1"/>
    <xf numFmtId="0" fontId="4" fillId="0" borderId="0" xfId="149" applyFont="1" applyAlignment="1">
      <alignment horizontal="left" vertical="center"/>
    </xf>
    <xf numFmtId="0" fontId="1" fillId="0" borderId="0" xfId="0" applyFont="1" applyAlignment="1">
      <alignment horizontal="left" vertical="center"/>
    </xf>
    <xf numFmtId="0" fontId="4" fillId="0" borderId="0" xfId="0" applyFont="1" applyAlignment="1">
      <alignment horizontal="left" vertical="center"/>
    </xf>
    <xf numFmtId="0" fontId="8" fillId="2" borderId="0" xfId="0" applyFont="1" applyFill="1" applyAlignment="1">
      <alignment horizontal="left" vertical="center"/>
    </xf>
    <xf numFmtId="0" fontId="4" fillId="0" borderId="0" xfId="0" applyFont="1" applyAlignment="1">
      <alignment horizontal="left" vertical="center" wrapText="1"/>
    </xf>
    <xf numFmtId="2" fontId="4" fillId="0" borderId="0" xfId="0" applyNumberFormat="1" applyFont="1" applyAlignment="1">
      <alignment horizontal="left" vertical="center"/>
    </xf>
    <xf numFmtId="178" fontId="4" fillId="0" borderId="0" xfId="0" applyNumberFormat="1" applyFont="1" applyAlignment="1">
      <alignment horizontal="left" vertical="center"/>
    </xf>
    <xf numFmtId="0" fontId="4" fillId="0" borderId="4" xfId="0" applyFont="1" applyBorder="1" applyAlignment="1">
      <alignment horizontal="left" vertical="center" wrapText="1"/>
    </xf>
    <xf numFmtId="2" fontId="4" fillId="0" borderId="4" xfId="0" applyNumberFormat="1" applyFont="1" applyBorder="1" applyAlignment="1">
      <alignment horizontal="left" vertical="center" wrapText="1"/>
    </xf>
    <xf numFmtId="178" fontId="4" fillId="0" borderId="4" xfId="0" applyNumberFormat="1" applyFont="1" applyBorder="1" applyAlignment="1">
      <alignment horizontal="left" vertical="center" wrapText="1"/>
    </xf>
    <xf numFmtId="2" fontId="4" fillId="0" borderId="4" xfId="0" applyNumberFormat="1" applyFont="1" applyBorder="1" applyAlignment="1">
      <alignment horizontal="left" vertical="center"/>
    </xf>
    <xf numFmtId="178" fontId="4" fillId="0" borderId="4" xfId="0" applyNumberFormat="1" applyFont="1" applyBorder="1" applyAlignment="1">
      <alignment horizontal="left" vertical="center"/>
    </xf>
    <xf numFmtId="0" fontId="1" fillId="0" borderId="0" xfId="149" applyFont="1" applyAlignment="1">
      <alignment horizontal="left" vertical="center" wrapText="1"/>
    </xf>
    <xf numFmtId="0" fontId="1" fillId="0" borderId="14" xfId="149" applyFont="1" applyBorder="1" applyAlignment="1">
      <alignment horizontal="left" vertical="center"/>
    </xf>
    <xf numFmtId="0" fontId="3" fillId="0" borderId="15" xfId="149" applyFont="1" applyBorder="1" applyAlignment="1">
      <alignment horizontal="left" vertical="center" wrapText="1"/>
    </xf>
    <xf numFmtId="0" fontId="2" fillId="0" borderId="15" xfId="149" applyFont="1" applyBorder="1" applyAlignment="1">
      <alignment horizontal="left" vertical="center"/>
    </xf>
    <xf numFmtId="0" fontId="2" fillId="0" borderId="15" xfId="149" applyFont="1" applyBorder="1" applyAlignment="1">
      <alignment horizontal="left" vertical="center" wrapText="1"/>
    </xf>
    <xf numFmtId="0" fontId="2" fillId="0" borderId="15"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1" fillId="0" borderId="17" xfId="0" applyFont="1" applyBorder="1" applyAlignment="1">
      <alignment horizontal="left" vertical="center"/>
    </xf>
    <xf numFmtId="0" fontId="2" fillId="0" borderId="22" xfId="0" applyFont="1" applyBorder="1" applyAlignment="1">
      <alignment horizontal="left" vertical="center"/>
    </xf>
    <xf numFmtId="0" fontId="4" fillId="0" borderId="0" xfId="0" applyFont="1" applyFill="1" applyAlignment="1"/>
    <xf numFmtId="0" fontId="4" fillId="0" borderId="0" xfId="0" applyFont="1" applyFill="1" applyAlignment="1">
      <alignment vertical="top"/>
    </xf>
    <xf numFmtId="0" fontId="4" fillId="0" borderId="0" xfId="0" applyFont="1" applyFill="1" applyAlignment="1">
      <alignment wrapText="1"/>
    </xf>
    <xf numFmtId="0" fontId="4" fillId="0" borderId="0" xfId="0" applyFont="1" applyFill="1" applyAlignment="1">
      <alignment horizontal="center" vertical="center" wrapText="1"/>
    </xf>
    <xf numFmtId="0" fontId="1" fillId="0" borderId="0" xfId="0" applyFont="1"/>
    <xf numFmtId="0" fontId="4" fillId="0" borderId="0" xfId="0" applyFont="1" applyFill="1" applyBorder="1" applyAlignment="1">
      <alignment vertical="top"/>
    </xf>
    <xf numFmtId="0" fontId="4" fillId="0" borderId="2" xfId="0" applyFont="1" applyFill="1" applyBorder="1" applyAlignment="1">
      <alignment vertical="top"/>
    </xf>
    <xf numFmtId="0" fontId="9" fillId="0" borderId="1" xfId="0" applyFont="1" applyFill="1" applyBorder="1" applyAlignment="1">
      <alignment vertical="top"/>
    </xf>
    <xf numFmtId="0" fontId="9" fillId="0" borderId="3" xfId="0" applyFont="1" applyFill="1" applyBorder="1" applyAlignment="1">
      <alignment vertical="top"/>
    </xf>
    <xf numFmtId="0" fontId="4" fillId="0" borderId="3" xfId="0" applyFont="1" applyFill="1" applyBorder="1" applyAlignment="1">
      <alignment horizontal="right"/>
    </xf>
    <xf numFmtId="0" fontId="4" fillId="0" borderId="8" xfId="0" applyFont="1" applyFill="1" applyBorder="1" applyAlignment="1">
      <alignment horizontal="left" vertical="top" wrapText="1"/>
    </xf>
    <xf numFmtId="0" fontId="4" fillId="0" borderId="3" xfId="0" applyFont="1" applyFill="1" applyBorder="1" applyAlignment="1">
      <alignment vertical="top"/>
    </xf>
    <xf numFmtId="0" fontId="4" fillId="0" borderId="4" xfId="321" applyFont="1" applyFill="1" applyBorder="1" applyAlignment="1">
      <alignment horizontal="center" vertical="center" wrapText="1"/>
    </xf>
    <xf numFmtId="180" fontId="4" fillId="0" borderId="4" xfId="321" applyNumberFormat="1" applyFont="1" applyFill="1" applyBorder="1" applyAlignment="1">
      <alignment horizontal="center" vertical="center"/>
    </xf>
    <xf numFmtId="0" fontId="1" fillId="0" borderId="4" xfId="0" applyFont="1" applyFill="1" applyBorder="1" applyAlignment="1">
      <alignment horizontal="center" vertical="center"/>
    </xf>
    <xf numFmtId="181" fontId="4" fillId="0" borderId="4" xfId="321" applyNumberFormat="1" applyFont="1" applyFill="1" applyBorder="1" applyAlignment="1">
      <alignment horizontal="center" vertical="center"/>
    </xf>
    <xf numFmtId="0" fontId="10" fillId="0" borderId="0" xfId="0" applyFont="1" applyFill="1" applyBorder="1" applyAlignment="1">
      <alignment vertical="top"/>
    </xf>
    <xf numFmtId="0" fontId="4" fillId="0" borderId="0" xfId="321" applyFont="1" applyFill="1" applyBorder="1" applyAlignment="1">
      <alignment horizontal="center" vertical="center"/>
    </xf>
    <xf numFmtId="176" fontId="4" fillId="0" borderId="0" xfId="321" applyNumberFormat="1" applyFont="1" applyFill="1" applyBorder="1" applyAlignment="1">
      <alignment horizontal="center" vertical="center"/>
    </xf>
    <xf numFmtId="0" fontId="4" fillId="0" borderId="0" xfId="0" applyFont="1" applyFill="1" applyBorder="1" applyAlignment="1">
      <alignment horizontal="center"/>
    </xf>
    <xf numFmtId="182" fontId="4" fillId="0" borderId="0" xfId="321" applyNumberFormat="1" applyFont="1" applyFill="1" applyBorder="1" applyAlignment="1">
      <alignment horizontal="center" vertical="center"/>
    </xf>
    <xf numFmtId="0" fontId="4" fillId="0" borderId="14" xfId="0" applyFont="1" applyFill="1" applyBorder="1" applyAlignment="1">
      <alignment vertical="top" wrapText="1"/>
    </xf>
    <xf numFmtId="0" fontId="4" fillId="0" borderId="15" xfId="131" applyFont="1" applyFill="1" applyBorder="1" applyAlignment="1"/>
    <xf numFmtId="0" fontId="4" fillId="0" borderId="15" xfId="131" applyFont="1" applyFill="1" applyBorder="1" applyAlignment="1">
      <alignment wrapText="1"/>
    </xf>
    <xf numFmtId="0" fontId="4" fillId="0" borderId="2" xfId="0" applyFont="1" applyFill="1" applyBorder="1" applyAlignment="1"/>
    <xf numFmtId="0" fontId="4" fillId="0" borderId="16" xfId="0" applyFont="1" applyFill="1" applyBorder="1" applyAlignment="1"/>
    <xf numFmtId="0" fontId="4" fillId="0" borderId="17" xfId="0" applyFont="1" applyFill="1" applyBorder="1" applyAlignment="1"/>
    <xf numFmtId="0" fontId="4" fillId="0" borderId="17" xfId="0" applyFont="1" applyFill="1" applyBorder="1" applyAlignment="1">
      <alignment vertical="top"/>
    </xf>
    <xf numFmtId="0" fontId="4" fillId="0" borderId="4" xfId="0" applyFont="1" applyFill="1" applyBorder="1" applyAlignment="1">
      <alignment horizontal="center" vertical="center" wrapText="1"/>
    </xf>
    <xf numFmtId="0" fontId="4" fillId="0" borderId="0" xfId="0" applyFont="1" applyFill="1" applyBorder="1" applyAlignment="1"/>
    <xf numFmtId="183" fontId="4" fillId="0" borderId="0" xfId="89" applyNumberFormat="1" applyFont="1" applyFill="1" applyBorder="1" applyAlignment="1">
      <alignment vertical="center"/>
    </xf>
    <xf numFmtId="179" fontId="4" fillId="0" borderId="0" xfId="321" applyNumberFormat="1" applyFont="1" applyFill="1" applyBorder="1" applyAlignment="1">
      <alignment horizontal="center" vertical="center"/>
    </xf>
    <xf numFmtId="0" fontId="4" fillId="0" borderId="0" xfId="0" applyFont="1" applyFill="1" applyBorder="1" applyAlignment="1">
      <alignment horizontal="center" vertical="center" wrapText="1"/>
    </xf>
    <xf numFmtId="0" fontId="4" fillId="0" borderId="15" xfId="0" applyFont="1" applyFill="1" applyBorder="1" applyAlignment="1">
      <alignment wrapText="1"/>
    </xf>
    <xf numFmtId="0" fontId="4" fillId="0" borderId="22" xfId="0" applyFont="1" applyFill="1" applyBorder="1" applyAlignment="1">
      <alignment wrapText="1"/>
    </xf>
    <xf numFmtId="0" fontId="4" fillId="0" borderId="0" xfId="322" applyFont="1" applyAlignment="1">
      <alignment horizontal="center" vertical="center"/>
    </xf>
    <xf numFmtId="0" fontId="4" fillId="0" borderId="0" xfId="0" applyFont="1" applyAlignment="1"/>
    <xf numFmtId="0" fontId="11" fillId="0" borderId="0" xfId="322" applyFont="1" applyAlignment="1">
      <alignment horizontal="center" vertical="center"/>
    </xf>
    <xf numFmtId="0" fontId="10" fillId="0" borderId="1" xfId="0" applyFont="1" applyBorder="1"/>
    <xf numFmtId="14" fontId="9" fillId="0" borderId="2" xfId="0" applyNumberFormat="1" applyFont="1" applyBorder="1"/>
    <xf numFmtId="0" fontId="4" fillId="0" borderId="2" xfId="0" applyFont="1" applyBorder="1"/>
    <xf numFmtId="180" fontId="10" fillId="0" borderId="3" xfId="0" applyNumberFormat="1" applyFont="1" applyBorder="1"/>
    <xf numFmtId="0" fontId="9" fillId="0" borderId="0" xfId="322" applyFont="1">
      <alignment vertical="center"/>
    </xf>
    <xf numFmtId="0" fontId="10" fillId="0" borderId="3" xfId="0" applyFont="1" applyBorder="1"/>
    <xf numFmtId="0" fontId="3" fillId="0" borderId="4" xfId="0" applyFont="1" applyBorder="1" applyAlignment="1">
      <alignment horizontal="center" vertical="center" wrapText="1"/>
    </xf>
    <xf numFmtId="0" fontId="1" fillId="0" borderId="0" xfId="93" applyFont="1">
      <alignment vertical="center"/>
    </xf>
    <xf numFmtId="0" fontId="1" fillId="0" borderId="4" xfId="0" applyFont="1" applyBorder="1" applyAlignment="1">
      <alignment horizontal="center" vertical="center"/>
    </xf>
    <xf numFmtId="0" fontId="4" fillId="0" borderId="0" xfId="322" applyFont="1" applyAlignment="1">
      <alignment horizontal="left" vertical="center"/>
    </xf>
    <xf numFmtId="0" fontId="9" fillId="0" borderId="4" xfId="0" applyFont="1" applyBorder="1" applyAlignment="1">
      <alignment horizontal="center" vertical="center" wrapText="1"/>
    </xf>
    <xf numFmtId="0" fontId="4" fillId="0" borderId="0" xfId="0" applyFont="1" applyAlignment="1">
      <alignment horizontal="center" vertical="center"/>
    </xf>
    <xf numFmtId="0" fontId="4" fillId="0" borderId="3" xfId="322" applyFont="1" applyBorder="1" applyAlignment="1">
      <alignment horizontal="center" vertical="center"/>
    </xf>
    <xf numFmtId="0" fontId="4" fillId="0" borderId="14" xfId="322" applyFont="1" applyBorder="1" applyAlignment="1">
      <alignment horizontal="center" vertical="center"/>
    </xf>
    <xf numFmtId="0" fontId="4" fillId="0" borderId="15" xfId="322" applyFont="1" applyBorder="1" applyAlignment="1">
      <alignment horizontal="center" vertical="center"/>
    </xf>
    <xf numFmtId="0" fontId="4" fillId="0" borderId="16" xfId="322" applyFont="1" applyBorder="1" applyAlignment="1">
      <alignment horizontal="center" vertical="center"/>
    </xf>
    <xf numFmtId="0" fontId="4" fillId="0" borderId="17" xfId="322" applyFont="1" applyBorder="1" applyAlignment="1">
      <alignment horizontal="center" vertical="center"/>
    </xf>
    <xf numFmtId="11" fontId="1" fillId="0" borderId="17" xfId="93" applyNumberFormat="1" applyFont="1" applyBorder="1">
      <alignment vertical="center"/>
    </xf>
    <xf numFmtId="0" fontId="4" fillId="0" borderId="22" xfId="322" applyFont="1" applyBorder="1" applyAlignment="1">
      <alignment horizontal="center" vertical="center"/>
    </xf>
    <xf numFmtId="0" fontId="4" fillId="0" borderId="0" xfId="0" applyFont="1" applyFill="1" applyBorder="1" applyAlignment="1">
      <alignment horizontal="left" vertical="center"/>
    </xf>
    <xf numFmtId="0" fontId="9" fillId="0" borderId="0" xfId="0" applyFont="1" applyFill="1" applyBorder="1" applyAlignment="1">
      <alignment horizontal="left" vertical="center" wrapText="1"/>
    </xf>
    <xf numFmtId="0" fontId="4" fillId="0" borderId="0" xfId="0" applyFont="1" applyBorder="1" applyAlignment="1">
      <alignment horizontal="left"/>
    </xf>
    <xf numFmtId="0" fontId="4" fillId="0" borderId="0" xfId="0" applyFont="1" applyBorder="1" applyAlignment="1">
      <alignment horizontal="center"/>
    </xf>
    <xf numFmtId="181" fontId="4" fillId="0" borderId="0" xfId="0" applyNumberFormat="1" applyFont="1" applyBorder="1" applyAlignment="1">
      <alignment horizontal="center"/>
    </xf>
    <xf numFmtId="0" fontId="9" fillId="0" borderId="1" xfId="0" applyFont="1" applyBorder="1" applyAlignment="1">
      <alignment horizontal="left"/>
    </xf>
    <xf numFmtId="0" fontId="4" fillId="0" borderId="2" xfId="0" applyFont="1" applyBorder="1" applyAlignment="1">
      <alignment horizontal="left"/>
    </xf>
    <xf numFmtId="0" fontId="4" fillId="0" borderId="2" xfId="0" applyFont="1" applyBorder="1" applyAlignment="1">
      <alignment horizontal="center"/>
    </xf>
    <xf numFmtId="181" fontId="4" fillId="0" borderId="2" xfId="0" applyNumberFormat="1" applyFont="1" applyBorder="1" applyAlignment="1">
      <alignment horizontal="center"/>
    </xf>
    <xf numFmtId="0" fontId="1" fillId="0" borderId="3" xfId="0"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1" fillId="0" borderId="3" xfId="0" applyFont="1" applyFill="1" applyBorder="1" applyAlignment="1">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4" fillId="0" borderId="16" xfId="0" applyFont="1" applyBorder="1" applyAlignment="1">
      <alignment horizontal="center"/>
    </xf>
    <xf numFmtId="0" fontId="1" fillId="0" borderId="17" xfId="0" applyFont="1" applyFill="1" applyBorder="1" applyAlignment="1">
      <alignment horizontal="center" vertical="center"/>
    </xf>
    <xf numFmtId="0" fontId="1" fillId="0" borderId="0" xfId="0" applyFont="1" applyFill="1" applyAlignment="1">
      <alignment vertical="center"/>
    </xf>
    <xf numFmtId="0" fontId="1" fillId="0" borderId="17" xfId="0" applyFont="1" applyFill="1" applyBorder="1" applyAlignment="1">
      <alignment horizontal="center" vertical="center"/>
    </xf>
    <xf numFmtId="0" fontId="1" fillId="0" borderId="3" xfId="0" applyFont="1" applyFill="1" applyBorder="1" applyAlignment="1">
      <alignment vertical="center"/>
    </xf>
    <xf numFmtId="0" fontId="1" fillId="0" borderId="0" xfId="0" applyFont="1" applyFill="1" applyAlignment="1">
      <alignment horizontal="center"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0" fontId="1" fillId="0" borderId="0" xfId="0" applyFont="1" applyBorder="1" applyAlignment="1">
      <alignment horizontal="center" vertical="center"/>
    </xf>
    <xf numFmtId="181" fontId="1" fillId="0" borderId="0" xfId="0" applyNumberFormat="1" applyFont="1" applyBorder="1" applyAlignment="1">
      <alignment horizontal="center" vertical="center"/>
    </xf>
    <xf numFmtId="0" fontId="4" fillId="0" borderId="3" xfId="323" applyFont="1" applyBorder="1" applyAlignment="1">
      <alignment horizontal="left" vertical="center"/>
    </xf>
    <xf numFmtId="11" fontId="4" fillId="0" borderId="0" xfId="323" applyNumberFormat="1" applyFont="1" applyBorder="1" applyAlignment="1">
      <alignment horizontal="left" vertical="center"/>
    </xf>
    <xf numFmtId="11" fontId="4" fillId="0" borderId="0" xfId="323" applyNumberFormat="1" applyFont="1" applyBorder="1" applyAlignment="1">
      <alignment horizontal="center" vertical="center"/>
    </xf>
    <xf numFmtId="1" fontId="4" fillId="0" borderId="0" xfId="0" applyNumberFormat="1" applyFont="1" applyBorder="1" applyAlignment="1">
      <alignment horizontal="center"/>
    </xf>
    <xf numFmtId="0" fontId="4" fillId="0" borderId="1" xfId="323" applyFont="1" applyBorder="1" applyAlignment="1">
      <alignment horizontal="left" vertical="center"/>
    </xf>
    <xf numFmtId="11" fontId="4" fillId="0" borderId="16" xfId="323" applyNumberFormat="1" applyFont="1" applyBorder="1" applyAlignment="1">
      <alignment horizontal="center" vertical="center"/>
    </xf>
    <xf numFmtId="11" fontId="4" fillId="0" borderId="17" xfId="323" applyNumberFormat="1" applyFont="1" applyBorder="1" applyAlignment="1">
      <alignment horizontal="center" vertical="center"/>
    </xf>
    <xf numFmtId="0" fontId="9" fillId="0" borderId="3" xfId="323" applyFont="1" applyBorder="1" applyAlignment="1">
      <alignment horizontal="left" vertical="center"/>
    </xf>
    <xf numFmtId="176" fontId="9" fillId="0" borderId="0" xfId="323" applyNumberFormat="1" applyFont="1" applyBorder="1" applyAlignment="1">
      <alignment horizontal="left" vertical="center"/>
    </xf>
    <xf numFmtId="11" fontId="9" fillId="0" borderId="17" xfId="323" applyNumberFormat="1" applyFont="1" applyBorder="1" applyAlignment="1">
      <alignment horizontal="center" vertical="center"/>
    </xf>
    <xf numFmtId="0" fontId="4" fillId="0" borderId="14" xfId="0" applyFont="1" applyBorder="1" applyAlignment="1">
      <alignment horizontal="left"/>
    </xf>
    <xf numFmtId="0" fontId="4" fillId="0" borderId="15" xfId="0" applyFont="1" applyBorder="1" applyAlignment="1">
      <alignment horizontal="left"/>
    </xf>
    <xf numFmtId="180" fontId="4" fillId="0" borderId="15" xfId="0" applyNumberFormat="1" applyFont="1" applyBorder="1" applyAlignment="1">
      <alignment horizontal="left"/>
    </xf>
    <xf numFmtId="180" fontId="4" fillId="0" borderId="22" xfId="0" applyNumberFormat="1" applyFont="1" applyBorder="1" applyAlignment="1">
      <alignment horizontal="center"/>
    </xf>
    <xf numFmtId="1" fontId="4" fillId="0" borderId="15" xfId="0" applyNumberFormat="1" applyFont="1" applyBorder="1" applyAlignment="1">
      <alignment horizontal="center"/>
    </xf>
    <xf numFmtId="0" fontId="4" fillId="0" borderId="15" xfId="0" applyFont="1" applyBorder="1" applyAlignment="1">
      <alignment horizontal="center"/>
    </xf>
    <xf numFmtId="181" fontId="4" fillId="0" borderId="15" xfId="0" applyNumberFormat="1" applyFont="1" applyBorder="1" applyAlignment="1">
      <alignment horizontal="center"/>
    </xf>
    <xf numFmtId="0" fontId="4" fillId="0" borderId="1" xfId="0" applyFont="1" applyBorder="1" applyAlignment="1">
      <alignment horizontal="left"/>
    </xf>
    <xf numFmtId="180" fontId="4" fillId="0" borderId="2" xfId="0" applyNumberFormat="1" applyFont="1" applyBorder="1" applyAlignment="1">
      <alignment horizontal="left"/>
    </xf>
    <xf numFmtId="180" fontId="4" fillId="0" borderId="2" xfId="0" applyNumberFormat="1" applyFont="1" applyBorder="1" applyAlignment="1">
      <alignment horizontal="center"/>
    </xf>
    <xf numFmtId="1" fontId="4" fillId="0" borderId="2" xfId="0" applyNumberFormat="1" applyFont="1" applyBorder="1" applyAlignment="1">
      <alignment horizontal="center"/>
    </xf>
    <xf numFmtId="0" fontId="4" fillId="0" borderId="3" xfId="0" applyFont="1" applyBorder="1" applyAlignment="1">
      <alignment horizontal="left"/>
    </xf>
    <xf numFmtId="0" fontId="4" fillId="0" borderId="0" xfId="0" applyFont="1" applyAlignment="1">
      <alignment horizontal="left"/>
    </xf>
    <xf numFmtId="180" fontId="4" fillId="0" borderId="0" xfId="0" applyNumberFormat="1" applyFont="1" applyAlignment="1">
      <alignment horizontal="left"/>
    </xf>
    <xf numFmtId="180" fontId="4" fillId="0" borderId="0" xfId="0" applyNumberFormat="1" applyFont="1" applyAlignment="1">
      <alignment horizontal="center"/>
    </xf>
    <xf numFmtId="1" fontId="4" fillId="0" borderId="0" xfId="0" applyNumberFormat="1" applyFont="1" applyAlignment="1">
      <alignment horizontal="center"/>
    </xf>
    <xf numFmtId="0" fontId="4" fillId="0" borderId="0" xfId="0" applyFont="1" applyAlignment="1">
      <alignment horizontal="center"/>
    </xf>
    <xf numFmtId="181" fontId="4" fillId="0" borderId="0" xfId="0" applyNumberFormat="1" applyFont="1" applyAlignment="1">
      <alignment horizontal="center"/>
    </xf>
    <xf numFmtId="0" fontId="1" fillId="0" borderId="17" xfId="0" applyFont="1" applyFill="1" applyBorder="1" applyAlignment="1">
      <alignment horizontal="center" vertical="center"/>
    </xf>
    <xf numFmtId="0" fontId="4" fillId="0" borderId="17" xfId="0" applyFont="1" applyBorder="1" applyAlignment="1">
      <alignment horizontal="center" vertical="center"/>
    </xf>
    <xf numFmtId="180" fontId="4" fillId="0" borderId="0" xfId="0" applyNumberFormat="1" applyFont="1" applyBorder="1" applyAlignment="1">
      <alignment horizontal="center"/>
    </xf>
    <xf numFmtId="180" fontId="4" fillId="0" borderId="15" xfId="0" applyNumberFormat="1" applyFont="1" applyBorder="1" applyAlignment="1">
      <alignment horizontal="center"/>
    </xf>
    <xf numFmtId="0" fontId="1" fillId="0" borderId="15" xfId="0" applyFont="1" applyBorder="1" applyAlignment="1">
      <alignment horizontal="center" vertical="center"/>
    </xf>
    <xf numFmtId="0" fontId="4" fillId="0" borderId="22" xfId="0" applyFont="1" applyBorder="1" applyAlignment="1">
      <alignment horizontal="center" vertical="center"/>
    </xf>
    <xf numFmtId="0" fontId="1" fillId="0" borderId="2" xfId="0" applyFont="1" applyBorder="1" applyAlignment="1">
      <alignment horizontal="center" vertical="center"/>
    </xf>
    <xf numFmtId="0" fontId="4" fillId="0" borderId="16" xfId="0" applyFont="1" applyBorder="1" applyAlignment="1">
      <alignment horizontal="center" vertical="center"/>
    </xf>
    <xf numFmtId="0" fontId="1" fillId="0" borderId="0" xfId="0" applyFont="1" applyAlignment="1">
      <alignment horizontal="center" vertical="center"/>
    </xf>
    <xf numFmtId="180" fontId="4" fillId="0" borderId="0" xfId="0" applyNumberFormat="1" applyFont="1" applyBorder="1" applyAlignment="1">
      <alignment horizontal="left"/>
    </xf>
    <xf numFmtId="0" fontId="4" fillId="0" borderId="17" xfId="0" applyFont="1" applyBorder="1" applyAlignment="1">
      <alignment horizontal="center"/>
    </xf>
    <xf numFmtId="0" fontId="4" fillId="0" borderId="22" xfId="0" applyFont="1" applyBorder="1" applyAlignment="1">
      <alignment horizontal="center"/>
    </xf>
    <xf numFmtId="0" fontId="9" fillId="0" borderId="0" xfId="0" applyFont="1" applyFill="1" applyBorder="1" applyAlignment="1">
      <alignment horizontal="center" vertical="center" wrapText="1"/>
    </xf>
    <xf numFmtId="0" fontId="4" fillId="0" borderId="0" xfId="0" applyFont="1" applyFill="1" applyBorder="1" applyAlignment="1">
      <alignment horizontal="center" vertical="center"/>
    </xf>
    <xf numFmtId="0" fontId="9" fillId="0" borderId="0" xfId="0" applyFont="1" applyFill="1" applyBorder="1" applyAlignment="1">
      <alignment horizontal="right" vertical="center"/>
    </xf>
    <xf numFmtId="0" fontId="9" fillId="0" borderId="0" xfId="0" applyFont="1" applyFill="1" applyBorder="1" applyAlignment="1">
      <alignment vertical="center"/>
    </xf>
    <xf numFmtId="0" fontId="9" fillId="0" borderId="2" xfId="0" applyFont="1" applyFill="1" applyBorder="1" applyAlignment="1">
      <alignment horizontal="center" vertical="center" wrapText="1"/>
    </xf>
    <xf numFmtId="0" fontId="4" fillId="0" borderId="0" xfId="172" applyFont="1" applyFill="1" applyBorder="1" applyAlignment="1">
      <alignment horizontal="center" vertical="center"/>
    </xf>
    <xf numFmtId="0" fontId="4" fillId="0" borderId="15" xfId="172" applyFont="1" applyFill="1" applyBorder="1" applyAlignment="1">
      <alignment horizontal="center" vertical="center"/>
    </xf>
    <xf numFmtId="0" fontId="4" fillId="0" borderId="15" xfId="0" applyFont="1" applyFill="1" applyBorder="1" applyAlignment="1">
      <alignment horizontal="center" vertical="center"/>
    </xf>
    <xf numFmtId="0" fontId="9" fillId="0" borderId="16" xfId="0" applyFont="1" applyFill="1" applyBorder="1" applyAlignment="1">
      <alignment horizontal="center" vertical="center" wrapText="1"/>
    </xf>
    <xf numFmtId="0" fontId="4" fillId="0" borderId="17" xfId="0" applyFont="1" applyFill="1" applyBorder="1" applyAlignment="1">
      <alignment horizontal="center" vertical="center"/>
    </xf>
    <xf numFmtId="0" fontId="4" fillId="0" borderId="22" xfId="0" applyFont="1" applyFill="1" applyBorder="1" applyAlignment="1">
      <alignment horizontal="center" vertical="center"/>
    </xf>
    <xf numFmtId="0" fontId="9" fillId="0" borderId="0" xfId="172" applyFont="1" applyFill="1" applyBorder="1" applyAlignment="1">
      <alignment horizontal="center" vertical="center" wrapText="1"/>
    </xf>
    <xf numFmtId="0" fontId="9" fillId="0" borderId="0" xfId="0" applyFont="1" applyFill="1" applyAlignment="1">
      <alignment horizontal="center" vertical="center" wrapText="1"/>
    </xf>
    <xf numFmtId="0" fontId="4" fillId="0" borderId="0" xfId="0" applyFont="1" applyFill="1" applyAlignment="1">
      <alignment horizontal="center" vertical="center"/>
    </xf>
    <xf numFmtId="0" fontId="4" fillId="2" borderId="0" xfId="280" applyFont="1" applyFill="1" applyAlignment="1">
      <alignment vertical="center"/>
    </xf>
    <xf numFmtId="0" fontId="4" fillId="2" borderId="0" xfId="280" applyFont="1" applyFill="1"/>
    <xf numFmtId="0" fontId="9" fillId="2" borderId="3" xfId="280" applyFont="1" applyFill="1" applyBorder="1" applyAlignment="1">
      <alignment vertical="center"/>
    </xf>
    <xf numFmtId="0" fontId="4" fillId="2" borderId="0" xfId="280" applyFont="1" applyFill="1" applyBorder="1" applyAlignment="1">
      <alignment vertical="center"/>
    </xf>
    <xf numFmtId="0" fontId="4" fillId="2" borderId="3" xfId="280" applyFont="1" applyFill="1" applyBorder="1" applyAlignment="1">
      <alignment vertical="center"/>
    </xf>
    <xf numFmtId="0" fontId="14" fillId="2" borderId="0" xfId="0" applyFont="1" applyFill="1" applyBorder="1" applyAlignment="1">
      <alignment horizontal="center" vertical="center"/>
    </xf>
    <xf numFmtId="0" fontId="9" fillId="2" borderId="4" xfId="94" applyFont="1" applyFill="1" applyBorder="1" applyAlignment="1">
      <alignment horizontal="center" vertical="center"/>
    </xf>
    <xf numFmtId="0" fontId="9" fillId="2" borderId="5" xfId="94" applyFont="1" applyFill="1" applyBorder="1" applyAlignment="1">
      <alignment horizontal="center" vertical="center"/>
    </xf>
    <xf numFmtId="0" fontId="9" fillId="2" borderId="6" xfId="94" applyFont="1" applyFill="1" applyBorder="1" applyAlignment="1">
      <alignment horizontal="center" vertical="center"/>
    </xf>
    <xf numFmtId="0" fontId="9" fillId="2" borderId="18" xfId="94" applyFont="1" applyFill="1" applyBorder="1" applyAlignment="1">
      <alignment horizontal="center" vertical="center"/>
    </xf>
    <xf numFmtId="0" fontId="9" fillId="0" borderId="4" xfId="94" applyFont="1" applyFill="1" applyBorder="1" applyAlignment="1">
      <alignment horizontal="center" vertical="center"/>
    </xf>
    <xf numFmtId="184" fontId="4" fillId="2" borderId="9" xfId="326" applyNumberFormat="1"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18" xfId="0" applyFont="1" applyFill="1" applyBorder="1" applyAlignment="1">
      <alignment horizontal="center" vertical="center"/>
    </xf>
    <xf numFmtId="177" fontId="4" fillId="0" borderId="10" xfId="94" applyNumberFormat="1" applyFont="1" applyFill="1" applyBorder="1" applyAlignment="1">
      <alignment horizontal="center" vertical="center"/>
    </xf>
    <xf numFmtId="182" fontId="4" fillId="2" borderId="9" xfId="326" applyNumberFormat="1" applyFont="1" applyFill="1" applyBorder="1" applyAlignment="1">
      <alignment horizontal="center" vertical="center"/>
    </xf>
    <xf numFmtId="0" fontId="4" fillId="0" borderId="9" xfId="0" applyFont="1" applyFill="1" applyBorder="1" applyAlignment="1">
      <alignment horizontal="center" vertical="center"/>
    </xf>
    <xf numFmtId="0" fontId="4" fillId="0" borderId="20" xfId="0" applyFont="1" applyFill="1" applyBorder="1" applyAlignment="1">
      <alignment horizontal="center" vertical="center"/>
    </xf>
    <xf numFmtId="177" fontId="4" fillId="0" borderId="23" xfId="94" applyNumberFormat="1" applyFont="1" applyFill="1" applyBorder="1" applyAlignment="1">
      <alignment horizontal="center" vertical="center"/>
    </xf>
    <xf numFmtId="179" fontId="4" fillId="0" borderId="23" xfId="94" applyNumberFormat="1" applyFont="1" applyFill="1" applyBorder="1" applyAlignment="1">
      <alignment horizontal="center" vertical="center"/>
    </xf>
    <xf numFmtId="176" fontId="4" fillId="2" borderId="9" xfId="326" applyNumberFormat="1" applyFont="1" applyFill="1" applyBorder="1" applyAlignment="1">
      <alignment horizontal="center" vertical="center"/>
    </xf>
    <xf numFmtId="179" fontId="4" fillId="2" borderId="9" xfId="326" applyNumberFormat="1" applyFont="1" applyFill="1" applyBorder="1" applyAlignment="1">
      <alignment horizontal="center" vertical="center"/>
    </xf>
    <xf numFmtId="177" fontId="4" fillId="2" borderId="9" xfId="326" applyNumberFormat="1" applyFont="1" applyFill="1" applyBorder="1" applyAlignment="1">
      <alignment horizontal="center" vertical="center"/>
    </xf>
    <xf numFmtId="176" fontId="4" fillId="0" borderId="23" xfId="94" applyNumberFormat="1" applyFont="1" applyFill="1" applyBorder="1" applyAlignment="1">
      <alignment horizontal="center" vertical="center"/>
    </xf>
    <xf numFmtId="177" fontId="4" fillId="2" borderId="9" xfId="325" applyNumberFormat="1" applyFont="1" applyFill="1" applyBorder="1" applyAlignment="1">
      <alignment horizontal="center" vertical="center"/>
    </xf>
    <xf numFmtId="177" fontId="4" fillId="2" borderId="7" xfId="325" applyNumberFormat="1" applyFont="1" applyFill="1" applyBorder="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19" xfId="0" applyFont="1" applyFill="1" applyBorder="1" applyAlignment="1">
      <alignment horizontal="center" vertical="center"/>
    </xf>
    <xf numFmtId="176" fontId="4" fillId="0" borderId="11" xfId="94" applyNumberFormat="1" applyFont="1" applyFill="1" applyBorder="1" applyAlignment="1">
      <alignment horizontal="center" vertical="center"/>
    </xf>
    <xf numFmtId="176" fontId="4" fillId="2" borderId="0" xfId="325" applyNumberFormat="1" applyFont="1" applyFill="1" applyBorder="1" applyAlignment="1">
      <alignment horizontal="center" vertical="center"/>
    </xf>
    <xf numFmtId="182" fontId="4" fillId="2" borderId="0" xfId="95" applyNumberFormat="1" applyFont="1" applyFill="1" applyBorder="1" applyAlignment="1">
      <alignment horizontal="center" vertical="center"/>
    </xf>
    <xf numFmtId="177" fontId="9" fillId="2" borderId="0" xfId="94" applyNumberFormat="1" applyFont="1" applyFill="1" applyBorder="1" applyAlignment="1">
      <alignment horizontal="center" vertical="center"/>
    </xf>
    <xf numFmtId="1" fontId="9" fillId="2" borderId="0" xfId="94" applyNumberFormat="1" applyFont="1" applyFill="1" applyBorder="1" applyAlignment="1">
      <alignment horizontal="center" vertical="center"/>
    </xf>
    <xf numFmtId="2" fontId="4" fillId="2" borderId="0" xfId="280" applyNumberFormat="1" applyFont="1" applyFill="1" applyBorder="1" applyAlignment="1">
      <alignment vertical="center"/>
    </xf>
    <xf numFmtId="178" fontId="4" fillId="2" borderId="0" xfId="280" applyNumberFormat="1" applyFont="1" applyFill="1" applyBorder="1" applyAlignment="1">
      <alignment vertical="center"/>
    </xf>
    <xf numFmtId="177" fontId="4" fillId="2" borderId="0" xfId="325" applyNumberFormat="1" applyFont="1" applyFill="1" applyBorder="1" applyAlignment="1">
      <alignment horizontal="center" vertical="center"/>
    </xf>
    <xf numFmtId="176" fontId="9" fillId="2" borderId="0" xfId="94" applyNumberFormat="1" applyFont="1" applyFill="1" applyBorder="1" applyAlignment="1">
      <alignment horizontal="center" vertical="center"/>
    </xf>
    <xf numFmtId="0" fontId="4" fillId="2" borderId="14" xfId="280" applyFont="1" applyFill="1" applyBorder="1" applyAlignment="1">
      <alignment vertical="center"/>
    </xf>
    <xf numFmtId="0" fontId="4" fillId="2" borderId="15" xfId="280" applyFont="1" applyFill="1" applyBorder="1" applyAlignment="1">
      <alignment vertical="center"/>
    </xf>
    <xf numFmtId="0" fontId="4" fillId="2" borderId="1" xfId="280" applyFont="1" applyFill="1" applyBorder="1" applyAlignment="1">
      <alignment vertical="center"/>
    </xf>
    <xf numFmtId="0" fontId="9" fillId="3" borderId="4"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19" xfId="0" applyFont="1" applyFill="1" applyBorder="1" applyAlignment="1">
      <alignment horizontal="center" vertical="center"/>
    </xf>
    <xf numFmtId="0" fontId="4" fillId="3" borderId="11" xfId="0" applyFont="1" applyFill="1" applyBorder="1" applyAlignment="1">
      <alignment horizontal="center" vertical="center" wrapText="1"/>
    </xf>
    <xf numFmtId="179" fontId="4" fillId="0" borderId="12" xfId="0" applyNumberFormat="1" applyFont="1" applyBorder="1" applyAlignment="1">
      <alignment vertical="center"/>
    </xf>
    <xf numFmtId="185" fontId="4" fillId="0" borderId="19" xfId="0" applyNumberFormat="1" applyFont="1" applyBorder="1" applyAlignment="1">
      <alignment horizontal="center" vertical="center"/>
    </xf>
    <xf numFmtId="185" fontId="4" fillId="3" borderId="19" xfId="0" applyNumberFormat="1" applyFont="1" applyFill="1" applyBorder="1" applyAlignment="1">
      <alignment horizontal="center" vertical="center"/>
    </xf>
    <xf numFmtId="2" fontId="4" fillId="0" borderId="19" xfId="0" applyNumberFormat="1" applyFont="1" applyBorder="1" applyAlignment="1">
      <alignment horizontal="center" vertical="center"/>
    </xf>
    <xf numFmtId="2" fontId="4" fillId="3" borderId="19" xfId="0" applyNumberFormat="1" applyFont="1" applyFill="1" applyBorder="1" applyAlignment="1">
      <alignment horizontal="center" vertical="center"/>
    </xf>
    <xf numFmtId="0" fontId="4" fillId="0" borderId="11" xfId="0" applyFont="1" applyFill="1" applyBorder="1" applyAlignment="1">
      <alignment horizontal="center" vertical="center"/>
    </xf>
    <xf numFmtId="186" fontId="4" fillId="0" borderId="19" xfId="0" applyNumberFormat="1" applyFont="1" applyBorder="1" applyAlignment="1">
      <alignment horizontal="center" vertical="center"/>
    </xf>
    <xf numFmtId="186" fontId="4" fillId="3" borderId="19" xfId="0" applyNumberFormat="1" applyFont="1" applyFill="1" applyBorder="1" applyAlignment="1">
      <alignment horizontal="center" vertical="center"/>
    </xf>
    <xf numFmtId="1" fontId="4" fillId="0" borderId="19" xfId="0" applyNumberFormat="1" applyFont="1" applyBorder="1" applyAlignment="1">
      <alignment horizontal="center" vertical="center"/>
    </xf>
    <xf numFmtId="1" fontId="4" fillId="3" borderId="19" xfId="0" applyNumberFormat="1" applyFont="1" applyFill="1" applyBorder="1" applyAlignment="1">
      <alignment horizontal="center" vertical="center"/>
    </xf>
    <xf numFmtId="0" fontId="4" fillId="0" borderId="11" xfId="0" applyFont="1" applyFill="1" applyBorder="1" applyAlignment="1">
      <alignment horizontal="center" vertical="center" wrapText="1"/>
    </xf>
    <xf numFmtId="0" fontId="9" fillId="2" borderId="1" xfId="280" applyFont="1" applyFill="1" applyBorder="1" applyAlignment="1">
      <alignment vertical="center"/>
    </xf>
    <xf numFmtId="0" fontId="4" fillId="2" borderId="2" xfId="280" applyFont="1" applyFill="1" applyBorder="1" applyAlignment="1">
      <alignment vertical="center"/>
    </xf>
    <xf numFmtId="0" fontId="14" fillId="2" borderId="0" xfId="0" applyFont="1" applyFill="1" applyBorder="1" applyAlignment="1">
      <alignment horizontal="center"/>
    </xf>
    <xf numFmtId="0" fontId="9" fillId="2" borderId="0" xfId="325" applyFont="1" applyFill="1" applyBorder="1" applyAlignment="1">
      <alignment horizontal="center" vertical="center"/>
    </xf>
    <xf numFmtId="0" fontId="9" fillId="0" borderId="0" xfId="94" applyFont="1" applyFill="1" applyBorder="1" applyAlignment="1">
      <alignment horizontal="center" vertical="center"/>
    </xf>
    <xf numFmtId="0" fontId="9" fillId="2" borderId="12" xfId="94" applyFont="1" applyFill="1" applyBorder="1" applyAlignment="1">
      <alignment horizontal="center"/>
    </xf>
    <xf numFmtId="0" fontId="9" fillId="2" borderId="13" xfId="94" applyFont="1" applyFill="1" applyBorder="1" applyAlignment="1">
      <alignment horizontal="center"/>
    </xf>
    <xf numFmtId="0" fontId="9" fillId="2" borderId="21" xfId="94" applyFont="1" applyFill="1" applyBorder="1" applyAlignment="1">
      <alignment horizontal="center"/>
    </xf>
    <xf numFmtId="176" fontId="4" fillId="0" borderId="5" xfId="94" applyNumberFormat="1" applyFont="1" applyFill="1" applyBorder="1" applyAlignment="1">
      <alignment horizontal="center" vertical="center"/>
    </xf>
    <xf numFmtId="179" fontId="4" fillId="0" borderId="9" xfId="94" applyNumberFormat="1" applyFont="1" applyFill="1" applyBorder="1" applyAlignment="1">
      <alignment horizontal="center" vertical="center"/>
    </xf>
    <xf numFmtId="177" fontId="4" fillId="0" borderId="9" xfId="94" applyNumberFormat="1" applyFont="1" applyFill="1" applyBorder="1" applyAlignment="1">
      <alignment horizontal="center" vertical="center"/>
    </xf>
    <xf numFmtId="179" fontId="4" fillId="0" borderId="7" xfId="94" applyNumberFormat="1" applyFont="1" applyFill="1" applyBorder="1" applyAlignment="1">
      <alignment horizontal="center" vertical="center"/>
    </xf>
    <xf numFmtId="0" fontId="4" fillId="2" borderId="16" xfId="280" applyFont="1" applyFill="1" applyBorder="1" applyAlignment="1">
      <alignment vertical="center"/>
    </xf>
    <xf numFmtId="0" fontId="4" fillId="2" borderId="17" xfId="280" applyFont="1" applyFill="1" applyBorder="1" applyAlignment="1">
      <alignment vertical="center"/>
    </xf>
    <xf numFmtId="0" fontId="9" fillId="0" borderId="3" xfId="0" applyFont="1" applyFill="1" applyBorder="1" applyAlignment="1">
      <alignment horizontal="center" vertical="center"/>
    </xf>
    <xf numFmtId="0" fontId="9" fillId="0" borderId="4" xfId="0" applyFont="1" applyBorder="1" applyAlignment="1">
      <alignment horizontal="center" vertical="center"/>
    </xf>
    <xf numFmtId="0" fontId="4" fillId="0" borderId="3" xfId="281" applyFont="1" applyFill="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4" fillId="0" borderId="3" xfId="281" applyFont="1" applyFill="1" applyBorder="1" applyAlignment="1">
      <alignment horizontal="center" vertical="center" wrapText="1"/>
    </xf>
    <xf numFmtId="0" fontId="4" fillId="0" borderId="11" xfId="0" applyFont="1" applyBorder="1" applyAlignment="1">
      <alignment horizontal="center" vertical="center" wrapText="1"/>
    </xf>
    <xf numFmtId="187" fontId="4" fillId="3" borderId="19" xfId="0" applyNumberFormat="1" applyFont="1" applyFill="1" applyBorder="1" applyAlignment="1">
      <alignment horizontal="center" vertical="center"/>
    </xf>
    <xf numFmtId="0" fontId="4" fillId="0" borderId="3" xfId="0" applyFont="1" applyFill="1" applyBorder="1" applyAlignment="1">
      <alignment horizontal="center" vertical="center" wrapText="1"/>
    </xf>
    <xf numFmtId="178" fontId="4" fillId="0" borderId="19" xfId="0" applyNumberFormat="1" applyFont="1" applyBorder="1" applyAlignment="1">
      <alignment horizontal="center" vertical="center"/>
    </xf>
    <xf numFmtId="178" fontId="4" fillId="3" borderId="19" xfId="0" applyNumberFormat="1" applyFont="1" applyFill="1" applyBorder="1" applyAlignment="1">
      <alignment horizontal="center" vertical="center"/>
    </xf>
    <xf numFmtId="0" fontId="4" fillId="0" borderId="3" xfId="172" applyFont="1" applyFill="1" applyBorder="1" applyAlignment="1">
      <alignment horizontal="center" vertical="center" wrapText="1"/>
    </xf>
    <xf numFmtId="0" fontId="4" fillId="2" borderId="3" xfId="280" applyFont="1" applyFill="1" applyBorder="1" applyAlignment="1">
      <alignment horizontal="center" vertical="center"/>
    </xf>
    <xf numFmtId="0" fontId="4" fillId="0" borderId="4" xfId="280" applyFont="1" applyFill="1" applyBorder="1" applyAlignment="1">
      <alignment horizontal="center" vertical="center"/>
    </xf>
    <xf numFmtId="178" fontId="4" fillId="0" borderId="4" xfId="280" applyNumberFormat="1" applyFont="1" applyFill="1" applyBorder="1" applyAlignment="1">
      <alignment horizontal="center" vertical="center"/>
    </xf>
    <xf numFmtId="0" fontId="15" fillId="0" borderId="0" xfId="0" applyFont="1" applyFill="1" applyBorder="1" applyAlignment="1">
      <alignment horizontal="left" vertical="center"/>
    </xf>
    <xf numFmtId="0" fontId="9" fillId="0" borderId="0" xfId="281" applyFont="1" applyFill="1" applyBorder="1" applyAlignment="1">
      <alignment vertical="center"/>
    </xf>
    <xf numFmtId="0" fontId="4" fillId="2" borderId="22" xfId="280" applyFont="1" applyFill="1" applyBorder="1" applyAlignment="1">
      <alignment vertical="center"/>
    </xf>
    <xf numFmtId="185" fontId="4" fillId="0" borderId="0" xfId="0" applyNumberFormat="1" applyFont="1" applyFill="1" applyBorder="1" applyAlignment="1">
      <alignment horizontal="center" vertical="center"/>
    </xf>
    <xf numFmtId="2" fontId="4" fillId="0" borderId="0" xfId="0" applyNumberFormat="1" applyFont="1" applyFill="1" applyBorder="1" applyAlignment="1">
      <alignment horizontal="center" vertical="center"/>
    </xf>
    <xf numFmtId="1" fontId="4" fillId="0" borderId="0" xfId="0" applyNumberFormat="1" applyFont="1" applyFill="1" applyBorder="1" applyAlignment="1">
      <alignment horizontal="center" vertical="center"/>
    </xf>
    <xf numFmtId="0" fontId="4" fillId="2" borderId="16" xfId="280" applyFont="1" applyFill="1" applyBorder="1"/>
    <xf numFmtId="0" fontId="9" fillId="2" borderId="1" xfId="327" applyFont="1" applyFill="1" applyBorder="1" applyAlignment="1">
      <alignment vertical="center"/>
    </xf>
    <xf numFmtId="0" fontId="4" fillId="2" borderId="2" xfId="327" applyFont="1" applyFill="1" applyBorder="1" applyAlignment="1">
      <alignment horizontal="right" vertical="center"/>
    </xf>
    <xf numFmtId="0" fontId="4" fillId="2" borderId="2" xfId="327" applyFont="1" applyFill="1" applyBorder="1" applyAlignment="1">
      <alignment horizontal="left" vertical="center"/>
    </xf>
    <xf numFmtId="0" fontId="4" fillId="2" borderId="2" xfId="327" applyFont="1" applyFill="1" applyBorder="1" applyAlignment="1">
      <alignment vertical="center"/>
    </xf>
    <xf numFmtId="0" fontId="9" fillId="2" borderId="3" xfId="327" applyFont="1" applyFill="1" applyBorder="1" applyAlignment="1">
      <alignment vertical="center"/>
    </xf>
    <xf numFmtId="0" fontId="4" fillId="2" borderId="0" xfId="327" applyFont="1" applyFill="1" applyBorder="1" applyAlignment="1">
      <alignment horizontal="right" vertical="center"/>
    </xf>
    <xf numFmtId="49" fontId="4" fillId="2" borderId="0" xfId="327" applyNumberFormat="1" applyFont="1" applyFill="1" applyBorder="1" applyAlignment="1">
      <alignment horizontal="left" vertical="center"/>
    </xf>
    <xf numFmtId="0" fontId="4" fillId="2" borderId="0" xfId="324" applyFont="1" applyFill="1" applyBorder="1" applyAlignment="1">
      <alignment vertical="center"/>
    </xf>
    <xf numFmtId="0" fontId="4" fillId="2" borderId="3" xfId="327" applyFont="1" applyFill="1" applyBorder="1" applyAlignment="1">
      <alignment horizontal="right" vertical="center"/>
    </xf>
    <xf numFmtId="2" fontId="4" fillId="2" borderId="0" xfId="327" applyNumberFormat="1" applyFont="1" applyFill="1" applyBorder="1" applyAlignment="1">
      <alignment horizontal="left" vertical="center"/>
    </xf>
    <xf numFmtId="0" fontId="4" fillId="2" borderId="14" xfId="327" applyFont="1" applyFill="1" applyBorder="1" applyAlignment="1">
      <alignment horizontal="right" vertical="center"/>
    </xf>
    <xf numFmtId="0" fontId="4" fillId="2" borderId="15" xfId="327" applyFont="1" applyFill="1" applyBorder="1" applyAlignment="1">
      <alignment horizontal="right" vertical="center"/>
    </xf>
    <xf numFmtId="10" fontId="4" fillId="2" borderId="15" xfId="0" applyNumberFormat="1" applyFont="1" applyFill="1" applyBorder="1" applyAlignment="1">
      <alignment horizontal="left" vertical="center" wrapText="1"/>
    </xf>
    <xf numFmtId="182" fontId="4" fillId="2" borderId="15" xfId="327" applyNumberFormat="1" applyFont="1" applyFill="1" applyBorder="1" applyAlignment="1">
      <alignment horizontal="left" vertical="center"/>
    </xf>
    <xf numFmtId="0" fontId="9" fillId="2" borderId="3" xfId="327" applyFont="1" applyFill="1" applyBorder="1" applyAlignment="1">
      <alignment horizontal="left" vertical="center"/>
    </xf>
    <xf numFmtId="14" fontId="9" fillId="2" borderId="0" xfId="327" applyNumberFormat="1" applyFont="1" applyFill="1" applyBorder="1" applyAlignment="1">
      <alignment vertical="center"/>
    </xf>
    <xf numFmtId="0" fontId="4" fillId="2" borderId="0" xfId="327" applyFont="1" applyFill="1" applyBorder="1" applyAlignment="1">
      <alignment vertical="center"/>
    </xf>
    <xf numFmtId="176" fontId="4" fillId="0" borderId="10" xfId="94" applyNumberFormat="1" applyFont="1" applyFill="1" applyBorder="1" applyAlignment="1">
      <alignment horizontal="center" vertical="center"/>
    </xf>
    <xf numFmtId="0" fontId="4" fillId="2" borderId="17" xfId="280" applyFont="1" applyFill="1" applyBorder="1"/>
    <xf numFmtId="177" fontId="4" fillId="2" borderId="0" xfId="327" applyNumberFormat="1" applyFont="1" applyFill="1" applyBorder="1" applyAlignment="1">
      <alignment horizontal="left" vertical="center"/>
    </xf>
    <xf numFmtId="0" fontId="4" fillId="2" borderId="0" xfId="327" applyFont="1" applyFill="1" applyBorder="1" applyAlignment="1">
      <alignment horizontal="left" vertical="center"/>
    </xf>
    <xf numFmtId="177" fontId="4" fillId="0" borderId="0" xfId="327" applyNumberFormat="1" applyFont="1" applyFill="1" applyBorder="1" applyAlignment="1">
      <alignment horizontal="left" vertical="center"/>
    </xf>
    <xf numFmtId="0" fontId="4" fillId="2" borderId="3" xfId="327" applyFont="1" applyFill="1" applyBorder="1" applyAlignment="1">
      <alignment vertical="center"/>
    </xf>
    <xf numFmtId="0" fontId="4" fillId="2" borderId="1" xfId="327" applyFont="1" applyFill="1" applyBorder="1" applyAlignment="1">
      <alignment vertical="center"/>
    </xf>
    <xf numFmtId="179" fontId="4" fillId="0" borderId="11" xfId="94" applyNumberFormat="1" applyFont="1" applyFill="1" applyBorder="1" applyAlignment="1">
      <alignment horizontal="center" vertical="center"/>
    </xf>
    <xf numFmtId="0" fontId="4" fillId="0" borderId="0" xfId="327" applyFont="1" applyFill="1" applyBorder="1" applyAlignment="1">
      <alignment horizontal="left" vertical="center"/>
    </xf>
    <xf numFmtId="0" fontId="4" fillId="2" borderId="14" xfId="327" applyFont="1" applyFill="1" applyBorder="1" applyAlignment="1">
      <alignment vertical="center"/>
    </xf>
    <xf numFmtId="0" fontId="4" fillId="2" borderId="15" xfId="327" applyFont="1" applyFill="1" applyBorder="1" applyAlignment="1">
      <alignment vertical="center"/>
    </xf>
    <xf numFmtId="0" fontId="1" fillId="2" borderId="3" xfId="0" applyFont="1" applyFill="1" applyBorder="1" applyAlignment="1">
      <alignment vertical="center"/>
    </xf>
    <xf numFmtId="0" fontId="9" fillId="2" borderId="24" xfId="0" applyFont="1" applyFill="1" applyBorder="1" applyAlignment="1">
      <alignment horizontal="center" vertical="center"/>
    </xf>
    <xf numFmtId="0" fontId="4" fillId="2" borderId="25" xfId="0" applyFont="1" applyFill="1" applyBorder="1" applyAlignment="1"/>
    <xf numFmtId="0" fontId="4" fillId="2" borderId="3" xfId="327" applyFont="1" applyFill="1" applyBorder="1" applyAlignment="1">
      <alignment horizontal="center" vertical="center"/>
    </xf>
    <xf numFmtId="49" fontId="4" fillId="2" borderId="0" xfId="327" applyNumberFormat="1" applyFont="1" applyFill="1" applyBorder="1" applyAlignment="1">
      <alignment horizontal="center" vertical="center" wrapText="1"/>
    </xf>
    <xf numFmtId="0" fontId="4" fillId="2" borderId="0" xfId="327" applyFont="1" applyFill="1" applyBorder="1" applyAlignment="1">
      <alignment horizontal="center" vertical="center" wrapText="1"/>
    </xf>
    <xf numFmtId="179" fontId="4" fillId="2" borderId="0" xfId="327" applyNumberFormat="1" applyFont="1" applyFill="1" applyBorder="1" applyAlignment="1">
      <alignment horizontal="center" vertical="center" wrapText="1"/>
    </xf>
    <xf numFmtId="0" fontId="1" fillId="2" borderId="2" xfId="0" applyFont="1" applyFill="1" applyBorder="1" applyAlignment="1">
      <alignment vertical="center"/>
    </xf>
    <xf numFmtId="0" fontId="4" fillId="2" borderId="22" xfId="280" applyFont="1" applyFill="1" applyBorder="1"/>
    <xf numFmtId="0" fontId="4" fillId="2" borderId="15" xfId="327" applyFont="1" applyFill="1" applyBorder="1" applyAlignment="1">
      <alignment horizontal="left" vertical="center"/>
    </xf>
    <xf numFmtId="0" fontId="4" fillId="2" borderId="0" xfId="327" applyFont="1" applyFill="1" applyBorder="1" applyAlignment="1">
      <alignment horizontal="left" vertical="center" wrapText="1"/>
    </xf>
    <xf numFmtId="0" fontId="4" fillId="2" borderId="4" xfId="280" applyFont="1" applyFill="1" applyBorder="1" applyAlignment="1">
      <alignment vertical="center"/>
    </xf>
    <xf numFmtId="0" fontId="4" fillId="2" borderId="4" xfId="280" applyFont="1" applyFill="1" applyBorder="1" applyAlignment="1">
      <alignment horizontal="center" vertical="center"/>
    </xf>
    <xf numFmtId="179" fontId="4" fillId="2" borderId="4" xfId="280" applyNumberFormat="1" applyFont="1" applyFill="1" applyBorder="1" applyAlignment="1">
      <alignment horizontal="center" vertical="center"/>
    </xf>
    <xf numFmtId="0" fontId="1" fillId="0" borderId="2" xfId="0" applyFont="1" applyFill="1" applyBorder="1" applyAlignment="1">
      <alignment vertical="center"/>
    </xf>
    <xf numFmtId="0" fontId="4" fillId="2" borderId="16" xfId="327" applyFont="1" applyFill="1" applyBorder="1" applyAlignment="1">
      <alignment vertical="center"/>
    </xf>
    <xf numFmtId="0" fontId="4" fillId="2" borderId="17" xfId="327" applyFont="1" applyFill="1" applyBorder="1" applyAlignment="1">
      <alignment vertical="center"/>
    </xf>
    <xf numFmtId="10" fontId="4" fillId="2" borderId="15" xfId="327" applyNumberFormat="1" applyFont="1" applyFill="1" applyBorder="1" applyAlignment="1">
      <alignment horizontal="left" vertical="center"/>
    </xf>
    <xf numFmtId="0" fontId="4" fillId="2" borderId="22" xfId="327" applyFont="1" applyFill="1" applyBorder="1" applyAlignment="1">
      <alignment horizontal="left" vertical="center"/>
    </xf>
    <xf numFmtId="0" fontId="4" fillId="2" borderId="17" xfId="327" applyFont="1" applyFill="1" applyBorder="1" applyAlignment="1">
      <alignment horizontal="left" vertical="center"/>
    </xf>
    <xf numFmtId="0" fontId="9" fillId="2" borderId="2" xfId="327" applyFont="1" applyFill="1" applyBorder="1" applyAlignment="1">
      <alignment horizontal="right" vertical="center"/>
    </xf>
    <xf numFmtId="9" fontId="4" fillId="2" borderId="2" xfId="327" applyNumberFormat="1" applyFont="1" applyFill="1" applyBorder="1" applyAlignment="1">
      <alignment vertical="center"/>
    </xf>
    <xf numFmtId="0" fontId="4" fillId="2" borderId="2" xfId="327" applyFont="1" applyFill="1" applyBorder="1" applyAlignment="1">
      <alignment vertical="center" wrapText="1"/>
    </xf>
    <xf numFmtId="0" fontId="4" fillId="2" borderId="16" xfId="327" applyFont="1" applyFill="1" applyBorder="1" applyAlignment="1">
      <alignment vertical="center" wrapText="1"/>
    </xf>
    <xf numFmtId="0" fontId="4" fillId="2" borderId="17" xfId="327" applyFont="1" applyFill="1" applyBorder="1" applyAlignment="1">
      <alignment horizontal="left" vertical="center" wrapText="1"/>
    </xf>
    <xf numFmtId="0" fontId="4" fillId="2" borderId="22" xfId="327" applyFont="1" applyFill="1" applyBorder="1" applyAlignment="1">
      <alignment vertical="center"/>
    </xf>
    <xf numFmtId="0" fontId="1" fillId="2" borderId="17" xfId="0" applyFont="1" applyFill="1" applyBorder="1" applyAlignment="1">
      <alignment vertical="center"/>
    </xf>
    <xf numFmtId="0" fontId="1" fillId="0" borderId="3" xfId="0" applyFont="1" applyFill="1" applyBorder="1" applyAlignment="1">
      <alignment vertical="center"/>
    </xf>
    <xf numFmtId="179" fontId="4" fillId="2" borderId="0" xfId="327" applyNumberFormat="1" applyFont="1" applyFill="1" applyBorder="1" applyAlignment="1">
      <alignment horizontal="center" vertical="center"/>
    </xf>
    <xf numFmtId="182" fontId="4" fillId="2" borderId="0" xfId="327" applyNumberFormat="1" applyFont="1" applyFill="1" applyBorder="1" applyAlignment="1">
      <alignment horizontal="center" vertical="center"/>
    </xf>
    <xf numFmtId="182" fontId="4" fillId="2" borderId="0" xfId="327" applyNumberFormat="1" applyFont="1" applyFill="1" applyBorder="1" applyAlignment="1">
      <alignment horizontal="center" vertical="center" wrapText="1"/>
    </xf>
    <xf numFmtId="182" fontId="4" fillId="2" borderId="17" xfId="327" applyNumberFormat="1" applyFont="1" applyFill="1" applyBorder="1" applyAlignment="1">
      <alignment horizontal="center" vertical="center" wrapText="1"/>
    </xf>
    <xf numFmtId="182" fontId="1" fillId="2" borderId="2" xfId="0" applyNumberFormat="1" applyFont="1" applyFill="1" applyBorder="1" applyAlignment="1">
      <alignment horizontal="center" vertical="center"/>
    </xf>
    <xf numFmtId="182" fontId="1" fillId="2" borderId="16" xfId="0" applyNumberFormat="1" applyFont="1" applyFill="1" applyBorder="1" applyAlignment="1">
      <alignment horizontal="center" vertical="center"/>
    </xf>
    <xf numFmtId="0" fontId="16" fillId="2" borderId="2" xfId="280" applyFont="1" applyFill="1" applyBorder="1" applyAlignment="1">
      <alignment vertical="center"/>
    </xf>
    <xf numFmtId="0" fontId="16" fillId="2" borderId="16" xfId="280" applyFont="1" applyFill="1" applyBorder="1"/>
    <xf numFmtId="0" fontId="16" fillId="2" borderId="0" xfId="280" applyFont="1" applyFill="1" applyBorder="1" applyAlignment="1">
      <alignment vertical="center"/>
    </xf>
    <xf numFmtId="0" fontId="16" fillId="2" borderId="17" xfId="280" applyFont="1" applyFill="1" applyBorder="1"/>
    <xf numFmtId="0" fontId="4" fillId="2" borderId="17" xfId="280" applyFont="1" applyFill="1" applyBorder="1" applyAlignment="1">
      <alignment horizontal="center" vertical="center"/>
    </xf>
    <xf numFmtId="0" fontId="16" fillId="2" borderId="15" xfId="280" applyFont="1" applyFill="1" applyBorder="1" applyAlignment="1">
      <alignment vertical="center"/>
    </xf>
    <xf numFmtId="0" fontId="16" fillId="2" borderId="22" xfId="280" applyFont="1" applyFill="1" applyBorder="1"/>
    <xf numFmtId="0" fontId="16" fillId="2" borderId="0" xfId="280" applyFont="1" applyFill="1" applyAlignment="1">
      <alignment vertical="center"/>
    </xf>
    <xf numFmtId="0" fontId="17" fillId="0" borderId="0" xfId="196" applyFont="1" applyFill="1" applyBorder="1" applyAlignment="1">
      <alignment horizontal="center" vertical="center"/>
    </xf>
    <xf numFmtId="0" fontId="17" fillId="2" borderId="0" xfId="196" applyFont="1" applyFill="1" applyBorder="1" applyAlignment="1">
      <alignment horizontal="center" vertical="top"/>
    </xf>
    <xf numFmtId="0" fontId="17" fillId="2" borderId="0" xfId="196" applyFont="1" applyFill="1" applyBorder="1" applyAlignment="1">
      <alignment horizontal="center" vertical="center"/>
    </xf>
    <xf numFmtId="0" fontId="14" fillId="0" borderId="0" xfId="280" applyFont="1" applyFill="1" applyBorder="1" applyAlignment="1">
      <alignment horizontal="center" vertical="center"/>
    </xf>
    <xf numFmtId="0" fontId="14" fillId="0" borderId="0" xfId="196" applyFont="1" applyAlignment="1">
      <alignment vertical="top" wrapText="1"/>
    </xf>
    <xf numFmtId="0" fontId="14" fillId="2" borderId="0" xfId="280" applyFont="1" applyFill="1" applyBorder="1" applyAlignment="1">
      <alignment horizontal="center" vertical="center"/>
    </xf>
    <xf numFmtId="0" fontId="14" fillId="2" borderId="0" xfId="196" applyFont="1" applyFill="1" applyAlignment="1">
      <alignment horizontal="left" vertical="top" wrapText="1"/>
    </xf>
    <xf numFmtId="0" fontId="14" fillId="0" borderId="0" xfId="196" applyFont="1" applyAlignment="1">
      <alignment horizontal="left" vertical="top"/>
    </xf>
    <xf numFmtId="0" fontId="13" fillId="0" borderId="0" xfId="196" applyFont="1" applyAlignment="1">
      <alignment horizontal="left" vertical="top"/>
    </xf>
    <xf numFmtId="0" fontId="14" fillId="2" borderId="0" xfId="196" applyFont="1" applyFill="1" applyAlignment="1">
      <alignment horizontal="left" vertical="center" wrapText="1"/>
    </xf>
    <xf numFmtId="0" fontId="17" fillId="2" borderId="0" xfId="196" applyFont="1" applyFill="1" applyAlignment="1">
      <alignment horizontal="left" vertical="top" wrapText="1"/>
    </xf>
    <xf numFmtId="0" fontId="17" fillId="2" borderId="0" xfId="196" applyFont="1" applyFill="1" applyAlignment="1">
      <alignment horizontal="center" vertical="center"/>
    </xf>
    <xf numFmtId="0" fontId="14" fillId="2" borderId="0" xfId="196" applyFont="1" applyFill="1" applyAlignment="1">
      <alignment horizontal="center" vertical="center"/>
    </xf>
    <xf numFmtId="0" fontId="19" fillId="0" borderId="0" xfId="0" applyFont="1" applyAlignment="1">
      <alignment horizontal="center" vertical="center"/>
    </xf>
    <xf numFmtId="0" fontId="14" fillId="0" borderId="0" xfId="280" applyFont="1" applyAlignment="1">
      <alignment horizontal="center" vertical="center"/>
    </xf>
    <xf numFmtId="0" fontId="21" fillId="0" borderId="0" xfId="196" applyFont="1" applyFill="1" applyAlignment="1">
      <alignment horizontal="left" vertical="center" wrapText="1"/>
    </xf>
    <xf numFmtId="0" fontId="17" fillId="2" borderId="0" xfId="0" applyFont="1" applyFill="1" applyAlignment="1">
      <alignment horizontal="center"/>
    </xf>
    <xf numFmtId="0" fontId="14" fillId="2" borderId="0" xfId="280" applyFont="1" applyFill="1" applyAlignment="1">
      <alignment horizontal="center" vertical="center"/>
    </xf>
    <xf numFmtId="0" fontId="17" fillId="2" borderId="0" xfId="196" applyFont="1" applyFill="1" applyBorder="1" applyAlignment="1">
      <alignment horizontal="center" vertical="top" wrapText="1"/>
    </xf>
    <xf numFmtId="0" fontId="17" fillId="2" borderId="0" xfId="0" applyFont="1" applyFill="1" applyBorder="1" applyAlignment="1">
      <alignment horizontal="center"/>
    </xf>
    <xf numFmtId="0" fontId="1" fillId="2" borderId="0" xfId="0" applyFont="1" applyFill="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7" fillId="2" borderId="0" xfId="196" applyNumberFormat="1" applyFont="1" applyFill="1" applyBorder="1" applyAlignment="1">
      <alignment horizontal="center" vertical="center"/>
    </xf>
    <xf numFmtId="0" fontId="24" fillId="2" borderId="0" xfId="0" applyFont="1" applyFill="1" applyBorder="1" applyAlignment="1">
      <alignment horizontal="center" vertical="top" wrapText="1"/>
    </xf>
    <xf numFmtId="178" fontId="17" fillId="2" borderId="0" xfId="196" applyNumberFormat="1" applyFont="1" applyFill="1" applyBorder="1" applyAlignment="1">
      <alignment horizontal="center" vertical="center"/>
    </xf>
    <xf numFmtId="14" fontId="20" fillId="0" borderId="0" xfId="196" applyNumberFormat="1" applyFont="1" applyFill="1" applyAlignment="1">
      <alignment horizontal="left" vertical="top" wrapText="1"/>
    </xf>
    <xf numFmtId="14" fontId="14" fillId="2" borderId="0" xfId="196" applyNumberFormat="1" applyFont="1" applyFill="1" applyAlignment="1">
      <alignment horizontal="left" vertical="top" wrapText="1"/>
    </xf>
    <xf numFmtId="178" fontId="1" fillId="0" borderId="0" xfId="0" applyNumberFormat="1" applyFont="1" applyFill="1" applyAlignment="1">
      <alignment horizontal="center" vertical="center"/>
    </xf>
    <xf numFmtId="0" fontId="14" fillId="2" borderId="0" xfId="196" applyFont="1" applyFill="1" applyBorder="1" applyAlignment="1">
      <alignment horizontal="center" vertical="top"/>
    </xf>
    <xf numFmtId="0" fontId="17" fillId="2" borderId="0" xfId="196" applyFont="1" applyFill="1" applyBorder="1" applyAlignment="1">
      <alignment horizontal="left" vertical="center" wrapText="1"/>
    </xf>
    <xf numFmtId="0" fontId="20" fillId="0" borderId="0" xfId="196" applyFont="1" applyFill="1" applyBorder="1" applyAlignment="1">
      <alignment horizontal="left" vertical="center" wrapText="1"/>
    </xf>
    <xf numFmtId="0" fontId="18" fillId="2" borderId="0" xfId="196" applyFont="1" applyFill="1" applyBorder="1" applyAlignment="1">
      <alignment horizontal="center" vertical="center"/>
    </xf>
    <xf numFmtId="0" fontId="4" fillId="2" borderId="9" xfId="327" applyFont="1" applyFill="1" applyBorder="1" applyAlignment="1">
      <alignment horizontal="center" vertical="center" wrapText="1"/>
    </xf>
    <xf numFmtId="0" fontId="4" fillId="2" borderId="0" xfId="327" applyFont="1" applyFill="1" applyAlignment="1">
      <alignment horizontal="center" vertical="center" wrapText="1"/>
    </xf>
    <xf numFmtId="0" fontId="4" fillId="2" borderId="7" xfId="327" applyFont="1" applyFill="1" applyBorder="1" applyAlignment="1">
      <alignment horizontal="center" vertical="center" wrapText="1"/>
    </xf>
    <xf numFmtId="0" fontId="4" fillId="2" borderId="8" xfId="327" applyFont="1" applyFill="1" applyBorder="1" applyAlignment="1">
      <alignment horizontal="center" vertical="center" wrapText="1"/>
    </xf>
    <xf numFmtId="182" fontId="4" fillId="2" borderId="5" xfId="327" applyNumberFormat="1" applyFont="1" applyFill="1" applyBorder="1" applyAlignment="1">
      <alignment horizontal="center" vertical="center" wrapText="1"/>
    </xf>
    <xf numFmtId="182" fontId="4" fillId="2" borderId="6" xfId="327" applyNumberFormat="1" applyFont="1" applyFill="1" applyBorder="1" applyAlignment="1">
      <alignment horizontal="center" vertical="center" wrapText="1"/>
    </xf>
    <xf numFmtId="182" fontId="4" fillId="2" borderId="9" xfId="327" applyNumberFormat="1" applyFont="1" applyFill="1" applyBorder="1" applyAlignment="1">
      <alignment horizontal="center" vertical="center" wrapText="1"/>
    </xf>
    <xf numFmtId="182" fontId="4" fillId="2" borderId="0" xfId="327" applyNumberFormat="1" applyFont="1" applyFill="1" applyAlignment="1">
      <alignment horizontal="center" vertical="center" wrapText="1"/>
    </xf>
    <xf numFmtId="182" fontId="4" fillId="2" borderId="7" xfId="327" applyNumberFormat="1" applyFont="1" applyFill="1" applyBorder="1" applyAlignment="1">
      <alignment horizontal="center" vertical="center" wrapText="1"/>
    </xf>
    <xf numFmtId="182" fontId="4" fillId="2" borderId="8" xfId="327" applyNumberFormat="1" applyFont="1" applyFill="1" applyBorder="1" applyAlignment="1">
      <alignment horizontal="center" vertical="center" wrapText="1"/>
    </xf>
    <xf numFmtId="0" fontId="4" fillId="2" borderId="23" xfId="327" applyFont="1" applyFill="1" applyBorder="1" applyAlignment="1">
      <alignment horizontal="center" vertical="center" wrapText="1"/>
    </xf>
    <xf numFmtId="0" fontId="4" fillId="2" borderId="11" xfId="327" applyFont="1" applyFill="1" applyBorder="1" applyAlignment="1">
      <alignment horizontal="center" vertical="center" wrapText="1"/>
    </xf>
    <xf numFmtId="177" fontId="4" fillId="2" borderId="10" xfId="327" applyNumberFormat="1" applyFont="1" applyFill="1" applyBorder="1" applyAlignment="1">
      <alignment horizontal="center" vertical="center" wrapText="1"/>
    </xf>
    <xf numFmtId="177" fontId="4" fillId="2" borderId="23" xfId="327" applyNumberFormat="1" applyFont="1" applyFill="1" applyBorder="1" applyAlignment="1">
      <alignment horizontal="center" vertical="center" wrapText="1"/>
    </xf>
    <xf numFmtId="177" fontId="4" fillId="2" borderId="11" xfId="327" applyNumberFormat="1" applyFont="1" applyFill="1" applyBorder="1" applyAlignment="1">
      <alignment horizontal="center" vertical="center" wrapText="1"/>
    </xf>
    <xf numFmtId="176" fontId="4" fillId="2" borderId="10" xfId="327" applyNumberFormat="1" applyFont="1" applyFill="1" applyBorder="1" applyAlignment="1">
      <alignment horizontal="center" vertical="center"/>
    </xf>
    <xf numFmtId="176" fontId="4" fillId="2" borderId="23" xfId="327" applyNumberFormat="1" applyFont="1" applyFill="1" applyBorder="1" applyAlignment="1">
      <alignment horizontal="center" vertical="center"/>
    </xf>
    <xf numFmtId="176" fontId="4" fillId="2" borderId="11" xfId="327" applyNumberFormat="1" applyFont="1" applyFill="1" applyBorder="1" applyAlignment="1">
      <alignment horizontal="center" vertical="center"/>
    </xf>
    <xf numFmtId="182" fontId="4" fillId="2" borderId="5" xfId="327" applyNumberFormat="1" applyFont="1" applyFill="1" applyBorder="1" applyAlignment="1">
      <alignment horizontal="center" vertical="center"/>
    </xf>
    <xf numFmtId="182" fontId="4" fillId="2" borderId="9" xfId="327" applyNumberFormat="1" applyFont="1" applyFill="1" applyBorder="1" applyAlignment="1">
      <alignment horizontal="center" vertical="center"/>
    </xf>
    <xf numFmtId="182" fontId="4" fillId="2" borderId="7" xfId="327" applyNumberFormat="1" applyFont="1" applyFill="1" applyBorder="1" applyAlignment="1">
      <alignment horizontal="center" vertical="center"/>
    </xf>
    <xf numFmtId="0" fontId="4" fillId="2" borderId="26" xfId="327" applyFont="1" applyFill="1" applyBorder="1" applyAlignment="1">
      <alignment horizontal="center" vertical="center" wrapText="1"/>
    </xf>
    <xf numFmtId="0" fontId="4" fillId="2" borderId="27" xfId="327" applyFont="1" applyFill="1" applyBorder="1" applyAlignment="1">
      <alignment horizontal="center" vertical="center" wrapText="1"/>
    </xf>
    <xf numFmtId="0" fontId="4" fillId="2" borderId="28" xfId="327" applyFont="1" applyFill="1" applyBorder="1" applyAlignment="1">
      <alignment horizontal="center" vertical="center"/>
    </xf>
    <xf numFmtId="0" fontId="4" fillId="2" borderId="26" xfId="327" applyFont="1" applyFill="1" applyBorder="1" applyAlignment="1">
      <alignment horizontal="center" vertical="center"/>
    </xf>
    <xf numFmtId="0" fontId="4" fillId="2" borderId="27" xfId="327" applyFont="1" applyFill="1" applyBorder="1" applyAlignment="1">
      <alignment horizontal="center" vertical="center"/>
    </xf>
    <xf numFmtId="0" fontId="4" fillId="2" borderId="23" xfId="327" applyFont="1" applyFill="1" applyBorder="1" applyAlignment="1">
      <alignment horizontal="center" vertical="center"/>
    </xf>
    <xf numFmtId="0" fontId="4" fillId="2" borderId="11" xfId="327" applyFont="1" applyFill="1" applyBorder="1" applyAlignment="1">
      <alignment horizontal="center" vertical="center"/>
    </xf>
    <xf numFmtId="49" fontId="4" fillId="2" borderId="10" xfId="327" applyNumberFormat="1" applyFont="1" applyFill="1" applyBorder="1" applyAlignment="1">
      <alignment horizontal="center" vertical="center" wrapText="1"/>
    </xf>
    <xf numFmtId="49" fontId="4" fillId="2" borderId="23" xfId="327" applyNumberFormat="1" applyFont="1" applyFill="1" applyBorder="1" applyAlignment="1">
      <alignment horizontal="center" vertical="center" wrapText="1"/>
    </xf>
    <xf numFmtId="49" fontId="4" fillId="2" borderId="11" xfId="327" applyNumberFormat="1" applyFont="1" applyFill="1" applyBorder="1" applyAlignment="1">
      <alignment horizontal="center" vertical="center" wrapText="1"/>
    </xf>
    <xf numFmtId="0" fontId="4" fillId="2" borderId="10" xfId="327" applyFont="1" applyFill="1" applyBorder="1" applyAlignment="1">
      <alignment horizontal="center" vertical="center" wrapText="1"/>
    </xf>
    <xf numFmtId="0" fontId="15" fillId="2" borderId="2" xfId="280" applyFont="1" applyFill="1" applyBorder="1" applyAlignment="1">
      <alignment horizontal="left" vertical="center" wrapText="1"/>
    </xf>
    <xf numFmtId="0" fontId="4" fillId="2" borderId="2" xfId="280" applyFont="1" applyFill="1" applyBorder="1" applyAlignment="1">
      <alignment horizontal="left" vertical="center"/>
    </xf>
    <xf numFmtId="0" fontId="9" fillId="3" borderId="10" xfId="0" applyFont="1" applyFill="1" applyBorder="1" applyAlignment="1">
      <alignment horizontal="center" vertical="center"/>
    </xf>
    <xf numFmtId="0" fontId="9" fillId="3" borderId="23" xfId="0" applyFont="1" applyFill="1" applyBorder="1" applyAlignment="1">
      <alignment horizontal="center" vertical="center"/>
    </xf>
    <xf numFmtId="0" fontId="9" fillId="3" borderId="11" xfId="0" applyFont="1" applyFill="1" applyBorder="1" applyAlignment="1">
      <alignment horizontal="center" vertical="center"/>
    </xf>
    <xf numFmtId="0" fontId="9" fillId="0" borderId="10" xfId="0" applyFont="1" applyBorder="1" applyAlignment="1">
      <alignment horizontal="center" vertical="center"/>
    </xf>
    <xf numFmtId="0" fontId="9" fillId="0" borderId="23" xfId="0" applyFont="1" applyBorder="1" applyAlignment="1">
      <alignment horizontal="center" vertical="center"/>
    </xf>
    <xf numFmtId="0" fontId="9" fillId="0" borderId="11" xfId="0" applyFont="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4" fillId="2" borderId="3" xfId="280" applyFont="1" applyFill="1" applyBorder="1" applyAlignment="1">
      <alignment horizontal="center" vertical="center"/>
    </xf>
    <xf numFmtId="0" fontId="4" fillId="2" borderId="0" xfId="280" applyFont="1" applyFill="1" applyAlignment="1">
      <alignment horizontal="center" vertical="center"/>
    </xf>
    <xf numFmtId="0" fontId="4" fillId="2" borderId="17" xfId="280" applyFont="1" applyFill="1" applyBorder="1" applyAlignment="1">
      <alignment horizontal="center" vertical="center"/>
    </xf>
    <xf numFmtId="0" fontId="4" fillId="0" borderId="0" xfId="0" applyFont="1" applyBorder="1" applyAlignment="1">
      <alignment horizontal="center" vertical="center"/>
    </xf>
    <xf numFmtId="0" fontId="4" fillId="0" borderId="17" xfId="0" applyFont="1" applyBorder="1" applyAlignment="1">
      <alignment horizontal="center" vertical="center"/>
    </xf>
    <xf numFmtId="0" fontId="9" fillId="3" borderId="12" xfId="0" applyFont="1" applyFill="1" applyBorder="1" applyAlignment="1">
      <alignment horizontal="center" vertical="center"/>
    </xf>
    <xf numFmtId="0" fontId="9" fillId="3" borderId="13" xfId="0" applyFont="1" applyFill="1" applyBorder="1" applyAlignment="1">
      <alignment horizontal="center" vertical="center"/>
    </xf>
    <xf numFmtId="0" fontId="9" fillId="3" borderId="21" xfId="0" applyFont="1" applyFill="1" applyBorder="1" applyAlignment="1">
      <alignment horizontal="center" vertical="center"/>
    </xf>
    <xf numFmtId="0" fontId="13" fillId="2" borderId="2" xfId="0" applyFont="1" applyFill="1" applyBorder="1" applyAlignment="1">
      <alignment horizontal="center" vertical="center"/>
    </xf>
    <xf numFmtId="0" fontId="14" fillId="2" borderId="2" xfId="0" applyFont="1" applyFill="1" applyBorder="1" applyAlignment="1">
      <alignment horizontal="center" vertical="center"/>
    </xf>
    <xf numFmtId="0" fontId="14" fillId="2" borderId="8" xfId="0" applyFont="1" applyFill="1" applyBorder="1" applyAlignment="1">
      <alignment horizontal="center" vertical="center"/>
    </xf>
    <xf numFmtId="0" fontId="4" fillId="2" borderId="3" xfId="327" applyFont="1" applyFill="1" applyBorder="1" applyAlignment="1">
      <alignment horizontal="right" vertical="center"/>
    </xf>
    <xf numFmtId="0" fontId="4" fillId="2" borderId="0" xfId="327" applyFont="1" applyFill="1" applyBorder="1" applyAlignment="1">
      <alignment horizontal="right" vertical="center"/>
    </xf>
    <xf numFmtId="0" fontId="4" fillId="2" borderId="1" xfId="327" applyFont="1" applyFill="1" applyBorder="1" applyAlignment="1">
      <alignment horizontal="right" vertical="center"/>
    </xf>
    <xf numFmtId="0" fontId="4" fillId="2" borderId="2" xfId="327" applyFont="1" applyFill="1" applyBorder="1" applyAlignment="1">
      <alignment horizontal="right" vertical="center"/>
    </xf>
    <xf numFmtId="0" fontId="9" fillId="2" borderId="12" xfId="325" applyFont="1" applyFill="1" applyBorder="1" applyAlignment="1">
      <alignment horizontal="center" vertical="center"/>
    </xf>
    <xf numFmtId="0" fontId="9" fillId="2" borderId="13" xfId="325" applyFont="1" applyFill="1" applyBorder="1" applyAlignment="1">
      <alignment horizontal="center" vertical="center"/>
    </xf>
    <xf numFmtId="0" fontId="9" fillId="2" borderId="21" xfId="325" applyFont="1" applyFill="1" applyBorder="1" applyAlignment="1">
      <alignment horizontal="center" vertical="center"/>
    </xf>
    <xf numFmtId="176" fontId="9" fillId="2" borderId="12" xfId="94" applyNumberFormat="1" applyFont="1" applyFill="1" applyBorder="1" applyAlignment="1">
      <alignment horizontal="center" vertical="center"/>
    </xf>
    <xf numFmtId="176" fontId="9" fillId="2" borderId="13" xfId="94" applyNumberFormat="1" applyFont="1" applyFill="1" applyBorder="1" applyAlignment="1">
      <alignment horizontal="center" vertical="center"/>
    </xf>
    <xf numFmtId="176" fontId="9" fillId="2" borderId="21" xfId="94" applyNumberFormat="1" applyFont="1" applyFill="1" applyBorder="1" applyAlignment="1">
      <alignment horizontal="center" vertical="center"/>
    </xf>
    <xf numFmtId="0" fontId="12" fillId="2" borderId="15" xfId="280" applyFont="1" applyFill="1" applyBorder="1" applyAlignment="1">
      <alignment horizontal="center" vertical="center"/>
    </xf>
    <xf numFmtId="49" fontId="14" fillId="2" borderId="15" xfId="280" applyNumberFormat="1" applyFont="1" applyFill="1" applyBorder="1" applyAlignment="1">
      <alignment horizontal="right" vertical="center"/>
    </xf>
    <xf numFmtId="0" fontId="14" fillId="2" borderId="15" xfId="280" applyFont="1" applyFill="1" applyBorder="1" applyAlignment="1">
      <alignment horizontal="left" vertical="center"/>
    </xf>
    <xf numFmtId="0" fontId="13" fillId="2" borderId="0" xfId="0" applyFont="1" applyFill="1" applyBorder="1" applyAlignment="1">
      <alignment horizontal="center" vertical="center"/>
    </xf>
    <xf numFmtId="0" fontId="14" fillId="2" borderId="0" xfId="0" applyFont="1" applyFill="1" applyBorder="1" applyAlignment="1">
      <alignment horizontal="center" vertical="center"/>
    </xf>
    <xf numFmtId="0" fontId="9" fillId="0" borderId="1"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14" xfId="0" applyFont="1" applyFill="1" applyBorder="1" applyAlignment="1">
      <alignment horizontal="center" vertical="center" wrapText="1"/>
    </xf>
    <xf numFmtId="11" fontId="4" fillId="0" borderId="2" xfId="323" applyNumberFormat="1" applyFont="1" applyBorder="1" applyAlignment="1">
      <alignment horizontal="left" vertical="center"/>
    </xf>
    <xf numFmtId="11" fontId="4" fillId="0" borderId="0" xfId="323" applyNumberFormat="1" applyFont="1" applyBorder="1" applyAlignment="1">
      <alignment horizontal="left" vertical="center"/>
    </xf>
    <xf numFmtId="176" fontId="9" fillId="0" borderId="0" xfId="323" applyNumberFormat="1" applyFont="1" applyBorder="1" applyAlignment="1">
      <alignment horizontal="left" vertical="center"/>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0" xfId="322" applyFont="1" applyAlignment="1">
      <alignment horizontal="left" vertical="center" wrapText="1"/>
    </xf>
    <xf numFmtId="0" fontId="3" fillId="0" borderId="4" xfId="322" applyFont="1" applyBorder="1" applyAlignment="1">
      <alignment horizontal="center" vertical="center" wrapText="1"/>
    </xf>
    <xf numFmtId="0" fontId="9" fillId="0" borderId="4" xfId="322" applyFont="1" applyBorder="1" applyAlignment="1">
      <alignment horizontal="center" vertical="center"/>
    </xf>
    <xf numFmtId="0" fontId="1" fillId="0" borderId="10" xfId="0" applyFont="1" applyBorder="1" applyAlignment="1">
      <alignment horizontal="center" vertical="center"/>
    </xf>
    <xf numFmtId="0" fontId="1" fillId="0" borderId="23" xfId="0" applyFont="1" applyBorder="1" applyAlignment="1">
      <alignment horizontal="center" vertical="center"/>
    </xf>
    <xf numFmtId="0" fontId="1" fillId="0" borderId="11" xfId="0" applyFont="1" applyBorder="1" applyAlignment="1">
      <alignment horizontal="center" vertical="center"/>
    </xf>
    <xf numFmtId="0" fontId="1" fillId="0" borderId="5" xfId="0" applyNumberFormat="1" applyFont="1" applyBorder="1" applyAlignment="1">
      <alignment horizontal="center" vertical="center"/>
    </xf>
    <xf numFmtId="0" fontId="1" fillId="0" borderId="9" xfId="0" applyNumberFormat="1" applyFont="1" applyBorder="1" applyAlignment="1">
      <alignment horizontal="center" vertical="center"/>
    </xf>
    <xf numFmtId="0" fontId="1" fillId="0" borderId="7" xfId="0" applyNumberFormat="1" applyFont="1" applyBorder="1" applyAlignment="1">
      <alignment horizontal="center" vertical="center"/>
    </xf>
    <xf numFmtId="0" fontId="1" fillId="0" borderId="4" xfId="0" applyNumberFormat="1" applyFont="1" applyBorder="1" applyAlignment="1">
      <alignment horizontal="center" vertical="center"/>
    </xf>
    <xf numFmtId="176" fontId="4" fillId="0" borderId="4" xfId="321"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0" xfId="0" applyFont="1" applyFill="1" applyBorder="1" applyAlignment="1">
      <alignment horizontal="left" vertical="top" wrapText="1"/>
    </xf>
    <xf numFmtId="0" fontId="4" fillId="0" borderId="23" xfId="321" applyFont="1" applyFill="1" applyBorder="1" applyAlignment="1">
      <alignment horizontal="center" vertical="center"/>
    </xf>
    <xf numFmtId="0" fontId="4" fillId="0" borderId="11" xfId="321" applyFont="1" applyFill="1" applyBorder="1" applyAlignment="1">
      <alignment horizontal="center" vertical="center"/>
    </xf>
    <xf numFmtId="0" fontId="4" fillId="0" borderId="4" xfId="321" applyFont="1" applyFill="1" applyBorder="1" applyAlignment="1">
      <alignment horizontal="center" vertical="center"/>
    </xf>
    <xf numFmtId="179" fontId="4" fillId="0" borderId="4" xfId="321" applyNumberFormat="1" applyFont="1" applyFill="1" applyBorder="1" applyAlignment="1">
      <alignment horizontal="center" vertical="center"/>
    </xf>
    <xf numFmtId="182" fontId="4" fillId="0" borderId="4" xfId="321" applyNumberFormat="1" applyFont="1" applyFill="1" applyBorder="1" applyAlignment="1">
      <alignment horizontal="center" vertical="center"/>
    </xf>
    <xf numFmtId="0" fontId="1" fillId="0" borderId="0" xfId="149" applyFont="1" applyAlignment="1">
      <alignment horizontal="left" vertical="center" wrapText="1"/>
    </xf>
    <xf numFmtId="0" fontId="4" fillId="0" borderId="0" xfId="149" applyFont="1" applyAlignment="1">
      <alignment horizontal="left" vertical="center" wrapText="1"/>
    </xf>
    <xf numFmtId="0" fontId="5"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19" xfId="0" applyFont="1" applyFill="1" applyBorder="1" applyAlignment="1">
      <alignment horizontal="left" vertical="center"/>
    </xf>
    <xf numFmtId="0" fontId="3" fillId="2" borderId="0" xfId="0" applyFont="1" applyFill="1" applyBorder="1" applyAlignment="1">
      <alignment horizontal="left" vertical="center" wrapText="1"/>
    </xf>
    <xf numFmtId="0" fontId="5"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5" fillId="2" borderId="5" xfId="0" applyFont="1" applyFill="1" applyBorder="1" applyAlignment="1">
      <alignment horizontal="left" vertical="center" wrapText="1"/>
    </xf>
    <xf numFmtId="0" fontId="5" fillId="2" borderId="6"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8" xfId="0" applyFont="1" applyFill="1" applyBorder="1" applyAlignment="1">
      <alignment horizontal="left" vertical="center" wrapText="1"/>
    </xf>
    <xf numFmtId="0" fontId="5" fillId="2" borderId="19"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6" fillId="2" borderId="7"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9" xfId="0" applyFont="1" applyFill="1" applyBorder="1" applyAlignment="1">
      <alignment horizontal="left" vertical="top" wrapText="1"/>
    </xf>
    <xf numFmtId="0" fontId="5"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5" fillId="2" borderId="0" xfId="0" applyFont="1" applyFill="1" applyAlignment="1"/>
    <xf numFmtId="0" fontId="2" fillId="2" borderId="0" xfId="0" applyFont="1" applyFill="1" applyAlignment="1"/>
  </cellXfs>
  <cellStyles count="329">
    <cellStyle name="20% - Accent1" xfId="1"/>
    <cellStyle name="20% - Accent1 2" xfId="2"/>
    <cellStyle name="20% - Accent2" xfId="3"/>
    <cellStyle name="20% - Accent2 2" xfId="4"/>
    <cellStyle name="20% - Accent2 2 2" xfId="5"/>
    <cellStyle name="20% - Accent2 2 3" xfId="6"/>
    <cellStyle name="20% - Accent2 2 3 2" xfId="7"/>
    <cellStyle name="20% - Accent2 3" xfId="8"/>
    <cellStyle name="20% - Accent2 3 2" xfId="9"/>
    <cellStyle name="20% - Accent2 3 3" xfId="10"/>
    <cellStyle name="20% - Accent2 4" xfId="11"/>
    <cellStyle name="20% - Accent3" xfId="12"/>
    <cellStyle name="20% - Accent3 2" xfId="13"/>
    <cellStyle name="20% - Accent4" xfId="14"/>
    <cellStyle name="20% - Accent4 2" xfId="15"/>
    <cellStyle name="20% - Accent4 2 2" xfId="16"/>
    <cellStyle name="20% - Accent4 2 3" xfId="17"/>
    <cellStyle name="20% - Accent4 2 3 2" xfId="18"/>
    <cellStyle name="20% - Accent4 3" xfId="19"/>
    <cellStyle name="20% - Accent4 3 2" xfId="20"/>
    <cellStyle name="20% - Accent4 3 3" xfId="21"/>
    <cellStyle name="20% - Accent4 4" xfId="22"/>
    <cellStyle name="20% - Accent5" xfId="23"/>
    <cellStyle name="20% - Accent5 2" xfId="24"/>
    <cellStyle name="20% - Accent6" xfId="25"/>
    <cellStyle name="20% - Accent6 2" xfId="26"/>
    <cellStyle name="40% - Accent1" xfId="27"/>
    <cellStyle name="40% - Accent1 2" xfId="28"/>
    <cellStyle name="40% - Accent2" xfId="29"/>
    <cellStyle name="40% - Accent2 2" xfId="30"/>
    <cellStyle name="40% - Accent3" xfId="31"/>
    <cellStyle name="40% - Accent3 2" xfId="32"/>
    <cellStyle name="40% - Accent4" xfId="33"/>
    <cellStyle name="40% - Accent4 2" xfId="34"/>
    <cellStyle name="40% - Accent5" xfId="35"/>
    <cellStyle name="40% - Accent5 2" xfId="36"/>
    <cellStyle name="40% - Accent6" xfId="37"/>
    <cellStyle name="40% - Accent6 2" xfId="38"/>
    <cellStyle name="40% - Accent6 2 2" xfId="39"/>
    <cellStyle name="40% - Accent6 2 3" xfId="40"/>
    <cellStyle name="40% - Accent6 3" xfId="41"/>
    <cellStyle name="40% - Accent6 3 2" xfId="42"/>
    <cellStyle name="40% - Accent6 3 3" xfId="43"/>
    <cellStyle name="40% - Accent6 4" xfId="44"/>
    <cellStyle name="60% - Accent1" xfId="45"/>
    <cellStyle name="60% - Accent1 2" xfId="46"/>
    <cellStyle name="60% - Accent2" xfId="47"/>
    <cellStyle name="60% - Accent2 2" xfId="48"/>
    <cellStyle name="60% - Accent3" xfId="49"/>
    <cellStyle name="60% - Accent3 2" xfId="50"/>
    <cellStyle name="60% - Accent4" xfId="51"/>
    <cellStyle name="60% - Accent4 2" xfId="52"/>
    <cellStyle name="60% - Accent5" xfId="53"/>
    <cellStyle name="60% - Accent5 2" xfId="54"/>
    <cellStyle name="60% - Accent6" xfId="55"/>
    <cellStyle name="60% - Accent6 2" xfId="56"/>
    <cellStyle name="Accent1" xfId="57"/>
    <cellStyle name="Accent1 2" xfId="58"/>
    <cellStyle name="Accent2" xfId="59"/>
    <cellStyle name="Accent2 2" xfId="60"/>
    <cellStyle name="Accent3" xfId="61"/>
    <cellStyle name="Accent3 2" xfId="62"/>
    <cellStyle name="Accent4" xfId="63"/>
    <cellStyle name="Accent4 2" xfId="64"/>
    <cellStyle name="Accent5" xfId="65"/>
    <cellStyle name="Accent5 2" xfId="66"/>
    <cellStyle name="Accent6" xfId="67"/>
    <cellStyle name="Accent6 2" xfId="68"/>
    <cellStyle name="Bad" xfId="69"/>
    <cellStyle name="Bad 2" xfId="70"/>
    <cellStyle name="Calculation" xfId="71"/>
    <cellStyle name="Calculation 2" xfId="72"/>
    <cellStyle name="Check Cell" xfId="73"/>
    <cellStyle name="Check Cell 2" xfId="74"/>
    <cellStyle name="Explanatory Text" xfId="75"/>
    <cellStyle name="Good" xfId="76"/>
    <cellStyle name="Good 2" xfId="77"/>
    <cellStyle name="Heading 1" xfId="78"/>
    <cellStyle name="Heading 2" xfId="79"/>
    <cellStyle name="Heading 3" xfId="80"/>
    <cellStyle name="Heading 4" xfId="81"/>
    <cellStyle name="Input" xfId="82"/>
    <cellStyle name="Input 2" xfId="83"/>
    <cellStyle name="Linked Cell" xfId="84"/>
    <cellStyle name="Neutral" xfId="85"/>
    <cellStyle name="Neutral 2" xfId="86"/>
    <cellStyle name="Normal 2" xfId="87"/>
    <cellStyle name="Normal 2 2 2 2" xfId="88"/>
    <cellStyle name="Normal 27" xfId="89"/>
    <cellStyle name="Normal 27 4" xfId="90"/>
    <cellStyle name="Normal 28 2" xfId="91"/>
    <cellStyle name="Normal 30" xfId="92"/>
    <cellStyle name="Normal 31" xfId="93"/>
    <cellStyle name="Normal_request in life week 52" xfId="94"/>
    <cellStyle name="Normal_result of 2932866-IV-20090817" xfId="95"/>
    <cellStyle name="Note" xfId="96"/>
    <cellStyle name="Note 2" xfId="97"/>
    <cellStyle name="Note 2 2" xfId="98"/>
    <cellStyle name="Note 2 2 2" xfId="99"/>
    <cellStyle name="Note 2 2 2 2" xfId="100"/>
    <cellStyle name="Note 2 2 2 3" xfId="101"/>
    <cellStyle name="Note 2 2 3" xfId="102"/>
    <cellStyle name="Note 2 2 3 2" xfId="103"/>
    <cellStyle name="Note 2 2 4" xfId="104"/>
    <cellStyle name="Note 2 3" xfId="105"/>
    <cellStyle name="Note 2 3 2" xfId="106"/>
    <cellStyle name="Note 2 3 3" xfId="107"/>
    <cellStyle name="Note 2 4" xfId="108"/>
    <cellStyle name="Note 2 4 2" xfId="109"/>
    <cellStyle name="Note 2 4 2 2" xfId="110"/>
    <cellStyle name="Note 2 4 3" xfId="111"/>
    <cellStyle name="Note 2 5" xfId="112"/>
    <cellStyle name="Note 2 5 2" xfId="113"/>
    <cellStyle name="Note 2 6" xfId="114"/>
    <cellStyle name="Note 2 6 2" xfId="115"/>
    <cellStyle name="Note 2 7" xfId="116"/>
    <cellStyle name="Note 2 8" xfId="117"/>
    <cellStyle name="Note 2 9" xfId="118"/>
    <cellStyle name="Note 3" xfId="119"/>
    <cellStyle name="Note 3 2" xfId="120"/>
    <cellStyle name="Note 3 3" xfId="121"/>
    <cellStyle name="Note 4" xfId="122"/>
    <cellStyle name="Note 4 2" xfId="123"/>
    <cellStyle name="Note 4 3" xfId="124"/>
    <cellStyle name="Note 5" xfId="125"/>
    <cellStyle name="Note 6" xfId="126"/>
    <cellStyle name="Note 7" xfId="127"/>
    <cellStyle name="Output" xfId="128"/>
    <cellStyle name="Output 2" xfId="129"/>
    <cellStyle name="Style 1" xfId="130"/>
    <cellStyle name="Style 1 2 2" xfId="131"/>
    <cellStyle name="Style 1 3" xfId="132"/>
    <cellStyle name="Title" xfId="133"/>
    <cellStyle name="Total" xfId="134"/>
    <cellStyle name="Total 2" xfId="135"/>
    <cellStyle name="Warning Text" xfId="136"/>
    <cellStyle name="百分比 2" xfId="328"/>
    <cellStyle name="常规" xfId="0" builtinId="0"/>
    <cellStyle name="常规 10" xfId="145"/>
    <cellStyle name="常规 10 2" xfId="146"/>
    <cellStyle name="常规 10 2 2" xfId="147"/>
    <cellStyle name="常规 10 3" xfId="148"/>
    <cellStyle name="常规 10 3 2" xfId="149"/>
    <cellStyle name="常规 10 4" xfId="150"/>
    <cellStyle name="常规 10 5" xfId="151"/>
    <cellStyle name="常规 11" xfId="152"/>
    <cellStyle name="常规 11 2" xfId="153"/>
    <cellStyle name="常规 11 2 2" xfId="154"/>
    <cellStyle name="常规 11 2 3" xfId="155"/>
    <cellStyle name="常规 11 3" xfId="156"/>
    <cellStyle name="常规 11 4" xfId="157"/>
    <cellStyle name="常规 11 5" xfId="158"/>
    <cellStyle name="常规 11 6" xfId="159"/>
    <cellStyle name="常规 11 7" xfId="160"/>
    <cellStyle name="常规 12" xfId="161"/>
    <cellStyle name="常规 12 2" xfId="162"/>
    <cellStyle name="常规 12 3" xfId="163"/>
    <cellStyle name="常规 13" xfId="164"/>
    <cellStyle name="常规 13 2" xfId="165"/>
    <cellStyle name="常规 13 3" xfId="166"/>
    <cellStyle name="常规 13 4" xfId="167"/>
    <cellStyle name="常规 14" xfId="168"/>
    <cellStyle name="常规 15" xfId="169"/>
    <cellStyle name="常规 16" xfId="170"/>
    <cellStyle name="常规 17" xfId="171"/>
    <cellStyle name="常规 18" xfId="172"/>
    <cellStyle name="常规 19" xfId="173"/>
    <cellStyle name="常规 2" xfId="174"/>
    <cellStyle name="常规 2 2" xfId="175"/>
    <cellStyle name="常规 2 2 2" xfId="176"/>
    <cellStyle name="常规 2 2 2 2" xfId="177"/>
    <cellStyle name="常规 2 2 3" xfId="178"/>
    <cellStyle name="常规 2 2 3 2" xfId="179"/>
    <cellStyle name="常规 2 2 4" xfId="180"/>
    <cellStyle name="常规 2 2 5" xfId="181"/>
    <cellStyle name="常规 2 3" xfId="182"/>
    <cellStyle name="常规 2 3 2" xfId="183"/>
    <cellStyle name="常规 2 3 2 2" xfId="184"/>
    <cellStyle name="常规 2 3 3" xfId="185"/>
    <cellStyle name="常规 2 3 4" xfId="186"/>
    <cellStyle name="常规 2 4" xfId="187"/>
    <cellStyle name="常规 20" xfId="188"/>
    <cellStyle name="常规 3" xfId="189"/>
    <cellStyle name="常规 3 10" xfId="190"/>
    <cellStyle name="常规 3 10 2" xfId="191"/>
    <cellStyle name="常规 3 10 3" xfId="192"/>
    <cellStyle name="常规 3 11" xfId="193"/>
    <cellStyle name="常规 3 12" xfId="194"/>
    <cellStyle name="常规 3 13" xfId="195"/>
    <cellStyle name="常规 3 2" xfId="196"/>
    <cellStyle name="常规 3 2 2" xfId="197"/>
    <cellStyle name="常规 3 2 2 2" xfId="198"/>
    <cellStyle name="常规 3 2 2 2 2" xfId="199"/>
    <cellStyle name="常规 3 2 2 2 3" xfId="200"/>
    <cellStyle name="常规 3 2 2 3" xfId="201"/>
    <cellStyle name="常规 3 2 3" xfId="202"/>
    <cellStyle name="常规 3 2 3 2" xfId="203"/>
    <cellStyle name="常规 3 2 4" xfId="204"/>
    <cellStyle name="常规 3 2 5" xfId="205"/>
    <cellStyle name="常规 3 3" xfId="206"/>
    <cellStyle name="常规 3 3 2" xfId="207"/>
    <cellStyle name="常规 3 3 2 2" xfId="208"/>
    <cellStyle name="常规 3 3 2 2 2" xfId="209"/>
    <cellStyle name="常规 3 3 2 3" xfId="210"/>
    <cellStyle name="常规 3 3 3" xfId="211"/>
    <cellStyle name="常规 3 3 3 2" xfId="212"/>
    <cellStyle name="常规 3 3 3 3" xfId="213"/>
    <cellStyle name="常规 3 3 3 4" xfId="214"/>
    <cellStyle name="常规 3 3 3 5" xfId="215"/>
    <cellStyle name="常规 3 3 4" xfId="216"/>
    <cellStyle name="常规 3 3 4 2" xfId="217"/>
    <cellStyle name="常规 3 3 4 3" xfId="218"/>
    <cellStyle name="常规 3 3 4 4" xfId="219"/>
    <cellStyle name="常规 3 3 5" xfId="220"/>
    <cellStyle name="常规 3 4" xfId="221"/>
    <cellStyle name="常规 3 4 2" xfId="222"/>
    <cellStyle name="常规 3 4 2 2" xfId="223"/>
    <cellStyle name="常规 3 4 2 3" xfId="224"/>
    <cellStyle name="常规 3 4 2 4" xfId="225"/>
    <cellStyle name="常规 3 4 2 5" xfId="226"/>
    <cellStyle name="常规 3 4 3" xfId="227"/>
    <cellStyle name="常规 3 4 3 2" xfId="228"/>
    <cellStyle name="常规 3 4 3 3" xfId="229"/>
    <cellStyle name="常规 3 4 3 4" xfId="230"/>
    <cellStyle name="常规 3 4 4" xfId="231"/>
    <cellStyle name="常规 3 4 4 2" xfId="232"/>
    <cellStyle name="常规 3 5" xfId="233"/>
    <cellStyle name="常规 3 5 2" xfId="234"/>
    <cellStyle name="常规 3 5 2 2" xfId="235"/>
    <cellStyle name="常规 3 5 2 3" xfId="236"/>
    <cellStyle name="常规 3 5 2 4" xfId="237"/>
    <cellStyle name="常规 3 5 3" xfId="238"/>
    <cellStyle name="常规 3 5 3 2" xfId="239"/>
    <cellStyle name="常规 3 5 3 3" xfId="240"/>
    <cellStyle name="常规 3 5 3 4" xfId="241"/>
    <cellStyle name="常规 3 5 4" xfId="242"/>
    <cellStyle name="常规 3 5 5" xfId="243"/>
    <cellStyle name="常规 3 5 6" xfId="244"/>
    <cellStyle name="常规 3 5 7" xfId="245"/>
    <cellStyle name="常规 3 6" xfId="246"/>
    <cellStyle name="常规 3 6 2" xfId="247"/>
    <cellStyle name="常规 3 6 3" xfId="248"/>
    <cellStyle name="常规 3 6 4" xfId="249"/>
    <cellStyle name="常规 3 6 5" xfId="250"/>
    <cellStyle name="常规 3 6 6" xfId="251"/>
    <cellStyle name="常规 3 6 7" xfId="252"/>
    <cellStyle name="常规 3 7" xfId="253"/>
    <cellStyle name="常规 3 7 2" xfId="254"/>
    <cellStyle name="常规 3 7 3" xfId="255"/>
    <cellStyle name="常规 3 7 4" xfId="256"/>
    <cellStyle name="常规 3 8" xfId="257"/>
    <cellStyle name="常规 3 8 2" xfId="258"/>
    <cellStyle name="常规 3 8 3" xfId="259"/>
    <cellStyle name="常规 3 8 4" xfId="260"/>
    <cellStyle name="常规 3 9" xfId="261"/>
    <cellStyle name="常规 3 9 2" xfId="262"/>
    <cellStyle name="常规 3 9 3" xfId="263"/>
    <cellStyle name="常规 3 9 4" xfId="264"/>
    <cellStyle name="常规 4" xfId="265"/>
    <cellStyle name="常规 4 2" xfId="266"/>
    <cellStyle name="常规 4 3" xfId="267"/>
    <cellStyle name="常规 4 4" xfId="268"/>
    <cellStyle name="常规 4 5" xfId="269"/>
    <cellStyle name="常规 4 6" xfId="270"/>
    <cellStyle name="常规 5" xfId="271"/>
    <cellStyle name="常规 5 2" xfId="272"/>
    <cellStyle name="常规 5 2 2" xfId="273"/>
    <cellStyle name="常规 5 3" xfId="274"/>
    <cellStyle name="常规 5 3 2" xfId="275"/>
    <cellStyle name="常规 5 4" xfId="276"/>
    <cellStyle name="常规 5 5" xfId="277"/>
    <cellStyle name="常规 6" xfId="278"/>
    <cellStyle name="常规 6 2" xfId="279"/>
    <cellStyle name="常规 7" xfId="280"/>
    <cellStyle name="常规 7 2" xfId="281"/>
    <cellStyle name="常规 7 2 2" xfId="282"/>
    <cellStyle name="常规 7 2 3" xfId="283"/>
    <cellStyle name="常规 7 2 4" xfId="284"/>
    <cellStyle name="常规 7 3" xfId="285"/>
    <cellStyle name="常规 7 3 2" xfId="286"/>
    <cellStyle name="常规 7 4" xfId="287"/>
    <cellStyle name="常规 7 4 2" xfId="288"/>
    <cellStyle name="常规 7 5" xfId="289"/>
    <cellStyle name="常规 8" xfId="290"/>
    <cellStyle name="常规 8 2" xfId="291"/>
    <cellStyle name="常规 8 2 2" xfId="292"/>
    <cellStyle name="常规 8 2 2 2" xfId="293"/>
    <cellStyle name="常规 8 3" xfId="294"/>
    <cellStyle name="常规 8 3 2" xfId="295"/>
    <cellStyle name="常规 8 4" xfId="296"/>
    <cellStyle name="常规 9" xfId="297"/>
    <cellStyle name="常规 9 10" xfId="298"/>
    <cellStyle name="常规 9 10 2" xfId="299"/>
    <cellStyle name="常规 9 11" xfId="300"/>
    <cellStyle name="常规 9 12" xfId="301"/>
    <cellStyle name="常规 9 13" xfId="302"/>
    <cellStyle name="常规 9 14" xfId="303"/>
    <cellStyle name="常规 9 2" xfId="304"/>
    <cellStyle name="常规 9 2 2" xfId="305"/>
    <cellStyle name="常规 9 3" xfId="306"/>
    <cellStyle name="常规 9 4" xfId="307"/>
    <cellStyle name="常规 9 5" xfId="308"/>
    <cellStyle name="常规 9 5 2" xfId="309"/>
    <cellStyle name="常规 9 5 3" xfId="310"/>
    <cellStyle name="常规 9 6" xfId="311"/>
    <cellStyle name="常规 9 6 2" xfId="312"/>
    <cellStyle name="常规 9 6 3" xfId="313"/>
    <cellStyle name="常规 9 7" xfId="314"/>
    <cellStyle name="常规 9 7 2" xfId="315"/>
    <cellStyle name="常规 9 7 3" xfId="316"/>
    <cellStyle name="常规 9 8" xfId="317"/>
    <cellStyle name="常规 9 9" xfId="318"/>
    <cellStyle name="常规 9 9 2" xfId="319"/>
    <cellStyle name="常规 9 9 3" xfId="320"/>
    <cellStyle name="常规_080520 KG5 rat PK" xfId="321"/>
    <cellStyle name="常规_080727 JNJ-17156516 Rat PK reinjection" xfId="322"/>
    <cellStyle name="常规_080925 JNJ-41462304 rat PK retest 3" xfId="323"/>
    <cellStyle name="常规_PF-05297909-01-0008 3" xfId="324"/>
    <cellStyle name="常规_Report_AF34686 2_LDBK-20111214-RPK02_20111222" xfId="325"/>
    <cellStyle name="常规_result of 01Q675_20100407 (2)" xfId="326"/>
    <cellStyle name="常规_Sheet1_PF-05297909-01-0008" xfId="327"/>
    <cellStyle name="千位分隔 2" xfId="137"/>
    <cellStyle name="千位分隔 2 2" xfId="138"/>
    <cellStyle name="千位分隔 2 3" xfId="139"/>
    <cellStyle name="千位分隔 2 4" xfId="140"/>
    <cellStyle name="千位分隔 2 5" xfId="141"/>
    <cellStyle name="千位分隔 3" xfId="142"/>
    <cellStyle name="千位分隔 3 2" xfId="143"/>
    <cellStyle name="千位分隔 4" xfId="144"/>
  </cellStyles>
  <dxfs count="7">
    <dxf>
      <fill>
        <patternFill patternType="none"/>
      </fill>
    </dxf>
    <dxf>
      <fill>
        <patternFill patternType="none"/>
      </fill>
    </dxf>
    <dxf>
      <fill>
        <patternFill patternType="none"/>
      </fill>
    </dxf>
    <dxf>
      <fill>
        <patternFill patternType="solid">
          <bgColor indexed="45"/>
        </patternFill>
      </fill>
    </dxf>
    <dxf>
      <fill>
        <patternFill patternType="solid">
          <bgColor indexed="45"/>
        </patternFill>
      </fill>
    </dxf>
    <dxf>
      <font>
        <color indexed="8"/>
      </font>
      <fill>
        <patternFill patternType="solid">
          <bgColor indexed="13"/>
        </patternFill>
      </fill>
    </dxf>
    <dxf>
      <fill>
        <patternFill patternType="solid">
          <bgColor indexed="45"/>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399750309430501"/>
          <c:y val="4.1742412562045902E-2"/>
          <c:w val="0.77184884260429398"/>
          <c:h val="0.79760517745359505"/>
        </c:manualLayout>
      </c:layout>
      <c:scatterChart>
        <c:scatterStyle val="lineMarker"/>
        <c:varyColors val="0"/>
        <c:ser>
          <c:idx val="0"/>
          <c:order val="0"/>
          <c:tx>
            <c:strRef>
              <c:f>结果汇总!$G$7</c:f>
              <c:strCache>
                <c:ptCount val="1"/>
                <c:pt idx="0">
                  <c:v>Mean</c:v>
                </c:pt>
              </c:strCache>
            </c:strRef>
          </c:tx>
          <c:spPr>
            <a:ln w="19050" cap="rnd" cmpd="sng" algn="ctr">
              <a:solidFill>
                <a:schemeClr val="accent1"/>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0_ </c:formatCode>
                <c:ptCount val="9"/>
                <c:pt idx="0">
                  <c:v>834.33333333333337</c:v>
                </c:pt>
                <c:pt idx="1">
                  <c:v>545.66666666666697</c:v>
                </c:pt>
                <c:pt idx="2">
                  <c:v>419</c:v>
                </c:pt>
                <c:pt idx="3">
                  <c:v>279.66666666666703</c:v>
                </c:pt>
                <c:pt idx="4">
                  <c:v>147.333333333333</c:v>
                </c:pt>
                <c:pt idx="5" formatCode="0.0_ ">
                  <c:v>76</c:v>
                </c:pt>
                <c:pt idx="6" formatCode="0.0_ ">
                  <c:v>45.533333333333303</c:v>
                </c:pt>
                <c:pt idx="7" formatCode="0.0_ ">
                  <c:v>32.966666666666697</c:v>
                </c:pt>
                <c:pt idx="8" formatCode="0.00_ ">
                  <c:v>2.75</c:v>
                </c:pt>
              </c:numCache>
            </c:numRef>
          </c:yVal>
          <c:smooth val="0"/>
          <c:extLst>
            <c:ext xmlns:c16="http://schemas.microsoft.com/office/drawing/2014/chart" uri="{C3380CC4-5D6E-409C-BE32-E72D297353CC}">
              <c16:uniqueId val="{00000000-4D39-4C4B-9942-21E4666B66BC}"/>
            </c:ext>
          </c:extLst>
        </c:ser>
        <c:dLbls>
          <c:showLegendKey val="0"/>
          <c:showVal val="0"/>
          <c:showCatName val="0"/>
          <c:showSerName val="0"/>
          <c:showPercent val="0"/>
          <c:showBubbleSize val="0"/>
        </c:dLbls>
        <c:axId val="333633960"/>
        <c:axId val="333634352"/>
      </c:scatterChart>
      <c:valAx>
        <c:axId val="333633960"/>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 "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3634352"/>
        <c:crosses val="autoZero"/>
        <c:crossBetween val="midCat"/>
        <c:majorUnit val="2"/>
      </c:valAx>
      <c:valAx>
        <c:axId val="333634352"/>
        <c:scaling>
          <c:logBase val="10"/>
          <c:orientation val="minMax"/>
          <c:max val="10000"/>
        </c:scaling>
        <c:delete val="0"/>
        <c:axPos val="l"/>
        <c:title>
          <c:tx>
            <c:rich>
              <a:bodyPr rot="-5400000" spcFirstLastPara="1" vertOverflow="ellipsis" vert="horz" wrap="square" anchor="ctr" anchorCtr="1"/>
              <a:lstStyle/>
              <a:p>
                <a:pPr algn="ctr" rtl="0">
                  <a:defRPr lang="zh-CN" sz="1000" b="0" i="0" u="none" strike="noStrike" kern="1200" baseline="0">
                    <a:solidFill>
                      <a:sysClr val="windowText" lastClr="000000">
                        <a:lumMod val="65000"/>
                        <a:lumOff val="35000"/>
                      </a:sysClr>
                    </a:solidFill>
                    <a:latin typeface="+mn-lt"/>
                    <a:ea typeface="+mn-ea"/>
                    <a:cs typeface="+mn-cs"/>
                  </a:defRPr>
                </a:pPr>
                <a:r>
                  <a:rPr lang="zh-CN" altLang="zh-CN" sz="1000" b="0" i="0" u="none" strike="noStrike" kern="1200" baseline="0">
                    <a:solidFill>
                      <a:sysClr val="windowText" lastClr="000000">
                        <a:lumMod val="65000"/>
                        <a:lumOff val="35000"/>
                      </a:sysClr>
                    </a:solidFill>
                    <a:latin typeface="+mn-lt"/>
                    <a:ea typeface="+mn-ea"/>
                    <a:cs typeface="+mn-cs"/>
                  </a:rPr>
                  <a:t>Conc.（ng/mL）</a:t>
                </a:r>
              </a:p>
            </c:rich>
          </c:tx>
          <c:layout>
            <c:manualLayout>
              <c:xMode val="edge"/>
              <c:yMode val="edge"/>
              <c:x val="1.6330973014803098E-2"/>
              <c:y val="0.299980936535995"/>
            </c:manualLayout>
          </c:layout>
          <c:overlay val="0"/>
          <c:spPr>
            <a:noFill/>
            <a:ln>
              <a:noFill/>
            </a:ln>
            <a:effectLst/>
          </c:spPr>
        </c:title>
        <c:numFmt formatCode="0_ " sourceLinked="1"/>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3633960"/>
        <c:crosses val="autoZero"/>
        <c:crossBetween val="midCat"/>
      </c:valAx>
      <c:spPr>
        <a:noFill/>
        <a:ln>
          <a:noFill/>
        </a:ln>
        <a:effectLst/>
      </c:spPr>
    </c:plotArea>
    <c:plotVisOnly val="1"/>
    <c:dispBlanksAs val="gap"/>
    <c:showDLblsOverMax val="0"/>
    <c:extLst>
      <c:ext uri="{0b15fc19-7d7d-44ad-8c2d-2c3a37ce22c3}">
        <chartProps xmlns="https://web.wps.cn/et/2018/main" chartId="{268eb4e7-5808-44d0-bb3d-e249a914a9be}"/>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2.6628629760803602E-2"/>
          <c:w val="0.68488554974868798"/>
          <c:h val="0.79774540893593004"/>
        </c:manualLayout>
      </c:layout>
      <c:scatterChart>
        <c:scatterStyle val="lineMarker"/>
        <c:varyColors val="0"/>
        <c:ser>
          <c:idx val="0"/>
          <c:order val="0"/>
          <c:tx>
            <c:strRef>
              <c:f>结果汇总!$M$7</c:f>
              <c:strCache>
                <c:ptCount val="1"/>
                <c:pt idx="0">
                  <c:v>4</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结果汇总!$M$8:$M$16</c:f>
              <c:numCache>
                <c:formatCode>General</c:formatCode>
                <c:ptCount val="9"/>
                <c:pt idx="0">
                  <c:v>8.42</c:v>
                </c:pt>
                <c:pt idx="1">
                  <c:v>66.400000000000006</c:v>
                </c:pt>
                <c:pt idx="2">
                  <c:v>227</c:v>
                </c:pt>
                <c:pt idx="3">
                  <c:v>559</c:v>
                </c:pt>
                <c:pt idx="4">
                  <c:v>696</c:v>
                </c:pt>
                <c:pt idx="5">
                  <c:v>793</c:v>
                </c:pt>
                <c:pt idx="6">
                  <c:v>571</c:v>
                </c:pt>
                <c:pt idx="7">
                  <c:v>424</c:v>
                </c:pt>
                <c:pt idx="8">
                  <c:v>42.5</c:v>
                </c:pt>
              </c:numCache>
            </c:numRef>
          </c:yVal>
          <c:smooth val="0"/>
          <c:extLst>
            <c:ext xmlns:c16="http://schemas.microsoft.com/office/drawing/2014/chart" uri="{C3380CC4-5D6E-409C-BE32-E72D297353CC}">
              <c16:uniqueId val="{00000000-3D83-4977-99F3-2109B11DCD28}"/>
            </c:ext>
          </c:extLst>
        </c:ser>
        <c:ser>
          <c:idx val="1"/>
          <c:order val="1"/>
          <c:tx>
            <c:strRef>
              <c:f>结果汇总!$N$7</c:f>
              <c:strCache>
                <c:ptCount val="1"/>
                <c:pt idx="0">
                  <c:v>5</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结果汇总!$N$8:$N$16</c:f>
              <c:numCache>
                <c:formatCode>General</c:formatCode>
                <c:ptCount val="9"/>
                <c:pt idx="0">
                  <c:v>6.38</c:v>
                </c:pt>
                <c:pt idx="1">
                  <c:v>67</c:v>
                </c:pt>
                <c:pt idx="2">
                  <c:v>293</c:v>
                </c:pt>
                <c:pt idx="3">
                  <c:v>399</c:v>
                </c:pt>
                <c:pt idx="4">
                  <c:v>602</c:v>
                </c:pt>
                <c:pt idx="5">
                  <c:v>740</c:v>
                </c:pt>
                <c:pt idx="6">
                  <c:v>456</c:v>
                </c:pt>
                <c:pt idx="7">
                  <c:v>441</c:v>
                </c:pt>
                <c:pt idx="8">
                  <c:v>20.100000000000001</c:v>
                </c:pt>
              </c:numCache>
            </c:numRef>
          </c:yVal>
          <c:smooth val="0"/>
          <c:extLst>
            <c:ext xmlns:c16="http://schemas.microsoft.com/office/drawing/2014/chart" uri="{C3380CC4-5D6E-409C-BE32-E72D297353CC}">
              <c16:uniqueId val="{00000001-3D83-4977-99F3-2109B11DCD28}"/>
            </c:ext>
          </c:extLst>
        </c:ser>
        <c:ser>
          <c:idx val="2"/>
          <c:order val="2"/>
          <c:tx>
            <c:strRef>
              <c:f>结果汇总!$O$7</c:f>
              <c:strCache>
                <c:ptCount val="1"/>
                <c:pt idx="0">
                  <c:v>6</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结果汇总!$O$8:$O$16</c:f>
              <c:numCache>
                <c:formatCode>General</c:formatCode>
                <c:ptCount val="9"/>
                <c:pt idx="0">
                  <c:v>3.36</c:v>
                </c:pt>
                <c:pt idx="1">
                  <c:v>60.6</c:v>
                </c:pt>
                <c:pt idx="2">
                  <c:v>422</c:v>
                </c:pt>
                <c:pt idx="3">
                  <c:v>785</c:v>
                </c:pt>
                <c:pt idx="4">
                  <c:v>813</c:v>
                </c:pt>
                <c:pt idx="5">
                  <c:v>513</c:v>
                </c:pt>
                <c:pt idx="6">
                  <c:v>483</c:v>
                </c:pt>
                <c:pt idx="7">
                  <c:v>310</c:v>
                </c:pt>
                <c:pt idx="8">
                  <c:v>24.4</c:v>
                </c:pt>
              </c:numCache>
            </c:numRef>
          </c:yVal>
          <c:smooth val="0"/>
          <c:extLst>
            <c:ext xmlns:c16="http://schemas.microsoft.com/office/drawing/2014/chart" uri="{C3380CC4-5D6E-409C-BE32-E72D297353CC}">
              <c16:uniqueId val="{00000002-3D83-4977-99F3-2109B11DCD28}"/>
            </c:ext>
          </c:extLst>
        </c:ser>
        <c:dLbls>
          <c:showLegendKey val="0"/>
          <c:showVal val="0"/>
          <c:showCatName val="0"/>
          <c:showSerName val="0"/>
          <c:showPercent val="0"/>
          <c:showBubbleSize val="0"/>
        </c:dLbls>
        <c:axId val="333635136"/>
        <c:axId val="333635528"/>
      </c:scatterChart>
      <c:valAx>
        <c:axId val="33363513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3635528"/>
        <c:crosses val="autoZero"/>
        <c:crossBetween val="midCat"/>
        <c:majorUnit val="2"/>
      </c:valAx>
      <c:valAx>
        <c:axId val="333635528"/>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3.3847212212359701E-2"/>
              <c:y val="0.283925184688458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3635136"/>
        <c:crosses val="autoZero"/>
        <c:crossBetween val="midCat"/>
        <c:majorUnit val="10"/>
      </c:valAx>
      <c:spPr>
        <a:noFill/>
        <a:ln>
          <a:noFill/>
        </a:ln>
        <a:effectLst/>
      </c:spPr>
    </c:plotArea>
    <c:legend>
      <c:legendPos val="r"/>
      <c:layout>
        <c:manualLayout>
          <c:xMode val="edge"/>
          <c:yMode val="edge"/>
          <c:x val="0.84764788808806901"/>
          <c:y val="0.103851021871271"/>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8192ba0c-a6ab-48fe-b06c-9ca80f51357f}"/>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4.3123153490953497E-2"/>
          <c:w val="0.79613213540766203"/>
          <c:h val="0.78280315314522797"/>
        </c:manualLayout>
      </c:layout>
      <c:scatterChart>
        <c:scatterStyle val="lineMarker"/>
        <c:varyColors val="0"/>
        <c:ser>
          <c:idx val="0"/>
          <c:order val="0"/>
          <c:tx>
            <c:strRef>
              <c:f>结果汇总!$P$7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结果汇总!$L$8:$L$16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结果汇总!$P$8:$P$16</c:f>
              <c:numCache>
                <c:formatCode>0.0_ </c:formatCode>
                <c:ptCount val="9"/>
                <c:pt idx="0" formatCode="0.00_ ">
                  <c:v>6.0533333333333337</c:v>
                </c:pt>
                <c:pt idx="1">
                  <c:v>64.666666666666671</c:v>
                </c:pt>
                <c:pt idx="2" formatCode="0_ ">
                  <c:v>314</c:v>
                </c:pt>
                <c:pt idx="3" formatCode="0_ ">
                  <c:v>581</c:v>
                </c:pt>
                <c:pt idx="4" formatCode="0_ ">
                  <c:v>703.66666666666697</c:v>
                </c:pt>
                <c:pt idx="5" formatCode="0_ ">
                  <c:v>682</c:v>
                </c:pt>
                <c:pt idx="6" formatCode="0_ ">
                  <c:v>503.33333333333297</c:v>
                </c:pt>
                <c:pt idx="7" formatCode="0_ ">
                  <c:v>391.66666666666703</c:v>
                </c:pt>
                <c:pt idx="8">
                  <c:v>29</c:v>
                </c:pt>
              </c:numCache>
            </c:numRef>
          </c:yVal>
          <c:smooth val="0"/>
          <c:extLst>
            <c:ext xmlns:c16="http://schemas.microsoft.com/office/drawing/2014/chart" uri="{C3380CC4-5D6E-409C-BE32-E72D297353CC}">
              <c16:uniqueId val="{00000000-C841-4742-BB4C-ACE5ABC029E7}"/>
            </c:ext>
          </c:extLst>
        </c:ser>
        <c:dLbls>
          <c:showLegendKey val="0"/>
          <c:showVal val="0"/>
          <c:showCatName val="0"/>
          <c:showSerName val="0"/>
          <c:showPercent val="0"/>
          <c:showBubbleSize val="0"/>
        </c:dLbls>
        <c:axId val="333636312"/>
        <c:axId val="333636704"/>
      </c:scatterChart>
      <c:valAx>
        <c:axId val="33363631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3636704"/>
        <c:crosses val="autoZero"/>
        <c:crossBetween val="midCat"/>
        <c:majorUnit val="2"/>
      </c:valAx>
      <c:valAx>
        <c:axId val="333636704"/>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1.9751724452557101E-2"/>
              <c:y val="0.297285216907610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3636312"/>
        <c:crosses val="autoZero"/>
        <c:crossBetween val="midCat"/>
      </c:valAx>
      <c:spPr>
        <a:noFill/>
        <a:ln>
          <a:noFill/>
        </a:ln>
        <a:effectLst/>
      </c:spPr>
    </c:plotArea>
    <c:plotVisOnly val="1"/>
    <c:dispBlanksAs val="gap"/>
    <c:showDLblsOverMax val="0"/>
    <c:extLst>
      <c:ext uri="{0b15fc19-7d7d-44ad-8c2d-2c3a37ce22c3}">
        <chartProps xmlns="https://web.wps.cn/et/2018/main" chartId="{084d3290-bf79-4fee-b875-942fcba08f7d}"/>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794844872130401"/>
          <c:y val="2.6628629760803602E-2"/>
          <c:w val="0.72044337263441105"/>
          <c:h val="0.7977454089359300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958</c:v>
                </c:pt>
                <c:pt idx="1">
                  <c:v>536</c:v>
                </c:pt>
                <c:pt idx="2">
                  <c:v>362</c:v>
                </c:pt>
                <c:pt idx="3">
                  <c:v>297</c:v>
                </c:pt>
                <c:pt idx="4">
                  <c:v>151</c:v>
                </c:pt>
                <c:pt idx="5">
                  <c:v>86.1</c:v>
                </c:pt>
                <c:pt idx="6">
                  <c:v>50.3</c:v>
                </c:pt>
                <c:pt idx="7">
                  <c:v>31.7</c:v>
                </c:pt>
                <c:pt idx="8">
                  <c:v>2.2799999999999998</c:v>
                </c:pt>
              </c:numCache>
            </c:numRef>
          </c:yVal>
          <c:smooth val="0"/>
          <c:extLst>
            <c:ext xmlns:c16="http://schemas.microsoft.com/office/drawing/2014/chart" uri="{C3380CC4-5D6E-409C-BE32-E72D297353CC}">
              <c16:uniqueId val="{00000000-7099-40DD-A1D0-5AC40A617EF4}"/>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839</c:v>
                </c:pt>
                <c:pt idx="1">
                  <c:v>503</c:v>
                </c:pt>
                <c:pt idx="2">
                  <c:v>422</c:v>
                </c:pt>
                <c:pt idx="3">
                  <c:v>281</c:v>
                </c:pt>
                <c:pt idx="4">
                  <c:v>117</c:v>
                </c:pt>
                <c:pt idx="5">
                  <c:v>77.3</c:v>
                </c:pt>
                <c:pt idx="6">
                  <c:v>46.7</c:v>
                </c:pt>
                <c:pt idx="7">
                  <c:v>31.4</c:v>
                </c:pt>
                <c:pt idx="8">
                  <c:v>2.31</c:v>
                </c:pt>
              </c:numCache>
            </c:numRef>
          </c:yVal>
          <c:smooth val="0"/>
          <c:extLst>
            <c:ext xmlns:c16="http://schemas.microsoft.com/office/drawing/2014/chart" uri="{C3380CC4-5D6E-409C-BE32-E72D297353CC}">
              <c16:uniqueId val="{00000001-7099-40DD-A1D0-5AC40A617EF4}"/>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706</c:v>
                </c:pt>
                <c:pt idx="1">
                  <c:v>598</c:v>
                </c:pt>
                <c:pt idx="2">
                  <c:v>473</c:v>
                </c:pt>
                <c:pt idx="3">
                  <c:v>261</c:v>
                </c:pt>
                <c:pt idx="4">
                  <c:v>174</c:v>
                </c:pt>
                <c:pt idx="5">
                  <c:v>64.599999999999994</c:v>
                </c:pt>
                <c:pt idx="6">
                  <c:v>39.6</c:v>
                </c:pt>
                <c:pt idx="7">
                  <c:v>35.799999999999997</c:v>
                </c:pt>
                <c:pt idx="8">
                  <c:v>3.66</c:v>
                </c:pt>
              </c:numCache>
            </c:numRef>
          </c:yVal>
          <c:smooth val="0"/>
          <c:extLst>
            <c:ext xmlns:c16="http://schemas.microsoft.com/office/drawing/2014/chart" uri="{C3380CC4-5D6E-409C-BE32-E72D297353CC}">
              <c16:uniqueId val="{00000002-7099-40DD-A1D0-5AC40A617EF4}"/>
            </c:ext>
          </c:extLst>
        </c:ser>
        <c:dLbls>
          <c:showLegendKey val="0"/>
          <c:showVal val="0"/>
          <c:showCatName val="0"/>
          <c:showSerName val="0"/>
          <c:showPercent val="0"/>
          <c:showBubbleSize val="0"/>
        </c:dLbls>
        <c:axId val="332661696"/>
        <c:axId val="332662088"/>
      </c:scatterChart>
      <c:valAx>
        <c:axId val="3326616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2662088"/>
        <c:crosses val="autoZero"/>
        <c:crossBetween val="midCat"/>
        <c:majorUnit val="2"/>
      </c:valAx>
      <c:valAx>
        <c:axId val="332662088"/>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1.4187297918658401E-2"/>
              <c:y val="0.301999716231641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332661696"/>
        <c:crosses val="autoZero"/>
        <c:crossBetween val="midCat"/>
        <c:majorUnit val="10"/>
      </c:valAx>
      <c:spPr>
        <a:noFill/>
        <a:ln>
          <a:noFill/>
        </a:ln>
        <a:effectLst/>
      </c:spPr>
    </c:plotArea>
    <c:legend>
      <c:legendPos val="r"/>
      <c:layout>
        <c:manualLayout>
          <c:xMode val="edge"/>
          <c:yMode val="edge"/>
          <c:x val="0.84764788808807001"/>
          <c:y val="0.211745758713376"/>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extLst>
      <c:ext uri="{0b15fc19-7d7d-44ad-8c2d-2c3a37ce22c3}">
        <chartProps xmlns="https://web.wps.cn/et/2018/main" chartId="{01841d76-1cea-4d45-b084-4506ea223964}"/>
      </c:ext>
    </c:extLst>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0116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740410</xdr:colOff>
      <xdr:row>17</xdr:row>
      <xdr:rowOff>15240</xdr:rowOff>
    </xdr:from>
    <xdr:to>
      <xdr:col>9</xdr:col>
      <xdr:colOff>629285</xdr:colOff>
      <xdr:row>32</xdr:row>
      <xdr:rowOff>6350</xdr:rowOff>
    </xdr:to>
    <xdr:graphicFrame macro="">
      <xdr:nvGraphicFramePr>
        <xdr:cNvPr id="2" name="图表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60325</xdr:colOff>
      <xdr:row>16</xdr:row>
      <xdr:rowOff>155575</xdr:rowOff>
    </xdr:from>
    <xdr:to>
      <xdr:col>13</xdr:col>
      <xdr:colOff>694690</xdr:colOff>
      <xdr:row>32</xdr:row>
      <xdr:rowOff>40640</xdr:rowOff>
    </xdr:to>
    <xdr:graphicFrame macro="">
      <xdr:nvGraphicFramePr>
        <xdr:cNvPr id="3" name="图表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63500</xdr:colOff>
      <xdr:row>17</xdr:row>
      <xdr:rowOff>0</xdr:rowOff>
    </xdr:from>
    <xdr:to>
      <xdr:col>18</xdr:col>
      <xdr:colOff>648970</xdr:colOff>
      <xdr:row>32</xdr:row>
      <xdr:rowOff>63500</xdr:rowOff>
    </xdr:to>
    <xdr:graphicFrame macro="">
      <xdr:nvGraphicFramePr>
        <xdr:cNvPr id="4" name="图表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63500</xdr:colOff>
      <xdr:row>17</xdr:row>
      <xdr:rowOff>10582</xdr:rowOff>
    </xdr:from>
    <xdr:to>
      <xdr:col>4</xdr:col>
      <xdr:colOff>592666</xdr:colOff>
      <xdr:row>31</xdr:row>
      <xdr:rowOff>148165</xdr:rowOff>
    </xdr:to>
    <xdr:graphicFrame macro="">
      <xdr:nvGraphicFramePr>
        <xdr:cNvPr id="5" name="图表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117</xdr:row>
      <xdr:rowOff>0</xdr:rowOff>
    </xdr:from>
    <xdr:to>
      <xdr:col>4</xdr:col>
      <xdr:colOff>405765</xdr:colOff>
      <xdr:row>152</xdr:row>
      <xdr:rowOff>66675</xdr:rowOff>
    </xdr:to>
    <xdr:pic>
      <xdr:nvPicPr>
        <xdr:cNvPr id="2" name="图片 1"/>
        <xdr:cNvPicPr>
          <a:picLocks noChangeAspect="1"/>
        </xdr:cNvPicPr>
      </xdr:nvPicPr>
      <xdr:blipFill>
        <a:blip xmlns:r="http://schemas.openxmlformats.org/officeDocument/2006/relationships" r:embed="rId1"/>
        <a:stretch>
          <a:fillRect/>
        </a:stretch>
      </xdr:blipFill>
      <xdr:spPr>
        <a:xfrm>
          <a:off x="0" y="21357590"/>
          <a:ext cx="10687050" cy="6600825"/>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VJ93"/>
  <sheetViews>
    <sheetView showGridLines="0" tabSelected="1" zoomScale="90" zoomScaleNormal="90" workbookViewId="0">
      <selection activeCell="IW16" sqref="IW16"/>
    </sheetView>
  </sheetViews>
  <sheetFormatPr defaultColWidth="0" defaultRowHeight="15.75" x14ac:dyDescent="0.15"/>
  <cols>
    <col min="1" max="1" width="20.875" style="382" customWidth="1"/>
    <col min="2" max="2" width="32" style="382" customWidth="1"/>
    <col min="3" max="8" width="0" style="383" hidden="1"/>
    <col min="9" max="255" width="9" style="383" hidden="1"/>
    <col min="256" max="256" width="20" style="383" hidden="1" customWidth="1"/>
    <col min="257" max="257" width="66.375" style="383" customWidth="1"/>
    <col min="258" max="258" width="65" style="383" customWidth="1"/>
    <col min="259" max="512" width="9" style="383" hidden="1"/>
    <col min="513" max="513" width="33.375" style="383" customWidth="1"/>
    <col min="514" max="514" width="65" style="383" customWidth="1"/>
    <col min="515" max="768" width="9" style="383" hidden="1"/>
    <col min="769" max="769" width="33.375" style="383" customWidth="1"/>
    <col min="770" max="770" width="65" style="383" customWidth="1"/>
    <col min="771" max="1024" width="9" style="383" hidden="1"/>
    <col min="1025" max="1025" width="33.375" style="383" customWidth="1"/>
    <col min="1026" max="1026" width="65" style="383" customWidth="1"/>
    <col min="1027" max="1280" width="9" style="383" hidden="1"/>
    <col min="1281" max="1281" width="33.375" style="383" customWidth="1"/>
    <col min="1282" max="1282" width="65" style="383" customWidth="1"/>
    <col min="1283" max="1536" width="9" style="383" hidden="1"/>
    <col min="1537" max="1537" width="33.375" style="383" customWidth="1"/>
    <col min="1538" max="1538" width="65" style="383" customWidth="1"/>
    <col min="1539" max="1792" width="9" style="383" hidden="1"/>
    <col min="1793" max="1793" width="33.375" style="383" customWidth="1"/>
    <col min="1794" max="1794" width="65" style="383" customWidth="1"/>
    <col min="1795" max="2048" width="9" style="383" hidden="1"/>
    <col min="2049" max="2049" width="33.375" style="383" customWidth="1"/>
    <col min="2050" max="2050" width="65" style="383" customWidth="1"/>
    <col min="2051" max="2304" width="9" style="383" hidden="1"/>
    <col min="2305" max="2305" width="33.375" style="383" customWidth="1"/>
    <col min="2306" max="2306" width="65" style="383" customWidth="1"/>
    <col min="2307" max="2560" width="9" style="383" hidden="1"/>
    <col min="2561" max="2561" width="33.375" style="383" customWidth="1"/>
    <col min="2562" max="2562" width="65" style="383" customWidth="1"/>
    <col min="2563" max="2816" width="9" style="383" hidden="1"/>
    <col min="2817" max="2817" width="33.375" style="383" customWidth="1"/>
    <col min="2818" max="2818" width="65" style="383" customWidth="1"/>
    <col min="2819" max="3072" width="9" style="383" hidden="1"/>
    <col min="3073" max="3073" width="33.375" style="383" customWidth="1"/>
    <col min="3074" max="3074" width="65" style="383" customWidth="1"/>
    <col min="3075" max="3328" width="9" style="383" hidden="1"/>
    <col min="3329" max="3329" width="33.375" style="383" customWidth="1"/>
    <col min="3330" max="3330" width="65" style="383" customWidth="1"/>
    <col min="3331" max="3584" width="9" style="383" hidden="1"/>
    <col min="3585" max="3585" width="33.375" style="383" customWidth="1"/>
    <col min="3586" max="3586" width="65" style="383" customWidth="1"/>
    <col min="3587" max="3840" width="9" style="383" hidden="1"/>
    <col min="3841" max="3841" width="33.375" style="383" customWidth="1"/>
    <col min="3842" max="3842" width="65" style="383" customWidth="1"/>
    <col min="3843" max="4096" width="9" style="383" hidden="1"/>
    <col min="4097" max="4097" width="33.375" style="383" customWidth="1"/>
    <col min="4098" max="4098" width="65" style="383" customWidth="1"/>
    <col min="4099" max="4352" width="9" style="383" hidden="1"/>
    <col min="4353" max="4353" width="33.375" style="383" customWidth="1"/>
    <col min="4354" max="4354" width="65" style="383" customWidth="1"/>
    <col min="4355" max="4608" width="9" style="383" hidden="1"/>
    <col min="4609" max="4609" width="33.375" style="383" customWidth="1"/>
    <col min="4610" max="4610" width="65" style="383" customWidth="1"/>
    <col min="4611" max="4864" width="9" style="383" hidden="1"/>
    <col min="4865" max="4865" width="33.375" style="383" customWidth="1"/>
    <col min="4866" max="4866" width="65" style="383" customWidth="1"/>
    <col min="4867" max="5120" width="9" style="383" hidden="1"/>
    <col min="5121" max="5121" width="33.375" style="383" customWidth="1"/>
    <col min="5122" max="5122" width="65" style="383" customWidth="1"/>
    <col min="5123" max="5376" width="9" style="383" hidden="1"/>
    <col min="5377" max="5377" width="33.375" style="383" customWidth="1"/>
    <col min="5378" max="5378" width="65" style="383" customWidth="1"/>
    <col min="5379" max="5632" width="9" style="383" hidden="1"/>
    <col min="5633" max="5633" width="33.375" style="383" customWidth="1"/>
    <col min="5634" max="5634" width="65" style="383" customWidth="1"/>
    <col min="5635" max="5888" width="9" style="383" hidden="1"/>
    <col min="5889" max="5889" width="33.375" style="383" customWidth="1"/>
    <col min="5890" max="5890" width="65" style="383" customWidth="1"/>
    <col min="5891" max="6144" width="9" style="383" hidden="1"/>
    <col min="6145" max="6145" width="33.375" style="383" customWidth="1"/>
    <col min="6146" max="6146" width="65" style="383" customWidth="1"/>
    <col min="6147" max="6400" width="9" style="383" hidden="1"/>
    <col min="6401" max="6401" width="33.375" style="383" customWidth="1"/>
    <col min="6402" max="6402" width="65" style="383" customWidth="1"/>
    <col min="6403" max="6656" width="9" style="383" hidden="1"/>
    <col min="6657" max="6657" width="33.375" style="383" customWidth="1"/>
    <col min="6658" max="6658" width="65" style="383" customWidth="1"/>
    <col min="6659" max="6912" width="9" style="383" hidden="1"/>
    <col min="6913" max="6913" width="33.375" style="383" customWidth="1"/>
    <col min="6914" max="6914" width="65" style="383" customWidth="1"/>
    <col min="6915" max="7168" width="9" style="383" hidden="1"/>
    <col min="7169" max="7169" width="33.375" style="383" customWidth="1"/>
    <col min="7170" max="7170" width="65" style="383" customWidth="1"/>
    <col min="7171" max="7424" width="9" style="383" hidden="1"/>
    <col min="7425" max="7425" width="33.375" style="383" customWidth="1"/>
    <col min="7426" max="7426" width="65" style="383" customWidth="1"/>
    <col min="7427" max="7680" width="9" style="383" hidden="1"/>
    <col min="7681" max="7681" width="33.375" style="383" customWidth="1"/>
    <col min="7682" max="7682" width="65" style="383" customWidth="1"/>
    <col min="7683" max="7936" width="9" style="383" hidden="1"/>
    <col min="7937" max="7937" width="33.375" style="383" customWidth="1"/>
    <col min="7938" max="7938" width="65" style="383" customWidth="1"/>
    <col min="7939" max="8192" width="9" style="383" hidden="1"/>
    <col min="8193" max="8193" width="33.375" style="383" customWidth="1"/>
    <col min="8194" max="8194" width="65" style="383" customWidth="1"/>
    <col min="8195" max="8448" width="9" style="383" hidden="1"/>
    <col min="8449" max="8449" width="33.375" style="383" customWidth="1"/>
    <col min="8450" max="8450" width="65" style="383" customWidth="1"/>
    <col min="8451" max="8704" width="9" style="383" hidden="1"/>
    <col min="8705" max="8705" width="33.375" style="383" customWidth="1"/>
    <col min="8706" max="8706" width="65" style="383" customWidth="1"/>
    <col min="8707" max="8960" width="9" style="383" hidden="1"/>
    <col min="8961" max="8961" width="33.375" style="383" customWidth="1"/>
    <col min="8962" max="8962" width="65" style="383" customWidth="1"/>
    <col min="8963" max="9216" width="9" style="383" hidden="1"/>
    <col min="9217" max="9217" width="33.375" style="383" customWidth="1"/>
    <col min="9218" max="9218" width="65" style="383" customWidth="1"/>
    <col min="9219" max="9472" width="9" style="383" hidden="1"/>
    <col min="9473" max="9473" width="33.375" style="383" customWidth="1"/>
    <col min="9474" max="9474" width="65" style="383" customWidth="1"/>
    <col min="9475" max="9728" width="9" style="383" hidden="1"/>
    <col min="9729" max="9729" width="33.375" style="383" customWidth="1"/>
    <col min="9730" max="9730" width="65" style="383" customWidth="1"/>
    <col min="9731" max="9984" width="9" style="383" hidden="1"/>
    <col min="9985" max="9985" width="33.375" style="383" customWidth="1"/>
    <col min="9986" max="9986" width="65" style="383" customWidth="1"/>
    <col min="9987" max="10240" width="9" style="383" hidden="1"/>
    <col min="10241" max="10241" width="33.375" style="383" customWidth="1"/>
    <col min="10242" max="10242" width="65" style="383" customWidth="1"/>
    <col min="10243" max="10496" width="9" style="383" hidden="1"/>
    <col min="10497" max="10497" width="33.375" style="383" customWidth="1"/>
    <col min="10498" max="10498" width="65" style="383" customWidth="1"/>
    <col min="10499" max="10752" width="9" style="383" hidden="1"/>
    <col min="10753" max="10753" width="33.375" style="383" customWidth="1"/>
    <col min="10754" max="10754" width="65" style="383" customWidth="1"/>
    <col min="10755" max="11008" width="9" style="383" hidden="1"/>
    <col min="11009" max="11009" width="33.375" style="383" customWidth="1"/>
    <col min="11010" max="11010" width="65" style="383" customWidth="1"/>
    <col min="11011" max="11264" width="9" style="383" hidden="1"/>
    <col min="11265" max="11265" width="33.375" style="383" customWidth="1"/>
    <col min="11266" max="11266" width="65" style="383" customWidth="1"/>
    <col min="11267" max="11520" width="9" style="383" hidden="1"/>
    <col min="11521" max="11521" width="33.375" style="383" customWidth="1"/>
    <col min="11522" max="11522" width="65" style="383" customWidth="1"/>
    <col min="11523" max="11776" width="9" style="383" hidden="1"/>
    <col min="11777" max="11777" width="33.375" style="383" customWidth="1"/>
    <col min="11778" max="11778" width="65" style="383" customWidth="1"/>
    <col min="11779" max="12032" width="9" style="383" hidden="1"/>
    <col min="12033" max="12033" width="33.375" style="383" customWidth="1"/>
    <col min="12034" max="12034" width="65" style="383" customWidth="1"/>
    <col min="12035" max="12288" width="9" style="383" hidden="1"/>
    <col min="12289" max="12289" width="33.375" style="383" customWidth="1"/>
    <col min="12290" max="12290" width="65" style="383" customWidth="1"/>
    <col min="12291" max="12544" width="9" style="383" hidden="1"/>
    <col min="12545" max="12545" width="33.375" style="383" customWidth="1"/>
    <col min="12546" max="12546" width="65" style="383" customWidth="1"/>
    <col min="12547" max="12800" width="9" style="383" hidden="1"/>
    <col min="12801" max="12801" width="33.375" style="383" customWidth="1"/>
    <col min="12802" max="12802" width="65" style="383" customWidth="1"/>
    <col min="12803" max="13056" width="9" style="383" hidden="1"/>
    <col min="13057" max="13057" width="33.375" style="383" customWidth="1"/>
    <col min="13058" max="13058" width="65" style="383" customWidth="1"/>
    <col min="13059" max="13312" width="9" style="383" hidden="1"/>
    <col min="13313" max="13313" width="33.375" style="383" customWidth="1"/>
    <col min="13314" max="13314" width="65" style="383" customWidth="1"/>
    <col min="13315" max="13568" width="9" style="383" hidden="1"/>
    <col min="13569" max="13569" width="33.375" style="383" customWidth="1"/>
    <col min="13570" max="13570" width="65" style="383" customWidth="1"/>
    <col min="13571" max="13824" width="9" style="383" hidden="1"/>
    <col min="13825" max="13825" width="33.375" style="383" customWidth="1"/>
    <col min="13826" max="13826" width="65" style="383" customWidth="1"/>
    <col min="13827" max="14080" width="9" style="383" hidden="1"/>
    <col min="14081" max="14081" width="33.375" style="383" customWidth="1"/>
    <col min="14082" max="14082" width="65" style="383" customWidth="1"/>
    <col min="14083" max="14336" width="9" style="383" hidden="1"/>
    <col min="14337" max="14337" width="33.375" style="383" customWidth="1"/>
    <col min="14338" max="14338" width="65" style="383" customWidth="1"/>
    <col min="14339" max="14592" width="9" style="383" hidden="1"/>
    <col min="14593" max="14593" width="33.375" style="383" customWidth="1"/>
    <col min="14594" max="14594" width="65" style="383" customWidth="1"/>
    <col min="14595" max="14848" width="9" style="383" hidden="1"/>
    <col min="14849" max="14849" width="33.375" style="383" customWidth="1"/>
    <col min="14850" max="14850" width="65" style="383" customWidth="1"/>
    <col min="14851" max="15104" width="9" style="383" hidden="1"/>
    <col min="15105" max="15105" width="33.375" style="383" customWidth="1"/>
    <col min="15106" max="15106" width="65" style="383" customWidth="1"/>
    <col min="15107" max="15360" width="9" style="383" hidden="1"/>
    <col min="15361" max="15361" width="33.375" style="383" customWidth="1"/>
    <col min="15362" max="15362" width="65" style="383" customWidth="1"/>
    <col min="15363" max="15616" width="9" style="383" hidden="1"/>
    <col min="15617" max="15617" width="33.375" style="383" customWidth="1"/>
    <col min="15618" max="15618" width="65" style="383" customWidth="1"/>
    <col min="15619" max="15872" width="9" style="383" hidden="1"/>
    <col min="15873" max="15873" width="33.375" style="383" customWidth="1"/>
    <col min="15874" max="15874" width="65" style="383" customWidth="1"/>
    <col min="15875" max="16128" width="9" style="383" hidden="1"/>
    <col min="16129" max="16129" width="33.375" style="383" customWidth="1"/>
    <col min="16130" max="16130" width="65" style="383" customWidth="1"/>
    <col min="16131" max="16384" width="9" style="383" hidden="1"/>
  </cols>
  <sheetData>
    <row r="1" spans="1:257" ht="15.6" customHeight="1" x14ac:dyDescent="0.15">
      <c r="B1" s="413" t="s">
        <v>0</v>
      </c>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G1" s="413"/>
      <c r="AH1" s="413"/>
      <c r="AI1" s="413"/>
      <c r="AJ1" s="413"/>
      <c r="AK1" s="413"/>
      <c r="AL1" s="413"/>
      <c r="AM1" s="413"/>
      <c r="AN1" s="413"/>
      <c r="AO1" s="413"/>
      <c r="AP1" s="413"/>
      <c r="AQ1" s="413"/>
      <c r="AR1" s="413"/>
      <c r="AS1" s="413"/>
      <c r="AT1" s="413"/>
      <c r="AU1" s="413"/>
      <c r="AV1" s="413"/>
      <c r="AW1" s="413"/>
      <c r="AX1" s="413"/>
      <c r="AY1" s="413"/>
      <c r="AZ1" s="413"/>
      <c r="BA1" s="413"/>
      <c r="BB1" s="413"/>
      <c r="BC1" s="413"/>
      <c r="BD1" s="413"/>
      <c r="BE1" s="413"/>
      <c r="BF1" s="413"/>
      <c r="BG1" s="413"/>
      <c r="BH1" s="413"/>
      <c r="BI1" s="413"/>
      <c r="BJ1" s="413"/>
      <c r="BK1" s="413"/>
      <c r="BL1" s="413"/>
      <c r="BM1" s="413"/>
      <c r="BN1" s="413"/>
      <c r="BO1" s="413"/>
      <c r="BP1" s="413"/>
      <c r="BQ1" s="413"/>
      <c r="BR1" s="413"/>
      <c r="BS1" s="413"/>
      <c r="BT1" s="413"/>
      <c r="BU1" s="413"/>
      <c r="BV1" s="413"/>
      <c r="BW1" s="413"/>
      <c r="BX1" s="413"/>
      <c r="BY1" s="413"/>
      <c r="BZ1" s="413"/>
      <c r="CA1" s="413"/>
      <c r="CB1" s="413"/>
      <c r="CC1" s="413"/>
      <c r="CD1" s="413"/>
      <c r="CE1" s="413"/>
      <c r="CF1" s="413"/>
      <c r="CG1" s="413"/>
      <c r="CH1" s="413"/>
      <c r="CI1" s="413"/>
      <c r="CJ1" s="413"/>
      <c r="CK1" s="413"/>
      <c r="CL1" s="413"/>
      <c r="CM1" s="413"/>
      <c r="CN1" s="413"/>
      <c r="CO1" s="413"/>
      <c r="CP1" s="413"/>
      <c r="CQ1" s="413"/>
      <c r="CR1" s="413"/>
      <c r="CS1" s="413"/>
      <c r="CT1" s="413"/>
      <c r="CU1" s="413"/>
      <c r="CV1" s="413"/>
      <c r="CW1" s="413"/>
      <c r="CX1" s="413"/>
      <c r="CY1" s="413"/>
      <c r="CZ1" s="413"/>
      <c r="DA1" s="413"/>
      <c r="DB1" s="413"/>
      <c r="DC1" s="413"/>
      <c r="DD1" s="413"/>
      <c r="DE1" s="413"/>
      <c r="DF1" s="413"/>
      <c r="DG1" s="413"/>
      <c r="DH1" s="413"/>
      <c r="DI1" s="413"/>
      <c r="DJ1" s="413"/>
      <c r="DK1" s="413"/>
      <c r="DL1" s="413"/>
      <c r="DM1" s="413"/>
      <c r="DN1" s="413"/>
      <c r="DO1" s="413"/>
      <c r="DP1" s="413"/>
      <c r="DQ1" s="413"/>
      <c r="DR1" s="413"/>
      <c r="DS1" s="413"/>
      <c r="DT1" s="413"/>
      <c r="DU1" s="413"/>
      <c r="DV1" s="413"/>
      <c r="DW1" s="413"/>
      <c r="DX1" s="413"/>
      <c r="DY1" s="413"/>
      <c r="DZ1" s="413"/>
      <c r="EA1" s="413"/>
      <c r="EB1" s="413"/>
      <c r="EC1" s="413"/>
      <c r="ED1" s="413"/>
      <c r="EE1" s="413"/>
      <c r="EF1" s="413"/>
      <c r="EG1" s="413"/>
      <c r="EH1" s="413"/>
      <c r="EI1" s="413"/>
      <c r="EJ1" s="413"/>
      <c r="EK1" s="413"/>
      <c r="EL1" s="413"/>
      <c r="EM1" s="413"/>
      <c r="EN1" s="413"/>
      <c r="EO1" s="413"/>
      <c r="EP1" s="413"/>
      <c r="EQ1" s="413"/>
      <c r="ER1" s="413"/>
      <c r="ES1" s="413"/>
      <c r="ET1" s="413"/>
      <c r="EU1" s="413"/>
      <c r="EV1" s="413"/>
      <c r="EW1" s="413"/>
      <c r="EX1" s="413"/>
      <c r="EY1" s="413"/>
      <c r="EZ1" s="413"/>
      <c r="FA1" s="413"/>
      <c r="FB1" s="413"/>
      <c r="FC1" s="413"/>
      <c r="FD1" s="413"/>
      <c r="FE1" s="413"/>
      <c r="FF1" s="413"/>
      <c r="FG1" s="413"/>
      <c r="FH1" s="413"/>
      <c r="FI1" s="413"/>
      <c r="FJ1" s="413"/>
      <c r="FK1" s="413"/>
      <c r="FL1" s="413"/>
      <c r="FM1" s="413"/>
      <c r="FN1" s="413"/>
      <c r="FO1" s="413"/>
      <c r="FP1" s="413"/>
      <c r="FQ1" s="413"/>
      <c r="FR1" s="413"/>
      <c r="FS1" s="413"/>
      <c r="FT1" s="413"/>
      <c r="FU1" s="413"/>
      <c r="FV1" s="413"/>
      <c r="FW1" s="413"/>
      <c r="FX1" s="413"/>
      <c r="FY1" s="413"/>
      <c r="FZ1" s="413"/>
      <c r="GA1" s="413"/>
      <c r="GB1" s="413"/>
      <c r="GC1" s="413"/>
      <c r="GD1" s="413"/>
      <c r="GE1" s="413"/>
      <c r="GF1" s="413"/>
      <c r="GG1" s="413"/>
      <c r="GH1" s="413"/>
      <c r="GI1" s="413"/>
      <c r="GJ1" s="413"/>
      <c r="GK1" s="413"/>
      <c r="GL1" s="413"/>
      <c r="GM1" s="413"/>
      <c r="GN1" s="413"/>
      <c r="GO1" s="413"/>
      <c r="GP1" s="413"/>
      <c r="GQ1" s="413"/>
      <c r="GR1" s="413"/>
      <c r="GS1" s="413"/>
      <c r="GT1" s="413"/>
      <c r="GU1" s="413"/>
      <c r="GV1" s="413"/>
      <c r="GW1" s="413"/>
      <c r="GX1" s="413"/>
      <c r="GY1" s="413"/>
      <c r="GZ1" s="413"/>
      <c r="HA1" s="413"/>
      <c r="HB1" s="413"/>
      <c r="HC1" s="413"/>
      <c r="HD1" s="413"/>
      <c r="HE1" s="413"/>
      <c r="HF1" s="413"/>
      <c r="HG1" s="413"/>
      <c r="HH1" s="413"/>
      <c r="HI1" s="413"/>
      <c r="HJ1" s="413"/>
      <c r="HK1" s="413"/>
      <c r="HL1" s="413"/>
      <c r="HM1" s="413"/>
      <c r="HN1" s="413"/>
      <c r="HO1" s="413"/>
      <c r="HP1" s="413"/>
      <c r="HQ1" s="413"/>
      <c r="HR1" s="413"/>
      <c r="HS1" s="413"/>
      <c r="HT1" s="413"/>
      <c r="HU1" s="413"/>
      <c r="HV1" s="413"/>
      <c r="HW1" s="413"/>
      <c r="HX1" s="413"/>
      <c r="HY1" s="413"/>
      <c r="HZ1" s="413"/>
      <c r="IA1" s="413"/>
      <c r="IB1" s="413"/>
      <c r="IC1" s="413"/>
      <c r="ID1" s="413"/>
      <c r="IE1" s="413"/>
      <c r="IF1" s="413"/>
      <c r="IG1" s="413"/>
      <c r="IH1" s="413"/>
      <c r="II1" s="413"/>
      <c r="IJ1" s="413"/>
      <c r="IK1" s="413"/>
      <c r="IL1" s="413"/>
      <c r="IM1" s="413"/>
      <c r="IN1" s="413"/>
      <c r="IO1" s="413"/>
      <c r="IP1" s="413"/>
      <c r="IQ1" s="413"/>
      <c r="IR1" s="413"/>
      <c r="IS1" s="413"/>
      <c r="IT1" s="413"/>
      <c r="IU1" s="413"/>
      <c r="IV1" s="413"/>
      <c r="IW1" s="413"/>
    </row>
    <row r="2" spans="1:257" ht="15.6" customHeight="1" x14ac:dyDescent="0.15">
      <c r="B2" s="413"/>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G2" s="413"/>
      <c r="AH2" s="413"/>
      <c r="AI2" s="413"/>
      <c r="AJ2" s="413"/>
      <c r="AK2" s="413"/>
      <c r="AL2" s="413"/>
      <c r="AM2" s="413"/>
      <c r="AN2" s="413"/>
      <c r="AO2" s="413"/>
      <c r="AP2" s="413"/>
      <c r="AQ2" s="413"/>
      <c r="AR2" s="413"/>
      <c r="AS2" s="413"/>
      <c r="AT2" s="413"/>
      <c r="AU2" s="413"/>
      <c r="AV2" s="413"/>
      <c r="AW2" s="413"/>
      <c r="AX2" s="413"/>
      <c r="AY2" s="413"/>
      <c r="AZ2" s="413"/>
      <c r="BA2" s="413"/>
      <c r="BB2" s="413"/>
      <c r="BC2" s="413"/>
      <c r="BD2" s="413"/>
      <c r="BE2" s="413"/>
      <c r="BF2" s="413"/>
      <c r="BG2" s="413"/>
      <c r="BH2" s="413"/>
      <c r="BI2" s="413"/>
      <c r="BJ2" s="413"/>
      <c r="BK2" s="413"/>
      <c r="BL2" s="413"/>
      <c r="BM2" s="413"/>
      <c r="BN2" s="413"/>
      <c r="BO2" s="413"/>
      <c r="BP2" s="413"/>
      <c r="BQ2" s="413"/>
      <c r="BR2" s="413"/>
      <c r="BS2" s="413"/>
      <c r="BT2" s="413"/>
      <c r="BU2" s="413"/>
      <c r="BV2" s="413"/>
      <c r="BW2" s="413"/>
      <c r="BX2" s="413"/>
      <c r="BY2" s="413"/>
      <c r="BZ2" s="413"/>
      <c r="CA2" s="413"/>
      <c r="CB2" s="413"/>
      <c r="CC2" s="413"/>
      <c r="CD2" s="413"/>
      <c r="CE2" s="413"/>
      <c r="CF2" s="413"/>
      <c r="CG2" s="413"/>
      <c r="CH2" s="413"/>
      <c r="CI2" s="413"/>
      <c r="CJ2" s="413"/>
      <c r="CK2" s="413"/>
      <c r="CL2" s="413"/>
      <c r="CM2" s="413"/>
      <c r="CN2" s="413"/>
      <c r="CO2" s="413"/>
      <c r="CP2" s="413"/>
      <c r="CQ2" s="413"/>
      <c r="CR2" s="413"/>
      <c r="CS2" s="413"/>
      <c r="CT2" s="413"/>
      <c r="CU2" s="413"/>
      <c r="CV2" s="413"/>
      <c r="CW2" s="413"/>
      <c r="CX2" s="413"/>
      <c r="CY2" s="413"/>
      <c r="CZ2" s="413"/>
      <c r="DA2" s="413"/>
      <c r="DB2" s="413"/>
      <c r="DC2" s="413"/>
      <c r="DD2" s="413"/>
      <c r="DE2" s="413"/>
      <c r="DF2" s="413"/>
      <c r="DG2" s="413"/>
      <c r="DH2" s="413"/>
      <c r="DI2" s="413"/>
      <c r="DJ2" s="413"/>
      <c r="DK2" s="413"/>
      <c r="DL2" s="413"/>
      <c r="DM2" s="413"/>
      <c r="DN2" s="413"/>
      <c r="DO2" s="413"/>
      <c r="DP2" s="413"/>
      <c r="DQ2" s="413"/>
      <c r="DR2" s="413"/>
      <c r="DS2" s="413"/>
      <c r="DT2" s="413"/>
      <c r="DU2" s="413"/>
      <c r="DV2" s="413"/>
      <c r="DW2" s="413"/>
      <c r="DX2" s="413"/>
      <c r="DY2" s="413"/>
      <c r="DZ2" s="413"/>
      <c r="EA2" s="413"/>
      <c r="EB2" s="413"/>
      <c r="EC2" s="413"/>
      <c r="ED2" s="413"/>
      <c r="EE2" s="413"/>
      <c r="EF2" s="413"/>
      <c r="EG2" s="413"/>
      <c r="EH2" s="413"/>
      <c r="EI2" s="413"/>
      <c r="EJ2" s="413"/>
      <c r="EK2" s="413"/>
      <c r="EL2" s="413"/>
      <c r="EM2" s="413"/>
      <c r="EN2" s="413"/>
      <c r="EO2" s="413"/>
      <c r="EP2" s="413"/>
      <c r="EQ2" s="413"/>
      <c r="ER2" s="413"/>
      <c r="ES2" s="413"/>
      <c r="ET2" s="413"/>
      <c r="EU2" s="413"/>
      <c r="EV2" s="413"/>
      <c r="EW2" s="413"/>
      <c r="EX2" s="413"/>
      <c r="EY2" s="413"/>
      <c r="EZ2" s="413"/>
      <c r="FA2" s="413"/>
      <c r="FB2" s="413"/>
      <c r="FC2" s="413"/>
      <c r="FD2" s="413"/>
      <c r="FE2" s="413"/>
      <c r="FF2" s="413"/>
      <c r="FG2" s="413"/>
      <c r="FH2" s="413"/>
      <c r="FI2" s="413"/>
      <c r="FJ2" s="413"/>
      <c r="FK2" s="413"/>
      <c r="FL2" s="413"/>
      <c r="FM2" s="413"/>
      <c r="FN2" s="413"/>
      <c r="FO2" s="413"/>
      <c r="FP2" s="413"/>
      <c r="FQ2" s="413"/>
      <c r="FR2" s="413"/>
      <c r="FS2" s="413"/>
      <c r="FT2" s="413"/>
      <c r="FU2" s="413"/>
      <c r="FV2" s="413"/>
      <c r="FW2" s="413"/>
      <c r="FX2" s="413"/>
      <c r="FY2" s="413"/>
      <c r="FZ2" s="413"/>
      <c r="GA2" s="413"/>
      <c r="GB2" s="413"/>
      <c r="GC2" s="413"/>
      <c r="GD2" s="413"/>
      <c r="GE2" s="413"/>
      <c r="GF2" s="413"/>
      <c r="GG2" s="413"/>
      <c r="GH2" s="413"/>
      <c r="GI2" s="413"/>
      <c r="GJ2" s="413"/>
      <c r="GK2" s="413"/>
      <c r="GL2" s="413"/>
      <c r="GM2" s="413"/>
      <c r="GN2" s="413"/>
      <c r="GO2" s="413"/>
      <c r="GP2" s="413"/>
      <c r="GQ2" s="413"/>
      <c r="GR2" s="413"/>
      <c r="GS2" s="413"/>
      <c r="GT2" s="413"/>
      <c r="GU2" s="413"/>
      <c r="GV2" s="413"/>
      <c r="GW2" s="413"/>
      <c r="GX2" s="413"/>
      <c r="GY2" s="413"/>
      <c r="GZ2" s="413"/>
      <c r="HA2" s="413"/>
      <c r="HB2" s="413"/>
      <c r="HC2" s="413"/>
      <c r="HD2" s="413"/>
      <c r="HE2" s="413"/>
      <c r="HF2" s="413"/>
      <c r="HG2" s="413"/>
      <c r="HH2" s="413"/>
      <c r="HI2" s="413"/>
      <c r="HJ2" s="413"/>
      <c r="HK2" s="413"/>
      <c r="HL2" s="413"/>
      <c r="HM2" s="413"/>
      <c r="HN2" s="413"/>
      <c r="HO2" s="413"/>
      <c r="HP2" s="413"/>
      <c r="HQ2" s="413"/>
      <c r="HR2" s="413"/>
      <c r="HS2" s="413"/>
      <c r="HT2" s="413"/>
      <c r="HU2" s="413"/>
      <c r="HV2" s="413"/>
      <c r="HW2" s="413"/>
      <c r="HX2" s="413"/>
      <c r="HY2" s="413"/>
      <c r="HZ2" s="413"/>
      <c r="IA2" s="413"/>
      <c r="IB2" s="413"/>
      <c r="IC2" s="413"/>
      <c r="ID2" s="413"/>
      <c r="IE2" s="413"/>
      <c r="IF2" s="413"/>
      <c r="IG2" s="413"/>
      <c r="IH2" s="413"/>
      <c r="II2" s="413"/>
      <c r="IJ2" s="413"/>
      <c r="IK2" s="413"/>
      <c r="IL2" s="413"/>
      <c r="IM2" s="413"/>
      <c r="IN2" s="413"/>
      <c r="IO2" s="413"/>
      <c r="IP2" s="413"/>
      <c r="IQ2" s="413"/>
      <c r="IR2" s="413"/>
      <c r="IS2" s="413"/>
      <c r="IT2" s="413"/>
      <c r="IU2" s="413"/>
      <c r="IV2" s="413"/>
      <c r="IW2" s="413"/>
    </row>
    <row r="3" spans="1:257" ht="15.6" customHeight="1" x14ac:dyDescent="0.15">
      <c r="B3" s="413"/>
      <c r="C3" s="413"/>
      <c r="D3" s="413"/>
      <c r="E3" s="413"/>
      <c r="F3" s="413"/>
      <c r="G3" s="413"/>
      <c r="H3" s="413"/>
      <c r="I3" s="413"/>
      <c r="J3" s="413"/>
      <c r="K3" s="413"/>
      <c r="L3" s="413"/>
      <c r="M3" s="413"/>
      <c r="N3" s="413"/>
      <c r="O3" s="413"/>
      <c r="P3" s="413"/>
      <c r="Q3" s="413"/>
      <c r="R3" s="413"/>
      <c r="S3" s="413"/>
      <c r="T3" s="413"/>
      <c r="U3" s="413"/>
      <c r="V3" s="413"/>
      <c r="W3" s="413"/>
      <c r="X3" s="413"/>
      <c r="Y3" s="413"/>
      <c r="Z3" s="413"/>
      <c r="AA3" s="413"/>
      <c r="AB3" s="413"/>
      <c r="AC3" s="413"/>
      <c r="AD3" s="413"/>
      <c r="AE3" s="413"/>
      <c r="AF3" s="413"/>
      <c r="AG3" s="413"/>
      <c r="AH3" s="413"/>
      <c r="AI3" s="413"/>
      <c r="AJ3" s="413"/>
      <c r="AK3" s="413"/>
      <c r="AL3" s="413"/>
      <c r="AM3" s="413"/>
      <c r="AN3" s="413"/>
      <c r="AO3" s="413"/>
      <c r="AP3" s="413"/>
      <c r="AQ3" s="413"/>
      <c r="AR3" s="413"/>
      <c r="AS3" s="413"/>
      <c r="AT3" s="413"/>
      <c r="AU3" s="413"/>
      <c r="AV3" s="413"/>
      <c r="AW3" s="413"/>
      <c r="AX3" s="413"/>
      <c r="AY3" s="413"/>
      <c r="AZ3" s="413"/>
      <c r="BA3" s="413"/>
      <c r="BB3" s="413"/>
      <c r="BC3" s="413"/>
      <c r="BD3" s="413"/>
      <c r="BE3" s="413"/>
      <c r="BF3" s="413"/>
      <c r="BG3" s="413"/>
      <c r="BH3" s="413"/>
      <c r="BI3" s="413"/>
      <c r="BJ3" s="413"/>
      <c r="BK3" s="413"/>
      <c r="BL3" s="413"/>
      <c r="BM3" s="413"/>
      <c r="BN3" s="413"/>
      <c r="BO3" s="413"/>
      <c r="BP3" s="413"/>
      <c r="BQ3" s="413"/>
      <c r="BR3" s="413"/>
      <c r="BS3" s="413"/>
      <c r="BT3" s="413"/>
      <c r="BU3" s="413"/>
      <c r="BV3" s="413"/>
      <c r="BW3" s="413"/>
      <c r="BX3" s="413"/>
      <c r="BY3" s="413"/>
      <c r="BZ3" s="413"/>
      <c r="CA3" s="413"/>
      <c r="CB3" s="413"/>
      <c r="CC3" s="413"/>
      <c r="CD3" s="413"/>
      <c r="CE3" s="413"/>
      <c r="CF3" s="413"/>
      <c r="CG3" s="413"/>
      <c r="CH3" s="413"/>
      <c r="CI3" s="413"/>
      <c r="CJ3" s="413"/>
      <c r="CK3" s="413"/>
      <c r="CL3" s="413"/>
      <c r="CM3" s="413"/>
      <c r="CN3" s="413"/>
      <c r="CO3" s="413"/>
      <c r="CP3" s="413"/>
      <c r="CQ3" s="413"/>
      <c r="CR3" s="413"/>
      <c r="CS3" s="413"/>
      <c r="CT3" s="413"/>
      <c r="CU3" s="413"/>
      <c r="CV3" s="413"/>
      <c r="CW3" s="413"/>
      <c r="CX3" s="413"/>
      <c r="CY3" s="413"/>
      <c r="CZ3" s="413"/>
      <c r="DA3" s="413"/>
      <c r="DB3" s="413"/>
      <c r="DC3" s="413"/>
      <c r="DD3" s="413"/>
      <c r="DE3" s="413"/>
      <c r="DF3" s="413"/>
      <c r="DG3" s="413"/>
      <c r="DH3" s="413"/>
      <c r="DI3" s="413"/>
      <c r="DJ3" s="413"/>
      <c r="DK3" s="413"/>
      <c r="DL3" s="413"/>
      <c r="DM3" s="413"/>
      <c r="DN3" s="413"/>
      <c r="DO3" s="413"/>
      <c r="DP3" s="413"/>
      <c r="DQ3" s="413"/>
      <c r="DR3" s="413"/>
      <c r="DS3" s="413"/>
      <c r="DT3" s="413"/>
      <c r="DU3" s="413"/>
      <c r="DV3" s="413"/>
      <c r="DW3" s="413"/>
      <c r="DX3" s="413"/>
      <c r="DY3" s="413"/>
      <c r="DZ3" s="413"/>
      <c r="EA3" s="413"/>
      <c r="EB3" s="413"/>
      <c r="EC3" s="413"/>
      <c r="ED3" s="413"/>
      <c r="EE3" s="413"/>
      <c r="EF3" s="413"/>
      <c r="EG3" s="413"/>
      <c r="EH3" s="413"/>
      <c r="EI3" s="413"/>
      <c r="EJ3" s="413"/>
      <c r="EK3" s="413"/>
      <c r="EL3" s="413"/>
      <c r="EM3" s="413"/>
      <c r="EN3" s="413"/>
      <c r="EO3" s="413"/>
      <c r="EP3" s="413"/>
      <c r="EQ3" s="413"/>
      <c r="ER3" s="413"/>
      <c r="ES3" s="413"/>
      <c r="ET3" s="413"/>
      <c r="EU3" s="413"/>
      <c r="EV3" s="413"/>
      <c r="EW3" s="413"/>
      <c r="EX3" s="413"/>
      <c r="EY3" s="413"/>
      <c r="EZ3" s="413"/>
      <c r="FA3" s="413"/>
      <c r="FB3" s="413"/>
      <c r="FC3" s="413"/>
      <c r="FD3" s="413"/>
      <c r="FE3" s="413"/>
      <c r="FF3" s="413"/>
      <c r="FG3" s="413"/>
      <c r="FH3" s="413"/>
      <c r="FI3" s="413"/>
      <c r="FJ3" s="413"/>
      <c r="FK3" s="413"/>
      <c r="FL3" s="413"/>
      <c r="FM3" s="413"/>
      <c r="FN3" s="413"/>
      <c r="FO3" s="413"/>
      <c r="FP3" s="413"/>
      <c r="FQ3" s="413"/>
      <c r="FR3" s="413"/>
      <c r="FS3" s="413"/>
      <c r="FT3" s="413"/>
      <c r="FU3" s="413"/>
      <c r="FV3" s="413"/>
      <c r="FW3" s="413"/>
      <c r="FX3" s="413"/>
      <c r="FY3" s="413"/>
      <c r="FZ3" s="413"/>
      <c r="GA3" s="413"/>
      <c r="GB3" s="413"/>
      <c r="GC3" s="413"/>
      <c r="GD3" s="413"/>
      <c r="GE3" s="413"/>
      <c r="GF3" s="413"/>
      <c r="GG3" s="413"/>
      <c r="GH3" s="413"/>
      <c r="GI3" s="413"/>
      <c r="GJ3" s="413"/>
      <c r="GK3" s="413"/>
      <c r="GL3" s="413"/>
      <c r="GM3" s="413"/>
      <c r="GN3" s="413"/>
      <c r="GO3" s="413"/>
      <c r="GP3" s="413"/>
      <c r="GQ3" s="413"/>
      <c r="GR3" s="413"/>
      <c r="GS3" s="413"/>
      <c r="GT3" s="413"/>
      <c r="GU3" s="413"/>
      <c r="GV3" s="413"/>
      <c r="GW3" s="413"/>
      <c r="GX3" s="413"/>
      <c r="GY3" s="413"/>
      <c r="GZ3" s="413"/>
      <c r="HA3" s="413"/>
      <c r="HB3" s="413"/>
      <c r="HC3" s="413"/>
      <c r="HD3" s="413"/>
      <c r="HE3" s="413"/>
      <c r="HF3" s="413"/>
      <c r="HG3" s="413"/>
      <c r="HH3" s="413"/>
      <c r="HI3" s="413"/>
      <c r="HJ3" s="413"/>
      <c r="HK3" s="413"/>
      <c r="HL3" s="413"/>
      <c r="HM3" s="413"/>
      <c r="HN3" s="413"/>
      <c r="HO3" s="413"/>
      <c r="HP3" s="413"/>
      <c r="HQ3" s="413"/>
      <c r="HR3" s="413"/>
      <c r="HS3" s="413"/>
      <c r="HT3" s="413"/>
      <c r="HU3" s="413"/>
      <c r="HV3" s="413"/>
      <c r="HW3" s="413"/>
      <c r="HX3" s="413"/>
      <c r="HY3" s="413"/>
      <c r="HZ3" s="413"/>
      <c r="IA3" s="413"/>
      <c r="IB3" s="413"/>
      <c r="IC3" s="413"/>
      <c r="ID3" s="413"/>
      <c r="IE3" s="413"/>
      <c r="IF3" s="413"/>
      <c r="IG3" s="413"/>
      <c r="IH3" s="413"/>
      <c r="II3" s="413"/>
      <c r="IJ3" s="413"/>
      <c r="IK3" s="413"/>
      <c r="IL3" s="413"/>
      <c r="IM3" s="413"/>
      <c r="IN3" s="413"/>
      <c r="IO3" s="413"/>
      <c r="IP3" s="413"/>
      <c r="IQ3" s="413"/>
      <c r="IR3" s="413"/>
      <c r="IS3" s="413"/>
      <c r="IT3" s="413"/>
      <c r="IU3" s="413"/>
      <c r="IV3" s="413"/>
      <c r="IW3" s="413"/>
    </row>
    <row r="4" spans="1:257" x14ac:dyDescent="0.15">
      <c r="A4" s="410"/>
      <c r="B4" s="410"/>
    </row>
    <row r="5" spans="1:257" s="381" customFormat="1" x14ac:dyDescent="0.15">
      <c r="A5" s="384" t="s">
        <v>1</v>
      </c>
      <c r="B5" s="385" t="s">
        <v>2</v>
      </c>
      <c r="C5" s="385"/>
      <c r="D5" s="385"/>
      <c r="E5" s="385"/>
      <c r="F5" s="385"/>
      <c r="G5" s="385"/>
      <c r="H5" s="385"/>
      <c r="I5" s="385"/>
      <c r="J5" s="385"/>
      <c r="K5" s="385"/>
      <c r="L5" s="385"/>
      <c r="M5" s="385"/>
      <c r="N5" s="385"/>
      <c r="O5" s="385"/>
      <c r="P5" s="385"/>
      <c r="Q5" s="385"/>
      <c r="R5" s="385"/>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5"/>
      <c r="BB5" s="385"/>
      <c r="BC5" s="385"/>
      <c r="BD5" s="385"/>
      <c r="BE5" s="385"/>
      <c r="BF5" s="385"/>
      <c r="BG5" s="385"/>
      <c r="BH5" s="385"/>
      <c r="BI5" s="385"/>
      <c r="BJ5" s="385"/>
      <c r="BK5" s="385"/>
      <c r="BL5" s="385"/>
      <c r="BM5" s="385"/>
      <c r="BN5" s="385"/>
      <c r="BO5" s="385"/>
      <c r="BP5" s="385"/>
      <c r="BQ5" s="385"/>
      <c r="BR5" s="385"/>
      <c r="BS5" s="385"/>
      <c r="BT5" s="385"/>
      <c r="BU5" s="385"/>
      <c r="BV5" s="385"/>
      <c r="BW5" s="385"/>
      <c r="BX5" s="385"/>
      <c r="BY5" s="385"/>
      <c r="BZ5" s="385"/>
      <c r="CA5" s="385"/>
      <c r="CB5" s="385"/>
      <c r="CC5" s="385"/>
      <c r="CD5" s="385"/>
      <c r="CE5" s="385"/>
      <c r="CF5" s="385"/>
      <c r="CG5" s="385"/>
      <c r="CH5" s="385"/>
      <c r="CI5" s="385"/>
      <c r="CJ5" s="385"/>
      <c r="CK5" s="385"/>
      <c r="CL5" s="385"/>
      <c r="CM5" s="385"/>
      <c r="CN5" s="385"/>
      <c r="CO5" s="385"/>
      <c r="CP5" s="385"/>
      <c r="CQ5" s="385"/>
      <c r="CR5" s="385"/>
      <c r="CS5" s="385"/>
      <c r="CT5" s="385"/>
      <c r="CU5" s="385"/>
      <c r="CV5" s="385"/>
      <c r="CW5" s="385"/>
      <c r="CX5" s="385"/>
      <c r="CY5" s="385"/>
      <c r="CZ5" s="385"/>
      <c r="DA5" s="385"/>
      <c r="DB5" s="385"/>
      <c r="DC5" s="385"/>
      <c r="DD5" s="385"/>
      <c r="DE5" s="385"/>
      <c r="DF5" s="385"/>
      <c r="DG5" s="385"/>
      <c r="DH5" s="385"/>
      <c r="DI5" s="385"/>
      <c r="DJ5" s="385"/>
      <c r="DK5" s="385"/>
      <c r="DL5" s="385"/>
      <c r="DM5" s="385"/>
      <c r="DN5" s="385"/>
      <c r="DO5" s="385"/>
      <c r="DP5" s="385"/>
      <c r="DQ5" s="385"/>
      <c r="DR5" s="385"/>
      <c r="DS5" s="385"/>
      <c r="DT5" s="385"/>
      <c r="DU5" s="385"/>
      <c r="DV5" s="385"/>
      <c r="DW5" s="385"/>
      <c r="DX5" s="385"/>
      <c r="DY5" s="385"/>
      <c r="DZ5" s="385"/>
      <c r="EA5" s="385"/>
      <c r="EB5" s="385"/>
      <c r="EC5" s="385"/>
      <c r="ED5" s="385"/>
      <c r="EE5" s="385"/>
      <c r="EF5" s="385"/>
      <c r="EG5" s="385"/>
      <c r="EH5" s="385"/>
      <c r="EI5" s="385"/>
      <c r="EJ5" s="385"/>
      <c r="EK5" s="385"/>
      <c r="EL5" s="385"/>
      <c r="EM5" s="385"/>
      <c r="EN5" s="385"/>
      <c r="EO5" s="385"/>
      <c r="EP5" s="385"/>
      <c r="EQ5" s="385"/>
      <c r="ER5" s="385"/>
      <c r="ES5" s="385"/>
      <c r="ET5" s="385"/>
      <c r="EU5" s="385"/>
      <c r="EV5" s="385"/>
      <c r="EW5" s="385"/>
      <c r="EX5" s="385"/>
      <c r="EY5" s="385"/>
      <c r="EZ5" s="385"/>
      <c r="FA5" s="385"/>
      <c r="FB5" s="385"/>
      <c r="FC5" s="385"/>
      <c r="FD5" s="385"/>
      <c r="FE5" s="385"/>
      <c r="FF5" s="385"/>
      <c r="FG5" s="385"/>
      <c r="FH5" s="385"/>
      <c r="FI5" s="385"/>
      <c r="FJ5" s="385"/>
      <c r="FK5" s="385"/>
      <c r="FL5" s="385"/>
      <c r="FM5" s="385"/>
      <c r="FN5" s="385"/>
      <c r="FO5" s="385"/>
      <c r="FP5" s="385"/>
      <c r="FQ5" s="385"/>
      <c r="FR5" s="385"/>
      <c r="FS5" s="385"/>
      <c r="FT5" s="385"/>
      <c r="FU5" s="385"/>
      <c r="FV5" s="385"/>
      <c r="FW5" s="385"/>
      <c r="FX5" s="385"/>
      <c r="FY5" s="385"/>
      <c r="FZ5" s="385"/>
      <c r="GA5" s="385"/>
      <c r="GB5" s="385"/>
      <c r="GC5" s="385"/>
      <c r="GD5" s="385"/>
      <c r="GE5" s="385"/>
      <c r="GF5" s="385"/>
      <c r="GG5" s="385"/>
      <c r="GH5" s="385"/>
      <c r="GI5" s="385"/>
      <c r="GJ5" s="385"/>
      <c r="GK5" s="385"/>
      <c r="GL5" s="385"/>
      <c r="GM5" s="385"/>
      <c r="GN5" s="385"/>
      <c r="GO5" s="385"/>
      <c r="GP5" s="385"/>
      <c r="GQ5" s="385"/>
      <c r="GR5" s="385"/>
      <c r="GS5" s="385"/>
      <c r="GT5" s="385"/>
      <c r="GU5" s="385"/>
      <c r="GV5" s="385"/>
      <c r="GW5" s="385"/>
      <c r="GX5" s="385"/>
      <c r="GY5" s="385"/>
      <c r="GZ5" s="385"/>
      <c r="HA5" s="385"/>
      <c r="HB5" s="385"/>
      <c r="HC5" s="385"/>
      <c r="HD5" s="385"/>
      <c r="HE5" s="385"/>
      <c r="HF5" s="385"/>
      <c r="HG5" s="385"/>
      <c r="HH5" s="385"/>
      <c r="HI5" s="385"/>
      <c r="HJ5" s="385"/>
      <c r="HK5" s="385"/>
      <c r="HL5" s="385"/>
      <c r="HM5" s="385"/>
      <c r="HN5" s="385"/>
      <c r="HO5" s="385"/>
      <c r="HP5" s="385"/>
      <c r="HQ5" s="385"/>
      <c r="HR5" s="385"/>
      <c r="HS5" s="385"/>
      <c r="HT5" s="385"/>
      <c r="HU5" s="385"/>
      <c r="HV5" s="385"/>
      <c r="HW5" s="385"/>
      <c r="HX5" s="385"/>
      <c r="HY5" s="385"/>
      <c r="HZ5" s="385"/>
      <c r="IA5" s="385"/>
      <c r="IB5" s="385"/>
      <c r="IC5" s="385"/>
      <c r="ID5" s="385"/>
      <c r="IE5" s="385"/>
      <c r="IF5" s="385"/>
      <c r="IG5" s="385"/>
      <c r="IH5" s="385"/>
      <c r="II5" s="385"/>
      <c r="IJ5" s="385"/>
      <c r="IK5" s="385"/>
      <c r="IL5" s="385"/>
      <c r="IM5" s="385"/>
      <c r="IN5" s="385"/>
      <c r="IO5" s="385"/>
      <c r="IP5" s="385"/>
      <c r="IQ5" s="385"/>
      <c r="IR5" s="385"/>
      <c r="IS5" s="385"/>
      <c r="IT5" s="385"/>
      <c r="IU5" s="385"/>
      <c r="IV5" s="385"/>
      <c r="IW5" s="385"/>
    </row>
    <row r="6" spans="1:257" x14ac:dyDescent="0.15">
      <c r="A6" s="386"/>
      <c r="B6" s="387"/>
      <c r="C6" s="387"/>
      <c r="D6" s="387"/>
      <c r="E6" s="387"/>
      <c r="F6" s="387"/>
      <c r="G6" s="387"/>
      <c r="H6" s="387"/>
      <c r="I6" s="387"/>
      <c r="J6" s="387"/>
      <c r="K6" s="387"/>
      <c r="L6" s="387"/>
      <c r="M6" s="387"/>
      <c r="N6" s="387"/>
      <c r="O6" s="387"/>
      <c r="P6" s="387"/>
      <c r="Q6" s="387"/>
      <c r="R6" s="387"/>
      <c r="S6" s="387"/>
      <c r="T6" s="387"/>
      <c r="U6" s="387"/>
      <c r="V6" s="387"/>
      <c r="W6" s="387"/>
      <c r="X6" s="387"/>
      <c r="Y6" s="387"/>
      <c r="Z6" s="387"/>
      <c r="AA6" s="387"/>
      <c r="AB6" s="387"/>
      <c r="AC6" s="387"/>
      <c r="AD6" s="387"/>
      <c r="AE6" s="387"/>
      <c r="AF6" s="387"/>
      <c r="AG6" s="387"/>
      <c r="AH6" s="387"/>
      <c r="AI6" s="387"/>
      <c r="AJ6" s="387"/>
      <c r="AK6" s="387"/>
      <c r="AL6" s="387"/>
      <c r="AM6" s="387"/>
      <c r="AN6" s="387"/>
      <c r="AO6" s="387"/>
      <c r="AP6" s="387"/>
      <c r="AQ6" s="387"/>
      <c r="AR6" s="387"/>
      <c r="AS6" s="387"/>
      <c r="AT6" s="387"/>
      <c r="AU6" s="387"/>
      <c r="AV6" s="387"/>
      <c r="AW6" s="387"/>
      <c r="AX6" s="387"/>
      <c r="AY6" s="387"/>
      <c r="AZ6" s="387"/>
      <c r="BA6" s="387"/>
      <c r="BB6" s="387"/>
      <c r="BC6" s="387"/>
      <c r="BD6" s="387"/>
      <c r="BE6" s="387"/>
      <c r="BF6" s="387"/>
      <c r="BG6" s="387"/>
      <c r="BH6" s="387"/>
      <c r="BI6" s="387"/>
      <c r="BJ6" s="387"/>
      <c r="BK6" s="387"/>
      <c r="BL6" s="387"/>
      <c r="BM6" s="387"/>
      <c r="BN6" s="387"/>
      <c r="BO6" s="387"/>
      <c r="BP6" s="387"/>
      <c r="BQ6" s="387"/>
      <c r="BR6" s="387"/>
      <c r="BS6" s="387"/>
      <c r="BT6" s="387"/>
      <c r="BU6" s="387"/>
      <c r="BV6" s="387"/>
      <c r="BW6" s="387"/>
      <c r="BX6" s="387"/>
      <c r="BY6" s="387"/>
      <c r="BZ6" s="387"/>
      <c r="CA6" s="387"/>
      <c r="CB6" s="387"/>
      <c r="CC6" s="387"/>
      <c r="CD6" s="387"/>
      <c r="CE6" s="387"/>
      <c r="CF6" s="387"/>
      <c r="CG6" s="387"/>
      <c r="CH6" s="387"/>
      <c r="CI6" s="387"/>
      <c r="CJ6" s="387"/>
      <c r="CK6" s="387"/>
      <c r="CL6" s="387"/>
      <c r="CM6" s="387"/>
      <c r="CN6" s="387"/>
      <c r="CO6" s="387"/>
      <c r="CP6" s="387"/>
      <c r="CQ6" s="387"/>
      <c r="CR6" s="387"/>
      <c r="CS6" s="387"/>
      <c r="CT6" s="387"/>
      <c r="CU6" s="387"/>
      <c r="CV6" s="387"/>
      <c r="CW6" s="387"/>
      <c r="CX6" s="387"/>
      <c r="CY6" s="387"/>
      <c r="CZ6" s="387"/>
      <c r="DA6" s="387"/>
      <c r="DB6" s="387"/>
      <c r="DC6" s="387"/>
      <c r="DD6" s="387"/>
      <c r="DE6" s="387"/>
      <c r="DF6" s="387"/>
      <c r="DG6" s="387"/>
      <c r="DH6" s="387"/>
      <c r="DI6" s="387"/>
      <c r="DJ6" s="387"/>
      <c r="DK6" s="387"/>
      <c r="DL6" s="387"/>
      <c r="DM6" s="387"/>
      <c r="DN6" s="387"/>
      <c r="DO6" s="387"/>
      <c r="DP6" s="387"/>
      <c r="DQ6" s="387"/>
      <c r="DR6" s="387"/>
      <c r="DS6" s="387"/>
      <c r="DT6" s="387"/>
      <c r="DU6" s="387"/>
      <c r="DV6" s="387"/>
      <c r="DW6" s="387"/>
      <c r="DX6" s="387"/>
      <c r="DY6" s="387"/>
      <c r="DZ6" s="387"/>
      <c r="EA6" s="387"/>
      <c r="EB6" s="387"/>
      <c r="EC6" s="387"/>
      <c r="ED6" s="387"/>
      <c r="EE6" s="387"/>
      <c r="EF6" s="387"/>
      <c r="EG6" s="387"/>
      <c r="EH6" s="387"/>
      <c r="EI6" s="387"/>
      <c r="EJ6" s="387"/>
      <c r="EK6" s="387"/>
      <c r="EL6" s="387"/>
      <c r="EM6" s="387"/>
      <c r="EN6" s="387"/>
      <c r="EO6" s="387"/>
      <c r="EP6" s="387"/>
      <c r="EQ6" s="387"/>
      <c r="ER6" s="387"/>
      <c r="ES6" s="387"/>
      <c r="ET6" s="387"/>
      <c r="EU6" s="387"/>
      <c r="EV6" s="387"/>
      <c r="EW6" s="387"/>
      <c r="EX6" s="387"/>
      <c r="EY6" s="387"/>
      <c r="EZ6" s="387"/>
      <c r="FA6" s="387"/>
      <c r="FB6" s="387"/>
      <c r="FC6" s="387"/>
      <c r="FD6" s="387"/>
      <c r="FE6" s="387"/>
      <c r="FF6" s="387"/>
      <c r="FG6" s="387"/>
      <c r="FH6" s="387"/>
      <c r="FI6" s="387"/>
      <c r="FJ6" s="387"/>
      <c r="FK6" s="387"/>
      <c r="FL6" s="387"/>
      <c r="FM6" s="387"/>
      <c r="FN6" s="387"/>
      <c r="FO6" s="387"/>
      <c r="FP6" s="387"/>
      <c r="FQ6" s="387"/>
      <c r="FR6" s="387"/>
      <c r="FS6" s="387"/>
      <c r="FT6" s="387"/>
      <c r="FU6" s="387"/>
      <c r="FV6" s="387"/>
      <c r="FW6" s="387"/>
      <c r="FX6" s="387"/>
      <c r="FY6" s="387"/>
      <c r="FZ6" s="387"/>
      <c r="GA6" s="387"/>
      <c r="GB6" s="387"/>
      <c r="GC6" s="387"/>
      <c r="GD6" s="387"/>
      <c r="GE6" s="387"/>
      <c r="GF6" s="387"/>
      <c r="GG6" s="387"/>
      <c r="GH6" s="387"/>
      <c r="GI6" s="387"/>
      <c r="GJ6" s="387"/>
      <c r="GK6" s="387"/>
      <c r="GL6" s="387"/>
      <c r="GM6" s="387"/>
      <c r="GN6" s="387"/>
      <c r="GO6" s="387"/>
      <c r="GP6" s="387"/>
      <c r="GQ6" s="387"/>
      <c r="GR6" s="387"/>
      <c r="GS6" s="387"/>
      <c r="GT6" s="387"/>
      <c r="GU6" s="387"/>
      <c r="GV6" s="387"/>
      <c r="GW6" s="387"/>
      <c r="GX6" s="387"/>
      <c r="GY6" s="387"/>
      <c r="GZ6" s="387"/>
      <c r="HA6" s="387"/>
      <c r="HB6" s="387"/>
      <c r="HC6" s="387"/>
      <c r="HD6" s="387"/>
      <c r="HE6" s="387"/>
      <c r="HF6" s="387"/>
      <c r="HG6" s="387"/>
      <c r="HH6" s="387"/>
      <c r="HI6" s="387"/>
      <c r="HJ6" s="387"/>
      <c r="HK6" s="387"/>
      <c r="HL6" s="387"/>
      <c r="HM6" s="387"/>
      <c r="HN6" s="387"/>
      <c r="HO6" s="387"/>
      <c r="HP6" s="387"/>
      <c r="HQ6" s="387"/>
      <c r="HR6" s="387"/>
      <c r="HS6" s="387"/>
      <c r="HT6" s="387"/>
      <c r="HU6" s="387"/>
      <c r="HV6" s="387"/>
      <c r="HW6" s="387"/>
      <c r="HX6" s="387"/>
      <c r="HY6" s="387"/>
      <c r="HZ6" s="387"/>
      <c r="IA6" s="387"/>
      <c r="IB6" s="387"/>
      <c r="IC6" s="387"/>
      <c r="ID6" s="387"/>
      <c r="IE6" s="387"/>
      <c r="IF6" s="387"/>
      <c r="IG6" s="387"/>
      <c r="IH6" s="387"/>
      <c r="II6" s="387"/>
      <c r="IJ6" s="387"/>
      <c r="IK6" s="387"/>
      <c r="IL6" s="387"/>
      <c r="IM6" s="387"/>
      <c r="IN6" s="387"/>
      <c r="IO6" s="387"/>
      <c r="IP6" s="387"/>
      <c r="IQ6" s="387"/>
      <c r="IR6" s="387"/>
      <c r="IS6" s="387"/>
      <c r="IT6" s="387"/>
      <c r="IU6" s="387"/>
      <c r="IV6" s="387"/>
      <c r="IW6" s="387"/>
    </row>
    <row r="7" spans="1:257" x14ac:dyDescent="0.15">
      <c r="A7" s="386" t="s">
        <v>3</v>
      </c>
      <c r="B7" s="388" t="s">
        <v>4</v>
      </c>
      <c r="C7" s="387"/>
      <c r="D7" s="387"/>
      <c r="E7" s="387"/>
      <c r="F7" s="387"/>
      <c r="G7" s="387"/>
      <c r="H7" s="387"/>
      <c r="I7" s="387"/>
      <c r="J7" s="387"/>
      <c r="K7" s="387"/>
      <c r="L7" s="387"/>
      <c r="M7" s="387"/>
      <c r="N7" s="387"/>
      <c r="O7" s="387"/>
      <c r="P7" s="387"/>
      <c r="Q7" s="387"/>
      <c r="R7" s="387"/>
      <c r="S7" s="387"/>
      <c r="T7" s="387"/>
      <c r="U7" s="387"/>
      <c r="V7" s="387"/>
      <c r="W7" s="387"/>
      <c r="X7" s="387"/>
      <c r="Y7" s="387"/>
      <c r="Z7" s="387"/>
      <c r="AA7" s="387"/>
      <c r="AB7" s="387"/>
      <c r="AC7" s="387"/>
      <c r="AD7" s="387"/>
      <c r="AE7" s="387"/>
      <c r="AF7" s="387"/>
      <c r="AG7" s="387"/>
      <c r="AH7" s="387"/>
      <c r="AI7" s="387"/>
      <c r="AJ7" s="387"/>
      <c r="AK7" s="387"/>
      <c r="AL7" s="387"/>
      <c r="AM7" s="387"/>
      <c r="AN7" s="387"/>
      <c r="AO7" s="387"/>
      <c r="AP7" s="387"/>
      <c r="AQ7" s="387"/>
      <c r="AR7" s="387"/>
      <c r="AS7" s="387"/>
      <c r="AT7" s="387"/>
      <c r="AU7" s="387"/>
      <c r="AV7" s="387"/>
      <c r="AW7" s="387"/>
      <c r="AX7" s="387"/>
      <c r="AY7" s="387"/>
      <c r="AZ7" s="387"/>
      <c r="BA7" s="387"/>
      <c r="BB7" s="387"/>
      <c r="BC7" s="387"/>
      <c r="BD7" s="387"/>
      <c r="BE7" s="387"/>
      <c r="BF7" s="387"/>
      <c r="BG7" s="387"/>
      <c r="BH7" s="387"/>
      <c r="BI7" s="387"/>
      <c r="BJ7" s="387"/>
      <c r="BK7" s="387"/>
      <c r="BL7" s="387"/>
      <c r="BM7" s="387"/>
      <c r="BN7" s="387"/>
      <c r="BO7" s="387"/>
      <c r="BP7" s="387"/>
      <c r="BQ7" s="387"/>
      <c r="BR7" s="387"/>
      <c r="BS7" s="387"/>
      <c r="BT7" s="387"/>
      <c r="BU7" s="387"/>
      <c r="BV7" s="387"/>
      <c r="BW7" s="387"/>
      <c r="BX7" s="387"/>
      <c r="BY7" s="387"/>
      <c r="BZ7" s="387"/>
      <c r="CA7" s="387"/>
      <c r="CB7" s="387"/>
      <c r="CC7" s="387"/>
      <c r="CD7" s="387"/>
      <c r="CE7" s="387"/>
      <c r="CF7" s="387"/>
      <c r="CG7" s="387"/>
      <c r="CH7" s="387"/>
      <c r="CI7" s="387"/>
      <c r="CJ7" s="387"/>
      <c r="CK7" s="387"/>
      <c r="CL7" s="387"/>
      <c r="CM7" s="387"/>
      <c r="CN7" s="387"/>
      <c r="CO7" s="387"/>
      <c r="CP7" s="387"/>
      <c r="CQ7" s="387"/>
      <c r="CR7" s="387"/>
      <c r="CS7" s="387"/>
      <c r="CT7" s="387"/>
      <c r="CU7" s="387"/>
      <c r="CV7" s="387"/>
      <c r="CW7" s="387"/>
      <c r="CX7" s="387"/>
      <c r="CY7" s="387"/>
      <c r="CZ7" s="387"/>
      <c r="DA7" s="387"/>
      <c r="DB7" s="387"/>
      <c r="DC7" s="387"/>
      <c r="DD7" s="387"/>
      <c r="DE7" s="387"/>
      <c r="DF7" s="387"/>
      <c r="DG7" s="387"/>
      <c r="DH7" s="387"/>
      <c r="DI7" s="387"/>
      <c r="DJ7" s="387"/>
      <c r="DK7" s="387"/>
      <c r="DL7" s="387"/>
      <c r="DM7" s="387"/>
      <c r="DN7" s="387"/>
      <c r="DO7" s="387"/>
      <c r="DP7" s="387"/>
      <c r="DQ7" s="387"/>
      <c r="DR7" s="387"/>
      <c r="DS7" s="387"/>
      <c r="DT7" s="387"/>
      <c r="DU7" s="387"/>
      <c r="DV7" s="387"/>
      <c r="DW7" s="387"/>
      <c r="DX7" s="387"/>
      <c r="DY7" s="387"/>
      <c r="DZ7" s="387"/>
      <c r="EA7" s="387"/>
      <c r="EB7" s="387"/>
      <c r="EC7" s="387"/>
      <c r="ED7" s="387"/>
      <c r="EE7" s="387"/>
      <c r="EF7" s="387"/>
      <c r="EG7" s="387"/>
      <c r="EH7" s="387"/>
      <c r="EI7" s="387"/>
      <c r="EJ7" s="387"/>
      <c r="EK7" s="387"/>
      <c r="EL7" s="387"/>
      <c r="EM7" s="387"/>
      <c r="EN7" s="387"/>
      <c r="EO7" s="387"/>
      <c r="EP7" s="387"/>
      <c r="EQ7" s="387"/>
      <c r="ER7" s="387"/>
      <c r="ES7" s="387"/>
      <c r="ET7" s="387"/>
      <c r="EU7" s="387"/>
      <c r="EV7" s="387"/>
      <c r="EW7" s="387"/>
      <c r="EX7" s="387"/>
      <c r="EY7" s="387"/>
      <c r="EZ7" s="387"/>
      <c r="FA7" s="387"/>
      <c r="FB7" s="387"/>
      <c r="FC7" s="387"/>
      <c r="FD7" s="387"/>
      <c r="FE7" s="387"/>
      <c r="FF7" s="387"/>
      <c r="FG7" s="387"/>
      <c r="FH7" s="387"/>
      <c r="FI7" s="387"/>
      <c r="FJ7" s="387"/>
      <c r="FK7" s="387"/>
      <c r="FL7" s="387"/>
      <c r="FM7" s="387"/>
      <c r="FN7" s="387"/>
      <c r="FO7" s="387"/>
      <c r="FP7" s="387"/>
      <c r="FQ7" s="387"/>
      <c r="FR7" s="387"/>
      <c r="FS7" s="387"/>
      <c r="FT7" s="387"/>
      <c r="FU7" s="387"/>
      <c r="FV7" s="387"/>
      <c r="FW7" s="387"/>
      <c r="FX7" s="387"/>
      <c r="FY7" s="387"/>
      <c r="FZ7" s="387"/>
      <c r="GA7" s="387"/>
      <c r="GB7" s="387"/>
      <c r="GC7" s="387"/>
      <c r="GD7" s="387"/>
      <c r="GE7" s="387"/>
      <c r="GF7" s="387"/>
      <c r="GG7" s="387"/>
      <c r="GH7" s="387"/>
      <c r="GI7" s="387"/>
      <c r="GJ7" s="387"/>
      <c r="GK7" s="387"/>
      <c r="GL7" s="387"/>
      <c r="GM7" s="387"/>
      <c r="GN7" s="387"/>
      <c r="GO7" s="387"/>
      <c r="GP7" s="387"/>
      <c r="GQ7" s="387"/>
      <c r="GR7" s="387"/>
      <c r="GS7" s="387"/>
      <c r="GT7" s="387"/>
      <c r="GU7" s="387"/>
      <c r="GV7" s="387"/>
      <c r="GW7" s="387"/>
      <c r="GX7" s="387"/>
      <c r="GY7" s="387"/>
      <c r="GZ7" s="387"/>
      <c r="HA7" s="387"/>
      <c r="HB7" s="387"/>
      <c r="HC7" s="387"/>
      <c r="HD7" s="387"/>
      <c r="HE7" s="387"/>
      <c r="HF7" s="387"/>
      <c r="HG7" s="387"/>
      <c r="HH7" s="387"/>
      <c r="HI7" s="387"/>
      <c r="HJ7" s="387"/>
      <c r="HK7" s="387"/>
      <c r="HL7" s="387"/>
      <c r="HM7" s="387"/>
      <c r="HN7" s="387"/>
      <c r="HO7" s="387"/>
      <c r="HP7" s="387"/>
      <c r="HQ7" s="387"/>
      <c r="HR7" s="387"/>
      <c r="HS7" s="387"/>
      <c r="HT7" s="387"/>
      <c r="HU7" s="387"/>
      <c r="HV7" s="387"/>
      <c r="HW7" s="387"/>
      <c r="HX7" s="387"/>
      <c r="HY7" s="387"/>
      <c r="HZ7" s="387"/>
      <c r="IA7" s="387"/>
      <c r="IB7" s="387"/>
      <c r="IC7" s="387"/>
      <c r="ID7" s="387"/>
      <c r="IE7" s="387"/>
      <c r="IF7" s="387"/>
      <c r="IG7" s="387"/>
      <c r="IH7" s="387"/>
      <c r="II7" s="387"/>
      <c r="IJ7" s="387"/>
      <c r="IK7" s="387"/>
      <c r="IL7" s="387"/>
      <c r="IM7" s="387"/>
      <c r="IN7" s="387"/>
      <c r="IO7" s="387"/>
      <c r="IP7" s="387"/>
      <c r="IQ7" s="387"/>
      <c r="IR7" s="387"/>
      <c r="IS7" s="387"/>
      <c r="IT7" s="387"/>
      <c r="IU7" s="387"/>
      <c r="IV7" s="387"/>
      <c r="IW7" s="387"/>
    </row>
    <row r="8" spans="1:257" x14ac:dyDescent="0.15">
      <c r="A8" s="386"/>
      <c r="B8" s="387"/>
      <c r="C8" s="387"/>
      <c r="D8" s="387"/>
      <c r="E8" s="387"/>
      <c r="F8" s="387"/>
      <c r="G8" s="387"/>
      <c r="H8" s="387"/>
      <c r="I8" s="387"/>
      <c r="J8" s="387"/>
      <c r="K8" s="387"/>
      <c r="L8" s="387"/>
      <c r="M8" s="387"/>
      <c r="N8" s="387"/>
      <c r="O8" s="387"/>
      <c r="P8" s="387"/>
      <c r="Q8" s="387"/>
      <c r="R8" s="387"/>
      <c r="S8" s="387"/>
      <c r="T8" s="387"/>
      <c r="U8" s="387"/>
      <c r="V8" s="387"/>
      <c r="W8" s="387"/>
      <c r="X8" s="387"/>
      <c r="Y8" s="387"/>
      <c r="Z8" s="387"/>
      <c r="AA8" s="387"/>
      <c r="AB8" s="387"/>
      <c r="AC8" s="387"/>
      <c r="AD8" s="387"/>
      <c r="AE8" s="387"/>
      <c r="AF8" s="387"/>
      <c r="AG8" s="387"/>
      <c r="AH8" s="387"/>
      <c r="AI8" s="387"/>
      <c r="AJ8" s="387"/>
      <c r="AK8" s="387"/>
      <c r="AL8" s="387"/>
      <c r="AM8" s="387"/>
      <c r="AN8" s="387"/>
      <c r="AO8" s="387"/>
      <c r="AP8" s="387"/>
      <c r="AQ8" s="387"/>
      <c r="AR8" s="387"/>
      <c r="AS8" s="387"/>
      <c r="AT8" s="387"/>
      <c r="AU8" s="387"/>
      <c r="AV8" s="387"/>
      <c r="AW8" s="387"/>
      <c r="AX8" s="387"/>
      <c r="AY8" s="387"/>
      <c r="AZ8" s="387"/>
      <c r="BA8" s="387"/>
      <c r="BB8" s="387"/>
      <c r="BC8" s="387"/>
      <c r="BD8" s="387"/>
      <c r="BE8" s="387"/>
      <c r="BF8" s="387"/>
      <c r="BG8" s="387"/>
      <c r="BH8" s="387"/>
      <c r="BI8" s="387"/>
      <c r="BJ8" s="387"/>
      <c r="BK8" s="387"/>
      <c r="BL8" s="387"/>
      <c r="BM8" s="387"/>
      <c r="BN8" s="387"/>
      <c r="BO8" s="387"/>
      <c r="BP8" s="387"/>
      <c r="BQ8" s="387"/>
      <c r="BR8" s="387"/>
      <c r="BS8" s="387"/>
      <c r="BT8" s="387"/>
      <c r="BU8" s="387"/>
      <c r="BV8" s="387"/>
      <c r="BW8" s="387"/>
      <c r="BX8" s="387"/>
      <c r="BY8" s="387"/>
      <c r="BZ8" s="387"/>
      <c r="CA8" s="387"/>
      <c r="CB8" s="387"/>
      <c r="CC8" s="387"/>
      <c r="CD8" s="387"/>
      <c r="CE8" s="387"/>
      <c r="CF8" s="387"/>
      <c r="CG8" s="387"/>
      <c r="CH8" s="387"/>
      <c r="CI8" s="387"/>
      <c r="CJ8" s="387"/>
      <c r="CK8" s="387"/>
      <c r="CL8" s="387"/>
      <c r="CM8" s="387"/>
      <c r="CN8" s="387"/>
      <c r="CO8" s="387"/>
      <c r="CP8" s="387"/>
      <c r="CQ8" s="387"/>
      <c r="CR8" s="387"/>
      <c r="CS8" s="387"/>
      <c r="CT8" s="387"/>
      <c r="CU8" s="387"/>
      <c r="CV8" s="387"/>
      <c r="CW8" s="387"/>
      <c r="CX8" s="387"/>
      <c r="CY8" s="387"/>
      <c r="CZ8" s="387"/>
      <c r="DA8" s="387"/>
      <c r="DB8" s="387"/>
      <c r="DC8" s="387"/>
      <c r="DD8" s="387"/>
      <c r="DE8" s="387"/>
      <c r="DF8" s="387"/>
      <c r="DG8" s="387"/>
      <c r="DH8" s="387"/>
      <c r="DI8" s="387"/>
      <c r="DJ8" s="387"/>
      <c r="DK8" s="387"/>
      <c r="DL8" s="387"/>
      <c r="DM8" s="387"/>
      <c r="DN8" s="387"/>
      <c r="DO8" s="387"/>
      <c r="DP8" s="387"/>
      <c r="DQ8" s="387"/>
      <c r="DR8" s="387"/>
      <c r="DS8" s="387"/>
      <c r="DT8" s="387"/>
      <c r="DU8" s="387"/>
      <c r="DV8" s="387"/>
      <c r="DW8" s="387"/>
      <c r="DX8" s="387"/>
      <c r="DY8" s="387"/>
      <c r="DZ8" s="387"/>
      <c r="EA8" s="387"/>
      <c r="EB8" s="387"/>
      <c r="EC8" s="387"/>
      <c r="ED8" s="387"/>
      <c r="EE8" s="387"/>
      <c r="EF8" s="387"/>
      <c r="EG8" s="387"/>
      <c r="EH8" s="387"/>
      <c r="EI8" s="387"/>
      <c r="EJ8" s="387"/>
      <c r="EK8" s="387"/>
      <c r="EL8" s="387"/>
      <c r="EM8" s="387"/>
      <c r="EN8" s="387"/>
      <c r="EO8" s="387"/>
      <c r="EP8" s="387"/>
      <c r="EQ8" s="387"/>
      <c r="ER8" s="387"/>
      <c r="ES8" s="387"/>
      <c r="ET8" s="387"/>
      <c r="EU8" s="387"/>
      <c r="EV8" s="387"/>
      <c r="EW8" s="387"/>
      <c r="EX8" s="387"/>
      <c r="EY8" s="387"/>
      <c r="EZ8" s="387"/>
      <c r="FA8" s="387"/>
      <c r="FB8" s="387"/>
      <c r="FC8" s="387"/>
      <c r="FD8" s="387"/>
      <c r="FE8" s="387"/>
      <c r="FF8" s="387"/>
      <c r="FG8" s="387"/>
      <c r="FH8" s="387"/>
      <c r="FI8" s="387"/>
      <c r="FJ8" s="387"/>
      <c r="FK8" s="387"/>
      <c r="FL8" s="387"/>
      <c r="FM8" s="387"/>
      <c r="FN8" s="387"/>
      <c r="FO8" s="387"/>
      <c r="FP8" s="387"/>
      <c r="FQ8" s="387"/>
      <c r="FR8" s="387"/>
      <c r="FS8" s="387"/>
      <c r="FT8" s="387"/>
      <c r="FU8" s="387"/>
      <c r="FV8" s="387"/>
      <c r="FW8" s="387"/>
      <c r="FX8" s="387"/>
      <c r="FY8" s="387"/>
      <c r="FZ8" s="387"/>
      <c r="GA8" s="387"/>
      <c r="GB8" s="387"/>
      <c r="GC8" s="387"/>
      <c r="GD8" s="387"/>
      <c r="GE8" s="387"/>
      <c r="GF8" s="387"/>
      <c r="GG8" s="387"/>
      <c r="GH8" s="387"/>
      <c r="GI8" s="387"/>
      <c r="GJ8" s="387"/>
      <c r="GK8" s="387"/>
      <c r="GL8" s="387"/>
      <c r="GM8" s="387"/>
      <c r="GN8" s="387"/>
      <c r="GO8" s="387"/>
      <c r="GP8" s="387"/>
      <c r="GQ8" s="387"/>
      <c r="GR8" s="387"/>
      <c r="GS8" s="387"/>
      <c r="GT8" s="387"/>
      <c r="GU8" s="387"/>
      <c r="GV8" s="387"/>
      <c r="GW8" s="387"/>
      <c r="GX8" s="387"/>
      <c r="GY8" s="387"/>
      <c r="GZ8" s="387"/>
      <c r="HA8" s="387"/>
      <c r="HB8" s="387"/>
      <c r="HC8" s="387"/>
      <c r="HD8" s="387"/>
      <c r="HE8" s="387"/>
      <c r="HF8" s="387"/>
      <c r="HG8" s="387"/>
      <c r="HH8" s="387"/>
      <c r="HI8" s="387"/>
      <c r="HJ8" s="387"/>
      <c r="HK8" s="387"/>
      <c r="HL8" s="387"/>
      <c r="HM8" s="387"/>
      <c r="HN8" s="387"/>
      <c r="HO8" s="387"/>
      <c r="HP8" s="387"/>
      <c r="HQ8" s="387"/>
      <c r="HR8" s="387"/>
      <c r="HS8" s="387"/>
      <c r="HT8" s="387"/>
      <c r="HU8" s="387"/>
      <c r="HV8" s="387"/>
      <c r="HW8" s="387"/>
      <c r="HX8" s="387"/>
      <c r="HY8" s="387"/>
      <c r="HZ8" s="387"/>
      <c r="IA8" s="387"/>
      <c r="IB8" s="387"/>
      <c r="IC8" s="387"/>
      <c r="ID8" s="387"/>
      <c r="IE8" s="387"/>
      <c r="IF8" s="387"/>
      <c r="IG8" s="387"/>
      <c r="IH8" s="387"/>
      <c r="II8" s="387"/>
      <c r="IJ8" s="387"/>
      <c r="IK8" s="387"/>
      <c r="IL8" s="387"/>
      <c r="IM8" s="387"/>
      <c r="IN8" s="387"/>
      <c r="IO8" s="387"/>
      <c r="IP8" s="387"/>
      <c r="IQ8" s="387"/>
      <c r="IR8" s="387"/>
      <c r="IS8" s="387"/>
      <c r="IT8" s="387"/>
      <c r="IU8" s="387"/>
      <c r="IV8" s="387"/>
      <c r="IW8" s="387"/>
    </row>
    <row r="9" spans="1:257" ht="15.6" customHeight="1" x14ac:dyDescent="0.15">
      <c r="A9" s="386" t="s">
        <v>5</v>
      </c>
      <c r="B9" s="389" t="s">
        <v>6</v>
      </c>
      <c r="C9" s="388"/>
      <c r="D9" s="388"/>
      <c r="E9" s="388"/>
      <c r="F9" s="388"/>
      <c r="G9" s="388"/>
      <c r="H9" s="388"/>
      <c r="I9" s="388"/>
      <c r="J9" s="388"/>
      <c r="K9" s="388"/>
      <c r="L9" s="388"/>
      <c r="M9" s="388"/>
      <c r="N9" s="388"/>
      <c r="O9" s="388"/>
      <c r="P9" s="388"/>
      <c r="Q9" s="388"/>
      <c r="R9" s="388"/>
      <c r="S9" s="388"/>
      <c r="T9" s="388"/>
      <c r="U9" s="388"/>
      <c r="V9" s="388"/>
      <c r="W9" s="388"/>
      <c r="X9" s="388"/>
      <c r="Y9" s="388"/>
      <c r="Z9" s="388"/>
      <c r="AA9" s="388"/>
      <c r="AB9" s="388"/>
      <c r="AC9" s="388"/>
      <c r="AD9" s="388"/>
      <c r="AE9" s="388"/>
      <c r="AF9" s="388"/>
      <c r="AG9" s="388"/>
      <c r="AH9" s="388"/>
      <c r="AI9" s="388"/>
      <c r="AJ9" s="388"/>
      <c r="AK9" s="388"/>
      <c r="AL9" s="388"/>
      <c r="AM9" s="388"/>
      <c r="AN9" s="388"/>
      <c r="AO9" s="388"/>
      <c r="AP9" s="388"/>
      <c r="AQ9" s="388"/>
      <c r="AR9" s="388"/>
      <c r="AS9" s="388"/>
      <c r="AT9" s="388"/>
      <c r="AU9" s="388"/>
      <c r="AV9" s="388"/>
      <c r="AW9" s="388"/>
      <c r="AX9" s="388"/>
      <c r="AY9" s="388"/>
      <c r="AZ9" s="388"/>
      <c r="BA9" s="388"/>
      <c r="BB9" s="388"/>
      <c r="BC9" s="388"/>
      <c r="BD9" s="388"/>
      <c r="BE9" s="388"/>
      <c r="BF9" s="388"/>
      <c r="BG9" s="388"/>
      <c r="BH9" s="388"/>
      <c r="BI9" s="388"/>
      <c r="BJ9" s="388"/>
      <c r="BK9" s="388"/>
      <c r="BL9" s="388"/>
      <c r="BM9" s="388"/>
      <c r="BN9" s="388"/>
      <c r="BO9" s="388"/>
      <c r="BP9" s="388"/>
      <c r="BQ9" s="388"/>
      <c r="BR9" s="388"/>
      <c r="BS9" s="388"/>
      <c r="BT9" s="388"/>
      <c r="BU9" s="388"/>
      <c r="BV9" s="388"/>
      <c r="BW9" s="388"/>
      <c r="BX9" s="388"/>
      <c r="BY9" s="388"/>
      <c r="BZ9" s="388"/>
      <c r="CA9" s="388"/>
      <c r="CB9" s="388"/>
      <c r="CC9" s="388"/>
      <c r="CD9" s="388"/>
      <c r="CE9" s="388"/>
      <c r="CF9" s="388"/>
      <c r="CG9" s="388"/>
      <c r="CH9" s="388"/>
      <c r="CI9" s="388"/>
      <c r="CJ9" s="388"/>
      <c r="CK9" s="388"/>
      <c r="CL9" s="388"/>
      <c r="CM9" s="388"/>
      <c r="CN9" s="388"/>
      <c r="CO9" s="388"/>
      <c r="CP9" s="388"/>
      <c r="CQ9" s="388"/>
      <c r="CR9" s="388"/>
      <c r="CS9" s="388"/>
      <c r="CT9" s="388"/>
      <c r="CU9" s="388"/>
      <c r="CV9" s="388"/>
      <c r="CW9" s="388"/>
      <c r="CX9" s="388"/>
      <c r="CY9" s="388"/>
      <c r="CZ9" s="388"/>
      <c r="DA9" s="388"/>
      <c r="DB9" s="388"/>
      <c r="DC9" s="388"/>
      <c r="DD9" s="388"/>
      <c r="DE9" s="388"/>
      <c r="DF9" s="388"/>
      <c r="DG9" s="388"/>
      <c r="DH9" s="388"/>
      <c r="DI9" s="388"/>
      <c r="DJ9" s="388"/>
      <c r="DK9" s="388"/>
      <c r="DL9" s="388"/>
      <c r="DM9" s="388"/>
      <c r="DN9" s="388"/>
      <c r="DO9" s="388"/>
      <c r="DP9" s="388"/>
      <c r="DQ9" s="388"/>
      <c r="DR9" s="388"/>
      <c r="DS9" s="388"/>
      <c r="DT9" s="388"/>
      <c r="DU9" s="388"/>
      <c r="DV9" s="388"/>
      <c r="DW9" s="388"/>
      <c r="DX9" s="388"/>
      <c r="DY9" s="388"/>
      <c r="DZ9" s="388"/>
      <c r="EA9" s="388"/>
      <c r="EB9" s="388"/>
      <c r="EC9" s="388"/>
      <c r="ED9" s="388"/>
      <c r="EE9" s="388"/>
      <c r="EF9" s="388"/>
      <c r="EG9" s="388"/>
      <c r="EH9" s="388"/>
      <c r="EI9" s="388"/>
      <c r="EJ9" s="388"/>
      <c r="EK9" s="388"/>
      <c r="EL9" s="388"/>
      <c r="EM9" s="388"/>
      <c r="EN9" s="388"/>
      <c r="EO9" s="388"/>
      <c r="EP9" s="388"/>
      <c r="EQ9" s="388"/>
      <c r="ER9" s="388"/>
      <c r="ES9" s="388"/>
      <c r="ET9" s="388"/>
      <c r="EU9" s="388"/>
      <c r="EV9" s="388"/>
      <c r="EW9" s="388"/>
      <c r="EX9" s="388"/>
      <c r="EY9" s="388"/>
      <c r="EZ9" s="388"/>
      <c r="FA9" s="388"/>
      <c r="FB9" s="388"/>
      <c r="FC9" s="388"/>
      <c r="FD9" s="388"/>
      <c r="FE9" s="388"/>
      <c r="FF9" s="388"/>
      <c r="FG9" s="388"/>
      <c r="FH9" s="388"/>
      <c r="FI9" s="388"/>
      <c r="FJ9" s="388"/>
      <c r="FK9" s="388"/>
      <c r="FL9" s="388"/>
      <c r="FM9" s="388"/>
      <c r="FN9" s="388"/>
      <c r="FO9" s="388"/>
      <c r="FP9" s="388"/>
      <c r="FQ9" s="388"/>
      <c r="FR9" s="388"/>
      <c r="FS9" s="388"/>
      <c r="FT9" s="388"/>
      <c r="FU9" s="388"/>
      <c r="FV9" s="388"/>
      <c r="FW9" s="388"/>
      <c r="FX9" s="388"/>
      <c r="FY9" s="388"/>
      <c r="FZ9" s="388"/>
      <c r="GA9" s="388"/>
      <c r="GB9" s="388"/>
      <c r="GC9" s="388"/>
      <c r="GD9" s="388"/>
      <c r="GE9" s="388"/>
      <c r="GF9" s="388"/>
      <c r="GG9" s="388"/>
      <c r="GH9" s="388"/>
      <c r="GI9" s="388"/>
      <c r="GJ9" s="388"/>
      <c r="GK9" s="388"/>
      <c r="GL9" s="388"/>
      <c r="GM9" s="388"/>
      <c r="GN9" s="388"/>
      <c r="GO9" s="388"/>
      <c r="GP9" s="388"/>
      <c r="GQ9" s="388"/>
      <c r="GR9" s="388"/>
      <c r="GS9" s="388"/>
      <c r="GT9" s="388"/>
      <c r="GU9" s="388"/>
      <c r="GV9" s="388"/>
      <c r="GW9" s="388"/>
      <c r="GX9" s="388"/>
      <c r="GY9" s="388"/>
      <c r="GZ9" s="388"/>
      <c r="HA9" s="388"/>
      <c r="HB9" s="388"/>
      <c r="HC9" s="388"/>
      <c r="HD9" s="388"/>
      <c r="HE9" s="388"/>
      <c r="HF9" s="388"/>
      <c r="HG9" s="388"/>
      <c r="HH9" s="388"/>
      <c r="HI9" s="388"/>
      <c r="HJ9" s="388"/>
      <c r="HK9" s="388"/>
      <c r="HL9" s="388"/>
      <c r="HM9" s="388"/>
      <c r="HN9" s="388"/>
      <c r="HO9" s="388"/>
      <c r="HP9" s="388"/>
      <c r="HQ9" s="388"/>
      <c r="HR9" s="388"/>
      <c r="HS9" s="388"/>
      <c r="HT9" s="388"/>
      <c r="HU9" s="388"/>
      <c r="HV9" s="388"/>
      <c r="HW9" s="388"/>
      <c r="HX9" s="388"/>
      <c r="HY9" s="388"/>
      <c r="HZ9" s="388"/>
      <c r="IA9" s="388"/>
      <c r="IB9" s="388"/>
      <c r="IC9" s="388"/>
      <c r="ID9" s="388"/>
      <c r="IE9" s="388"/>
      <c r="IF9" s="388"/>
      <c r="IG9" s="388"/>
      <c r="IH9" s="388"/>
      <c r="II9" s="388"/>
      <c r="IJ9" s="388"/>
      <c r="IK9" s="388"/>
      <c r="IL9" s="388"/>
      <c r="IM9" s="388"/>
      <c r="IN9" s="388"/>
      <c r="IO9" s="388"/>
      <c r="IP9" s="388"/>
      <c r="IQ9" s="388"/>
      <c r="IR9" s="388"/>
      <c r="IS9" s="388"/>
      <c r="IT9" s="388"/>
      <c r="IU9" s="388"/>
      <c r="IV9" s="388"/>
      <c r="IW9" s="388"/>
    </row>
    <row r="10" spans="1:257" x14ac:dyDescent="0.15">
      <c r="A10" s="386"/>
      <c r="B10" s="390"/>
      <c r="C10" s="390"/>
      <c r="D10" s="390"/>
      <c r="E10" s="390"/>
      <c r="F10" s="390"/>
      <c r="G10" s="390"/>
      <c r="H10" s="390"/>
      <c r="I10" s="390"/>
      <c r="J10" s="390"/>
      <c r="K10" s="390"/>
      <c r="L10" s="390"/>
      <c r="M10" s="390"/>
      <c r="N10" s="390"/>
      <c r="O10" s="390"/>
      <c r="P10" s="390"/>
      <c r="Q10" s="390"/>
      <c r="R10" s="390"/>
      <c r="S10" s="390"/>
      <c r="T10" s="390"/>
      <c r="U10" s="390"/>
      <c r="V10" s="390"/>
      <c r="W10" s="390"/>
      <c r="X10" s="390"/>
      <c r="Y10" s="390"/>
      <c r="Z10" s="390"/>
      <c r="AA10" s="390"/>
      <c r="AB10" s="390"/>
      <c r="AC10" s="390"/>
      <c r="AD10" s="390"/>
      <c r="AE10" s="390"/>
      <c r="AF10" s="390"/>
      <c r="AG10" s="390"/>
      <c r="AH10" s="390"/>
      <c r="AI10" s="390"/>
      <c r="AJ10" s="390"/>
      <c r="AK10" s="390"/>
      <c r="AL10" s="390"/>
      <c r="AM10" s="390"/>
      <c r="AN10" s="390"/>
      <c r="AO10" s="390"/>
      <c r="AP10" s="390"/>
      <c r="AQ10" s="390"/>
      <c r="AR10" s="390"/>
      <c r="AS10" s="390"/>
      <c r="AT10" s="390"/>
      <c r="AU10" s="390"/>
      <c r="AV10" s="390"/>
      <c r="AW10" s="390"/>
      <c r="AX10" s="390"/>
      <c r="AY10" s="390"/>
      <c r="AZ10" s="390"/>
      <c r="BA10" s="390"/>
      <c r="BB10" s="390"/>
      <c r="BC10" s="390"/>
      <c r="BD10" s="390"/>
      <c r="BE10" s="390"/>
      <c r="BF10" s="390"/>
      <c r="BG10" s="390"/>
      <c r="BH10" s="390"/>
      <c r="BI10" s="390"/>
      <c r="BJ10" s="390"/>
      <c r="BK10" s="390"/>
      <c r="BL10" s="390"/>
      <c r="BM10" s="390"/>
      <c r="BN10" s="390"/>
      <c r="BO10" s="390"/>
      <c r="BP10" s="390"/>
      <c r="BQ10" s="390"/>
      <c r="BR10" s="390"/>
      <c r="BS10" s="390"/>
      <c r="BT10" s="390"/>
      <c r="BU10" s="390"/>
      <c r="BV10" s="390"/>
      <c r="BW10" s="390"/>
      <c r="BX10" s="390"/>
      <c r="BY10" s="390"/>
      <c r="BZ10" s="390"/>
      <c r="CA10" s="390"/>
      <c r="CB10" s="390"/>
      <c r="CC10" s="390"/>
      <c r="CD10" s="390"/>
      <c r="CE10" s="390"/>
      <c r="CF10" s="390"/>
      <c r="CG10" s="390"/>
      <c r="CH10" s="390"/>
      <c r="CI10" s="390"/>
      <c r="CJ10" s="390"/>
      <c r="CK10" s="390"/>
      <c r="CL10" s="390"/>
      <c r="CM10" s="390"/>
      <c r="CN10" s="390"/>
      <c r="CO10" s="390"/>
      <c r="CP10" s="390"/>
      <c r="CQ10" s="390"/>
      <c r="CR10" s="390"/>
      <c r="CS10" s="390"/>
      <c r="CT10" s="390"/>
      <c r="CU10" s="390"/>
      <c r="CV10" s="390"/>
      <c r="CW10" s="390"/>
      <c r="CX10" s="390"/>
      <c r="CY10" s="390"/>
      <c r="CZ10" s="390"/>
      <c r="DA10" s="390"/>
      <c r="DB10" s="390"/>
      <c r="DC10" s="390"/>
      <c r="DD10" s="390"/>
      <c r="DE10" s="390"/>
      <c r="DF10" s="390"/>
      <c r="DG10" s="390"/>
      <c r="DH10" s="390"/>
      <c r="DI10" s="390"/>
      <c r="DJ10" s="390"/>
      <c r="DK10" s="390"/>
      <c r="DL10" s="390"/>
      <c r="DM10" s="390"/>
      <c r="DN10" s="390"/>
      <c r="DO10" s="390"/>
      <c r="DP10" s="390"/>
      <c r="DQ10" s="390"/>
      <c r="DR10" s="390"/>
      <c r="DS10" s="390"/>
      <c r="DT10" s="390"/>
      <c r="DU10" s="390"/>
      <c r="DV10" s="390"/>
      <c r="DW10" s="390"/>
      <c r="DX10" s="390"/>
      <c r="DY10" s="390"/>
      <c r="DZ10" s="390"/>
      <c r="EA10" s="390"/>
      <c r="EB10" s="390"/>
      <c r="EC10" s="390"/>
      <c r="ED10" s="390"/>
      <c r="EE10" s="390"/>
      <c r="EF10" s="390"/>
      <c r="EG10" s="390"/>
      <c r="EH10" s="390"/>
      <c r="EI10" s="390"/>
      <c r="EJ10" s="390"/>
      <c r="EK10" s="390"/>
      <c r="EL10" s="390"/>
      <c r="EM10" s="390"/>
      <c r="EN10" s="390"/>
      <c r="EO10" s="390"/>
      <c r="EP10" s="390"/>
      <c r="EQ10" s="390"/>
      <c r="ER10" s="390"/>
      <c r="ES10" s="390"/>
      <c r="ET10" s="390"/>
      <c r="EU10" s="390"/>
      <c r="EV10" s="390"/>
      <c r="EW10" s="390"/>
      <c r="EX10" s="390"/>
      <c r="EY10" s="390"/>
      <c r="EZ10" s="390"/>
      <c r="FA10" s="390"/>
      <c r="FB10" s="390"/>
      <c r="FC10" s="390"/>
      <c r="FD10" s="390"/>
      <c r="FE10" s="390"/>
      <c r="FF10" s="390"/>
      <c r="FG10" s="390"/>
      <c r="FH10" s="390"/>
      <c r="FI10" s="390"/>
      <c r="FJ10" s="390"/>
      <c r="FK10" s="390"/>
      <c r="FL10" s="390"/>
      <c r="FM10" s="390"/>
      <c r="FN10" s="390"/>
      <c r="FO10" s="390"/>
      <c r="FP10" s="390"/>
      <c r="FQ10" s="390"/>
      <c r="FR10" s="390"/>
      <c r="FS10" s="390"/>
      <c r="FT10" s="390"/>
      <c r="FU10" s="390"/>
      <c r="FV10" s="390"/>
      <c r="FW10" s="390"/>
      <c r="FX10" s="390"/>
      <c r="FY10" s="390"/>
      <c r="FZ10" s="390"/>
      <c r="GA10" s="390"/>
      <c r="GB10" s="390"/>
      <c r="GC10" s="390"/>
      <c r="GD10" s="390"/>
      <c r="GE10" s="390"/>
      <c r="GF10" s="390"/>
      <c r="GG10" s="390"/>
      <c r="GH10" s="390"/>
      <c r="GI10" s="390"/>
      <c r="GJ10" s="390"/>
      <c r="GK10" s="390"/>
      <c r="GL10" s="390"/>
      <c r="GM10" s="390"/>
      <c r="GN10" s="390"/>
      <c r="GO10" s="390"/>
      <c r="GP10" s="390"/>
      <c r="GQ10" s="390"/>
      <c r="GR10" s="390"/>
      <c r="GS10" s="390"/>
      <c r="GT10" s="390"/>
      <c r="GU10" s="390"/>
      <c r="GV10" s="390"/>
      <c r="GW10" s="390"/>
      <c r="GX10" s="390"/>
      <c r="GY10" s="390"/>
      <c r="GZ10" s="390"/>
      <c r="HA10" s="390"/>
      <c r="HB10" s="390"/>
      <c r="HC10" s="390"/>
      <c r="HD10" s="390"/>
      <c r="HE10" s="390"/>
      <c r="HF10" s="390"/>
      <c r="HG10" s="390"/>
      <c r="HH10" s="390"/>
      <c r="HI10" s="390"/>
      <c r="HJ10" s="390"/>
      <c r="HK10" s="390"/>
      <c r="HL10" s="390"/>
      <c r="HM10" s="390"/>
      <c r="HN10" s="390"/>
      <c r="HO10" s="390"/>
      <c r="HP10" s="390"/>
      <c r="HQ10" s="390"/>
      <c r="HR10" s="390"/>
      <c r="HS10" s="390"/>
      <c r="HT10" s="390"/>
      <c r="HU10" s="390"/>
      <c r="HV10" s="390"/>
      <c r="HW10" s="390"/>
      <c r="HX10" s="390"/>
      <c r="HY10" s="390"/>
      <c r="HZ10" s="390"/>
      <c r="IA10" s="390"/>
      <c r="IB10" s="390"/>
      <c r="IC10" s="390"/>
      <c r="ID10" s="390"/>
      <c r="IE10" s="390"/>
      <c r="IF10" s="390"/>
      <c r="IG10" s="390"/>
      <c r="IH10" s="390"/>
      <c r="II10" s="390"/>
      <c r="IJ10" s="390"/>
      <c r="IK10" s="390"/>
      <c r="IL10" s="390"/>
      <c r="IM10" s="390"/>
      <c r="IN10" s="390"/>
      <c r="IO10" s="390"/>
      <c r="IP10" s="390"/>
      <c r="IQ10" s="390"/>
      <c r="IR10" s="390"/>
      <c r="IS10" s="390"/>
      <c r="IT10" s="390"/>
      <c r="IU10" s="390"/>
      <c r="IV10" s="390"/>
      <c r="IW10" s="390"/>
    </row>
    <row r="11" spans="1:257" ht="63" x14ac:dyDescent="0.15">
      <c r="A11" s="386" t="s">
        <v>7</v>
      </c>
      <c r="B11" s="391" t="s">
        <v>8</v>
      </c>
      <c r="C11" s="392"/>
      <c r="D11" s="392"/>
      <c r="E11" s="392"/>
      <c r="F11" s="392"/>
      <c r="G11" s="392"/>
      <c r="H11" s="392"/>
      <c r="I11" s="392"/>
      <c r="J11" s="392"/>
      <c r="K11" s="392"/>
      <c r="L11" s="392"/>
      <c r="M11" s="392"/>
      <c r="N11" s="392"/>
      <c r="O11" s="392"/>
      <c r="P11" s="392"/>
      <c r="Q11" s="392"/>
      <c r="R11" s="392"/>
      <c r="S11" s="392"/>
      <c r="T11" s="392"/>
      <c r="U11" s="392"/>
      <c r="V11" s="392"/>
      <c r="W11" s="392"/>
      <c r="X11" s="392"/>
      <c r="Y11" s="392"/>
      <c r="Z11" s="392"/>
      <c r="AA11" s="392"/>
      <c r="AB11" s="392"/>
      <c r="AC11" s="392"/>
      <c r="AD11" s="392"/>
      <c r="AE11" s="392"/>
      <c r="AF11" s="392"/>
      <c r="AG11" s="392"/>
      <c r="AH11" s="392"/>
      <c r="AI11" s="392"/>
      <c r="AJ11" s="392"/>
      <c r="AK11" s="392"/>
      <c r="AL11" s="392"/>
      <c r="AM11" s="392"/>
      <c r="AN11" s="392"/>
      <c r="AO11" s="392"/>
      <c r="AP11" s="392"/>
      <c r="AQ11" s="392"/>
      <c r="AR11" s="392"/>
      <c r="AS11" s="392"/>
      <c r="AT11" s="392"/>
      <c r="AU11" s="392"/>
      <c r="AV11" s="392"/>
      <c r="AW11" s="392"/>
      <c r="AX11" s="392"/>
      <c r="AY11" s="392"/>
      <c r="AZ11" s="392"/>
      <c r="BA11" s="392"/>
      <c r="BB11" s="392"/>
      <c r="BC11" s="392"/>
      <c r="BD11" s="392"/>
      <c r="BE11" s="392"/>
      <c r="BF11" s="392"/>
      <c r="BG11" s="392"/>
      <c r="BH11" s="392"/>
      <c r="BI11" s="392"/>
      <c r="BJ11" s="392"/>
      <c r="BK11" s="392"/>
      <c r="BL11" s="392"/>
      <c r="BM11" s="392"/>
      <c r="BN11" s="392"/>
      <c r="BO11" s="392"/>
      <c r="BP11" s="392"/>
      <c r="BQ11" s="392"/>
      <c r="BR11" s="392"/>
      <c r="BS11" s="392"/>
      <c r="BT11" s="392"/>
      <c r="BU11" s="392"/>
      <c r="BV11" s="392"/>
      <c r="BW11" s="392"/>
      <c r="BX11" s="392"/>
      <c r="BY11" s="392"/>
      <c r="BZ11" s="392"/>
      <c r="CA11" s="392"/>
      <c r="CB11" s="392"/>
      <c r="CC11" s="392"/>
      <c r="CD11" s="392"/>
      <c r="CE11" s="392"/>
      <c r="CF11" s="392"/>
      <c r="CG11" s="392"/>
      <c r="CH11" s="392"/>
      <c r="CI11" s="392"/>
      <c r="CJ11" s="392"/>
      <c r="CK11" s="392"/>
      <c r="CL11" s="392"/>
      <c r="CM11" s="392"/>
      <c r="CN11" s="392"/>
      <c r="CO11" s="392"/>
      <c r="CP11" s="392"/>
      <c r="CQ11" s="392"/>
      <c r="CR11" s="392"/>
      <c r="CS11" s="392"/>
      <c r="CT11" s="392"/>
      <c r="CU11" s="392"/>
      <c r="CV11" s="392"/>
      <c r="CW11" s="392"/>
      <c r="CX11" s="392"/>
      <c r="CY11" s="392"/>
      <c r="CZ11" s="392"/>
      <c r="DA11" s="392"/>
      <c r="DB11" s="392"/>
      <c r="DC11" s="392"/>
      <c r="DD11" s="392"/>
      <c r="DE11" s="392"/>
      <c r="DF11" s="392"/>
      <c r="DG11" s="392"/>
      <c r="DH11" s="392"/>
      <c r="DI11" s="392"/>
      <c r="DJ11" s="392"/>
      <c r="DK11" s="392"/>
      <c r="DL11" s="392"/>
      <c r="DM11" s="392"/>
      <c r="DN11" s="392"/>
      <c r="DO11" s="392"/>
      <c r="DP11" s="392"/>
      <c r="DQ11" s="392"/>
      <c r="DR11" s="392"/>
      <c r="DS11" s="392"/>
      <c r="DT11" s="392"/>
      <c r="DU11" s="392"/>
      <c r="DV11" s="392"/>
      <c r="DW11" s="392"/>
      <c r="DX11" s="392"/>
      <c r="DY11" s="392"/>
      <c r="DZ11" s="392"/>
      <c r="EA11" s="392"/>
      <c r="EB11" s="392"/>
      <c r="EC11" s="392"/>
      <c r="ED11" s="392"/>
      <c r="EE11" s="392"/>
      <c r="EF11" s="392"/>
      <c r="EG11" s="392"/>
      <c r="EH11" s="392"/>
      <c r="EI11" s="392"/>
      <c r="EJ11" s="392"/>
      <c r="EK11" s="392"/>
      <c r="EL11" s="392"/>
      <c r="EM11" s="392"/>
      <c r="EN11" s="392"/>
      <c r="EO11" s="392"/>
      <c r="EP11" s="392"/>
      <c r="EQ11" s="392"/>
      <c r="ER11" s="392"/>
      <c r="ES11" s="392"/>
      <c r="ET11" s="392"/>
      <c r="EU11" s="392"/>
      <c r="EV11" s="392"/>
      <c r="EW11" s="392"/>
      <c r="EX11" s="392"/>
      <c r="EY11" s="392"/>
      <c r="EZ11" s="392"/>
      <c r="FA11" s="392"/>
      <c r="FB11" s="392"/>
      <c r="FC11" s="392"/>
      <c r="FD11" s="392"/>
      <c r="FE11" s="392"/>
      <c r="FF11" s="392"/>
      <c r="FG11" s="392"/>
      <c r="FH11" s="392"/>
      <c r="FI11" s="392"/>
      <c r="FJ11" s="392"/>
      <c r="FK11" s="392"/>
      <c r="FL11" s="392"/>
      <c r="FM11" s="392"/>
      <c r="FN11" s="392"/>
      <c r="FO11" s="392"/>
      <c r="FP11" s="392"/>
      <c r="FQ11" s="392"/>
      <c r="FR11" s="392"/>
      <c r="FS11" s="392"/>
      <c r="FT11" s="392"/>
      <c r="FU11" s="392"/>
      <c r="FV11" s="392"/>
      <c r="FW11" s="392"/>
      <c r="FX11" s="392"/>
      <c r="FY11" s="392"/>
      <c r="FZ11" s="392"/>
      <c r="GA11" s="392"/>
      <c r="GB11" s="392"/>
      <c r="GC11" s="392"/>
      <c r="GD11" s="392"/>
      <c r="GE11" s="392"/>
      <c r="GF11" s="392"/>
      <c r="GG11" s="392"/>
      <c r="GH11" s="392"/>
      <c r="GI11" s="392"/>
      <c r="GJ11" s="392"/>
      <c r="GK11" s="392"/>
      <c r="GL11" s="392"/>
      <c r="GM11" s="392"/>
      <c r="GN11" s="392"/>
      <c r="GO11" s="392"/>
      <c r="GP11" s="392"/>
      <c r="GQ11" s="392"/>
      <c r="GR11" s="392"/>
      <c r="GS11" s="392"/>
      <c r="GT11" s="392"/>
      <c r="GU11" s="392"/>
      <c r="GV11" s="392"/>
      <c r="GW11" s="392"/>
      <c r="GX11" s="392"/>
      <c r="GY11" s="392"/>
      <c r="GZ11" s="392"/>
      <c r="HA11" s="392"/>
      <c r="HB11" s="392"/>
      <c r="HC11" s="392"/>
      <c r="HD11" s="392"/>
      <c r="HE11" s="392"/>
      <c r="HF11" s="392"/>
      <c r="HG11" s="392"/>
      <c r="HH11" s="392"/>
      <c r="HI11" s="392"/>
      <c r="HJ11" s="392"/>
      <c r="HK11" s="392"/>
      <c r="HL11" s="392"/>
      <c r="HM11" s="392"/>
      <c r="HN11" s="392"/>
      <c r="HO11" s="392"/>
      <c r="HP11" s="392"/>
      <c r="HQ11" s="392"/>
      <c r="HR11" s="392"/>
      <c r="HS11" s="392"/>
      <c r="HT11" s="392"/>
      <c r="HU11" s="392"/>
      <c r="HV11" s="392"/>
      <c r="HW11" s="392"/>
      <c r="HX11" s="392"/>
      <c r="HY11" s="392"/>
      <c r="HZ11" s="392"/>
      <c r="IA11" s="392"/>
      <c r="IB11" s="392"/>
      <c r="IC11" s="392"/>
      <c r="ID11" s="392"/>
      <c r="IE11" s="392"/>
      <c r="IF11" s="392"/>
      <c r="IG11" s="392"/>
      <c r="IH11" s="392"/>
      <c r="II11" s="392"/>
      <c r="IJ11" s="392"/>
      <c r="IK11" s="392"/>
      <c r="IL11" s="392"/>
      <c r="IM11" s="392"/>
      <c r="IN11" s="392"/>
      <c r="IO11" s="392"/>
      <c r="IP11" s="392"/>
      <c r="IQ11" s="392"/>
      <c r="IR11" s="392"/>
      <c r="IS11" s="392"/>
      <c r="IT11" s="392"/>
      <c r="IU11" s="392"/>
      <c r="IV11" s="392"/>
      <c r="IW11" s="407" t="s">
        <v>9</v>
      </c>
    </row>
    <row r="12" spans="1:257" x14ac:dyDescent="0.15">
      <c r="A12" s="386"/>
      <c r="B12" s="387"/>
      <c r="C12" s="393"/>
      <c r="D12" s="393"/>
      <c r="E12" s="393"/>
      <c r="F12" s="393"/>
      <c r="G12" s="393"/>
      <c r="H12" s="393"/>
      <c r="I12" s="393"/>
      <c r="J12" s="393"/>
      <c r="K12" s="393"/>
      <c r="L12" s="393"/>
      <c r="M12" s="393"/>
      <c r="N12" s="393"/>
      <c r="O12" s="393"/>
      <c r="P12" s="393"/>
      <c r="Q12" s="393"/>
      <c r="R12" s="393"/>
      <c r="S12" s="393"/>
      <c r="T12" s="393"/>
      <c r="U12" s="393"/>
      <c r="V12" s="393"/>
      <c r="W12" s="393"/>
      <c r="X12" s="393"/>
      <c r="Y12" s="393"/>
      <c r="Z12" s="393"/>
      <c r="AA12" s="393"/>
      <c r="AB12" s="393"/>
      <c r="AC12" s="393"/>
      <c r="AD12" s="393"/>
      <c r="AE12" s="393"/>
      <c r="AF12" s="393"/>
      <c r="AG12" s="393"/>
      <c r="AH12" s="393"/>
      <c r="AI12" s="393"/>
      <c r="AJ12" s="393"/>
      <c r="AK12" s="393"/>
      <c r="AL12" s="393"/>
      <c r="AM12" s="393"/>
      <c r="AN12" s="393"/>
      <c r="AO12" s="393"/>
      <c r="AP12" s="393"/>
      <c r="AQ12" s="393"/>
      <c r="AR12" s="393"/>
      <c r="AS12" s="393"/>
      <c r="AT12" s="393"/>
      <c r="AU12" s="393"/>
      <c r="AV12" s="393"/>
      <c r="AW12" s="393"/>
      <c r="AX12" s="393"/>
      <c r="AY12" s="393"/>
      <c r="AZ12" s="393"/>
      <c r="BA12" s="393"/>
      <c r="BB12" s="393"/>
      <c r="BC12" s="393"/>
      <c r="BD12" s="393"/>
      <c r="BE12" s="393"/>
      <c r="BF12" s="393"/>
      <c r="BG12" s="393"/>
      <c r="BH12" s="393"/>
      <c r="BI12" s="393"/>
      <c r="BJ12" s="393"/>
      <c r="BK12" s="393"/>
      <c r="BL12" s="393"/>
      <c r="BM12" s="393"/>
      <c r="BN12" s="393"/>
      <c r="BO12" s="393"/>
      <c r="BP12" s="393"/>
      <c r="BQ12" s="393"/>
      <c r="BR12" s="393"/>
      <c r="BS12" s="393"/>
      <c r="BT12" s="393"/>
      <c r="BU12" s="393"/>
      <c r="BV12" s="393"/>
      <c r="BW12" s="393"/>
      <c r="BX12" s="393"/>
      <c r="BY12" s="393"/>
      <c r="BZ12" s="393"/>
      <c r="CA12" s="393"/>
      <c r="CB12" s="393"/>
      <c r="CC12" s="393"/>
      <c r="CD12" s="393"/>
      <c r="CE12" s="393"/>
      <c r="CF12" s="393"/>
      <c r="CG12" s="393"/>
      <c r="CH12" s="393"/>
      <c r="CI12" s="393"/>
      <c r="CJ12" s="393"/>
      <c r="CK12" s="393"/>
      <c r="CL12" s="393"/>
      <c r="CM12" s="393"/>
      <c r="CN12" s="393"/>
      <c r="CO12" s="393"/>
      <c r="CP12" s="393"/>
      <c r="CQ12" s="393"/>
      <c r="CR12" s="393"/>
      <c r="CS12" s="393"/>
      <c r="CT12" s="393"/>
      <c r="CU12" s="393"/>
      <c r="CV12" s="393"/>
      <c r="CW12" s="393"/>
      <c r="CX12" s="393"/>
      <c r="CY12" s="393"/>
      <c r="CZ12" s="393"/>
      <c r="DA12" s="393"/>
      <c r="DB12" s="393"/>
      <c r="DC12" s="393"/>
      <c r="DD12" s="393"/>
      <c r="DE12" s="393"/>
      <c r="DF12" s="393"/>
      <c r="DG12" s="393"/>
      <c r="DH12" s="393"/>
      <c r="DI12" s="393"/>
      <c r="DJ12" s="393"/>
      <c r="DK12" s="393"/>
      <c r="DL12" s="393"/>
      <c r="DM12" s="393"/>
      <c r="DN12" s="393"/>
      <c r="DO12" s="393"/>
      <c r="DP12" s="393"/>
      <c r="DQ12" s="393"/>
      <c r="DR12" s="393"/>
      <c r="DS12" s="393"/>
      <c r="DT12" s="393"/>
      <c r="DU12" s="393"/>
      <c r="DV12" s="393"/>
      <c r="DW12" s="393"/>
      <c r="DX12" s="393"/>
      <c r="DY12" s="393"/>
      <c r="DZ12" s="393"/>
      <c r="EA12" s="393"/>
      <c r="EB12" s="393"/>
      <c r="EC12" s="393"/>
      <c r="ED12" s="393"/>
      <c r="EE12" s="393"/>
      <c r="EF12" s="393"/>
      <c r="EG12" s="393"/>
      <c r="EH12" s="393"/>
      <c r="EI12" s="393"/>
      <c r="EJ12" s="393"/>
      <c r="EK12" s="393"/>
      <c r="EL12" s="393"/>
      <c r="EM12" s="393"/>
      <c r="EN12" s="393"/>
      <c r="EO12" s="393"/>
      <c r="EP12" s="393"/>
      <c r="EQ12" s="393"/>
      <c r="ER12" s="393"/>
      <c r="ES12" s="393"/>
      <c r="ET12" s="393"/>
      <c r="EU12" s="393"/>
      <c r="EV12" s="393"/>
      <c r="EW12" s="393"/>
      <c r="EX12" s="393"/>
      <c r="EY12" s="393"/>
      <c r="EZ12" s="393"/>
      <c r="FA12" s="393"/>
      <c r="FB12" s="393"/>
      <c r="FC12" s="393"/>
      <c r="FD12" s="393"/>
      <c r="FE12" s="393"/>
      <c r="FF12" s="393"/>
      <c r="FG12" s="393"/>
      <c r="FH12" s="393"/>
      <c r="FI12" s="393"/>
      <c r="FJ12" s="393"/>
      <c r="FK12" s="393"/>
      <c r="FL12" s="393"/>
      <c r="FM12" s="393"/>
      <c r="FN12" s="393"/>
      <c r="FO12" s="393"/>
      <c r="FP12" s="393"/>
      <c r="FQ12" s="393"/>
      <c r="FR12" s="393"/>
      <c r="FS12" s="393"/>
      <c r="FT12" s="393"/>
      <c r="FU12" s="393"/>
      <c r="FV12" s="393"/>
      <c r="FW12" s="393"/>
      <c r="FX12" s="393"/>
      <c r="FY12" s="393"/>
      <c r="FZ12" s="393"/>
      <c r="GA12" s="393"/>
      <c r="GB12" s="393"/>
      <c r="GC12" s="393"/>
      <c r="GD12" s="393"/>
      <c r="GE12" s="393"/>
      <c r="GF12" s="393"/>
      <c r="GG12" s="393"/>
      <c r="GH12" s="393"/>
      <c r="GI12" s="393"/>
      <c r="GJ12" s="393"/>
      <c r="GK12" s="393"/>
      <c r="GL12" s="393"/>
      <c r="GM12" s="393"/>
      <c r="GN12" s="393"/>
      <c r="GO12" s="393"/>
      <c r="GP12" s="393"/>
      <c r="GQ12" s="393"/>
      <c r="GR12" s="393"/>
      <c r="GS12" s="393"/>
      <c r="GT12" s="393"/>
      <c r="GU12" s="393"/>
      <c r="GV12" s="393"/>
      <c r="GW12" s="393"/>
      <c r="GX12" s="393"/>
      <c r="GY12" s="393"/>
      <c r="GZ12" s="393"/>
      <c r="HA12" s="393"/>
      <c r="HB12" s="393"/>
      <c r="HC12" s="393"/>
      <c r="HD12" s="393"/>
      <c r="HE12" s="393"/>
      <c r="HF12" s="393"/>
      <c r="HG12" s="393"/>
      <c r="HH12" s="393"/>
      <c r="HI12" s="393"/>
      <c r="HJ12" s="393"/>
      <c r="HK12" s="393"/>
      <c r="HL12" s="393"/>
      <c r="HM12" s="393"/>
      <c r="HN12" s="393"/>
      <c r="HO12" s="393"/>
      <c r="HP12" s="393"/>
      <c r="HQ12" s="393"/>
      <c r="HR12" s="393"/>
      <c r="HS12" s="393"/>
      <c r="HT12" s="393"/>
      <c r="HU12" s="393"/>
      <c r="HV12" s="393"/>
      <c r="HW12" s="393"/>
      <c r="HX12" s="393"/>
      <c r="HY12" s="393"/>
      <c r="HZ12" s="393"/>
      <c r="IA12" s="393"/>
      <c r="IB12" s="393"/>
      <c r="IC12" s="393"/>
      <c r="ID12" s="393"/>
      <c r="IE12" s="393"/>
      <c r="IF12" s="393"/>
      <c r="IG12" s="393"/>
      <c r="IH12" s="393"/>
      <c r="II12" s="393"/>
      <c r="IJ12" s="393"/>
      <c r="IK12" s="393"/>
      <c r="IL12" s="393"/>
      <c r="IM12" s="393"/>
      <c r="IN12" s="393"/>
      <c r="IO12" s="393"/>
      <c r="IP12" s="393"/>
      <c r="IQ12" s="393"/>
      <c r="IR12" s="393"/>
      <c r="IS12" s="393"/>
      <c r="IT12" s="393"/>
      <c r="IU12" s="393"/>
      <c r="IV12" s="393"/>
      <c r="IW12" s="408"/>
    </row>
    <row r="13" spans="1:257" ht="116.25" customHeight="1" x14ac:dyDescent="0.15">
      <c r="A13" s="386" t="s">
        <v>10</v>
      </c>
      <c r="B13" s="411" t="s">
        <v>11</v>
      </c>
      <c r="C13" s="411"/>
      <c r="D13" s="411"/>
      <c r="E13" s="411"/>
      <c r="F13" s="411"/>
      <c r="G13" s="411"/>
      <c r="H13" s="411"/>
      <c r="I13" s="411"/>
      <c r="J13" s="411"/>
      <c r="K13" s="411"/>
      <c r="L13" s="411"/>
      <c r="M13" s="411"/>
      <c r="N13" s="411"/>
      <c r="O13" s="411"/>
      <c r="P13" s="411"/>
      <c r="Q13" s="411"/>
      <c r="R13" s="411"/>
      <c r="S13" s="411"/>
      <c r="T13" s="411"/>
      <c r="U13" s="411"/>
      <c r="V13" s="411"/>
      <c r="W13" s="411"/>
      <c r="X13" s="411"/>
      <c r="Y13" s="411"/>
      <c r="Z13" s="411"/>
      <c r="AA13" s="411"/>
      <c r="AB13" s="411"/>
      <c r="AC13" s="411"/>
      <c r="AD13" s="411"/>
      <c r="AE13" s="411"/>
      <c r="AF13" s="411"/>
      <c r="AG13" s="411"/>
      <c r="AH13" s="411"/>
      <c r="AI13" s="411"/>
      <c r="AJ13" s="411"/>
      <c r="AK13" s="411"/>
      <c r="AL13" s="411"/>
      <c r="AM13" s="411"/>
      <c r="AN13" s="411"/>
      <c r="AO13" s="411"/>
      <c r="AP13" s="411"/>
      <c r="AQ13" s="411"/>
      <c r="AR13" s="411"/>
      <c r="AS13" s="411"/>
      <c r="AT13" s="411"/>
      <c r="AU13" s="411"/>
      <c r="AV13" s="411"/>
      <c r="AW13" s="411"/>
      <c r="AX13" s="411"/>
      <c r="AY13" s="411"/>
      <c r="AZ13" s="411"/>
      <c r="BA13" s="411"/>
      <c r="BB13" s="411"/>
      <c r="BC13" s="411"/>
      <c r="BD13" s="411"/>
      <c r="BE13" s="411"/>
      <c r="BF13" s="411"/>
      <c r="BG13" s="411"/>
      <c r="BH13" s="411"/>
      <c r="BI13" s="411"/>
      <c r="BJ13" s="411"/>
      <c r="BK13" s="411"/>
      <c r="BL13" s="411"/>
      <c r="BM13" s="411"/>
      <c r="BN13" s="411"/>
      <c r="BO13" s="411"/>
      <c r="BP13" s="411"/>
      <c r="BQ13" s="411"/>
      <c r="BR13" s="411"/>
      <c r="BS13" s="411"/>
      <c r="BT13" s="411"/>
      <c r="BU13" s="411"/>
      <c r="BV13" s="411"/>
      <c r="BW13" s="411"/>
      <c r="BX13" s="411"/>
      <c r="BY13" s="411"/>
      <c r="BZ13" s="411"/>
      <c r="CA13" s="411"/>
      <c r="CB13" s="411"/>
      <c r="CC13" s="411"/>
      <c r="CD13" s="411"/>
      <c r="CE13" s="411"/>
      <c r="CF13" s="411"/>
      <c r="CG13" s="411"/>
      <c r="CH13" s="411"/>
      <c r="CI13" s="411"/>
      <c r="CJ13" s="411"/>
      <c r="CK13" s="411"/>
      <c r="CL13" s="411"/>
      <c r="CM13" s="411"/>
      <c r="CN13" s="411"/>
      <c r="CO13" s="411"/>
      <c r="CP13" s="411"/>
      <c r="CQ13" s="411"/>
      <c r="CR13" s="411"/>
      <c r="CS13" s="411"/>
      <c r="CT13" s="411"/>
      <c r="CU13" s="411"/>
      <c r="CV13" s="411"/>
      <c r="CW13" s="411"/>
      <c r="CX13" s="411"/>
      <c r="CY13" s="411"/>
      <c r="CZ13" s="411"/>
      <c r="DA13" s="411"/>
      <c r="DB13" s="411"/>
      <c r="DC13" s="411"/>
      <c r="DD13" s="411"/>
      <c r="DE13" s="411"/>
      <c r="DF13" s="411"/>
      <c r="DG13" s="411"/>
      <c r="DH13" s="411"/>
      <c r="DI13" s="411"/>
      <c r="DJ13" s="411"/>
      <c r="DK13" s="411"/>
      <c r="DL13" s="411"/>
      <c r="DM13" s="411"/>
      <c r="DN13" s="411"/>
      <c r="DO13" s="411"/>
      <c r="DP13" s="411"/>
      <c r="DQ13" s="411"/>
      <c r="DR13" s="411"/>
      <c r="DS13" s="411"/>
      <c r="DT13" s="411"/>
      <c r="DU13" s="411"/>
      <c r="DV13" s="411"/>
      <c r="DW13" s="411"/>
      <c r="DX13" s="411"/>
      <c r="DY13" s="411"/>
      <c r="DZ13" s="411"/>
      <c r="EA13" s="411"/>
      <c r="EB13" s="411"/>
      <c r="EC13" s="411"/>
      <c r="ED13" s="411"/>
      <c r="EE13" s="411"/>
      <c r="EF13" s="411"/>
      <c r="EG13" s="411"/>
      <c r="EH13" s="411"/>
      <c r="EI13" s="411"/>
      <c r="EJ13" s="411"/>
      <c r="EK13" s="411"/>
      <c r="EL13" s="411"/>
      <c r="EM13" s="411"/>
      <c r="EN13" s="411"/>
      <c r="EO13" s="411"/>
      <c r="EP13" s="411"/>
      <c r="EQ13" s="411"/>
      <c r="ER13" s="411"/>
      <c r="ES13" s="411"/>
      <c r="ET13" s="411"/>
      <c r="EU13" s="411"/>
      <c r="EV13" s="411"/>
      <c r="EW13" s="411"/>
      <c r="EX13" s="411"/>
      <c r="EY13" s="411"/>
      <c r="EZ13" s="411"/>
      <c r="FA13" s="411"/>
      <c r="FB13" s="411"/>
      <c r="FC13" s="411"/>
      <c r="FD13" s="411"/>
      <c r="FE13" s="411"/>
      <c r="FF13" s="411"/>
      <c r="FG13" s="411"/>
      <c r="FH13" s="411"/>
      <c r="FI13" s="411"/>
      <c r="FJ13" s="411"/>
      <c r="FK13" s="411"/>
      <c r="FL13" s="411"/>
      <c r="FM13" s="411"/>
      <c r="FN13" s="411"/>
      <c r="FO13" s="411"/>
      <c r="FP13" s="411"/>
      <c r="FQ13" s="411"/>
      <c r="FR13" s="411"/>
      <c r="FS13" s="411"/>
      <c r="FT13" s="411"/>
      <c r="FU13" s="411"/>
      <c r="FV13" s="411"/>
      <c r="FW13" s="411"/>
      <c r="FX13" s="411"/>
      <c r="FY13" s="411"/>
      <c r="FZ13" s="411"/>
      <c r="GA13" s="411"/>
      <c r="GB13" s="411"/>
      <c r="GC13" s="411"/>
      <c r="GD13" s="411"/>
      <c r="GE13" s="411"/>
      <c r="GF13" s="411"/>
      <c r="GG13" s="411"/>
      <c r="GH13" s="411"/>
      <c r="GI13" s="411"/>
      <c r="GJ13" s="411"/>
      <c r="GK13" s="411"/>
      <c r="GL13" s="411"/>
      <c r="GM13" s="411"/>
      <c r="GN13" s="411"/>
      <c r="GO13" s="411"/>
      <c r="GP13" s="411"/>
      <c r="GQ13" s="411"/>
      <c r="GR13" s="411"/>
      <c r="GS13" s="411"/>
      <c r="GT13" s="411"/>
      <c r="GU13" s="411"/>
      <c r="GV13" s="411"/>
      <c r="GW13" s="411"/>
      <c r="GX13" s="411"/>
      <c r="GY13" s="411"/>
      <c r="GZ13" s="411"/>
      <c r="HA13" s="411"/>
      <c r="HB13" s="411"/>
      <c r="HC13" s="411"/>
      <c r="HD13" s="411"/>
      <c r="HE13" s="411"/>
      <c r="HF13" s="411"/>
      <c r="HG13" s="411"/>
      <c r="HH13" s="411"/>
      <c r="HI13" s="411"/>
      <c r="HJ13" s="411"/>
      <c r="HK13" s="411"/>
      <c r="HL13" s="411"/>
      <c r="HM13" s="411"/>
      <c r="HN13" s="411"/>
      <c r="HO13" s="411"/>
      <c r="HP13" s="411"/>
      <c r="HQ13" s="411"/>
      <c r="HR13" s="411"/>
      <c r="HS13" s="411"/>
      <c r="HT13" s="411"/>
      <c r="HU13" s="411"/>
      <c r="HV13" s="411"/>
      <c r="HW13" s="411"/>
      <c r="HX13" s="411"/>
      <c r="HY13" s="411"/>
      <c r="HZ13" s="411"/>
      <c r="IA13" s="411"/>
      <c r="IB13" s="411"/>
      <c r="IC13" s="411"/>
      <c r="ID13" s="411"/>
      <c r="IE13" s="411"/>
      <c r="IF13" s="411"/>
      <c r="IG13" s="411"/>
      <c r="IH13" s="411"/>
      <c r="II13" s="411"/>
      <c r="IJ13" s="411"/>
      <c r="IK13" s="411"/>
      <c r="IL13" s="411"/>
      <c r="IM13" s="411"/>
      <c r="IN13" s="411"/>
      <c r="IO13" s="411"/>
      <c r="IP13" s="411"/>
      <c r="IQ13" s="411"/>
      <c r="IR13" s="411"/>
      <c r="IS13" s="411"/>
      <c r="IT13" s="411"/>
      <c r="IU13" s="411"/>
      <c r="IV13" s="411"/>
      <c r="IW13" s="411"/>
    </row>
    <row r="14" spans="1:257" ht="88.5" customHeight="1" x14ac:dyDescent="0.15">
      <c r="A14" s="394" t="s">
        <v>12</v>
      </c>
      <c r="B14" s="412" t="s">
        <v>13</v>
      </c>
      <c r="C14" s="412"/>
      <c r="D14" s="412"/>
      <c r="E14" s="412"/>
      <c r="F14" s="412"/>
      <c r="G14" s="412"/>
      <c r="H14" s="412"/>
      <c r="I14" s="412"/>
      <c r="J14" s="412"/>
      <c r="K14" s="412"/>
      <c r="L14" s="412"/>
      <c r="M14" s="412"/>
      <c r="N14" s="412"/>
      <c r="O14" s="412"/>
      <c r="P14" s="412"/>
      <c r="Q14" s="412"/>
      <c r="R14" s="412"/>
      <c r="S14" s="412"/>
      <c r="T14" s="412"/>
      <c r="U14" s="412"/>
      <c r="V14" s="412"/>
      <c r="W14" s="412"/>
      <c r="X14" s="412"/>
      <c r="Y14" s="412"/>
      <c r="Z14" s="412"/>
      <c r="AA14" s="412"/>
      <c r="AB14" s="412"/>
      <c r="AC14" s="412"/>
      <c r="AD14" s="412"/>
      <c r="AE14" s="412"/>
      <c r="AF14" s="412"/>
      <c r="AG14" s="412"/>
      <c r="AH14" s="412"/>
      <c r="AI14" s="412"/>
      <c r="AJ14" s="412"/>
      <c r="AK14" s="412"/>
      <c r="AL14" s="412"/>
      <c r="AM14" s="412"/>
      <c r="AN14" s="412"/>
      <c r="AO14" s="412"/>
      <c r="AP14" s="412"/>
      <c r="AQ14" s="412"/>
      <c r="AR14" s="412"/>
      <c r="AS14" s="412"/>
      <c r="AT14" s="412"/>
      <c r="AU14" s="412"/>
      <c r="AV14" s="412"/>
      <c r="AW14" s="412"/>
      <c r="AX14" s="412"/>
      <c r="AY14" s="412"/>
      <c r="AZ14" s="412"/>
      <c r="BA14" s="412"/>
      <c r="BB14" s="412"/>
      <c r="BC14" s="412"/>
      <c r="BD14" s="412"/>
      <c r="BE14" s="412"/>
      <c r="BF14" s="412"/>
      <c r="BG14" s="412"/>
      <c r="BH14" s="412"/>
      <c r="BI14" s="412"/>
      <c r="BJ14" s="412"/>
      <c r="BK14" s="412"/>
      <c r="BL14" s="412"/>
      <c r="BM14" s="412"/>
      <c r="BN14" s="412"/>
      <c r="BO14" s="412"/>
      <c r="BP14" s="412"/>
      <c r="BQ14" s="412"/>
      <c r="BR14" s="412"/>
      <c r="BS14" s="412"/>
      <c r="BT14" s="412"/>
      <c r="BU14" s="412"/>
      <c r="BV14" s="412"/>
      <c r="BW14" s="412"/>
      <c r="BX14" s="412"/>
      <c r="BY14" s="412"/>
      <c r="BZ14" s="412"/>
      <c r="CA14" s="412"/>
      <c r="CB14" s="412"/>
      <c r="CC14" s="412"/>
      <c r="CD14" s="412"/>
      <c r="CE14" s="412"/>
      <c r="CF14" s="412"/>
      <c r="CG14" s="412"/>
      <c r="CH14" s="412"/>
      <c r="CI14" s="412"/>
      <c r="CJ14" s="412"/>
      <c r="CK14" s="412"/>
      <c r="CL14" s="412"/>
      <c r="CM14" s="412"/>
      <c r="CN14" s="412"/>
      <c r="CO14" s="412"/>
      <c r="CP14" s="412"/>
      <c r="CQ14" s="412"/>
      <c r="CR14" s="412"/>
      <c r="CS14" s="412"/>
      <c r="CT14" s="412"/>
      <c r="CU14" s="412"/>
      <c r="CV14" s="412"/>
      <c r="CW14" s="412"/>
      <c r="CX14" s="412"/>
      <c r="CY14" s="412"/>
      <c r="CZ14" s="412"/>
      <c r="DA14" s="412"/>
      <c r="DB14" s="412"/>
      <c r="DC14" s="412"/>
      <c r="DD14" s="412"/>
      <c r="DE14" s="412"/>
      <c r="DF14" s="412"/>
      <c r="DG14" s="412"/>
      <c r="DH14" s="412"/>
      <c r="DI14" s="412"/>
      <c r="DJ14" s="412"/>
      <c r="DK14" s="412"/>
      <c r="DL14" s="412"/>
      <c r="DM14" s="412"/>
      <c r="DN14" s="412"/>
      <c r="DO14" s="412"/>
      <c r="DP14" s="412"/>
      <c r="DQ14" s="412"/>
      <c r="DR14" s="412"/>
      <c r="DS14" s="412"/>
      <c r="DT14" s="412"/>
      <c r="DU14" s="412"/>
      <c r="DV14" s="412"/>
      <c r="DW14" s="412"/>
      <c r="DX14" s="412"/>
      <c r="DY14" s="412"/>
      <c r="DZ14" s="412"/>
      <c r="EA14" s="412"/>
      <c r="EB14" s="412"/>
      <c r="EC14" s="412"/>
      <c r="ED14" s="412"/>
      <c r="EE14" s="412"/>
      <c r="EF14" s="412"/>
      <c r="EG14" s="412"/>
      <c r="EH14" s="412"/>
      <c r="EI14" s="412"/>
      <c r="EJ14" s="412"/>
      <c r="EK14" s="412"/>
      <c r="EL14" s="412"/>
      <c r="EM14" s="412"/>
      <c r="EN14" s="412"/>
      <c r="EO14" s="412"/>
      <c r="EP14" s="412"/>
      <c r="EQ14" s="412"/>
      <c r="ER14" s="412"/>
      <c r="ES14" s="412"/>
      <c r="ET14" s="412"/>
      <c r="EU14" s="412"/>
      <c r="EV14" s="412"/>
      <c r="EW14" s="412"/>
      <c r="EX14" s="412"/>
      <c r="EY14" s="412"/>
      <c r="EZ14" s="412"/>
      <c r="FA14" s="412"/>
      <c r="FB14" s="412"/>
      <c r="FC14" s="412"/>
      <c r="FD14" s="412"/>
      <c r="FE14" s="412"/>
      <c r="FF14" s="412"/>
      <c r="FG14" s="412"/>
      <c r="FH14" s="412"/>
      <c r="FI14" s="412"/>
      <c r="FJ14" s="412"/>
      <c r="FK14" s="412"/>
      <c r="FL14" s="412"/>
      <c r="FM14" s="412"/>
      <c r="FN14" s="412"/>
      <c r="FO14" s="412"/>
      <c r="FP14" s="412"/>
      <c r="FQ14" s="412"/>
      <c r="FR14" s="412"/>
      <c r="FS14" s="412"/>
      <c r="FT14" s="412"/>
      <c r="FU14" s="412"/>
      <c r="FV14" s="412"/>
      <c r="FW14" s="412"/>
      <c r="FX14" s="412"/>
      <c r="FY14" s="412"/>
      <c r="FZ14" s="412"/>
      <c r="GA14" s="412"/>
      <c r="GB14" s="412"/>
      <c r="GC14" s="412"/>
      <c r="GD14" s="412"/>
      <c r="GE14" s="412"/>
      <c r="GF14" s="412"/>
      <c r="GG14" s="412"/>
      <c r="GH14" s="412"/>
      <c r="GI14" s="412"/>
      <c r="GJ14" s="412"/>
      <c r="GK14" s="412"/>
      <c r="GL14" s="412"/>
      <c r="GM14" s="412"/>
      <c r="GN14" s="412"/>
      <c r="GO14" s="412"/>
      <c r="GP14" s="412"/>
      <c r="GQ14" s="412"/>
      <c r="GR14" s="412"/>
      <c r="GS14" s="412"/>
      <c r="GT14" s="412"/>
      <c r="GU14" s="412"/>
      <c r="GV14" s="412"/>
      <c r="GW14" s="412"/>
      <c r="GX14" s="412"/>
      <c r="GY14" s="412"/>
      <c r="GZ14" s="412"/>
      <c r="HA14" s="412"/>
      <c r="HB14" s="412"/>
      <c r="HC14" s="412"/>
      <c r="HD14" s="412"/>
      <c r="HE14" s="412"/>
      <c r="HF14" s="412"/>
      <c r="HG14" s="412"/>
      <c r="HH14" s="412"/>
      <c r="HI14" s="412"/>
      <c r="HJ14" s="412"/>
      <c r="HK14" s="412"/>
      <c r="HL14" s="412"/>
      <c r="HM14" s="412"/>
      <c r="HN14" s="412"/>
      <c r="HO14" s="412"/>
      <c r="HP14" s="412"/>
      <c r="HQ14" s="412"/>
      <c r="HR14" s="412"/>
      <c r="HS14" s="412"/>
      <c r="HT14" s="412"/>
      <c r="HU14" s="412"/>
      <c r="HV14" s="412"/>
      <c r="HW14" s="412"/>
      <c r="HX14" s="412"/>
      <c r="HY14" s="412"/>
      <c r="HZ14" s="412"/>
      <c r="IA14" s="412"/>
      <c r="IB14" s="412"/>
      <c r="IC14" s="412"/>
      <c r="ID14" s="412"/>
      <c r="IE14" s="412"/>
      <c r="IF14" s="412"/>
      <c r="IG14" s="412"/>
      <c r="IH14" s="412"/>
      <c r="II14" s="412"/>
      <c r="IJ14" s="412"/>
      <c r="IK14" s="412"/>
      <c r="IL14" s="412"/>
      <c r="IM14" s="412"/>
      <c r="IN14" s="412"/>
      <c r="IO14" s="412"/>
      <c r="IP14" s="412"/>
      <c r="IQ14" s="412"/>
      <c r="IR14" s="412"/>
      <c r="IS14" s="412"/>
      <c r="IT14" s="412"/>
      <c r="IU14" s="412"/>
      <c r="IV14" s="412"/>
      <c r="IW14" s="412"/>
    </row>
    <row r="15" spans="1:257" ht="54" customHeight="1" x14ac:dyDescent="0.25">
      <c r="A15" s="395" t="s">
        <v>14</v>
      </c>
      <c r="B15" s="396" t="s">
        <v>15</v>
      </c>
      <c r="C15" s="397"/>
      <c r="D15" s="397"/>
      <c r="E15" s="392"/>
      <c r="F15" s="392"/>
      <c r="G15" s="392"/>
      <c r="H15" s="392"/>
      <c r="I15" s="392"/>
      <c r="J15" s="392"/>
      <c r="K15" s="392"/>
      <c r="L15" s="392"/>
      <c r="M15" s="392"/>
      <c r="N15" s="392"/>
      <c r="O15" s="392"/>
      <c r="P15" s="392"/>
      <c r="Q15" s="392"/>
      <c r="R15" s="392"/>
      <c r="S15" s="392"/>
      <c r="T15" s="392"/>
      <c r="U15" s="392"/>
      <c r="V15" s="392"/>
      <c r="W15" s="392"/>
      <c r="X15" s="392"/>
      <c r="Y15" s="392"/>
      <c r="Z15" s="392"/>
      <c r="AA15" s="392"/>
      <c r="AB15" s="392"/>
      <c r="AC15" s="392"/>
      <c r="AD15" s="392"/>
      <c r="AE15" s="392"/>
      <c r="AF15" s="392"/>
      <c r="AG15" s="392"/>
      <c r="AH15" s="392"/>
      <c r="AI15" s="392"/>
      <c r="AJ15" s="392"/>
      <c r="AK15" s="392"/>
      <c r="AL15" s="392"/>
      <c r="AM15" s="392"/>
      <c r="AN15" s="392"/>
      <c r="AO15" s="392"/>
      <c r="AP15" s="392"/>
      <c r="AQ15" s="392"/>
      <c r="AR15" s="392"/>
      <c r="AS15" s="392"/>
      <c r="AT15" s="392"/>
      <c r="AU15" s="392"/>
      <c r="AV15" s="392"/>
      <c r="AW15" s="392"/>
      <c r="AX15" s="392"/>
      <c r="AY15" s="392"/>
      <c r="AZ15" s="392"/>
      <c r="BA15" s="392"/>
      <c r="BB15" s="392"/>
      <c r="BC15" s="392"/>
      <c r="BD15" s="392"/>
      <c r="BE15" s="392"/>
      <c r="BF15" s="392"/>
      <c r="BG15" s="392"/>
      <c r="BH15" s="392"/>
      <c r="BI15" s="392"/>
      <c r="BJ15" s="392"/>
      <c r="BK15" s="392"/>
      <c r="BL15" s="392"/>
      <c r="BM15" s="392"/>
      <c r="BN15" s="392"/>
      <c r="BO15" s="392"/>
      <c r="BP15" s="392"/>
      <c r="BQ15" s="392"/>
      <c r="BR15" s="392"/>
      <c r="BS15" s="392"/>
      <c r="BT15" s="392"/>
      <c r="BU15" s="392"/>
      <c r="BV15" s="392"/>
      <c r="BW15" s="392"/>
      <c r="BX15" s="392"/>
      <c r="BY15" s="392"/>
      <c r="BZ15" s="392"/>
      <c r="CA15" s="392"/>
      <c r="CB15" s="392"/>
      <c r="CC15" s="392"/>
      <c r="CD15" s="392"/>
      <c r="CE15" s="392"/>
      <c r="CF15" s="392"/>
      <c r="CG15" s="392"/>
      <c r="CH15" s="392"/>
      <c r="CI15" s="392"/>
      <c r="CJ15" s="392"/>
      <c r="CK15" s="392"/>
      <c r="CL15" s="392"/>
      <c r="CM15" s="392"/>
      <c r="CN15" s="392"/>
      <c r="CO15" s="392"/>
      <c r="CP15" s="392"/>
      <c r="CQ15" s="392"/>
      <c r="CR15" s="392"/>
      <c r="CS15" s="392"/>
      <c r="CT15" s="392"/>
      <c r="CU15" s="392"/>
      <c r="CV15" s="392"/>
      <c r="CW15" s="392"/>
      <c r="CX15" s="392"/>
      <c r="CY15" s="392"/>
      <c r="CZ15" s="392"/>
      <c r="DA15" s="392"/>
      <c r="DB15" s="392"/>
      <c r="DC15" s="392"/>
      <c r="DD15" s="392"/>
      <c r="DE15" s="392"/>
      <c r="DF15" s="392"/>
      <c r="DG15" s="392"/>
      <c r="DH15" s="392"/>
      <c r="DI15" s="392"/>
      <c r="DJ15" s="392"/>
      <c r="DK15" s="392"/>
      <c r="DL15" s="392"/>
      <c r="DM15" s="392"/>
      <c r="DN15" s="392"/>
      <c r="DO15" s="392"/>
      <c r="DP15" s="392"/>
      <c r="DQ15" s="392"/>
      <c r="DR15" s="392"/>
      <c r="DS15" s="392"/>
      <c r="DT15" s="392"/>
      <c r="DU15" s="392"/>
      <c r="DV15" s="392"/>
      <c r="DW15" s="392"/>
      <c r="DX15" s="392"/>
      <c r="DY15" s="392"/>
      <c r="DZ15" s="392"/>
      <c r="EA15" s="392"/>
      <c r="EB15" s="392"/>
      <c r="EC15" s="392"/>
      <c r="ED15" s="392"/>
      <c r="EE15" s="392"/>
      <c r="EF15" s="392"/>
      <c r="EG15" s="392"/>
      <c r="EH15" s="392"/>
      <c r="EI15" s="392"/>
      <c r="EJ15" s="392"/>
      <c r="EK15" s="392"/>
      <c r="EL15" s="392"/>
      <c r="EM15" s="392"/>
      <c r="EN15" s="392"/>
      <c r="EO15" s="392"/>
      <c r="EP15" s="392"/>
      <c r="EQ15" s="392"/>
      <c r="ER15" s="392"/>
      <c r="ES15" s="392"/>
      <c r="ET15" s="392"/>
      <c r="EU15" s="392"/>
      <c r="EV15" s="392"/>
      <c r="EW15" s="392"/>
      <c r="EX15" s="392"/>
      <c r="EY15" s="392"/>
      <c r="EZ15" s="392"/>
      <c r="FA15" s="392"/>
      <c r="FB15" s="392"/>
      <c r="FC15" s="392"/>
      <c r="FD15" s="392"/>
      <c r="FE15" s="392"/>
      <c r="FF15" s="392"/>
      <c r="FG15" s="392"/>
      <c r="FH15" s="392"/>
      <c r="FI15" s="392"/>
      <c r="FJ15" s="392"/>
      <c r="FK15" s="392"/>
      <c r="FL15" s="392"/>
      <c r="FM15" s="392"/>
      <c r="FN15" s="392"/>
      <c r="FO15" s="392"/>
      <c r="FP15" s="392"/>
      <c r="FQ15" s="392"/>
      <c r="FR15" s="392"/>
      <c r="FS15" s="392"/>
      <c r="FT15" s="392"/>
      <c r="FU15" s="392"/>
      <c r="FV15" s="392"/>
      <c r="FW15" s="392"/>
      <c r="FX15" s="392"/>
      <c r="FY15" s="392"/>
      <c r="FZ15" s="392"/>
      <c r="GA15" s="392"/>
      <c r="GB15" s="392"/>
      <c r="GC15" s="392"/>
      <c r="GD15" s="392"/>
      <c r="GE15" s="392"/>
      <c r="GF15" s="392"/>
      <c r="GG15" s="392"/>
      <c r="GH15" s="392"/>
      <c r="GI15" s="392"/>
      <c r="GJ15" s="392"/>
      <c r="GK15" s="392"/>
      <c r="GL15" s="392"/>
      <c r="GM15" s="392"/>
      <c r="GN15" s="392"/>
      <c r="GO15" s="392"/>
      <c r="GP15" s="392"/>
      <c r="GQ15" s="392"/>
      <c r="GR15" s="392"/>
      <c r="GS15" s="392"/>
      <c r="GT15" s="392"/>
      <c r="GU15" s="392"/>
      <c r="GV15" s="392"/>
      <c r="GW15" s="392"/>
      <c r="GX15" s="392"/>
      <c r="GY15" s="392"/>
      <c r="GZ15" s="392"/>
      <c r="HA15" s="392"/>
      <c r="HB15" s="392"/>
      <c r="HC15" s="392"/>
      <c r="HD15" s="392"/>
      <c r="HE15" s="392"/>
      <c r="HF15" s="392"/>
      <c r="HG15" s="392"/>
      <c r="HH15" s="392"/>
      <c r="HI15" s="392"/>
      <c r="HJ15" s="392"/>
      <c r="HK15" s="392"/>
      <c r="HL15" s="392"/>
      <c r="HM15" s="392"/>
      <c r="HN15" s="392"/>
      <c r="HO15" s="392"/>
      <c r="HP15" s="392"/>
      <c r="HQ15" s="392"/>
      <c r="HR15" s="392"/>
      <c r="HS15" s="392"/>
      <c r="HT15" s="392"/>
      <c r="HU15" s="392"/>
      <c r="HV15" s="392"/>
      <c r="HW15" s="392"/>
      <c r="HX15" s="392"/>
      <c r="HY15" s="392"/>
      <c r="HZ15" s="392"/>
      <c r="IA15" s="392"/>
      <c r="IB15" s="392"/>
      <c r="IC15" s="392"/>
      <c r="ID15" s="392"/>
      <c r="IE15" s="392"/>
      <c r="IF15" s="392"/>
      <c r="IG15" s="392"/>
      <c r="IH15" s="392"/>
      <c r="II15" s="392"/>
      <c r="IJ15" s="392"/>
      <c r="IK15" s="392"/>
      <c r="IL15" s="392"/>
      <c r="IM15" s="392"/>
      <c r="IN15" s="392"/>
      <c r="IO15" s="392"/>
      <c r="IP15" s="392"/>
      <c r="IQ15" s="392"/>
      <c r="IR15" s="392"/>
      <c r="IS15" s="392"/>
      <c r="IT15" s="392"/>
      <c r="IU15" s="392"/>
      <c r="IV15" s="392"/>
      <c r="IW15" s="392"/>
    </row>
    <row r="16" spans="1:257" ht="31.15" customHeight="1" x14ac:dyDescent="0.15">
      <c r="A16" s="398" t="s">
        <v>16</v>
      </c>
      <c r="B16" s="396" t="s">
        <v>17</v>
      </c>
      <c r="C16" s="392"/>
      <c r="D16" s="392"/>
      <c r="E16" s="392"/>
      <c r="F16" s="392"/>
      <c r="G16" s="392"/>
      <c r="H16" s="392"/>
      <c r="I16" s="392"/>
      <c r="J16" s="392"/>
      <c r="K16" s="392"/>
      <c r="L16" s="392"/>
      <c r="M16" s="392"/>
      <c r="N16" s="392"/>
      <c r="O16" s="392"/>
      <c r="P16" s="392"/>
      <c r="Q16" s="392"/>
      <c r="R16" s="392"/>
      <c r="S16" s="392"/>
      <c r="T16" s="392"/>
      <c r="U16" s="392"/>
      <c r="V16" s="392"/>
      <c r="W16" s="392"/>
      <c r="X16" s="392"/>
      <c r="Y16" s="392"/>
      <c r="Z16" s="392"/>
      <c r="AA16" s="392"/>
      <c r="AB16" s="392"/>
      <c r="AC16" s="392"/>
      <c r="AD16" s="392"/>
      <c r="AE16" s="392"/>
      <c r="AF16" s="392"/>
      <c r="AG16" s="392"/>
      <c r="AH16" s="392"/>
      <c r="AI16" s="392"/>
      <c r="AJ16" s="392"/>
      <c r="AK16" s="392"/>
      <c r="AL16" s="392"/>
      <c r="AM16" s="392"/>
      <c r="AN16" s="392"/>
      <c r="AO16" s="392"/>
      <c r="AP16" s="392"/>
      <c r="AQ16" s="392"/>
      <c r="AR16" s="392"/>
      <c r="AS16" s="392"/>
      <c r="AT16" s="392"/>
      <c r="AU16" s="392"/>
      <c r="AV16" s="392"/>
      <c r="AW16" s="392"/>
      <c r="AX16" s="392"/>
      <c r="AY16" s="392"/>
      <c r="AZ16" s="392"/>
      <c r="BA16" s="392"/>
      <c r="BB16" s="392"/>
      <c r="BC16" s="392"/>
      <c r="BD16" s="392"/>
      <c r="BE16" s="392"/>
      <c r="BF16" s="392"/>
      <c r="BG16" s="392"/>
      <c r="BH16" s="392"/>
      <c r="BI16" s="392"/>
      <c r="BJ16" s="392"/>
      <c r="BK16" s="392"/>
      <c r="BL16" s="392"/>
      <c r="BM16" s="392"/>
      <c r="BN16" s="392"/>
      <c r="BO16" s="392"/>
      <c r="BP16" s="392"/>
      <c r="BQ16" s="392"/>
      <c r="BR16" s="392"/>
      <c r="BS16" s="392"/>
      <c r="BT16" s="392"/>
      <c r="BU16" s="392"/>
      <c r="BV16" s="392"/>
      <c r="BW16" s="392"/>
      <c r="BX16" s="392"/>
      <c r="BY16" s="392"/>
      <c r="BZ16" s="392"/>
      <c r="CA16" s="392"/>
      <c r="CB16" s="392"/>
      <c r="CC16" s="392"/>
      <c r="CD16" s="392"/>
      <c r="CE16" s="392"/>
      <c r="CF16" s="392"/>
      <c r="CG16" s="392"/>
      <c r="CH16" s="392"/>
      <c r="CI16" s="392"/>
      <c r="CJ16" s="392"/>
      <c r="CK16" s="392"/>
      <c r="CL16" s="392"/>
      <c r="CM16" s="392"/>
      <c r="CN16" s="392"/>
      <c r="CO16" s="392"/>
      <c r="CP16" s="392"/>
      <c r="CQ16" s="392"/>
      <c r="CR16" s="392"/>
      <c r="CS16" s="392"/>
      <c r="CT16" s="392"/>
      <c r="CU16" s="392"/>
      <c r="CV16" s="392"/>
      <c r="CW16" s="392"/>
      <c r="CX16" s="392"/>
      <c r="CY16" s="392"/>
      <c r="CZ16" s="392"/>
      <c r="DA16" s="392"/>
      <c r="DB16" s="392"/>
      <c r="DC16" s="392"/>
      <c r="DD16" s="392"/>
      <c r="DE16" s="392"/>
      <c r="DF16" s="392"/>
      <c r="DG16" s="392"/>
      <c r="DH16" s="392"/>
      <c r="DI16" s="392"/>
      <c r="DJ16" s="392"/>
      <c r="DK16" s="392"/>
      <c r="DL16" s="392"/>
      <c r="DM16" s="392"/>
      <c r="DN16" s="392"/>
      <c r="DO16" s="392"/>
      <c r="DP16" s="392"/>
      <c r="DQ16" s="392"/>
      <c r="DR16" s="392"/>
      <c r="DS16" s="392"/>
      <c r="DT16" s="392"/>
      <c r="DU16" s="392"/>
      <c r="DV16" s="392"/>
      <c r="DW16" s="392"/>
      <c r="DX16" s="392"/>
      <c r="DY16" s="392"/>
      <c r="DZ16" s="392"/>
      <c r="EA16" s="392"/>
      <c r="EB16" s="392"/>
      <c r="EC16" s="392"/>
      <c r="ED16" s="392"/>
      <c r="EE16" s="392"/>
      <c r="EF16" s="392"/>
      <c r="EG16" s="392"/>
      <c r="EH16" s="392"/>
      <c r="EI16" s="392"/>
      <c r="EJ16" s="392"/>
      <c r="EK16" s="392"/>
      <c r="EL16" s="392"/>
      <c r="EM16" s="392"/>
      <c r="EN16" s="392"/>
      <c r="EO16" s="392"/>
      <c r="EP16" s="392"/>
      <c r="EQ16" s="392"/>
      <c r="ER16" s="392"/>
      <c r="ES16" s="392"/>
      <c r="ET16" s="392"/>
      <c r="EU16" s="392"/>
      <c r="EV16" s="392"/>
      <c r="EW16" s="392"/>
      <c r="EX16" s="392"/>
      <c r="EY16" s="392"/>
      <c r="EZ16" s="392"/>
      <c r="FA16" s="392"/>
      <c r="FB16" s="392"/>
      <c r="FC16" s="392"/>
      <c r="FD16" s="392"/>
      <c r="FE16" s="392"/>
      <c r="FF16" s="392"/>
      <c r="FG16" s="392"/>
      <c r="FH16" s="392"/>
      <c r="FI16" s="392"/>
      <c r="FJ16" s="392"/>
      <c r="FK16" s="392"/>
      <c r="FL16" s="392"/>
      <c r="FM16" s="392"/>
      <c r="FN16" s="392"/>
      <c r="FO16" s="392"/>
      <c r="FP16" s="392"/>
      <c r="FQ16" s="392"/>
      <c r="FR16" s="392"/>
      <c r="FS16" s="392"/>
      <c r="FT16" s="392"/>
      <c r="FU16" s="392"/>
      <c r="FV16" s="392"/>
      <c r="FW16" s="392"/>
      <c r="FX16" s="392"/>
      <c r="FY16" s="392"/>
      <c r="FZ16" s="392"/>
      <c r="GA16" s="392"/>
      <c r="GB16" s="392"/>
      <c r="GC16" s="392"/>
      <c r="GD16" s="392"/>
      <c r="GE16" s="392"/>
      <c r="GF16" s="392"/>
      <c r="GG16" s="392"/>
      <c r="GH16" s="392"/>
      <c r="GI16" s="392"/>
      <c r="GJ16" s="392"/>
      <c r="GK16" s="392"/>
      <c r="GL16" s="392"/>
      <c r="GM16" s="392"/>
      <c r="GN16" s="392"/>
      <c r="GO16" s="392"/>
      <c r="GP16" s="392"/>
      <c r="GQ16" s="392"/>
      <c r="GR16" s="392"/>
      <c r="GS16" s="392"/>
      <c r="GT16" s="392"/>
      <c r="GU16" s="392"/>
      <c r="GV16" s="392"/>
      <c r="GW16" s="392"/>
      <c r="GX16" s="392"/>
      <c r="GY16" s="392"/>
      <c r="GZ16" s="392"/>
      <c r="HA16" s="392"/>
      <c r="HB16" s="392"/>
      <c r="HC16" s="392"/>
      <c r="HD16" s="392"/>
      <c r="HE16" s="392"/>
      <c r="HF16" s="392"/>
      <c r="HG16" s="392"/>
      <c r="HH16" s="392"/>
      <c r="HI16" s="392"/>
      <c r="HJ16" s="392"/>
      <c r="HK16" s="392"/>
      <c r="HL16" s="392"/>
      <c r="HM16" s="392"/>
      <c r="HN16" s="392"/>
      <c r="HO16" s="392"/>
      <c r="HP16" s="392"/>
      <c r="HQ16" s="392"/>
      <c r="HR16" s="392"/>
      <c r="HS16" s="392"/>
      <c r="HT16" s="392"/>
      <c r="HU16" s="392"/>
      <c r="HV16" s="392"/>
      <c r="HW16" s="392"/>
      <c r="HX16" s="392"/>
      <c r="HY16" s="392"/>
      <c r="HZ16" s="392"/>
      <c r="IA16" s="392"/>
      <c r="IB16" s="392"/>
      <c r="IC16" s="392"/>
      <c r="ID16" s="392"/>
      <c r="IE16" s="392"/>
      <c r="IF16" s="392"/>
      <c r="IG16" s="392"/>
      <c r="IH16" s="392"/>
      <c r="II16" s="392"/>
      <c r="IJ16" s="392"/>
      <c r="IK16" s="392"/>
      <c r="IL16" s="392"/>
      <c r="IM16" s="392"/>
      <c r="IN16" s="392"/>
      <c r="IO16" s="392"/>
      <c r="IP16" s="392"/>
      <c r="IQ16" s="392"/>
      <c r="IR16" s="392"/>
      <c r="IS16" s="392"/>
      <c r="IT16" s="392"/>
      <c r="IU16" s="392"/>
      <c r="IV16" s="392"/>
      <c r="IW16" s="392"/>
    </row>
    <row r="17" spans="1:257" ht="27.6" customHeight="1" x14ac:dyDescent="0.15">
      <c r="A17" s="398" t="s">
        <v>18</v>
      </c>
      <c r="B17" s="396" t="s">
        <v>19</v>
      </c>
      <c r="C17" s="392"/>
      <c r="D17" s="392"/>
      <c r="E17" s="392"/>
      <c r="F17" s="392"/>
      <c r="G17" s="392"/>
      <c r="H17" s="392"/>
      <c r="I17" s="392"/>
      <c r="J17" s="392"/>
      <c r="K17" s="392"/>
      <c r="L17" s="392"/>
      <c r="M17" s="392"/>
      <c r="N17" s="392"/>
      <c r="O17" s="392"/>
      <c r="P17" s="392"/>
      <c r="Q17" s="392"/>
      <c r="R17" s="392"/>
      <c r="S17" s="392"/>
      <c r="T17" s="392"/>
      <c r="U17" s="392"/>
      <c r="V17" s="392"/>
      <c r="W17" s="392"/>
      <c r="X17" s="392"/>
      <c r="Y17" s="392"/>
      <c r="Z17" s="392"/>
      <c r="AA17" s="392"/>
      <c r="AB17" s="392"/>
      <c r="AC17" s="392"/>
      <c r="AD17" s="392"/>
      <c r="AE17" s="392"/>
      <c r="AF17" s="392"/>
      <c r="AG17" s="392"/>
      <c r="AH17" s="392"/>
      <c r="AI17" s="392"/>
      <c r="AJ17" s="392"/>
      <c r="AK17" s="392"/>
      <c r="AL17" s="392"/>
      <c r="AM17" s="392"/>
      <c r="AN17" s="392"/>
      <c r="AO17" s="392"/>
      <c r="AP17" s="392"/>
      <c r="AQ17" s="392"/>
      <c r="AR17" s="392"/>
      <c r="AS17" s="392"/>
      <c r="AT17" s="392"/>
      <c r="AU17" s="392"/>
      <c r="AV17" s="392"/>
      <c r="AW17" s="392"/>
      <c r="AX17" s="392"/>
      <c r="AY17" s="392"/>
      <c r="AZ17" s="392"/>
      <c r="BA17" s="392"/>
      <c r="BB17" s="392"/>
      <c r="BC17" s="392"/>
      <c r="BD17" s="392"/>
      <c r="BE17" s="392"/>
      <c r="BF17" s="392"/>
      <c r="BG17" s="392"/>
      <c r="BH17" s="392"/>
      <c r="BI17" s="392"/>
      <c r="BJ17" s="392"/>
      <c r="BK17" s="392"/>
      <c r="BL17" s="392"/>
      <c r="BM17" s="392"/>
      <c r="BN17" s="392"/>
      <c r="BO17" s="392"/>
      <c r="BP17" s="392"/>
      <c r="BQ17" s="392"/>
      <c r="BR17" s="392"/>
      <c r="BS17" s="392"/>
      <c r="BT17" s="392"/>
      <c r="BU17" s="392"/>
      <c r="BV17" s="392"/>
      <c r="BW17" s="392"/>
      <c r="BX17" s="392"/>
      <c r="BY17" s="392"/>
      <c r="BZ17" s="392"/>
      <c r="CA17" s="392"/>
      <c r="CB17" s="392"/>
      <c r="CC17" s="392"/>
      <c r="CD17" s="392"/>
      <c r="CE17" s="392"/>
      <c r="CF17" s="392"/>
      <c r="CG17" s="392"/>
      <c r="CH17" s="392"/>
      <c r="CI17" s="392"/>
      <c r="CJ17" s="392"/>
      <c r="CK17" s="392"/>
      <c r="CL17" s="392"/>
      <c r="CM17" s="392"/>
      <c r="CN17" s="392"/>
      <c r="CO17" s="392"/>
      <c r="CP17" s="392"/>
      <c r="CQ17" s="392"/>
      <c r="CR17" s="392"/>
      <c r="CS17" s="392"/>
      <c r="CT17" s="392"/>
      <c r="CU17" s="392"/>
      <c r="CV17" s="392"/>
      <c r="CW17" s="392"/>
      <c r="CX17" s="392"/>
      <c r="CY17" s="392"/>
      <c r="CZ17" s="392"/>
      <c r="DA17" s="392"/>
      <c r="DB17" s="392"/>
      <c r="DC17" s="392"/>
      <c r="DD17" s="392"/>
      <c r="DE17" s="392"/>
      <c r="DF17" s="392"/>
      <c r="DG17" s="392"/>
      <c r="DH17" s="392"/>
      <c r="DI17" s="392"/>
      <c r="DJ17" s="392"/>
      <c r="DK17" s="392"/>
      <c r="DL17" s="392"/>
      <c r="DM17" s="392"/>
      <c r="DN17" s="392"/>
      <c r="DO17" s="392"/>
      <c r="DP17" s="392"/>
      <c r="DQ17" s="392"/>
      <c r="DR17" s="392"/>
      <c r="DS17" s="392"/>
      <c r="DT17" s="392"/>
      <c r="DU17" s="392"/>
      <c r="DV17" s="392"/>
      <c r="DW17" s="392"/>
      <c r="DX17" s="392"/>
      <c r="DY17" s="392"/>
      <c r="DZ17" s="392"/>
      <c r="EA17" s="392"/>
      <c r="EB17" s="392"/>
      <c r="EC17" s="392"/>
      <c r="ED17" s="392"/>
      <c r="EE17" s="392"/>
      <c r="EF17" s="392"/>
      <c r="EG17" s="392"/>
      <c r="EH17" s="392"/>
      <c r="EI17" s="392"/>
      <c r="EJ17" s="392"/>
      <c r="EK17" s="392"/>
      <c r="EL17" s="392"/>
      <c r="EM17" s="392"/>
      <c r="EN17" s="392"/>
      <c r="EO17" s="392"/>
      <c r="EP17" s="392"/>
      <c r="EQ17" s="392"/>
      <c r="ER17" s="392"/>
      <c r="ES17" s="392"/>
      <c r="ET17" s="392"/>
      <c r="EU17" s="392"/>
      <c r="EV17" s="392"/>
      <c r="EW17" s="392"/>
      <c r="EX17" s="392"/>
      <c r="EY17" s="392"/>
      <c r="EZ17" s="392"/>
      <c r="FA17" s="392"/>
      <c r="FB17" s="392"/>
      <c r="FC17" s="392"/>
      <c r="FD17" s="392"/>
      <c r="FE17" s="392"/>
      <c r="FF17" s="392"/>
      <c r="FG17" s="392"/>
      <c r="FH17" s="392"/>
      <c r="FI17" s="392"/>
      <c r="FJ17" s="392"/>
      <c r="FK17" s="392"/>
      <c r="FL17" s="392"/>
      <c r="FM17" s="392"/>
      <c r="FN17" s="392"/>
      <c r="FO17" s="392"/>
      <c r="FP17" s="392"/>
      <c r="FQ17" s="392"/>
      <c r="FR17" s="392"/>
      <c r="FS17" s="392"/>
      <c r="FT17" s="392"/>
      <c r="FU17" s="392"/>
      <c r="FV17" s="392"/>
      <c r="FW17" s="392"/>
      <c r="FX17" s="392"/>
      <c r="FY17" s="392"/>
      <c r="FZ17" s="392"/>
      <c r="GA17" s="392"/>
      <c r="GB17" s="392"/>
      <c r="GC17" s="392"/>
      <c r="GD17" s="392"/>
      <c r="GE17" s="392"/>
      <c r="GF17" s="392"/>
      <c r="GG17" s="392"/>
      <c r="GH17" s="392"/>
      <c r="GI17" s="392"/>
      <c r="GJ17" s="392"/>
      <c r="GK17" s="392"/>
      <c r="GL17" s="392"/>
      <c r="GM17" s="392"/>
      <c r="GN17" s="392"/>
      <c r="GO17" s="392"/>
      <c r="GP17" s="392"/>
      <c r="GQ17" s="392"/>
      <c r="GR17" s="392"/>
      <c r="GS17" s="392"/>
      <c r="GT17" s="392"/>
      <c r="GU17" s="392"/>
      <c r="GV17" s="392"/>
      <c r="GW17" s="392"/>
      <c r="GX17" s="392"/>
      <c r="GY17" s="392"/>
      <c r="GZ17" s="392"/>
      <c r="HA17" s="392"/>
      <c r="HB17" s="392"/>
      <c r="HC17" s="392"/>
      <c r="HD17" s="392"/>
      <c r="HE17" s="392"/>
      <c r="HF17" s="392"/>
      <c r="HG17" s="392"/>
      <c r="HH17" s="392"/>
      <c r="HI17" s="392"/>
      <c r="HJ17" s="392"/>
      <c r="HK17" s="392"/>
      <c r="HL17" s="392"/>
      <c r="HM17" s="392"/>
      <c r="HN17" s="392"/>
      <c r="HO17" s="392"/>
      <c r="HP17" s="392"/>
      <c r="HQ17" s="392"/>
      <c r="HR17" s="392"/>
      <c r="HS17" s="392"/>
      <c r="HT17" s="392"/>
      <c r="HU17" s="392"/>
      <c r="HV17" s="392"/>
      <c r="HW17" s="392"/>
      <c r="HX17" s="392"/>
      <c r="HY17" s="392"/>
      <c r="HZ17" s="392"/>
      <c r="IA17" s="392"/>
      <c r="IB17" s="392"/>
      <c r="IC17" s="392"/>
      <c r="ID17" s="392"/>
      <c r="IE17" s="392"/>
      <c r="IF17" s="392"/>
      <c r="IG17" s="392"/>
      <c r="IH17" s="392"/>
      <c r="II17" s="392"/>
      <c r="IJ17" s="392"/>
      <c r="IK17" s="392"/>
      <c r="IL17" s="392"/>
      <c r="IM17" s="392"/>
      <c r="IN17" s="392"/>
      <c r="IO17" s="392"/>
      <c r="IP17" s="392"/>
      <c r="IQ17" s="392"/>
      <c r="IR17" s="392"/>
      <c r="IS17" s="392"/>
      <c r="IT17" s="392"/>
      <c r="IU17" s="392"/>
      <c r="IV17" s="392"/>
      <c r="IW17" s="392"/>
    </row>
    <row r="18" spans="1:257" x14ac:dyDescent="0.15">
      <c r="A18" s="386"/>
      <c r="B18" s="399"/>
    </row>
    <row r="19" spans="1:257" x14ac:dyDescent="0.25">
      <c r="A19" s="223"/>
      <c r="B19" s="400"/>
    </row>
    <row r="20" spans="1:257" x14ac:dyDescent="0.25">
      <c r="A20" s="401"/>
      <c r="B20" s="400"/>
    </row>
    <row r="21" spans="1:257" x14ac:dyDescent="0.25">
      <c r="A21" s="402"/>
      <c r="B21" s="403"/>
      <c r="F21" s="404"/>
    </row>
    <row r="22" spans="1:257" x14ac:dyDescent="0.15">
      <c r="A22" s="405"/>
      <c r="B22" s="405"/>
      <c r="E22" s="406"/>
      <c r="F22" s="406"/>
    </row>
    <row r="23" spans="1:257" x14ac:dyDescent="0.15">
      <c r="A23" s="405"/>
      <c r="B23" s="405"/>
    </row>
    <row r="35" spans="12:12" x14ac:dyDescent="0.15">
      <c r="L35" s="404"/>
    </row>
    <row r="77" spans="6:6" x14ac:dyDescent="0.15">
      <c r="F77" s="406"/>
    </row>
    <row r="93" spans="6:6" x14ac:dyDescent="0.15">
      <c r="F93" s="406"/>
    </row>
  </sheetData>
  <mergeCells count="4">
    <mergeCell ref="A4:B4"/>
    <mergeCell ref="B13:IW13"/>
    <mergeCell ref="B14:IW14"/>
    <mergeCell ref="B1:IW3"/>
  </mergeCells>
  <phoneticPr fontId="58"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AG88"/>
  <sheetViews>
    <sheetView showGridLines="0" zoomScale="80" zoomScaleNormal="80" workbookViewId="0">
      <selection activeCell="V55" sqref="V55"/>
    </sheetView>
  </sheetViews>
  <sheetFormatPr defaultColWidth="9" defaultRowHeight="15" x14ac:dyDescent="0.25"/>
  <cols>
    <col min="1" max="1" width="3.625" style="218" customWidth="1"/>
    <col min="2" max="2" width="9" style="218"/>
    <col min="3" max="3" width="19.375" style="218" customWidth="1"/>
    <col min="4" max="4" width="14" style="218" customWidth="1"/>
    <col min="5" max="11" width="10.625" style="218" customWidth="1"/>
    <col min="12" max="12" width="24.375" style="218" customWidth="1"/>
    <col min="13" max="18" width="10.625" style="218" customWidth="1"/>
    <col min="19" max="19" width="10.625" style="219" customWidth="1"/>
    <col min="20" max="20" width="9" style="218"/>
    <col min="21" max="21" width="14.5" style="152" customWidth="1"/>
    <col min="22" max="22" width="13" style="152" customWidth="1"/>
    <col min="23" max="23" width="17.75" style="152" customWidth="1"/>
    <col min="24" max="24" width="10" style="152" customWidth="1"/>
    <col min="25" max="25" width="10.375" style="152" customWidth="1"/>
    <col min="26" max="26" width="12.75" style="152" customWidth="1"/>
    <col min="27" max="27" width="14.25" style="152" customWidth="1"/>
    <col min="28" max="28" width="14.5" style="152" customWidth="1"/>
    <col min="29" max="29" width="13.5" style="152" customWidth="1"/>
    <col min="30" max="33" width="9" style="152"/>
    <col min="34" max="16384" width="9" style="218"/>
  </cols>
  <sheetData>
    <row r="1" spans="2:29" ht="29.25" customHeight="1" x14ac:dyDescent="0.15">
      <c r="B1" s="483" t="s">
        <v>20</v>
      </c>
      <c r="C1" s="483"/>
      <c r="D1" s="483"/>
      <c r="E1" s="483"/>
      <c r="F1" s="483"/>
      <c r="G1" s="483"/>
      <c r="H1" s="483"/>
      <c r="I1" s="483"/>
      <c r="J1" s="483"/>
      <c r="K1" s="483"/>
      <c r="L1" s="483"/>
      <c r="M1" s="483"/>
      <c r="N1" s="483"/>
      <c r="O1" s="483"/>
      <c r="P1" s="483"/>
      <c r="Q1" s="483"/>
      <c r="R1" s="483"/>
      <c r="S1" s="483"/>
      <c r="U1" s="484" t="s">
        <v>4</v>
      </c>
      <c r="V1" s="484"/>
      <c r="W1" s="484"/>
      <c r="X1" s="484"/>
      <c r="Y1" s="485" t="s">
        <v>21</v>
      </c>
      <c r="Z1" s="485"/>
      <c r="AA1" s="485"/>
      <c r="AB1" s="485"/>
      <c r="AC1" s="485"/>
    </row>
    <row r="2" spans="2:29" x14ac:dyDescent="0.25">
      <c r="B2" s="220"/>
      <c r="C2" s="221"/>
      <c r="D2" s="221"/>
      <c r="E2" s="221"/>
      <c r="F2" s="221"/>
      <c r="G2" s="221"/>
      <c r="H2" s="221"/>
      <c r="I2" s="221"/>
      <c r="J2" s="221"/>
      <c r="K2" s="275"/>
      <c r="L2" s="276"/>
      <c r="M2" s="276"/>
      <c r="N2" s="276"/>
      <c r="O2" s="276"/>
      <c r="P2" s="276"/>
      <c r="Q2" s="276"/>
      <c r="R2" s="276"/>
      <c r="S2" s="310"/>
      <c r="U2" s="311" t="s">
        <v>22</v>
      </c>
      <c r="V2" s="312"/>
      <c r="W2" s="313"/>
      <c r="X2" s="314"/>
      <c r="Y2" s="312"/>
      <c r="Z2" s="314"/>
      <c r="AA2" s="314"/>
      <c r="AB2" s="314"/>
      <c r="AC2" s="354"/>
    </row>
    <row r="3" spans="2:29" ht="27.95" customHeight="1" x14ac:dyDescent="0.25">
      <c r="B3" s="222"/>
      <c r="C3" s="486" t="s">
        <v>23</v>
      </c>
      <c r="D3" s="487"/>
      <c r="E3" s="487"/>
      <c r="F3" s="487"/>
      <c r="G3" s="487"/>
      <c r="H3" s="487"/>
      <c r="I3" s="277"/>
      <c r="J3" s="277"/>
      <c r="K3" s="222"/>
      <c r="L3" s="486" t="s">
        <v>24</v>
      </c>
      <c r="M3" s="487"/>
      <c r="N3" s="487"/>
      <c r="O3" s="487"/>
      <c r="P3" s="487"/>
      <c r="Q3" s="487"/>
      <c r="R3" s="221"/>
      <c r="S3" s="288"/>
      <c r="U3" s="315"/>
      <c r="V3" s="316" t="s">
        <v>25</v>
      </c>
      <c r="W3" s="317" t="s">
        <v>4</v>
      </c>
      <c r="X3" s="318"/>
      <c r="Y3" s="331"/>
      <c r="Z3" s="318"/>
      <c r="AA3" s="331"/>
      <c r="AB3" s="318"/>
      <c r="AC3" s="355"/>
    </row>
    <row r="4" spans="2:29" x14ac:dyDescent="0.15">
      <c r="B4" s="222"/>
      <c r="C4" s="221"/>
      <c r="D4" s="221"/>
      <c r="E4" s="221"/>
      <c r="F4" s="221"/>
      <c r="G4" s="221"/>
      <c r="H4" s="221"/>
      <c r="I4" s="221"/>
      <c r="J4" s="221"/>
      <c r="K4" s="222"/>
      <c r="L4" s="221"/>
      <c r="M4" s="221"/>
      <c r="N4" s="221"/>
      <c r="O4" s="221"/>
      <c r="P4" s="221"/>
      <c r="Q4" s="221"/>
      <c r="R4" s="221"/>
      <c r="S4" s="288"/>
      <c r="U4" s="319"/>
      <c r="V4" s="316" t="s">
        <v>26</v>
      </c>
      <c r="W4" s="317" t="s">
        <v>27</v>
      </c>
      <c r="X4" s="318"/>
      <c r="Y4" s="317"/>
      <c r="Z4" s="318"/>
      <c r="AA4" s="317"/>
      <c r="AB4" s="327"/>
      <c r="AC4" s="355"/>
    </row>
    <row r="5" spans="2:29" x14ac:dyDescent="0.15">
      <c r="B5" s="222"/>
      <c r="C5" s="477" t="str">
        <f>封面!B7</f>
        <v>HW356009</v>
      </c>
      <c r="D5" s="478"/>
      <c r="E5" s="478"/>
      <c r="F5" s="478"/>
      <c r="G5" s="478"/>
      <c r="H5" s="479"/>
      <c r="I5" s="278"/>
      <c r="J5" s="278"/>
      <c r="K5" s="222"/>
      <c r="L5" s="477" t="str">
        <f>C5</f>
        <v>HW356009</v>
      </c>
      <c r="M5" s="478"/>
      <c r="N5" s="478"/>
      <c r="O5" s="478"/>
      <c r="P5" s="478"/>
      <c r="Q5" s="479"/>
      <c r="R5" s="221"/>
      <c r="S5" s="288"/>
      <c r="U5" s="319"/>
      <c r="V5" s="316" t="s">
        <v>28</v>
      </c>
      <c r="W5" s="320">
        <v>603.14</v>
      </c>
      <c r="X5" s="318"/>
      <c r="Y5" s="320"/>
      <c r="Z5" s="318"/>
      <c r="AA5" s="320"/>
      <c r="AB5" s="327"/>
      <c r="AC5" s="355"/>
    </row>
    <row r="6" spans="2:29" x14ac:dyDescent="0.15">
      <c r="B6" s="222"/>
      <c r="C6" s="480" t="s">
        <v>29</v>
      </c>
      <c r="D6" s="481"/>
      <c r="E6" s="481"/>
      <c r="F6" s="481"/>
      <c r="G6" s="481"/>
      <c r="H6" s="482"/>
      <c r="I6" s="256"/>
      <c r="J6" s="256"/>
      <c r="K6" s="222"/>
      <c r="L6" s="480" t="s">
        <v>30</v>
      </c>
      <c r="M6" s="481"/>
      <c r="N6" s="481"/>
      <c r="O6" s="481"/>
      <c r="P6" s="481"/>
      <c r="Q6" s="482"/>
      <c r="R6" s="221"/>
      <c r="S6" s="288"/>
      <c r="U6" s="321"/>
      <c r="V6" s="322" t="s">
        <v>31</v>
      </c>
      <c r="W6" s="323">
        <v>0.97099999999999997</v>
      </c>
      <c r="X6" s="324"/>
      <c r="Y6" s="322"/>
      <c r="Z6" s="356"/>
      <c r="AA6" s="322"/>
      <c r="AB6" s="356"/>
      <c r="AC6" s="357"/>
    </row>
    <row r="7" spans="2:29" x14ac:dyDescent="0.2">
      <c r="B7" s="222"/>
      <c r="C7" s="224" t="s">
        <v>32</v>
      </c>
      <c r="D7" s="225">
        <v>1</v>
      </c>
      <c r="E7" s="226">
        <v>2</v>
      </c>
      <c r="F7" s="227">
        <v>3</v>
      </c>
      <c r="G7" s="228" t="s">
        <v>33</v>
      </c>
      <c r="H7" s="228" t="s">
        <v>34</v>
      </c>
      <c r="I7" s="221"/>
      <c r="J7" s="279"/>
      <c r="K7" s="222"/>
      <c r="L7" s="224" t="s">
        <v>32</v>
      </c>
      <c r="M7" s="280">
        <v>4</v>
      </c>
      <c r="N7" s="281">
        <v>5</v>
      </c>
      <c r="O7" s="282">
        <v>6</v>
      </c>
      <c r="P7" s="224" t="s">
        <v>33</v>
      </c>
      <c r="Q7" s="224" t="s">
        <v>34</v>
      </c>
      <c r="R7" s="221"/>
      <c r="S7" s="288"/>
      <c r="U7" s="325" t="s">
        <v>35</v>
      </c>
      <c r="V7" s="316"/>
      <c r="W7" s="326"/>
      <c r="X7" s="327"/>
      <c r="Y7" s="316"/>
      <c r="Z7" s="331"/>
      <c r="AA7" s="331"/>
      <c r="AB7" s="331"/>
      <c r="AC7" s="358"/>
    </row>
    <row r="8" spans="2:29" x14ac:dyDescent="0.15">
      <c r="B8" s="222"/>
      <c r="C8" s="229">
        <v>8.3299999999999999E-2</v>
      </c>
      <c r="D8" s="230">
        <v>958</v>
      </c>
      <c r="E8" s="231">
        <v>839</v>
      </c>
      <c r="F8" s="232">
        <v>706</v>
      </c>
      <c r="G8" s="233">
        <f>AVERAGE(D8:F8)</f>
        <v>834.33333333333337</v>
      </c>
      <c r="H8" s="233">
        <f t="shared" ref="H8:H16" si="0">STDEV(D8:F8)</f>
        <v>126.064798152908</v>
      </c>
      <c r="I8" s="465"/>
      <c r="J8" s="466"/>
      <c r="K8" s="222"/>
      <c r="L8" s="229">
        <v>8.3299999999999999E-2</v>
      </c>
      <c r="M8" s="230">
        <v>8.42</v>
      </c>
      <c r="N8" s="231">
        <v>6.38</v>
      </c>
      <c r="O8" s="232">
        <v>3.36</v>
      </c>
      <c r="P8" s="283">
        <f>AVERAGE(M8:O8)</f>
        <v>6.0533333333333337</v>
      </c>
      <c r="Q8" s="328">
        <f t="shared" ref="Q8:Q16" si="1">STDEV(M8:O8)</f>
        <v>2.54576772965118</v>
      </c>
      <c r="R8" s="221"/>
      <c r="S8" s="288"/>
      <c r="U8" s="475" t="s">
        <v>36</v>
      </c>
      <c r="V8" s="476"/>
      <c r="W8" s="313" t="s">
        <v>37</v>
      </c>
      <c r="X8" s="314"/>
      <c r="Y8" s="359" t="s">
        <v>38</v>
      </c>
      <c r="Z8" s="360" t="s">
        <v>39</v>
      </c>
      <c r="AA8" s="361"/>
      <c r="AB8" s="361"/>
      <c r="AC8" s="362"/>
    </row>
    <row r="9" spans="2:29" x14ac:dyDescent="0.25">
      <c r="B9" s="222"/>
      <c r="C9" s="234">
        <v>0.25</v>
      </c>
      <c r="D9" s="235">
        <v>536</v>
      </c>
      <c r="E9" s="205">
        <v>503</v>
      </c>
      <c r="F9" s="236">
        <v>598</v>
      </c>
      <c r="G9" s="237">
        <f t="shared" ref="G9:G15" si="2">AVERAGE(D9:F9)</f>
        <v>545.66666666666697</v>
      </c>
      <c r="H9" s="238">
        <f t="shared" si="0"/>
        <v>48.232077845903902</v>
      </c>
      <c r="I9" s="465"/>
      <c r="J9" s="466"/>
      <c r="K9" s="222"/>
      <c r="L9" s="234">
        <v>0.25</v>
      </c>
      <c r="M9" s="235">
        <v>66.400000000000006</v>
      </c>
      <c r="N9" s="205">
        <v>67</v>
      </c>
      <c r="O9" s="236">
        <v>60.6</v>
      </c>
      <c r="P9" s="284">
        <f>AVERAGE(M9:O9)</f>
        <v>64.666666666666671</v>
      </c>
      <c r="Q9" s="242">
        <f t="shared" si="1"/>
        <v>3.5345909711497501</v>
      </c>
      <c r="S9" s="329"/>
      <c r="U9" s="473" t="s">
        <v>40</v>
      </c>
      <c r="V9" s="474"/>
      <c r="W9" s="330">
        <v>1</v>
      </c>
      <c r="X9" s="327"/>
      <c r="Y9" s="316"/>
      <c r="Z9" s="327"/>
      <c r="AA9" s="349"/>
      <c r="AB9" s="349"/>
      <c r="AC9" s="363"/>
    </row>
    <row r="10" spans="2:29" x14ac:dyDescent="0.25">
      <c r="B10" s="222"/>
      <c r="C10" s="239">
        <v>0.5</v>
      </c>
      <c r="D10" s="235">
        <v>362</v>
      </c>
      <c r="E10" s="205">
        <v>422</v>
      </c>
      <c r="F10" s="236">
        <v>473</v>
      </c>
      <c r="G10" s="237">
        <f t="shared" si="2"/>
        <v>419</v>
      </c>
      <c r="H10" s="238">
        <f t="shared" si="0"/>
        <v>55.560777532356397</v>
      </c>
      <c r="I10" s="465"/>
      <c r="J10" s="466"/>
      <c r="K10" s="222"/>
      <c r="L10" s="239">
        <v>0.5</v>
      </c>
      <c r="M10" s="235">
        <v>227</v>
      </c>
      <c r="N10" s="205">
        <v>293</v>
      </c>
      <c r="O10" s="236">
        <v>422</v>
      </c>
      <c r="P10" s="285">
        <f t="shared" ref="P10:P15" si="3">AVERAGE(M10:O10)</f>
        <v>314</v>
      </c>
      <c r="Q10" s="238">
        <f t="shared" si="1"/>
        <v>99.181651528899195</v>
      </c>
      <c r="S10" s="329"/>
      <c r="U10" s="473" t="s">
        <v>41</v>
      </c>
      <c r="V10" s="474"/>
      <c r="W10" s="331">
        <v>0.2</v>
      </c>
      <c r="X10" s="327"/>
      <c r="Y10" s="316"/>
      <c r="Z10" s="331"/>
      <c r="AA10" s="331"/>
      <c r="AB10" s="331"/>
      <c r="AC10" s="358"/>
    </row>
    <row r="11" spans="2:29" x14ac:dyDescent="0.25">
      <c r="B11" s="222"/>
      <c r="C11" s="240">
        <v>1</v>
      </c>
      <c r="D11" s="235">
        <v>297</v>
      </c>
      <c r="E11" s="205">
        <v>281</v>
      </c>
      <c r="F11" s="236">
        <v>261</v>
      </c>
      <c r="G11" s="237">
        <f t="shared" si="2"/>
        <v>279.66666666666703</v>
      </c>
      <c r="H11" s="238">
        <f t="shared" si="0"/>
        <v>18.036999011291599</v>
      </c>
      <c r="I11" s="465"/>
      <c r="J11" s="466"/>
      <c r="K11" s="222"/>
      <c r="L11" s="240">
        <v>1</v>
      </c>
      <c r="M11" s="235">
        <v>559</v>
      </c>
      <c r="N11" s="205">
        <v>399</v>
      </c>
      <c r="O11" s="236">
        <v>785</v>
      </c>
      <c r="P11" s="285">
        <f t="shared" si="3"/>
        <v>581</v>
      </c>
      <c r="Q11" s="237">
        <f t="shared" si="1"/>
        <v>193.93813446560699</v>
      </c>
      <c r="S11" s="329"/>
      <c r="U11" s="473" t="s">
        <v>42</v>
      </c>
      <c r="V11" s="474"/>
      <c r="W11" s="332">
        <v>5</v>
      </c>
      <c r="X11" s="327"/>
      <c r="Y11" s="327"/>
      <c r="Z11" s="349"/>
      <c r="AA11" s="349"/>
      <c r="AB11" s="349"/>
      <c r="AC11" s="363"/>
    </row>
    <row r="12" spans="2:29" x14ac:dyDescent="0.15">
      <c r="B12" s="222"/>
      <c r="C12" s="241">
        <v>2</v>
      </c>
      <c r="D12" s="235">
        <v>151</v>
      </c>
      <c r="E12" s="205">
        <v>117</v>
      </c>
      <c r="F12" s="236">
        <v>174</v>
      </c>
      <c r="G12" s="237">
        <f t="shared" si="2"/>
        <v>147.333333333333</v>
      </c>
      <c r="H12" s="238">
        <f t="shared" si="0"/>
        <v>28.6763549520042</v>
      </c>
      <c r="I12" s="465"/>
      <c r="J12" s="466"/>
      <c r="K12" s="222"/>
      <c r="L12" s="241">
        <v>2</v>
      </c>
      <c r="M12" s="235">
        <v>696</v>
      </c>
      <c r="N12" s="205">
        <v>602</v>
      </c>
      <c r="O12" s="236">
        <v>813</v>
      </c>
      <c r="P12" s="285">
        <f>AVERAGE(M12:O12)</f>
        <v>703.66666666666663</v>
      </c>
      <c r="Q12" s="237">
        <f>STDEV(M12:O12)</f>
        <v>105.70871928716842</v>
      </c>
      <c r="R12" s="221"/>
      <c r="S12" s="288"/>
      <c r="U12" s="333"/>
      <c r="V12" s="316"/>
      <c r="W12" s="327"/>
      <c r="X12" s="327"/>
      <c r="Y12" s="327"/>
      <c r="Z12" s="327"/>
      <c r="AA12" s="327"/>
      <c r="AB12" s="327"/>
      <c r="AC12" s="355"/>
    </row>
    <row r="13" spans="2:29" x14ac:dyDescent="0.15">
      <c r="B13" s="222"/>
      <c r="C13" s="241">
        <v>4</v>
      </c>
      <c r="D13" s="235">
        <v>86.1</v>
      </c>
      <c r="E13" s="205">
        <v>77.3</v>
      </c>
      <c r="F13" s="236">
        <v>64.599999999999994</v>
      </c>
      <c r="G13" s="238">
        <f t="shared" si="2"/>
        <v>76</v>
      </c>
      <c r="H13" s="238">
        <f t="shared" si="0"/>
        <v>10.8087927170429</v>
      </c>
      <c r="I13" s="465"/>
      <c r="J13" s="466"/>
      <c r="K13" s="222"/>
      <c r="L13" s="241">
        <v>4</v>
      </c>
      <c r="M13" s="235">
        <v>793</v>
      </c>
      <c r="N13" s="205">
        <v>740</v>
      </c>
      <c r="O13" s="236">
        <v>513</v>
      </c>
      <c r="P13" s="285">
        <f>AVERAGE(M13:O13)</f>
        <v>682</v>
      </c>
      <c r="Q13" s="237">
        <f t="shared" si="1"/>
        <v>148.738024728043</v>
      </c>
      <c r="R13" s="221"/>
      <c r="S13" s="288"/>
      <c r="U13" s="334"/>
      <c r="V13" s="312" t="s">
        <v>36</v>
      </c>
      <c r="W13" s="314" t="s">
        <v>43</v>
      </c>
      <c r="X13" s="314"/>
      <c r="Y13" s="359" t="s">
        <v>38</v>
      </c>
      <c r="Z13" s="360" t="s">
        <v>39</v>
      </c>
      <c r="AA13" s="314"/>
      <c r="AB13" s="314"/>
      <c r="AC13" s="354"/>
    </row>
    <row r="14" spans="2:29" x14ac:dyDescent="0.15">
      <c r="B14" s="222"/>
      <c r="C14" s="241">
        <v>6</v>
      </c>
      <c r="D14" s="235">
        <v>50.3</v>
      </c>
      <c r="E14" s="205">
        <v>46.7</v>
      </c>
      <c r="F14" s="236">
        <v>39.6</v>
      </c>
      <c r="G14" s="238">
        <f t="shared" si="2"/>
        <v>45.533333333333303</v>
      </c>
      <c r="H14" s="242">
        <f t="shared" si="0"/>
        <v>5.4445691595693102</v>
      </c>
      <c r="I14" s="465"/>
      <c r="J14" s="466"/>
      <c r="K14" s="222"/>
      <c r="L14" s="241">
        <v>6</v>
      </c>
      <c r="M14" s="235">
        <v>571</v>
      </c>
      <c r="N14" s="205">
        <v>456</v>
      </c>
      <c r="O14" s="236">
        <v>483</v>
      </c>
      <c r="P14" s="285">
        <f t="shared" si="3"/>
        <v>503.33333333333297</v>
      </c>
      <c r="Q14" s="238">
        <f>STDEV(M14:O14)</f>
        <v>60.135957075058954</v>
      </c>
      <c r="R14" s="221"/>
      <c r="S14" s="288"/>
      <c r="U14" s="333"/>
      <c r="V14" s="316" t="s">
        <v>40</v>
      </c>
      <c r="W14" s="331">
        <v>10</v>
      </c>
      <c r="X14" s="327"/>
      <c r="Y14" s="327"/>
      <c r="Z14" s="327"/>
      <c r="AA14" s="327"/>
      <c r="AB14" s="327"/>
      <c r="AC14" s="355"/>
    </row>
    <row r="15" spans="2:29" x14ac:dyDescent="0.15">
      <c r="B15" s="222"/>
      <c r="C15" s="243">
        <v>8</v>
      </c>
      <c r="D15" s="235">
        <v>31.7</v>
      </c>
      <c r="E15" s="205">
        <v>31.4</v>
      </c>
      <c r="F15" s="236">
        <v>35.799999999999997</v>
      </c>
      <c r="G15" s="238">
        <f t="shared" si="2"/>
        <v>32.966666666666697</v>
      </c>
      <c r="H15" s="242">
        <f>STDEV(D15:F15)</f>
        <v>2.4583192089989714</v>
      </c>
      <c r="I15" s="465"/>
      <c r="J15" s="466"/>
      <c r="K15" s="222"/>
      <c r="L15" s="243">
        <v>8</v>
      </c>
      <c r="M15" s="235">
        <v>424</v>
      </c>
      <c r="N15" s="205">
        <v>441</v>
      </c>
      <c r="O15" s="236">
        <v>310</v>
      </c>
      <c r="P15" s="285">
        <f t="shared" si="3"/>
        <v>391.66666666666703</v>
      </c>
      <c r="Q15" s="238">
        <f t="shared" si="1"/>
        <v>71.234355007491502</v>
      </c>
      <c r="R15" s="221"/>
      <c r="S15" s="288"/>
      <c r="U15" s="333"/>
      <c r="V15" s="316" t="s">
        <v>41</v>
      </c>
      <c r="W15" s="331">
        <v>1</v>
      </c>
      <c r="X15" s="327"/>
      <c r="Y15" s="327"/>
      <c r="Z15" s="327"/>
      <c r="AA15" s="327"/>
      <c r="AB15" s="327"/>
      <c r="AC15" s="355"/>
    </row>
    <row r="16" spans="2:29" x14ac:dyDescent="0.15">
      <c r="B16" s="222"/>
      <c r="C16" s="244">
        <v>24</v>
      </c>
      <c r="D16" s="245">
        <v>2.2799999999999998</v>
      </c>
      <c r="E16" s="246">
        <v>2.31</v>
      </c>
      <c r="F16" s="247">
        <v>3.66</v>
      </c>
      <c r="G16" s="248">
        <f>AVERAGE(D16:F16)</f>
        <v>2.75</v>
      </c>
      <c r="H16" s="248">
        <f t="shared" si="0"/>
        <v>0.78822585595754202</v>
      </c>
      <c r="I16" s="465"/>
      <c r="J16" s="466"/>
      <c r="K16" s="222"/>
      <c r="L16" s="244">
        <v>24</v>
      </c>
      <c r="M16" s="245">
        <v>42.5</v>
      </c>
      <c r="N16" s="246">
        <v>20.100000000000001</v>
      </c>
      <c r="O16" s="247">
        <v>24.4</v>
      </c>
      <c r="P16" s="286">
        <f>AVERAGE(M16:O16)</f>
        <v>29</v>
      </c>
      <c r="Q16" s="335">
        <f t="shared" si="1"/>
        <v>11.8873882749744</v>
      </c>
      <c r="R16" s="221"/>
      <c r="S16" s="288"/>
      <c r="U16" s="333"/>
      <c r="V16" s="316" t="s">
        <v>42</v>
      </c>
      <c r="W16" s="336">
        <v>10</v>
      </c>
      <c r="X16" s="327"/>
      <c r="Y16" s="327"/>
      <c r="Z16" s="327"/>
      <c r="AA16" s="327"/>
      <c r="AB16" s="327"/>
      <c r="AC16" s="355"/>
    </row>
    <row r="17" spans="2:30" x14ac:dyDescent="0.15">
      <c r="B17" s="222"/>
      <c r="C17" s="249"/>
      <c r="D17" s="250"/>
      <c r="E17" s="250"/>
      <c r="F17" s="250"/>
      <c r="G17" s="251"/>
      <c r="H17" s="252"/>
      <c r="I17" s="252"/>
      <c r="J17" s="252"/>
      <c r="K17" s="222"/>
      <c r="L17" s="221"/>
      <c r="M17" s="221"/>
      <c r="N17" s="221"/>
      <c r="O17" s="221"/>
      <c r="P17" s="221"/>
      <c r="Q17" s="221"/>
      <c r="R17" s="221"/>
      <c r="S17" s="288"/>
      <c r="U17" s="337"/>
      <c r="V17" s="338"/>
      <c r="W17" s="338"/>
      <c r="X17" s="338"/>
      <c r="Y17" s="338"/>
      <c r="Z17" s="338"/>
      <c r="AA17" s="338"/>
      <c r="AB17" s="338"/>
      <c r="AC17" s="364"/>
    </row>
    <row r="18" spans="2:30" x14ac:dyDescent="0.15">
      <c r="B18" s="222"/>
      <c r="C18" s="221"/>
      <c r="D18" s="221"/>
      <c r="E18" s="221"/>
      <c r="F18" s="221"/>
      <c r="G18" s="221"/>
      <c r="H18" s="221"/>
      <c r="I18" s="221"/>
      <c r="J18" s="221"/>
      <c r="K18" s="222"/>
      <c r="L18" s="221"/>
      <c r="M18" s="221"/>
      <c r="N18" s="221"/>
      <c r="O18" s="221"/>
      <c r="P18" s="221"/>
      <c r="Q18" s="221"/>
      <c r="R18" s="221"/>
      <c r="S18" s="288"/>
      <c r="U18" s="339"/>
      <c r="V18" s="1"/>
      <c r="W18" s="1"/>
      <c r="X18" s="1"/>
      <c r="Y18" s="1"/>
      <c r="Z18" s="1"/>
      <c r="AA18" s="1"/>
      <c r="AB18" s="1"/>
      <c r="AC18" s="365"/>
    </row>
    <row r="19" spans="2:30" x14ac:dyDescent="0.25">
      <c r="B19" s="222"/>
      <c r="C19" s="221"/>
      <c r="D19" s="221"/>
      <c r="E19" s="221"/>
      <c r="F19" s="221"/>
      <c r="G19" s="221"/>
      <c r="H19" s="221"/>
      <c r="I19" s="221"/>
      <c r="J19" s="221"/>
      <c r="K19" s="222"/>
      <c r="L19" s="221"/>
      <c r="M19" s="221"/>
      <c r="N19" s="221"/>
      <c r="O19" s="221"/>
      <c r="P19" s="221"/>
      <c r="Q19" s="221"/>
      <c r="R19" s="221"/>
      <c r="S19" s="288"/>
      <c r="U19" s="340" t="s">
        <v>44</v>
      </c>
      <c r="V19" s="341"/>
      <c r="W19" s="341"/>
      <c r="X19" s="341"/>
      <c r="Y19" s="341"/>
      <c r="Z19" s="341"/>
      <c r="AA19" s="341"/>
      <c r="AB19" s="341"/>
      <c r="AC19" s="341"/>
      <c r="AD19" s="366"/>
    </row>
    <row r="20" spans="2:30" ht="33.75" customHeight="1" x14ac:dyDescent="0.15">
      <c r="B20" s="222"/>
      <c r="C20" s="221"/>
      <c r="D20" s="221"/>
      <c r="E20" s="221"/>
      <c r="F20" s="221"/>
      <c r="G20" s="221"/>
      <c r="H20" s="221"/>
      <c r="I20" s="221"/>
      <c r="J20" s="221"/>
      <c r="K20" s="222"/>
      <c r="L20" s="221"/>
      <c r="M20" s="221"/>
      <c r="N20" s="221"/>
      <c r="O20" s="221"/>
      <c r="P20" s="221"/>
      <c r="Q20" s="221"/>
      <c r="R20" s="221"/>
      <c r="S20" s="288"/>
      <c r="U20" s="435" t="s">
        <v>45</v>
      </c>
      <c r="V20" s="440" t="s">
        <v>46</v>
      </c>
      <c r="W20" s="440" t="s">
        <v>47</v>
      </c>
      <c r="X20" s="424" t="s">
        <v>48</v>
      </c>
      <c r="Y20" s="424" t="s">
        <v>49</v>
      </c>
      <c r="Z20" s="414" t="s">
        <v>50</v>
      </c>
      <c r="AA20" s="414" t="s">
        <v>51</v>
      </c>
      <c r="AB20" s="415"/>
      <c r="AC20" s="415"/>
      <c r="AD20" s="366"/>
    </row>
    <row r="21" spans="2:30" ht="15" customHeight="1" x14ac:dyDescent="0.15">
      <c r="B21" s="222"/>
      <c r="C21" s="221"/>
      <c r="D21" s="221"/>
      <c r="E21" s="221"/>
      <c r="F21" s="221"/>
      <c r="G21" s="253"/>
      <c r="H21" s="221"/>
      <c r="I21" s="221"/>
      <c r="J21" s="221"/>
      <c r="K21" s="222"/>
      <c r="L21" s="221"/>
      <c r="M21" s="221"/>
      <c r="N21" s="221"/>
      <c r="O21" s="221"/>
      <c r="P21" s="221"/>
      <c r="Q21" s="221"/>
      <c r="R21" s="221"/>
      <c r="S21" s="288"/>
      <c r="U21" s="436"/>
      <c r="V21" s="441"/>
      <c r="W21" s="441"/>
      <c r="X21" s="425"/>
      <c r="Y21" s="425"/>
      <c r="Z21" s="416"/>
      <c r="AA21" s="416"/>
      <c r="AB21" s="417"/>
      <c r="AC21" s="417"/>
      <c r="AD21" s="366"/>
    </row>
    <row r="22" spans="2:30" x14ac:dyDescent="0.15">
      <c r="B22" s="222"/>
      <c r="C22" s="221"/>
      <c r="D22" s="221"/>
      <c r="E22" s="221"/>
      <c r="F22" s="254"/>
      <c r="G22" s="254"/>
      <c r="H22" s="221"/>
      <c r="I22" s="221"/>
      <c r="J22" s="221"/>
      <c r="K22" s="222"/>
      <c r="L22" s="221"/>
      <c r="M22" s="221"/>
      <c r="N22" s="221"/>
      <c r="O22" s="221"/>
      <c r="P22" s="221"/>
      <c r="Q22" s="221"/>
      <c r="R22" s="221"/>
      <c r="S22" s="288"/>
      <c r="U22" s="437" t="s">
        <v>52</v>
      </c>
      <c r="V22" s="442" t="s">
        <v>4</v>
      </c>
      <c r="W22" s="445" t="s">
        <v>53</v>
      </c>
      <c r="X22" s="426">
        <v>20</v>
      </c>
      <c r="Y22" s="429">
        <v>13.2</v>
      </c>
      <c r="Z22" s="432">
        <v>0.64100000000000001</v>
      </c>
      <c r="AA22" s="418">
        <v>0.64100000000000001</v>
      </c>
      <c r="AB22" s="419"/>
      <c r="AC22" s="419"/>
      <c r="AD22" s="366"/>
    </row>
    <row r="23" spans="2:30" ht="34.5" customHeight="1" x14ac:dyDescent="0.15">
      <c r="B23" s="222"/>
      <c r="C23" s="221"/>
      <c r="D23" s="221"/>
      <c r="E23" s="221"/>
      <c r="F23" s="221"/>
      <c r="G23" s="221"/>
      <c r="H23" s="221"/>
      <c r="I23" s="221"/>
      <c r="J23" s="221"/>
      <c r="K23" s="222"/>
      <c r="L23" s="221"/>
      <c r="M23" s="221"/>
      <c r="N23" s="221"/>
      <c r="O23" s="221"/>
      <c r="P23" s="221"/>
      <c r="Q23" s="221"/>
      <c r="R23" s="221"/>
      <c r="S23" s="288"/>
      <c r="U23" s="438"/>
      <c r="V23" s="443"/>
      <c r="W23" s="424"/>
      <c r="X23" s="427"/>
      <c r="Y23" s="430"/>
      <c r="Z23" s="433"/>
      <c r="AA23" s="420"/>
      <c r="AB23" s="421"/>
      <c r="AC23" s="421"/>
      <c r="AD23" s="366"/>
    </row>
    <row r="24" spans="2:30" x14ac:dyDescent="0.15">
      <c r="B24" s="222"/>
      <c r="C24" s="221"/>
      <c r="D24" s="221"/>
      <c r="E24" s="221"/>
      <c r="F24" s="221"/>
      <c r="G24" s="221"/>
      <c r="H24" s="221"/>
      <c r="I24" s="221"/>
      <c r="J24" s="221"/>
      <c r="K24" s="222"/>
      <c r="L24" s="221"/>
      <c r="M24" s="221"/>
      <c r="N24" s="221"/>
      <c r="O24" s="221"/>
      <c r="P24" s="221"/>
      <c r="Q24" s="221"/>
      <c r="R24" s="221"/>
      <c r="S24" s="288"/>
      <c r="U24" s="439"/>
      <c r="V24" s="444"/>
      <c r="W24" s="425"/>
      <c r="X24" s="428"/>
      <c r="Y24" s="431"/>
      <c r="Z24" s="434"/>
      <c r="AA24" s="422"/>
      <c r="AB24" s="423"/>
      <c r="AC24" s="423"/>
      <c r="AD24" s="366"/>
    </row>
    <row r="25" spans="2:30" x14ac:dyDescent="0.15">
      <c r="B25" s="222"/>
      <c r="C25" s="255"/>
      <c r="D25" s="250"/>
      <c r="E25" s="250"/>
      <c r="F25" s="250"/>
      <c r="G25" s="256"/>
      <c r="H25" s="251"/>
      <c r="I25" s="251"/>
      <c r="J25" s="251"/>
      <c r="K25" s="222"/>
      <c r="L25" s="221"/>
      <c r="M25" s="221"/>
      <c r="N25" s="221"/>
      <c r="O25" s="221"/>
      <c r="P25" s="221"/>
      <c r="Q25" s="221"/>
      <c r="R25" s="221"/>
      <c r="S25" s="288"/>
      <c r="U25" s="342"/>
      <c r="V25" s="343"/>
      <c r="W25" s="344"/>
      <c r="X25" s="345"/>
      <c r="Y25" s="367"/>
      <c r="Z25" s="368"/>
      <c r="AA25" s="369"/>
      <c r="AB25" s="369"/>
      <c r="AC25" s="370"/>
    </row>
    <row r="26" spans="2:30" x14ac:dyDescent="0.15">
      <c r="B26" s="222"/>
      <c r="C26" s="255"/>
      <c r="D26" s="250"/>
      <c r="E26" s="250"/>
      <c r="F26" s="250"/>
      <c r="G26" s="256"/>
      <c r="H26" s="251"/>
      <c r="I26" s="251"/>
      <c r="J26" s="251"/>
      <c r="K26" s="222"/>
      <c r="L26" s="221"/>
      <c r="M26" s="221"/>
      <c r="N26" s="221"/>
      <c r="O26" s="221"/>
      <c r="P26" s="221"/>
      <c r="Q26" s="221"/>
      <c r="R26" s="221"/>
      <c r="S26" s="288"/>
      <c r="U26" s="311" t="s">
        <v>54</v>
      </c>
      <c r="V26" s="314"/>
      <c r="W26" s="346"/>
      <c r="X26" s="346"/>
      <c r="Y26" s="346"/>
      <c r="Z26" s="314"/>
      <c r="AA26" s="371"/>
      <c r="AB26" s="371"/>
      <c r="AC26" s="372"/>
    </row>
    <row r="27" spans="2:30" x14ac:dyDescent="0.15">
      <c r="B27" s="222"/>
      <c r="C27" s="255"/>
      <c r="D27" s="250"/>
      <c r="E27" s="250"/>
      <c r="F27" s="250"/>
      <c r="G27" s="256"/>
      <c r="H27" s="251"/>
      <c r="I27" s="251"/>
      <c r="J27" s="251"/>
      <c r="K27" s="222"/>
      <c r="L27" s="221"/>
      <c r="M27" s="221"/>
      <c r="N27" s="221"/>
      <c r="O27" s="221"/>
      <c r="P27" s="221"/>
      <c r="Q27" s="221"/>
      <c r="R27" s="221"/>
      <c r="S27" s="288"/>
      <c r="U27" s="333" t="s">
        <v>55</v>
      </c>
      <c r="V27" s="331"/>
      <c r="W27" s="327"/>
      <c r="X27" s="327"/>
      <c r="Y27" s="349"/>
      <c r="Z27" s="327"/>
      <c r="AA27" s="349"/>
      <c r="AB27" s="349"/>
      <c r="AC27" s="363"/>
    </row>
    <row r="28" spans="2:30" x14ac:dyDescent="0.25">
      <c r="B28" s="222"/>
      <c r="C28" s="221"/>
      <c r="D28" s="221"/>
      <c r="E28" s="221"/>
      <c r="F28" s="221"/>
      <c r="G28" s="221"/>
      <c r="H28" s="221"/>
      <c r="I28" s="221"/>
      <c r="J28" s="221"/>
      <c r="K28" s="222"/>
      <c r="L28" s="221"/>
      <c r="M28" s="221"/>
      <c r="N28" s="221"/>
      <c r="O28" s="221"/>
      <c r="P28" s="221"/>
      <c r="Q28" s="221"/>
      <c r="R28" s="221"/>
      <c r="S28" s="329"/>
      <c r="U28" s="333" t="s">
        <v>56</v>
      </c>
      <c r="V28" s="331"/>
      <c r="W28" s="327"/>
      <c r="X28" s="327"/>
      <c r="Y28" s="349"/>
      <c r="Z28" s="327"/>
      <c r="AA28" s="349"/>
      <c r="AB28" s="349"/>
      <c r="AC28" s="363"/>
    </row>
    <row r="29" spans="2:30" x14ac:dyDescent="0.25">
      <c r="B29" s="222"/>
      <c r="C29" s="221"/>
      <c r="D29" s="221"/>
      <c r="E29" s="221"/>
      <c r="F29" s="221"/>
      <c r="G29" s="221"/>
      <c r="H29" s="221"/>
      <c r="I29" s="221"/>
      <c r="J29" s="221"/>
      <c r="K29" s="222"/>
      <c r="L29" s="221"/>
      <c r="M29" s="221"/>
      <c r="N29" s="221"/>
      <c r="O29" s="221"/>
      <c r="P29" s="221"/>
      <c r="Q29" s="221"/>
      <c r="R29" s="221"/>
      <c r="S29" s="329"/>
      <c r="U29" s="333" t="s">
        <v>57</v>
      </c>
      <c r="V29" s="331"/>
      <c r="W29" s="327"/>
      <c r="X29" s="327"/>
      <c r="Y29" s="349"/>
      <c r="Z29" s="327"/>
      <c r="AA29" s="349"/>
      <c r="AB29" s="349"/>
      <c r="AC29" s="363"/>
    </row>
    <row r="30" spans="2:30" x14ac:dyDescent="0.25">
      <c r="B30" s="222"/>
      <c r="C30" s="221"/>
      <c r="D30" s="221"/>
      <c r="E30" s="221"/>
      <c r="F30" s="221"/>
      <c r="G30" s="221"/>
      <c r="H30" s="221"/>
      <c r="I30" s="221"/>
      <c r="J30" s="221"/>
      <c r="K30" s="222"/>
      <c r="L30" s="221"/>
      <c r="M30" s="221"/>
      <c r="N30" s="221"/>
      <c r="O30" s="221"/>
      <c r="P30" s="221"/>
      <c r="Q30" s="221"/>
      <c r="R30" s="221"/>
      <c r="S30" s="329"/>
      <c r="U30" s="333" t="s">
        <v>58</v>
      </c>
      <c r="V30" s="331"/>
      <c r="W30" s="327"/>
      <c r="X30" s="327"/>
      <c r="Y30" s="349"/>
      <c r="Z30" s="327"/>
      <c r="AA30" s="327"/>
      <c r="AB30" s="349"/>
      <c r="AC30" s="363"/>
    </row>
    <row r="31" spans="2:30" ht="15" customHeight="1" x14ac:dyDescent="0.25">
      <c r="B31" s="222"/>
      <c r="C31" s="221"/>
      <c r="D31" s="221"/>
      <c r="E31" s="221"/>
      <c r="F31" s="221"/>
      <c r="G31" s="221"/>
      <c r="H31" s="221"/>
      <c r="I31" s="221"/>
      <c r="J31" s="221"/>
      <c r="K31" s="222"/>
      <c r="L31" s="221"/>
      <c r="M31" s="221"/>
      <c r="N31" s="221"/>
      <c r="O31" s="221"/>
      <c r="P31" s="221"/>
      <c r="Q31" s="221"/>
      <c r="R31" s="221"/>
      <c r="S31" s="329"/>
      <c r="U31" s="333" t="s">
        <v>59</v>
      </c>
      <c r="V31" s="331"/>
      <c r="W31" s="327"/>
      <c r="X31" s="327"/>
      <c r="Y31" s="349"/>
      <c r="Z31" s="327"/>
      <c r="AA31" s="327"/>
      <c r="AB31" s="349"/>
      <c r="AC31" s="363"/>
    </row>
    <row r="32" spans="2:30" x14ac:dyDescent="0.25">
      <c r="B32" s="222"/>
      <c r="C32" s="221"/>
      <c r="D32" s="221"/>
      <c r="E32" s="221"/>
      <c r="F32" s="221"/>
      <c r="G32" s="221"/>
      <c r="H32" s="221"/>
      <c r="I32" s="221"/>
      <c r="J32" s="221"/>
      <c r="K32" s="222"/>
      <c r="L32" s="221"/>
      <c r="M32" s="221"/>
      <c r="N32" s="221"/>
      <c r="O32" s="221"/>
      <c r="P32" s="221"/>
      <c r="Q32" s="221"/>
      <c r="R32" s="221"/>
      <c r="S32" s="329"/>
      <c r="U32" s="315"/>
      <c r="V32" s="327"/>
      <c r="W32" s="1"/>
      <c r="X32" s="327"/>
      <c r="Y32" s="1"/>
      <c r="Z32" s="1"/>
      <c r="AA32" s="349"/>
      <c r="AB32" s="349"/>
      <c r="AC32" s="363"/>
    </row>
    <row r="33" spans="2:29" x14ac:dyDescent="0.25">
      <c r="B33" s="257"/>
      <c r="C33" s="258"/>
      <c r="D33" s="258"/>
      <c r="E33" s="258"/>
      <c r="F33" s="258"/>
      <c r="G33" s="258"/>
      <c r="H33" s="258"/>
      <c r="I33" s="258"/>
      <c r="J33" s="258"/>
      <c r="K33" s="257"/>
      <c r="L33" s="258"/>
      <c r="M33" s="258"/>
      <c r="N33" s="258"/>
      <c r="O33" s="258"/>
      <c r="P33" s="258"/>
      <c r="Q33" s="258"/>
      <c r="R33" s="258"/>
      <c r="S33" s="347"/>
      <c r="U33" s="315" t="s">
        <v>60</v>
      </c>
      <c r="V33" s="327"/>
      <c r="W33" s="1"/>
      <c r="X33" s="1"/>
      <c r="Y33" s="1"/>
      <c r="Z33" s="1"/>
      <c r="AA33" s="349"/>
      <c r="AB33" s="349"/>
      <c r="AC33" s="363"/>
    </row>
    <row r="34" spans="2:29" ht="15" customHeight="1" x14ac:dyDescent="0.25">
      <c r="B34" s="259"/>
      <c r="C34" s="470" t="s">
        <v>61</v>
      </c>
      <c r="D34" s="471"/>
      <c r="E34" s="471"/>
      <c r="F34" s="471"/>
      <c r="G34" s="471"/>
      <c r="H34" s="471"/>
      <c r="I34" s="471"/>
      <c r="J34" s="287"/>
      <c r="K34" s="259"/>
      <c r="L34" s="470" t="s">
        <v>62</v>
      </c>
      <c r="M34" s="471"/>
      <c r="N34" s="471"/>
      <c r="O34" s="471"/>
      <c r="P34" s="471"/>
      <c r="Q34" s="471"/>
      <c r="R34" s="471"/>
      <c r="S34" s="310"/>
      <c r="U34" s="333" t="s">
        <v>63</v>
      </c>
      <c r="V34" s="331"/>
      <c r="W34" s="327"/>
      <c r="X34" s="327"/>
      <c r="Y34" s="349"/>
      <c r="Z34" s="327"/>
      <c r="AA34" s="349"/>
      <c r="AB34" s="349"/>
      <c r="AC34" s="363"/>
    </row>
    <row r="35" spans="2:29" ht="15" customHeight="1" x14ac:dyDescent="0.25">
      <c r="B35" s="222"/>
      <c r="C35" s="472"/>
      <c r="D35" s="472"/>
      <c r="E35" s="472"/>
      <c r="F35" s="472"/>
      <c r="G35" s="472"/>
      <c r="H35" s="472"/>
      <c r="I35" s="472"/>
      <c r="J35" s="288"/>
      <c r="K35" s="222"/>
      <c r="L35" s="472"/>
      <c r="M35" s="472"/>
      <c r="N35" s="472"/>
      <c r="O35" s="472"/>
      <c r="P35" s="472"/>
      <c r="Q35" s="472"/>
      <c r="R35" s="472"/>
      <c r="S35" s="329"/>
      <c r="U35" s="333" t="s">
        <v>64</v>
      </c>
      <c r="V35" s="331"/>
      <c r="W35" s="327"/>
      <c r="X35" s="327"/>
      <c r="Y35" s="349"/>
      <c r="Z35" s="327"/>
      <c r="AA35" s="349"/>
      <c r="AB35" s="349"/>
      <c r="AC35" s="363"/>
    </row>
    <row r="36" spans="2:29" x14ac:dyDescent="0.25">
      <c r="B36" s="222"/>
      <c r="C36" s="260" t="s">
        <v>65</v>
      </c>
      <c r="D36" s="467" t="s">
        <v>66</v>
      </c>
      <c r="E36" s="468"/>
      <c r="F36" s="469"/>
      <c r="G36" s="448" t="s">
        <v>67</v>
      </c>
      <c r="H36" s="451" t="s">
        <v>33</v>
      </c>
      <c r="I36" s="448" t="s">
        <v>34</v>
      </c>
      <c r="J36" s="288"/>
      <c r="K36" s="289"/>
      <c r="L36" s="290" t="s">
        <v>65</v>
      </c>
      <c r="M36" s="467" t="s">
        <v>66</v>
      </c>
      <c r="N36" s="468"/>
      <c r="O36" s="469"/>
      <c r="P36" s="451" t="s">
        <v>67</v>
      </c>
      <c r="Q36" s="451" t="s">
        <v>33</v>
      </c>
      <c r="R36" s="448" t="s">
        <v>34</v>
      </c>
      <c r="S36" s="329"/>
      <c r="U36" s="333" t="s">
        <v>68</v>
      </c>
      <c r="V36" s="331"/>
      <c r="W36" s="327"/>
      <c r="X36" s="327"/>
      <c r="Y36" s="349"/>
      <c r="Z36" s="327"/>
      <c r="AA36" s="327"/>
      <c r="AB36" s="349"/>
      <c r="AC36" s="363"/>
    </row>
    <row r="37" spans="2:29" x14ac:dyDescent="0.25">
      <c r="B37" s="222"/>
      <c r="C37" s="261" t="s">
        <v>69</v>
      </c>
      <c r="D37" s="262">
        <v>1</v>
      </c>
      <c r="E37" s="262">
        <v>2</v>
      </c>
      <c r="F37" s="262">
        <v>3</v>
      </c>
      <c r="G37" s="449"/>
      <c r="H37" s="452"/>
      <c r="I37" s="449"/>
      <c r="J37" s="288"/>
      <c r="K37" s="291"/>
      <c r="L37" s="292" t="s">
        <v>69</v>
      </c>
      <c r="M37" s="293">
        <v>4</v>
      </c>
      <c r="N37" s="293">
        <v>5</v>
      </c>
      <c r="O37" s="293">
        <v>6</v>
      </c>
      <c r="P37" s="452"/>
      <c r="Q37" s="452"/>
      <c r="R37" s="449"/>
      <c r="S37" s="329"/>
      <c r="U37" s="333" t="s">
        <v>70</v>
      </c>
      <c r="V37" s="331"/>
      <c r="W37" s="327"/>
      <c r="X37" s="327"/>
      <c r="Y37" s="349"/>
      <c r="Z37" s="327"/>
      <c r="AA37" s="327"/>
      <c r="AB37" s="349"/>
      <c r="AC37" s="363"/>
    </row>
    <row r="38" spans="2:29" x14ac:dyDescent="0.25">
      <c r="B38" s="222"/>
      <c r="C38" s="263" t="s">
        <v>71</v>
      </c>
      <c r="D38" s="454" t="str">
        <f>C5</f>
        <v>HW356009</v>
      </c>
      <c r="E38" s="455"/>
      <c r="F38" s="456"/>
      <c r="G38" s="449"/>
      <c r="H38" s="452"/>
      <c r="I38" s="449"/>
      <c r="J38" s="288"/>
      <c r="K38" s="294"/>
      <c r="L38" s="295" t="s">
        <v>71</v>
      </c>
      <c r="M38" s="454" t="str">
        <f>L5</f>
        <v>HW356009</v>
      </c>
      <c r="N38" s="455"/>
      <c r="O38" s="456"/>
      <c r="P38" s="452"/>
      <c r="Q38" s="452"/>
      <c r="R38" s="449"/>
      <c r="S38" s="329"/>
      <c r="U38" s="337"/>
      <c r="V38" s="338"/>
      <c r="W38" s="348"/>
      <c r="X38" s="348"/>
      <c r="Y38" s="348"/>
      <c r="Z38" s="338"/>
      <c r="AA38" s="338"/>
      <c r="AB38" s="348"/>
      <c r="AC38" s="357"/>
    </row>
    <row r="39" spans="2:29" x14ac:dyDescent="0.25">
      <c r="B39" s="222"/>
      <c r="C39" s="263" t="s">
        <v>45</v>
      </c>
      <c r="D39" s="454" t="s">
        <v>37</v>
      </c>
      <c r="E39" s="455"/>
      <c r="F39" s="456"/>
      <c r="G39" s="449"/>
      <c r="H39" s="452"/>
      <c r="I39" s="449"/>
      <c r="J39" s="288"/>
      <c r="K39" s="294"/>
      <c r="L39" s="295" t="s">
        <v>45</v>
      </c>
      <c r="M39" s="457" t="s">
        <v>43</v>
      </c>
      <c r="N39" s="458"/>
      <c r="O39" s="459"/>
      <c r="P39" s="452"/>
      <c r="Q39" s="452"/>
      <c r="R39" s="449"/>
      <c r="S39" s="329"/>
      <c r="U39" s="333"/>
      <c r="V39" s="349"/>
      <c r="W39" s="349"/>
      <c r="X39" s="349"/>
      <c r="Y39" s="349"/>
      <c r="Z39" s="327"/>
      <c r="AA39" s="349"/>
      <c r="AB39" s="349"/>
      <c r="AC39" s="363"/>
    </row>
    <row r="40" spans="2:29" x14ac:dyDescent="0.25">
      <c r="B40" s="222"/>
      <c r="C40" s="263" t="s">
        <v>72</v>
      </c>
      <c r="D40" s="264">
        <v>1</v>
      </c>
      <c r="E40" s="460" t="s">
        <v>73</v>
      </c>
      <c r="F40" s="461"/>
      <c r="G40" s="450"/>
      <c r="H40" s="453"/>
      <c r="I40" s="450"/>
      <c r="J40" s="288"/>
      <c r="K40" s="294"/>
      <c r="L40" s="295" t="s">
        <v>72</v>
      </c>
      <c r="M40" s="264">
        <v>10</v>
      </c>
      <c r="N40" s="460" t="s">
        <v>73</v>
      </c>
      <c r="O40" s="461"/>
      <c r="P40" s="453"/>
      <c r="Q40" s="453"/>
      <c r="R40" s="450"/>
      <c r="S40" s="329"/>
      <c r="U40" s="275" t="s">
        <v>74</v>
      </c>
      <c r="V40" s="276"/>
      <c r="W40" s="276"/>
      <c r="X40" s="276"/>
      <c r="Y40" s="276"/>
      <c r="Z40" s="373"/>
      <c r="AA40" s="373"/>
      <c r="AB40" s="373"/>
      <c r="AC40" s="374"/>
    </row>
    <row r="41" spans="2:29" x14ac:dyDescent="0.25">
      <c r="B41" s="222"/>
      <c r="C41" s="263" t="s">
        <v>75</v>
      </c>
      <c r="D41" s="265">
        <f>PK参数!F3</f>
        <v>0.99723004999999998</v>
      </c>
      <c r="E41" s="265">
        <f>PK参数!F4</f>
        <v>0.99917769999999995</v>
      </c>
      <c r="F41" s="265">
        <f>PK参数!F5</f>
        <v>0.99218881999999997</v>
      </c>
      <c r="G41" s="262">
        <v>3</v>
      </c>
      <c r="H41" s="266">
        <f t="shared" ref="H41:H55" si="4">AVERAGE(D41:F41)</f>
        <v>0.99619885666666697</v>
      </c>
      <c r="I41" s="296">
        <f t="shared" ref="I41:I55" si="5">STDEV(D41:F41)</f>
        <v>3.60674793708034E-3</v>
      </c>
      <c r="J41" s="288"/>
      <c r="K41" s="297"/>
      <c r="L41" s="295" t="s">
        <v>75</v>
      </c>
      <c r="M41" s="265">
        <f>PK参数!F7</f>
        <v>0.99997776000000005</v>
      </c>
      <c r="N41" s="265">
        <f>PK参数!F8</f>
        <v>0.98304411999999997</v>
      </c>
      <c r="O41" s="267">
        <f>PK参数!F9</f>
        <v>0.99733130999999997</v>
      </c>
      <c r="P41" s="293">
        <v>3</v>
      </c>
      <c r="Q41" s="266">
        <f t="shared" ref="Q41:Q52" si="6">AVERAGE(M41:O41)</f>
        <v>0.993451063333333</v>
      </c>
      <c r="R41" s="296">
        <f t="shared" ref="R41:R53" si="7">STDEV(M41:O41)</f>
        <v>9.1092961615063302E-3</v>
      </c>
      <c r="S41" s="329"/>
      <c r="U41" s="222"/>
      <c r="V41" s="221"/>
      <c r="W41" s="221"/>
      <c r="X41" s="221"/>
      <c r="Y41" s="221"/>
      <c r="Z41" s="375"/>
      <c r="AA41" s="375"/>
      <c r="AB41" s="375"/>
      <c r="AC41" s="376"/>
    </row>
    <row r="42" spans="2:29" ht="21" customHeight="1" x14ac:dyDescent="0.25">
      <c r="B42" s="222"/>
      <c r="C42" s="263" t="s">
        <v>76</v>
      </c>
      <c r="D42" s="267">
        <f>PK参数!H3</f>
        <v>3</v>
      </c>
      <c r="E42" s="267">
        <f>PK参数!H4</f>
        <v>3</v>
      </c>
      <c r="F42" s="267">
        <f>PK参数!H5</f>
        <v>4</v>
      </c>
      <c r="G42" s="262">
        <v>3</v>
      </c>
      <c r="H42" s="268">
        <f t="shared" si="4"/>
        <v>3.3333333333333299</v>
      </c>
      <c r="I42" s="268">
        <f t="shared" si="5"/>
        <v>0.57735026918962595</v>
      </c>
      <c r="J42" s="288"/>
      <c r="K42" s="297"/>
      <c r="L42" s="295" t="s">
        <v>76</v>
      </c>
      <c r="M42" s="267">
        <f>PK参数!H7</f>
        <v>3</v>
      </c>
      <c r="N42" s="267">
        <f>PK参数!H8</f>
        <v>3</v>
      </c>
      <c r="O42" s="267">
        <f>PK参数!H9</f>
        <v>3</v>
      </c>
      <c r="P42" s="293">
        <v>3</v>
      </c>
      <c r="Q42" s="268">
        <f t="shared" si="6"/>
        <v>3</v>
      </c>
      <c r="R42" s="266">
        <f t="shared" si="7"/>
        <v>0</v>
      </c>
      <c r="S42" s="329"/>
      <c r="U42" s="462" t="s">
        <v>77</v>
      </c>
      <c r="V42" s="463"/>
      <c r="W42" s="463"/>
      <c r="X42" s="463"/>
      <c r="Y42" s="463"/>
      <c r="Z42" s="463"/>
      <c r="AA42" s="463"/>
      <c r="AB42" s="463"/>
      <c r="AC42" s="464"/>
    </row>
    <row r="43" spans="2:29" x14ac:dyDescent="0.25">
      <c r="B43" s="222"/>
      <c r="C43" s="263" t="s">
        <v>78</v>
      </c>
      <c r="D43" s="267">
        <f>PK参数!S3</f>
        <v>24</v>
      </c>
      <c r="E43" s="267">
        <f>PK参数!S4</f>
        <v>24</v>
      </c>
      <c r="F43" s="267">
        <f>PK参数!S5</f>
        <v>24</v>
      </c>
      <c r="G43" s="262">
        <v>3</v>
      </c>
      <c r="H43" s="268">
        <f t="shared" si="4"/>
        <v>24</v>
      </c>
      <c r="I43" s="268">
        <f t="shared" si="5"/>
        <v>0</v>
      </c>
      <c r="J43" s="288"/>
      <c r="K43" s="297"/>
      <c r="L43" s="295" t="s">
        <v>78</v>
      </c>
      <c r="M43" s="298">
        <f>PK参数!S7</f>
        <v>24</v>
      </c>
      <c r="N43" s="298">
        <f>PK参数!S8</f>
        <v>24</v>
      </c>
      <c r="O43" s="298">
        <f>PK参数!S9</f>
        <v>24</v>
      </c>
      <c r="P43" s="293">
        <v>3</v>
      </c>
      <c r="Q43" s="299">
        <f t="shared" si="6"/>
        <v>24</v>
      </c>
      <c r="R43" s="268">
        <f t="shared" si="7"/>
        <v>0</v>
      </c>
      <c r="S43" s="329"/>
      <c r="U43" s="257"/>
      <c r="V43" s="258"/>
      <c r="W43" s="258"/>
      <c r="X43" s="258"/>
      <c r="Y43" s="258"/>
      <c r="Z43" s="378"/>
      <c r="AA43" s="378"/>
      <c r="AB43" s="378"/>
      <c r="AC43" s="379"/>
    </row>
    <row r="44" spans="2:29" ht="16.5" x14ac:dyDescent="0.25">
      <c r="B44" s="222"/>
      <c r="C44" s="261" t="s">
        <v>79</v>
      </c>
      <c r="D44" s="267">
        <f>PK参数!M3</f>
        <v>4.1001925999999997</v>
      </c>
      <c r="E44" s="267">
        <f>PK参数!M4</f>
        <v>4.1876901999999996</v>
      </c>
      <c r="F44" s="267">
        <f>PK参数!M5</f>
        <v>4.9599093999999999</v>
      </c>
      <c r="G44" s="262">
        <v>3</v>
      </c>
      <c r="H44" s="268">
        <f t="shared" si="4"/>
        <v>4.4159307333333304</v>
      </c>
      <c r="I44" s="266">
        <f t="shared" si="5"/>
        <v>0.47312635716346801</v>
      </c>
      <c r="J44" s="288"/>
      <c r="K44" s="291"/>
      <c r="L44" s="292" t="s">
        <v>79</v>
      </c>
      <c r="M44" s="267">
        <f>PK参数!M7</f>
        <v>4.8098093999999998</v>
      </c>
      <c r="N44" s="267">
        <f>PK参数!M8</f>
        <v>3.8307017000000001</v>
      </c>
      <c r="O44" s="267">
        <f>PK参数!M9</f>
        <v>4.2477726999999996</v>
      </c>
      <c r="P44" s="293">
        <v>3</v>
      </c>
      <c r="Q44" s="268">
        <f t="shared" si="6"/>
        <v>4.2960946</v>
      </c>
      <c r="R44" s="266">
        <f t="shared" si="7"/>
        <v>0.49133921740944903</v>
      </c>
      <c r="S44" s="329"/>
      <c r="U44" s="222"/>
      <c r="V44" s="218"/>
      <c r="W44" s="218"/>
      <c r="X44" s="218"/>
      <c r="Y44" s="218"/>
      <c r="Z44" s="380"/>
      <c r="AA44" s="380"/>
      <c r="AB44" s="380"/>
      <c r="AC44" s="376"/>
    </row>
    <row r="45" spans="2:29" ht="16.5" x14ac:dyDescent="0.25">
      <c r="B45" s="222"/>
      <c r="C45" s="269" t="s">
        <v>80</v>
      </c>
      <c r="D45" s="270">
        <f>PK参数!O3</f>
        <v>8.3299999999999999E-2</v>
      </c>
      <c r="E45" s="270">
        <f>PK参数!O4</f>
        <v>8.3299999999999999E-2</v>
      </c>
      <c r="F45" s="270">
        <f>PK参数!O5</f>
        <v>8.3299999999999999E-2</v>
      </c>
      <c r="G45" s="262">
        <v>3</v>
      </c>
      <c r="H45" s="271">
        <f t="shared" si="4"/>
        <v>8.3299999999999999E-2</v>
      </c>
      <c r="I45" s="268">
        <f t="shared" si="5"/>
        <v>0</v>
      </c>
      <c r="J45" s="288"/>
      <c r="K45" s="291"/>
      <c r="L45" s="292" t="s">
        <v>80</v>
      </c>
      <c r="M45" s="267">
        <f>PK参数!P7</f>
        <v>4</v>
      </c>
      <c r="N45" s="267">
        <f>PK参数!P8</f>
        <v>4</v>
      </c>
      <c r="O45" s="267">
        <f>PK参数!P9</f>
        <v>2</v>
      </c>
      <c r="P45" s="293">
        <v>3</v>
      </c>
      <c r="Q45" s="266">
        <f t="shared" si="6"/>
        <v>3.3333333333333299</v>
      </c>
      <c r="R45" s="266">
        <f t="shared" si="7"/>
        <v>1.1547005383792499</v>
      </c>
      <c r="S45" s="329"/>
      <c r="U45" s="275" t="s">
        <v>81</v>
      </c>
      <c r="V45" s="276"/>
      <c r="W45" s="276"/>
      <c r="X45" s="276"/>
      <c r="Y45" s="276"/>
      <c r="Z45" s="373"/>
      <c r="AA45" s="373"/>
      <c r="AB45" s="373"/>
      <c r="AC45" s="374"/>
    </row>
    <row r="46" spans="2:29" ht="16.5" x14ac:dyDescent="0.25">
      <c r="B46" s="222"/>
      <c r="C46" s="269" t="s">
        <v>82</v>
      </c>
      <c r="D46" s="272">
        <f>PK参数!P3</f>
        <v>958</v>
      </c>
      <c r="E46" s="272">
        <f>PK参数!P4</f>
        <v>839</v>
      </c>
      <c r="F46" s="272">
        <f>PK参数!P5</f>
        <v>706</v>
      </c>
      <c r="G46" s="262">
        <v>3</v>
      </c>
      <c r="H46" s="273">
        <f t="shared" si="4"/>
        <v>834.33333333333303</v>
      </c>
      <c r="I46" s="273">
        <f t="shared" si="5"/>
        <v>126.064798152908</v>
      </c>
      <c r="J46" s="288"/>
      <c r="K46" s="291"/>
      <c r="L46" s="261" t="s">
        <v>82</v>
      </c>
      <c r="M46" s="272">
        <f>PK参数!Q7</f>
        <v>793</v>
      </c>
      <c r="N46" s="272">
        <f>PK参数!Q8</f>
        <v>740</v>
      </c>
      <c r="O46" s="272">
        <f>PK参数!Q9</f>
        <v>813</v>
      </c>
      <c r="P46" s="293">
        <v>3</v>
      </c>
      <c r="Q46" s="273">
        <f t="shared" si="6"/>
        <v>782</v>
      </c>
      <c r="R46" s="299">
        <f t="shared" si="7"/>
        <v>37.722672227719997</v>
      </c>
      <c r="S46" s="329"/>
      <c r="U46" s="222"/>
      <c r="V46" s="350" t="s">
        <v>83</v>
      </c>
      <c r="W46" s="351">
        <v>1</v>
      </c>
      <c r="X46" s="351">
        <v>2</v>
      </c>
      <c r="Y46" s="351">
        <v>3</v>
      </c>
      <c r="Z46" s="351">
        <v>4</v>
      </c>
      <c r="AA46" s="351">
        <v>5</v>
      </c>
      <c r="AB46" s="351">
        <v>6</v>
      </c>
      <c r="AC46" s="377"/>
    </row>
    <row r="47" spans="2:29" ht="16.5" x14ac:dyDescent="0.25">
      <c r="B47" s="222"/>
      <c r="C47" s="269" t="s">
        <v>84</v>
      </c>
      <c r="D47" s="272">
        <f>PK参数!V3</f>
        <v>1446.0997</v>
      </c>
      <c r="E47" s="272">
        <f>PK参数!V4</f>
        <v>1348.3789999999999</v>
      </c>
      <c r="F47" s="272">
        <f>PK参数!V5</f>
        <v>1438.7968000000001</v>
      </c>
      <c r="G47" s="262">
        <v>3</v>
      </c>
      <c r="H47" s="273">
        <f t="shared" si="4"/>
        <v>1411.09183333333</v>
      </c>
      <c r="I47" s="299">
        <f t="shared" si="5"/>
        <v>54.433516197498598</v>
      </c>
      <c r="J47" s="288"/>
      <c r="K47" s="291"/>
      <c r="L47" s="261" t="s">
        <v>84</v>
      </c>
      <c r="M47" s="272">
        <f>PK参数!V7</f>
        <v>8447.2618999999995</v>
      </c>
      <c r="N47" s="272">
        <f>PK参数!V8</f>
        <v>7848.6819999999998</v>
      </c>
      <c r="O47" s="272">
        <f>PK参数!V9</f>
        <v>6956.7460000000001</v>
      </c>
      <c r="P47" s="293">
        <v>3</v>
      </c>
      <c r="Q47" s="273">
        <f t="shared" si="6"/>
        <v>7750.8966333333301</v>
      </c>
      <c r="R47" s="273">
        <f t="shared" si="7"/>
        <v>750.05392838702096</v>
      </c>
      <c r="S47" s="329"/>
      <c r="U47" s="222"/>
      <c r="V47" s="350" t="s">
        <v>85</v>
      </c>
      <c r="W47" s="351">
        <v>342.7</v>
      </c>
      <c r="X47" s="352">
        <v>333.8</v>
      </c>
      <c r="Y47" s="352">
        <v>375.4</v>
      </c>
      <c r="Z47" s="351">
        <v>328.2</v>
      </c>
      <c r="AA47" s="351">
        <v>302.3</v>
      </c>
      <c r="AB47" s="351">
        <v>333.5</v>
      </c>
      <c r="AC47" s="377"/>
    </row>
    <row r="48" spans="2:29" ht="16.5" x14ac:dyDescent="0.25">
      <c r="B48" s="222"/>
      <c r="C48" s="269" t="s">
        <v>86</v>
      </c>
      <c r="D48" s="272">
        <f>PK参数!Y3</f>
        <v>1459.5867000000001</v>
      </c>
      <c r="E48" s="272">
        <f>PK参数!Y4</f>
        <v>1362.335</v>
      </c>
      <c r="F48" s="272">
        <f>PK参数!Y5</f>
        <v>1464.9864</v>
      </c>
      <c r="G48" s="262">
        <v>3</v>
      </c>
      <c r="H48" s="273">
        <f>AVERAGE(D48:F48)</f>
        <v>1428.9693666666665</v>
      </c>
      <c r="I48" s="299">
        <f t="shared" si="5"/>
        <v>57.770176612360601</v>
      </c>
      <c r="J48" s="288"/>
      <c r="K48" s="291"/>
      <c r="L48" s="261" t="s">
        <v>86</v>
      </c>
      <c r="M48" s="272">
        <f>PK参数!Y7</f>
        <v>8742.1731999999993</v>
      </c>
      <c r="N48" s="272">
        <f>PK参数!Y8</f>
        <v>7959.7653</v>
      </c>
      <c r="O48" s="272">
        <f>PK参数!Y9</f>
        <v>7106.2750999999998</v>
      </c>
      <c r="P48" s="293">
        <v>3</v>
      </c>
      <c r="Q48" s="273">
        <f>AVERAGE(M48:O48)</f>
        <v>7936.0711999999994</v>
      </c>
      <c r="R48" s="273">
        <f t="shared" si="7"/>
        <v>818.20639582993294</v>
      </c>
      <c r="S48" s="329"/>
      <c r="U48" s="222"/>
      <c r="V48" s="221"/>
      <c r="W48" s="221"/>
      <c r="X48" s="221"/>
      <c r="Y48" s="221"/>
      <c r="Z48" s="375"/>
      <c r="AA48" s="375"/>
      <c r="AB48" s="375"/>
      <c r="AC48" s="376"/>
    </row>
    <row r="49" spans="2:29" ht="16.5" x14ac:dyDescent="0.25">
      <c r="B49" s="222"/>
      <c r="C49" s="269" t="s">
        <v>87</v>
      </c>
      <c r="D49" s="267">
        <f>PK参数!AP3</f>
        <v>3.3151787000000001</v>
      </c>
      <c r="E49" s="267">
        <f>PK参数!AP4</f>
        <v>3.3810457</v>
      </c>
      <c r="F49" s="267">
        <f>PK参数!AP5</f>
        <v>3.5566225999999999</v>
      </c>
      <c r="G49" s="262">
        <v>3</v>
      </c>
      <c r="H49" s="268">
        <f t="shared" si="4"/>
        <v>3.4176156666666699</v>
      </c>
      <c r="I49" s="266">
        <f t="shared" si="5"/>
        <v>0.12480709538445001</v>
      </c>
      <c r="J49" s="288"/>
      <c r="K49" s="291"/>
      <c r="L49" s="292" t="s">
        <v>87</v>
      </c>
      <c r="M49" s="267">
        <f>PK参数!AN7</f>
        <v>6.4443792000000002</v>
      </c>
      <c r="N49" s="267">
        <f>PK参数!AN8</f>
        <v>6.2643567999999998</v>
      </c>
      <c r="O49" s="267">
        <f>PK参数!AN9</f>
        <v>5.7519515999999999</v>
      </c>
      <c r="P49" s="293">
        <v>3</v>
      </c>
      <c r="Q49" s="268">
        <f t="shared" si="6"/>
        <v>6.1535625333333304</v>
      </c>
      <c r="R49" s="268">
        <f t="shared" si="7"/>
        <v>0.35926386188300902</v>
      </c>
      <c r="S49" s="329"/>
      <c r="U49" s="353"/>
      <c r="V49" s="353"/>
      <c r="W49" s="353"/>
      <c r="X49" s="353"/>
      <c r="Y49" s="353"/>
      <c r="Z49" s="353"/>
      <c r="AA49" s="353"/>
      <c r="AB49" s="353"/>
      <c r="AC49" s="353"/>
    </row>
    <row r="50" spans="2:29" ht="16.5" x14ac:dyDescent="0.25">
      <c r="B50" s="222"/>
      <c r="C50" s="269" t="s">
        <v>88</v>
      </c>
      <c r="D50" s="267">
        <f>PK参数!AQ3</f>
        <v>3.5609708000000002</v>
      </c>
      <c r="E50" s="267">
        <f>PK参数!AQ4</f>
        <v>3.6541608000000001</v>
      </c>
      <c r="F50" s="267">
        <f>PK参数!AQ5</f>
        <v>4.0500115000000001</v>
      </c>
      <c r="G50" s="262">
        <v>3</v>
      </c>
      <c r="H50" s="268">
        <f t="shared" si="4"/>
        <v>3.7550477</v>
      </c>
      <c r="I50" s="271">
        <f t="shared" si="5"/>
        <v>0.25966098379970398</v>
      </c>
      <c r="J50" s="288"/>
      <c r="K50" s="291"/>
      <c r="L50" s="292" t="s">
        <v>88</v>
      </c>
      <c r="M50" s="298">
        <f>PK参数!AO7</f>
        <v>7.2706913999999996</v>
      </c>
      <c r="N50" s="267">
        <f>PK参数!AO8</f>
        <v>6.5889945000000001</v>
      </c>
      <c r="O50" s="267">
        <f>PK参数!AO9</f>
        <v>6.2648735000000002</v>
      </c>
      <c r="P50" s="293">
        <v>3</v>
      </c>
      <c r="Q50" s="268">
        <f t="shared" si="6"/>
        <v>6.7081864666666702</v>
      </c>
      <c r="R50" s="268">
        <f t="shared" si="7"/>
        <v>0.51339308105826997</v>
      </c>
      <c r="S50" s="329"/>
    </row>
    <row r="51" spans="2:29" ht="16.5" x14ac:dyDescent="0.25">
      <c r="B51" s="222"/>
      <c r="C51" s="269" t="s">
        <v>89</v>
      </c>
      <c r="D51" s="272">
        <f>PK参数!R3</f>
        <v>1280.5314000000001</v>
      </c>
      <c r="E51" s="272">
        <f>PK参数!R4</f>
        <v>1083.4087</v>
      </c>
      <c r="F51" s="272">
        <f>PK参数!R5</f>
        <v>767.06970999999999</v>
      </c>
      <c r="G51" s="262">
        <v>3</v>
      </c>
      <c r="H51" s="273">
        <f t="shared" si="4"/>
        <v>1043.6699366666701</v>
      </c>
      <c r="I51" s="273">
        <f t="shared" si="5"/>
        <v>259.02722590079401</v>
      </c>
      <c r="J51" s="288"/>
      <c r="K51" s="297"/>
      <c r="L51" s="295" t="s">
        <v>90</v>
      </c>
      <c r="M51" s="267">
        <f>PK参数!AA7</f>
        <v>3.3734318000000001</v>
      </c>
      <c r="N51" s="267">
        <f>PK参数!AA8</f>
        <v>1.3955605</v>
      </c>
      <c r="O51" s="267">
        <f>PK参数!AA9</f>
        <v>2.1041835999999998</v>
      </c>
      <c r="P51" s="293">
        <v>3</v>
      </c>
      <c r="Q51" s="268">
        <f t="shared" si="6"/>
        <v>2.2910586333333298</v>
      </c>
      <c r="R51" s="268">
        <f t="shared" si="7"/>
        <v>1.0020905290458699</v>
      </c>
      <c r="S51" s="329"/>
    </row>
    <row r="52" spans="2:29" ht="20.25" customHeight="1" x14ac:dyDescent="0.25">
      <c r="B52" s="222"/>
      <c r="C52" s="269" t="s">
        <v>91</v>
      </c>
      <c r="D52" s="267">
        <f>PK参数!AS3</f>
        <v>2.4397118</v>
      </c>
      <c r="E52" s="267">
        <f>PK参数!AS4</f>
        <v>2.6822775999999999</v>
      </c>
      <c r="F52" s="267">
        <f>PK参数!AS5</f>
        <v>2.7645385999999998</v>
      </c>
      <c r="G52" s="262">
        <v>3</v>
      </c>
      <c r="H52" s="268">
        <f t="shared" si="4"/>
        <v>2.62884266666667</v>
      </c>
      <c r="I52" s="266">
        <f t="shared" si="5"/>
        <v>0.16887741582228599</v>
      </c>
      <c r="J52" s="288"/>
      <c r="K52" s="300"/>
      <c r="L52" s="295" t="s">
        <v>92</v>
      </c>
      <c r="M52" s="267">
        <f>PK参数!AK7</f>
        <v>14.355017</v>
      </c>
      <c r="N52" s="267">
        <f>PK参数!AK8</f>
        <v>6.2537713999999998</v>
      </c>
      <c r="O52" s="267">
        <f>PK参数!AK9</f>
        <v>10.119175</v>
      </c>
      <c r="P52" s="293">
        <v>3</v>
      </c>
      <c r="Q52" s="299">
        <f t="shared" si="6"/>
        <v>10.2426544666667</v>
      </c>
      <c r="R52" s="299">
        <f t="shared" si="7"/>
        <v>4.0520341128741801</v>
      </c>
      <c r="S52" s="329"/>
    </row>
    <row r="53" spans="2:29" ht="16.5" x14ac:dyDescent="0.25">
      <c r="B53" s="222"/>
      <c r="C53" s="269" t="s">
        <v>93</v>
      </c>
      <c r="D53" s="267">
        <f>PK参数!AC3</f>
        <v>4.0527414999999998</v>
      </c>
      <c r="E53" s="267">
        <f>PK参数!AC4</f>
        <v>4.4347092999999997</v>
      </c>
      <c r="F53" s="267">
        <f>PK参数!AC5</f>
        <v>4.8844390999999998</v>
      </c>
      <c r="G53" s="262">
        <v>3</v>
      </c>
      <c r="H53" s="268">
        <f t="shared" si="4"/>
        <v>4.4572966333333301</v>
      </c>
      <c r="I53" s="268">
        <f t="shared" si="5"/>
        <v>0.41630861771259697</v>
      </c>
      <c r="J53" s="288"/>
      <c r="K53" s="301"/>
      <c r="L53" s="302" t="s">
        <v>94</v>
      </c>
      <c r="M53" s="303">
        <f>(M48/(M40/D40))/H48*100</f>
        <v>61.17817081266567</v>
      </c>
      <c r="N53" s="303">
        <f>(N48/(M40/D40))/H48*100</f>
        <v>55.702840702370104</v>
      </c>
      <c r="O53" s="303">
        <f>(O48/(M40/D40))/H48*100</f>
        <v>49.730073056616142</v>
      </c>
      <c r="P53" s="302">
        <v>3</v>
      </c>
      <c r="Q53" s="299">
        <f>AVERAGE(M53:O53)</f>
        <v>55.537028190550636</v>
      </c>
      <c r="R53" s="268">
        <f t="shared" si="7"/>
        <v>5.7258497971761999</v>
      </c>
      <c r="S53" s="329"/>
    </row>
    <row r="54" spans="2:29" x14ac:dyDescent="0.25">
      <c r="B54" s="222"/>
      <c r="C54" s="269" t="s">
        <v>95</v>
      </c>
      <c r="D54" s="267">
        <f>PK参数!AD3</f>
        <v>0.68512545999999996</v>
      </c>
      <c r="E54" s="267">
        <f>PK参数!AD4</f>
        <v>0.73403383</v>
      </c>
      <c r="F54" s="267">
        <f>PK参数!AD5</f>
        <v>0.68260019999999999</v>
      </c>
      <c r="G54" s="262">
        <v>3</v>
      </c>
      <c r="H54" s="268">
        <f t="shared" si="4"/>
        <v>0.70058649666666695</v>
      </c>
      <c r="I54" s="266">
        <f t="shared" si="5"/>
        <v>2.8993746133437699E-2</v>
      </c>
      <c r="J54" s="288"/>
      <c r="K54" s="222"/>
      <c r="L54" s="221"/>
      <c r="M54" s="221"/>
      <c r="N54" s="221"/>
      <c r="O54" s="221"/>
      <c r="P54" s="221"/>
      <c r="Q54" s="221"/>
      <c r="R54" s="221"/>
      <c r="S54" s="329"/>
    </row>
    <row r="55" spans="2:29" ht="16.5" x14ac:dyDescent="0.25">
      <c r="B55" s="222"/>
      <c r="C55" s="274" t="s">
        <v>90</v>
      </c>
      <c r="D55" s="267">
        <f>PK参数!AA3</f>
        <v>0.92402507</v>
      </c>
      <c r="E55" s="267">
        <f>PK参数!AA4</f>
        <v>1.0244179</v>
      </c>
      <c r="F55" s="267">
        <f>PK参数!AA5</f>
        <v>1.7877046999999999</v>
      </c>
      <c r="G55" s="262">
        <v>3</v>
      </c>
      <c r="H55" s="268">
        <f t="shared" si="4"/>
        <v>1.2453825566666701</v>
      </c>
      <c r="I55" s="266">
        <f t="shared" si="5"/>
        <v>0.47233956052939002</v>
      </c>
      <c r="J55" s="288"/>
      <c r="K55" s="222"/>
      <c r="L55" s="304"/>
      <c r="M55" s="207"/>
      <c r="N55" s="207"/>
      <c r="O55" s="207"/>
      <c r="P55" s="305"/>
      <c r="Q55" s="305"/>
      <c r="R55" s="305"/>
      <c r="S55" s="329"/>
    </row>
    <row r="56" spans="2:29" x14ac:dyDescent="0.25">
      <c r="B56" s="257"/>
      <c r="C56" s="258"/>
      <c r="D56" s="258"/>
      <c r="E56" s="258"/>
      <c r="F56" s="258"/>
      <c r="G56" s="258"/>
      <c r="H56" s="258"/>
      <c r="I56" s="258"/>
      <c r="J56" s="306"/>
      <c r="K56" s="257"/>
      <c r="L56" s="258"/>
      <c r="M56" s="258"/>
      <c r="N56" s="258"/>
      <c r="O56" s="258"/>
      <c r="P56" s="258"/>
      <c r="Q56" s="258"/>
      <c r="R56" s="258"/>
      <c r="S56" s="347"/>
    </row>
    <row r="57" spans="2:29" ht="108" customHeight="1" x14ac:dyDescent="0.15">
      <c r="B57" s="446" t="s">
        <v>96</v>
      </c>
      <c r="C57" s="447"/>
      <c r="D57" s="447"/>
      <c r="E57" s="447"/>
      <c r="F57" s="447"/>
      <c r="G57" s="447"/>
      <c r="H57" s="447"/>
      <c r="I57" s="447"/>
      <c r="J57" s="447"/>
      <c r="K57" s="447"/>
      <c r="L57" s="447"/>
      <c r="M57" s="447"/>
      <c r="N57" s="447"/>
      <c r="O57" s="447"/>
      <c r="P57" s="447"/>
      <c r="Q57" s="447"/>
      <c r="R57" s="447"/>
      <c r="S57" s="447"/>
    </row>
    <row r="58" spans="2:29" x14ac:dyDescent="0.25">
      <c r="D58"/>
      <c r="E58"/>
      <c r="F58"/>
      <c r="M58" s="307"/>
      <c r="N58" s="307"/>
      <c r="O58" s="307"/>
    </row>
    <row r="59" spans="2:29" x14ac:dyDescent="0.25">
      <c r="D59"/>
      <c r="E59"/>
      <c r="F59"/>
      <c r="M59" s="205"/>
      <c r="N59" s="205"/>
      <c r="O59" s="205"/>
    </row>
    <row r="60" spans="2:29" x14ac:dyDescent="0.25">
      <c r="D60"/>
      <c r="E60"/>
      <c r="F60"/>
      <c r="M60" s="308"/>
      <c r="N60" s="308"/>
      <c r="O60" s="308"/>
    </row>
    <row r="61" spans="2:29" x14ac:dyDescent="0.25">
      <c r="D61"/>
      <c r="E61"/>
      <c r="F61"/>
      <c r="M61" s="308"/>
      <c r="N61" s="308"/>
      <c r="O61" s="308"/>
    </row>
    <row r="62" spans="2:29" x14ac:dyDescent="0.25">
      <c r="D62"/>
      <c r="E62"/>
      <c r="F62"/>
      <c r="M62" s="307"/>
      <c r="N62" s="307"/>
      <c r="O62" s="307"/>
    </row>
    <row r="63" spans="2:29" x14ac:dyDescent="0.25">
      <c r="D63"/>
      <c r="E63"/>
      <c r="F63"/>
      <c r="M63" s="309"/>
      <c r="N63" s="309"/>
      <c r="O63" s="309"/>
    </row>
    <row r="64" spans="2:29" x14ac:dyDescent="0.25">
      <c r="D64"/>
      <c r="E64"/>
      <c r="F64"/>
      <c r="M64" s="309"/>
      <c r="N64" s="309"/>
      <c r="O64" s="309"/>
    </row>
    <row r="65" spans="4:15" x14ac:dyDescent="0.25">
      <c r="D65"/>
      <c r="E65"/>
      <c r="F65"/>
      <c r="M65" s="309"/>
      <c r="N65" s="309"/>
      <c r="O65" s="309"/>
    </row>
    <row r="66" spans="4:15" x14ac:dyDescent="0.25">
      <c r="D66"/>
      <c r="E66"/>
      <c r="F66"/>
      <c r="M66" s="308"/>
      <c r="N66" s="307"/>
      <c r="O66" s="308"/>
    </row>
    <row r="67" spans="4:15" x14ac:dyDescent="0.25">
      <c r="D67"/>
      <c r="E67"/>
      <c r="F67"/>
      <c r="M67" s="308"/>
      <c r="N67" s="308"/>
      <c r="O67" s="308"/>
    </row>
    <row r="68" spans="4:15" x14ac:dyDescent="0.25">
      <c r="D68"/>
      <c r="E68"/>
      <c r="F68"/>
      <c r="M68" s="308"/>
      <c r="N68" s="308"/>
      <c r="O68" s="308"/>
    </row>
    <row r="69" spans="4:15" x14ac:dyDescent="0.25">
      <c r="D69"/>
      <c r="E69"/>
      <c r="F69"/>
      <c r="M69" s="308"/>
      <c r="N69" s="308"/>
      <c r="O69" s="308"/>
    </row>
    <row r="70" spans="4:15" x14ac:dyDescent="0.25">
      <c r="D70"/>
      <c r="E70"/>
      <c r="F70"/>
      <c r="M70" s="221"/>
      <c r="N70" s="221"/>
      <c r="O70" s="221"/>
    </row>
    <row r="71" spans="4:15" x14ac:dyDescent="0.25">
      <c r="D71"/>
      <c r="E71"/>
      <c r="F71"/>
    </row>
    <row r="72" spans="4:15" x14ac:dyDescent="0.25">
      <c r="D72"/>
      <c r="E72"/>
      <c r="F72"/>
    </row>
    <row r="73" spans="4:15" x14ac:dyDescent="0.25">
      <c r="D73"/>
      <c r="E73"/>
      <c r="F73"/>
    </row>
    <row r="74" spans="4:15" x14ac:dyDescent="0.25">
      <c r="D74"/>
      <c r="E74"/>
      <c r="F74"/>
    </row>
    <row r="75" spans="4:15" x14ac:dyDescent="0.25">
      <c r="D75"/>
      <c r="E75"/>
      <c r="F75"/>
    </row>
    <row r="76" spans="4:15" x14ac:dyDescent="0.25">
      <c r="D76"/>
      <c r="E76"/>
      <c r="F76"/>
    </row>
    <row r="77" spans="4:15" x14ac:dyDescent="0.25">
      <c r="D77"/>
      <c r="E77"/>
      <c r="F77"/>
    </row>
    <row r="78" spans="4:15" x14ac:dyDescent="0.25">
      <c r="D78"/>
      <c r="E78"/>
      <c r="F78"/>
    </row>
    <row r="79" spans="4:15" x14ac:dyDescent="0.25">
      <c r="D79"/>
      <c r="E79"/>
      <c r="F79"/>
    </row>
    <row r="80" spans="4:15" x14ac:dyDescent="0.25">
      <c r="D80"/>
      <c r="E80"/>
      <c r="F80"/>
    </row>
    <row r="81" spans="4:6" x14ac:dyDescent="0.25">
      <c r="D81"/>
      <c r="E81"/>
      <c r="F81"/>
    </row>
    <row r="82" spans="4:6" x14ac:dyDescent="0.25">
      <c r="D82"/>
      <c r="E82"/>
      <c r="F82"/>
    </row>
    <row r="83" spans="4:6" x14ac:dyDescent="0.25">
      <c r="D83"/>
      <c r="E83"/>
      <c r="F83"/>
    </row>
    <row r="84" spans="4:6" x14ac:dyDescent="0.25">
      <c r="D84"/>
      <c r="E84"/>
      <c r="F84"/>
    </row>
    <row r="85" spans="4:6" x14ac:dyDescent="0.25">
      <c r="D85"/>
      <c r="E85"/>
      <c r="F85"/>
    </row>
    <row r="86" spans="4:6" x14ac:dyDescent="0.25">
      <c r="D86"/>
      <c r="E86"/>
      <c r="F86"/>
    </row>
    <row r="87" spans="4:6" x14ac:dyDescent="0.25">
      <c r="D87"/>
      <c r="E87"/>
      <c r="F87"/>
    </row>
    <row r="88" spans="4:6" x14ac:dyDescent="0.25">
      <c r="D88"/>
      <c r="E88"/>
      <c r="F88"/>
    </row>
  </sheetData>
  <mergeCells count="54">
    <mergeCell ref="B1:S1"/>
    <mergeCell ref="U1:X1"/>
    <mergeCell ref="Y1:AC1"/>
    <mergeCell ref="C3:H3"/>
    <mergeCell ref="L3:Q3"/>
    <mergeCell ref="C5:H5"/>
    <mergeCell ref="L5:Q5"/>
    <mergeCell ref="C6:H6"/>
    <mergeCell ref="L6:Q6"/>
    <mergeCell ref="I8:J8"/>
    <mergeCell ref="U8:V8"/>
    <mergeCell ref="I9:J9"/>
    <mergeCell ref="U9:V9"/>
    <mergeCell ref="I10:J10"/>
    <mergeCell ref="U10:V10"/>
    <mergeCell ref="I11:J11"/>
    <mergeCell ref="U11:V11"/>
    <mergeCell ref="I12:J12"/>
    <mergeCell ref="I13:J13"/>
    <mergeCell ref="I14:J14"/>
    <mergeCell ref="U42:AC42"/>
    <mergeCell ref="I15:J15"/>
    <mergeCell ref="I16:J16"/>
    <mergeCell ref="D36:F36"/>
    <mergeCell ref="M36:O36"/>
    <mergeCell ref="D38:F38"/>
    <mergeCell ref="M38:O38"/>
    <mergeCell ref="L34:R35"/>
    <mergeCell ref="C34:I35"/>
    <mergeCell ref="B57:S57"/>
    <mergeCell ref="G36:G40"/>
    <mergeCell ref="H36:H40"/>
    <mergeCell ref="I36:I40"/>
    <mergeCell ref="P36:P40"/>
    <mergeCell ref="Q36:Q40"/>
    <mergeCell ref="R36:R40"/>
    <mergeCell ref="D39:F39"/>
    <mergeCell ref="M39:O39"/>
    <mergeCell ref="E40:F40"/>
    <mergeCell ref="N40:O40"/>
    <mergeCell ref="U20:U21"/>
    <mergeCell ref="U22:U24"/>
    <mergeCell ref="V20:V21"/>
    <mergeCell ref="V22:V24"/>
    <mergeCell ref="W20:W21"/>
    <mergeCell ref="W22:W24"/>
    <mergeCell ref="AA20:AC21"/>
    <mergeCell ref="AA22:AC24"/>
    <mergeCell ref="X20:X21"/>
    <mergeCell ref="X22:X24"/>
    <mergeCell ref="Y20:Y21"/>
    <mergeCell ref="Y22:Y24"/>
    <mergeCell ref="Z20:Z21"/>
    <mergeCell ref="Z22:Z24"/>
  </mergeCells>
  <phoneticPr fontId="57" type="noConversion"/>
  <conditionalFormatting sqref="L8">
    <cfRule type="cellIs" dxfId="6" priority="6" stopIfTrue="1" operator="equal">
      <formula>""</formula>
    </cfRule>
  </conditionalFormatting>
  <conditionalFormatting sqref="H17:J17">
    <cfRule type="expression" priority="27" stopIfTrue="1">
      <formula>"IF(COUNTIF(B33:D33,""BQL"")=0)"</formula>
    </cfRule>
    <cfRule type="expression" dxfId="5" priority="28" stopIfTrue="1">
      <formula>"IF(COUNTIF(B33:D33,""BQL"")=1)"</formula>
    </cfRule>
    <cfRule type="expression" priority="29" stopIfTrue="1">
      <formula>"IF(COUNTIF(B33:D33,""BQL"")&gt;1)"</formula>
    </cfRule>
  </conditionalFormatting>
  <conditionalFormatting sqref="C8:C14">
    <cfRule type="cellIs" dxfId="4" priority="26" stopIfTrue="1" operator="equal">
      <formula>""</formula>
    </cfRule>
  </conditionalFormatting>
  <conditionalFormatting sqref="L9:L14">
    <cfRule type="cellIs" dxfId="3" priority="20" stopIfTrue="1" operator="equal">
      <formula>""</formula>
    </cfRule>
  </conditionalFormatting>
  <conditionalFormatting sqref="G25:G27 G17">
    <cfRule type="expression" dxfId="2" priority="30" stopIfTrue="1">
      <formula>COUNTIF(D17:F17,"BQL")=0</formula>
    </cfRule>
    <cfRule type="expression" dxfId="1" priority="31" stopIfTrue="1">
      <formula>COUNTIF(D17:F17,"BQL")=1</formula>
    </cfRule>
    <cfRule type="expression" dxfId="0" priority="32" stopIfTrue="1">
      <formula>COUNTIF(D17:F17,"BQL")&gt;1</formula>
    </cfRule>
  </conditionalFormatting>
  <pageMargins left="0.7" right="0.7" top="0.75" bottom="0.75" header="0.3" footer="0.3"/>
  <pageSetup paperSize="9" scale="55"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9"/>
  <sheetViews>
    <sheetView showGridLines="0" zoomScale="80" zoomScaleNormal="80" workbookViewId="0">
      <pane xSplit="2" topLeftCell="I1" activePane="topRight" state="frozen"/>
      <selection pane="topRight" activeCell="P29" sqref="P29"/>
    </sheetView>
  </sheetViews>
  <sheetFormatPr defaultColWidth="9" defaultRowHeight="15" x14ac:dyDescent="0.15"/>
  <cols>
    <col min="1" max="1" width="21.75" style="205" customWidth="1"/>
    <col min="2" max="2" width="15.625" style="205" customWidth="1"/>
    <col min="3" max="3" width="11.625" style="205" customWidth="1"/>
    <col min="4" max="6" width="9.375" style="205" customWidth="1"/>
    <col min="7" max="7" width="10.125" style="205" customWidth="1"/>
    <col min="8" max="8" width="11.375" style="205" customWidth="1"/>
    <col min="9" max="9" width="9.375" style="205" customWidth="1"/>
    <col min="10" max="10" width="20.875" style="205" customWidth="1"/>
    <col min="11" max="11" width="11.375" style="205" customWidth="1"/>
    <col min="12" max="13" width="9.375" style="205" customWidth="1"/>
    <col min="14" max="14" width="11.125" style="205" customWidth="1"/>
    <col min="15" max="17" width="9.375" style="205" customWidth="1"/>
    <col min="18" max="18" width="11.875" style="205" customWidth="1"/>
    <col min="19" max="19" width="19" style="205" customWidth="1"/>
    <col min="20" max="21" width="9.375" style="205" customWidth="1"/>
    <col min="22" max="22" width="13.625" style="205" customWidth="1"/>
    <col min="23" max="23" width="9.375" style="205" customWidth="1"/>
    <col min="24" max="24" width="14.375" style="205" customWidth="1"/>
    <col min="25" max="28" width="9.375" style="205" customWidth="1"/>
    <col min="29" max="29" width="9.625" style="205" customWidth="1"/>
    <col min="30" max="30" width="20" style="205" customWidth="1"/>
    <col min="31" max="31" width="14.375" style="205" customWidth="1"/>
    <col min="32" max="32" width="10.625" style="205" customWidth="1"/>
    <col min="33" max="42" width="9.375" style="205" customWidth="1"/>
    <col min="43" max="45" width="10.625" style="205" customWidth="1"/>
    <col min="46" max="46" width="9.125" style="205" customWidth="1"/>
    <col min="47" max="16384" width="9" style="205"/>
  </cols>
  <sheetData>
    <row r="1" spans="1:46" ht="18" customHeight="1" x14ac:dyDescent="0.15">
      <c r="A1" s="206" t="str">
        <f>结果汇总!C5</f>
        <v>HW356009</v>
      </c>
      <c r="B1" s="207" t="s">
        <v>66</v>
      </c>
    </row>
    <row r="2" spans="1:46" s="204" customFormat="1" ht="58.5" customHeight="1" x14ac:dyDescent="0.15">
      <c r="A2" s="488" t="s">
        <v>37</v>
      </c>
      <c r="B2" s="208" t="s">
        <v>97</v>
      </c>
      <c r="C2" s="208" t="s">
        <v>98</v>
      </c>
      <c r="D2" s="208" t="s">
        <v>99</v>
      </c>
      <c r="E2" s="208" t="s">
        <v>100</v>
      </c>
      <c r="F2" s="208" t="s">
        <v>75</v>
      </c>
      <c r="G2" s="208" t="s">
        <v>101</v>
      </c>
      <c r="H2" s="208" t="s">
        <v>76</v>
      </c>
      <c r="I2" s="208" t="s">
        <v>102</v>
      </c>
      <c r="J2" s="208" t="s">
        <v>103</v>
      </c>
      <c r="K2" s="208" t="s">
        <v>104</v>
      </c>
      <c r="L2" s="208" t="s">
        <v>105</v>
      </c>
      <c r="M2" s="208" t="s">
        <v>106</v>
      </c>
      <c r="N2" s="208" t="s">
        <v>107</v>
      </c>
      <c r="O2" s="208" t="s">
        <v>108</v>
      </c>
      <c r="P2" s="208" t="s">
        <v>109</v>
      </c>
      <c r="Q2" s="208" t="s">
        <v>110</v>
      </c>
      <c r="R2" s="208" t="s">
        <v>111</v>
      </c>
      <c r="S2" s="208" t="s">
        <v>112</v>
      </c>
      <c r="T2" s="208" t="s">
        <v>113</v>
      </c>
      <c r="U2" s="208" t="s">
        <v>114</v>
      </c>
      <c r="V2" s="208" t="s">
        <v>115</v>
      </c>
      <c r="W2" s="208" t="s">
        <v>116</v>
      </c>
      <c r="X2" s="208" t="s">
        <v>117</v>
      </c>
      <c r="Y2" s="208" t="s">
        <v>118</v>
      </c>
      <c r="Z2" s="208" t="s">
        <v>119</v>
      </c>
      <c r="AA2" s="208" t="s">
        <v>120</v>
      </c>
      <c r="AB2" s="208" t="s">
        <v>121</v>
      </c>
      <c r="AC2" s="208" t="s">
        <v>122</v>
      </c>
      <c r="AD2" s="208" t="s">
        <v>123</v>
      </c>
      <c r="AE2" s="208" t="s">
        <v>124</v>
      </c>
      <c r="AF2" s="208" t="s">
        <v>125</v>
      </c>
      <c r="AG2" s="208" t="s">
        <v>126</v>
      </c>
      <c r="AH2" s="208" t="s">
        <v>127</v>
      </c>
      <c r="AI2" s="208" t="s">
        <v>128</v>
      </c>
      <c r="AJ2" s="208" t="s">
        <v>129</v>
      </c>
      <c r="AK2" s="208" t="s">
        <v>130</v>
      </c>
      <c r="AL2" s="208" t="s">
        <v>131</v>
      </c>
      <c r="AM2" s="208" t="s">
        <v>132</v>
      </c>
      <c r="AN2" s="208" t="s">
        <v>133</v>
      </c>
      <c r="AO2" s="208" t="s">
        <v>134</v>
      </c>
      <c r="AP2" s="208" t="s">
        <v>135</v>
      </c>
      <c r="AQ2" s="208" t="s">
        <v>136</v>
      </c>
      <c r="AR2" s="208" t="s">
        <v>137</v>
      </c>
      <c r="AS2" s="208" t="s">
        <v>138</v>
      </c>
      <c r="AT2" s="212" t="s">
        <v>139</v>
      </c>
    </row>
    <row r="3" spans="1:46" x14ac:dyDescent="0.15">
      <c r="A3" s="489"/>
      <c r="B3" s="209">
        <v>1</v>
      </c>
      <c r="C3" s="209">
        <v>9</v>
      </c>
      <c r="D3" s="209">
        <v>1</v>
      </c>
      <c r="E3" s="209">
        <v>0.99861502999999996</v>
      </c>
      <c r="F3" s="209">
        <v>0.99723004999999998</v>
      </c>
      <c r="G3" s="209">
        <v>-0.99930726999999997</v>
      </c>
      <c r="H3" s="209">
        <v>3</v>
      </c>
      <c r="I3" s="209">
        <v>0.16905234999999999</v>
      </c>
      <c r="J3" s="209">
        <v>4.8741621000000004</v>
      </c>
      <c r="K3" s="209">
        <v>6</v>
      </c>
      <c r="L3" s="209">
        <v>24</v>
      </c>
      <c r="M3" s="209">
        <v>4.1001925999999997</v>
      </c>
      <c r="N3" s="209">
        <v>4.3900376999999997</v>
      </c>
      <c r="O3" s="209">
        <v>8.3299999999999999E-2</v>
      </c>
      <c r="P3" s="209">
        <v>958</v>
      </c>
      <c r="Q3" s="209">
        <v>958</v>
      </c>
      <c r="R3" s="209">
        <v>1280.5314000000001</v>
      </c>
      <c r="S3" s="209">
        <v>24</v>
      </c>
      <c r="T3" s="209">
        <v>2.2799999999999998</v>
      </c>
      <c r="U3" s="209">
        <v>2.2634853000000001</v>
      </c>
      <c r="V3" s="209">
        <v>1446.0997</v>
      </c>
      <c r="W3" s="209">
        <v>1446.0997</v>
      </c>
      <c r="X3" s="209">
        <v>1446.0997</v>
      </c>
      <c r="Y3" s="209">
        <v>1459.5867000000001</v>
      </c>
      <c r="Z3" s="209">
        <v>1459.5867000000001</v>
      </c>
      <c r="AA3" s="209">
        <v>0.92402507</v>
      </c>
      <c r="AB3" s="209">
        <v>6.3877556999999996</v>
      </c>
      <c r="AC3" s="209">
        <v>4.0527414999999998</v>
      </c>
      <c r="AD3" s="209">
        <v>0.68512545999999996</v>
      </c>
      <c r="AE3" s="209">
        <v>1459.489</v>
      </c>
      <c r="AF3" s="209">
        <v>1459.489</v>
      </c>
      <c r="AG3" s="209">
        <v>0.91739351000000002</v>
      </c>
      <c r="AH3" s="209">
        <v>6.3881832999999997</v>
      </c>
      <c r="AI3" s="209">
        <v>4.0530128000000003</v>
      </c>
      <c r="AJ3" s="209">
        <v>0.68517132000000003</v>
      </c>
      <c r="AK3" s="209">
        <v>4794.0790999999999</v>
      </c>
      <c r="AL3" s="209">
        <v>5197.5455000000002</v>
      </c>
      <c r="AM3" s="209">
        <v>7.7626339</v>
      </c>
      <c r="AN3" s="209">
        <v>5194.6230999999998</v>
      </c>
      <c r="AO3" s="209">
        <v>7.7107425999999997</v>
      </c>
      <c r="AP3" s="209">
        <v>3.3151787000000001</v>
      </c>
      <c r="AQ3" s="209">
        <v>3.5609708000000002</v>
      </c>
      <c r="AR3" s="209">
        <v>3.5592068000000001</v>
      </c>
      <c r="AS3" s="209">
        <v>2.4397118</v>
      </c>
      <c r="AT3" s="213">
        <v>2.4386663999999998</v>
      </c>
    </row>
    <row r="4" spans="1:46" x14ac:dyDescent="0.15">
      <c r="A4" s="489"/>
      <c r="B4" s="209">
        <v>2</v>
      </c>
      <c r="C4" s="209">
        <v>9</v>
      </c>
      <c r="D4" s="209">
        <v>1</v>
      </c>
      <c r="E4" s="209">
        <v>0.99958884999999997</v>
      </c>
      <c r="F4" s="209">
        <v>0.99917769999999995</v>
      </c>
      <c r="G4" s="209">
        <v>-0.99979439999999997</v>
      </c>
      <c r="H4" s="209">
        <v>3</v>
      </c>
      <c r="I4" s="209">
        <v>0.16552016999999999</v>
      </c>
      <c r="J4" s="209">
        <v>4.8058553000000002</v>
      </c>
      <c r="K4" s="209">
        <v>6</v>
      </c>
      <c r="L4" s="209">
        <v>24</v>
      </c>
      <c r="M4" s="209">
        <v>4.1876901999999996</v>
      </c>
      <c r="N4" s="209">
        <v>4.2983123000000001</v>
      </c>
      <c r="O4" s="209">
        <v>8.3299999999999999E-2</v>
      </c>
      <c r="P4" s="209">
        <v>839</v>
      </c>
      <c r="Q4" s="209">
        <v>839</v>
      </c>
      <c r="R4" s="209">
        <v>1083.4087</v>
      </c>
      <c r="S4" s="209">
        <v>24</v>
      </c>
      <c r="T4" s="209">
        <v>2.31</v>
      </c>
      <c r="U4" s="209">
        <v>2.3010632000000002</v>
      </c>
      <c r="V4" s="209">
        <v>1348.3789999999999</v>
      </c>
      <c r="W4" s="209">
        <v>1348.3789999999999</v>
      </c>
      <c r="X4" s="209">
        <v>1348.3789999999999</v>
      </c>
      <c r="Y4" s="209">
        <v>1362.335</v>
      </c>
      <c r="Z4" s="209">
        <v>1362.335</v>
      </c>
      <c r="AA4" s="209">
        <v>1.0244179</v>
      </c>
      <c r="AB4" s="209">
        <v>5.8772856000000004</v>
      </c>
      <c r="AC4" s="209">
        <v>4.4347092999999997</v>
      </c>
      <c r="AD4" s="209">
        <v>0.73403383</v>
      </c>
      <c r="AE4" s="209">
        <v>1362.2809999999999</v>
      </c>
      <c r="AF4" s="209">
        <v>1362.2809999999999</v>
      </c>
      <c r="AG4" s="209">
        <v>1.0204951</v>
      </c>
      <c r="AH4" s="209">
        <v>5.8775186000000001</v>
      </c>
      <c r="AI4" s="209">
        <v>4.4348850999999998</v>
      </c>
      <c r="AJ4" s="209">
        <v>0.73406293</v>
      </c>
      <c r="AK4" s="209">
        <v>4558.9310999999998</v>
      </c>
      <c r="AL4" s="209">
        <v>4978.1912000000002</v>
      </c>
      <c r="AM4" s="209">
        <v>8.4219366000000004</v>
      </c>
      <c r="AN4" s="209">
        <v>4976.5691999999999</v>
      </c>
      <c r="AO4" s="209">
        <v>8.3920887000000004</v>
      </c>
      <c r="AP4" s="209">
        <v>3.3810457</v>
      </c>
      <c r="AQ4" s="209">
        <v>3.6541608000000001</v>
      </c>
      <c r="AR4" s="209">
        <v>3.6531148999999998</v>
      </c>
      <c r="AS4" s="209">
        <v>2.6822775999999999</v>
      </c>
      <c r="AT4" s="213">
        <v>2.6816162000000001</v>
      </c>
    </row>
    <row r="5" spans="1:46" x14ac:dyDescent="0.15">
      <c r="A5" s="490"/>
      <c r="B5" s="210">
        <v>3</v>
      </c>
      <c r="C5" s="210">
        <v>9</v>
      </c>
      <c r="D5" s="210">
        <v>1</v>
      </c>
      <c r="E5" s="210">
        <v>0.99479255</v>
      </c>
      <c r="F5" s="210">
        <v>0.99218881999999997</v>
      </c>
      <c r="G5" s="210">
        <v>-0.99739286999999999</v>
      </c>
      <c r="H5" s="210">
        <v>4</v>
      </c>
      <c r="I5" s="210">
        <v>0.13974997</v>
      </c>
      <c r="J5" s="210">
        <v>4.6479882999999997</v>
      </c>
      <c r="K5" s="210">
        <v>4</v>
      </c>
      <c r="L5" s="210">
        <v>24</v>
      </c>
      <c r="M5" s="210">
        <v>4.9599093999999999</v>
      </c>
      <c r="N5" s="210">
        <v>4.0323317000000003</v>
      </c>
      <c r="O5" s="210">
        <v>8.3299999999999999E-2</v>
      </c>
      <c r="P5" s="210">
        <v>706</v>
      </c>
      <c r="Q5" s="210">
        <v>706</v>
      </c>
      <c r="R5" s="210">
        <v>767.06970999999999</v>
      </c>
      <c r="S5" s="210">
        <v>24</v>
      </c>
      <c r="T5" s="210">
        <v>3.66</v>
      </c>
      <c r="U5" s="210">
        <v>3.6473070000000001</v>
      </c>
      <c r="V5" s="210">
        <v>1438.7968000000001</v>
      </c>
      <c r="W5" s="210">
        <v>1438.7968000000001</v>
      </c>
      <c r="X5" s="210">
        <v>1438.7968000000001</v>
      </c>
      <c r="Y5" s="210">
        <v>1464.9864</v>
      </c>
      <c r="Z5" s="210">
        <v>1464.9864</v>
      </c>
      <c r="AA5" s="210">
        <v>1.7877046999999999</v>
      </c>
      <c r="AB5" s="210">
        <v>4.1879811</v>
      </c>
      <c r="AC5" s="210">
        <v>4.8844390999999998</v>
      </c>
      <c r="AD5" s="210">
        <v>0.68260019999999999</v>
      </c>
      <c r="AE5" s="210">
        <v>1464.8956000000001</v>
      </c>
      <c r="AF5" s="210">
        <v>1464.8956000000001</v>
      </c>
      <c r="AG5" s="210">
        <v>1.7816152999999999</v>
      </c>
      <c r="AH5" s="210">
        <v>4.1882408</v>
      </c>
      <c r="AI5" s="210">
        <v>4.8847418999999999</v>
      </c>
      <c r="AJ5" s="210">
        <v>0.68264252000000003</v>
      </c>
      <c r="AK5" s="210">
        <v>5117.2570999999998</v>
      </c>
      <c r="AL5" s="210">
        <v>5933.2116999999998</v>
      </c>
      <c r="AM5" s="210">
        <v>13.752326</v>
      </c>
      <c r="AN5" s="210">
        <v>5930.3819000000003</v>
      </c>
      <c r="AO5" s="210">
        <v>13.711171999999999</v>
      </c>
      <c r="AP5" s="210">
        <v>3.5566225999999999</v>
      </c>
      <c r="AQ5" s="210">
        <v>4.0500115000000001</v>
      </c>
      <c r="AR5" s="210">
        <v>4.0483308999999998</v>
      </c>
      <c r="AS5" s="210">
        <v>2.7645385999999998</v>
      </c>
      <c r="AT5" s="214">
        <v>2.7635627999999999</v>
      </c>
    </row>
    <row r="6" spans="1:46" s="204" customFormat="1" ht="58.5" customHeight="1" x14ac:dyDescent="0.15">
      <c r="A6" s="488" t="s">
        <v>43</v>
      </c>
      <c r="B6" s="208" t="s">
        <v>97</v>
      </c>
      <c r="C6" s="208" t="s">
        <v>98</v>
      </c>
      <c r="D6" s="208" t="s">
        <v>99</v>
      </c>
      <c r="E6" s="208" t="s">
        <v>100</v>
      </c>
      <c r="F6" s="208" t="s">
        <v>75</v>
      </c>
      <c r="G6" s="208" t="s">
        <v>101</v>
      </c>
      <c r="H6" s="208" t="s">
        <v>76</v>
      </c>
      <c r="I6" s="208" t="s">
        <v>102</v>
      </c>
      <c r="J6" s="208" t="s">
        <v>103</v>
      </c>
      <c r="K6" s="208" t="s">
        <v>104</v>
      </c>
      <c r="L6" s="208" t="s">
        <v>105</v>
      </c>
      <c r="M6" s="208" t="s">
        <v>106</v>
      </c>
      <c r="N6" s="208" t="s">
        <v>107</v>
      </c>
      <c r="O6" s="208" t="s">
        <v>140</v>
      </c>
      <c r="P6" s="208" t="s">
        <v>108</v>
      </c>
      <c r="Q6" s="208" t="s">
        <v>109</v>
      </c>
      <c r="R6" s="208" t="s">
        <v>110</v>
      </c>
      <c r="S6" s="208" t="s">
        <v>112</v>
      </c>
      <c r="T6" s="208" t="s">
        <v>113</v>
      </c>
      <c r="U6" s="208" t="s">
        <v>114</v>
      </c>
      <c r="V6" s="208" t="s">
        <v>115</v>
      </c>
      <c r="W6" s="208" t="s">
        <v>116</v>
      </c>
      <c r="X6" s="208" t="s">
        <v>117</v>
      </c>
      <c r="Y6" s="208" t="s">
        <v>118</v>
      </c>
      <c r="Z6" s="208" t="s">
        <v>119</v>
      </c>
      <c r="AA6" s="208" t="s">
        <v>120</v>
      </c>
      <c r="AB6" s="208" t="s">
        <v>141</v>
      </c>
      <c r="AC6" s="208" t="s">
        <v>142</v>
      </c>
      <c r="AD6" s="208" t="s">
        <v>124</v>
      </c>
      <c r="AE6" s="208" t="s">
        <v>125</v>
      </c>
      <c r="AF6" s="208" t="s">
        <v>126</v>
      </c>
      <c r="AG6" s="208" t="s">
        <v>143</v>
      </c>
      <c r="AH6" s="208" t="s">
        <v>144</v>
      </c>
      <c r="AI6" s="208" t="s">
        <v>130</v>
      </c>
      <c r="AJ6" s="208" t="s">
        <v>131</v>
      </c>
      <c r="AK6" s="208" t="s">
        <v>132</v>
      </c>
      <c r="AL6" s="208" t="s">
        <v>133</v>
      </c>
      <c r="AM6" s="208" t="s">
        <v>134</v>
      </c>
      <c r="AN6" s="208" t="s">
        <v>135</v>
      </c>
      <c r="AO6" s="208" t="s">
        <v>136</v>
      </c>
      <c r="AP6" s="212" t="s">
        <v>137</v>
      </c>
      <c r="AQ6" s="215"/>
      <c r="AR6" s="215"/>
      <c r="AS6" s="215"/>
      <c r="AT6" s="216"/>
    </row>
    <row r="7" spans="1:46" x14ac:dyDescent="0.15">
      <c r="A7" s="489"/>
      <c r="B7" s="205">
        <v>4</v>
      </c>
      <c r="C7" s="205">
        <v>9</v>
      </c>
      <c r="D7" s="205">
        <v>10</v>
      </c>
      <c r="E7" s="205">
        <v>0.99998887999999997</v>
      </c>
      <c r="F7" s="209">
        <v>0.99997776000000005</v>
      </c>
      <c r="G7" s="205">
        <v>-0.99999444000000004</v>
      </c>
      <c r="H7" s="209">
        <v>3</v>
      </c>
      <c r="I7" s="205">
        <v>0.14411114999999999</v>
      </c>
      <c r="J7" s="205">
        <v>7.2076168999999997</v>
      </c>
      <c r="K7" s="205">
        <v>6</v>
      </c>
      <c r="L7" s="205">
        <v>24</v>
      </c>
      <c r="M7" s="209">
        <v>4.8098093999999998</v>
      </c>
      <c r="N7" s="205">
        <v>3.7423521000000002</v>
      </c>
      <c r="O7" s="205">
        <v>0</v>
      </c>
      <c r="P7" s="209">
        <v>4</v>
      </c>
      <c r="Q7" s="209">
        <v>793</v>
      </c>
      <c r="R7" s="209">
        <v>79.3</v>
      </c>
      <c r="S7" s="209">
        <v>24</v>
      </c>
      <c r="T7" s="205">
        <v>42.5</v>
      </c>
      <c r="U7" s="205">
        <v>42.476422999999997</v>
      </c>
      <c r="V7" s="209">
        <v>8447.2618999999995</v>
      </c>
      <c r="W7" s="205">
        <v>844.72618999999997</v>
      </c>
      <c r="X7" s="205">
        <v>8447.2618999999995</v>
      </c>
      <c r="Y7" s="209">
        <v>8742.1731999999993</v>
      </c>
      <c r="Z7" s="205">
        <v>874.21731999999997</v>
      </c>
      <c r="AA7" s="209">
        <v>3.3734318000000001</v>
      </c>
      <c r="AB7" s="205">
        <v>7.9374865000000003</v>
      </c>
      <c r="AC7" s="209">
        <v>1.1438803</v>
      </c>
      <c r="AD7" s="209">
        <v>8742.0095999999994</v>
      </c>
      <c r="AE7" s="209">
        <v>874.20096000000001</v>
      </c>
      <c r="AF7" s="205">
        <v>3.3716233999999998</v>
      </c>
      <c r="AG7" s="205">
        <v>7.9376350000000002</v>
      </c>
      <c r="AH7" s="205">
        <v>1.1439017</v>
      </c>
      <c r="AI7" s="205">
        <v>54437.358999999997</v>
      </c>
      <c r="AJ7" s="205">
        <v>63561.644</v>
      </c>
      <c r="AK7" s="205">
        <v>14.355017</v>
      </c>
      <c r="AL7" s="205">
        <v>63556.582000000002</v>
      </c>
      <c r="AM7" s="205">
        <v>14.348197000000001</v>
      </c>
      <c r="AN7" s="209">
        <v>6.4443792000000002</v>
      </c>
      <c r="AO7" s="209">
        <v>7.2706913999999996</v>
      </c>
      <c r="AP7" s="213">
        <v>7.2702485000000001</v>
      </c>
      <c r="AQ7" s="209"/>
      <c r="AR7" s="209"/>
      <c r="AS7" s="209"/>
      <c r="AT7" s="217"/>
    </row>
    <row r="8" spans="1:46" x14ac:dyDescent="0.15">
      <c r="A8" s="489"/>
      <c r="B8" s="205">
        <v>5</v>
      </c>
      <c r="C8" s="205">
        <v>9</v>
      </c>
      <c r="D8" s="205">
        <v>10</v>
      </c>
      <c r="E8" s="205">
        <v>0.99152205999999998</v>
      </c>
      <c r="F8" s="209">
        <v>0.98304411999999997</v>
      </c>
      <c r="G8" s="205">
        <v>-0.99575201000000002</v>
      </c>
      <c r="H8" s="209">
        <v>3</v>
      </c>
      <c r="I8" s="205">
        <v>0.18094521999999999</v>
      </c>
      <c r="J8" s="205">
        <v>7.3627253000000001</v>
      </c>
      <c r="K8" s="205">
        <v>6</v>
      </c>
      <c r="L8" s="205">
        <v>24</v>
      </c>
      <c r="M8" s="209">
        <v>3.8307017000000001</v>
      </c>
      <c r="N8" s="205">
        <v>4.6988779999999997</v>
      </c>
      <c r="O8" s="205">
        <v>0</v>
      </c>
      <c r="P8" s="209">
        <v>4</v>
      </c>
      <c r="Q8" s="209">
        <v>740</v>
      </c>
      <c r="R8" s="209">
        <v>74</v>
      </c>
      <c r="S8" s="209">
        <v>24</v>
      </c>
      <c r="T8" s="205">
        <v>20.100000000000001</v>
      </c>
      <c r="U8" s="205">
        <v>20.492111000000001</v>
      </c>
      <c r="V8" s="209">
        <v>7848.6819999999998</v>
      </c>
      <c r="W8" s="205">
        <v>784.8682</v>
      </c>
      <c r="X8" s="205">
        <v>7848.6819999999998</v>
      </c>
      <c r="Y8" s="209">
        <v>7959.7653</v>
      </c>
      <c r="Z8" s="205">
        <v>795.97653000000003</v>
      </c>
      <c r="AA8" s="209">
        <v>1.3955605</v>
      </c>
      <c r="AB8" s="205">
        <v>6.9430870999999996</v>
      </c>
      <c r="AC8" s="209">
        <v>1.2563184999999999</v>
      </c>
      <c r="AD8" s="209">
        <v>7961.9323000000004</v>
      </c>
      <c r="AE8" s="209">
        <v>796.19322999999997</v>
      </c>
      <c r="AF8" s="205">
        <v>1.4223977999999999</v>
      </c>
      <c r="AG8" s="205">
        <v>6.9411974000000001</v>
      </c>
      <c r="AH8" s="205">
        <v>1.2559765000000001</v>
      </c>
      <c r="AI8" s="205">
        <v>49166.944000000003</v>
      </c>
      <c r="AJ8" s="205">
        <v>52446.85</v>
      </c>
      <c r="AK8" s="205">
        <v>6.2537713999999998</v>
      </c>
      <c r="AL8" s="205">
        <v>52510.834000000003</v>
      </c>
      <c r="AM8" s="205">
        <v>6.3680009999999996</v>
      </c>
      <c r="AN8" s="209">
        <v>6.2643567999999998</v>
      </c>
      <c r="AO8" s="209">
        <v>6.5889945000000001</v>
      </c>
      <c r="AP8" s="213">
        <v>6.5952374999999996</v>
      </c>
      <c r="AQ8" s="209"/>
      <c r="AR8" s="209"/>
      <c r="AS8" s="209"/>
      <c r="AT8" s="217"/>
    </row>
    <row r="9" spans="1:46" x14ac:dyDescent="0.15">
      <c r="A9" s="490"/>
      <c r="B9" s="211">
        <v>6</v>
      </c>
      <c r="C9" s="211">
        <v>9</v>
      </c>
      <c r="D9" s="211">
        <v>10</v>
      </c>
      <c r="E9" s="211">
        <v>0.99866564999999996</v>
      </c>
      <c r="F9" s="210">
        <v>0.99733130999999997</v>
      </c>
      <c r="G9" s="211">
        <v>-0.99933260000000002</v>
      </c>
      <c r="H9" s="210">
        <v>3</v>
      </c>
      <c r="I9" s="211">
        <v>0.16317897000000001</v>
      </c>
      <c r="J9" s="211">
        <v>7.1039909999999997</v>
      </c>
      <c r="K9" s="211">
        <v>6</v>
      </c>
      <c r="L9" s="211">
        <v>24</v>
      </c>
      <c r="M9" s="210">
        <v>4.2477726999999996</v>
      </c>
      <c r="N9" s="211">
        <v>4.2375147999999996</v>
      </c>
      <c r="O9" s="211">
        <v>0</v>
      </c>
      <c r="P9" s="210">
        <v>2</v>
      </c>
      <c r="Q9" s="210">
        <v>813</v>
      </c>
      <c r="R9" s="210">
        <v>81.3</v>
      </c>
      <c r="S9" s="210">
        <v>24</v>
      </c>
      <c r="T9" s="211">
        <v>24.4</v>
      </c>
      <c r="U9" s="211">
        <v>24.232524000000002</v>
      </c>
      <c r="V9" s="210">
        <v>6956.7460000000001</v>
      </c>
      <c r="W9" s="211">
        <v>695.67460000000005</v>
      </c>
      <c r="X9" s="211">
        <v>6956.7460000000001</v>
      </c>
      <c r="Y9" s="210">
        <v>7106.2750999999998</v>
      </c>
      <c r="Z9" s="211">
        <v>710.62751000000003</v>
      </c>
      <c r="AA9" s="210">
        <v>2.1041835999999998</v>
      </c>
      <c r="AB9" s="211">
        <v>8.6237031000000002</v>
      </c>
      <c r="AC9" s="211">
        <v>1.4072070000000001</v>
      </c>
      <c r="AD9" s="211">
        <v>7105.2487000000001</v>
      </c>
      <c r="AE9" s="211">
        <v>710.52486999999996</v>
      </c>
      <c r="AF9" s="211">
        <v>2.0900428</v>
      </c>
      <c r="AG9" s="211">
        <v>8.6249488000000003</v>
      </c>
      <c r="AH9" s="211">
        <v>1.4074103</v>
      </c>
      <c r="AI9" s="211">
        <v>40014.866000000002</v>
      </c>
      <c r="AJ9" s="211">
        <v>44519.913999999997</v>
      </c>
      <c r="AK9" s="211">
        <v>10.119175</v>
      </c>
      <c r="AL9" s="211">
        <v>44488.993000000002</v>
      </c>
      <c r="AM9" s="211">
        <v>10.056704</v>
      </c>
      <c r="AN9" s="210">
        <v>5.7519515999999999</v>
      </c>
      <c r="AO9" s="210">
        <v>6.2648735000000002</v>
      </c>
      <c r="AP9" s="214">
        <v>6.2614264999999998</v>
      </c>
    </row>
  </sheetData>
  <mergeCells count="2">
    <mergeCell ref="A2:A5"/>
    <mergeCell ref="A6:A9"/>
  </mergeCells>
  <phoneticPr fontId="5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U156"/>
  <sheetViews>
    <sheetView showGridLines="0" topLeftCell="A61" zoomScale="80" zoomScaleNormal="80" workbookViewId="0">
      <selection activeCell="A104" sqref="A102:XFD104"/>
    </sheetView>
  </sheetViews>
  <sheetFormatPr defaultColWidth="9" defaultRowHeight="15" x14ac:dyDescent="0.25"/>
  <cols>
    <col min="1" max="1" width="58.25" style="141" customWidth="1"/>
    <col min="2" max="2" width="14.25" style="141" customWidth="1"/>
    <col min="3" max="3" width="44" style="141" customWidth="1"/>
    <col min="4" max="4" width="18.375" style="141" customWidth="1"/>
    <col min="5" max="5" width="10.125" style="142" customWidth="1"/>
    <col min="6" max="6" width="11" style="142" customWidth="1"/>
    <col min="7" max="7" width="11.375" style="142" customWidth="1"/>
    <col min="8" max="8" width="9.75" style="143" customWidth="1"/>
    <col min="9" max="9" width="9.625" style="142"/>
    <col min="10" max="10" width="10.125" style="142" customWidth="1"/>
    <col min="11" max="11" width="7.75" style="143" customWidth="1"/>
    <col min="12" max="12" width="7.125" style="142" customWidth="1"/>
    <col min="13" max="13" width="9" style="142"/>
    <col min="14" max="14" width="10.375" style="142" customWidth="1"/>
    <col min="15" max="15" width="12.75" style="142" customWidth="1"/>
    <col min="16" max="16384" width="9" style="141"/>
  </cols>
  <sheetData>
    <row r="1" spans="1:21" ht="26.45" customHeight="1" x14ac:dyDescent="0.25">
      <c r="A1" s="144"/>
      <c r="B1" s="145"/>
      <c r="C1" s="145"/>
      <c r="D1" s="145"/>
      <c r="E1" s="146"/>
      <c r="F1" s="146"/>
      <c r="G1" s="146"/>
      <c r="H1" s="147"/>
      <c r="I1" s="146"/>
      <c r="J1" s="146"/>
      <c r="K1" s="147"/>
      <c r="L1" s="146"/>
      <c r="M1" s="146"/>
      <c r="N1" s="146"/>
      <c r="O1" s="154"/>
    </row>
    <row r="2" spans="1:21" s="139" customFormat="1" ht="14.25" customHeight="1" x14ac:dyDescent="0.15">
      <c r="A2" s="148" t="s">
        <v>145</v>
      </c>
      <c r="B2" s="149"/>
      <c r="C2" s="149"/>
      <c r="D2" s="149"/>
      <c r="E2" s="150"/>
      <c r="F2" s="150"/>
      <c r="G2" s="150"/>
      <c r="H2" s="150"/>
      <c r="I2" s="150"/>
      <c r="J2" s="150"/>
      <c r="K2" s="150"/>
      <c r="L2" s="150"/>
      <c r="M2" s="150"/>
      <c r="N2" s="150"/>
      <c r="O2" s="155"/>
      <c r="P2" s="156"/>
    </row>
    <row r="3" spans="1:21" s="139" customFormat="1" ht="14.25" customHeight="1" x14ac:dyDescent="0.15">
      <c r="A3" s="148" t="s">
        <v>146</v>
      </c>
      <c r="B3" s="149"/>
      <c r="C3" s="149"/>
      <c r="D3" s="149"/>
      <c r="E3" s="150"/>
      <c r="F3" s="150"/>
      <c r="G3" s="150"/>
      <c r="H3" s="150"/>
      <c r="I3" s="150"/>
      <c r="J3" s="150"/>
      <c r="K3" s="150"/>
      <c r="L3" s="150"/>
      <c r="M3" s="150"/>
      <c r="N3" s="150"/>
      <c r="O3" s="155"/>
      <c r="P3" s="156"/>
    </row>
    <row r="4" spans="1:21" s="139" customFormat="1" ht="14.25" customHeight="1" x14ac:dyDescent="0.15">
      <c r="A4" s="148" t="s">
        <v>147</v>
      </c>
      <c r="B4" s="149"/>
      <c r="C4" s="149"/>
      <c r="D4" s="149"/>
      <c r="E4" s="150"/>
      <c r="F4" s="150"/>
      <c r="G4" s="150"/>
      <c r="H4" s="150"/>
      <c r="I4" s="150"/>
      <c r="J4" s="150"/>
      <c r="K4" s="150"/>
      <c r="L4" s="150"/>
      <c r="M4" s="150"/>
      <c r="N4" s="150"/>
      <c r="O4" s="155"/>
      <c r="P4" s="156"/>
    </row>
    <row r="5" spans="1:21" s="139" customFormat="1" ht="14.25" customHeight="1" x14ac:dyDescent="0.15">
      <c r="A5" s="151"/>
      <c r="B5" s="149"/>
      <c r="C5" s="149"/>
      <c r="D5" s="149"/>
      <c r="E5" s="150"/>
      <c r="F5" s="150"/>
      <c r="G5" s="150"/>
      <c r="H5" s="150"/>
      <c r="I5" s="150"/>
      <c r="J5" s="150"/>
      <c r="K5" s="150"/>
      <c r="L5" s="150"/>
      <c r="M5" s="150"/>
      <c r="N5" s="150"/>
      <c r="O5" s="155"/>
      <c r="P5" s="156"/>
    </row>
    <row r="6" spans="1:21" s="139" customFormat="1" ht="14.25" customHeight="1" x14ac:dyDescent="0.15">
      <c r="A6" s="148" t="s">
        <v>148</v>
      </c>
      <c r="B6" s="149"/>
      <c r="C6" s="149"/>
      <c r="D6" s="149"/>
      <c r="E6" s="150"/>
      <c r="F6" s="150"/>
      <c r="G6" s="150"/>
      <c r="H6" s="150"/>
      <c r="I6" s="150"/>
      <c r="J6" s="150"/>
      <c r="K6" s="150"/>
      <c r="L6" s="150"/>
      <c r="M6" s="150"/>
      <c r="N6" s="150"/>
      <c r="O6" s="155"/>
      <c r="P6" s="156"/>
    </row>
    <row r="7" spans="1:21" s="139" customFormat="1" ht="14.25" customHeight="1" x14ac:dyDescent="0.15">
      <c r="A7" s="148" t="s">
        <v>149</v>
      </c>
      <c r="B7" s="149"/>
      <c r="C7" s="149"/>
      <c r="D7" s="149"/>
      <c r="E7" s="150"/>
      <c r="F7" s="150"/>
      <c r="G7" s="150"/>
      <c r="H7" s="150"/>
      <c r="I7" s="150"/>
      <c r="J7" s="150"/>
      <c r="K7" s="150"/>
      <c r="L7" s="150"/>
      <c r="M7" s="150"/>
      <c r="N7" s="150"/>
      <c r="O7" s="155"/>
      <c r="P7" s="156"/>
    </row>
    <row r="8" spans="1:21" s="139" customFormat="1" ht="14.25" customHeight="1" x14ac:dyDescent="0.15">
      <c r="A8" s="148" t="s">
        <v>150</v>
      </c>
      <c r="B8" s="149"/>
      <c r="C8" s="149"/>
      <c r="D8" s="149"/>
      <c r="E8" s="150"/>
      <c r="F8" s="150"/>
      <c r="G8" s="150"/>
      <c r="H8" s="150"/>
      <c r="I8" s="150"/>
      <c r="J8" s="150"/>
      <c r="K8" s="150"/>
      <c r="L8" s="150"/>
      <c r="M8" s="150"/>
      <c r="N8" s="150"/>
      <c r="O8" s="155"/>
      <c r="P8" s="156"/>
    </row>
    <row r="9" spans="1:21" s="139" customFormat="1" ht="14.25" customHeight="1" x14ac:dyDescent="0.15">
      <c r="A9" s="151"/>
      <c r="B9" s="149"/>
      <c r="C9" s="149"/>
      <c r="D9" s="149"/>
      <c r="E9" s="150"/>
      <c r="F9" s="150"/>
      <c r="G9" s="150"/>
      <c r="H9" s="150"/>
      <c r="I9" s="150"/>
      <c r="J9" s="150"/>
      <c r="K9" s="150"/>
      <c r="L9" s="150"/>
      <c r="M9" s="150"/>
      <c r="N9" s="150"/>
      <c r="O9" s="155"/>
      <c r="P9" s="156"/>
      <c r="U9" s="156"/>
    </row>
    <row r="10" spans="1:21" s="139" customFormat="1" ht="14.25" customHeight="1" x14ac:dyDescent="0.15">
      <c r="A10" s="148" t="s">
        <v>151</v>
      </c>
      <c r="B10" s="152" t="s">
        <v>152</v>
      </c>
      <c r="C10" s="152" t="s">
        <v>153</v>
      </c>
      <c r="D10" s="152" t="s">
        <v>154</v>
      </c>
      <c r="E10" s="153" t="s">
        <v>155</v>
      </c>
      <c r="F10" s="153" t="s">
        <v>156</v>
      </c>
      <c r="G10" s="150"/>
      <c r="H10" s="150"/>
      <c r="I10" s="150"/>
      <c r="J10" s="150"/>
      <c r="K10" s="150"/>
      <c r="L10" s="150"/>
      <c r="M10" s="150"/>
      <c r="N10" s="150"/>
      <c r="O10" s="155"/>
      <c r="P10" s="156"/>
      <c r="U10" s="156"/>
    </row>
    <row r="11" spans="1:21" s="139" customFormat="1" ht="14.25" customHeight="1" x14ac:dyDescent="0.15">
      <c r="A11" s="148" t="s">
        <v>157</v>
      </c>
      <c r="B11" s="149">
        <v>-2.1599999999999999E-4</v>
      </c>
      <c r="C11" s="149"/>
      <c r="D11" s="149"/>
      <c r="E11" s="150"/>
      <c r="F11" s="150"/>
      <c r="G11" s="150"/>
      <c r="H11" s="150"/>
      <c r="I11" s="150"/>
      <c r="J11" s="150"/>
      <c r="K11" s="150"/>
      <c r="L11" s="150"/>
      <c r="M11" s="150"/>
      <c r="N11" s="150"/>
      <c r="O11" s="155"/>
      <c r="P11" s="156"/>
      <c r="U11" s="156"/>
    </row>
    <row r="12" spans="1:21" s="139" customFormat="1" ht="14.25" customHeight="1" x14ac:dyDescent="0.15">
      <c r="A12" s="148" t="s">
        <v>158</v>
      </c>
      <c r="B12" s="149">
        <v>1.91E-3</v>
      </c>
      <c r="C12" s="149"/>
      <c r="D12" s="149"/>
      <c r="E12" s="150"/>
      <c r="F12" s="150"/>
      <c r="G12" s="150"/>
      <c r="H12" s="150"/>
      <c r="I12" s="150"/>
      <c r="J12" s="150"/>
      <c r="K12" s="150"/>
      <c r="L12" s="150"/>
      <c r="M12" s="150"/>
      <c r="N12" s="150"/>
      <c r="O12" s="155"/>
      <c r="P12" s="156"/>
      <c r="U12" s="156"/>
    </row>
    <row r="13" spans="1:21" s="139" customFormat="1" ht="14.25" customHeight="1" x14ac:dyDescent="0.15">
      <c r="A13" s="148" t="s">
        <v>159</v>
      </c>
      <c r="B13" s="149">
        <v>0.99690000000000001</v>
      </c>
      <c r="C13" s="149"/>
      <c r="D13" s="149"/>
      <c r="E13" s="150"/>
      <c r="F13" s="150"/>
      <c r="G13" s="150"/>
      <c r="H13" s="150"/>
      <c r="I13" s="150"/>
      <c r="J13" s="150"/>
      <c r="K13" s="150"/>
      <c r="L13" s="150"/>
      <c r="M13" s="150"/>
      <c r="N13" s="150"/>
      <c r="O13" s="155"/>
      <c r="P13" s="156"/>
    </row>
    <row r="14" spans="1:21" s="139" customFormat="1" ht="14.25" customHeight="1" x14ac:dyDescent="0.15">
      <c r="A14" s="148" t="s">
        <v>160</v>
      </c>
      <c r="B14" s="149"/>
      <c r="C14" s="149"/>
      <c r="D14" s="149"/>
      <c r="E14" s="150"/>
      <c r="F14" s="150"/>
      <c r="G14" s="150"/>
      <c r="H14" s="150"/>
      <c r="I14" s="150"/>
      <c r="J14" s="150"/>
      <c r="K14" s="150"/>
      <c r="L14" s="150"/>
      <c r="M14" s="150"/>
      <c r="N14" s="150"/>
      <c r="O14" s="155"/>
      <c r="P14" s="156"/>
    </row>
    <row r="15" spans="1:21" s="139" customFormat="1" ht="14.25" customHeight="1" x14ac:dyDescent="0.15">
      <c r="A15" s="151"/>
      <c r="B15" s="149"/>
      <c r="C15" s="149"/>
      <c r="D15" s="149"/>
      <c r="E15" s="150"/>
      <c r="F15" s="150"/>
      <c r="G15" s="150"/>
      <c r="H15" s="150"/>
      <c r="I15" s="150"/>
      <c r="J15" s="150"/>
      <c r="K15" s="150"/>
      <c r="L15" s="150"/>
      <c r="M15" s="150"/>
      <c r="N15" s="150"/>
      <c r="O15" s="155"/>
      <c r="P15" s="156"/>
    </row>
    <row r="16" spans="1:21" s="140" customFormat="1" x14ac:dyDescent="0.15">
      <c r="A16" s="151"/>
      <c r="B16" s="149"/>
      <c r="C16" s="149"/>
      <c r="D16" s="149"/>
      <c r="E16" s="150"/>
      <c r="F16" s="150"/>
      <c r="G16" s="150"/>
      <c r="H16" s="150"/>
      <c r="I16" s="150"/>
      <c r="J16" s="150"/>
      <c r="K16" s="150"/>
      <c r="L16" s="150"/>
      <c r="M16" s="150"/>
      <c r="N16" s="150"/>
      <c r="O16" s="155"/>
      <c r="P16" s="156"/>
    </row>
    <row r="17" spans="1:16" s="140" customFormat="1" ht="15" customHeight="1" x14ac:dyDescent="0.15">
      <c r="A17" s="151"/>
      <c r="B17" s="149"/>
      <c r="C17" s="149"/>
      <c r="D17" s="149"/>
      <c r="E17" s="150"/>
      <c r="F17" s="150"/>
      <c r="G17" s="150"/>
      <c r="H17" s="150"/>
      <c r="I17" s="150"/>
      <c r="J17" s="150"/>
      <c r="K17" s="150"/>
      <c r="L17" s="150"/>
      <c r="M17" s="150"/>
      <c r="N17" s="150"/>
      <c r="O17" s="155"/>
      <c r="P17" s="156"/>
    </row>
    <row r="18" spans="1:16" s="140" customFormat="1" x14ac:dyDescent="0.15">
      <c r="A18" s="151"/>
      <c r="B18" s="149"/>
      <c r="C18" s="149"/>
      <c r="D18" s="149"/>
      <c r="E18" s="150"/>
      <c r="F18" s="150"/>
      <c r="G18" s="150"/>
      <c r="H18" s="150"/>
      <c r="I18" s="150"/>
      <c r="J18" s="150"/>
      <c r="K18" s="150"/>
      <c r="L18" s="150"/>
      <c r="M18" s="150"/>
      <c r="N18" s="150"/>
      <c r="O18" s="155"/>
      <c r="P18" s="156"/>
    </row>
    <row r="19" spans="1:16" s="139" customFormat="1" ht="14.25" customHeight="1" x14ac:dyDescent="0.15">
      <c r="A19" s="148" t="s">
        <v>161</v>
      </c>
      <c r="B19" s="152" t="s">
        <v>162</v>
      </c>
      <c r="C19" s="152" t="s">
        <v>163</v>
      </c>
      <c r="D19" s="152" t="s">
        <v>164</v>
      </c>
      <c r="E19" s="153" t="s">
        <v>165</v>
      </c>
      <c r="F19" s="153" t="s">
        <v>166</v>
      </c>
      <c r="G19" s="153" t="s">
        <v>167</v>
      </c>
      <c r="H19" s="153" t="s">
        <v>168</v>
      </c>
      <c r="I19" s="153" t="s">
        <v>169</v>
      </c>
      <c r="J19" s="153" t="s">
        <v>170</v>
      </c>
      <c r="K19" s="153" t="s">
        <v>171</v>
      </c>
      <c r="L19" s="153" t="s">
        <v>172</v>
      </c>
      <c r="M19" s="153" t="s">
        <v>173</v>
      </c>
      <c r="N19" s="153" t="s">
        <v>174</v>
      </c>
      <c r="O19" s="157" t="s">
        <v>175</v>
      </c>
      <c r="P19" s="156"/>
    </row>
    <row r="20" spans="1:16" s="139" customFormat="1" ht="14.25" customHeight="1" x14ac:dyDescent="0.15">
      <c r="A20" s="148" t="s">
        <v>176</v>
      </c>
      <c r="B20" s="152" t="s">
        <v>177</v>
      </c>
      <c r="C20" s="152" t="s">
        <v>178</v>
      </c>
      <c r="D20" s="152" t="s">
        <v>4</v>
      </c>
      <c r="E20" s="153" t="s">
        <v>179</v>
      </c>
      <c r="F20" s="150" t="e">
        <v>#DIV/0!</v>
      </c>
      <c r="G20" s="150">
        <v>0</v>
      </c>
      <c r="H20" s="150">
        <v>0</v>
      </c>
      <c r="I20" s="150" t="e">
        <v>#DIV/0!</v>
      </c>
      <c r="J20" s="150">
        <v>0</v>
      </c>
      <c r="K20" s="150">
        <v>0</v>
      </c>
      <c r="L20" s="150"/>
      <c r="M20" s="150">
        <v>0</v>
      </c>
      <c r="N20" s="153" t="s">
        <v>179</v>
      </c>
      <c r="O20" s="155">
        <v>1</v>
      </c>
      <c r="P20" s="156"/>
    </row>
    <row r="21" spans="1:16" s="139" customFormat="1" ht="14.25" customHeight="1" x14ac:dyDescent="0.15">
      <c r="A21" s="148" t="s">
        <v>176</v>
      </c>
      <c r="B21" s="152" t="s">
        <v>177</v>
      </c>
      <c r="C21" s="152" t="s">
        <v>178</v>
      </c>
      <c r="D21" s="152" t="s">
        <v>4</v>
      </c>
      <c r="E21" s="153" t="s">
        <v>179</v>
      </c>
      <c r="F21" s="150" t="e">
        <v>#DIV/0!</v>
      </c>
      <c r="G21" s="150">
        <v>0</v>
      </c>
      <c r="H21" s="150">
        <v>0</v>
      </c>
      <c r="I21" s="150" t="e">
        <v>#DIV/0!</v>
      </c>
      <c r="J21" s="150">
        <v>0</v>
      </c>
      <c r="K21" s="150">
        <v>0</v>
      </c>
      <c r="L21" s="150"/>
      <c r="M21" s="150">
        <v>0</v>
      </c>
      <c r="N21" s="153" t="s">
        <v>179</v>
      </c>
      <c r="O21" s="155">
        <v>1</v>
      </c>
      <c r="P21" s="156"/>
    </row>
    <row r="22" spans="1:16" s="139" customFormat="1" ht="14.25" customHeight="1" x14ac:dyDescent="0.15">
      <c r="A22" s="148" t="s">
        <v>176</v>
      </c>
      <c r="B22" s="152" t="s">
        <v>177</v>
      </c>
      <c r="C22" s="152" t="s">
        <v>178</v>
      </c>
      <c r="D22" s="152" t="s">
        <v>4</v>
      </c>
      <c r="E22" s="153" t="s">
        <v>179</v>
      </c>
      <c r="F22" s="150" t="e">
        <v>#DIV/0!</v>
      </c>
      <c r="G22" s="150">
        <v>0</v>
      </c>
      <c r="H22" s="150">
        <v>0</v>
      </c>
      <c r="I22" s="150" t="e">
        <v>#DIV/0!</v>
      </c>
      <c r="J22" s="150">
        <v>0</v>
      </c>
      <c r="K22" s="150">
        <v>0</v>
      </c>
      <c r="L22" s="150"/>
      <c r="M22" s="150">
        <v>0</v>
      </c>
      <c r="N22" s="153" t="s">
        <v>179</v>
      </c>
      <c r="O22" s="155">
        <v>1</v>
      </c>
      <c r="P22" s="156"/>
    </row>
    <row r="23" spans="1:16" s="139" customFormat="1" ht="14.25" customHeight="1" x14ac:dyDescent="0.15">
      <c r="A23" s="148" t="s">
        <v>180</v>
      </c>
      <c r="B23" s="152" t="s">
        <v>177</v>
      </c>
      <c r="C23" s="152" t="s">
        <v>178</v>
      </c>
      <c r="D23" s="152" t="s">
        <v>4</v>
      </c>
      <c r="E23" s="153" t="s">
        <v>179</v>
      </c>
      <c r="F23" s="153" t="s">
        <v>181</v>
      </c>
      <c r="G23" s="150">
        <v>0</v>
      </c>
      <c r="H23" s="150">
        <v>0</v>
      </c>
      <c r="I23" s="150">
        <v>0</v>
      </c>
      <c r="J23" s="150">
        <v>827000</v>
      </c>
      <c r="K23" s="150">
        <v>0.85399999999999998</v>
      </c>
      <c r="L23" s="150"/>
      <c r="M23" s="150">
        <v>0</v>
      </c>
      <c r="N23" s="153" t="s">
        <v>179</v>
      </c>
      <c r="O23" s="155">
        <v>1</v>
      </c>
      <c r="P23" s="156"/>
    </row>
    <row r="24" spans="1:16" s="139" customFormat="1" ht="14.25" customHeight="1" x14ac:dyDescent="0.15">
      <c r="A24" s="148" t="s">
        <v>182</v>
      </c>
      <c r="B24" s="152" t="s">
        <v>183</v>
      </c>
      <c r="C24" s="152" t="s">
        <v>178</v>
      </c>
      <c r="D24" s="152" t="s">
        <v>4</v>
      </c>
      <c r="E24" s="150">
        <v>1</v>
      </c>
      <c r="F24" s="150">
        <v>0.97599999999999998</v>
      </c>
      <c r="G24" s="150">
        <v>1230</v>
      </c>
      <c r="H24" s="150">
        <v>1.17</v>
      </c>
      <c r="I24" s="150">
        <v>1.65E-3</v>
      </c>
      <c r="J24" s="150">
        <v>744000</v>
      </c>
      <c r="K24" s="150">
        <v>0.85</v>
      </c>
      <c r="L24" s="150">
        <v>1</v>
      </c>
      <c r="M24" s="150">
        <v>0</v>
      </c>
      <c r="N24" s="150">
        <v>97.59</v>
      </c>
      <c r="O24" s="155">
        <v>1</v>
      </c>
      <c r="P24" s="156"/>
    </row>
    <row r="25" spans="1:16" s="139" customFormat="1" ht="14.25" customHeight="1" x14ac:dyDescent="0.15">
      <c r="A25" s="148" t="s">
        <v>184</v>
      </c>
      <c r="B25" s="152" t="s">
        <v>183</v>
      </c>
      <c r="C25" s="152" t="s">
        <v>178</v>
      </c>
      <c r="D25" s="152" t="s">
        <v>4</v>
      </c>
      <c r="E25" s="150">
        <v>2</v>
      </c>
      <c r="F25" s="150">
        <v>2.0099999999999998</v>
      </c>
      <c r="G25" s="150">
        <v>2740</v>
      </c>
      <c r="H25" s="150">
        <v>1.18</v>
      </c>
      <c r="I25" s="150">
        <v>3.63E-3</v>
      </c>
      <c r="J25" s="150">
        <v>755000</v>
      </c>
      <c r="K25" s="150">
        <v>0.85399999999999998</v>
      </c>
      <c r="L25" s="150">
        <v>1</v>
      </c>
      <c r="M25" s="150">
        <v>0</v>
      </c>
      <c r="N25" s="150">
        <v>100.64</v>
      </c>
      <c r="O25" s="155">
        <v>1</v>
      </c>
      <c r="P25" s="156"/>
    </row>
    <row r="26" spans="1:16" s="139" customFormat="1" ht="14.25" customHeight="1" x14ac:dyDescent="0.15">
      <c r="A26" s="148" t="s">
        <v>185</v>
      </c>
      <c r="B26" s="152" t="s">
        <v>183</v>
      </c>
      <c r="C26" s="152" t="s">
        <v>178</v>
      </c>
      <c r="D26" s="152" t="s">
        <v>4</v>
      </c>
      <c r="E26" s="150">
        <v>5</v>
      </c>
      <c r="F26" s="150">
        <v>5.59</v>
      </c>
      <c r="G26" s="150">
        <v>7700</v>
      </c>
      <c r="H26" s="150">
        <v>1.18</v>
      </c>
      <c r="I26" s="150">
        <v>1.0500000000000001E-2</v>
      </c>
      <c r="J26" s="150">
        <v>736000</v>
      </c>
      <c r="K26" s="150">
        <v>0.85399999999999998</v>
      </c>
      <c r="L26" s="150">
        <v>1</v>
      </c>
      <c r="M26" s="150">
        <v>0</v>
      </c>
      <c r="N26" s="150">
        <v>111.79</v>
      </c>
      <c r="O26" s="155">
        <v>1</v>
      </c>
      <c r="P26" s="156"/>
    </row>
    <row r="27" spans="1:16" s="139" customFormat="1" ht="14.25" customHeight="1" x14ac:dyDescent="0.15">
      <c r="A27" s="148" t="s">
        <v>186</v>
      </c>
      <c r="B27" s="152" t="s">
        <v>183</v>
      </c>
      <c r="C27" s="152" t="s">
        <v>178</v>
      </c>
      <c r="D27" s="152" t="s">
        <v>4</v>
      </c>
      <c r="E27" s="150">
        <v>20</v>
      </c>
      <c r="F27" s="150">
        <v>18.7</v>
      </c>
      <c r="G27" s="150">
        <v>24800</v>
      </c>
      <c r="H27" s="150">
        <v>1.18</v>
      </c>
      <c r="I27" s="150">
        <v>3.56E-2</v>
      </c>
      <c r="J27" s="150">
        <v>696000</v>
      </c>
      <c r="K27" s="150">
        <v>0.85299999999999998</v>
      </c>
      <c r="L27" s="150">
        <v>1</v>
      </c>
      <c r="M27" s="150">
        <v>0</v>
      </c>
      <c r="N27" s="150">
        <v>93.58</v>
      </c>
      <c r="O27" s="155">
        <v>1</v>
      </c>
      <c r="P27" s="156"/>
    </row>
    <row r="28" spans="1:16" s="139" customFormat="1" ht="14.25" customHeight="1" x14ac:dyDescent="0.15">
      <c r="A28" s="148" t="s">
        <v>187</v>
      </c>
      <c r="B28" s="152" t="s">
        <v>183</v>
      </c>
      <c r="C28" s="152" t="s">
        <v>178</v>
      </c>
      <c r="D28" s="152" t="s">
        <v>4</v>
      </c>
      <c r="E28" s="150">
        <v>100</v>
      </c>
      <c r="F28" s="150">
        <v>107</v>
      </c>
      <c r="G28" s="150">
        <v>175000</v>
      </c>
      <c r="H28" s="150">
        <v>1.18</v>
      </c>
      <c r="I28" s="150">
        <v>0.20399999999999999</v>
      </c>
      <c r="J28" s="150">
        <v>855000</v>
      </c>
      <c r="K28" s="150">
        <v>0.85199999999999998</v>
      </c>
      <c r="L28" s="150">
        <v>1</v>
      </c>
      <c r="M28" s="150">
        <v>0</v>
      </c>
      <c r="N28" s="150">
        <v>106.88</v>
      </c>
      <c r="O28" s="155">
        <v>1</v>
      </c>
      <c r="P28" s="156"/>
    </row>
    <row r="29" spans="1:16" s="139" customFormat="1" ht="14.25" customHeight="1" x14ac:dyDescent="0.15">
      <c r="A29" s="148" t="s">
        <v>188</v>
      </c>
      <c r="B29" s="152" t="s">
        <v>183</v>
      </c>
      <c r="C29" s="152" t="s">
        <v>178</v>
      </c>
      <c r="D29" s="152" t="s">
        <v>4</v>
      </c>
      <c r="E29" s="150">
        <v>500</v>
      </c>
      <c r="F29" s="150">
        <v>462</v>
      </c>
      <c r="G29" s="150">
        <v>650000</v>
      </c>
      <c r="H29" s="150">
        <v>1.18</v>
      </c>
      <c r="I29" s="150">
        <v>0.88400000000000001</v>
      </c>
      <c r="J29" s="150">
        <v>735000</v>
      </c>
      <c r="K29" s="150">
        <v>0.85499999999999998</v>
      </c>
      <c r="L29" s="150">
        <v>1</v>
      </c>
      <c r="M29" s="150">
        <v>0</v>
      </c>
      <c r="N29" s="150">
        <v>92.48</v>
      </c>
      <c r="O29" s="155">
        <v>1</v>
      </c>
      <c r="P29" s="156"/>
    </row>
    <row r="30" spans="1:16" s="139" customFormat="1" ht="14.25" customHeight="1" x14ac:dyDescent="0.15">
      <c r="A30" s="148" t="s">
        <v>189</v>
      </c>
      <c r="B30" s="152" t="s">
        <v>183</v>
      </c>
      <c r="C30" s="152" t="s">
        <v>178</v>
      </c>
      <c r="D30" s="152" t="s">
        <v>4</v>
      </c>
      <c r="E30" s="150">
        <v>1000</v>
      </c>
      <c r="F30" s="150">
        <v>1040</v>
      </c>
      <c r="G30" s="150">
        <v>1530000</v>
      </c>
      <c r="H30" s="150">
        <v>1.18</v>
      </c>
      <c r="I30" s="150">
        <v>1.98</v>
      </c>
      <c r="J30" s="150">
        <v>772000</v>
      </c>
      <c r="K30" s="150">
        <v>0.85299999999999998</v>
      </c>
      <c r="L30" s="150">
        <v>1</v>
      </c>
      <c r="M30" s="150">
        <v>0</v>
      </c>
      <c r="N30" s="150">
        <v>103.76</v>
      </c>
      <c r="O30" s="155">
        <v>1</v>
      </c>
      <c r="P30" s="156"/>
    </row>
    <row r="31" spans="1:16" s="139" customFormat="1" ht="14.25" customHeight="1" x14ac:dyDescent="0.15">
      <c r="A31" s="148" t="s">
        <v>190</v>
      </c>
      <c r="B31" s="152" t="s">
        <v>183</v>
      </c>
      <c r="C31" s="152" t="s">
        <v>178</v>
      </c>
      <c r="D31" s="152" t="s">
        <v>4</v>
      </c>
      <c r="E31" s="150">
        <v>2000</v>
      </c>
      <c r="F31" s="150">
        <v>1870</v>
      </c>
      <c r="G31" s="150">
        <v>2900000</v>
      </c>
      <c r="H31" s="150">
        <v>1.18</v>
      </c>
      <c r="I31" s="150">
        <v>3.57</v>
      </c>
      <c r="J31" s="150">
        <v>813000</v>
      </c>
      <c r="K31" s="150">
        <v>0.85399999999999998</v>
      </c>
      <c r="L31" s="150">
        <v>1</v>
      </c>
      <c r="M31" s="150">
        <v>0</v>
      </c>
      <c r="N31" s="150">
        <v>93.27</v>
      </c>
      <c r="O31" s="155">
        <v>1</v>
      </c>
      <c r="P31" s="156"/>
    </row>
    <row r="32" spans="1:16" s="139" customFormat="1" ht="14.25" customHeight="1" x14ac:dyDescent="0.15">
      <c r="A32" s="148" t="s">
        <v>176</v>
      </c>
      <c r="B32" s="152" t="s">
        <v>177</v>
      </c>
      <c r="C32" s="152" t="s">
        <v>178</v>
      </c>
      <c r="D32" s="152" t="s">
        <v>4</v>
      </c>
      <c r="E32" s="153" t="s">
        <v>179</v>
      </c>
      <c r="F32" s="150" t="e">
        <v>#DIV/0!</v>
      </c>
      <c r="G32" s="150">
        <v>0</v>
      </c>
      <c r="H32" s="150">
        <v>0</v>
      </c>
      <c r="I32" s="150" t="e">
        <v>#DIV/0!</v>
      </c>
      <c r="J32" s="150">
        <v>0</v>
      </c>
      <c r="K32" s="150">
        <v>0</v>
      </c>
      <c r="L32" s="150"/>
      <c r="M32" s="150">
        <v>0</v>
      </c>
      <c r="N32" s="153" t="s">
        <v>179</v>
      </c>
      <c r="O32" s="155">
        <v>1</v>
      </c>
      <c r="P32" s="156"/>
    </row>
    <row r="33" spans="1:16" s="139" customFormat="1" ht="14.25" customHeight="1" x14ac:dyDescent="0.15">
      <c r="A33" s="148" t="s">
        <v>176</v>
      </c>
      <c r="B33" s="152" t="s">
        <v>177</v>
      </c>
      <c r="C33" s="152" t="s">
        <v>178</v>
      </c>
      <c r="D33" s="152" t="s">
        <v>4</v>
      </c>
      <c r="E33" s="153" t="s">
        <v>179</v>
      </c>
      <c r="F33" s="150" t="e">
        <v>#DIV/0!</v>
      </c>
      <c r="G33" s="150">
        <v>0</v>
      </c>
      <c r="H33" s="150">
        <v>0</v>
      </c>
      <c r="I33" s="150" t="e">
        <v>#DIV/0!</v>
      </c>
      <c r="J33" s="150">
        <v>0</v>
      </c>
      <c r="K33" s="150">
        <v>0</v>
      </c>
      <c r="L33" s="150"/>
      <c r="M33" s="150">
        <v>0</v>
      </c>
      <c r="N33" s="153" t="s">
        <v>179</v>
      </c>
      <c r="O33" s="155">
        <v>1</v>
      </c>
      <c r="P33" s="156"/>
    </row>
    <row r="34" spans="1:16" s="139" customFormat="1" ht="14.25" customHeight="1" x14ac:dyDescent="0.15">
      <c r="A34" s="148" t="s">
        <v>176</v>
      </c>
      <c r="B34" s="152" t="s">
        <v>177</v>
      </c>
      <c r="C34" s="152" t="s">
        <v>178</v>
      </c>
      <c r="D34" s="152" t="s">
        <v>4</v>
      </c>
      <c r="E34" s="153" t="s">
        <v>179</v>
      </c>
      <c r="F34" s="150" t="e">
        <v>#DIV/0!</v>
      </c>
      <c r="G34" s="150">
        <v>0</v>
      </c>
      <c r="H34" s="150">
        <v>0</v>
      </c>
      <c r="I34" s="150" t="e">
        <v>#DIV/0!</v>
      </c>
      <c r="J34" s="150">
        <v>0</v>
      </c>
      <c r="K34" s="150">
        <v>0</v>
      </c>
      <c r="L34" s="150"/>
      <c r="M34" s="150">
        <v>0</v>
      </c>
      <c r="N34" s="153" t="s">
        <v>179</v>
      </c>
      <c r="O34" s="155">
        <v>1</v>
      </c>
      <c r="P34" s="156"/>
    </row>
    <row r="35" spans="1:16" s="139" customFormat="1" ht="14.25" customHeight="1" x14ac:dyDescent="0.15">
      <c r="A35" s="148" t="s">
        <v>191</v>
      </c>
      <c r="B35" s="152" t="s">
        <v>192</v>
      </c>
      <c r="C35" s="152" t="s">
        <v>178</v>
      </c>
      <c r="D35" s="152" t="s">
        <v>4</v>
      </c>
      <c r="E35" s="150">
        <v>3</v>
      </c>
      <c r="F35" s="150">
        <v>2.76</v>
      </c>
      <c r="G35" s="150">
        <v>3820</v>
      </c>
      <c r="H35" s="150">
        <v>1.18</v>
      </c>
      <c r="I35" s="150">
        <v>5.0699999999999999E-3</v>
      </c>
      <c r="J35" s="150">
        <v>753000</v>
      </c>
      <c r="K35" s="150">
        <v>0.85499999999999998</v>
      </c>
      <c r="L35" s="150">
        <v>1</v>
      </c>
      <c r="M35" s="150">
        <v>0</v>
      </c>
      <c r="N35" s="150">
        <v>92.09</v>
      </c>
      <c r="O35" s="155">
        <v>1</v>
      </c>
      <c r="P35" s="156"/>
    </row>
    <row r="36" spans="1:16" s="139" customFormat="1" ht="14.25" customHeight="1" x14ac:dyDescent="0.15">
      <c r="A36" s="148" t="s">
        <v>193</v>
      </c>
      <c r="B36" s="152" t="s">
        <v>192</v>
      </c>
      <c r="C36" s="152" t="s">
        <v>178</v>
      </c>
      <c r="D36" s="152" t="s">
        <v>4</v>
      </c>
      <c r="E36" s="150">
        <v>60</v>
      </c>
      <c r="F36" s="150">
        <v>52.6</v>
      </c>
      <c r="G36" s="150">
        <v>80900</v>
      </c>
      <c r="H36" s="150">
        <v>1.18</v>
      </c>
      <c r="I36" s="150">
        <v>0.1</v>
      </c>
      <c r="J36" s="150">
        <v>805000</v>
      </c>
      <c r="K36" s="150">
        <v>0.85399999999999998</v>
      </c>
      <c r="L36" s="150">
        <v>1</v>
      </c>
      <c r="M36" s="150">
        <v>0</v>
      </c>
      <c r="N36" s="150">
        <v>87.73</v>
      </c>
      <c r="O36" s="155">
        <v>1</v>
      </c>
      <c r="P36" s="156"/>
    </row>
    <row r="37" spans="1:16" s="139" customFormat="1" ht="14.25" customHeight="1" x14ac:dyDescent="0.15">
      <c r="A37" s="148" t="s">
        <v>194</v>
      </c>
      <c r="B37" s="152" t="s">
        <v>192</v>
      </c>
      <c r="C37" s="152" t="s">
        <v>178</v>
      </c>
      <c r="D37" s="152" t="s">
        <v>4</v>
      </c>
      <c r="E37" s="150">
        <v>1600</v>
      </c>
      <c r="F37" s="150">
        <v>1690</v>
      </c>
      <c r="G37" s="150">
        <v>2620000</v>
      </c>
      <c r="H37" s="150">
        <v>1.18</v>
      </c>
      <c r="I37" s="150">
        <v>3.22</v>
      </c>
      <c r="J37" s="150">
        <v>814000</v>
      </c>
      <c r="K37" s="150">
        <v>0.85199999999999998</v>
      </c>
      <c r="L37" s="150">
        <v>1</v>
      </c>
      <c r="M37" s="150">
        <v>0</v>
      </c>
      <c r="N37" s="150">
        <v>105.39</v>
      </c>
      <c r="O37" s="155">
        <v>1</v>
      </c>
      <c r="P37" s="156"/>
    </row>
    <row r="38" spans="1:16" s="139" customFormat="1" ht="14.25" customHeight="1" x14ac:dyDescent="0.15">
      <c r="A38" s="148" t="s">
        <v>195</v>
      </c>
      <c r="B38" s="152" t="s">
        <v>192</v>
      </c>
      <c r="C38" s="152" t="s">
        <v>178</v>
      </c>
      <c r="D38" s="152" t="s">
        <v>4</v>
      </c>
      <c r="E38" s="150">
        <v>10000</v>
      </c>
      <c r="F38" s="150">
        <v>8740</v>
      </c>
      <c r="G38" s="150">
        <v>1310000</v>
      </c>
      <c r="H38" s="150">
        <v>1.18</v>
      </c>
      <c r="I38" s="150">
        <v>1.67</v>
      </c>
      <c r="J38" s="150">
        <v>786000</v>
      </c>
      <c r="K38" s="150">
        <v>0.85099999999999998</v>
      </c>
      <c r="L38" s="150">
        <v>1</v>
      </c>
      <c r="M38" s="150">
        <v>0</v>
      </c>
      <c r="N38" s="150">
        <v>87.39</v>
      </c>
      <c r="O38" s="155">
        <v>10</v>
      </c>
      <c r="P38" s="156"/>
    </row>
    <row r="39" spans="1:16" s="139" customFormat="1" ht="14.25" customHeight="1" x14ac:dyDescent="0.15">
      <c r="A39" s="148" t="s">
        <v>196</v>
      </c>
      <c r="B39" s="152" t="s">
        <v>192</v>
      </c>
      <c r="C39" s="152" t="s">
        <v>178</v>
      </c>
      <c r="D39" s="152" t="s">
        <v>4</v>
      </c>
      <c r="E39" s="150">
        <v>10000</v>
      </c>
      <c r="F39" s="150">
        <v>9570</v>
      </c>
      <c r="G39" s="150">
        <v>1410000</v>
      </c>
      <c r="H39" s="150">
        <v>1.18</v>
      </c>
      <c r="I39" s="150">
        <v>1.83</v>
      </c>
      <c r="J39" s="150">
        <v>769000</v>
      </c>
      <c r="K39" s="150">
        <v>0.85099999999999998</v>
      </c>
      <c r="L39" s="150">
        <v>1</v>
      </c>
      <c r="M39" s="150">
        <v>0</v>
      </c>
      <c r="N39" s="150">
        <v>95.71</v>
      </c>
      <c r="O39" s="155">
        <v>10</v>
      </c>
      <c r="P39" s="156"/>
    </row>
    <row r="40" spans="1:16" s="139" customFormat="1" ht="14.25" customHeight="1" x14ac:dyDescent="0.15">
      <c r="A40" s="148" t="s">
        <v>197</v>
      </c>
      <c r="B40" s="152" t="s">
        <v>192</v>
      </c>
      <c r="C40" s="152" t="s">
        <v>178</v>
      </c>
      <c r="D40" s="152" t="s">
        <v>4</v>
      </c>
      <c r="E40" s="150">
        <v>10000</v>
      </c>
      <c r="F40" s="150">
        <v>10200</v>
      </c>
      <c r="G40" s="150">
        <v>1500000</v>
      </c>
      <c r="H40" s="150">
        <v>1.18</v>
      </c>
      <c r="I40" s="150">
        <v>1.95</v>
      </c>
      <c r="J40" s="150">
        <v>767000</v>
      </c>
      <c r="K40" s="150">
        <v>0.85199999999999998</v>
      </c>
      <c r="L40" s="150">
        <v>1</v>
      </c>
      <c r="M40" s="150">
        <v>0</v>
      </c>
      <c r="N40" s="150">
        <v>102.17</v>
      </c>
      <c r="O40" s="155">
        <v>10</v>
      </c>
      <c r="P40" s="156"/>
    </row>
    <row r="41" spans="1:16" s="139" customFormat="1" ht="14.25" customHeight="1" x14ac:dyDescent="0.15">
      <c r="A41" s="148" t="s">
        <v>176</v>
      </c>
      <c r="B41" s="152" t="s">
        <v>177</v>
      </c>
      <c r="C41" s="152" t="s">
        <v>178</v>
      </c>
      <c r="D41" s="152" t="s">
        <v>4</v>
      </c>
      <c r="E41" s="153" t="s">
        <v>179</v>
      </c>
      <c r="F41" s="150" t="e">
        <v>#DIV/0!</v>
      </c>
      <c r="G41" s="150">
        <v>0</v>
      </c>
      <c r="H41" s="150">
        <v>0</v>
      </c>
      <c r="I41" s="150" t="e">
        <v>#DIV/0!</v>
      </c>
      <c r="J41" s="150">
        <v>0</v>
      </c>
      <c r="K41" s="150">
        <v>0</v>
      </c>
      <c r="L41" s="150"/>
      <c r="M41" s="150">
        <v>0</v>
      </c>
      <c r="N41" s="153" t="s">
        <v>179</v>
      </c>
      <c r="O41" s="155">
        <v>1</v>
      </c>
      <c r="P41" s="156"/>
    </row>
    <row r="42" spans="1:16" s="139" customFormat="1" ht="14.25" customHeight="1" x14ac:dyDescent="0.15">
      <c r="A42" s="148" t="s">
        <v>198</v>
      </c>
      <c r="B42" s="152" t="s">
        <v>192</v>
      </c>
      <c r="C42" s="152" t="s">
        <v>178</v>
      </c>
      <c r="D42" s="152" t="s">
        <v>4</v>
      </c>
      <c r="E42" s="409">
        <v>5</v>
      </c>
      <c r="F42" s="150">
        <v>5.76</v>
      </c>
      <c r="G42" s="150">
        <v>7180</v>
      </c>
      <c r="H42" s="150">
        <v>1.22</v>
      </c>
      <c r="I42" s="150">
        <v>1.0800000000000001E-2</v>
      </c>
      <c r="J42" s="150">
        <v>664000</v>
      </c>
      <c r="K42" s="150">
        <v>0.9</v>
      </c>
      <c r="L42" s="150">
        <v>1</v>
      </c>
      <c r="M42" s="150">
        <v>0</v>
      </c>
      <c r="N42" s="150">
        <v>115.22</v>
      </c>
      <c r="O42" s="155">
        <v>1</v>
      </c>
      <c r="P42" s="156"/>
    </row>
    <row r="43" spans="1:16" s="139" customFormat="1" ht="14.25" customHeight="1" x14ac:dyDescent="0.15">
      <c r="A43" s="148" t="s">
        <v>199</v>
      </c>
      <c r="B43" s="152" t="s">
        <v>192</v>
      </c>
      <c r="C43" s="152" t="s">
        <v>178</v>
      </c>
      <c r="D43" s="152" t="s">
        <v>4</v>
      </c>
      <c r="E43" s="409">
        <v>5</v>
      </c>
      <c r="F43" s="150">
        <v>5.47</v>
      </c>
      <c r="G43" s="150">
        <v>6730</v>
      </c>
      <c r="H43" s="150">
        <v>1.2</v>
      </c>
      <c r="I43" s="150">
        <v>1.0200000000000001E-2</v>
      </c>
      <c r="J43" s="150">
        <v>657000</v>
      </c>
      <c r="K43" s="150">
        <v>0.875</v>
      </c>
      <c r="L43" s="150">
        <v>1</v>
      </c>
      <c r="M43" s="150">
        <v>0</v>
      </c>
      <c r="N43" s="150">
        <v>109.43</v>
      </c>
      <c r="O43" s="155">
        <v>1</v>
      </c>
      <c r="P43" s="156"/>
    </row>
    <row r="44" spans="1:16" s="139" customFormat="1" ht="14.25" customHeight="1" x14ac:dyDescent="0.15">
      <c r="A44" s="148" t="s">
        <v>200</v>
      </c>
      <c r="B44" s="152" t="s">
        <v>192</v>
      </c>
      <c r="C44" s="152" t="s">
        <v>178</v>
      </c>
      <c r="D44" s="152" t="s">
        <v>4</v>
      </c>
      <c r="E44" s="409">
        <v>5</v>
      </c>
      <c r="F44" s="150">
        <v>5.05</v>
      </c>
      <c r="G44" s="150">
        <v>6260</v>
      </c>
      <c r="H44" s="150">
        <v>1.17</v>
      </c>
      <c r="I44" s="150">
        <v>9.4299999999999991E-3</v>
      </c>
      <c r="J44" s="150">
        <v>663000</v>
      </c>
      <c r="K44" s="150">
        <v>0.84899999999999998</v>
      </c>
      <c r="L44" s="150">
        <v>1</v>
      </c>
      <c r="M44" s="150">
        <v>0</v>
      </c>
      <c r="N44" s="150">
        <v>100.91</v>
      </c>
      <c r="O44" s="155">
        <v>1</v>
      </c>
      <c r="P44" s="156"/>
    </row>
    <row r="45" spans="1:16" s="139" customFormat="1" ht="14.25" customHeight="1" x14ac:dyDescent="0.15">
      <c r="A45" s="148" t="s">
        <v>201</v>
      </c>
      <c r="B45" s="152" t="s">
        <v>192</v>
      </c>
      <c r="C45" s="152" t="s">
        <v>178</v>
      </c>
      <c r="D45" s="152" t="s">
        <v>4</v>
      </c>
      <c r="E45" s="150">
        <v>25</v>
      </c>
      <c r="F45" s="150">
        <v>19.600000000000001</v>
      </c>
      <c r="G45" s="150">
        <v>34500</v>
      </c>
      <c r="H45" s="150">
        <v>1.18</v>
      </c>
      <c r="I45" s="150">
        <v>3.73E-2</v>
      </c>
      <c r="J45" s="150">
        <v>926000</v>
      </c>
      <c r="K45" s="150">
        <v>0.85099999999999998</v>
      </c>
      <c r="L45" s="150">
        <v>1</v>
      </c>
      <c r="M45" s="150">
        <v>0</v>
      </c>
      <c r="N45" s="150">
        <v>78.44</v>
      </c>
      <c r="O45" s="155">
        <v>1</v>
      </c>
      <c r="P45" s="156"/>
    </row>
    <row r="46" spans="1:16" s="139" customFormat="1" ht="14.25" customHeight="1" x14ac:dyDescent="0.15">
      <c r="A46" s="148" t="s">
        <v>202</v>
      </c>
      <c r="B46" s="152" t="s">
        <v>192</v>
      </c>
      <c r="C46" s="152" t="s">
        <v>178</v>
      </c>
      <c r="D46" s="152" t="s">
        <v>4</v>
      </c>
      <c r="E46" s="150">
        <v>25</v>
      </c>
      <c r="F46" s="150">
        <v>21.2</v>
      </c>
      <c r="G46" s="150">
        <v>37000</v>
      </c>
      <c r="H46" s="150">
        <v>1.18</v>
      </c>
      <c r="I46" s="150">
        <v>4.0300000000000002E-2</v>
      </c>
      <c r="J46" s="150">
        <v>918000</v>
      </c>
      <c r="K46" s="150">
        <v>0.85</v>
      </c>
      <c r="L46" s="150">
        <v>1</v>
      </c>
      <c r="M46" s="150">
        <v>0</v>
      </c>
      <c r="N46" s="150">
        <v>84.66</v>
      </c>
      <c r="O46" s="155">
        <v>1</v>
      </c>
      <c r="P46" s="156"/>
    </row>
    <row r="47" spans="1:16" s="139" customFormat="1" ht="14.25" customHeight="1" x14ac:dyDescent="0.15">
      <c r="A47" s="148" t="s">
        <v>203</v>
      </c>
      <c r="B47" s="152" t="s">
        <v>192</v>
      </c>
      <c r="C47" s="152" t="s">
        <v>178</v>
      </c>
      <c r="D47" s="152" t="s">
        <v>4</v>
      </c>
      <c r="E47" s="150">
        <v>25</v>
      </c>
      <c r="F47" s="150">
        <v>20.6</v>
      </c>
      <c r="G47" s="150">
        <v>37300</v>
      </c>
      <c r="H47" s="150">
        <v>1.18</v>
      </c>
      <c r="I47" s="150">
        <v>3.9100000000000003E-2</v>
      </c>
      <c r="J47" s="150">
        <v>953000</v>
      </c>
      <c r="K47" s="150">
        <v>0.85399999999999998</v>
      </c>
      <c r="L47" s="150">
        <v>1</v>
      </c>
      <c r="M47" s="150">
        <v>0</v>
      </c>
      <c r="N47" s="150">
        <v>82.31</v>
      </c>
      <c r="O47" s="155">
        <v>1</v>
      </c>
      <c r="P47" s="156"/>
    </row>
    <row r="48" spans="1:16" s="139" customFormat="1" ht="14.25" customHeight="1" x14ac:dyDescent="0.15">
      <c r="A48" s="148" t="s">
        <v>176</v>
      </c>
      <c r="B48" s="152" t="s">
        <v>177</v>
      </c>
      <c r="C48" s="152" t="s">
        <v>178</v>
      </c>
      <c r="D48" s="152" t="s">
        <v>4</v>
      </c>
      <c r="E48" s="153" t="s">
        <v>179</v>
      </c>
      <c r="F48" s="150" t="e">
        <v>#DIV/0!</v>
      </c>
      <c r="G48" s="150">
        <v>0</v>
      </c>
      <c r="H48" s="150">
        <v>0</v>
      </c>
      <c r="I48" s="150" t="e">
        <v>#DIV/0!</v>
      </c>
      <c r="J48" s="150">
        <v>0</v>
      </c>
      <c r="K48" s="150">
        <v>0</v>
      </c>
      <c r="L48" s="150"/>
      <c r="M48" s="150">
        <v>0</v>
      </c>
      <c r="N48" s="153" t="s">
        <v>179</v>
      </c>
      <c r="O48" s="155">
        <v>1</v>
      </c>
      <c r="P48" s="156"/>
    </row>
    <row r="49" spans="1:16" s="139" customFormat="1" ht="14.25" customHeight="1" x14ac:dyDescent="0.15">
      <c r="A49" s="148" t="s">
        <v>176</v>
      </c>
      <c r="B49" s="152" t="s">
        <v>177</v>
      </c>
      <c r="C49" s="152" t="s">
        <v>178</v>
      </c>
      <c r="D49" s="152" t="s">
        <v>4</v>
      </c>
      <c r="E49" s="153" t="s">
        <v>179</v>
      </c>
      <c r="F49" s="150" t="e">
        <v>#DIV/0!</v>
      </c>
      <c r="G49" s="150">
        <v>0</v>
      </c>
      <c r="H49" s="150">
        <v>0</v>
      </c>
      <c r="I49" s="150" t="e">
        <v>#DIV/0!</v>
      </c>
      <c r="J49" s="150">
        <v>0</v>
      </c>
      <c r="K49" s="150">
        <v>0</v>
      </c>
      <c r="L49" s="150"/>
      <c r="M49" s="150">
        <v>0</v>
      </c>
      <c r="N49" s="153" t="s">
        <v>179</v>
      </c>
      <c r="O49" s="155">
        <v>1</v>
      </c>
      <c r="P49" s="156"/>
    </row>
    <row r="50" spans="1:16" s="139" customFormat="1" ht="14.25" customHeight="1" x14ac:dyDescent="0.15">
      <c r="A50" s="148" t="s">
        <v>204</v>
      </c>
      <c r="B50" s="152" t="s">
        <v>177</v>
      </c>
      <c r="C50" s="152" t="s">
        <v>178</v>
      </c>
      <c r="D50" s="152" t="s">
        <v>4</v>
      </c>
      <c r="E50" s="153" t="s">
        <v>179</v>
      </c>
      <c r="F50" s="150">
        <v>2.2799999999999998</v>
      </c>
      <c r="G50" s="150">
        <v>3120</v>
      </c>
      <c r="H50" s="150">
        <v>1.18</v>
      </c>
      <c r="I50" s="150">
        <v>4.15E-3</v>
      </c>
      <c r="J50" s="150">
        <v>751000</v>
      </c>
      <c r="K50" s="150">
        <v>0.85499999999999998</v>
      </c>
      <c r="L50" s="150"/>
      <c r="M50" s="150">
        <v>0</v>
      </c>
      <c r="N50" s="153" t="s">
        <v>179</v>
      </c>
      <c r="O50" s="155">
        <v>1</v>
      </c>
      <c r="P50" s="156"/>
    </row>
    <row r="51" spans="1:16" s="139" customFormat="1" ht="14.25" customHeight="1" x14ac:dyDescent="0.15">
      <c r="A51" s="148" t="s">
        <v>205</v>
      </c>
      <c r="B51" s="152" t="s">
        <v>177</v>
      </c>
      <c r="C51" s="152" t="s">
        <v>178</v>
      </c>
      <c r="D51" s="152" t="s">
        <v>4</v>
      </c>
      <c r="E51" s="153" t="s">
        <v>179</v>
      </c>
      <c r="F51" s="150">
        <v>2.31</v>
      </c>
      <c r="G51" s="150">
        <v>2870</v>
      </c>
      <c r="H51" s="150">
        <v>1.18</v>
      </c>
      <c r="I51" s="150">
        <v>4.1999999999999997E-3</v>
      </c>
      <c r="J51" s="150">
        <v>683000</v>
      </c>
      <c r="K51" s="150">
        <v>0.85799999999999998</v>
      </c>
      <c r="L51" s="150"/>
      <c r="M51" s="150">
        <v>0</v>
      </c>
      <c r="N51" s="153" t="s">
        <v>179</v>
      </c>
      <c r="O51" s="155">
        <v>1</v>
      </c>
      <c r="P51" s="156"/>
    </row>
    <row r="52" spans="1:16" s="139" customFormat="1" ht="14.25" customHeight="1" x14ac:dyDescent="0.15">
      <c r="A52" s="148" t="s">
        <v>206</v>
      </c>
      <c r="B52" s="152" t="s">
        <v>177</v>
      </c>
      <c r="C52" s="152" t="s">
        <v>178</v>
      </c>
      <c r="D52" s="152" t="s">
        <v>4</v>
      </c>
      <c r="E52" s="153" t="s">
        <v>179</v>
      </c>
      <c r="F52" s="150">
        <v>3.66</v>
      </c>
      <c r="G52" s="150">
        <v>4720</v>
      </c>
      <c r="H52" s="150">
        <v>1.18</v>
      </c>
      <c r="I52" s="150">
        <v>6.79E-3</v>
      </c>
      <c r="J52" s="150">
        <v>695000</v>
      </c>
      <c r="K52" s="150">
        <v>0.85299999999999998</v>
      </c>
      <c r="L52" s="150"/>
      <c r="M52" s="150">
        <v>0</v>
      </c>
      <c r="N52" s="153" t="s">
        <v>179</v>
      </c>
      <c r="O52" s="155">
        <v>1</v>
      </c>
      <c r="P52" s="156"/>
    </row>
    <row r="53" spans="1:16" s="139" customFormat="1" ht="14.25" customHeight="1" x14ac:dyDescent="0.15">
      <c r="A53" s="148" t="s">
        <v>207</v>
      </c>
      <c r="B53" s="152" t="s">
        <v>177</v>
      </c>
      <c r="C53" s="152" t="s">
        <v>178</v>
      </c>
      <c r="D53" s="152" t="s">
        <v>4</v>
      </c>
      <c r="E53" s="153" t="s">
        <v>179</v>
      </c>
      <c r="F53" s="150">
        <v>31.7</v>
      </c>
      <c r="G53" s="150">
        <v>44300</v>
      </c>
      <c r="H53" s="150">
        <v>1.18</v>
      </c>
      <c r="I53" s="150">
        <v>6.0400000000000002E-2</v>
      </c>
      <c r="J53" s="150">
        <v>734000</v>
      </c>
      <c r="K53" s="150">
        <v>0.85599999999999998</v>
      </c>
      <c r="L53" s="150"/>
      <c r="M53" s="150">
        <v>0</v>
      </c>
      <c r="N53" s="153" t="s">
        <v>179</v>
      </c>
      <c r="O53" s="155">
        <v>1</v>
      </c>
      <c r="P53" s="156"/>
    </row>
    <row r="54" spans="1:16" s="139" customFormat="1" ht="14.25" customHeight="1" x14ac:dyDescent="0.15">
      <c r="A54" s="148" t="s">
        <v>208</v>
      </c>
      <c r="B54" s="152" t="s">
        <v>177</v>
      </c>
      <c r="C54" s="152" t="s">
        <v>178</v>
      </c>
      <c r="D54" s="152" t="s">
        <v>4</v>
      </c>
      <c r="E54" s="153" t="s">
        <v>179</v>
      </c>
      <c r="F54" s="150">
        <v>31.4</v>
      </c>
      <c r="G54" s="150">
        <v>45600</v>
      </c>
      <c r="H54" s="150">
        <v>1.18</v>
      </c>
      <c r="I54" s="150">
        <v>5.9799999999999999E-2</v>
      </c>
      <c r="J54" s="150">
        <v>763000</v>
      </c>
      <c r="K54" s="150">
        <v>0.85599999999999998</v>
      </c>
      <c r="L54" s="150"/>
      <c r="M54" s="150">
        <v>0</v>
      </c>
      <c r="N54" s="153" t="s">
        <v>179</v>
      </c>
      <c r="O54" s="155">
        <v>1</v>
      </c>
      <c r="P54" s="156"/>
    </row>
    <row r="55" spans="1:16" s="139" customFormat="1" ht="14.25" customHeight="1" x14ac:dyDescent="0.15">
      <c r="A55" s="148" t="s">
        <v>209</v>
      </c>
      <c r="B55" s="152" t="s">
        <v>177</v>
      </c>
      <c r="C55" s="152" t="s">
        <v>178</v>
      </c>
      <c r="D55" s="152" t="s">
        <v>4</v>
      </c>
      <c r="E55" s="153" t="s">
        <v>179</v>
      </c>
      <c r="F55" s="150">
        <v>35.799999999999997</v>
      </c>
      <c r="G55" s="150">
        <v>66500</v>
      </c>
      <c r="H55" s="150">
        <v>1.18</v>
      </c>
      <c r="I55" s="150">
        <v>6.83E-2</v>
      </c>
      <c r="J55" s="150">
        <v>973000</v>
      </c>
      <c r="K55" s="150">
        <v>0.85599999999999998</v>
      </c>
      <c r="L55" s="150"/>
      <c r="M55" s="150">
        <v>0</v>
      </c>
      <c r="N55" s="153" t="s">
        <v>179</v>
      </c>
      <c r="O55" s="155">
        <v>1</v>
      </c>
      <c r="P55" s="156"/>
    </row>
    <row r="56" spans="1:16" s="139" customFormat="1" ht="14.25" customHeight="1" x14ac:dyDescent="0.15">
      <c r="A56" s="148" t="s">
        <v>210</v>
      </c>
      <c r="B56" s="152" t="s">
        <v>177</v>
      </c>
      <c r="C56" s="152" t="s">
        <v>178</v>
      </c>
      <c r="D56" s="152" t="s">
        <v>4</v>
      </c>
      <c r="E56" s="153" t="s">
        <v>179</v>
      </c>
      <c r="F56" s="150">
        <v>50.3</v>
      </c>
      <c r="G56" s="150">
        <v>79800</v>
      </c>
      <c r="H56" s="150">
        <v>1.18</v>
      </c>
      <c r="I56" s="150">
        <v>9.6000000000000002E-2</v>
      </c>
      <c r="J56" s="150">
        <v>831000</v>
      </c>
      <c r="K56" s="150">
        <v>0.85799999999999998</v>
      </c>
      <c r="L56" s="150"/>
      <c r="M56" s="150">
        <v>0</v>
      </c>
      <c r="N56" s="153" t="s">
        <v>179</v>
      </c>
      <c r="O56" s="155">
        <v>1</v>
      </c>
      <c r="P56" s="156"/>
    </row>
    <row r="57" spans="1:16" s="139" customFormat="1" ht="14.25" customHeight="1" x14ac:dyDescent="0.15">
      <c r="A57" s="148" t="s">
        <v>211</v>
      </c>
      <c r="B57" s="152" t="s">
        <v>177</v>
      </c>
      <c r="C57" s="152" t="s">
        <v>178</v>
      </c>
      <c r="D57" s="152" t="s">
        <v>4</v>
      </c>
      <c r="E57" s="153" t="s">
        <v>179</v>
      </c>
      <c r="F57" s="150">
        <v>46.7</v>
      </c>
      <c r="G57" s="150">
        <v>73800</v>
      </c>
      <c r="H57" s="150">
        <v>1.17</v>
      </c>
      <c r="I57" s="150">
        <v>8.8999999999999996E-2</v>
      </c>
      <c r="J57" s="150">
        <v>829000</v>
      </c>
      <c r="K57" s="150">
        <v>0.84899999999999998</v>
      </c>
      <c r="L57" s="150"/>
      <c r="M57" s="150">
        <v>0</v>
      </c>
      <c r="N57" s="153" t="s">
        <v>179</v>
      </c>
      <c r="O57" s="155">
        <v>1</v>
      </c>
      <c r="P57" s="156"/>
    </row>
    <row r="58" spans="1:16" s="139" customFormat="1" ht="14.25" customHeight="1" x14ac:dyDescent="0.15">
      <c r="A58" s="148" t="s">
        <v>212</v>
      </c>
      <c r="B58" s="152" t="s">
        <v>177</v>
      </c>
      <c r="C58" s="152" t="s">
        <v>178</v>
      </c>
      <c r="D58" s="152" t="s">
        <v>4</v>
      </c>
      <c r="E58" s="153" t="s">
        <v>179</v>
      </c>
      <c r="F58" s="150">
        <v>39.6</v>
      </c>
      <c r="G58" s="150">
        <v>66100</v>
      </c>
      <c r="H58" s="150">
        <v>1.19</v>
      </c>
      <c r="I58" s="150">
        <v>7.5499999999999998E-2</v>
      </c>
      <c r="J58" s="150">
        <v>875000</v>
      </c>
      <c r="K58" s="150">
        <v>0.85899999999999999</v>
      </c>
      <c r="L58" s="150"/>
      <c r="M58" s="150">
        <v>0</v>
      </c>
      <c r="N58" s="153" t="s">
        <v>179</v>
      </c>
      <c r="O58" s="155">
        <v>1</v>
      </c>
      <c r="P58" s="156"/>
    </row>
    <row r="59" spans="1:16" s="139" customFormat="1" ht="14.25" customHeight="1" x14ac:dyDescent="0.15">
      <c r="A59" s="148" t="s">
        <v>213</v>
      </c>
      <c r="B59" s="152" t="s">
        <v>177</v>
      </c>
      <c r="C59" s="152" t="s">
        <v>178</v>
      </c>
      <c r="D59" s="152" t="s">
        <v>4</v>
      </c>
      <c r="E59" s="153" t="s">
        <v>179</v>
      </c>
      <c r="F59" s="150">
        <v>86.1</v>
      </c>
      <c r="G59" s="150">
        <v>124000</v>
      </c>
      <c r="H59" s="150">
        <v>1.18</v>
      </c>
      <c r="I59" s="150">
        <v>0.16400000000000001</v>
      </c>
      <c r="J59" s="150">
        <v>755000</v>
      </c>
      <c r="K59" s="150">
        <v>0.85199999999999998</v>
      </c>
      <c r="L59" s="150"/>
      <c r="M59" s="150">
        <v>0</v>
      </c>
      <c r="N59" s="153" t="s">
        <v>179</v>
      </c>
      <c r="O59" s="155">
        <v>1</v>
      </c>
      <c r="P59" s="156"/>
    </row>
    <row r="60" spans="1:16" s="139" customFormat="1" ht="14.25" customHeight="1" x14ac:dyDescent="0.15">
      <c r="A60" s="148" t="s">
        <v>214</v>
      </c>
      <c r="B60" s="152" t="s">
        <v>177</v>
      </c>
      <c r="C60" s="152" t="s">
        <v>178</v>
      </c>
      <c r="D60" s="152" t="s">
        <v>4</v>
      </c>
      <c r="E60" s="153" t="s">
        <v>179</v>
      </c>
      <c r="F60" s="150">
        <v>77.3</v>
      </c>
      <c r="G60" s="150">
        <v>119000</v>
      </c>
      <c r="H60" s="150">
        <v>1.18</v>
      </c>
      <c r="I60" s="150">
        <v>0.14799999999999999</v>
      </c>
      <c r="J60" s="150">
        <v>804000</v>
      </c>
      <c r="K60" s="150">
        <v>0.85499999999999998</v>
      </c>
      <c r="L60" s="150"/>
      <c r="M60" s="150">
        <v>0</v>
      </c>
      <c r="N60" s="153" t="s">
        <v>179</v>
      </c>
      <c r="O60" s="155">
        <v>1</v>
      </c>
      <c r="P60" s="156"/>
    </row>
    <row r="61" spans="1:16" s="139" customFormat="1" ht="14.25" customHeight="1" x14ac:dyDescent="0.15">
      <c r="A61" s="148" t="s">
        <v>215</v>
      </c>
      <c r="B61" s="152" t="s">
        <v>177</v>
      </c>
      <c r="C61" s="152" t="s">
        <v>178</v>
      </c>
      <c r="D61" s="152" t="s">
        <v>4</v>
      </c>
      <c r="E61" s="153" t="s">
        <v>179</v>
      </c>
      <c r="F61" s="150">
        <v>64.599999999999994</v>
      </c>
      <c r="G61" s="150">
        <v>102000</v>
      </c>
      <c r="H61" s="150">
        <v>1.18</v>
      </c>
      <c r="I61" s="150">
        <v>0.123</v>
      </c>
      <c r="J61" s="150">
        <v>828000</v>
      </c>
      <c r="K61" s="150">
        <v>0.85399999999999998</v>
      </c>
      <c r="L61" s="150"/>
      <c r="M61" s="150">
        <v>0</v>
      </c>
      <c r="N61" s="153" t="s">
        <v>179</v>
      </c>
      <c r="O61" s="155">
        <v>1</v>
      </c>
      <c r="P61" s="156"/>
    </row>
    <row r="62" spans="1:16" s="139" customFormat="1" ht="14.25" customHeight="1" x14ac:dyDescent="0.15">
      <c r="A62" s="148" t="s">
        <v>216</v>
      </c>
      <c r="B62" s="152" t="s">
        <v>177</v>
      </c>
      <c r="C62" s="152" t="s">
        <v>178</v>
      </c>
      <c r="D62" s="152" t="s">
        <v>4</v>
      </c>
      <c r="E62" s="153" t="s">
        <v>179</v>
      </c>
      <c r="F62" s="150">
        <v>151</v>
      </c>
      <c r="G62" s="150">
        <v>246000</v>
      </c>
      <c r="H62" s="150">
        <v>1.18</v>
      </c>
      <c r="I62" s="150">
        <v>0.28899999999999998</v>
      </c>
      <c r="J62" s="150">
        <v>850000</v>
      </c>
      <c r="K62" s="150">
        <v>0.85299999999999998</v>
      </c>
      <c r="L62" s="150"/>
      <c r="M62" s="150">
        <v>0</v>
      </c>
      <c r="N62" s="153" t="s">
        <v>179</v>
      </c>
      <c r="O62" s="155">
        <v>1</v>
      </c>
      <c r="P62" s="156"/>
    </row>
    <row r="63" spans="1:16" s="139" customFormat="1" ht="14.25" customHeight="1" x14ac:dyDescent="0.15">
      <c r="A63" s="148" t="s">
        <v>217</v>
      </c>
      <c r="B63" s="152" t="s">
        <v>177</v>
      </c>
      <c r="C63" s="152" t="s">
        <v>178</v>
      </c>
      <c r="D63" s="152" t="s">
        <v>4</v>
      </c>
      <c r="E63" s="153" t="s">
        <v>179</v>
      </c>
      <c r="F63" s="150">
        <v>117</v>
      </c>
      <c r="G63" s="150">
        <v>169000</v>
      </c>
      <c r="H63" s="150">
        <v>1.18</v>
      </c>
      <c r="I63" s="150">
        <v>0.224</v>
      </c>
      <c r="J63" s="150">
        <v>754000</v>
      </c>
      <c r="K63" s="150">
        <v>0.85499999999999998</v>
      </c>
      <c r="L63" s="150"/>
      <c r="M63" s="150">
        <v>0</v>
      </c>
      <c r="N63" s="153" t="s">
        <v>179</v>
      </c>
      <c r="O63" s="155">
        <v>1</v>
      </c>
      <c r="P63" s="156"/>
    </row>
    <row r="64" spans="1:16" s="139" customFormat="1" ht="14.25" customHeight="1" x14ac:dyDescent="0.15">
      <c r="A64" s="148" t="s">
        <v>218</v>
      </c>
      <c r="B64" s="152" t="s">
        <v>177</v>
      </c>
      <c r="C64" s="152" t="s">
        <v>178</v>
      </c>
      <c r="D64" s="152" t="s">
        <v>4</v>
      </c>
      <c r="E64" s="153" t="s">
        <v>179</v>
      </c>
      <c r="F64" s="150">
        <v>174</v>
      </c>
      <c r="G64" s="150">
        <v>326000</v>
      </c>
      <c r="H64" s="150">
        <v>1.18</v>
      </c>
      <c r="I64" s="150">
        <v>0.33300000000000002</v>
      </c>
      <c r="J64" s="150">
        <v>981000</v>
      </c>
      <c r="K64" s="150">
        <v>0.85</v>
      </c>
      <c r="L64" s="150"/>
      <c r="M64" s="150">
        <v>0</v>
      </c>
      <c r="N64" s="153" t="s">
        <v>179</v>
      </c>
      <c r="O64" s="155">
        <v>1</v>
      </c>
      <c r="P64" s="156"/>
    </row>
    <row r="65" spans="1:16" s="139" customFormat="1" ht="14.25" customHeight="1" x14ac:dyDescent="0.15">
      <c r="A65" s="148" t="s">
        <v>219</v>
      </c>
      <c r="B65" s="152" t="s">
        <v>177</v>
      </c>
      <c r="C65" s="152" t="s">
        <v>178</v>
      </c>
      <c r="D65" s="152" t="s">
        <v>4</v>
      </c>
      <c r="E65" s="153" t="s">
        <v>179</v>
      </c>
      <c r="F65" s="150">
        <v>297</v>
      </c>
      <c r="G65" s="150">
        <v>513000</v>
      </c>
      <c r="H65" s="150">
        <v>1.18</v>
      </c>
      <c r="I65" s="150">
        <v>0.56799999999999995</v>
      </c>
      <c r="J65" s="150">
        <v>903000</v>
      </c>
      <c r="K65" s="150">
        <v>0.85099999999999998</v>
      </c>
      <c r="L65" s="150"/>
      <c r="M65" s="150">
        <v>0</v>
      </c>
      <c r="N65" s="153" t="s">
        <v>179</v>
      </c>
      <c r="O65" s="155">
        <v>1</v>
      </c>
      <c r="P65" s="156"/>
    </row>
    <row r="66" spans="1:16" s="139" customFormat="1" ht="14.25" customHeight="1" x14ac:dyDescent="0.15">
      <c r="A66" s="148" t="s">
        <v>220</v>
      </c>
      <c r="B66" s="152" t="s">
        <v>177</v>
      </c>
      <c r="C66" s="152" t="s">
        <v>178</v>
      </c>
      <c r="D66" s="152" t="s">
        <v>4</v>
      </c>
      <c r="E66" s="153" t="s">
        <v>179</v>
      </c>
      <c r="F66" s="150">
        <v>281</v>
      </c>
      <c r="G66" s="150">
        <v>440000</v>
      </c>
      <c r="H66" s="150">
        <v>1.18</v>
      </c>
      <c r="I66" s="150">
        <v>0.53700000000000003</v>
      </c>
      <c r="J66" s="150">
        <v>820000</v>
      </c>
      <c r="K66" s="150">
        <v>0.85799999999999998</v>
      </c>
      <c r="L66" s="150"/>
      <c r="M66" s="150">
        <v>0</v>
      </c>
      <c r="N66" s="153" t="s">
        <v>179</v>
      </c>
      <c r="O66" s="155">
        <v>1</v>
      </c>
      <c r="P66" s="156"/>
    </row>
    <row r="67" spans="1:16" s="139" customFormat="1" ht="14.25" customHeight="1" x14ac:dyDescent="0.15">
      <c r="A67" s="148" t="s">
        <v>221</v>
      </c>
      <c r="B67" s="152" t="s">
        <v>177</v>
      </c>
      <c r="C67" s="152" t="s">
        <v>178</v>
      </c>
      <c r="D67" s="152" t="s">
        <v>4</v>
      </c>
      <c r="E67" s="153" t="s">
        <v>179</v>
      </c>
      <c r="F67" s="150">
        <v>261</v>
      </c>
      <c r="G67" s="150">
        <v>402000</v>
      </c>
      <c r="H67" s="150">
        <v>1.18</v>
      </c>
      <c r="I67" s="150">
        <v>0.498</v>
      </c>
      <c r="J67" s="150">
        <v>806000</v>
      </c>
      <c r="K67" s="150">
        <v>0.85</v>
      </c>
      <c r="L67" s="150"/>
      <c r="M67" s="150">
        <v>0</v>
      </c>
      <c r="N67" s="153" t="s">
        <v>179</v>
      </c>
      <c r="O67" s="155">
        <v>1</v>
      </c>
      <c r="P67" s="156"/>
    </row>
    <row r="68" spans="1:16" s="139" customFormat="1" ht="14.25" customHeight="1" x14ac:dyDescent="0.15">
      <c r="A68" s="148" t="s">
        <v>222</v>
      </c>
      <c r="B68" s="152" t="s">
        <v>177</v>
      </c>
      <c r="C68" s="152" t="s">
        <v>178</v>
      </c>
      <c r="D68" s="152" t="s">
        <v>4</v>
      </c>
      <c r="E68" s="153" t="s">
        <v>179</v>
      </c>
      <c r="F68" s="150">
        <v>362</v>
      </c>
      <c r="G68" s="150">
        <v>603000</v>
      </c>
      <c r="H68" s="150">
        <v>1.18</v>
      </c>
      <c r="I68" s="150">
        <v>0.69199999999999995</v>
      </c>
      <c r="J68" s="150">
        <v>871000</v>
      </c>
      <c r="K68" s="150">
        <v>0.85599999999999998</v>
      </c>
      <c r="L68" s="150"/>
      <c r="M68" s="150">
        <v>0</v>
      </c>
      <c r="N68" s="153" t="s">
        <v>179</v>
      </c>
      <c r="O68" s="155">
        <v>1</v>
      </c>
      <c r="P68" s="156"/>
    </row>
    <row r="69" spans="1:16" s="139" customFormat="1" ht="14.25" customHeight="1" x14ac:dyDescent="0.15">
      <c r="A69" s="148" t="s">
        <v>223</v>
      </c>
      <c r="B69" s="152" t="s">
        <v>177</v>
      </c>
      <c r="C69" s="152" t="s">
        <v>178</v>
      </c>
      <c r="D69" s="152" t="s">
        <v>4</v>
      </c>
      <c r="E69" s="153" t="s">
        <v>179</v>
      </c>
      <c r="F69" s="150">
        <v>422</v>
      </c>
      <c r="G69" s="150">
        <v>638000</v>
      </c>
      <c r="H69" s="150">
        <v>1.17</v>
      </c>
      <c r="I69" s="150">
        <v>0.80600000000000005</v>
      </c>
      <c r="J69" s="150">
        <v>791000</v>
      </c>
      <c r="K69" s="150">
        <v>0.85</v>
      </c>
      <c r="L69" s="150"/>
      <c r="M69" s="150">
        <v>0</v>
      </c>
      <c r="N69" s="153" t="s">
        <v>179</v>
      </c>
      <c r="O69" s="155">
        <v>1</v>
      </c>
      <c r="P69" s="156"/>
    </row>
    <row r="70" spans="1:16" s="139" customFormat="1" ht="14.25" customHeight="1" x14ac:dyDescent="0.15">
      <c r="A70" s="148" t="s">
        <v>224</v>
      </c>
      <c r="B70" s="152" t="s">
        <v>177</v>
      </c>
      <c r="C70" s="152" t="s">
        <v>178</v>
      </c>
      <c r="D70" s="152" t="s">
        <v>4</v>
      </c>
      <c r="E70" s="153" t="s">
        <v>179</v>
      </c>
      <c r="F70" s="150">
        <v>473</v>
      </c>
      <c r="G70" s="150">
        <v>863000</v>
      </c>
      <c r="H70" s="150">
        <v>1.17</v>
      </c>
      <c r="I70" s="150">
        <v>0.90500000000000003</v>
      </c>
      <c r="J70" s="150">
        <v>954000</v>
      </c>
      <c r="K70" s="150">
        <v>0.84899999999999998</v>
      </c>
      <c r="L70" s="150"/>
      <c r="M70" s="150">
        <v>0</v>
      </c>
      <c r="N70" s="153" t="s">
        <v>179</v>
      </c>
      <c r="O70" s="155">
        <v>1</v>
      </c>
      <c r="P70" s="156"/>
    </row>
    <row r="71" spans="1:16" s="139" customFormat="1" ht="14.25" customHeight="1" x14ac:dyDescent="0.15">
      <c r="A71" s="148" t="s">
        <v>225</v>
      </c>
      <c r="B71" s="152" t="s">
        <v>177</v>
      </c>
      <c r="C71" s="152" t="s">
        <v>178</v>
      </c>
      <c r="D71" s="152" t="s">
        <v>4</v>
      </c>
      <c r="E71" s="153" t="s">
        <v>179</v>
      </c>
      <c r="F71" s="150">
        <v>536</v>
      </c>
      <c r="G71" s="150">
        <v>913000</v>
      </c>
      <c r="H71" s="150">
        <v>1.18</v>
      </c>
      <c r="I71" s="150">
        <v>1.02</v>
      </c>
      <c r="J71" s="150">
        <v>891000</v>
      </c>
      <c r="K71" s="150">
        <v>0.85399999999999998</v>
      </c>
      <c r="L71" s="150"/>
      <c r="M71" s="150">
        <v>0</v>
      </c>
      <c r="N71" s="153" t="s">
        <v>179</v>
      </c>
      <c r="O71" s="155">
        <v>1</v>
      </c>
      <c r="P71" s="156"/>
    </row>
    <row r="72" spans="1:16" s="139" customFormat="1" ht="14.25" customHeight="1" x14ac:dyDescent="0.15">
      <c r="A72" s="148" t="s">
        <v>226</v>
      </c>
      <c r="B72" s="152" t="s">
        <v>177</v>
      </c>
      <c r="C72" s="152" t="s">
        <v>178</v>
      </c>
      <c r="D72" s="152" t="s">
        <v>4</v>
      </c>
      <c r="E72" s="153" t="s">
        <v>179</v>
      </c>
      <c r="F72" s="150">
        <v>503</v>
      </c>
      <c r="G72" s="150">
        <v>829000</v>
      </c>
      <c r="H72" s="150">
        <v>1.18</v>
      </c>
      <c r="I72" s="150">
        <v>0.96099999999999997</v>
      </c>
      <c r="J72" s="150">
        <v>863000</v>
      </c>
      <c r="K72" s="150">
        <v>0.85499999999999998</v>
      </c>
      <c r="L72" s="150"/>
      <c r="M72" s="150">
        <v>0</v>
      </c>
      <c r="N72" s="153" t="s">
        <v>179</v>
      </c>
      <c r="O72" s="155">
        <v>1</v>
      </c>
      <c r="P72" s="156"/>
    </row>
    <row r="73" spans="1:16" s="139" customFormat="1" ht="14.25" customHeight="1" x14ac:dyDescent="0.15">
      <c r="A73" s="148" t="s">
        <v>227</v>
      </c>
      <c r="B73" s="152" t="s">
        <v>177</v>
      </c>
      <c r="C73" s="152" t="s">
        <v>178</v>
      </c>
      <c r="D73" s="152" t="s">
        <v>4</v>
      </c>
      <c r="E73" s="153" t="s">
        <v>179</v>
      </c>
      <c r="F73" s="150">
        <v>598</v>
      </c>
      <c r="G73" s="150">
        <v>955000</v>
      </c>
      <c r="H73" s="150">
        <v>1.18</v>
      </c>
      <c r="I73" s="150">
        <v>1.1399999999999999</v>
      </c>
      <c r="J73" s="150">
        <v>835000</v>
      </c>
      <c r="K73" s="150">
        <v>0.85399999999999998</v>
      </c>
      <c r="L73" s="150"/>
      <c r="M73" s="150">
        <v>0</v>
      </c>
      <c r="N73" s="153" t="s">
        <v>179</v>
      </c>
      <c r="O73" s="155">
        <v>1</v>
      </c>
      <c r="P73" s="156"/>
    </row>
    <row r="74" spans="1:16" s="139" customFormat="1" ht="14.25" customHeight="1" x14ac:dyDescent="0.15">
      <c r="A74" s="148" t="s">
        <v>228</v>
      </c>
      <c r="B74" s="152" t="s">
        <v>177</v>
      </c>
      <c r="C74" s="152" t="s">
        <v>178</v>
      </c>
      <c r="D74" s="152" t="s">
        <v>4</v>
      </c>
      <c r="E74" s="153" t="s">
        <v>179</v>
      </c>
      <c r="F74" s="150">
        <v>958</v>
      </c>
      <c r="G74" s="150">
        <v>1580000</v>
      </c>
      <c r="H74" s="150">
        <v>1.18</v>
      </c>
      <c r="I74" s="150">
        <v>1.83</v>
      </c>
      <c r="J74" s="150">
        <v>862000</v>
      </c>
      <c r="K74" s="150">
        <v>0.85099999999999998</v>
      </c>
      <c r="L74" s="150"/>
      <c r="M74" s="150">
        <v>0</v>
      </c>
      <c r="N74" s="153" t="s">
        <v>179</v>
      </c>
      <c r="O74" s="155">
        <v>1</v>
      </c>
      <c r="P74" s="156"/>
    </row>
    <row r="75" spans="1:16" s="139" customFormat="1" ht="14.25" customHeight="1" x14ac:dyDescent="0.15">
      <c r="A75" s="148" t="s">
        <v>229</v>
      </c>
      <c r="B75" s="152" t="s">
        <v>177</v>
      </c>
      <c r="C75" s="152" t="s">
        <v>178</v>
      </c>
      <c r="D75" s="152" t="s">
        <v>4</v>
      </c>
      <c r="E75" s="153" t="s">
        <v>179</v>
      </c>
      <c r="F75" s="150">
        <v>839</v>
      </c>
      <c r="G75" s="150">
        <v>1570000</v>
      </c>
      <c r="H75" s="150">
        <v>1.18</v>
      </c>
      <c r="I75" s="150">
        <v>1.6</v>
      </c>
      <c r="J75" s="150">
        <v>977000</v>
      </c>
      <c r="K75" s="150">
        <v>0.85699999999999998</v>
      </c>
      <c r="L75" s="150"/>
      <c r="M75" s="150">
        <v>0</v>
      </c>
      <c r="N75" s="153" t="s">
        <v>179</v>
      </c>
      <c r="O75" s="155">
        <v>1</v>
      </c>
      <c r="P75" s="156"/>
    </row>
    <row r="76" spans="1:16" s="139" customFormat="1" ht="14.25" customHeight="1" x14ac:dyDescent="0.15">
      <c r="A76" s="148" t="s">
        <v>230</v>
      </c>
      <c r="B76" s="152" t="s">
        <v>177</v>
      </c>
      <c r="C76" s="152" t="s">
        <v>178</v>
      </c>
      <c r="D76" s="152" t="s">
        <v>4</v>
      </c>
      <c r="E76" s="153" t="s">
        <v>179</v>
      </c>
      <c r="F76" s="150">
        <v>706</v>
      </c>
      <c r="G76" s="150">
        <v>1140000</v>
      </c>
      <c r="H76" s="150">
        <v>1.18</v>
      </c>
      <c r="I76" s="150">
        <v>1.35</v>
      </c>
      <c r="J76" s="150">
        <v>846000</v>
      </c>
      <c r="K76" s="150">
        <v>0.85499999999999998</v>
      </c>
      <c r="L76" s="150"/>
      <c r="M76" s="150">
        <v>0</v>
      </c>
      <c r="N76" s="153" t="s">
        <v>179</v>
      </c>
      <c r="O76" s="155">
        <v>1</v>
      </c>
      <c r="P76" s="156"/>
    </row>
    <row r="77" spans="1:16" s="139" customFormat="1" ht="14.25" customHeight="1" x14ac:dyDescent="0.15">
      <c r="A77" s="148" t="s">
        <v>176</v>
      </c>
      <c r="B77" s="152" t="s">
        <v>177</v>
      </c>
      <c r="C77" s="152" t="s">
        <v>178</v>
      </c>
      <c r="D77" s="152" t="s">
        <v>4</v>
      </c>
      <c r="E77" s="153" t="s">
        <v>179</v>
      </c>
      <c r="F77" s="150" t="e">
        <v>#DIV/0!</v>
      </c>
      <c r="G77" s="150">
        <v>0</v>
      </c>
      <c r="H77" s="150">
        <v>0</v>
      </c>
      <c r="I77" s="150" t="e">
        <v>#DIV/0!</v>
      </c>
      <c r="J77" s="150">
        <v>0</v>
      </c>
      <c r="K77" s="150">
        <v>0</v>
      </c>
      <c r="L77" s="150"/>
      <c r="M77" s="150">
        <v>0</v>
      </c>
      <c r="N77" s="153" t="s">
        <v>179</v>
      </c>
      <c r="O77" s="155">
        <v>1</v>
      </c>
      <c r="P77" s="156"/>
    </row>
    <row r="78" spans="1:16" s="139" customFormat="1" ht="14.25" customHeight="1" x14ac:dyDescent="0.15">
      <c r="A78" s="148" t="s">
        <v>231</v>
      </c>
      <c r="B78" s="152" t="s">
        <v>177</v>
      </c>
      <c r="C78" s="152" t="s">
        <v>178</v>
      </c>
      <c r="D78" s="152" t="s">
        <v>4</v>
      </c>
      <c r="E78" s="153" t="s">
        <v>179</v>
      </c>
      <c r="F78" s="150">
        <v>42.5</v>
      </c>
      <c r="G78" s="150">
        <v>62200</v>
      </c>
      <c r="H78" s="150">
        <v>1.18</v>
      </c>
      <c r="I78" s="150">
        <v>8.1000000000000003E-2</v>
      </c>
      <c r="J78" s="150">
        <v>768000</v>
      </c>
      <c r="K78" s="150">
        <v>0.85499999999999998</v>
      </c>
      <c r="L78" s="150"/>
      <c r="M78" s="150">
        <v>0</v>
      </c>
      <c r="N78" s="153" t="s">
        <v>179</v>
      </c>
      <c r="O78" s="155">
        <v>1</v>
      </c>
      <c r="P78" s="156"/>
    </row>
    <row r="79" spans="1:16" s="139" customFormat="1" ht="14.25" customHeight="1" x14ac:dyDescent="0.15">
      <c r="A79" s="148" t="s">
        <v>232</v>
      </c>
      <c r="B79" s="152" t="s">
        <v>177</v>
      </c>
      <c r="C79" s="152" t="s">
        <v>178</v>
      </c>
      <c r="D79" s="152" t="s">
        <v>4</v>
      </c>
      <c r="E79" s="153" t="s">
        <v>179</v>
      </c>
      <c r="F79" s="150">
        <v>20.100000000000001</v>
      </c>
      <c r="G79" s="150">
        <v>28700</v>
      </c>
      <c r="H79" s="150">
        <v>1.18</v>
      </c>
      <c r="I79" s="150">
        <v>3.8199999999999998E-2</v>
      </c>
      <c r="J79" s="150">
        <v>752000</v>
      </c>
      <c r="K79" s="150">
        <v>0.85399999999999998</v>
      </c>
      <c r="L79" s="150"/>
      <c r="M79" s="150">
        <v>0</v>
      </c>
      <c r="N79" s="153" t="s">
        <v>179</v>
      </c>
      <c r="O79" s="155">
        <v>1</v>
      </c>
      <c r="P79" s="156"/>
    </row>
    <row r="80" spans="1:16" s="139" customFormat="1" ht="14.25" customHeight="1" x14ac:dyDescent="0.15">
      <c r="A80" s="148" t="s">
        <v>233</v>
      </c>
      <c r="B80" s="152" t="s">
        <v>177</v>
      </c>
      <c r="C80" s="152" t="s">
        <v>178</v>
      </c>
      <c r="D80" s="152" t="s">
        <v>4</v>
      </c>
      <c r="E80" s="153" t="s">
        <v>179</v>
      </c>
      <c r="F80" s="150">
        <v>24.4</v>
      </c>
      <c r="G80" s="150">
        <v>35000</v>
      </c>
      <c r="H80" s="150">
        <v>1.18</v>
      </c>
      <c r="I80" s="150">
        <v>4.6399999999999997E-2</v>
      </c>
      <c r="J80" s="150">
        <v>753000</v>
      </c>
      <c r="K80" s="150">
        <v>0.85199999999999998</v>
      </c>
      <c r="L80" s="150"/>
      <c r="M80" s="150">
        <v>0</v>
      </c>
      <c r="N80" s="153" t="s">
        <v>179</v>
      </c>
      <c r="O80" s="155">
        <v>1</v>
      </c>
      <c r="P80" s="156"/>
    </row>
    <row r="81" spans="1:16" s="139" customFormat="1" ht="14.25" customHeight="1" x14ac:dyDescent="0.15">
      <c r="A81" s="148" t="s">
        <v>234</v>
      </c>
      <c r="B81" s="152" t="s">
        <v>177</v>
      </c>
      <c r="C81" s="152" t="s">
        <v>178</v>
      </c>
      <c r="D81" s="152" t="s">
        <v>4</v>
      </c>
      <c r="E81" s="153" t="s">
        <v>179</v>
      </c>
      <c r="F81" s="150">
        <v>424</v>
      </c>
      <c r="G81" s="150">
        <v>601000</v>
      </c>
      <c r="H81" s="150">
        <v>1.18</v>
      </c>
      <c r="I81" s="150">
        <v>0.81</v>
      </c>
      <c r="J81" s="150">
        <v>742000</v>
      </c>
      <c r="K81" s="150">
        <v>0.85199999999999998</v>
      </c>
      <c r="L81" s="150"/>
      <c r="M81" s="150">
        <v>0</v>
      </c>
      <c r="N81" s="153" t="s">
        <v>179</v>
      </c>
      <c r="O81" s="155">
        <v>1</v>
      </c>
      <c r="P81" s="156"/>
    </row>
    <row r="82" spans="1:16" s="139" customFormat="1" ht="14.25" customHeight="1" x14ac:dyDescent="0.15">
      <c r="A82" s="148" t="s">
        <v>235</v>
      </c>
      <c r="B82" s="152" t="s">
        <v>177</v>
      </c>
      <c r="C82" s="152" t="s">
        <v>178</v>
      </c>
      <c r="D82" s="152" t="s">
        <v>4</v>
      </c>
      <c r="E82" s="153" t="s">
        <v>179</v>
      </c>
      <c r="F82" s="150">
        <v>441</v>
      </c>
      <c r="G82" s="150">
        <v>782000</v>
      </c>
      <c r="H82" s="150">
        <v>1.18</v>
      </c>
      <c r="I82" s="150">
        <v>0.84399999999999997</v>
      </c>
      <c r="J82" s="150">
        <v>927000</v>
      </c>
      <c r="K82" s="150">
        <v>0.85799999999999998</v>
      </c>
      <c r="L82" s="150"/>
      <c r="M82" s="150">
        <v>0</v>
      </c>
      <c r="N82" s="153" t="s">
        <v>179</v>
      </c>
      <c r="O82" s="155">
        <v>1</v>
      </c>
      <c r="P82" s="156"/>
    </row>
    <row r="83" spans="1:16" s="139" customFormat="1" ht="14.25" customHeight="1" x14ac:dyDescent="0.15">
      <c r="A83" s="148" t="s">
        <v>236</v>
      </c>
      <c r="B83" s="152" t="s">
        <v>177</v>
      </c>
      <c r="C83" s="152" t="s">
        <v>178</v>
      </c>
      <c r="D83" s="152" t="s">
        <v>4</v>
      </c>
      <c r="E83" s="153" t="s">
        <v>179</v>
      </c>
      <c r="F83" s="150">
        <v>310</v>
      </c>
      <c r="G83" s="150">
        <v>511000</v>
      </c>
      <c r="H83" s="150">
        <v>1.18</v>
      </c>
      <c r="I83" s="150">
        <v>0.59199999999999997</v>
      </c>
      <c r="J83" s="150">
        <v>863000</v>
      </c>
      <c r="K83" s="150">
        <v>0.85699999999999998</v>
      </c>
      <c r="L83" s="150"/>
      <c r="M83" s="150">
        <v>0</v>
      </c>
      <c r="N83" s="153" t="s">
        <v>179</v>
      </c>
      <c r="O83" s="155">
        <v>1</v>
      </c>
      <c r="P83" s="156"/>
    </row>
    <row r="84" spans="1:16" s="139" customFormat="1" ht="14.25" customHeight="1" x14ac:dyDescent="0.15">
      <c r="A84" s="148" t="s">
        <v>237</v>
      </c>
      <c r="B84" s="152" t="s">
        <v>177</v>
      </c>
      <c r="C84" s="152" t="s">
        <v>178</v>
      </c>
      <c r="D84" s="152" t="s">
        <v>4</v>
      </c>
      <c r="E84" s="153" t="s">
        <v>179</v>
      </c>
      <c r="F84" s="150">
        <v>571</v>
      </c>
      <c r="G84" s="150">
        <v>837000</v>
      </c>
      <c r="H84" s="150">
        <v>1.18</v>
      </c>
      <c r="I84" s="150">
        <v>1.0900000000000001</v>
      </c>
      <c r="J84" s="150">
        <v>766000</v>
      </c>
      <c r="K84" s="150">
        <v>0.85499999999999998</v>
      </c>
      <c r="L84" s="150"/>
      <c r="M84" s="150">
        <v>0</v>
      </c>
      <c r="N84" s="153" t="s">
        <v>179</v>
      </c>
      <c r="O84" s="155">
        <v>1</v>
      </c>
      <c r="P84" s="156"/>
    </row>
    <row r="85" spans="1:16" s="139" customFormat="1" ht="14.25" customHeight="1" x14ac:dyDescent="0.15">
      <c r="A85" s="148" t="s">
        <v>238</v>
      </c>
      <c r="B85" s="152" t="s">
        <v>177</v>
      </c>
      <c r="C85" s="152" t="s">
        <v>178</v>
      </c>
      <c r="D85" s="152" t="s">
        <v>4</v>
      </c>
      <c r="E85" s="153" t="s">
        <v>179</v>
      </c>
      <c r="F85" s="150">
        <v>456</v>
      </c>
      <c r="G85" s="150">
        <v>768000</v>
      </c>
      <c r="H85" s="150">
        <v>1.18</v>
      </c>
      <c r="I85" s="150">
        <v>0.872</v>
      </c>
      <c r="J85" s="150">
        <v>880000</v>
      </c>
      <c r="K85" s="150">
        <v>0.85299999999999998</v>
      </c>
      <c r="L85" s="150"/>
      <c r="M85" s="150">
        <v>0</v>
      </c>
      <c r="N85" s="153" t="s">
        <v>179</v>
      </c>
      <c r="O85" s="155">
        <v>1</v>
      </c>
      <c r="P85" s="156"/>
    </row>
    <row r="86" spans="1:16" s="139" customFormat="1" ht="14.25" customHeight="1" x14ac:dyDescent="0.15">
      <c r="A86" s="148" t="s">
        <v>239</v>
      </c>
      <c r="B86" s="152" t="s">
        <v>177</v>
      </c>
      <c r="C86" s="152" t="s">
        <v>178</v>
      </c>
      <c r="D86" s="152" t="s">
        <v>4</v>
      </c>
      <c r="E86" s="153" t="s">
        <v>179</v>
      </c>
      <c r="F86" s="150">
        <v>483</v>
      </c>
      <c r="G86" s="150">
        <v>838000</v>
      </c>
      <c r="H86" s="150">
        <v>1.17</v>
      </c>
      <c r="I86" s="150">
        <v>0.92300000000000004</v>
      </c>
      <c r="J86" s="150">
        <v>907000</v>
      </c>
      <c r="K86" s="150">
        <v>0.85</v>
      </c>
      <c r="L86" s="150"/>
      <c r="M86" s="150">
        <v>0</v>
      </c>
      <c r="N86" s="153" t="s">
        <v>179</v>
      </c>
      <c r="O86" s="155">
        <v>1</v>
      </c>
      <c r="P86" s="156"/>
    </row>
    <row r="87" spans="1:16" s="139" customFormat="1" ht="14.25" customHeight="1" x14ac:dyDescent="0.15">
      <c r="A87" s="148" t="s">
        <v>240</v>
      </c>
      <c r="B87" s="152" t="s">
        <v>177</v>
      </c>
      <c r="C87" s="152" t="s">
        <v>178</v>
      </c>
      <c r="D87" s="152" t="s">
        <v>4</v>
      </c>
      <c r="E87" s="153" t="s">
        <v>179</v>
      </c>
      <c r="F87" s="150">
        <v>793</v>
      </c>
      <c r="G87" s="150">
        <v>1430000</v>
      </c>
      <c r="H87" s="150">
        <v>1.18</v>
      </c>
      <c r="I87" s="150">
        <v>1.52</v>
      </c>
      <c r="J87" s="150">
        <v>942000</v>
      </c>
      <c r="K87" s="150">
        <v>0.85199999999999998</v>
      </c>
      <c r="L87" s="150"/>
      <c r="M87" s="150">
        <v>0</v>
      </c>
      <c r="N87" s="153" t="s">
        <v>179</v>
      </c>
      <c r="O87" s="155">
        <v>1</v>
      </c>
      <c r="P87" s="156"/>
    </row>
    <row r="88" spans="1:16" s="139" customFormat="1" ht="14.25" customHeight="1" x14ac:dyDescent="0.15">
      <c r="A88" s="148" t="s">
        <v>241</v>
      </c>
      <c r="B88" s="152" t="s">
        <v>177</v>
      </c>
      <c r="C88" s="152" t="s">
        <v>178</v>
      </c>
      <c r="D88" s="152" t="s">
        <v>4</v>
      </c>
      <c r="E88" s="153" t="s">
        <v>179</v>
      </c>
      <c r="F88" s="150">
        <v>740</v>
      </c>
      <c r="G88" s="150">
        <v>1350000</v>
      </c>
      <c r="H88" s="150">
        <v>1.18</v>
      </c>
      <c r="I88" s="150">
        <v>1.41</v>
      </c>
      <c r="J88" s="150">
        <v>951000</v>
      </c>
      <c r="K88" s="150">
        <v>0.85099999999999998</v>
      </c>
      <c r="L88" s="150"/>
      <c r="M88" s="150">
        <v>0</v>
      </c>
      <c r="N88" s="153" t="s">
        <v>179</v>
      </c>
      <c r="O88" s="155">
        <v>1</v>
      </c>
      <c r="P88" s="156"/>
    </row>
    <row r="89" spans="1:16" s="139" customFormat="1" ht="14.25" customHeight="1" x14ac:dyDescent="0.15">
      <c r="A89" s="148" t="s">
        <v>242</v>
      </c>
      <c r="B89" s="152" t="s">
        <v>177</v>
      </c>
      <c r="C89" s="152" t="s">
        <v>178</v>
      </c>
      <c r="D89" s="152" t="s">
        <v>4</v>
      </c>
      <c r="E89" s="153" t="s">
        <v>179</v>
      </c>
      <c r="F89" s="150">
        <v>513</v>
      </c>
      <c r="G89" s="150">
        <v>853000</v>
      </c>
      <c r="H89" s="150">
        <v>1.18</v>
      </c>
      <c r="I89" s="150">
        <v>0.98099999999999998</v>
      </c>
      <c r="J89" s="150">
        <v>870000</v>
      </c>
      <c r="K89" s="150">
        <v>0.85699999999999998</v>
      </c>
      <c r="L89" s="150"/>
      <c r="M89" s="150">
        <v>0</v>
      </c>
      <c r="N89" s="153" t="s">
        <v>179</v>
      </c>
      <c r="O89" s="155">
        <v>1</v>
      </c>
      <c r="P89" s="156"/>
    </row>
    <row r="90" spans="1:16" s="139" customFormat="1" ht="14.25" customHeight="1" x14ac:dyDescent="0.15">
      <c r="A90" s="148" t="s">
        <v>243</v>
      </c>
      <c r="B90" s="152" t="s">
        <v>177</v>
      </c>
      <c r="C90" s="152" t="s">
        <v>178</v>
      </c>
      <c r="D90" s="152" t="s">
        <v>4</v>
      </c>
      <c r="E90" s="153" t="s">
        <v>179</v>
      </c>
      <c r="F90" s="150">
        <v>696</v>
      </c>
      <c r="G90" s="150">
        <v>1060000</v>
      </c>
      <c r="H90" s="150">
        <v>1.18</v>
      </c>
      <c r="I90" s="150">
        <v>1.33</v>
      </c>
      <c r="J90" s="150">
        <v>797000</v>
      </c>
      <c r="K90" s="150">
        <v>0.85</v>
      </c>
      <c r="L90" s="150"/>
      <c r="M90" s="150">
        <v>0</v>
      </c>
      <c r="N90" s="153" t="s">
        <v>179</v>
      </c>
      <c r="O90" s="155">
        <v>1</v>
      </c>
      <c r="P90" s="156"/>
    </row>
    <row r="91" spans="1:16" s="139" customFormat="1" ht="14.25" customHeight="1" x14ac:dyDescent="0.15">
      <c r="A91" s="148" t="s">
        <v>244</v>
      </c>
      <c r="B91" s="152" t="s">
        <v>177</v>
      </c>
      <c r="C91" s="152" t="s">
        <v>178</v>
      </c>
      <c r="D91" s="152" t="s">
        <v>4</v>
      </c>
      <c r="E91" s="153" t="s">
        <v>179</v>
      </c>
      <c r="F91" s="150">
        <v>602</v>
      </c>
      <c r="G91" s="150">
        <v>970000</v>
      </c>
      <c r="H91" s="150">
        <v>1.18</v>
      </c>
      <c r="I91" s="150">
        <v>1.1499999999999999</v>
      </c>
      <c r="J91" s="150">
        <v>843000</v>
      </c>
      <c r="K91" s="150">
        <v>0.85599999999999998</v>
      </c>
      <c r="L91" s="150"/>
      <c r="M91" s="150">
        <v>0</v>
      </c>
      <c r="N91" s="153" t="s">
        <v>179</v>
      </c>
      <c r="O91" s="155">
        <v>1</v>
      </c>
      <c r="P91" s="156"/>
    </row>
    <row r="92" spans="1:16" s="139" customFormat="1" ht="14.25" customHeight="1" x14ac:dyDescent="0.15">
      <c r="A92" s="148" t="s">
        <v>245</v>
      </c>
      <c r="B92" s="152" t="s">
        <v>177</v>
      </c>
      <c r="C92" s="152" t="s">
        <v>178</v>
      </c>
      <c r="D92" s="152" t="s">
        <v>4</v>
      </c>
      <c r="E92" s="153" t="s">
        <v>179</v>
      </c>
      <c r="F92" s="150">
        <v>813</v>
      </c>
      <c r="G92" s="150">
        <v>1320000</v>
      </c>
      <c r="H92" s="150">
        <v>1.18</v>
      </c>
      <c r="I92" s="150">
        <v>1.55</v>
      </c>
      <c r="J92" s="150">
        <v>848000</v>
      </c>
      <c r="K92" s="150">
        <v>0.85599999999999998</v>
      </c>
      <c r="L92" s="150"/>
      <c r="M92" s="150">
        <v>0</v>
      </c>
      <c r="N92" s="153" t="s">
        <v>179</v>
      </c>
      <c r="O92" s="155">
        <v>1</v>
      </c>
      <c r="P92" s="156"/>
    </row>
    <row r="93" spans="1:16" s="139" customFormat="1" ht="14.25" customHeight="1" x14ac:dyDescent="0.15">
      <c r="A93" s="148" t="s">
        <v>246</v>
      </c>
      <c r="B93" s="152" t="s">
        <v>177</v>
      </c>
      <c r="C93" s="152" t="s">
        <v>178</v>
      </c>
      <c r="D93" s="152" t="s">
        <v>4</v>
      </c>
      <c r="E93" s="153" t="s">
        <v>179</v>
      </c>
      <c r="F93" s="150">
        <v>559</v>
      </c>
      <c r="G93" s="150">
        <v>903000</v>
      </c>
      <c r="H93" s="150">
        <v>1.17</v>
      </c>
      <c r="I93" s="150">
        <v>1.07</v>
      </c>
      <c r="J93" s="150">
        <v>845000</v>
      </c>
      <c r="K93" s="150">
        <v>0.85</v>
      </c>
      <c r="L93" s="150"/>
      <c r="M93" s="150">
        <v>0</v>
      </c>
      <c r="N93" s="153" t="s">
        <v>179</v>
      </c>
      <c r="O93" s="155">
        <v>1</v>
      </c>
      <c r="P93" s="156"/>
    </row>
    <row r="94" spans="1:16" s="139" customFormat="1" ht="14.25" customHeight="1" x14ac:dyDescent="0.15">
      <c r="A94" s="148" t="s">
        <v>247</v>
      </c>
      <c r="B94" s="152" t="s">
        <v>177</v>
      </c>
      <c r="C94" s="152" t="s">
        <v>178</v>
      </c>
      <c r="D94" s="152" t="s">
        <v>4</v>
      </c>
      <c r="E94" s="153" t="s">
        <v>179</v>
      </c>
      <c r="F94" s="150">
        <v>399</v>
      </c>
      <c r="G94" s="150">
        <v>642000</v>
      </c>
      <c r="H94" s="150">
        <v>1.18</v>
      </c>
      <c r="I94" s="150">
        <v>0.76300000000000001</v>
      </c>
      <c r="J94" s="150">
        <v>841000</v>
      </c>
      <c r="K94" s="150">
        <v>0.85499999999999998</v>
      </c>
      <c r="L94" s="150"/>
      <c r="M94" s="150">
        <v>0</v>
      </c>
      <c r="N94" s="153" t="s">
        <v>179</v>
      </c>
      <c r="O94" s="155">
        <v>1</v>
      </c>
      <c r="P94" s="156"/>
    </row>
    <row r="95" spans="1:16" s="139" customFormat="1" ht="14.25" customHeight="1" x14ac:dyDescent="0.15">
      <c r="A95" s="148" t="s">
        <v>248</v>
      </c>
      <c r="B95" s="152" t="s">
        <v>177</v>
      </c>
      <c r="C95" s="152" t="s">
        <v>178</v>
      </c>
      <c r="D95" s="152" t="s">
        <v>4</v>
      </c>
      <c r="E95" s="153" t="s">
        <v>179</v>
      </c>
      <c r="F95" s="150">
        <v>785</v>
      </c>
      <c r="G95" s="150">
        <v>1180000</v>
      </c>
      <c r="H95" s="150">
        <v>1.18</v>
      </c>
      <c r="I95" s="150">
        <v>1.5</v>
      </c>
      <c r="J95" s="150">
        <v>789000</v>
      </c>
      <c r="K95" s="150">
        <v>0.85199999999999998</v>
      </c>
      <c r="L95" s="150"/>
      <c r="M95" s="150">
        <v>0</v>
      </c>
      <c r="N95" s="153" t="s">
        <v>179</v>
      </c>
      <c r="O95" s="155">
        <v>1</v>
      </c>
      <c r="P95" s="156"/>
    </row>
    <row r="96" spans="1:16" s="139" customFormat="1" ht="14.25" customHeight="1" x14ac:dyDescent="0.15">
      <c r="A96" s="148" t="s">
        <v>249</v>
      </c>
      <c r="B96" s="152" t="s">
        <v>177</v>
      </c>
      <c r="C96" s="152" t="s">
        <v>178</v>
      </c>
      <c r="D96" s="152" t="s">
        <v>4</v>
      </c>
      <c r="E96" s="153" t="s">
        <v>179</v>
      </c>
      <c r="F96" s="150">
        <v>227</v>
      </c>
      <c r="G96" s="150">
        <v>364000</v>
      </c>
      <c r="H96" s="150">
        <v>1.18</v>
      </c>
      <c r="I96" s="150">
        <v>0.435</v>
      </c>
      <c r="J96" s="150">
        <v>836000</v>
      </c>
      <c r="K96" s="150">
        <v>0.85499999999999998</v>
      </c>
      <c r="L96" s="150"/>
      <c r="M96" s="150">
        <v>0</v>
      </c>
      <c r="N96" s="153" t="s">
        <v>179</v>
      </c>
      <c r="O96" s="155">
        <v>1</v>
      </c>
      <c r="P96" s="156"/>
    </row>
    <row r="97" spans="1:16" s="139" customFormat="1" ht="14.25" customHeight="1" x14ac:dyDescent="0.15">
      <c r="A97" s="148" t="s">
        <v>250</v>
      </c>
      <c r="B97" s="152" t="s">
        <v>177</v>
      </c>
      <c r="C97" s="152" t="s">
        <v>178</v>
      </c>
      <c r="D97" s="152" t="s">
        <v>4</v>
      </c>
      <c r="E97" s="153" t="s">
        <v>179</v>
      </c>
      <c r="F97" s="150">
        <v>293</v>
      </c>
      <c r="G97" s="150">
        <v>514000</v>
      </c>
      <c r="H97" s="150">
        <v>1.18</v>
      </c>
      <c r="I97" s="150">
        <v>0.55900000000000005</v>
      </c>
      <c r="J97" s="150">
        <v>919000</v>
      </c>
      <c r="K97" s="150">
        <v>0.85599999999999998</v>
      </c>
      <c r="L97" s="150"/>
      <c r="M97" s="150">
        <v>0</v>
      </c>
      <c r="N97" s="153" t="s">
        <v>179</v>
      </c>
      <c r="O97" s="155">
        <v>1</v>
      </c>
      <c r="P97" s="156"/>
    </row>
    <row r="98" spans="1:16" s="139" customFormat="1" ht="14.25" customHeight="1" x14ac:dyDescent="0.15">
      <c r="A98" s="148" t="s">
        <v>251</v>
      </c>
      <c r="B98" s="152" t="s">
        <v>177</v>
      </c>
      <c r="C98" s="152" t="s">
        <v>178</v>
      </c>
      <c r="D98" s="152" t="s">
        <v>4</v>
      </c>
      <c r="E98" s="153" t="s">
        <v>179</v>
      </c>
      <c r="F98" s="150">
        <v>422</v>
      </c>
      <c r="G98" s="150">
        <v>655000</v>
      </c>
      <c r="H98" s="150">
        <v>1.18</v>
      </c>
      <c r="I98" s="150">
        <v>0.80700000000000005</v>
      </c>
      <c r="J98" s="150">
        <v>812000</v>
      </c>
      <c r="K98" s="150">
        <v>0.85699999999999998</v>
      </c>
      <c r="L98" s="150"/>
      <c r="M98" s="150">
        <v>0</v>
      </c>
      <c r="N98" s="153" t="s">
        <v>179</v>
      </c>
      <c r="O98" s="155">
        <v>1</v>
      </c>
      <c r="P98" s="156"/>
    </row>
    <row r="99" spans="1:16" s="139" customFormat="1" ht="14.25" customHeight="1" x14ac:dyDescent="0.15">
      <c r="A99" s="148" t="s">
        <v>252</v>
      </c>
      <c r="B99" s="152" t="s">
        <v>177</v>
      </c>
      <c r="C99" s="152" t="s">
        <v>178</v>
      </c>
      <c r="D99" s="152" t="s">
        <v>4</v>
      </c>
      <c r="E99" s="153" t="s">
        <v>179</v>
      </c>
      <c r="F99" s="150">
        <v>66.400000000000006</v>
      </c>
      <c r="G99" s="150">
        <v>109000</v>
      </c>
      <c r="H99" s="150">
        <v>1.17</v>
      </c>
      <c r="I99" s="150">
        <v>0.127</v>
      </c>
      <c r="J99" s="150">
        <v>860000</v>
      </c>
      <c r="K99" s="150">
        <v>0.84899999999999998</v>
      </c>
      <c r="L99" s="150"/>
      <c r="M99" s="150">
        <v>0</v>
      </c>
      <c r="N99" s="153" t="s">
        <v>179</v>
      </c>
      <c r="O99" s="155">
        <v>1</v>
      </c>
      <c r="P99" s="156"/>
    </row>
    <row r="100" spans="1:16" s="139" customFormat="1" ht="14.25" customHeight="1" x14ac:dyDescent="0.15">
      <c r="A100" s="148" t="s">
        <v>253</v>
      </c>
      <c r="B100" s="152" t="s">
        <v>177</v>
      </c>
      <c r="C100" s="152" t="s">
        <v>178</v>
      </c>
      <c r="D100" s="152" t="s">
        <v>4</v>
      </c>
      <c r="E100" s="153" t="s">
        <v>179</v>
      </c>
      <c r="F100" s="150">
        <v>67</v>
      </c>
      <c r="G100" s="150">
        <v>113000</v>
      </c>
      <c r="H100" s="150">
        <v>1.18</v>
      </c>
      <c r="I100" s="150">
        <v>0.128</v>
      </c>
      <c r="J100" s="150">
        <v>884000</v>
      </c>
      <c r="K100" s="150">
        <v>0.85799999999999998</v>
      </c>
      <c r="L100" s="150"/>
      <c r="M100" s="150">
        <v>0</v>
      </c>
      <c r="N100" s="153" t="s">
        <v>179</v>
      </c>
      <c r="O100" s="155">
        <v>1</v>
      </c>
      <c r="P100" s="156"/>
    </row>
    <row r="101" spans="1:16" s="139" customFormat="1" ht="14.25" customHeight="1" x14ac:dyDescent="0.15">
      <c r="A101" s="148" t="s">
        <v>254</v>
      </c>
      <c r="B101" s="152" t="s">
        <v>177</v>
      </c>
      <c r="C101" s="152" t="s">
        <v>178</v>
      </c>
      <c r="D101" s="152" t="s">
        <v>4</v>
      </c>
      <c r="E101" s="153" t="s">
        <v>179</v>
      </c>
      <c r="F101" s="150">
        <v>60.6</v>
      </c>
      <c r="G101" s="150">
        <v>90600</v>
      </c>
      <c r="H101" s="150">
        <v>1.18</v>
      </c>
      <c r="I101" s="150">
        <v>0.11600000000000001</v>
      </c>
      <c r="J101" s="150">
        <v>783000</v>
      </c>
      <c r="K101" s="150">
        <v>0.85099999999999998</v>
      </c>
      <c r="L101" s="150"/>
      <c r="M101" s="150">
        <v>0</v>
      </c>
      <c r="N101" s="153" t="s">
        <v>179</v>
      </c>
      <c r="O101" s="155">
        <v>1</v>
      </c>
      <c r="P101" s="156"/>
    </row>
    <row r="102" spans="1:16" s="139" customFormat="1" ht="14.25" customHeight="1" x14ac:dyDescent="0.15">
      <c r="A102" s="148" t="s">
        <v>255</v>
      </c>
      <c r="B102" s="152" t="s">
        <v>177</v>
      </c>
      <c r="C102" s="152" t="s">
        <v>178</v>
      </c>
      <c r="D102" s="152" t="s">
        <v>4</v>
      </c>
      <c r="E102" s="153" t="s">
        <v>179</v>
      </c>
      <c r="F102" s="150">
        <v>8.42</v>
      </c>
      <c r="G102" s="150">
        <v>15300</v>
      </c>
      <c r="H102" s="150">
        <v>1.18</v>
      </c>
      <c r="I102" s="150">
        <v>1.5900000000000001E-2</v>
      </c>
      <c r="J102" s="150">
        <v>961000</v>
      </c>
      <c r="K102" s="150">
        <v>0.85599999999999998</v>
      </c>
      <c r="L102" s="150"/>
      <c r="M102" s="150">
        <v>0</v>
      </c>
      <c r="N102" s="153" t="s">
        <v>179</v>
      </c>
      <c r="O102" s="155">
        <v>1</v>
      </c>
      <c r="P102" s="156"/>
    </row>
    <row r="103" spans="1:16" s="139" customFormat="1" ht="14.25" customHeight="1" x14ac:dyDescent="0.15">
      <c r="A103" s="148" t="s">
        <v>256</v>
      </c>
      <c r="B103" s="152" t="s">
        <v>177</v>
      </c>
      <c r="C103" s="152" t="s">
        <v>178</v>
      </c>
      <c r="D103" s="152" t="s">
        <v>4</v>
      </c>
      <c r="E103" s="153" t="s">
        <v>179</v>
      </c>
      <c r="F103" s="150">
        <v>6.38</v>
      </c>
      <c r="G103" s="150">
        <v>11000</v>
      </c>
      <c r="H103" s="150">
        <v>1.18</v>
      </c>
      <c r="I103" s="150">
        <v>1.2E-2</v>
      </c>
      <c r="J103" s="150">
        <v>918000</v>
      </c>
      <c r="K103" s="150">
        <v>0.85599999999999998</v>
      </c>
      <c r="L103" s="150"/>
      <c r="M103" s="150">
        <v>0</v>
      </c>
      <c r="N103" s="153" t="s">
        <v>179</v>
      </c>
      <c r="O103" s="155">
        <v>1</v>
      </c>
      <c r="P103" s="156"/>
    </row>
    <row r="104" spans="1:16" s="139" customFormat="1" ht="14.25" customHeight="1" x14ac:dyDescent="0.15">
      <c r="A104" s="148" t="s">
        <v>257</v>
      </c>
      <c r="B104" s="152" t="s">
        <v>177</v>
      </c>
      <c r="C104" s="152" t="s">
        <v>178</v>
      </c>
      <c r="D104" s="152" t="s">
        <v>4</v>
      </c>
      <c r="E104" s="153" t="s">
        <v>179</v>
      </c>
      <c r="F104" s="150">
        <v>3.36</v>
      </c>
      <c r="G104" s="150">
        <v>5450</v>
      </c>
      <c r="H104" s="150">
        <v>1.17</v>
      </c>
      <c r="I104" s="150">
        <v>6.2100000000000002E-3</v>
      </c>
      <c r="J104" s="150">
        <v>878000</v>
      </c>
      <c r="K104" s="150">
        <v>0.84799999999999998</v>
      </c>
      <c r="L104" s="150"/>
      <c r="M104" s="150">
        <v>0</v>
      </c>
      <c r="N104" s="153" t="s">
        <v>179</v>
      </c>
      <c r="O104" s="155">
        <v>1</v>
      </c>
      <c r="P104" s="156"/>
    </row>
    <row r="105" spans="1:16" s="139" customFormat="1" ht="14.25" customHeight="1" x14ac:dyDescent="0.15">
      <c r="A105" s="148" t="s">
        <v>176</v>
      </c>
      <c r="B105" s="152" t="s">
        <v>177</v>
      </c>
      <c r="C105" s="152" t="s">
        <v>178</v>
      </c>
      <c r="D105" s="152" t="s">
        <v>4</v>
      </c>
      <c r="E105" s="153" t="s">
        <v>179</v>
      </c>
      <c r="F105" s="150" t="e">
        <v>#DIV/0!</v>
      </c>
      <c r="G105" s="150">
        <v>0</v>
      </c>
      <c r="H105" s="150">
        <v>0</v>
      </c>
      <c r="I105" s="150" t="e">
        <v>#DIV/0!</v>
      </c>
      <c r="J105" s="150">
        <v>0</v>
      </c>
      <c r="K105" s="150">
        <v>0</v>
      </c>
      <c r="L105" s="150"/>
      <c r="M105" s="150">
        <v>0</v>
      </c>
      <c r="N105" s="153" t="s">
        <v>179</v>
      </c>
      <c r="O105" s="155">
        <v>1</v>
      </c>
      <c r="P105" s="156"/>
    </row>
    <row r="106" spans="1:16" s="139" customFormat="1" ht="14.25" customHeight="1" x14ac:dyDescent="0.15">
      <c r="A106" s="148" t="s">
        <v>176</v>
      </c>
      <c r="B106" s="152" t="s">
        <v>177</v>
      </c>
      <c r="C106" s="152" t="s">
        <v>178</v>
      </c>
      <c r="D106" s="152" t="s">
        <v>4</v>
      </c>
      <c r="E106" s="153" t="s">
        <v>179</v>
      </c>
      <c r="F106" s="150" t="e">
        <v>#DIV/0!</v>
      </c>
      <c r="G106" s="150">
        <v>0</v>
      </c>
      <c r="H106" s="150">
        <v>0</v>
      </c>
      <c r="I106" s="150" t="e">
        <v>#DIV/0!</v>
      </c>
      <c r="J106" s="150">
        <v>0</v>
      </c>
      <c r="K106" s="150">
        <v>0</v>
      </c>
      <c r="L106" s="150"/>
      <c r="M106" s="150">
        <v>0</v>
      </c>
      <c r="N106" s="153" t="s">
        <v>179</v>
      </c>
      <c r="O106" s="155">
        <v>1</v>
      </c>
      <c r="P106" s="156"/>
    </row>
    <row r="107" spans="1:16" s="139" customFormat="1" ht="14.25" customHeight="1" x14ac:dyDescent="0.15">
      <c r="A107" s="148" t="s">
        <v>258</v>
      </c>
      <c r="B107" s="152" t="s">
        <v>192</v>
      </c>
      <c r="C107" s="152" t="s">
        <v>178</v>
      </c>
      <c r="D107" s="152" t="s">
        <v>4</v>
      </c>
      <c r="E107" s="150">
        <v>3</v>
      </c>
      <c r="F107" s="150">
        <v>3.82</v>
      </c>
      <c r="G107" s="150">
        <v>5260</v>
      </c>
      <c r="H107" s="150">
        <v>1.18</v>
      </c>
      <c r="I107" s="150">
        <v>7.1000000000000004E-3</v>
      </c>
      <c r="J107" s="150">
        <v>740000</v>
      </c>
      <c r="K107" s="150">
        <v>0.85499999999999998</v>
      </c>
      <c r="L107" s="150">
        <v>1</v>
      </c>
      <c r="M107" s="150">
        <v>0</v>
      </c>
      <c r="N107" s="150">
        <v>127.49</v>
      </c>
      <c r="O107" s="155">
        <v>1</v>
      </c>
      <c r="P107" s="156"/>
    </row>
    <row r="108" spans="1:16" s="139" customFormat="1" ht="14.25" customHeight="1" x14ac:dyDescent="0.15">
      <c r="A108" s="148" t="s">
        <v>259</v>
      </c>
      <c r="B108" s="152" t="s">
        <v>192</v>
      </c>
      <c r="C108" s="152" t="s">
        <v>178</v>
      </c>
      <c r="D108" s="152" t="s">
        <v>4</v>
      </c>
      <c r="E108" s="150">
        <v>50</v>
      </c>
      <c r="F108" s="150">
        <v>59.7</v>
      </c>
      <c r="G108" s="150">
        <v>99500</v>
      </c>
      <c r="H108" s="150">
        <v>1.18</v>
      </c>
      <c r="I108" s="150">
        <v>0.114</v>
      </c>
      <c r="J108" s="150">
        <v>873000</v>
      </c>
      <c r="K108" s="150">
        <v>0.85399999999999998</v>
      </c>
      <c r="L108" s="150">
        <v>1</v>
      </c>
      <c r="M108" s="150">
        <v>0</v>
      </c>
      <c r="N108" s="150">
        <v>119.46</v>
      </c>
      <c r="O108" s="155">
        <v>1</v>
      </c>
      <c r="P108" s="156"/>
    </row>
    <row r="109" spans="1:16" s="139" customFormat="1" ht="14.25" customHeight="1" x14ac:dyDescent="0.15">
      <c r="A109" s="148" t="s">
        <v>260</v>
      </c>
      <c r="B109" s="152" t="s">
        <v>192</v>
      </c>
      <c r="C109" s="152" t="s">
        <v>178</v>
      </c>
      <c r="D109" s="152" t="s">
        <v>4</v>
      </c>
      <c r="E109" s="150">
        <v>1600</v>
      </c>
      <c r="F109" s="150">
        <v>1860</v>
      </c>
      <c r="G109" s="150">
        <v>3000000</v>
      </c>
      <c r="H109" s="150">
        <v>1.18</v>
      </c>
      <c r="I109" s="150">
        <v>3.56</v>
      </c>
      <c r="J109" s="150">
        <v>843000</v>
      </c>
      <c r="K109" s="150">
        <v>0.85399999999999998</v>
      </c>
      <c r="L109" s="150">
        <v>1</v>
      </c>
      <c r="M109" s="150">
        <v>0</v>
      </c>
      <c r="N109" s="150">
        <v>116.22</v>
      </c>
      <c r="O109" s="155">
        <v>1</v>
      </c>
      <c r="P109" s="156"/>
    </row>
    <row r="110" spans="1:16" s="139" customFormat="1" ht="14.25" customHeight="1" x14ac:dyDescent="0.15">
      <c r="A110" s="158"/>
      <c r="B110" s="156"/>
      <c r="C110" s="156"/>
      <c r="D110" s="156"/>
      <c r="E110" s="159"/>
      <c r="F110" s="159"/>
      <c r="G110" s="159"/>
      <c r="H110" s="159"/>
      <c r="I110" s="159"/>
      <c r="J110" s="159"/>
      <c r="K110" s="159"/>
      <c r="L110" s="159"/>
      <c r="M110" s="159"/>
      <c r="N110" s="159"/>
      <c r="O110" s="192"/>
      <c r="P110" s="156"/>
    </row>
    <row r="111" spans="1:16" s="139" customFormat="1" ht="14.25" customHeight="1" x14ac:dyDescent="0.15">
      <c r="A111" s="160"/>
      <c r="B111" s="161"/>
      <c r="C111" s="161"/>
      <c r="D111" s="161"/>
      <c r="E111" s="162"/>
      <c r="F111" s="162"/>
      <c r="G111" s="162"/>
      <c r="H111" s="163"/>
      <c r="I111" s="162"/>
      <c r="J111" s="162"/>
      <c r="K111" s="163"/>
      <c r="L111" s="162"/>
      <c r="M111" s="162"/>
      <c r="N111" s="162"/>
      <c r="O111" s="193"/>
    </row>
    <row r="112" spans="1:16" s="139" customFormat="1" ht="14.25" customHeight="1" x14ac:dyDescent="0.25">
      <c r="A112" s="164"/>
      <c r="B112" s="165"/>
      <c r="C112" s="165"/>
      <c r="D112" s="165"/>
      <c r="E112" s="166"/>
      <c r="F112" s="167"/>
      <c r="G112" s="142"/>
      <c r="H112" s="143"/>
      <c r="I112" s="143"/>
      <c r="J112" s="194"/>
      <c r="K112" s="143"/>
      <c r="L112" s="142"/>
      <c r="M112" s="162"/>
      <c r="N112" s="162"/>
      <c r="O112" s="193"/>
    </row>
    <row r="113" spans="1:15" s="139" customFormat="1" ht="14.25" customHeight="1" x14ac:dyDescent="0.25">
      <c r="A113" s="168" t="s">
        <v>261</v>
      </c>
      <c r="B113" s="491">
        <f>AVERAGE(J23:J31,J35:J40,J42:J47,J50:J76,J78:J104,J107:J109)</f>
        <v>824666.66666666698</v>
      </c>
      <c r="C113" s="491"/>
      <c r="D113" s="491"/>
      <c r="E113" s="169"/>
      <c r="F113" s="167"/>
      <c r="G113" s="142"/>
      <c r="H113" s="143"/>
      <c r="I113" s="143"/>
      <c r="J113" s="194"/>
      <c r="K113" s="143"/>
      <c r="L113" s="142"/>
      <c r="M113" s="162"/>
      <c r="N113" s="162"/>
      <c r="O113" s="193"/>
    </row>
    <row r="114" spans="1:15" s="139" customFormat="1" ht="14.25" customHeight="1" x14ac:dyDescent="0.25">
      <c r="A114" s="164" t="s">
        <v>34</v>
      </c>
      <c r="B114" s="492">
        <f>STDEV(J23:J31,J35:J40,J42:J47,J50:J76,J78:J104,J107:J109)</f>
        <v>79389.008802319193</v>
      </c>
      <c r="C114" s="492"/>
      <c r="D114" s="492"/>
      <c r="E114" s="170"/>
      <c r="F114" s="167"/>
      <c r="G114" s="142"/>
      <c r="H114" s="143"/>
      <c r="I114" s="143"/>
      <c r="J114" s="194"/>
      <c r="K114" s="143"/>
      <c r="L114" s="142"/>
      <c r="M114" s="162"/>
      <c r="N114" s="162"/>
      <c r="O114" s="193"/>
    </row>
    <row r="115" spans="1:15" s="139" customFormat="1" ht="14.25" customHeight="1" x14ac:dyDescent="0.25">
      <c r="A115" s="171" t="s">
        <v>262</v>
      </c>
      <c r="B115" s="493">
        <f>B114/B113*100</f>
        <v>9.62679977392715</v>
      </c>
      <c r="C115" s="493"/>
      <c r="D115" s="172" t="s">
        <v>263</v>
      </c>
      <c r="E115" s="173" t="s">
        <v>264</v>
      </c>
      <c r="F115" s="167"/>
      <c r="G115" s="142"/>
      <c r="H115" s="143"/>
      <c r="I115" s="143"/>
      <c r="J115" s="194"/>
      <c r="K115" s="143"/>
      <c r="L115" s="142"/>
      <c r="M115" s="162"/>
      <c r="N115" s="162"/>
      <c r="O115" s="193"/>
    </row>
    <row r="116" spans="1:15" s="139" customFormat="1" ht="14.25" customHeight="1" x14ac:dyDescent="0.25">
      <c r="A116" s="174"/>
      <c r="B116" s="175"/>
      <c r="C116" s="175"/>
      <c r="D116" s="176"/>
      <c r="E116" s="177"/>
      <c r="F116" s="178"/>
      <c r="G116" s="179"/>
      <c r="H116" s="180"/>
      <c r="I116" s="180"/>
      <c r="J116" s="195"/>
      <c r="K116" s="180"/>
      <c r="L116" s="179"/>
      <c r="M116" s="196"/>
      <c r="N116" s="196"/>
      <c r="O116" s="197"/>
    </row>
    <row r="117" spans="1:15" s="139" customFormat="1" ht="14.25" customHeight="1" x14ac:dyDescent="0.25">
      <c r="A117" s="181"/>
      <c r="B117" s="145"/>
      <c r="C117" s="145"/>
      <c r="D117" s="182"/>
      <c r="E117" s="183"/>
      <c r="F117" s="184"/>
      <c r="G117" s="146"/>
      <c r="H117" s="147"/>
      <c r="I117" s="147"/>
      <c r="J117" s="183"/>
      <c r="K117" s="147"/>
      <c r="L117" s="146"/>
      <c r="M117" s="198"/>
      <c r="N117" s="198"/>
      <c r="O117" s="199"/>
    </row>
    <row r="118" spans="1:15" s="139" customFormat="1" ht="14.25" customHeight="1" x14ac:dyDescent="0.25">
      <c r="A118" s="185"/>
      <c r="B118" s="186"/>
      <c r="C118" s="186"/>
      <c r="D118" s="187"/>
      <c r="E118" s="188"/>
      <c r="F118" s="189"/>
      <c r="G118" s="190"/>
      <c r="H118" s="191"/>
      <c r="I118" s="191"/>
      <c r="J118" s="188"/>
      <c r="K118" s="191"/>
      <c r="L118" s="190"/>
      <c r="M118" s="200"/>
      <c r="N118" s="200"/>
      <c r="O118" s="193"/>
    </row>
    <row r="119" spans="1:15" s="139" customFormat="1" ht="14.25" customHeight="1" x14ac:dyDescent="0.25">
      <c r="A119" s="185"/>
      <c r="B119" s="186"/>
      <c r="C119" s="186"/>
      <c r="D119" s="187"/>
      <c r="E119" s="188"/>
      <c r="F119" s="189"/>
      <c r="G119" s="190"/>
      <c r="H119" s="191"/>
      <c r="I119" s="191"/>
      <c r="J119" s="188"/>
      <c r="K119" s="191"/>
      <c r="L119" s="190"/>
      <c r="M119" s="200"/>
      <c r="N119" s="200"/>
      <c r="O119" s="193"/>
    </row>
    <row r="120" spans="1:15" s="139" customFormat="1" ht="14.25" customHeight="1" x14ac:dyDescent="0.25">
      <c r="A120" s="185"/>
      <c r="B120" s="186"/>
      <c r="C120" s="186"/>
      <c r="D120" s="187"/>
      <c r="E120" s="188"/>
      <c r="F120" s="189"/>
      <c r="G120" s="190"/>
      <c r="H120" s="191"/>
      <c r="I120" s="191"/>
      <c r="J120" s="188"/>
      <c r="K120" s="191"/>
      <c r="L120" s="190"/>
      <c r="M120" s="200"/>
      <c r="N120" s="200"/>
      <c r="O120" s="193"/>
    </row>
    <row r="121" spans="1:15" s="139" customFormat="1" ht="14.25" customHeight="1" x14ac:dyDescent="0.25">
      <c r="A121" s="185"/>
      <c r="B121" s="186"/>
      <c r="C121" s="186"/>
      <c r="D121" s="187"/>
      <c r="E121" s="188"/>
      <c r="F121" s="189"/>
      <c r="G121" s="190"/>
      <c r="H121" s="191"/>
      <c r="I121" s="191"/>
      <c r="J121" s="188"/>
      <c r="K121" s="191"/>
      <c r="L121" s="190"/>
      <c r="M121" s="200"/>
      <c r="N121" s="200"/>
      <c r="O121" s="193"/>
    </row>
    <row r="122" spans="1:15" s="139" customFormat="1" ht="14.25" customHeight="1" x14ac:dyDescent="0.25">
      <c r="A122" s="185"/>
      <c r="B122" s="186"/>
      <c r="C122" s="186"/>
      <c r="D122" s="187"/>
      <c r="E122" s="188"/>
      <c r="F122" s="189"/>
      <c r="G122" s="190"/>
      <c r="H122" s="191"/>
      <c r="I122" s="191"/>
      <c r="J122" s="188"/>
      <c r="K122" s="191"/>
      <c r="L122" s="190"/>
      <c r="M122" s="200"/>
      <c r="N122" s="200"/>
      <c r="O122" s="193"/>
    </row>
    <row r="123" spans="1:15" s="139" customFormat="1" ht="14.25" customHeight="1" x14ac:dyDescent="0.25">
      <c r="A123" s="185"/>
      <c r="B123" s="186"/>
      <c r="C123" s="186"/>
      <c r="D123" s="187"/>
      <c r="E123" s="188"/>
      <c r="F123" s="189"/>
      <c r="G123" s="190"/>
      <c r="H123" s="191"/>
      <c r="I123" s="191"/>
      <c r="J123" s="188"/>
      <c r="K123" s="191"/>
      <c r="L123" s="190"/>
      <c r="M123" s="200"/>
      <c r="N123" s="200"/>
      <c r="O123" s="193"/>
    </row>
    <row r="124" spans="1:15" s="139" customFormat="1" ht="14.25" customHeight="1" x14ac:dyDescent="0.25">
      <c r="A124" s="185"/>
      <c r="B124" s="186"/>
      <c r="C124" s="186"/>
      <c r="D124" s="187"/>
      <c r="E124" s="188"/>
      <c r="F124" s="189"/>
      <c r="G124" s="190"/>
      <c r="H124" s="191"/>
      <c r="I124" s="191"/>
      <c r="J124" s="188"/>
      <c r="K124" s="191"/>
      <c r="L124" s="190"/>
      <c r="M124" s="200"/>
      <c r="N124" s="200"/>
      <c r="O124" s="193"/>
    </row>
    <row r="125" spans="1:15" s="139" customFormat="1" ht="14.25" customHeight="1" x14ac:dyDescent="0.25">
      <c r="A125" s="185"/>
      <c r="B125" s="186"/>
      <c r="C125" s="186"/>
      <c r="D125" s="187"/>
      <c r="E125" s="188"/>
      <c r="F125" s="189"/>
      <c r="G125" s="190"/>
      <c r="H125" s="191"/>
      <c r="I125" s="191"/>
      <c r="J125" s="188"/>
      <c r="K125" s="191"/>
      <c r="L125" s="190"/>
      <c r="M125" s="200"/>
      <c r="N125" s="200"/>
      <c r="O125" s="193"/>
    </row>
    <row r="126" spans="1:15" s="139" customFormat="1" ht="14.25" customHeight="1" x14ac:dyDescent="0.25">
      <c r="A126" s="185"/>
      <c r="B126" s="186"/>
      <c r="C126" s="186"/>
      <c r="D126" s="187"/>
      <c r="E126" s="188"/>
      <c r="F126" s="189"/>
      <c r="G126" s="190"/>
      <c r="H126" s="191"/>
      <c r="I126" s="191"/>
      <c r="J126" s="188"/>
      <c r="K126" s="191"/>
      <c r="L126" s="190"/>
      <c r="M126" s="200"/>
      <c r="N126" s="200"/>
      <c r="O126" s="193"/>
    </row>
    <row r="127" spans="1:15" s="139" customFormat="1" ht="14.25" customHeight="1" x14ac:dyDescent="0.25">
      <c r="A127" s="185"/>
      <c r="B127" s="186"/>
      <c r="C127" s="186"/>
      <c r="D127" s="187"/>
      <c r="E127" s="188"/>
      <c r="F127" s="189"/>
      <c r="G127" s="190"/>
      <c r="H127" s="191"/>
      <c r="I127" s="191"/>
      <c r="J127" s="188"/>
      <c r="K127" s="191"/>
      <c r="L127" s="190"/>
      <c r="M127" s="200"/>
      <c r="N127" s="200"/>
      <c r="O127" s="193"/>
    </row>
    <row r="128" spans="1:15" s="139" customFormat="1" ht="14.25" customHeight="1" x14ac:dyDescent="0.25">
      <c r="A128" s="185"/>
      <c r="B128" s="186"/>
      <c r="C128" s="186"/>
      <c r="D128" s="187"/>
      <c r="E128" s="188"/>
      <c r="F128" s="189"/>
      <c r="G128" s="190"/>
      <c r="H128" s="191"/>
      <c r="I128" s="191"/>
      <c r="J128" s="188"/>
      <c r="K128" s="191"/>
      <c r="L128" s="190"/>
      <c r="M128" s="200"/>
      <c r="N128" s="200"/>
      <c r="O128" s="193"/>
    </row>
    <row r="129" spans="1:15" s="139" customFormat="1" ht="14.25" customHeight="1" x14ac:dyDescent="0.25">
      <c r="A129" s="185"/>
      <c r="B129" s="186"/>
      <c r="C129" s="186"/>
      <c r="D129" s="187"/>
      <c r="E129" s="188"/>
      <c r="F129" s="189"/>
      <c r="G129" s="190"/>
      <c r="H129" s="191"/>
      <c r="I129" s="191"/>
      <c r="J129" s="188"/>
      <c r="K129" s="191"/>
      <c r="L129" s="190"/>
      <c r="M129" s="200"/>
      <c r="N129" s="200"/>
      <c r="O129" s="193"/>
    </row>
    <row r="130" spans="1:15" s="139" customFormat="1" ht="14.25" customHeight="1" x14ac:dyDescent="0.25">
      <c r="A130" s="185"/>
      <c r="B130" s="186"/>
      <c r="C130" s="186"/>
      <c r="D130" s="187"/>
      <c r="E130" s="188"/>
      <c r="F130" s="189"/>
      <c r="G130" s="190"/>
      <c r="H130" s="191"/>
      <c r="I130" s="191"/>
      <c r="J130" s="188"/>
      <c r="K130" s="191"/>
      <c r="L130" s="190"/>
      <c r="M130" s="200"/>
      <c r="N130" s="200"/>
      <c r="O130" s="193"/>
    </row>
    <row r="131" spans="1:15" s="139" customFormat="1" ht="14.25" customHeight="1" x14ac:dyDescent="0.25">
      <c r="A131" s="185"/>
      <c r="B131" s="186"/>
      <c r="C131" s="186"/>
      <c r="D131" s="187"/>
      <c r="E131" s="188"/>
      <c r="F131" s="189"/>
      <c r="G131" s="190"/>
      <c r="H131" s="191"/>
      <c r="I131" s="191"/>
      <c r="J131" s="188"/>
      <c r="K131" s="191"/>
      <c r="L131" s="190"/>
      <c r="M131" s="200"/>
      <c r="N131" s="200"/>
      <c r="O131" s="193"/>
    </row>
    <row r="132" spans="1:15" x14ac:dyDescent="0.25">
      <c r="A132" s="185"/>
      <c r="B132" s="186"/>
      <c r="C132" s="186"/>
      <c r="D132" s="187"/>
      <c r="E132" s="188"/>
      <c r="F132" s="189"/>
      <c r="G132" s="190"/>
      <c r="H132" s="191"/>
      <c r="I132" s="191"/>
      <c r="J132" s="188"/>
      <c r="K132" s="191"/>
      <c r="L132" s="190"/>
      <c r="M132" s="200"/>
      <c r="N132" s="200"/>
      <c r="O132" s="193"/>
    </row>
    <row r="133" spans="1:15" x14ac:dyDescent="0.25">
      <c r="A133" s="185"/>
      <c r="B133" s="186"/>
      <c r="C133" s="186"/>
      <c r="D133" s="187"/>
      <c r="E133" s="188"/>
      <c r="F133" s="189"/>
      <c r="G133" s="190"/>
      <c r="H133" s="191"/>
      <c r="I133" s="191"/>
      <c r="J133" s="188"/>
      <c r="K133" s="191"/>
      <c r="L133" s="190"/>
      <c r="M133" s="190"/>
      <c r="N133" s="190"/>
      <c r="O133" s="202"/>
    </row>
    <row r="134" spans="1:15" x14ac:dyDescent="0.25">
      <c r="A134" s="185"/>
      <c r="B134" s="186"/>
      <c r="C134" s="186"/>
      <c r="D134" s="187"/>
      <c r="E134" s="188"/>
      <c r="F134" s="189"/>
      <c r="G134" s="190"/>
      <c r="H134" s="191"/>
      <c r="I134" s="191"/>
      <c r="J134" s="188"/>
      <c r="K134" s="191"/>
      <c r="L134" s="190"/>
      <c r="M134" s="190"/>
      <c r="N134" s="190"/>
      <c r="O134" s="202"/>
    </row>
    <row r="135" spans="1:15" x14ac:dyDescent="0.25">
      <c r="A135" s="185"/>
      <c r="B135" s="186"/>
      <c r="C135" s="186"/>
      <c r="D135" s="187"/>
      <c r="E135" s="188"/>
      <c r="F135" s="189"/>
      <c r="G135" s="190"/>
      <c r="H135" s="191"/>
      <c r="I135" s="191"/>
      <c r="J135" s="188"/>
      <c r="K135" s="191"/>
      <c r="L135" s="190"/>
      <c r="M135" s="190"/>
      <c r="N135" s="190"/>
      <c r="O135" s="202"/>
    </row>
    <row r="136" spans="1:15" x14ac:dyDescent="0.25">
      <c r="A136" s="185"/>
      <c r="B136" s="186"/>
      <c r="C136" s="186"/>
      <c r="D136" s="187"/>
      <c r="E136" s="188"/>
      <c r="F136" s="189"/>
      <c r="G136" s="190"/>
      <c r="H136" s="191"/>
      <c r="I136" s="191"/>
      <c r="J136" s="188"/>
      <c r="K136" s="191"/>
      <c r="L136" s="190"/>
      <c r="M136" s="190"/>
      <c r="N136" s="190"/>
      <c r="O136" s="202"/>
    </row>
    <row r="137" spans="1:15" x14ac:dyDescent="0.25">
      <c r="A137" s="185"/>
      <c r="B137" s="186"/>
      <c r="C137" s="186"/>
      <c r="D137" s="187"/>
      <c r="E137" s="188"/>
      <c r="F137" s="189"/>
      <c r="G137" s="190"/>
      <c r="H137" s="191"/>
      <c r="I137" s="191"/>
      <c r="J137" s="188"/>
      <c r="K137" s="191"/>
      <c r="L137" s="190"/>
      <c r="M137" s="190"/>
      <c r="N137" s="190"/>
      <c r="O137" s="202"/>
    </row>
    <row r="138" spans="1:15" x14ac:dyDescent="0.25">
      <c r="A138" s="185"/>
      <c r="B138" s="186"/>
      <c r="C138" s="186"/>
      <c r="D138" s="187"/>
      <c r="E138" s="188"/>
      <c r="F138" s="189"/>
      <c r="G138" s="190"/>
      <c r="H138" s="191"/>
      <c r="I138" s="191"/>
      <c r="J138" s="188"/>
      <c r="K138" s="191"/>
      <c r="L138" s="190"/>
      <c r="M138" s="190"/>
      <c r="N138" s="190"/>
      <c r="O138" s="202"/>
    </row>
    <row r="139" spans="1:15" x14ac:dyDescent="0.25">
      <c r="A139" s="185"/>
      <c r="B139" s="186"/>
      <c r="C139" s="186"/>
      <c r="D139" s="187"/>
      <c r="E139" s="188"/>
      <c r="F139" s="189"/>
      <c r="G139" s="190"/>
      <c r="H139" s="191"/>
      <c r="I139" s="191"/>
      <c r="J139" s="188"/>
      <c r="K139" s="191"/>
      <c r="L139" s="190"/>
      <c r="M139" s="190"/>
      <c r="N139" s="190"/>
      <c r="O139" s="202"/>
    </row>
    <row r="140" spans="1:15" x14ac:dyDescent="0.25">
      <c r="A140" s="185"/>
      <c r="B140" s="186"/>
      <c r="C140" s="186"/>
      <c r="D140" s="187"/>
      <c r="E140" s="188"/>
      <c r="F140" s="189"/>
      <c r="G140" s="190"/>
      <c r="H140" s="191"/>
      <c r="I140" s="191"/>
      <c r="J140" s="188"/>
      <c r="K140" s="191"/>
      <c r="L140" s="190"/>
      <c r="M140" s="190"/>
      <c r="N140" s="190"/>
      <c r="O140" s="202"/>
    </row>
    <row r="141" spans="1:15" x14ac:dyDescent="0.25">
      <c r="A141" s="185"/>
      <c r="B141" s="186"/>
      <c r="C141" s="186"/>
      <c r="D141" s="187"/>
      <c r="E141" s="188"/>
      <c r="F141" s="189"/>
      <c r="G141" s="190"/>
      <c r="H141" s="191"/>
      <c r="I141" s="191"/>
      <c r="J141" s="188"/>
      <c r="K141" s="191"/>
      <c r="L141" s="190"/>
      <c r="M141" s="190"/>
      <c r="N141" s="190"/>
      <c r="O141" s="202"/>
    </row>
    <row r="142" spans="1:15" x14ac:dyDescent="0.25">
      <c r="A142" s="185"/>
      <c r="B142" s="186"/>
      <c r="C142" s="186"/>
      <c r="D142" s="187"/>
      <c r="E142" s="188"/>
      <c r="F142" s="189"/>
      <c r="G142" s="190"/>
      <c r="H142" s="191"/>
      <c r="I142" s="191"/>
      <c r="J142" s="188"/>
      <c r="K142" s="191"/>
      <c r="L142" s="190"/>
      <c r="M142" s="190"/>
      <c r="N142" s="190"/>
      <c r="O142" s="202"/>
    </row>
    <row r="143" spans="1:15" x14ac:dyDescent="0.25">
      <c r="A143" s="185"/>
      <c r="B143" s="186"/>
      <c r="C143" s="186"/>
      <c r="D143" s="187"/>
      <c r="E143" s="188"/>
      <c r="F143" s="189"/>
      <c r="G143" s="190"/>
      <c r="H143" s="191"/>
      <c r="I143" s="191"/>
      <c r="J143" s="188"/>
      <c r="K143" s="191"/>
      <c r="L143" s="190"/>
      <c r="M143" s="190"/>
      <c r="N143" s="190"/>
      <c r="O143" s="202"/>
    </row>
    <row r="144" spans="1:15" x14ac:dyDescent="0.25">
      <c r="A144" s="185"/>
      <c r="B144" s="186"/>
      <c r="C144" s="186"/>
      <c r="D144" s="187"/>
      <c r="E144" s="188"/>
      <c r="F144" s="189"/>
      <c r="G144" s="190"/>
      <c r="H144" s="191"/>
      <c r="I144" s="191"/>
      <c r="J144" s="188"/>
      <c r="K144" s="191"/>
      <c r="L144" s="190"/>
      <c r="M144" s="190"/>
      <c r="N144" s="190"/>
      <c r="O144" s="202"/>
    </row>
    <row r="145" spans="1:15" x14ac:dyDescent="0.25">
      <c r="A145" s="185"/>
      <c r="B145" s="186"/>
      <c r="C145" s="186"/>
      <c r="D145" s="187"/>
      <c r="E145" s="188"/>
      <c r="F145" s="189"/>
      <c r="G145" s="190"/>
      <c r="H145" s="191"/>
      <c r="I145" s="191"/>
      <c r="J145" s="188"/>
      <c r="K145" s="191"/>
      <c r="L145" s="190"/>
      <c r="M145" s="190"/>
      <c r="N145" s="190"/>
      <c r="O145" s="202"/>
    </row>
    <row r="146" spans="1:15" x14ac:dyDescent="0.25">
      <c r="A146" s="185"/>
      <c r="B146" s="186"/>
      <c r="C146" s="186"/>
      <c r="D146" s="187"/>
      <c r="E146" s="188"/>
      <c r="F146" s="189"/>
      <c r="G146" s="190"/>
      <c r="H146" s="191"/>
      <c r="I146" s="191"/>
      <c r="J146" s="188"/>
      <c r="K146" s="191"/>
      <c r="L146" s="190"/>
      <c r="M146" s="190"/>
      <c r="N146" s="190"/>
      <c r="O146" s="202"/>
    </row>
    <row r="147" spans="1:15" x14ac:dyDescent="0.25">
      <c r="A147" s="185"/>
      <c r="B147" s="186"/>
      <c r="C147" s="186"/>
      <c r="D147" s="187"/>
      <c r="E147" s="188"/>
      <c r="F147" s="189"/>
      <c r="G147" s="190"/>
      <c r="H147" s="191"/>
      <c r="I147" s="191"/>
      <c r="J147" s="188"/>
      <c r="K147" s="191"/>
      <c r="L147" s="190"/>
      <c r="M147" s="190"/>
      <c r="N147" s="190"/>
      <c r="O147" s="202"/>
    </row>
    <row r="148" spans="1:15" x14ac:dyDescent="0.25">
      <c r="A148" s="185"/>
      <c r="B148" s="186"/>
      <c r="C148" s="186"/>
      <c r="D148" s="187"/>
      <c r="E148" s="188"/>
      <c r="F148" s="189"/>
      <c r="G148" s="190"/>
      <c r="H148" s="191"/>
      <c r="I148" s="191"/>
      <c r="J148" s="188"/>
      <c r="K148" s="191"/>
      <c r="L148" s="190"/>
      <c r="M148" s="190"/>
      <c r="N148" s="190"/>
      <c r="O148" s="202"/>
    </row>
    <row r="149" spans="1:15" x14ac:dyDescent="0.25">
      <c r="A149" s="185"/>
      <c r="B149" s="186"/>
      <c r="C149" s="186"/>
      <c r="D149" s="187"/>
      <c r="E149" s="188"/>
      <c r="F149" s="189"/>
      <c r="G149" s="190"/>
      <c r="H149" s="191"/>
      <c r="I149" s="191"/>
      <c r="J149" s="188"/>
      <c r="K149" s="191"/>
      <c r="L149" s="190"/>
      <c r="M149" s="190"/>
      <c r="N149" s="190"/>
      <c r="O149" s="202"/>
    </row>
    <row r="150" spans="1:15" x14ac:dyDescent="0.25">
      <c r="A150" s="185"/>
      <c r="B150" s="186"/>
      <c r="C150" s="186"/>
      <c r="D150" s="187"/>
      <c r="E150" s="188"/>
      <c r="F150" s="189"/>
      <c r="G150" s="190"/>
      <c r="H150" s="191"/>
      <c r="I150" s="191"/>
      <c r="J150" s="188"/>
      <c r="K150" s="191"/>
      <c r="L150" s="190"/>
      <c r="M150" s="190"/>
      <c r="N150" s="190"/>
      <c r="O150" s="202"/>
    </row>
    <row r="151" spans="1:15" x14ac:dyDescent="0.25">
      <c r="A151" s="185"/>
      <c r="B151" s="186"/>
      <c r="C151" s="186"/>
      <c r="D151" s="187"/>
      <c r="E151" s="188"/>
      <c r="F151" s="189"/>
      <c r="G151" s="190"/>
      <c r="H151" s="191"/>
      <c r="I151" s="191"/>
      <c r="J151" s="188"/>
      <c r="K151" s="191"/>
      <c r="L151" s="190"/>
      <c r="M151" s="190"/>
      <c r="N151" s="190"/>
      <c r="O151" s="202"/>
    </row>
    <row r="152" spans="1:15" x14ac:dyDescent="0.25">
      <c r="A152" s="185"/>
      <c r="B152" s="186"/>
      <c r="C152" s="186"/>
      <c r="D152" s="187"/>
      <c r="E152" s="188"/>
      <c r="F152" s="189"/>
      <c r="G152" s="190"/>
      <c r="H152" s="191"/>
      <c r="I152" s="191"/>
      <c r="J152" s="188"/>
      <c r="K152" s="191"/>
      <c r="L152" s="190"/>
      <c r="M152" s="190"/>
      <c r="N152" s="190"/>
      <c r="O152" s="202"/>
    </row>
    <row r="153" spans="1:15" x14ac:dyDescent="0.25">
      <c r="A153" s="185"/>
      <c r="B153" s="186"/>
      <c r="C153" s="186"/>
      <c r="D153" s="187"/>
      <c r="E153" s="188"/>
      <c r="F153" s="189"/>
      <c r="G153" s="190"/>
      <c r="H153" s="191"/>
      <c r="I153" s="191"/>
      <c r="J153" s="188"/>
      <c r="K153" s="191"/>
      <c r="L153" s="190"/>
      <c r="M153" s="190"/>
      <c r="N153" s="190"/>
      <c r="O153" s="202"/>
    </row>
    <row r="154" spans="1:15" x14ac:dyDescent="0.25">
      <c r="A154" s="185"/>
      <c r="D154" s="201"/>
      <c r="E154" s="194"/>
      <c r="F154" s="167"/>
      <c r="I154" s="143"/>
      <c r="J154" s="194"/>
      <c r="O154" s="202"/>
    </row>
    <row r="155" spans="1:15" x14ac:dyDescent="0.25">
      <c r="A155" s="185"/>
      <c r="O155" s="202"/>
    </row>
    <row r="156" spans="1:15" x14ac:dyDescent="0.25">
      <c r="A156" s="174"/>
      <c r="B156" s="175"/>
      <c r="C156" s="175"/>
      <c r="D156" s="175"/>
      <c r="E156" s="179"/>
      <c r="F156" s="179"/>
      <c r="G156" s="179"/>
      <c r="H156" s="180"/>
      <c r="I156" s="179"/>
      <c r="J156" s="179"/>
      <c r="K156" s="180"/>
      <c r="L156" s="179"/>
      <c r="M156" s="179"/>
      <c r="N156" s="179"/>
      <c r="O156" s="203"/>
    </row>
  </sheetData>
  <mergeCells count="3">
    <mergeCell ref="B113:D113"/>
    <mergeCell ref="B114:D114"/>
    <mergeCell ref="B115:C115"/>
  </mergeCells>
  <phoneticPr fontId="58" type="noConversion"/>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J26"/>
  <sheetViews>
    <sheetView showGridLines="0" workbookViewId="0">
      <selection activeCell="G36" sqref="F36:G37"/>
    </sheetView>
  </sheetViews>
  <sheetFormatPr defaultColWidth="9" defaultRowHeight="15" x14ac:dyDescent="0.15"/>
  <cols>
    <col min="1" max="1" width="1.875" style="117" customWidth="1"/>
    <col min="2" max="2" width="9" style="117"/>
    <col min="3" max="3" width="16.375" style="117" customWidth="1"/>
    <col min="4" max="4" width="12.375" style="117" customWidth="1"/>
    <col min="5" max="9" width="10.75" style="117" customWidth="1"/>
    <col min="10" max="10" width="5.25" style="117" customWidth="1"/>
    <col min="11" max="16384" width="9" style="117"/>
  </cols>
  <sheetData>
    <row r="1" spans="1:10" x14ac:dyDescent="0.25">
      <c r="A1" s="118"/>
    </row>
    <row r="2" spans="1:10" x14ac:dyDescent="0.25">
      <c r="A2" s="118"/>
      <c r="B2" s="119"/>
    </row>
    <row r="3" spans="1:10" x14ac:dyDescent="0.25">
      <c r="A3" s="118"/>
      <c r="B3" s="120"/>
      <c r="C3" s="121"/>
      <c r="D3" s="122"/>
      <c r="E3" s="122"/>
      <c r="F3" s="122"/>
      <c r="G3" s="122"/>
      <c r="H3" s="122"/>
      <c r="I3" s="122"/>
      <c r="J3" s="135"/>
    </row>
    <row r="4" spans="1:10" x14ac:dyDescent="0.25">
      <c r="A4" s="118"/>
      <c r="B4" s="123"/>
      <c r="C4" s="124"/>
      <c r="J4" s="136"/>
    </row>
    <row r="5" spans="1:10" x14ac:dyDescent="0.25">
      <c r="A5" s="118"/>
      <c r="B5" s="125"/>
      <c r="C5" s="498" t="s">
        <v>265</v>
      </c>
      <c r="D5" s="126" t="s">
        <v>266</v>
      </c>
      <c r="E5" s="126" t="s">
        <v>267</v>
      </c>
      <c r="F5" s="126" t="s">
        <v>268</v>
      </c>
      <c r="G5" s="126" t="s">
        <v>269</v>
      </c>
      <c r="H5" s="127"/>
      <c r="I5" s="127"/>
      <c r="J5" s="137"/>
    </row>
    <row r="6" spans="1:10" x14ac:dyDescent="0.25">
      <c r="A6" s="118"/>
      <c r="B6" s="125"/>
      <c r="C6" s="498"/>
      <c r="D6" s="128" t="s">
        <v>182</v>
      </c>
      <c r="E6" s="96">
        <v>1</v>
      </c>
      <c r="F6" s="96">
        <v>0.97599999999999998</v>
      </c>
      <c r="G6" s="96">
        <v>97.59</v>
      </c>
      <c r="H6" s="127"/>
      <c r="I6" s="127"/>
      <c r="J6" s="137"/>
    </row>
    <row r="7" spans="1:10" ht="15.75" customHeight="1" x14ac:dyDescent="0.25">
      <c r="A7" s="118"/>
      <c r="B7" s="125"/>
      <c r="C7" s="498"/>
      <c r="D7" s="128" t="s">
        <v>184</v>
      </c>
      <c r="E7" s="96">
        <v>2</v>
      </c>
      <c r="F7" s="96">
        <v>2.0099999999999998</v>
      </c>
      <c r="G7" s="96">
        <v>100.64</v>
      </c>
      <c r="H7" s="127"/>
      <c r="I7" s="127"/>
      <c r="J7" s="137"/>
    </row>
    <row r="8" spans="1:10" x14ac:dyDescent="0.25">
      <c r="A8" s="118"/>
      <c r="B8" s="125"/>
      <c r="C8" s="498"/>
      <c r="D8" s="128" t="s">
        <v>185</v>
      </c>
      <c r="E8" s="96">
        <v>5</v>
      </c>
      <c r="F8" s="96">
        <v>5.59</v>
      </c>
      <c r="G8" s="96">
        <v>111.79</v>
      </c>
      <c r="H8" s="127"/>
      <c r="I8" s="127"/>
      <c r="J8" s="137"/>
    </row>
    <row r="9" spans="1:10" x14ac:dyDescent="0.25">
      <c r="A9" s="118"/>
      <c r="B9" s="125"/>
      <c r="C9" s="498"/>
      <c r="D9" s="128" t="s">
        <v>186</v>
      </c>
      <c r="E9" s="96">
        <v>20</v>
      </c>
      <c r="F9" s="96">
        <v>18.7</v>
      </c>
      <c r="G9" s="96">
        <v>93.58</v>
      </c>
      <c r="H9" s="127"/>
      <c r="I9" s="127"/>
      <c r="J9" s="137"/>
    </row>
    <row r="10" spans="1:10" ht="15.75" customHeight="1" x14ac:dyDescent="0.25">
      <c r="A10" s="118"/>
      <c r="B10" s="125"/>
      <c r="C10" s="498"/>
      <c r="D10" s="128" t="s">
        <v>187</v>
      </c>
      <c r="E10" s="96">
        <v>100</v>
      </c>
      <c r="F10" s="96">
        <v>107</v>
      </c>
      <c r="G10" s="96">
        <v>106.88</v>
      </c>
      <c r="H10" s="127"/>
      <c r="I10" s="127"/>
      <c r="J10" s="137"/>
    </row>
    <row r="11" spans="1:10" x14ac:dyDescent="0.25">
      <c r="A11" s="118"/>
      <c r="B11" s="125"/>
      <c r="C11" s="498"/>
      <c r="D11" s="128" t="s">
        <v>188</v>
      </c>
      <c r="E11" s="96">
        <v>500</v>
      </c>
      <c r="F11" s="96">
        <v>462</v>
      </c>
      <c r="G11" s="96">
        <v>92.48</v>
      </c>
      <c r="H11" s="127"/>
      <c r="I11" s="127"/>
      <c r="J11" s="137"/>
    </row>
    <row r="12" spans="1:10" x14ac:dyDescent="0.25">
      <c r="A12" s="118"/>
      <c r="B12" s="125"/>
      <c r="C12" s="498"/>
      <c r="D12" s="128" t="s">
        <v>189</v>
      </c>
      <c r="E12" s="96">
        <v>1000</v>
      </c>
      <c r="F12" s="96">
        <v>1040</v>
      </c>
      <c r="G12" s="96">
        <v>103.76</v>
      </c>
      <c r="H12" s="127"/>
      <c r="I12" s="127"/>
      <c r="J12" s="137"/>
    </row>
    <row r="13" spans="1:10" x14ac:dyDescent="0.25">
      <c r="A13" s="118"/>
      <c r="B13" s="125"/>
      <c r="C13" s="498"/>
      <c r="D13" s="128" t="s">
        <v>190</v>
      </c>
      <c r="E13" s="96">
        <v>2000</v>
      </c>
      <c r="F13" s="96">
        <v>1870</v>
      </c>
      <c r="G13" s="96">
        <v>93.27</v>
      </c>
      <c r="H13" s="127"/>
      <c r="I13" s="127"/>
      <c r="J13" s="137"/>
    </row>
    <row r="14" spans="1:10" ht="15" customHeight="1" x14ac:dyDescent="0.25">
      <c r="A14" s="118"/>
      <c r="B14" s="125"/>
      <c r="C14" s="129"/>
      <c r="J14" s="137"/>
    </row>
    <row r="15" spans="1:10" x14ac:dyDescent="0.25">
      <c r="A15" s="118"/>
      <c r="B15" s="125"/>
      <c r="C15" s="499" t="s">
        <v>270</v>
      </c>
      <c r="D15" s="496" t="s">
        <v>266</v>
      </c>
      <c r="E15" s="496" t="s">
        <v>267</v>
      </c>
      <c r="F15" s="494" t="s">
        <v>268</v>
      </c>
      <c r="G15" s="495"/>
      <c r="H15" s="496" t="s">
        <v>271</v>
      </c>
      <c r="I15" s="496"/>
      <c r="J15" s="137"/>
    </row>
    <row r="16" spans="1:10" x14ac:dyDescent="0.25">
      <c r="A16" s="118"/>
      <c r="B16" s="125"/>
      <c r="C16" s="499"/>
      <c r="D16" s="496"/>
      <c r="E16" s="496"/>
      <c r="F16" s="130">
        <v>1</v>
      </c>
      <c r="G16" s="130">
        <v>2</v>
      </c>
      <c r="H16" s="130">
        <v>1</v>
      </c>
      <c r="I16" s="130">
        <v>2</v>
      </c>
      <c r="J16" s="137"/>
    </row>
    <row r="17" spans="1:10" x14ac:dyDescent="0.25">
      <c r="A17" s="118"/>
      <c r="B17" s="125"/>
      <c r="C17" s="499"/>
      <c r="D17" s="128" t="s">
        <v>272</v>
      </c>
      <c r="E17" s="96">
        <v>3</v>
      </c>
      <c r="F17" s="96">
        <v>2.76</v>
      </c>
      <c r="G17" s="96">
        <v>3.82</v>
      </c>
      <c r="H17" s="96">
        <v>92.09</v>
      </c>
      <c r="I17" s="96">
        <v>127.49</v>
      </c>
      <c r="J17" s="137"/>
    </row>
    <row r="18" spans="1:10" x14ac:dyDescent="0.25">
      <c r="A18" s="118"/>
      <c r="B18" s="125"/>
      <c r="C18" s="499"/>
      <c r="D18" s="128" t="s">
        <v>273</v>
      </c>
      <c r="E18" s="96">
        <v>60</v>
      </c>
      <c r="F18" s="96">
        <v>52.6</v>
      </c>
      <c r="G18" s="96">
        <v>59.7</v>
      </c>
      <c r="H18" s="96">
        <v>87.73</v>
      </c>
      <c r="I18" s="96">
        <v>119.46</v>
      </c>
      <c r="J18" s="137"/>
    </row>
    <row r="19" spans="1:10" x14ac:dyDescent="0.25">
      <c r="A19" s="118"/>
      <c r="B19" s="125"/>
      <c r="C19" s="499"/>
      <c r="D19" s="128" t="s">
        <v>274</v>
      </c>
      <c r="E19" s="96">
        <v>1600</v>
      </c>
      <c r="F19" s="96">
        <v>1690</v>
      </c>
      <c r="G19" s="96">
        <v>1860</v>
      </c>
      <c r="H19" s="96">
        <v>105.39</v>
      </c>
      <c r="I19" s="96">
        <v>116.22</v>
      </c>
      <c r="J19" s="137"/>
    </row>
    <row r="20" spans="1:10" x14ac:dyDescent="0.25">
      <c r="A20" s="118"/>
      <c r="B20" s="125"/>
      <c r="C20" s="499"/>
      <c r="D20" s="500" t="s">
        <v>275</v>
      </c>
      <c r="E20" s="96">
        <v>10000</v>
      </c>
      <c r="F20" s="96">
        <v>8740</v>
      </c>
      <c r="G20" s="503" t="s">
        <v>276</v>
      </c>
      <c r="H20" s="96">
        <v>87.39</v>
      </c>
      <c r="I20" s="506" t="s">
        <v>276</v>
      </c>
      <c r="J20" s="137"/>
    </row>
    <row r="21" spans="1:10" x14ac:dyDescent="0.25">
      <c r="A21" s="118"/>
      <c r="B21" s="125"/>
      <c r="C21" s="499"/>
      <c r="D21" s="501"/>
      <c r="E21" s="96">
        <v>10000</v>
      </c>
      <c r="F21" s="96">
        <v>9570</v>
      </c>
      <c r="G21" s="504"/>
      <c r="H21" s="96">
        <v>95.71</v>
      </c>
      <c r="I21" s="506"/>
      <c r="J21" s="137"/>
    </row>
    <row r="22" spans="1:10" x14ac:dyDescent="0.25">
      <c r="A22" s="118"/>
      <c r="B22" s="125"/>
      <c r="C22" s="499"/>
      <c r="D22" s="502"/>
      <c r="E22" s="96">
        <v>10000</v>
      </c>
      <c r="F22" s="96">
        <v>10200</v>
      </c>
      <c r="G22" s="505"/>
      <c r="H22" s="96">
        <v>102.17</v>
      </c>
      <c r="I22" s="506"/>
      <c r="J22" s="137"/>
    </row>
    <row r="23" spans="1:10" ht="13.15" customHeight="1" x14ac:dyDescent="0.2">
      <c r="B23" s="125"/>
      <c r="D23" s="131"/>
      <c r="E23" s="131"/>
      <c r="F23" s="131"/>
      <c r="G23" s="131"/>
      <c r="H23" s="131"/>
      <c r="I23" s="131"/>
      <c r="J23" s="137"/>
    </row>
    <row r="24" spans="1:10" ht="10.9" customHeight="1" x14ac:dyDescent="0.2">
      <c r="B24" s="125"/>
      <c r="D24" s="131"/>
      <c r="E24" s="131"/>
      <c r="F24" s="131"/>
      <c r="G24" s="131"/>
      <c r="H24" s="131"/>
      <c r="I24" s="131"/>
      <c r="J24" s="137"/>
    </row>
    <row r="25" spans="1:10" ht="60.95" customHeight="1" x14ac:dyDescent="0.15">
      <c r="B25" s="132"/>
      <c r="C25" s="497" t="s">
        <v>277</v>
      </c>
      <c r="D25" s="497"/>
      <c r="E25" s="497"/>
      <c r="F25" s="497"/>
      <c r="G25" s="497"/>
      <c r="H25" s="497"/>
      <c r="I25" s="497"/>
      <c r="J25" s="136"/>
    </row>
    <row r="26" spans="1:10" x14ac:dyDescent="0.15">
      <c r="B26" s="133"/>
      <c r="C26" s="134"/>
      <c r="D26" s="134"/>
      <c r="E26" s="134"/>
      <c r="F26" s="134"/>
      <c r="G26" s="134"/>
      <c r="H26" s="134"/>
      <c r="I26" s="134"/>
      <c r="J26" s="138"/>
    </row>
  </sheetData>
  <mergeCells count="10">
    <mergeCell ref="F15:G15"/>
    <mergeCell ref="H15:I15"/>
    <mergeCell ref="C25:I25"/>
    <mergeCell ref="C5:C13"/>
    <mergeCell ref="C15:C22"/>
    <mergeCell ref="D15:D16"/>
    <mergeCell ref="D20:D22"/>
    <mergeCell ref="E15:E16"/>
    <mergeCell ref="G20:G22"/>
    <mergeCell ref="I20:I22"/>
  </mergeCells>
  <phoneticPr fontId="5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Views>
    <sheetView showGridLines="0" workbookViewId="0">
      <selection activeCell="K27" sqref="K27"/>
    </sheetView>
  </sheetViews>
  <sheetFormatPr defaultColWidth="9" defaultRowHeight="15" x14ac:dyDescent="0.25"/>
  <cols>
    <col min="1" max="1" width="2.625" style="82" customWidth="1"/>
    <col min="2" max="2" width="12.375" style="82" customWidth="1"/>
    <col min="3" max="3" width="19.25" style="82" customWidth="1"/>
    <col min="4" max="4" width="13.125" style="82" customWidth="1"/>
    <col min="5" max="5" width="14.375" style="82" customWidth="1"/>
    <col min="6" max="6" width="12.375" style="82" customWidth="1"/>
    <col min="7" max="7" width="13.875" style="82" customWidth="1"/>
    <col min="8" max="8" width="13.875" style="85" customWidth="1"/>
    <col min="9" max="9" width="22.25" style="82" customWidth="1"/>
    <col min="10" max="10" width="12.375" style="82" customWidth="1"/>
    <col min="11" max="12" width="14.375" style="82" customWidth="1"/>
    <col min="13" max="13" width="15.375" style="82" customWidth="1"/>
    <col min="14" max="14" width="22.375" style="82" customWidth="1"/>
    <col min="15" max="15" width="9" style="82"/>
    <col min="16" max="16384" width="9" style="86"/>
  </cols>
  <sheetData>
    <row r="1" spans="2:15" x14ac:dyDescent="0.25">
      <c r="B1" s="87"/>
      <c r="C1" s="88"/>
      <c r="D1" s="87"/>
      <c r="E1" s="87"/>
      <c r="F1" s="87"/>
      <c r="G1" s="87"/>
      <c r="H1" s="87"/>
      <c r="I1" s="87"/>
      <c r="J1" s="87"/>
      <c r="K1" s="87"/>
      <c r="L1" s="87"/>
    </row>
    <row r="2" spans="2:15" s="82" customFormat="1" x14ac:dyDescent="0.25">
      <c r="B2" s="89" t="s">
        <v>278</v>
      </c>
      <c r="C2" s="88"/>
      <c r="D2" s="88"/>
      <c r="E2" s="88"/>
      <c r="F2" s="88"/>
      <c r="G2" s="88"/>
      <c r="H2" s="88"/>
      <c r="I2" s="88"/>
      <c r="J2" s="88"/>
      <c r="K2" s="88"/>
      <c r="L2" s="88"/>
      <c r="M2" s="106"/>
      <c r="N2" s="107"/>
    </row>
    <row r="3" spans="2:15" s="82" customFormat="1" x14ac:dyDescent="0.25">
      <c r="B3" s="90" t="s">
        <v>279</v>
      </c>
      <c r="C3" s="87" t="s">
        <v>280</v>
      </c>
      <c r="D3" s="87"/>
      <c r="E3" s="87"/>
      <c r="F3" s="87"/>
      <c r="G3" s="87"/>
      <c r="H3" s="87"/>
      <c r="I3" s="87"/>
      <c r="J3" s="87"/>
      <c r="K3" s="87"/>
      <c r="L3" s="87"/>
      <c r="M3" s="87"/>
      <c r="N3" s="108"/>
    </row>
    <row r="4" spans="2:15" s="82" customFormat="1" x14ac:dyDescent="0.25">
      <c r="B4" s="91"/>
      <c r="C4" s="87" t="s">
        <v>281</v>
      </c>
      <c r="D4" s="87"/>
      <c r="E4" s="87"/>
      <c r="F4" s="87"/>
      <c r="G4" s="87"/>
      <c r="H4" s="87"/>
      <c r="I4" s="87"/>
      <c r="J4" s="87"/>
      <c r="K4" s="87"/>
      <c r="L4" s="87"/>
      <c r="M4" s="87"/>
      <c r="N4" s="108"/>
    </row>
    <row r="5" spans="2:15" s="59" customFormat="1" x14ac:dyDescent="0.25">
      <c r="B5" s="91"/>
      <c r="C5" s="87" t="s">
        <v>282</v>
      </c>
      <c r="D5" s="87"/>
      <c r="E5" s="87"/>
      <c r="F5" s="87"/>
      <c r="G5" s="87"/>
      <c r="H5" s="87"/>
      <c r="I5" s="87"/>
      <c r="J5" s="87"/>
      <c r="K5" s="87"/>
      <c r="L5" s="87"/>
      <c r="M5" s="87"/>
      <c r="N5" s="108"/>
    </row>
    <row r="6" spans="2:15" s="83" customFormat="1" ht="44.1" customHeight="1" x14ac:dyDescent="0.25">
      <c r="B6" s="91"/>
      <c r="C6" s="510" t="s">
        <v>283</v>
      </c>
      <c r="D6" s="510"/>
      <c r="E6" s="510"/>
      <c r="F6" s="510"/>
      <c r="G6" s="510"/>
      <c r="H6" s="510"/>
      <c r="I6" s="510"/>
      <c r="J6" s="87"/>
      <c r="K6" s="87"/>
      <c r="L6" s="87"/>
      <c r="M6" s="87"/>
      <c r="N6" s="109"/>
    </row>
    <row r="7" spans="2:15" s="83" customFormat="1" ht="18" customHeight="1" x14ac:dyDescent="0.25">
      <c r="B7" s="91"/>
      <c r="C7" s="92"/>
      <c r="D7" s="92"/>
      <c r="E7" s="92"/>
      <c r="F7" s="92"/>
      <c r="G7" s="92"/>
      <c r="H7" s="92"/>
      <c r="I7" s="92"/>
      <c r="J7" s="87"/>
      <c r="K7" s="87"/>
      <c r="L7" s="87"/>
      <c r="M7" s="87"/>
      <c r="N7" s="109"/>
    </row>
    <row r="8" spans="2:15" s="82" customFormat="1" ht="30" x14ac:dyDescent="0.25">
      <c r="B8" s="93"/>
      <c r="C8" s="94" t="s">
        <v>46</v>
      </c>
      <c r="D8" s="94" t="s">
        <v>284</v>
      </c>
      <c r="E8" s="94" t="s">
        <v>285</v>
      </c>
      <c r="F8" s="94" t="s">
        <v>286</v>
      </c>
      <c r="G8" s="94" t="s">
        <v>287</v>
      </c>
      <c r="H8" s="94" t="s">
        <v>288</v>
      </c>
      <c r="I8" s="94" t="s">
        <v>289</v>
      </c>
      <c r="J8" s="94" t="s">
        <v>290</v>
      </c>
      <c r="K8" s="110" t="s">
        <v>291</v>
      </c>
      <c r="L8" s="110" t="s">
        <v>292</v>
      </c>
      <c r="M8" s="111"/>
      <c r="N8" s="108"/>
    </row>
    <row r="9" spans="2:15" s="82" customFormat="1" x14ac:dyDescent="0.25">
      <c r="B9" s="93"/>
      <c r="C9" s="511" t="s">
        <v>4</v>
      </c>
      <c r="D9" s="513" t="s">
        <v>37</v>
      </c>
      <c r="E9" s="514">
        <v>0.2</v>
      </c>
      <c r="F9" s="95">
        <v>40000</v>
      </c>
      <c r="G9" s="96">
        <v>5.76</v>
      </c>
      <c r="H9" s="97">
        <f t="shared" ref="H9:H14" si="0">G9*F9/1000000</f>
        <v>0.23039999999999999</v>
      </c>
      <c r="I9" s="515">
        <f>AVERAGE(H9:H11)</f>
        <v>0.21706666666666666</v>
      </c>
      <c r="J9" s="507">
        <f>(I9-E9)/E9*100</f>
        <v>8.5333333333333226</v>
      </c>
      <c r="K9" s="508">
        <f>STDEV(H9:H11)/I9*100</f>
        <v>6.5782197275578476</v>
      </c>
      <c r="L9" s="509" t="s">
        <v>293</v>
      </c>
      <c r="M9" s="111"/>
      <c r="N9" s="108"/>
      <c r="O9" s="112"/>
    </row>
    <row r="10" spans="2:15" s="82" customFormat="1" x14ac:dyDescent="0.25">
      <c r="B10" s="93"/>
      <c r="C10" s="511"/>
      <c r="D10" s="513"/>
      <c r="E10" s="514"/>
      <c r="F10" s="95">
        <v>40000</v>
      </c>
      <c r="G10" s="96">
        <v>5.47</v>
      </c>
      <c r="H10" s="97">
        <f t="shared" si="0"/>
        <v>0.21879999999999999</v>
      </c>
      <c r="I10" s="515"/>
      <c r="J10" s="507"/>
      <c r="K10" s="508"/>
      <c r="L10" s="509"/>
      <c r="M10" s="111"/>
      <c r="N10" s="108"/>
      <c r="O10" s="112"/>
    </row>
    <row r="11" spans="2:15" s="82" customFormat="1" x14ac:dyDescent="0.25">
      <c r="B11" s="93"/>
      <c r="C11" s="511"/>
      <c r="D11" s="513"/>
      <c r="E11" s="514"/>
      <c r="F11" s="95">
        <v>40000</v>
      </c>
      <c r="G11" s="96">
        <v>5.05</v>
      </c>
      <c r="H11" s="97">
        <f t="shared" si="0"/>
        <v>0.20200000000000001</v>
      </c>
      <c r="I11" s="515"/>
      <c r="J11" s="507"/>
      <c r="K11" s="508"/>
      <c r="L11" s="509"/>
      <c r="M11" s="111"/>
      <c r="N11" s="108"/>
      <c r="O11" s="112"/>
    </row>
    <row r="12" spans="2:15" s="82" customFormat="1" x14ac:dyDescent="0.25">
      <c r="B12" s="93"/>
      <c r="C12" s="511"/>
      <c r="D12" s="513" t="s">
        <v>43</v>
      </c>
      <c r="E12" s="514">
        <v>1</v>
      </c>
      <c r="F12" s="95">
        <v>40000</v>
      </c>
      <c r="G12" s="96">
        <v>19.600000000000001</v>
      </c>
      <c r="H12" s="97">
        <f t="shared" si="0"/>
        <v>0.78400000000000003</v>
      </c>
      <c r="I12" s="515">
        <f>AVERAGE(H12:H14)</f>
        <v>0.81866666666666665</v>
      </c>
      <c r="J12" s="507">
        <f>(I12-E12)/E12*100</f>
        <v>-18.133333333333333</v>
      </c>
      <c r="K12" s="508">
        <f>STDEV(H12:H14)/I12*100</f>
        <v>3.9493015156293581</v>
      </c>
      <c r="L12" s="509" t="s">
        <v>293</v>
      </c>
      <c r="M12" s="111"/>
      <c r="N12" s="108"/>
    </row>
    <row r="13" spans="2:15" s="82" customFormat="1" x14ac:dyDescent="0.25">
      <c r="B13" s="93"/>
      <c r="C13" s="511"/>
      <c r="D13" s="513"/>
      <c r="E13" s="514"/>
      <c r="F13" s="95">
        <v>40000</v>
      </c>
      <c r="G13" s="96">
        <v>21.2</v>
      </c>
      <c r="H13" s="97">
        <f t="shared" si="0"/>
        <v>0.84799999999999998</v>
      </c>
      <c r="I13" s="515"/>
      <c r="J13" s="507"/>
      <c r="K13" s="508"/>
      <c r="L13" s="509"/>
      <c r="M13" s="111"/>
      <c r="N13" s="108"/>
    </row>
    <row r="14" spans="2:15" s="82" customFormat="1" x14ac:dyDescent="0.25">
      <c r="B14" s="93"/>
      <c r="C14" s="512"/>
      <c r="D14" s="513"/>
      <c r="E14" s="514"/>
      <c r="F14" s="95">
        <v>40000</v>
      </c>
      <c r="G14" s="96">
        <v>20.6</v>
      </c>
      <c r="H14" s="97">
        <f t="shared" si="0"/>
        <v>0.82399999999999995</v>
      </c>
      <c r="I14" s="515"/>
      <c r="J14" s="507"/>
      <c r="K14" s="508"/>
      <c r="L14" s="509"/>
      <c r="M14" s="111"/>
      <c r="N14" s="108"/>
    </row>
    <row r="15" spans="2:15" s="82" customFormat="1" x14ac:dyDescent="0.25">
      <c r="B15" s="93"/>
      <c r="C15" s="98"/>
      <c r="D15" s="99"/>
      <c r="E15" s="100"/>
      <c r="F15" s="99"/>
      <c r="G15" s="101"/>
      <c r="H15" s="102"/>
      <c r="I15" s="102"/>
      <c r="J15" s="113"/>
      <c r="K15" s="114"/>
      <c r="L15" s="114"/>
      <c r="M15" s="111"/>
      <c r="N15" s="108"/>
    </row>
    <row r="16" spans="2:15" s="82" customFormat="1" x14ac:dyDescent="0.25">
      <c r="B16" s="93"/>
      <c r="C16" s="98" t="s">
        <v>294</v>
      </c>
      <c r="D16" s="99"/>
      <c r="E16" s="100"/>
      <c r="F16" s="99"/>
      <c r="G16" s="101"/>
      <c r="H16" s="102"/>
      <c r="I16" s="102"/>
      <c r="J16" s="113"/>
      <c r="K16" s="114"/>
      <c r="L16" s="114"/>
      <c r="M16" s="111"/>
      <c r="N16" s="108"/>
    </row>
    <row r="17" spans="2:14" s="84" customFormat="1" x14ac:dyDescent="0.25">
      <c r="B17" s="103"/>
      <c r="C17" s="104" t="s">
        <v>295</v>
      </c>
      <c r="D17" s="105"/>
      <c r="E17" s="105"/>
      <c r="F17" s="105"/>
      <c r="G17" s="105"/>
      <c r="H17" s="105"/>
      <c r="I17" s="105"/>
      <c r="J17" s="105"/>
      <c r="K17" s="105"/>
      <c r="L17" s="105"/>
      <c r="M17" s="115"/>
      <c r="N17" s="116"/>
    </row>
  </sheetData>
  <mergeCells count="14">
    <mergeCell ref="C6:I6"/>
    <mergeCell ref="C9:C14"/>
    <mergeCell ref="D9:D11"/>
    <mergeCell ref="D12:D14"/>
    <mergeCell ref="E9:E11"/>
    <mergeCell ref="E12:E14"/>
    <mergeCell ref="I9:I11"/>
    <mergeCell ref="I12:I14"/>
    <mergeCell ref="J9:J11"/>
    <mergeCell ref="J12:J14"/>
    <mergeCell ref="K9:K11"/>
    <mergeCell ref="K12:K14"/>
    <mergeCell ref="L9:L11"/>
    <mergeCell ref="L12:L14"/>
  </mergeCells>
  <phoneticPr fontId="58"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J36"/>
  <sheetViews>
    <sheetView showGridLines="0" zoomScale="90" zoomScaleNormal="90" workbookViewId="0">
      <selection activeCell="L31" sqref="L31"/>
    </sheetView>
  </sheetViews>
  <sheetFormatPr defaultColWidth="9" defaultRowHeight="15" x14ac:dyDescent="0.15"/>
  <cols>
    <col min="1" max="1" width="2.625" style="46" customWidth="1"/>
    <col min="2" max="2" width="19.375" style="46" customWidth="1"/>
    <col min="3" max="3" width="14.125" style="46" customWidth="1"/>
    <col min="4" max="4" width="32.375" style="46" customWidth="1"/>
    <col min="5" max="8" width="10.375" style="46" customWidth="1"/>
    <col min="9" max="9" width="17" style="46" customWidth="1"/>
    <col min="10" max="10" width="14.375" style="46" customWidth="1"/>
    <col min="11" max="214" width="9" style="46"/>
    <col min="215" max="215" width="11.375" style="46" customWidth="1"/>
    <col min="216" max="216" width="17.875" style="46" customWidth="1"/>
    <col min="217" max="217" width="19" style="46" customWidth="1"/>
    <col min="218" max="218" width="22.875" style="46" customWidth="1"/>
    <col min="219" max="219" width="12.625" style="46" customWidth="1"/>
    <col min="220" max="470" width="9" style="46"/>
    <col min="471" max="471" width="11.375" style="46" customWidth="1"/>
    <col min="472" max="472" width="17.875" style="46" customWidth="1"/>
    <col min="473" max="473" width="19" style="46" customWidth="1"/>
    <col min="474" max="474" width="22.875" style="46" customWidth="1"/>
    <col min="475" max="475" width="12.625" style="46" customWidth="1"/>
    <col min="476" max="726" width="9" style="46"/>
    <col min="727" max="727" width="11.375" style="46" customWidth="1"/>
    <col min="728" max="728" width="17.875" style="46" customWidth="1"/>
    <col min="729" max="729" width="19" style="46" customWidth="1"/>
    <col min="730" max="730" width="22.875" style="46" customWidth="1"/>
    <col min="731" max="731" width="12.625" style="46" customWidth="1"/>
    <col min="732" max="982" width="9" style="46"/>
    <col min="983" max="983" width="11.375" style="46" customWidth="1"/>
    <col min="984" max="984" width="17.875" style="46" customWidth="1"/>
    <col min="985" max="985" width="19" style="46" customWidth="1"/>
    <col min="986" max="986" width="22.875" style="46" customWidth="1"/>
    <col min="987" max="987" width="12.625" style="46" customWidth="1"/>
    <col min="988" max="1238" width="9" style="46"/>
    <col min="1239" max="1239" width="11.375" style="46" customWidth="1"/>
    <col min="1240" max="1240" width="17.875" style="46" customWidth="1"/>
    <col min="1241" max="1241" width="19" style="46" customWidth="1"/>
    <col min="1242" max="1242" width="22.875" style="46" customWidth="1"/>
    <col min="1243" max="1243" width="12.625" style="46" customWidth="1"/>
    <col min="1244" max="1494" width="9" style="46"/>
    <col min="1495" max="1495" width="11.375" style="46" customWidth="1"/>
    <col min="1496" max="1496" width="17.875" style="46" customWidth="1"/>
    <col min="1497" max="1497" width="19" style="46" customWidth="1"/>
    <col min="1498" max="1498" width="22.875" style="46" customWidth="1"/>
    <col min="1499" max="1499" width="12.625" style="46" customWidth="1"/>
    <col min="1500" max="1750" width="9" style="46"/>
    <col min="1751" max="1751" width="11.375" style="46" customWidth="1"/>
    <col min="1752" max="1752" width="17.875" style="46" customWidth="1"/>
    <col min="1753" max="1753" width="19" style="46" customWidth="1"/>
    <col min="1754" max="1754" width="22.875" style="46" customWidth="1"/>
    <col min="1755" max="1755" width="12.625" style="46" customWidth="1"/>
    <col min="1756" max="2006" width="9" style="46"/>
    <col min="2007" max="2007" width="11.375" style="46" customWidth="1"/>
    <col min="2008" max="2008" width="17.875" style="46" customWidth="1"/>
    <col min="2009" max="2009" width="19" style="46" customWidth="1"/>
    <col min="2010" max="2010" width="22.875" style="46" customWidth="1"/>
    <col min="2011" max="2011" width="12.625" style="46" customWidth="1"/>
    <col min="2012" max="2262" width="9" style="46"/>
    <col min="2263" max="2263" width="11.375" style="46" customWidth="1"/>
    <col min="2264" max="2264" width="17.875" style="46" customWidth="1"/>
    <col min="2265" max="2265" width="19" style="46" customWidth="1"/>
    <col min="2266" max="2266" width="22.875" style="46" customWidth="1"/>
    <col min="2267" max="2267" width="12.625" style="46" customWidth="1"/>
    <col min="2268" max="2518" width="9" style="46"/>
    <col min="2519" max="2519" width="11.375" style="46" customWidth="1"/>
    <col min="2520" max="2520" width="17.875" style="46" customWidth="1"/>
    <col min="2521" max="2521" width="19" style="46" customWidth="1"/>
    <col min="2522" max="2522" width="22.875" style="46" customWidth="1"/>
    <col min="2523" max="2523" width="12.625" style="46" customWidth="1"/>
    <col min="2524" max="2774" width="9" style="46"/>
    <col min="2775" max="2775" width="11.375" style="46" customWidth="1"/>
    <col min="2776" max="2776" width="17.875" style="46" customWidth="1"/>
    <col min="2777" max="2777" width="19" style="46" customWidth="1"/>
    <col min="2778" max="2778" width="22.875" style="46" customWidth="1"/>
    <col min="2779" max="2779" width="12.625" style="46" customWidth="1"/>
    <col min="2780" max="3030" width="9" style="46"/>
    <col min="3031" max="3031" width="11.375" style="46" customWidth="1"/>
    <col min="3032" max="3032" width="17.875" style="46" customWidth="1"/>
    <col min="3033" max="3033" width="19" style="46" customWidth="1"/>
    <col min="3034" max="3034" width="22.875" style="46" customWidth="1"/>
    <col min="3035" max="3035" width="12.625" style="46" customWidth="1"/>
    <col min="3036" max="3286" width="9" style="46"/>
    <col min="3287" max="3287" width="11.375" style="46" customWidth="1"/>
    <col min="3288" max="3288" width="17.875" style="46" customWidth="1"/>
    <col min="3289" max="3289" width="19" style="46" customWidth="1"/>
    <col min="3290" max="3290" width="22.875" style="46" customWidth="1"/>
    <col min="3291" max="3291" width="12.625" style="46" customWidth="1"/>
    <col min="3292" max="3542" width="9" style="46"/>
    <col min="3543" max="3543" width="11.375" style="46" customWidth="1"/>
    <col min="3544" max="3544" width="17.875" style="46" customWidth="1"/>
    <col min="3545" max="3545" width="19" style="46" customWidth="1"/>
    <col min="3546" max="3546" width="22.875" style="46" customWidth="1"/>
    <col min="3547" max="3547" width="12.625" style="46" customWidth="1"/>
    <col min="3548" max="3798" width="9" style="46"/>
    <col min="3799" max="3799" width="11.375" style="46" customWidth="1"/>
    <col min="3800" max="3800" width="17.875" style="46" customWidth="1"/>
    <col min="3801" max="3801" width="19" style="46" customWidth="1"/>
    <col min="3802" max="3802" width="22.875" style="46" customWidth="1"/>
    <col min="3803" max="3803" width="12.625" style="46" customWidth="1"/>
    <col min="3804" max="4054" width="9" style="46"/>
    <col min="4055" max="4055" width="11.375" style="46" customWidth="1"/>
    <col min="4056" max="4056" width="17.875" style="46" customWidth="1"/>
    <col min="4057" max="4057" width="19" style="46" customWidth="1"/>
    <col min="4058" max="4058" width="22.875" style="46" customWidth="1"/>
    <col min="4059" max="4059" width="12.625" style="46" customWidth="1"/>
    <col min="4060" max="4310" width="9" style="46"/>
    <col min="4311" max="4311" width="11.375" style="46" customWidth="1"/>
    <col min="4312" max="4312" width="17.875" style="46" customWidth="1"/>
    <col min="4313" max="4313" width="19" style="46" customWidth="1"/>
    <col min="4314" max="4314" width="22.875" style="46" customWidth="1"/>
    <col min="4315" max="4315" width="12.625" style="46" customWidth="1"/>
    <col min="4316" max="4566" width="9" style="46"/>
    <col min="4567" max="4567" width="11.375" style="46" customWidth="1"/>
    <col min="4568" max="4568" width="17.875" style="46" customWidth="1"/>
    <col min="4569" max="4569" width="19" style="46" customWidth="1"/>
    <col min="4570" max="4570" width="22.875" style="46" customWidth="1"/>
    <col min="4571" max="4571" width="12.625" style="46" customWidth="1"/>
    <col min="4572" max="4822" width="9" style="46"/>
    <col min="4823" max="4823" width="11.375" style="46" customWidth="1"/>
    <col min="4824" max="4824" width="17.875" style="46" customWidth="1"/>
    <col min="4825" max="4825" width="19" style="46" customWidth="1"/>
    <col min="4826" max="4826" width="22.875" style="46" customWidth="1"/>
    <col min="4827" max="4827" width="12.625" style="46" customWidth="1"/>
    <col min="4828" max="5078" width="9" style="46"/>
    <col min="5079" max="5079" width="11.375" style="46" customWidth="1"/>
    <col min="5080" max="5080" width="17.875" style="46" customWidth="1"/>
    <col min="5081" max="5081" width="19" style="46" customWidth="1"/>
    <col min="5082" max="5082" width="22.875" style="46" customWidth="1"/>
    <col min="5083" max="5083" width="12.625" style="46" customWidth="1"/>
    <col min="5084" max="5334" width="9" style="46"/>
    <col min="5335" max="5335" width="11.375" style="46" customWidth="1"/>
    <col min="5336" max="5336" width="17.875" style="46" customWidth="1"/>
    <col min="5337" max="5337" width="19" style="46" customWidth="1"/>
    <col min="5338" max="5338" width="22.875" style="46" customWidth="1"/>
    <col min="5339" max="5339" width="12.625" style="46" customWidth="1"/>
    <col min="5340" max="5590" width="9" style="46"/>
    <col min="5591" max="5591" width="11.375" style="46" customWidth="1"/>
    <col min="5592" max="5592" width="17.875" style="46" customWidth="1"/>
    <col min="5593" max="5593" width="19" style="46" customWidth="1"/>
    <col min="5594" max="5594" width="22.875" style="46" customWidth="1"/>
    <col min="5595" max="5595" width="12.625" style="46" customWidth="1"/>
    <col min="5596" max="5846" width="9" style="46"/>
    <col min="5847" max="5847" width="11.375" style="46" customWidth="1"/>
    <col min="5848" max="5848" width="17.875" style="46" customWidth="1"/>
    <col min="5849" max="5849" width="19" style="46" customWidth="1"/>
    <col min="5850" max="5850" width="22.875" style="46" customWidth="1"/>
    <col min="5851" max="5851" width="12.625" style="46" customWidth="1"/>
    <col min="5852" max="6102" width="9" style="46"/>
    <col min="6103" max="6103" width="11.375" style="46" customWidth="1"/>
    <col min="6104" max="6104" width="17.875" style="46" customWidth="1"/>
    <col min="6105" max="6105" width="19" style="46" customWidth="1"/>
    <col min="6106" max="6106" width="22.875" style="46" customWidth="1"/>
    <col min="6107" max="6107" width="12.625" style="46" customWidth="1"/>
    <col min="6108" max="6358" width="9" style="46"/>
    <col min="6359" max="6359" width="11.375" style="46" customWidth="1"/>
    <col min="6360" max="6360" width="17.875" style="46" customWidth="1"/>
    <col min="6361" max="6361" width="19" style="46" customWidth="1"/>
    <col min="6362" max="6362" width="22.875" style="46" customWidth="1"/>
    <col min="6363" max="6363" width="12.625" style="46" customWidth="1"/>
    <col min="6364" max="6614" width="9" style="46"/>
    <col min="6615" max="6615" width="11.375" style="46" customWidth="1"/>
    <col min="6616" max="6616" width="17.875" style="46" customWidth="1"/>
    <col min="6617" max="6617" width="19" style="46" customWidth="1"/>
    <col min="6618" max="6618" width="22.875" style="46" customWidth="1"/>
    <col min="6619" max="6619" width="12.625" style="46" customWidth="1"/>
    <col min="6620" max="6870" width="9" style="46"/>
    <col min="6871" max="6871" width="11.375" style="46" customWidth="1"/>
    <col min="6872" max="6872" width="17.875" style="46" customWidth="1"/>
    <col min="6873" max="6873" width="19" style="46" customWidth="1"/>
    <col min="6874" max="6874" width="22.875" style="46" customWidth="1"/>
    <col min="6875" max="6875" width="12.625" style="46" customWidth="1"/>
    <col min="6876" max="7126" width="9" style="46"/>
    <col min="7127" max="7127" width="11.375" style="46" customWidth="1"/>
    <col min="7128" max="7128" width="17.875" style="46" customWidth="1"/>
    <col min="7129" max="7129" width="19" style="46" customWidth="1"/>
    <col min="7130" max="7130" width="22.875" style="46" customWidth="1"/>
    <col min="7131" max="7131" width="12.625" style="46" customWidth="1"/>
    <col min="7132" max="7382" width="9" style="46"/>
    <col min="7383" max="7383" width="11.375" style="46" customWidth="1"/>
    <col min="7384" max="7384" width="17.875" style="46" customWidth="1"/>
    <col min="7385" max="7385" width="19" style="46" customWidth="1"/>
    <col min="7386" max="7386" width="22.875" style="46" customWidth="1"/>
    <col min="7387" max="7387" width="12.625" style="46" customWidth="1"/>
    <col min="7388" max="7638" width="9" style="46"/>
    <col min="7639" max="7639" width="11.375" style="46" customWidth="1"/>
    <col min="7640" max="7640" width="17.875" style="46" customWidth="1"/>
    <col min="7641" max="7641" width="19" style="46" customWidth="1"/>
    <col min="7642" max="7642" width="22.875" style="46" customWidth="1"/>
    <col min="7643" max="7643" width="12.625" style="46" customWidth="1"/>
    <col min="7644" max="7894" width="9" style="46"/>
    <col min="7895" max="7895" width="11.375" style="46" customWidth="1"/>
    <col min="7896" max="7896" width="17.875" style="46" customWidth="1"/>
    <col min="7897" max="7897" width="19" style="46" customWidth="1"/>
    <col min="7898" max="7898" width="22.875" style="46" customWidth="1"/>
    <col min="7899" max="7899" width="12.625" style="46" customWidth="1"/>
    <col min="7900" max="8150" width="9" style="46"/>
    <col min="8151" max="8151" width="11.375" style="46" customWidth="1"/>
    <col min="8152" max="8152" width="17.875" style="46" customWidth="1"/>
    <col min="8153" max="8153" width="19" style="46" customWidth="1"/>
    <col min="8154" max="8154" width="22.875" style="46" customWidth="1"/>
    <col min="8155" max="8155" width="12.625" style="46" customWidth="1"/>
    <col min="8156" max="8406" width="9" style="46"/>
    <col min="8407" max="8407" width="11.375" style="46" customWidth="1"/>
    <col min="8408" max="8408" width="17.875" style="46" customWidth="1"/>
    <col min="8409" max="8409" width="19" style="46" customWidth="1"/>
    <col min="8410" max="8410" width="22.875" style="46" customWidth="1"/>
    <col min="8411" max="8411" width="12.625" style="46" customWidth="1"/>
    <col min="8412" max="8662" width="9" style="46"/>
    <col min="8663" max="8663" width="11.375" style="46" customWidth="1"/>
    <col min="8664" max="8664" width="17.875" style="46" customWidth="1"/>
    <col min="8665" max="8665" width="19" style="46" customWidth="1"/>
    <col min="8666" max="8666" width="22.875" style="46" customWidth="1"/>
    <col min="8667" max="8667" width="12.625" style="46" customWidth="1"/>
    <col min="8668" max="8918" width="9" style="46"/>
    <col min="8919" max="8919" width="11.375" style="46" customWidth="1"/>
    <col min="8920" max="8920" width="17.875" style="46" customWidth="1"/>
    <col min="8921" max="8921" width="19" style="46" customWidth="1"/>
    <col min="8922" max="8922" width="22.875" style="46" customWidth="1"/>
    <col min="8923" max="8923" width="12.625" style="46" customWidth="1"/>
    <col min="8924" max="9174" width="9" style="46"/>
    <col min="9175" max="9175" width="11.375" style="46" customWidth="1"/>
    <col min="9176" max="9176" width="17.875" style="46" customWidth="1"/>
    <col min="9177" max="9177" width="19" style="46" customWidth="1"/>
    <col min="9178" max="9178" width="22.875" style="46" customWidth="1"/>
    <col min="9179" max="9179" width="12.625" style="46" customWidth="1"/>
    <col min="9180" max="9430" width="9" style="46"/>
    <col min="9431" max="9431" width="11.375" style="46" customWidth="1"/>
    <col min="9432" max="9432" width="17.875" style="46" customWidth="1"/>
    <col min="9433" max="9433" width="19" style="46" customWidth="1"/>
    <col min="9434" max="9434" width="22.875" style="46" customWidth="1"/>
    <col min="9435" max="9435" width="12.625" style="46" customWidth="1"/>
    <col min="9436" max="9686" width="9" style="46"/>
    <col min="9687" max="9687" width="11.375" style="46" customWidth="1"/>
    <col min="9688" max="9688" width="17.875" style="46" customWidth="1"/>
    <col min="9689" max="9689" width="19" style="46" customWidth="1"/>
    <col min="9690" max="9690" width="22.875" style="46" customWidth="1"/>
    <col min="9691" max="9691" width="12.625" style="46" customWidth="1"/>
    <col min="9692" max="9942" width="9" style="46"/>
    <col min="9943" max="9943" width="11.375" style="46" customWidth="1"/>
    <col min="9944" max="9944" width="17.875" style="46" customWidth="1"/>
    <col min="9945" max="9945" width="19" style="46" customWidth="1"/>
    <col min="9946" max="9946" width="22.875" style="46" customWidth="1"/>
    <col min="9947" max="9947" width="12.625" style="46" customWidth="1"/>
    <col min="9948" max="10198" width="9" style="46"/>
    <col min="10199" max="10199" width="11.375" style="46" customWidth="1"/>
    <col min="10200" max="10200" width="17.875" style="46" customWidth="1"/>
    <col min="10201" max="10201" width="19" style="46" customWidth="1"/>
    <col min="10202" max="10202" width="22.875" style="46" customWidth="1"/>
    <col min="10203" max="10203" width="12.625" style="46" customWidth="1"/>
    <col min="10204" max="10454" width="9" style="46"/>
    <col min="10455" max="10455" width="11.375" style="46" customWidth="1"/>
    <col min="10456" max="10456" width="17.875" style="46" customWidth="1"/>
    <col min="10457" max="10457" width="19" style="46" customWidth="1"/>
    <col min="10458" max="10458" width="22.875" style="46" customWidth="1"/>
    <col min="10459" max="10459" width="12.625" style="46" customWidth="1"/>
    <col min="10460" max="10710" width="9" style="46"/>
    <col min="10711" max="10711" width="11.375" style="46" customWidth="1"/>
    <col min="10712" max="10712" width="17.875" style="46" customWidth="1"/>
    <col min="10713" max="10713" width="19" style="46" customWidth="1"/>
    <col min="10714" max="10714" width="22.875" style="46" customWidth="1"/>
    <col min="10715" max="10715" width="12.625" style="46" customWidth="1"/>
    <col min="10716" max="10966" width="9" style="46"/>
    <col min="10967" max="10967" width="11.375" style="46" customWidth="1"/>
    <col min="10968" max="10968" width="17.875" style="46" customWidth="1"/>
    <col min="10969" max="10969" width="19" style="46" customWidth="1"/>
    <col min="10970" max="10970" width="22.875" style="46" customWidth="1"/>
    <col min="10971" max="10971" width="12.625" style="46" customWidth="1"/>
    <col min="10972" max="11222" width="9" style="46"/>
    <col min="11223" max="11223" width="11.375" style="46" customWidth="1"/>
    <col min="11224" max="11224" width="17.875" style="46" customWidth="1"/>
    <col min="11225" max="11225" width="19" style="46" customWidth="1"/>
    <col min="11226" max="11226" width="22.875" style="46" customWidth="1"/>
    <col min="11227" max="11227" width="12.625" style="46" customWidth="1"/>
    <col min="11228" max="11478" width="9" style="46"/>
    <col min="11479" max="11479" width="11.375" style="46" customWidth="1"/>
    <col min="11480" max="11480" width="17.875" style="46" customWidth="1"/>
    <col min="11481" max="11481" width="19" style="46" customWidth="1"/>
    <col min="11482" max="11482" width="22.875" style="46" customWidth="1"/>
    <col min="11483" max="11483" width="12.625" style="46" customWidth="1"/>
    <col min="11484" max="11734" width="9" style="46"/>
    <col min="11735" max="11735" width="11.375" style="46" customWidth="1"/>
    <col min="11736" max="11736" width="17.875" style="46" customWidth="1"/>
    <col min="11737" max="11737" width="19" style="46" customWidth="1"/>
    <col min="11738" max="11738" width="22.875" style="46" customWidth="1"/>
    <col min="11739" max="11739" width="12.625" style="46" customWidth="1"/>
    <col min="11740" max="11990" width="9" style="46"/>
    <col min="11991" max="11991" width="11.375" style="46" customWidth="1"/>
    <col min="11992" max="11992" width="17.875" style="46" customWidth="1"/>
    <col min="11993" max="11993" width="19" style="46" customWidth="1"/>
    <col min="11994" max="11994" width="22.875" style="46" customWidth="1"/>
    <col min="11995" max="11995" width="12.625" style="46" customWidth="1"/>
    <col min="11996" max="12246" width="9" style="46"/>
    <col min="12247" max="12247" width="11.375" style="46" customWidth="1"/>
    <col min="12248" max="12248" width="17.875" style="46" customWidth="1"/>
    <col min="12249" max="12249" width="19" style="46" customWidth="1"/>
    <col min="12250" max="12250" width="22.875" style="46" customWidth="1"/>
    <col min="12251" max="12251" width="12.625" style="46" customWidth="1"/>
    <col min="12252" max="12502" width="9" style="46"/>
    <col min="12503" max="12503" width="11.375" style="46" customWidth="1"/>
    <col min="12504" max="12504" width="17.875" style="46" customWidth="1"/>
    <col min="12505" max="12505" width="19" style="46" customWidth="1"/>
    <col min="12506" max="12506" width="22.875" style="46" customWidth="1"/>
    <col min="12507" max="12507" width="12.625" style="46" customWidth="1"/>
    <col min="12508" max="12758" width="9" style="46"/>
    <col min="12759" max="12759" width="11.375" style="46" customWidth="1"/>
    <col min="12760" max="12760" width="17.875" style="46" customWidth="1"/>
    <col min="12761" max="12761" width="19" style="46" customWidth="1"/>
    <col min="12762" max="12762" width="22.875" style="46" customWidth="1"/>
    <col min="12763" max="12763" width="12.625" style="46" customWidth="1"/>
    <col min="12764" max="13014" width="9" style="46"/>
    <col min="13015" max="13015" width="11.375" style="46" customWidth="1"/>
    <col min="13016" max="13016" width="17.875" style="46" customWidth="1"/>
    <col min="13017" max="13017" width="19" style="46" customWidth="1"/>
    <col min="13018" max="13018" width="22.875" style="46" customWidth="1"/>
    <col min="13019" max="13019" width="12.625" style="46" customWidth="1"/>
    <col min="13020" max="13270" width="9" style="46"/>
    <col min="13271" max="13271" width="11.375" style="46" customWidth="1"/>
    <col min="13272" max="13272" width="17.875" style="46" customWidth="1"/>
    <col min="13273" max="13273" width="19" style="46" customWidth="1"/>
    <col min="13274" max="13274" width="22.875" style="46" customWidth="1"/>
    <col min="13275" max="13275" width="12.625" style="46" customWidth="1"/>
    <col min="13276" max="13526" width="9" style="46"/>
    <col min="13527" max="13527" width="11.375" style="46" customWidth="1"/>
    <col min="13528" max="13528" width="17.875" style="46" customWidth="1"/>
    <col min="13529" max="13529" width="19" style="46" customWidth="1"/>
    <col min="13530" max="13530" width="22.875" style="46" customWidth="1"/>
    <col min="13531" max="13531" width="12.625" style="46" customWidth="1"/>
    <col min="13532" max="13782" width="9" style="46"/>
    <col min="13783" max="13783" width="11.375" style="46" customWidth="1"/>
    <col min="13784" max="13784" width="17.875" style="46" customWidth="1"/>
    <col min="13785" max="13785" width="19" style="46" customWidth="1"/>
    <col min="13786" max="13786" width="22.875" style="46" customWidth="1"/>
    <col min="13787" max="13787" width="12.625" style="46" customWidth="1"/>
    <col min="13788" max="14038" width="9" style="46"/>
    <col min="14039" max="14039" width="11.375" style="46" customWidth="1"/>
    <col min="14040" max="14040" width="17.875" style="46" customWidth="1"/>
    <col min="14041" max="14041" width="19" style="46" customWidth="1"/>
    <col min="14042" max="14042" width="22.875" style="46" customWidth="1"/>
    <col min="14043" max="14043" width="12.625" style="46" customWidth="1"/>
    <col min="14044" max="14294" width="9" style="46"/>
    <col min="14295" max="14295" width="11.375" style="46" customWidth="1"/>
    <col min="14296" max="14296" width="17.875" style="46" customWidth="1"/>
    <col min="14297" max="14297" width="19" style="46" customWidth="1"/>
    <col min="14298" max="14298" width="22.875" style="46" customWidth="1"/>
    <col min="14299" max="14299" width="12.625" style="46" customWidth="1"/>
    <col min="14300" max="14550" width="9" style="46"/>
    <col min="14551" max="14551" width="11.375" style="46" customWidth="1"/>
    <col min="14552" max="14552" width="17.875" style="46" customWidth="1"/>
    <col min="14553" max="14553" width="19" style="46" customWidth="1"/>
    <col min="14554" max="14554" width="22.875" style="46" customWidth="1"/>
    <col min="14555" max="14555" width="12.625" style="46" customWidth="1"/>
    <col min="14556" max="14806" width="9" style="46"/>
    <col min="14807" max="14807" width="11.375" style="46" customWidth="1"/>
    <col min="14808" max="14808" width="17.875" style="46" customWidth="1"/>
    <col min="14809" max="14809" width="19" style="46" customWidth="1"/>
    <col min="14810" max="14810" width="22.875" style="46" customWidth="1"/>
    <col min="14811" max="14811" width="12.625" style="46" customWidth="1"/>
    <col min="14812" max="15062" width="9" style="46"/>
    <col min="15063" max="15063" width="11.375" style="46" customWidth="1"/>
    <col min="15064" max="15064" width="17.875" style="46" customWidth="1"/>
    <col min="15065" max="15065" width="19" style="46" customWidth="1"/>
    <col min="15066" max="15066" width="22.875" style="46" customWidth="1"/>
    <col min="15067" max="15067" width="12.625" style="46" customWidth="1"/>
    <col min="15068" max="15318" width="9" style="46"/>
    <col min="15319" max="15319" width="11.375" style="46" customWidth="1"/>
    <col min="15320" max="15320" width="17.875" style="46" customWidth="1"/>
    <col min="15321" max="15321" width="19" style="46" customWidth="1"/>
    <col min="15322" max="15322" width="22.875" style="46" customWidth="1"/>
    <col min="15323" max="15323" width="12.625" style="46" customWidth="1"/>
    <col min="15324" max="15574" width="9" style="46"/>
    <col min="15575" max="15575" width="11.375" style="46" customWidth="1"/>
    <col min="15576" max="15576" width="17.875" style="46" customWidth="1"/>
    <col min="15577" max="15577" width="19" style="46" customWidth="1"/>
    <col min="15578" max="15578" width="22.875" style="46" customWidth="1"/>
    <col min="15579" max="15579" width="12.625" style="46" customWidth="1"/>
    <col min="15580" max="15830" width="9" style="46"/>
    <col min="15831" max="15831" width="11.375" style="46" customWidth="1"/>
    <col min="15832" max="15832" width="17.875" style="46" customWidth="1"/>
    <col min="15833" max="15833" width="19" style="46" customWidth="1"/>
    <col min="15834" max="15834" width="22.875" style="46" customWidth="1"/>
    <col min="15835" max="15835" width="12.625" style="46" customWidth="1"/>
    <col min="15836" max="16086" width="9" style="46"/>
    <col min="16087" max="16087" width="11.375" style="46" customWidth="1"/>
    <col min="16088" max="16088" width="17.875" style="46" customWidth="1"/>
    <col min="16089" max="16089" width="19" style="46" customWidth="1"/>
    <col min="16090" max="16090" width="22.875" style="46" customWidth="1"/>
    <col min="16091" max="16091" width="12.625" style="46" customWidth="1"/>
    <col min="16092" max="16384" width="9" style="46"/>
  </cols>
  <sheetData>
    <row r="2" spans="2:10" x14ac:dyDescent="0.15">
      <c r="B2" s="47" t="s">
        <v>296</v>
      </c>
      <c r="C2" s="48"/>
      <c r="D2" s="48"/>
      <c r="E2" s="48"/>
      <c r="F2" s="49"/>
      <c r="G2" s="49"/>
      <c r="H2" s="49"/>
      <c r="I2" s="49"/>
      <c r="J2" s="78"/>
    </row>
    <row r="3" spans="2:10" x14ac:dyDescent="0.15">
      <c r="B3" s="50"/>
      <c r="C3" s="51" t="s">
        <v>297</v>
      </c>
      <c r="D3" s="52" t="s">
        <v>298</v>
      </c>
      <c r="E3" s="53"/>
      <c r="F3" s="54"/>
      <c r="G3" s="54"/>
      <c r="H3" s="54"/>
      <c r="I3" s="54"/>
      <c r="J3" s="79"/>
    </row>
    <row r="4" spans="2:10" x14ac:dyDescent="0.15">
      <c r="B4" s="50"/>
      <c r="C4" s="51"/>
      <c r="D4" s="53"/>
      <c r="E4" s="53"/>
      <c r="F4" s="54"/>
      <c r="G4" s="54"/>
      <c r="H4" s="54"/>
      <c r="I4" s="54"/>
      <c r="J4" s="79"/>
    </row>
    <row r="5" spans="2:10" x14ac:dyDescent="0.15">
      <c r="B5" s="50"/>
      <c r="C5" s="51" t="s">
        <v>299</v>
      </c>
      <c r="D5" s="53" t="s">
        <v>300</v>
      </c>
      <c r="E5" s="53"/>
      <c r="F5" s="54"/>
      <c r="G5" s="54"/>
      <c r="H5" s="54"/>
      <c r="I5" s="54"/>
      <c r="J5" s="79"/>
    </row>
    <row r="6" spans="2:10" x14ac:dyDescent="0.15">
      <c r="B6" s="50"/>
      <c r="C6" s="51"/>
      <c r="D6" s="53"/>
      <c r="E6" s="53"/>
      <c r="F6" s="54"/>
      <c r="G6" s="54"/>
      <c r="H6" s="54"/>
      <c r="I6" s="54"/>
      <c r="J6" s="79"/>
    </row>
    <row r="7" spans="2:10" x14ac:dyDescent="0.15">
      <c r="B7" s="50"/>
      <c r="C7" s="51" t="s">
        <v>301</v>
      </c>
      <c r="D7" s="52" t="s">
        <v>302</v>
      </c>
      <c r="E7" s="53"/>
      <c r="F7" s="54"/>
      <c r="G7" s="54"/>
      <c r="H7" s="54"/>
      <c r="I7" s="54"/>
      <c r="J7" s="79"/>
    </row>
    <row r="8" spans="2:10" x14ac:dyDescent="0.15">
      <c r="B8" s="50"/>
      <c r="C8" s="51"/>
      <c r="D8" s="53"/>
      <c r="E8" s="53"/>
      <c r="F8" s="54"/>
      <c r="G8" s="54"/>
      <c r="H8" s="54"/>
      <c r="I8" s="54"/>
      <c r="J8" s="79"/>
    </row>
    <row r="9" spans="2:10" ht="19.5" customHeight="1" x14ac:dyDescent="0.15">
      <c r="B9" s="50"/>
      <c r="C9" s="51" t="s">
        <v>303</v>
      </c>
      <c r="D9" s="55" t="s">
        <v>4</v>
      </c>
      <c r="E9" s="53"/>
      <c r="F9" s="54"/>
      <c r="G9" s="54"/>
      <c r="H9" s="54"/>
      <c r="I9" s="54"/>
      <c r="J9" s="79"/>
    </row>
    <row r="10" spans="2:10" x14ac:dyDescent="0.15">
      <c r="B10" s="50"/>
      <c r="C10" s="51"/>
      <c r="D10" s="53"/>
      <c r="E10" s="53"/>
      <c r="F10" s="54"/>
      <c r="G10" s="54"/>
      <c r="H10" s="54"/>
      <c r="I10" s="54"/>
      <c r="J10" s="79"/>
    </row>
    <row r="11" spans="2:10" x14ac:dyDescent="0.15">
      <c r="B11" s="56"/>
      <c r="C11" s="51" t="s">
        <v>304</v>
      </c>
      <c r="D11" s="52" t="s">
        <v>305</v>
      </c>
      <c r="E11" s="52"/>
      <c r="F11" s="54"/>
      <c r="G11" s="54"/>
      <c r="H11" s="54"/>
      <c r="I11" s="54"/>
      <c r="J11" s="79"/>
    </row>
    <row r="12" spans="2:10" x14ac:dyDescent="0.15">
      <c r="B12" s="56"/>
      <c r="C12" s="57"/>
      <c r="D12" s="53"/>
      <c r="E12" s="53"/>
      <c r="F12" s="54"/>
      <c r="G12" s="54"/>
      <c r="H12" s="54"/>
      <c r="I12" s="54"/>
      <c r="J12" s="79"/>
    </row>
    <row r="13" spans="2:10" x14ac:dyDescent="0.25">
      <c r="B13" s="56"/>
      <c r="C13" s="51" t="s">
        <v>306</v>
      </c>
      <c r="D13" s="58" t="s">
        <v>307</v>
      </c>
      <c r="E13" s="53"/>
      <c r="F13" s="59"/>
      <c r="G13" s="54"/>
      <c r="H13" s="54"/>
      <c r="I13" s="54"/>
      <c r="J13" s="79"/>
    </row>
    <row r="14" spans="2:10" x14ac:dyDescent="0.15">
      <c r="B14" s="56"/>
      <c r="C14" s="51"/>
      <c r="D14" s="52" t="s">
        <v>308</v>
      </c>
      <c r="E14" s="53"/>
      <c r="F14" s="54"/>
      <c r="G14" s="54"/>
      <c r="H14" s="54"/>
      <c r="I14" s="54"/>
      <c r="J14" s="79"/>
    </row>
    <row r="15" spans="2:10" ht="21" customHeight="1" x14ac:dyDescent="0.15">
      <c r="B15" s="56"/>
      <c r="C15" s="51"/>
      <c r="D15" s="55" t="s">
        <v>4</v>
      </c>
      <c r="E15" s="60" t="s">
        <v>150</v>
      </c>
      <c r="F15" s="61"/>
      <c r="G15" s="61"/>
      <c r="H15" s="55"/>
      <c r="I15" s="53"/>
      <c r="J15" s="80"/>
    </row>
    <row r="16" spans="2:10" x14ac:dyDescent="0.15">
      <c r="B16" s="56" t="s">
        <v>309</v>
      </c>
      <c r="C16" s="57"/>
      <c r="D16" s="53" t="s">
        <v>305</v>
      </c>
      <c r="E16" s="53" t="s">
        <v>147</v>
      </c>
      <c r="F16" s="61"/>
      <c r="G16" s="61"/>
      <c r="H16" s="53"/>
      <c r="I16" s="53"/>
      <c r="J16" s="80"/>
    </row>
    <row r="17" spans="2:10" x14ac:dyDescent="0.15">
      <c r="B17" s="50"/>
      <c r="C17" s="51" t="s">
        <v>310</v>
      </c>
      <c r="D17" s="52"/>
      <c r="E17" s="53"/>
      <c r="F17" s="54"/>
      <c r="G17" s="54"/>
      <c r="H17" s="54"/>
      <c r="I17" s="54"/>
      <c r="J17" s="79"/>
    </row>
    <row r="18" spans="2:10" x14ac:dyDescent="0.15">
      <c r="B18" s="50"/>
      <c r="C18" s="51"/>
      <c r="D18" s="62" t="s">
        <v>311</v>
      </c>
      <c r="E18" s="63" t="s">
        <v>312</v>
      </c>
      <c r="F18" s="64"/>
      <c r="G18" s="62"/>
      <c r="H18" s="64"/>
      <c r="I18" s="54"/>
      <c r="J18" s="79"/>
    </row>
    <row r="19" spans="2:10" x14ac:dyDescent="0.15">
      <c r="B19" s="50"/>
      <c r="C19" s="51"/>
      <c r="D19" s="62" t="s">
        <v>313</v>
      </c>
      <c r="E19" s="46" t="s">
        <v>314</v>
      </c>
      <c r="F19" s="64"/>
      <c r="G19" s="62"/>
      <c r="H19" s="64"/>
      <c r="I19" s="54"/>
      <c r="J19" s="79"/>
    </row>
    <row r="20" spans="2:10" x14ac:dyDescent="0.15">
      <c r="B20" s="50"/>
      <c r="C20" s="51"/>
      <c r="D20" s="62" t="s">
        <v>315</v>
      </c>
      <c r="E20" s="62" t="s">
        <v>316</v>
      </c>
      <c r="F20" s="62"/>
      <c r="G20" s="62"/>
      <c r="H20" s="64"/>
      <c r="I20" s="54"/>
      <c r="J20" s="79"/>
    </row>
    <row r="21" spans="2:10" x14ac:dyDescent="0.15">
      <c r="B21" s="50"/>
      <c r="C21" s="51"/>
      <c r="D21" s="62"/>
      <c r="E21" s="65" t="s">
        <v>317</v>
      </c>
      <c r="F21" s="64"/>
      <c r="G21" s="62"/>
      <c r="H21" s="64"/>
      <c r="I21" s="54"/>
      <c r="J21" s="79"/>
    </row>
    <row r="22" spans="2:10" x14ac:dyDescent="0.15">
      <c r="B22" s="50"/>
      <c r="C22" s="51"/>
      <c r="D22" s="66" t="s">
        <v>318</v>
      </c>
      <c r="E22" s="66"/>
      <c r="F22" s="62"/>
      <c r="G22" s="62"/>
      <c r="H22" s="62"/>
      <c r="I22" s="54"/>
      <c r="J22" s="79"/>
    </row>
    <row r="23" spans="2:10" ht="30" x14ac:dyDescent="0.15">
      <c r="B23" s="50"/>
      <c r="C23" s="51"/>
      <c r="D23" s="62"/>
      <c r="E23" s="67" t="s">
        <v>319</v>
      </c>
      <c r="F23" s="67" t="s">
        <v>320</v>
      </c>
      <c r="G23" s="67" t="s">
        <v>321</v>
      </c>
      <c r="H23" s="67" t="s">
        <v>322</v>
      </c>
      <c r="I23" s="54"/>
      <c r="J23" s="79"/>
    </row>
    <row r="24" spans="2:10" x14ac:dyDescent="0.15">
      <c r="B24" s="50"/>
      <c r="C24" s="51"/>
      <c r="D24" s="62"/>
      <c r="E24" s="68">
        <v>0.2</v>
      </c>
      <c r="F24" s="69">
        <v>0.9</v>
      </c>
      <c r="G24" s="69">
        <f>100-H24</f>
        <v>80</v>
      </c>
      <c r="H24" s="69">
        <v>20</v>
      </c>
      <c r="I24" s="54"/>
      <c r="J24" s="79"/>
    </row>
    <row r="25" spans="2:10" x14ac:dyDescent="0.15">
      <c r="B25" s="50"/>
      <c r="C25" s="51"/>
      <c r="D25" s="62"/>
      <c r="E25" s="68">
        <v>1.6</v>
      </c>
      <c r="F25" s="69">
        <v>0.9</v>
      </c>
      <c r="G25" s="69">
        <f>100-H25</f>
        <v>5</v>
      </c>
      <c r="H25" s="69">
        <v>95</v>
      </c>
      <c r="I25" s="54"/>
      <c r="J25" s="79"/>
    </row>
    <row r="26" spans="2:10" x14ac:dyDescent="0.15">
      <c r="B26" s="50"/>
      <c r="C26" s="51"/>
      <c r="D26" s="62"/>
      <c r="E26" s="68">
        <v>1.9</v>
      </c>
      <c r="F26" s="69">
        <v>0.9</v>
      </c>
      <c r="G26" s="69">
        <f>100-H26</f>
        <v>5</v>
      </c>
      <c r="H26" s="69">
        <v>95</v>
      </c>
      <c r="I26" s="54"/>
      <c r="J26" s="79"/>
    </row>
    <row r="27" spans="2:10" x14ac:dyDescent="0.15">
      <c r="B27" s="50"/>
      <c r="C27" s="51"/>
      <c r="D27" s="62"/>
      <c r="E27" s="68">
        <v>1.91</v>
      </c>
      <c r="F27" s="69">
        <v>0.9</v>
      </c>
      <c r="G27" s="69">
        <f>100-H27</f>
        <v>80</v>
      </c>
      <c r="H27" s="69">
        <v>20</v>
      </c>
      <c r="I27" s="54"/>
      <c r="J27" s="79"/>
    </row>
    <row r="28" spans="2:10" x14ac:dyDescent="0.15">
      <c r="B28" s="50"/>
      <c r="C28" s="53"/>
      <c r="D28" s="62"/>
      <c r="E28" s="70">
        <v>2.5</v>
      </c>
      <c r="F28" s="69">
        <v>0.9</v>
      </c>
      <c r="G28" s="71">
        <f>100-H28</f>
        <v>80</v>
      </c>
      <c r="H28" s="71">
        <v>20</v>
      </c>
      <c r="I28" s="54"/>
      <c r="J28" s="79"/>
    </row>
    <row r="29" spans="2:10" x14ac:dyDescent="0.15">
      <c r="B29" s="50"/>
      <c r="C29" s="53"/>
      <c r="D29" s="62" t="s">
        <v>323</v>
      </c>
      <c r="E29" s="62">
        <v>40</v>
      </c>
      <c r="F29" s="64"/>
      <c r="G29" s="64"/>
      <c r="H29" s="64"/>
      <c r="I29" s="54"/>
      <c r="J29" s="79"/>
    </row>
    <row r="30" spans="2:10" x14ac:dyDescent="0.15">
      <c r="B30" s="50"/>
      <c r="C30" s="53"/>
      <c r="D30" s="62" t="s">
        <v>324</v>
      </c>
      <c r="E30" s="62">
        <v>10</v>
      </c>
      <c r="F30" s="64"/>
      <c r="G30" s="64"/>
      <c r="H30" s="64"/>
      <c r="I30" s="54"/>
      <c r="J30" s="79"/>
    </row>
    <row r="31" spans="2:10" x14ac:dyDescent="0.15">
      <c r="B31" s="50"/>
      <c r="C31" s="53"/>
      <c r="D31" s="52" t="s">
        <v>325</v>
      </c>
      <c r="E31" s="53"/>
      <c r="F31" s="54"/>
      <c r="G31" s="54"/>
      <c r="H31" s="54"/>
      <c r="I31" s="54"/>
      <c r="J31" s="79"/>
    </row>
    <row r="32" spans="2:10" x14ac:dyDescent="0.15">
      <c r="B32" s="50"/>
      <c r="C32" s="53"/>
      <c r="D32" s="72" t="s">
        <v>4</v>
      </c>
      <c r="E32" s="60" t="s">
        <v>326</v>
      </c>
      <c r="F32" s="54"/>
      <c r="G32" s="54"/>
      <c r="H32" s="72"/>
      <c r="I32" s="53"/>
      <c r="J32" s="79"/>
    </row>
    <row r="33" spans="2:10" x14ac:dyDescent="0.15">
      <c r="B33" s="50"/>
      <c r="C33" s="53"/>
      <c r="D33" s="53" t="s">
        <v>327</v>
      </c>
      <c r="E33" s="60" t="s">
        <v>328</v>
      </c>
      <c r="F33" s="54"/>
      <c r="G33" s="54"/>
      <c r="H33" s="53"/>
      <c r="I33" s="53"/>
      <c r="J33" s="79"/>
    </row>
    <row r="34" spans="2:10" x14ac:dyDescent="0.15">
      <c r="B34" s="50"/>
      <c r="C34" s="53"/>
      <c r="D34" s="516"/>
      <c r="E34" s="516"/>
      <c r="F34" s="54"/>
      <c r="G34" s="54"/>
      <c r="H34" s="54"/>
      <c r="I34" s="54"/>
      <c r="J34" s="79"/>
    </row>
    <row r="35" spans="2:10" ht="113.1" customHeight="1" x14ac:dyDescent="0.15">
      <c r="B35" s="50"/>
      <c r="C35" s="51" t="s">
        <v>329</v>
      </c>
      <c r="D35" s="517" t="s">
        <v>330</v>
      </c>
      <c r="E35" s="517"/>
      <c r="F35" s="517"/>
      <c r="G35" s="517"/>
      <c r="H35" s="517"/>
      <c r="I35" s="517"/>
      <c r="J35" s="79"/>
    </row>
    <row r="36" spans="2:10" x14ac:dyDescent="0.15">
      <c r="B36" s="73"/>
      <c r="C36" s="74" t="s">
        <v>331</v>
      </c>
      <c r="D36" s="75" t="s">
        <v>332</v>
      </c>
      <c r="E36" s="76"/>
      <c r="F36" s="77"/>
      <c r="G36" s="77"/>
      <c r="H36" s="77"/>
      <c r="I36" s="77"/>
      <c r="J36" s="81"/>
    </row>
  </sheetData>
  <mergeCells count="2">
    <mergeCell ref="D34:E34"/>
    <mergeCell ref="D35:I35"/>
  </mergeCells>
  <phoneticPr fontId="58"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B2:L52"/>
  <sheetViews>
    <sheetView showGridLines="0" workbookViewId="0">
      <selection activeCell="O17" sqref="O17"/>
    </sheetView>
  </sheetViews>
  <sheetFormatPr defaultColWidth="9" defaultRowHeight="15" x14ac:dyDescent="0.25"/>
  <cols>
    <col min="1" max="1" width="9" style="1"/>
    <col min="2" max="2" width="1.625" style="2" customWidth="1"/>
    <col min="3" max="3" width="14.625" style="3" customWidth="1"/>
    <col min="4" max="4" width="15.125" style="3" customWidth="1"/>
    <col min="5" max="6" width="10.375" style="3" customWidth="1"/>
    <col min="7" max="7" width="10.875" style="3" customWidth="1"/>
    <col min="8" max="8" width="11.875" style="3" customWidth="1"/>
    <col min="9" max="9" width="12.375" style="3" customWidth="1"/>
    <col min="10" max="10" width="10" style="3" customWidth="1"/>
    <col min="11" max="11" width="11.625" style="3" customWidth="1"/>
    <col min="12" max="12" width="1.75" style="3" customWidth="1"/>
    <col min="13" max="16384" width="9" style="1"/>
  </cols>
  <sheetData>
    <row r="2" spans="2:12" x14ac:dyDescent="0.25">
      <c r="B2" s="4"/>
      <c r="C2" s="5"/>
      <c r="D2" s="5"/>
      <c r="E2" s="5"/>
      <c r="F2" s="5"/>
      <c r="G2" s="5"/>
      <c r="H2" s="5"/>
      <c r="I2" s="5"/>
      <c r="J2" s="5"/>
      <c r="K2" s="5"/>
      <c r="L2" s="36"/>
    </row>
    <row r="3" spans="2:12" x14ac:dyDescent="0.25">
      <c r="B3" s="6"/>
      <c r="C3" s="7" t="s">
        <v>333</v>
      </c>
      <c r="D3" s="8"/>
      <c r="E3" s="8"/>
      <c r="F3" s="8"/>
      <c r="G3" s="8"/>
      <c r="H3" s="8"/>
      <c r="I3" s="8"/>
      <c r="J3" s="8"/>
      <c r="K3" s="8"/>
      <c r="L3" s="37"/>
    </row>
    <row r="4" spans="2:12" x14ac:dyDescent="0.25">
      <c r="B4" s="6"/>
      <c r="C4" s="8"/>
      <c r="D4" s="8"/>
      <c r="E4" s="8"/>
      <c r="F4" s="8"/>
      <c r="G4" s="8"/>
      <c r="H4" s="8"/>
      <c r="I4" s="8"/>
      <c r="J4" s="8"/>
      <c r="K4" s="8"/>
      <c r="L4" s="37"/>
    </row>
    <row r="5" spans="2:12" ht="27" x14ac:dyDescent="0.25">
      <c r="B5" s="6"/>
      <c r="C5" s="9" t="s">
        <v>334</v>
      </c>
      <c r="D5" s="9" t="s">
        <v>335</v>
      </c>
      <c r="E5" s="9" t="s">
        <v>336</v>
      </c>
      <c r="F5" s="9" t="s">
        <v>337</v>
      </c>
      <c r="G5" s="9" t="s">
        <v>338</v>
      </c>
      <c r="H5" s="9" t="s">
        <v>339</v>
      </c>
      <c r="I5" s="15"/>
      <c r="J5" s="8"/>
      <c r="K5" s="38"/>
      <c r="L5" s="39"/>
    </row>
    <row r="6" spans="2:12" x14ac:dyDescent="0.25">
      <c r="B6" s="6"/>
      <c r="C6" s="10" t="s">
        <v>4</v>
      </c>
      <c r="D6" s="11" t="s">
        <v>340</v>
      </c>
      <c r="E6" s="12">
        <v>0.97099999999999997</v>
      </c>
      <c r="F6" s="13" t="s">
        <v>341</v>
      </c>
      <c r="G6" s="14" t="s">
        <v>342</v>
      </c>
      <c r="H6" s="14">
        <v>603.14</v>
      </c>
      <c r="I6" s="15"/>
      <c r="J6" s="8"/>
      <c r="K6" s="38"/>
      <c r="L6" s="39"/>
    </row>
    <row r="7" spans="2:12" x14ac:dyDescent="0.25">
      <c r="B7" s="6"/>
      <c r="C7" s="542" t="s">
        <v>343</v>
      </c>
      <c r="D7" s="542"/>
      <c r="E7" s="542"/>
      <c r="F7" s="542"/>
      <c r="G7" s="542"/>
      <c r="H7" s="542"/>
      <c r="I7" s="542"/>
      <c r="J7" s="542"/>
      <c r="K7" s="542"/>
      <c r="L7" s="40"/>
    </row>
    <row r="8" spans="2:12" x14ac:dyDescent="0.25">
      <c r="B8" s="6"/>
      <c r="C8" s="8"/>
      <c r="D8" s="8"/>
      <c r="E8" s="8"/>
      <c r="F8" s="8"/>
      <c r="G8" s="8"/>
      <c r="H8" s="8"/>
      <c r="I8" s="8"/>
      <c r="J8" s="8"/>
      <c r="K8" s="8"/>
      <c r="L8" s="37"/>
    </row>
    <row r="9" spans="2:12" x14ac:dyDescent="0.25">
      <c r="B9" s="6"/>
      <c r="C9" s="7" t="s">
        <v>344</v>
      </c>
      <c r="D9" s="15"/>
      <c r="E9" s="15"/>
      <c r="F9" s="15"/>
      <c r="G9" s="8"/>
      <c r="H9" s="8"/>
      <c r="I9" s="8"/>
      <c r="J9" s="8"/>
      <c r="K9" s="8"/>
      <c r="L9" s="37"/>
    </row>
    <row r="10" spans="2:12" x14ac:dyDescent="0.25">
      <c r="B10" s="6"/>
      <c r="C10" s="8"/>
      <c r="D10" s="16"/>
      <c r="E10" s="17"/>
      <c r="F10" s="17"/>
      <c r="G10" s="8"/>
      <c r="H10" s="8"/>
      <c r="I10" s="8"/>
      <c r="J10" s="8"/>
      <c r="K10" s="8"/>
      <c r="L10" s="37"/>
    </row>
    <row r="11" spans="2:12" x14ac:dyDescent="0.25">
      <c r="B11" s="6"/>
      <c r="C11" s="543" t="s">
        <v>345</v>
      </c>
      <c r="D11" s="519"/>
      <c r="E11" s="519"/>
      <c r="F11" s="519"/>
      <c r="G11" s="519"/>
      <c r="H11" s="519"/>
      <c r="I11" s="519"/>
      <c r="J11" s="519"/>
      <c r="K11" s="520"/>
      <c r="L11" s="37"/>
    </row>
    <row r="12" spans="2:12" x14ac:dyDescent="0.25">
      <c r="B12" s="6"/>
      <c r="C12" s="544" t="s">
        <v>346</v>
      </c>
      <c r="D12" s="545"/>
      <c r="E12" s="545"/>
      <c r="F12" s="545"/>
      <c r="G12" s="545"/>
      <c r="H12" s="545"/>
      <c r="I12" s="545"/>
      <c r="J12" s="545"/>
      <c r="K12" s="546"/>
      <c r="L12" s="37"/>
    </row>
    <row r="13" spans="2:12" x14ac:dyDescent="0.25">
      <c r="B13" s="6"/>
      <c r="C13" s="8"/>
      <c r="D13" s="16"/>
      <c r="E13" s="16"/>
      <c r="F13" s="16"/>
      <c r="G13" s="8"/>
      <c r="H13" s="8"/>
      <c r="I13" s="8"/>
      <c r="J13" s="8"/>
      <c r="K13" s="8"/>
      <c r="L13" s="37"/>
    </row>
    <row r="14" spans="2:12" x14ac:dyDescent="0.25">
      <c r="B14" s="6"/>
      <c r="C14" s="7" t="s">
        <v>347</v>
      </c>
      <c r="D14" s="8"/>
      <c r="E14" s="8"/>
      <c r="F14" s="8"/>
      <c r="G14" s="8"/>
      <c r="H14" s="8"/>
      <c r="I14" s="8"/>
      <c r="J14" s="8"/>
      <c r="K14" s="8"/>
      <c r="L14" s="37"/>
    </row>
    <row r="15" spans="2:12" x14ac:dyDescent="0.25">
      <c r="B15" s="6"/>
      <c r="C15" s="8"/>
      <c r="D15" s="8"/>
      <c r="E15" s="8"/>
      <c r="F15" s="8"/>
      <c r="G15" s="8"/>
      <c r="H15" s="8"/>
      <c r="I15" s="8"/>
      <c r="J15" s="8"/>
      <c r="K15" s="8"/>
      <c r="L15" s="37"/>
    </row>
    <row r="16" spans="2:12" x14ac:dyDescent="0.25">
      <c r="B16" s="6"/>
      <c r="C16" s="18" t="s">
        <v>348</v>
      </c>
      <c r="D16" s="19"/>
      <c r="E16" s="19"/>
      <c r="F16" s="19"/>
      <c r="G16" s="19"/>
      <c r="H16" s="19"/>
      <c r="I16" s="19"/>
      <c r="J16" s="19"/>
      <c r="K16" s="41"/>
      <c r="L16" s="37"/>
    </row>
    <row r="17" spans="2:12" x14ac:dyDescent="0.25">
      <c r="B17" s="6"/>
      <c r="C17" s="20" t="s">
        <v>349</v>
      </c>
      <c r="D17" s="8"/>
      <c r="E17" s="8"/>
      <c r="F17" s="8"/>
      <c r="G17" s="8"/>
      <c r="H17" s="8"/>
      <c r="I17" s="8"/>
      <c r="J17" s="8"/>
      <c r="K17" s="42"/>
      <c r="L17" s="37"/>
    </row>
    <row r="18" spans="2:12" x14ac:dyDescent="0.25">
      <c r="B18" s="6"/>
      <c r="C18" s="20" t="s">
        <v>350</v>
      </c>
      <c r="D18" s="8"/>
      <c r="E18" s="8"/>
      <c r="F18" s="8"/>
      <c r="G18" s="8"/>
      <c r="H18" s="8"/>
      <c r="I18" s="8"/>
      <c r="J18" s="8"/>
      <c r="K18" s="42"/>
      <c r="L18" s="37"/>
    </row>
    <row r="19" spans="2:12" x14ac:dyDescent="0.25">
      <c r="B19" s="6"/>
      <c r="C19" s="21" t="s">
        <v>351</v>
      </c>
      <c r="D19" s="22"/>
      <c r="E19" s="22"/>
      <c r="F19" s="22"/>
      <c r="G19" s="22"/>
      <c r="H19" s="22"/>
      <c r="I19" s="22"/>
      <c r="J19" s="22"/>
      <c r="K19" s="43"/>
      <c r="L19" s="37"/>
    </row>
    <row r="20" spans="2:12" x14ac:dyDescent="0.25">
      <c r="B20" s="6"/>
      <c r="C20" s="8"/>
      <c r="D20" s="8"/>
      <c r="E20" s="8"/>
      <c r="F20" s="8"/>
      <c r="G20" s="8"/>
      <c r="H20" s="8"/>
      <c r="I20" s="8"/>
      <c r="J20" s="8"/>
      <c r="K20" s="8"/>
      <c r="L20" s="37"/>
    </row>
    <row r="21" spans="2:12" x14ac:dyDescent="0.25">
      <c r="B21" s="6"/>
      <c r="C21" s="7" t="s">
        <v>352</v>
      </c>
      <c r="D21" s="8"/>
      <c r="E21" s="8"/>
      <c r="F21" s="8"/>
      <c r="G21" s="8"/>
      <c r="H21" s="8"/>
      <c r="I21" s="8"/>
      <c r="J21" s="8"/>
      <c r="K21" s="8"/>
      <c r="L21" s="37"/>
    </row>
    <row r="22" spans="2:12" x14ac:dyDescent="0.25">
      <c r="B22" s="6"/>
      <c r="C22" s="8"/>
      <c r="D22" s="8"/>
      <c r="E22" s="8"/>
      <c r="F22" s="8"/>
      <c r="G22" s="8"/>
      <c r="H22" s="8"/>
      <c r="I22" s="8"/>
      <c r="J22" s="8"/>
      <c r="K22" s="8"/>
      <c r="L22" s="37"/>
    </row>
    <row r="23" spans="2:12" x14ac:dyDescent="0.25">
      <c r="B23" s="6"/>
      <c r="C23" s="528" t="s">
        <v>353</v>
      </c>
      <c r="D23" s="528" t="s">
        <v>354</v>
      </c>
      <c r="E23" s="23" t="s">
        <v>355</v>
      </c>
      <c r="F23" s="24" t="s">
        <v>356</v>
      </c>
      <c r="G23" s="24" t="s">
        <v>357</v>
      </c>
      <c r="H23" s="24" t="s">
        <v>358</v>
      </c>
      <c r="I23" s="528" t="s">
        <v>359</v>
      </c>
      <c r="J23" s="528" t="s">
        <v>360</v>
      </c>
      <c r="K23" s="8"/>
      <c r="L23" s="37"/>
    </row>
    <row r="24" spans="2:12" x14ac:dyDescent="0.25">
      <c r="B24" s="6"/>
      <c r="C24" s="529"/>
      <c r="D24" s="529"/>
      <c r="E24" s="25" t="s">
        <v>361</v>
      </c>
      <c r="F24" s="24" t="s">
        <v>362</v>
      </c>
      <c r="G24" s="24" t="s">
        <v>363</v>
      </c>
      <c r="H24" s="24" t="s">
        <v>364</v>
      </c>
      <c r="I24" s="529"/>
      <c r="J24" s="529"/>
      <c r="K24" s="8"/>
      <c r="L24" s="37"/>
    </row>
    <row r="25" spans="2:12" x14ac:dyDescent="0.25">
      <c r="B25" s="6"/>
      <c r="C25" s="9">
        <v>1</v>
      </c>
      <c r="D25" s="10" t="s">
        <v>4</v>
      </c>
      <c r="E25" s="9">
        <v>3</v>
      </c>
      <c r="F25" s="26">
        <v>1</v>
      </c>
      <c r="G25" s="9">
        <v>0.2</v>
      </c>
      <c r="H25" s="9">
        <v>5</v>
      </c>
      <c r="I25" s="13" t="s">
        <v>365</v>
      </c>
      <c r="J25" s="13" t="s">
        <v>366</v>
      </c>
      <c r="K25" s="8"/>
      <c r="L25" s="37"/>
    </row>
    <row r="26" spans="2:12" x14ac:dyDescent="0.25">
      <c r="B26" s="6"/>
      <c r="C26" s="27">
        <v>2</v>
      </c>
      <c r="D26" s="28" t="s">
        <v>4</v>
      </c>
      <c r="E26" s="29">
        <v>3</v>
      </c>
      <c r="F26" s="29">
        <v>10</v>
      </c>
      <c r="G26" s="29">
        <v>1</v>
      </c>
      <c r="H26" s="29">
        <v>10</v>
      </c>
      <c r="I26" s="27" t="s">
        <v>367</v>
      </c>
      <c r="J26" s="27" t="s">
        <v>366</v>
      </c>
      <c r="K26" s="8"/>
      <c r="L26" s="37"/>
    </row>
    <row r="27" spans="2:12" x14ac:dyDescent="0.25">
      <c r="B27" s="6"/>
      <c r="C27" s="547"/>
      <c r="D27" s="548"/>
      <c r="E27" s="548"/>
      <c r="F27" s="548"/>
      <c r="G27" s="548"/>
      <c r="H27" s="548"/>
      <c r="I27" s="548"/>
      <c r="J27" s="548"/>
      <c r="K27" s="8"/>
      <c r="L27" s="37"/>
    </row>
    <row r="28" spans="2:12" x14ac:dyDescent="0.25">
      <c r="B28" s="6"/>
      <c r="C28" s="549" t="s">
        <v>368</v>
      </c>
      <c r="D28" s="550"/>
      <c r="E28" s="550"/>
      <c r="F28" s="550"/>
      <c r="G28" s="550"/>
      <c r="H28" s="550"/>
      <c r="I28" s="550"/>
      <c r="J28" s="550"/>
      <c r="K28" s="8"/>
      <c r="L28" s="37"/>
    </row>
    <row r="29" spans="2:12" x14ac:dyDescent="0.25">
      <c r="B29" s="6"/>
      <c r="C29" s="8"/>
      <c r="D29" s="8"/>
      <c r="E29" s="8"/>
      <c r="F29" s="8"/>
      <c r="G29" s="8"/>
      <c r="H29" s="8"/>
      <c r="I29" s="8"/>
      <c r="J29" s="8"/>
      <c r="K29" s="8"/>
      <c r="L29" s="37"/>
    </row>
    <row r="30" spans="2:12" x14ac:dyDescent="0.25">
      <c r="B30" s="6"/>
      <c r="C30" s="7" t="s">
        <v>369</v>
      </c>
      <c r="D30" s="8"/>
      <c r="E30" s="8"/>
      <c r="F30" s="8"/>
      <c r="G30" s="8"/>
      <c r="H30" s="8"/>
      <c r="I30" s="8"/>
      <c r="J30" s="8"/>
      <c r="K30" s="8"/>
      <c r="L30" s="37"/>
    </row>
    <row r="31" spans="2:12" x14ac:dyDescent="0.25">
      <c r="B31" s="6"/>
      <c r="C31" s="8"/>
      <c r="D31" s="8"/>
      <c r="E31" s="8"/>
      <c r="F31" s="8"/>
      <c r="G31" s="8"/>
      <c r="H31" s="8"/>
      <c r="I31" s="8"/>
      <c r="J31" s="8"/>
      <c r="K31" s="8"/>
      <c r="L31" s="37"/>
    </row>
    <row r="32" spans="2:12" x14ac:dyDescent="0.25">
      <c r="B32" s="6"/>
      <c r="C32" s="31" t="s">
        <v>370</v>
      </c>
      <c r="D32" s="32"/>
      <c r="E32" s="32"/>
      <c r="F32" s="32"/>
      <c r="G32" s="32"/>
      <c r="H32" s="32"/>
      <c r="I32" s="32"/>
      <c r="J32" s="32"/>
      <c r="K32" s="44"/>
      <c r="L32" s="37"/>
    </row>
    <row r="33" spans="2:12" x14ac:dyDescent="0.25">
      <c r="B33" s="6"/>
      <c r="C33" s="8"/>
      <c r="D33" s="8"/>
      <c r="E33" s="8"/>
      <c r="F33" s="8"/>
      <c r="G33" s="8"/>
      <c r="H33" s="8"/>
      <c r="I33" s="8"/>
      <c r="J33" s="8"/>
      <c r="K33" s="8"/>
      <c r="L33" s="37"/>
    </row>
    <row r="34" spans="2:12" x14ac:dyDescent="0.25">
      <c r="B34" s="6"/>
      <c r="C34" s="7" t="s">
        <v>371</v>
      </c>
      <c r="D34" s="8"/>
      <c r="E34" s="8"/>
      <c r="F34" s="8"/>
      <c r="G34" s="8"/>
      <c r="H34" s="8"/>
      <c r="I34" s="8"/>
      <c r="J34" s="8"/>
      <c r="K34" s="8"/>
      <c r="L34" s="37"/>
    </row>
    <row r="35" spans="2:12" ht="26.1" customHeight="1" x14ac:dyDescent="0.25">
      <c r="B35" s="6"/>
      <c r="C35" s="8"/>
      <c r="D35" s="8"/>
      <c r="E35" s="8"/>
      <c r="F35" s="8"/>
      <c r="G35" s="8"/>
      <c r="H35" s="8"/>
      <c r="I35" s="8"/>
      <c r="J35" s="8"/>
      <c r="K35" s="8"/>
      <c r="L35" s="37"/>
    </row>
    <row r="36" spans="2:12" ht="35.1" customHeight="1" x14ac:dyDescent="0.25">
      <c r="B36" s="6"/>
      <c r="C36" s="518" t="s">
        <v>372</v>
      </c>
      <c r="D36" s="519"/>
      <c r="E36" s="519"/>
      <c r="F36" s="519"/>
      <c r="G36" s="519"/>
      <c r="H36" s="519"/>
      <c r="I36" s="519"/>
      <c r="J36" s="519"/>
      <c r="K36" s="520"/>
      <c r="L36" s="37"/>
    </row>
    <row r="37" spans="2:12" x14ac:dyDescent="0.25">
      <c r="B37" s="6"/>
      <c r="C37" s="521" t="s">
        <v>373</v>
      </c>
      <c r="D37" s="522"/>
      <c r="E37" s="522"/>
      <c r="F37" s="522"/>
      <c r="G37" s="522"/>
      <c r="H37" s="522"/>
      <c r="I37" s="522"/>
      <c r="J37" s="522"/>
      <c r="K37" s="523"/>
      <c r="L37" s="37"/>
    </row>
    <row r="38" spans="2:12" x14ac:dyDescent="0.25">
      <c r="B38" s="6"/>
      <c r="L38" s="37"/>
    </row>
    <row r="39" spans="2:12" x14ac:dyDescent="0.25">
      <c r="B39" s="6"/>
      <c r="C39" s="7" t="s">
        <v>374</v>
      </c>
      <c r="D39" s="33"/>
      <c r="E39" s="33"/>
      <c r="F39" s="33"/>
      <c r="G39" s="33"/>
      <c r="H39" s="33"/>
      <c r="I39" s="33"/>
      <c r="J39" s="33"/>
      <c r="K39" s="33"/>
      <c r="L39" s="37"/>
    </row>
    <row r="40" spans="2:12" ht="12" customHeight="1" x14ac:dyDescent="0.25">
      <c r="B40" s="6"/>
      <c r="D40" s="8"/>
      <c r="E40" s="8"/>
      <c r="F40" s="8"/>
      <c r="G40" s="8"/>
      <c r="H40" s="8"/>
      <c r="I40" s="8"/>
      <c r="J40" s="8"/>
      <c r="K40" s="8"/>
      <c r="L40" s="37"/>
    </row>
    <row r="41" spans="2:12" ht="41.1" customHeight="1" x14ac:dyDescent="0.25">
      <c r="B41" s="6"/>
      <c r="C41" s="530" t="s">
        <v>375</v>
      </c>
      <c r="D41" s="531"/>
      <c r="E41" s="531"/>
      <c r="F41" s="531"/>
      <c r="G41" s="531"/>
      <c r="H41" s="531"/>
      <c r="I41" s="531"/>
      <c r="J41" s="531"/>
      <c r="K41" s="532"/>
      <c r="L41" s="37"/>
    </row>
    <row r="42" spans="2:12" x14ac:dyDescent="0.25">
      <c r="B42" s="6"/>
      <c r="C42" s="533"/>
      <c r="D42" s="534"/>
      <c r="E42" s="534"/>
      <c r="F42" s="534"/>
      <c r="G42" s="534"/>
      <c r="H42" s="534"/>
      <c r="I42" s="534"/>
      <c r="J42" s="534"/>
      <c r="K42" s="535"/>
      <c r="L42" s="37"/>
    </row>
    <row r="43" spans="2:12" x14ac:dyDescent="0.25">
      <c r="B43" s="6"/>
      <c r="L43" s="37"/>
    </row>
    <row r="44" spans="2:12" x14ac:dyDescent="0.25">
      <c r="B44" s="6"/>
      <c r="C44" s="7" t="s">
        <v>376</v>
      </c>
      <c r="L44" s="37"/>
    </row>
    <row r="45" spans="2:12" ht="18.95" customHeight="1" x14ac:dyDescent="0.25">
      <c r="B45" s="6"/>
      <c r="C45" s="30"/>
      <c r="D45" s="30"/>
      <c r="E45" s="30"/>
      <c r="F45" s="30"/>
      <c r="G45" s="30"/>
      <c r="H45" s="30"/>
      <c r="I45" s="30"/>
      <c r="J45" s="30"/>
      <c r="K45" s="30"/>
      <c r="L45" s="37"/>
    </row>
    <row r="46" spans="2:12" x14ac:dyDescent="0.25">
      <c r="B46" s="6"/>
      <c r="C46" s="536" t="s">
        <v>377</v>
      </c>
      <c r="D46" s="537"/>
      <c r="E46" s="537"/>
      <c r="F46" s="537"/>
      <c r="G46" s="537"/>
      <c r="H46" s="537"/>
      <c r="I46" s="537"/>
      <c r="J46" s="537"/>
      <c r="K46" s="538"/>
      <c r="L46" s="37"/>
    </row>
    <row r="47" spans="2:12" x14ac:dyDescent="0.25">
      <c r="B47" s="6"/>
      <c r="C47" s="539"/>
      <c r="D47" s="540"/>
      <c r="E47" s="540"/>
      <c r="F47" s="540"/>
      <c r="G47" s="540"/>
      <c r="H47" s="540"/>
      <c r="I47" s="540"/>
      <c r="J47" s="540"/>
      <c r="K47" s="541"/>
      <c r="L47" s="37"/>
    </row>
    <row r="48" spans="2:12" x14ac:dyDescent="0.25">
      <c r="B48" s="6"/>
      <c r="L48" s="37"/>
    </row>
    <row r="49" spans="2:12" x14ac:dyDescent="0.25">
      <c r="B49" s="6"/>
      <c r="C49" s="524" t="s">
        <v>378</v>
      </c>
      <c r="D49" s="524"/>
      <c r="E49" s="524"/>
      <c r="F49" s="524"/>
      <c r="G49" s="524"/>
      <c r="H49" s="524"/>
      <c r="I49" s="524"/>
      <c r="J49" s="524"/>
      <c r="K49" s="524"/>
      <c r="L49" s="37"/>
    </row>
    <row r="50" spans="2:12" x14ac:dyDescent="0.25">
      <c r="B50" s="6"/>
      <c r="L50" s="37"/>
    </row>
    <row r="51" spans="2:12" x14ac:dyDescent="0.25">
      <c r="B51" s="6"/>
      <c r="C51" s="525" t="s">
        <v>379</v>
      </c>
      <c r="D51" s="526"/>
      <c r="E51" s="526"/>
      <c r="F51" s="526"/>
      <c r="G51" s="526"/>
      <c r="H51" s="526"/>
      <c r="I51" s="526"/>
      <c r="J51" s="526"/>
      <c r="K51" s="527"/>
      <c r="L51" s="37"/>
    </row>
    <row r="52" spans="2:12" x14ac:dyDescent="0.25">
      <c r="B52" s="34"/>
      <c r="C52" s="35"/>
      <c r="D52" s="35"/>
      <c r="E52" s="35"/>
      <c r="F52" s="35"/>
      <c r="G52" s="35"/>
      <c r="H52" s="35"/>
      <c r="I52" s="35"/>
      <c r="J52" s="35"/>
      <c r="K52" s="35"/>
      <c r="L52" s="45"/>
    </row>
  </sheetData>
  <mergeCells count="15">
    <mergeCell ref="C7:K7"/>
    <mergeCell ref="C11:K11"/>
    <mergeCell ref="C12:K12"/>
    <mergeCell ref="C27:J27"/>
    <mergeCell ref="C28:J28"/>
    <mergeCell ref="C36:K36"/>
    <mergeCell ref="C37:K37"/>
    <mergeCell ref="C49:K49"/>
    <mergeCell ref="C51:K51"/>
    <mergeCell ref="C23:C24"/>
    <mergeCell ref="D23:D24"/>
    <mergeCell ref="I23:I24"/>
    <mergeCell ref="J23:J24"/>
    <mergeCell ref="C41:K42"/>
    <mergeCell ref="C46:K47"/>
  </mergeCells>
  <phoneticPr fontId="58" type="noConversion"/>
  <pageMargins left="0.75" right="0.75" top="1" bottom="1" header="0.5" footer="0.5"/>
  <pageSetup paperSize="9" scale="8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2017-05-16T08:15:00Z</cp:lastPrinted>
  <dcterms:created xsi:type="dcterms:W3CDTF">2006-09-16T00:00:00Z</dcterms:created>
  <dcterms:modified xsi:type="dcterms:W3CDTF">2025-02-13T10:06:33Z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3B237CF2922E4FD9BB18A82193AF0491_13</vt:lpwstr>
  </property>
</Properties>
</file>