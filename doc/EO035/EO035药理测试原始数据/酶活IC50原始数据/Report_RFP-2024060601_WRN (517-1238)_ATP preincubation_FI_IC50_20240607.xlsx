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codeName="ThisWorkbook" defaultThemeVersion="124226"/>
  <xr:revisionPtr revIDLastSave="0" documentId="13_ncr:1_{B5DD2835-9654-4BDA-98E1-1E729548C7AB}" xr6:coauthVersionLast="47" xr6:coauthVersionMax="47" xr10:uidLastSave="{00000000-0000-0000-0000-000000000000}"/>
  <bookViews>
    <workbookView xWindow="-110" yWindow="-110" windowWidth="19420" windowHeight="10300" tabRatio="699" activeTab="1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Compound information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4" l="1"/>
  <c r="C39" i="4"/>
  <c r="B40" i="4"/>
  <c r="B39" i="4"/>
  <c r="C17" i="5" l="1"/>
  <c r="B17" i="5"/>
  <c r="A17" i="5"/>
  <c r="O76" i="4"/>
  <c r="N45" i="4"/>
  <c r="N43" i="4"/>
  <c r="O61" i="4"/>
  <c r="A57" i="4"/>
  <c r="A55" i="4"/>
  <c r="B166" i="4"/>
  <c r="B151" i="4"/>
  <c r="C7" i="2"/>
  <c r="C8" i="2"/>
  <c r="C9" i="2"/>
  <c r="C10" i="2"/>
  <c r="C11" i="2"/>
  <c r="R46" i="4"/>
  <c r="Q81" i="4" l="1"/>
  <c r="O63" i="4"/>
  <c r="O64" i="4" s="1"/>
  <c r="O65" i="4" s="1"/>
  <c r="O66" i="4" s="1"/>
  <c r="O67" i="4" s="1"/>
  <c r="O68" i="4" s="1"/>
  <c r="O69" i="4" s="1"/>
  <c r="O70" i="4" s="1"/>
  <c r="O71" i="4" s="1"/>
  <c r="O72" i="4" s="1"/>
  <c r="L51" i="4"/>
  <c r="C132" i="4" s="1"/>
  <c r="O44" i="4"/>
  <c r="Q63" i="4" s="1"/>
  <c r="Q45" i="4"/>
  <c r="P80" i="4" s="1"/>
  <c r="S46" i="4"/>
  <c r="Q82" i="4" s="1"/>
  <c r="U46" i="4"/>
  <c r="Q84" i="4" s="1"/>
  <c r="V46" i="4"/>
  <c r="Q85" i="4" s="1"/>
  <c r="S44" i="4"/>
  <c r="Q67" i="4" s="1"/>
  <c r="W46" i="4"/>
  <c r="Q86" i="4" s="1"/>
  <c r="P44" i="4"/>
  <c r="Q64" i="4" s="1"/>
  <c r="S45" i="4"/>
  <c r="P82" i="4" s="1"/>
  <c r="Q43" i="4"/>
  <c r="P65" i="4" s="1"/>
  <c r="U45" i="4"/>
  <c r="P84" i="4" s="1"/>
  <c r="T44" i="4"/>
  <c r="Q68" i="4" s="1"/>
  <c r="V45" i="4"/>
  <c r="P85" i="4" s="1"/>
  <c r="X46" i="4"/>
  <c r="Q87" i="4" s="1"/>
  <c r="Q44" i="4"/>
  <c r="Q65" i="4" s="1"/>
  <c r="P43" i="4"/>
  <c r="P64" i="4" s="1"/>
  <c r="R43" i="4"/>
  <c r="P66" i="4" s="1"/>
  <c r="S43" i="4"/>
  <c r="P67" i="4" s="1"/>
  <c r="U44" i="4"/>
  <c r="Q69" i="4" s="1"/>
  <c r="W45" i="4"/>
  <c r="P86" i="4" s="1"/>
  <c r="U43" i="4"/>
  <c r="P69" i="4" s="1"/>
  <c r="W44" i="4"/>
  <c r="Q71" i="4" s="1"/>
  <c r="O46" i="4"/>
  <c r="Q78" i="4" s="1"/>
  <c r="O43" i="4"/>
  <c r="P63" i="4" s="1"/>
  <c r="R45" i="4"/>
  <c r="P81" i="4" s="1"/>
  <c r="R44" i="4"/>
  <c r="Q66" i="4" s="1"/>
  <c r="V44" i="4"/>
  <c r="Q70" i="4" s="1"/>
  <c r="V43" i="4"/>
  <c r="P70" i="4" s="1"/>
  <c r="X44" i="4"/>
  <c r="Q72" i="4" s="1"/>
  <c r="P46" i="4"/>
  <c r="Q79" i="4" s="1"/>
  <c r="T46" i="4"/>
  <c r="T45" i="4"/>
  <c r="P83" i="4" s="1"/>
  <c r="T43" i="4"/>
  <c r="P68" i="4" s="1"/>
  <c r="X45" i="4"/>
  <c r="P87" i="4" s="1"/>
  <c r="W43" i="4"/>
  <c r="P71" i="4" s="1"/>
  <c r="O45" i="4"/>
  <c r="P78" i="4" s="1"/>
  <c r="Q46" i="4"/>
  <c r="Q80" i="4" s="1"/>
  <c r="X43" i="4"/>
  <c r="P72" i="4" s="1"/>
  <c r="P45" i="4"/>
  <c r="P79" i="4" s="1"/>
  <c r="O75" i="4"/>
  <c r="O78" i="4"/>
  <c r="O79" i="4" s="1"/>
  <c r="O80" i="4" s="1"/>
  <c r="O81" i="4" s="1"/>
  <c r="O82" i="4" s="1"/>
  <c r="O83" i="4" s="1"/>
  <c r="O84" i="4" s="1"/>
  <c r="O85" i="4" s="1"/>
  <c r="O86" i="4" s="1"/>
  <c r="O87" i="4" s="1"/>
  <c r="O60" i="4"/>
  <c r="E39" i="4"/>
  <c r="D40" i="4"/>
  <c r="F45" i="4"/>
  <c r="I56" i="4"/>
  <c r="F57" i="4"/>
  <c r="F55" i="4"/>
  <c r="L43" i="4"/>
  <c r="C58" i="4"/>
  <c r="I50" i="4"/>
  <c r="C52" i="4"/>
  <c r="F49" i="4"/>
  <c r="C46" i="4"/>
  <c r="L47" i="4"/>
  <c r="I58" i="4"/>
  <c r="I46" i="4"/>
  <c r="L57" i="4"/>
  <c r="L55" i="4"/>
  <c r="I54" i="4"/>
  <c r="F53" i="4"/>
  <c r="C49" i="4"/>
  <c r="F58" i="4"/>
  <c r="L56" i="4"/>
  <c r="I55" i="4"/>
  <c r="F54" i="4"/>
  <c r="L52" i="4"/>
  <c r="I51" i="4"/>
  <c r="F50" i="4"/>
  <c r="L48" i="4"/>
  <c r="I47" i="4"/>
  <c r="F46" i="4"/>
  <c r="L44" i="4"/>
  <c r="I43" i="4"/>
  <c r="F39" i="4"/>
  <c r="C51" i="4"/>
  <c r="H58" i="4"/>
  <c r="E57" i="4"/>
  <c r="K55" i="4"/>
  <c r="H54" i="4"/>
  <c r="E53" i="4"/>
  <c r="K51" i="4"/>
  <c r="H50" i="4"/>
  <c r="E49" i="4"/>
  <c r="K47" i="4"/>
  <c r="H46" i="4"/>
  <c r="E45" i="4"/>
  <c r="K43" i="4"/>
  <c r="C50" i="4"/>
  <c r="G58" i="4"/>
  <c r="D57" i="4"/>
  <c r="J55" i="4"/>
  <c r="G54" i="4"/>
  <c r="D53" i="4"/>
  <c r="J51" i="4"/>
  <c r="G50" i="4"/>
  <c r="D49" i="4"/>
  <c r="J47" i="4"/>
  <c r="G46" i="4"/>
  <c r="D45" i="4"/>
  <c r="J43" i="4"/>
  <c r="C48" i="4"/>
  <c r="E58" i="4"/>
  <c r="K56" i="4"/>
  <c r="H55" i="4"/>
  <c r="E54" i="4"/>
  <c r="K52" i="4"/>
  <c r="H51" i="4"/>
  <c r="E50" i="4"/>
  <c r="K48" i="4"/>
  <c r="H47" i="4"/>
  <c r="E46" i="4"/>
  <c r="K44" i="4"/>
  <c r="H43" i="4"/>
  <c r="C43" i="4"/>
  <c r="C47" i="4"/>
  <c r="D58" i="4"/>
  <c r="J56" i="4"/>
  <c r="G55" i="4"/>
  <c r="D54" i="4"/>
  <c r="J52" i="4"/>
  <c r="G51" i="4"/>
  <c r="D50" i="4"/>
  <c r="J48" i="4"/>
  <c r="G47" i="4"/>
  <c r="D46" i="4"/>
  <c r="J44" i="4"/>
  <c r="G43" i="4"/>
  <c r="K57" i="4"/>
  <c r="E55" i="4"/>
  <c r="H52" i="4"/>
  <c r="C55" i="4"/>
  <c r="L58" i="4"/>
  <c r="I57" i="4"/>
  <c r="F56" i="4"/>
  <c r="L54" i="4"/>
  <c r="I53" i="4"/>
  <c r="F52" i="4"/>
  <c r="L50" i="4"/>
  <c r="I49" i="4"/>
  <c r="F48" i="4"/>
  <c r="L46" i="4"/>
  <c r="I45" i="4"/>
  <c r="F44" i="4"/>
  <c r="D39" i="4"/>
  <c r="L53" i="4"/>
  <c r="I52" i="4"/>
  <c r="F51" i="4"/>
  <c r="L49" i="4"/>
  <c r="I48" i="4"/>
  <c r="F47" i="4"/>
  <c r="L45" i="4"/>
  <c r="I44" i="4"/>
  <c r="F43" i="4"/>
  <c r="C57" i="4"/>
  <c r="C45" i="4"/>
  <c r="H56" i="4"/>
  <c r="K53" i="4"/>
  <c r="E51" i="4"/>
  <c r="K49" i="4"/>
  <c r="H48" i="4"/>
  <c r="E47" i="4"/>
  <c r="K45" i="4"/>
  <c r="H44" i="4"/>
  <c r="E43" i="4"/>
  <c r="C56" i="4"/>
  <c r="C44" i="4"/>
  <c r="J57" i="4"/>
  <c r="G56" i="4"/>
  <c r="D55" i="4"/>
  <c r="J53" i="4"/>
  <c r="G52" i="4"/>
  <c r="D51" i="4"/>
  <c r="J49" i="4"/>
  <c r="G48" i="4"/>
  <c r="D47" i="4"/>
  <c r="J45" i="4"/>
  <c r="G44" i="4"/>
  <c r="D43" i="4"/>
  <c r="C54" i="4"/>
  <c r="K58" i="4"/>
  <c r="H57" i="4"/>
  <c r="E56" i="4"/>
  <c r="K54" i="4"/>
  <c r="H53" i="4"/>
  <c r="E52" i="4"/>
  <c r="K50" i="4"/>
  <c r="H49" i="4"/>
  <c r="E48" i="4"/>
  <c r="K46" i="4"/>
  <c r="H45" i="4"/>
  <c r="E44" i="4"/>
  <c r="C53" i="4"/>
  <c r="J58" i="4"/>
  <c r="G57" i="4"/>
  <c r="D56" i="4"/>
  <c r="J54" i="4"/>
  <c r="G53" i="4"/>
  <c r="D52" i="4"/>
  <c r="J50" i="4"/>
  <c r="G49" i="4"/>
  <c r="D48" i="4"/>
  <c r="J46" i="4"/>
  <c r="G45" i="4"/>
  <c r="D44" i="4"/>
  <c r="B136" i="4"/>
  <c r="S84" i="4" l="1"/>
  <c r="R84" i="4"/>
  <c r="S85" i="4"/>
  <c r="R85" i="4"/>
  <c r="R79" i="4"/>
  <c r="S79" i="4"/>
  <c r="R80" i="4"/>
  <c r="S80" i="4"/>
  <c r="S86" i="4"/>
  <c r="R86" i="4"/>
  <c r="S78" i="4"/>
  <c r="R78" i="4"/>
  <c r="S87" i="4"/>
  <c r="R87" i="4"/>
  <c r="S82" i="4"/>
  <c r="R82" i="4"/>
  <c r="S81" i="4"/>
  <c r="R81" i="4"/>
  <c r="R83" i="4"/>
  <c r="S83" i="4"/>
  <c r="S70" i="4"/>
  <c r="R70" i="4"/>
  <c r="S63" i="4"/>
  <c r="R63" i="4"/>
  <c r="R65" i="4"/>
  <c r="S65" i="4"/>
  <c r="S66" i="4"/>
  <c r="R66" i="4"/>
  <c r="S72" i="4"/>
  <c r="R72" i="4"/>
  <c r="S69" i="4"/>
  <c r="R69" i="4"/>
  <c r="R64" i="4"/>
  <c r="S64" i="4"/>
  <c r="R68" i="4"/>
  <c r="S68" i="4"/>
  <c r="S71" i="4"/>
  <c r="R71" i="4"/>
  <c r="S67" i="4"/>
  <c r="R67" i="4"/>
  <c r="B165" i="4"/>
  <c r="B168" i="4"/>
  <c r="B169" i="4" s="1"/>
  <c r="B170" i="4" s="1"/>
  <c r="B171" i="4" s="1"/>
  <c r="B172" i="4" s="1"/>
  <c r="B173" i="4" s="1"/>
  <c r="B174" i="4" s="1"/>
  <c r="B175" i="4" s="1"/>
  <c r="B176" i="4" s="1"/>
  <c r="B177" i="4" s="1"/>
  <c r="A53" i="4"/>
  <c r="B150" i="4"/>
  <c r="B153" i="4"/>
  <c r="B154" i="4" s="1"/>
  <c r="B155" i="4" s="1"/>
  <c r="B156" i="4" s="1"/>
  <c r="B157" i="4" s="1"/>
  <c r="B158" i="4" s="1"/>
  <c r="B159" i="4" s="1"/>
  <c r="B160" i="4" s="1"/>
  <c r="B161" i="4" s="1"/>
  <c r="B162" i="4" s="1"/>
  <c r="B135" i="4"/>
  <c r="B138" i="4"/>
  <c r="B139" i="4" s="1"/>
  <c r="B140" i="4" s="1"/>
  <c r="B141" i="4" s="1"/>
  <c r="B142" i="4" s="1"/>
  <c r="B143" i="4" s="1"/>
  <c r="B144" i="4" s="1"/>
  <c r="B145" i="4" s="1"/>
  <c r="B146" i="4" s="1"/>
  <c r="B147" i="4" s="1"/>
  <c r="X76" i="4"/>
  <c r="X61" i="4"/>
  <c r="F11" i="2" l="1"/>
  <c r="E11" i="2"/>
  <c r="G11" i="2"/>
  <c r="D11" i="2"/>
  <c r="F10" i="2"/>
  <c r="X78" i="4"/>
  <c r="X63" i="4"/>
  <c r="C3" i="2"/>
  <c r="C4" i="2"/>
  <c r="C5" i="2"/>
  <c r="C6" i="2"/>
  <c r="C2" i="2"/>
  <c r="X77" i="4"/>
  <c r="X62" i="4"/>
  <c r="B61" i="4" l="1"/>
  <c r="A43" i="4"/>
  <c r="B60" i="4" l="1"/>
  <c r="C67" i="4"/>
  <c r="D72" i="4"/>
  <c r="D63" i="4"/>
  <c r="C68" i="4"/>
  <c r="D67" i="4"/>
  <c r="C71" i="4"/>
  <c r="C66" i="4"/>
  <c r="C72" i="4"/>
  <c r="C69" i="4"/>
  <c r="D71" i="4"/>
  <c r="C63" i="4"/>
  <c r="D66" i="4"/>
  <c r="D64" i="4"/>
  <c r="C70" i="4"/>
  <c r="C64" i="4"/>
  <c r="D70" i="4"/>
  <c r="D65" i="4"/>
  <c r="D69" i="4"/>
  <c r="C65" i="4"/>
  <c r="D68" i="4"/>
  <c r="B63" i="4"/>
  <c r="B64" i="4" l="1"/>
  <c r="E63" i="4" l="1"/>
  <c r="F63" i="4"/>
  <c r="B121" i="4"/>
  <c r="B76" i="4"/>
  <c r="B91" i="4"/>
  <c r="B106" i="4"/>
  <c r="B105" i="4" l="1"/>
  <c r="B120" i="4"/>
  <c r="B90" i="4"/>
  <c r="B75" i="4"/>
  <c r="B78" i="4"/>
  <c r="B79" i="4" s="1"/>
  <c r="B80" i="4" s="1"/>
  <c r="B81" i="4" s="1"/>
  <c r="B82" i="4" s="1"/>
  <c r="B83" i="4" s="1"/>
  <c r="B84" i="4" s="1"/>
  <c r="B85" i="4" s="1"/>
  <c r="B86" i="4" s="1"/>
  <c r="B87" i="4" s="1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A49" i="4"/>
  <c r="B124" i="4" l="1"/>
  <c r="B125" i="4" s="1"/>
  <c r="B126" i="4" s="1"/>
  <c r="B127" i="4" s="1"/>
  <c r="B128" i="4" s="1"/>
  <c r="B129" i="4" s="1"/>
  <c r="B130" i="4" s="1"/>
  <c r="B131" i="4" s="1"/>
  <c r="B132" i="4" s="1"/>
  <c r="E66" i="4"/>
  <c r="F66" i="4"/>
  <c r="A51" i="4"/>
  <c r="A47" i="4" l="1"/>
  <c r="A45" i="4"/>
  <c r="C145" i="4" l="1"/>
  <c r="C155" i="4"/>
  <c r="C170" i="4"/>
  <c r="D145" i="4"/>
  <c r="D171" i="4"/>
  <c r="D141" i="4"/>
  <c r="C138" i="4"/>
  <c r="D156" i="4"/>
  <c r="C169" i="4"/>
  <c r="D162" i="4"/>
  <c r="C168" i="4"/>
  <c r="D140" i="4"/>
  <c r="C172" i="4"/>
  <c r="C142" i="4"/>
  <c r="D158" i="4"/>
  <c r="D138" i="4"/>
  <c r="C160" i="4"/>
  <c r="D169" i="4"/>
  <c r="D161" i="4"/>
  <c r="C141" i="4"/>
  <c r="D173" i="4"/>
  <c r="C143" i="4"/>
  <c r="C139" i="4"/>
  <c r="D160" i="4"/>
  <c r="C174" i="4"/>
  <c r="C162" i="4"/>
  <c r="C177" i="4"/>
  <c r="D139" i="4"/>
  <c r="D157" i="4"/>
  <c r="C140" i="4"/>
  <c r="D159" i="4"/>
  <c r="D174" i="4"/>
  <c r="C161" i="4"/>
  <c r="C176" i="4"/>
  <c r="C146" i="4"/>
  <c r="D177" i="4"/>
  <c r="D147" i="4"/>
  <c r="C158" i="4"/>
  <c r="C144" i="4"/>
  <c r="C154" i="4"/>
  <c r="C175" i="4"/>
  <c r="D155" i="4"/>
  <c r="D170" i="4"/>
  <c r="D146" i="4"/>
  <c r="D172" i="4"/>
  <c r="D142" i="4"/>
  <c r="C153" i="4"/>
  <c r="D144" i="4"/>
  <c r="D154" i="4"/>
  <c r="D175" i="4"/>
  <c r="C156" i="4"/>
  <c r="C171" i="4"/>
  <c r="C147" i="4"/>
  <c r="C173" i="4"/>
  <c r="D143" i="4"/>
  <c r="D153" i="4"/>
  <c r="D168" i="4"/>
  <c r="C100" i="4"/>
  <c r="D102" i="4"/>
  <c r="C82" i="4"/>
  <c r="C85" i="4"/>
  <c r="D109" i="4"/>
  <c r="C128" i="4"/>
  <c r="C125" i="4"/>
  <c r="C94" i="4"/>
  <c r="D96" i="4"/>
  <c r="D87" i="4"/>
  <c r="C79" i="4"/>
  <c r="C115" i="4"/>
  <c r="C123" i="4"/>
  <c r="D130" i="4"/>
  <c r="C98" i="4"/>
  <c r="C102" i="4"/>
  <c r="D81" i="4"/>
  <c r="D78" i="4"/>
  <c r="D111" i="4"/>
  <c r="D127" i="4"/>
  <c r="D124" i="4"/>
  <c r="D99" i="4"/>
  <c r="C96" i="4"/>
  <c r="C81" i="4"/>
  <c r="D84" i="4"/>
  <c r="D114" i="4"/>
  <c r="C126" i="4"/>
  <c r="C129" i="4"/>
  <c r="D93" i="4"/>
  <c r="D100" i="4"/>
  <c r="C84" i="4"/>
  <c r="C117" i="4"/>
  <c r="D108" i="4"/>
  <c r="C127" i="4"/>
  <c r="C130" i="4"/>
  <c r="C101" i="4"/>
  <c r="D94" i="4"/>
  <c r="D86" i="4"/>
  <c r="C111" i="4"/>
  <c r="D117" i="4"/>
  <c r="D128" i="4"/>
  <c r="C124" i="4"/>
  <c r="C99" i="4"/>
  <c r="D101" i="4"/>
  <c r="D80" i="4"/>
  <c r="D116" i="4"/>
  <c r="C114" i="4"/>
  <c r="D132" i="4"/>
  <c r="D129" i="4"/>
  <c r="C93" i="4"/>
  <c r="D95" i="4"/>
  <c r="C86" i="4"/>
  <c r="D110" i="4"/>
  <c r="C108" i="4"/>
  <c r="D126" i="4"/>
  <c r="D123" i="4"/>
  <c r="C83" i="4"/>
  <c r="C80" i="4"/>
  <c r="C116" i="4"/>
  <c r="D113" i="4"/>
  <c r="C95" i="4"/>
  <c r="C87" i="4"/>
  <c r="D85" i="4"/>
  <c r="C113" i="4"/>
  <c r="D131" i="4"/>
  <c r="D97" i="4"/>
  <c r="D82" i="4"/>
  <c r="D79" i="4"/>
  <c r="C109" i="4"/>
  <c r="D112" i="4"/>
  <c r="D125" i="4"/>
  <c r="C97" i="4"/>
  <c r="C78" i="4"/>
  <c r="D83" i="4"/>
  <c r="D115" i="4"/>
  <c r="C112" i="4"/>
  <c r="C131" i="4"/>
  <c r="B65" i="4"/>
  <c r="E109" i="4" l="1"/>
  <c r="F109" i="4"/>
  <c r="E101" i="4"/>
  <c r="F101" i="4"/>
  <c r="F81" i="4"/>
  <c r="E81" i="4"/>
  <c r="F115" i="4"/>
  <c r="E115" i="4"/>
  <c r="E161" i="4"/>
  <c r="F161" i="4"/>
  <c r="E143" i="4"/>
  <c r="F143" i="4"/>
  <c r="F168" i="4"/>
  <c r="E168" i="4"/>
  <c r="E80" i="4"/>
  <c r="F80" i="4"/>
  <c r="F114" i="4"/>
  <c r="E114" i="4"/>
  <c r="E130" i="4"/>
  <c r="F130" i="4"/>
  <c r="F96" i="4"/>
  <c r="E96" i="4"/>
  <c r="F79" i="4"/>
  <c r="E79" i="4"/>
  <c r="E116" i="4"/>
  <c r="F116" i="4"/>
  <c r="E83" i="4"/>
  <c r="F83" i="4"/>
  <c r="F127" i="4"/>
  <c r="E127" i="4"/>
  <c r="E141" i="4"/>
  <c r="F141" i="4"/>
  <c r="F169" i="4"/>
  <c r="E169" i="4"/>
  <c r="F173" i="4"/>
  <c r="E173" i="4"/>
  <c r="F140" i="4"/>
  <c r="E140" i="4"/>
  <c r="F117" i="4"/>
  <c r="E117" i="4"/>
  <c r="E94" i="4"/>
  <c r="F94" i="4"/>
  <c r="E147" i="4"/>
  <c r="F147" i="4"/>
  <c r="F175" i="4"/>
  <c r="E175" i="4"/>
  <c r="F138" i="4"/>
  <c r="E138" i="4"/>
  <c r="E112" i="4"/>
  <c r="F112" i="4"/>
  <c r="E113" i="4"/>
  <c r="F113" i="4"/>
  <c r="E99" i="4"/>
  <c r="F99" i="4"/>
  <c r="F84" i="4"/>
  <c r="E84" i="4"/>
  <c r="E125" i="4"/>
  <c r="F125" i="4"/>
  <c r="F171" i="4"/>
  <c r="E171" i="4"/>
  <c r="F154" i="4"/>
  <c r="E154" i="4"/>
  <c r="F157" i="4"/>
  <c r="E157" i="4"/>
  <c r="E110" i="4"/>
  <c r="F110" i="4"/>
  <c r="F108" i="4"/>
  <c r="E108" i="4"/>
  <c r="E124" i="4"/>
  <c r="F124" i="4"/>
  <c r="E128" i="4"/>
  <c r="F128" i="4"/>
  <c r="F156" i="4"/>
  <c r="E156" i="4"/>
  <c r="E144" i="4"/>
  <c r="F144" i="4"/>
  <c r="E177" i="4"/>
  <c r="F177" i="4"/>
  <c r="F160" i="4"/>
  <c r="E160" i="4"/>
  <c r="E158" i="4"/>
  <c r="F158" i="4"/>
  <c r="F162" i="4"/>
  <c r="E162" i="4"/>
  <c r="F78" i="4"/>
  <c r="E78" i="4"/>
  <c r="E87" i="4"/>
  <c r="F87" i="4"/>
  <c r="E86" i="4"/>
  <c r="F86" i="4"/>
  <c r="E129" i="4"/>
  <c r="F129" i="4"/>
  <c r="F102" i="4"/>
  <c r="E102" i="4"/>
  <c r="F85" i="4"/>
  <c r="E85" i="4"/>
  <c r="E174" i="4"/>
  <c r="F174" i="4"/>
  <c r="E95" i="4"/>
  <c r="F95" i="4"/>
  <c r="F111" i="4"/>
  <c r="E111" i="4"/>
  <c r="E126" i="4"/>
  <c r="F126" i="4"/>
  <c r="E98" i="4"/>
  <c r="F98" i="4"/>
  <c r="F82" i="4"/>
  <c r="E82" i="4"/>
  <c r="E142" i="4"/>
  <c r="F142" i="4"/>
  <c r="F170" i="4"/>
  <c r="E170" i="4"/>
  <c r="E131" i="4"/>
  <c r="F131" i="4"/>
  <c r="E97" i="4"/>
  <c r="F97" i="4"/>
  <c r="E132" i="4"/>
  <c r="F132" i="4"/>
  <c r="F153" i="4"/>
  <c r="E153" i="4"/>
  <c r="F146" i="4"/>
  <c r="E146" i="4"/>
  <c r="F139" i="4"/>
  <c r="E139" i="4"/>
  <c r="F172" i="4"/>
  <c r="E172" i="4"/>
  <c r="E155" i="4"/>
  <c r="F155" i="4"/>
  <c r="E93" i="4"/>
  <c r="F93" i="4"/>
  <c r="E123" i="4"/>
  <c r="F123" i="4"/>
  <c r="E100" i="4"/>
  <c r="F100" i="4"/>
  <c r="F176" i="4"/>
  <c r="E176" i="4"/>
  <c r="F159" i="4"/>
  <c r="E159" i="4"/>
  <c r="F145" i="4"/>
  <c r="E145" i="4"/>
  <c r="E72" i="4"/>
  <c r="F72" i="4"/>
  <c r="E67" i="4"/>
  <c r="F67" i="4"/>
  <c r="E69" i="4"/>
  <c r="F69" i="4"/>
  <c r="E65" i="4"/>
  <c r="F65" i="4"/>
  <c r="E68" i="4"/>
  <c r="F68" i="4"/>
  <c r="E70" i="4"/>
  <c r="F70" i="4"/>
  <c r="E71" i="4"/>
  <c r="F71" i="4"/>
  <c r="F64" i="4"/>
  <c r="E64" i="4"/>
  <c r="B66" i="4"/>
  <c r="B67" i="4" s="1"/>
  <c r="B68" i="4" s="1"/>
  <c r="B69" i="4" s="1"/>
  <c r="B70" i="4" s="1"/>
  <c r="B71" i="4" s="1"/>
  <c r="B72" i="4" s="1"/>
  <c r="K76" i="4"/>
  <c r="K106" i="4"/>
  <c r="K166" i="4"/>
  <c r="K136" i="4"/>
  <c r="K121" i="4"/>
  <c r="K61" i="4"/>
  <c r="K91" i="4"/>
  <c r="K151" i="4"/>
  <c r="G8" i="2" l="1"/>
  <c r="F7" i="2"/>
  <c r="K138" i="4"/>
  <c r="K108" i="4"/>
  <c r="F5" i="2"/>
  <c r="K107" i="4"/>
  <c r="K137" i="4"/>
  <c r="K78" i="4" l="1"/>
  <c r="K63" i="4"/>
  <c r="F8" i="2"/>
  <c r="K153" i="4"/>
  <c r="F9" i="2"/>
  <c r="D8" i="2"/>
  <c r="E8" i="2"/>
  <c r="K168" i="4"/>
  <c r="K123" i="4"/>
  <c r="K93" i="4"/>
  <c r="F6" i="2"/>
  <c r="D3" i="2"/>
  <c r="G3" i="2"/>
  <c r="E3" i="2"/>
  <c r="F3" i="2"/>
  <c r="K152" i="4"/>
  <c r="K122" i="4"/>
  <c r="K62" i="4"/>
  <c r="K77" i="4"/>
  <c r="K92" i="4"/>
  <c r="K167" i="4"/>
  <c r="F4" i="2" l="1"/>
  <c r="G2" i="2"/>
  <c r="D2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X61" authorId="0" shapeId="0" xr:uid="{DEF88B19-C1E1-4152-B131-853D79C431DB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X62" authorId="0" shapeId="0" xr:uid="{DC7E3904-D1C7-4939-90F9-433A3396217E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X76" authorId="0" shapeId="0" xr:uid="{A1A355AA-DA78-4C20-9323-E19A30A6722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X77" authorId="0" shapeId="0" xr:uid="{B4650651-F685-401C-B890-CD5EA56819DB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6" authorId="0" shapeId="0" xr:uid="{C0B3AD71-153F-49E4-9E36-901ADB7043AC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7" authorId="0" shapeId="0" xr:uid="{8DBB6E05-1149-4C5A-86A5-8F65041FFE9A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51" authorId="0" shapeId="0" xr:uid="{94A98148-3174-4F33-B64D-B0FD6A65FAB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52" authorId="0" shapeId="0" xr:uid="{9476E93C-AEA8-404B-BE7F-5E94B542DB0F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66" authorId="0" shapeId="0" xr:uid="{D67353D5-64B6-4DB9-8B24-FB6F9EA21058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67" authorId="0" shapeId="0" xr:uid="{EA6EE4B1-84F9-4F61-981E-5597C7C12D9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<sst xmlns="http://schemas.openxmlformats.org/spreadsheetml/2006/main" count="434" uniqueCount="239">
  <si>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</si>
  <si>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</si>
  <si>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</si>
  <si>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</si>
  <si>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</si>
  <si>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</si>
  <si>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</si>
  <si>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</si>
  <si>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</si>
  <si>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</si>
  <si>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</si>
  <si>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</si>
  <si>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</si>
  <si>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</si>
  <si>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</si>
  <si>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</si>
  <si>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</si>
  <si>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</si>
  <si>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</si>
  <si>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</si>
  <si>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</si>
  <si>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</si>
  <si>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</si>
  <si>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</si>
  <si>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</si>
  <si>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</si>
  <si>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</si>
  <si>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</si>
  <si>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AVE(Low Control)</t>
    <phoneticPr fontId="3" type="noConversion"/>
  </si>
  <si>
    <t>AVE(DMSO)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</si>
  <si>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</si>
  <si>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</si>
  <si>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</si>
  <si>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</si>
  <si>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</si>
  <si>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</si>
  <si>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</si>
  <si>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</si>
  <si>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</si>
  <si>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</si>
  <si>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</si>
  <si>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</si>
  <si>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</si>
  <si>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</si>
  <si>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</si>
  <si>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>Assay robustness check with Low control and High control data:</t>
    <phoneticPr fontId="5" type="noConversion"/>
  </si>
  <si>
    <t xml:space="preserve">S/B =ave High control/ave Low control, </t>
    <phoneticPr fontId="5" type="noConversion"/>
  </si>
  <si>
    <t>CV%(Low control)=100* (SD Low control/ave Low control)</t>
    <phoneticPr fontId="5" type="noConversion"/>
  </si>
  <si>
    <t>CV%(High control)=100*( SD High control/ave High control)</t>
    <phoneticPr fontId="5" type="noConversion"/>
  </si>
  <si>
    <t>Z’=1-3*(SD Low control+ SD High control)/(ave High control- ave Low control)</t>
    <phoneticPr fontId="5" type="noConversion"/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</si>
  <si>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</si>
  <si>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</si>
  <si>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</si>
  <si>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</si>
  <si>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</si>
  <si>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</si>
  <si>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</si>
  <si>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</si>
  <si>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Ref</t>
    <phoneticPr fontId="3" type="noConversion"/>
  </si>
  <si>
    <t>10 points</t>
    <phoneticPr fontId="3" type="noConversion"/>
  </si>
  <si>
    <t>DMSO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</si>
  <si>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</si>
  <si>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</si>
  <si>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</si>
  <si>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</si>
  <si>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</si>
  <si>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</si>
  <si>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</si>
  <si>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</si>
  <si>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</si>
  <si>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</si>
  <si>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</si>
  <si>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</si>
  <si>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</si>
  <si>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</si>
  <si>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</si>
  <si>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</si>
  <si>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</si>
  <si>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</si>
  <si>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</si>
  <si>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</si>
  <si>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</si>
  <si>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</si>
  <si>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</si>
  <si>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</si>
  <si>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</si>
  <si>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ICE Bioscience Inc.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</si>
  <si>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</si>
  <si>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</si>
  <si>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</si>
  <si>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</si>
  <si>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Comments</t>
    <phoneticPr fontId="8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</si>
  <si>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</si>
  <si>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</si>
  <si>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</si>
  <si>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</si>
  <si>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</si>
  <si>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</si>
  <si>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</si>
  <si>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</si>
  <si>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</si>
  <si>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</si>
  <si>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t>Percent inhibition(% inh) for compound well = 100*(ave High control - cpd well)/(ave High control - ave Low control)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</si>
  <si>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</si>
  <si>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</si>
  <si>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</si>
  <si>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</si>
  <si>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Compound state</t>
    <phoneticPr fontId="8" type="noConversion"/>
  </si>
  <si>
    <t>Assay date</t>
    <phoneticPr fontId="8" type="noConversion"/>
  </si>
  <si>
    <t>Cmpd-4</t>
    <phoneticPr fontId="3" type="noConversion"/>
  </si>
  <si>
    <t>Cmpd-5</t>
    <phoneticPr fontId="3" type="noConversion"/>
  </si>
  <si>
    <t>Cmpd-6</t>
    <phoneticPr fontId="3" type="noConversion"/>
  </si>
  <si>
    <t>Cmpd-7</t>
    <phoneticPr fontId="3" type="noConversion"/>
  </si>
  <si>
    <t>384-well plate</t>
  </si>
  <si>
    <t>R</t>
    <phoneticPr fontId="5" type="noConversion"/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</si>
  <si>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</si>
  <si>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</si>
  <si>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</si>
  <si>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</si>
  <si>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</si>
  <si>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</si>
  <si>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</si>
  <si>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</si>
  <si>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</si>
  <si>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</si>
  <si>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</si>
  <si>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</si>
  <si>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</si>
  <si>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</si>
  <si>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</si>
  <si>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</si>
  <si>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</si>
  <si>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</si>
  <si>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</si>
  <si>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</si>
  <si>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</si>
  <si>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WRN(517-1238) in FI assay_ATP preincubation</t>
    <phoneticPr fontId="3" type="noConversion"/>
  </si>
  <si>
    <t>SOP-BA-1240</t>
    <phoneticPr fontId="3" type="noConversion"/>
  </si>
  <si>
    <t xml:space="preserve"> capture DNA</t>
    <phoneticPr fontId="5" type="noConversion"/>
  </si>
  <si>
    <t>Genscript</t>
    <phoneticPr fontId="5" type="noConversion"/>
  </si>
  <si>
    <t>/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</si>
  <si>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</si>
  <si>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</si>
  <si>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</si>
  <si>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</si>
  <si>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</si>
  <si>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</si>
  <si>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</si>
  <si>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</si>
  <si>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</si>
  <si>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</si>
  <si>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</si>
  <si>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</si>
  <si>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</si>
  <si>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</si>
  <si>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</si>
  <si>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</si>
  <si>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</si>
  <si>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</si>
  <si>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</si>
  <si>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Dilute compounds 1:3 in succession in DMSO for each column for 10 pts (refer to dilution plate map)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</si>
  <si>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</si>
  <si>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</si>
  <si>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</si>
  <si>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</si>
  <si>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</si>
  <si>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</si>
  <si>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</si>
  <si>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</si>
  <si>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</si>
  <si>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</si>
  <si>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HRO761</t>
  </si>
  <si>
    <t>HY-148699</t>
    <phoneticPr fontId="5" type="noConversion"/>
  </si>
  <si>
    <t>MCE</t>
    <phoneticPr fontId="5" type="noConversion"/>
  </si>
  <si>
    <t xml:space="preserve"> </t>
    <phoneticPr fontId="5" type="noConversion"/>
  </si>
  <si>
    <t>湖北生物医药产业技术研究院有限公司</t>
    <phoneticPr fontId="3" type="noConversion"/>
  </si>
  <si>
    <t>19.86 *</t>
  </si>
  <si>
    <t>Xuewei Wang</t>
    <phoneticPr fontId="3" type="noConversion"/>
  </si>
  <si>
    <t>Siyu Wang</t>
    <phoneticPr fontId="3" type="noConversion"/>
  </si>
  <si>
    <t>RFP-2024060601</t>
    <phoneticPr fontId="3" type="noConversion"/>
  </si>
  <si>
    <r>
      <t>Data exported from BMG as an Excel file is uploaded into http://192.168.2.160:5000/</t>
    </r>
    <r>
      <rPr>
        <sz val="12"/>
        <color theme="1"/>
        <rFont val="微软雅黑"/>
        <family val="1"/>
        <charset val="134"/>
      </rPr>
      <t>体外生物学中心</t>
    </r>
    <r>
      <rPr>
        <sz val="12"/>
        <color theme="1"/>
        <rFont val="Times New Roman"/>
        <family val="1"/>
      </rPr>
      <t>/</t>
    </r>
    <r>
      <rPr>
        <sz val="12"/>
        <color theme="1"/>
        <rFont val="微软雅黑"/>
        <family val="1"/>
        <charset val="134"/>
      </rPr>
      <t>生物化学部</t>
    </r>
    <r>
      <rPr>
        <sz val="12"/>
        <color theme="1"/>
        <rFont val="Times New Roman"/>
        <family val="1"/>
      </rPr>
      <t>/</t>
    </r>
    <r>
      <rPr>
        <sz val="12"/>
        <color theme="1"/>
        <rFont val="微软雅黑"/>
        <family val="1"/>
        <charset val="134"/>
      </rPr>
      <t>酶学筛选室三组客户归档</t>
    </r>
    <r>
      <rPr>
        <sz val="12"/>
        <color theme="1"/>
        <rFont val="Times New Roman"/>
        <family val="1"/>
      </rPr>
      <t>/</t>
    </r>
    <r>
      <rPr>
        <sz val="12"/>
        <color theme="1"/>
        <rFont val="微软雅黑"/>
        <family val="2"/>
        <charset val="134"/>
      </rPr>
      <t>湖北生物</t>
    </r>
    <r>
      <rPr>
        <sz val="12"/>
        <color theme="1"/>
        <rFont val="Times New Roman"/>
        <family val="1"/>
      </rPr>
      <t>/WRN (517-1238)/20240607/RFP-2024060601</t>
    </r>
    <phoneticPr fontId="51" type="noConversion"/>
  </si>
  <si>
    <r>
      <t xml:space="preserve">All test compounds are provided by 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</si>
  <si>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Cmpd-8</t>
    <phoneticPr fontId="3" type="noConversion"/>
  </si>
  <si>
    <t>Cmpd-9</t>
    <phoneticPr fontId="3" type="noConversion"/>
  </si>
  <si>
    <t>HW350003B</t>
  </si>
  <si>
    <t>HW356010</t>
  </si>
  <si>
    <t>HW356022</t>
  </si>
  <si>
    <t>HW356024B</t>
  </si>
  <si>
    <t>HW356024A</t>
  </si>
  <si>
    <t>HW356024-BP</t>
  </si>
  <si>
    <t>HW350004P1</t>
  </si>
  <si>
    <t>HW350004P2</t>
  </si>
  <si>
    <t>HW350003A</t>
    <phoneticPr fontId="5" type="noConversion"/>
  </si>
  <si>
    <t>2024/06/07</t>
    <phoneticPr fontId="3" type="noConversion"/>
  </si>
  <si>
    <t>湖北生物医药产业技术研究院有限公司化合物样品送样单</t>
  </si>
  <si>
    <t>送样人：
（签名）</t>
  </si>
  <si>
    <t>送样日期：
（必填）</t>
  </si>
  <si>
    <r>
      <rPr>
        <b/>
        <sz val="12"/>
        <color theme="1"/>
        <rFont val="宋体"/>
        <family val="3"/>
        <charset val="134"/>
      </rPr>
      <t>样品信息</t>
    </r>
  </si>
  <si>
    <t>化合物编号
（必填）</t>
  </si>
  <si>
    <t>批号</t>
  </si>
  <si>
    <r>
      <rPr>
        <b/>
        <sz val="10"/>
        <color theme="1"/>
        <rFont val="宋体"/>
        <family val="3"/>
        <charset val="134"/>
      </rPr>
      <t>分子量</t>
    </r>
    <r>
      <rPr>
        <b/>
        <sz val="8"/>
        <color theme="1"/>
        <rFont val="宋体"/>
        <family val="3"/>
        <charset val="134"/>
      </rPr>
      <t>（</t>
    </r>
    <r>
      <rPr>
        <b/>
        <sz val="8"/>
        <color theme="1"/>
        <rFont val="Times New Roman"/>
        <family val="1"/>
      </rPr>
      <t>M.W</t>
    </r>
    <r>
      <rPr>
        <b/>
        <sz val="8"/>
        <color theme="1"/>
        <rFont val="宋体"/>
        <family val="3"/>
        <charset val="134"/>
      </rPr>
      <t>)</t>
    </r>
    <r>
      <rPr>
        <b/>
        <sz val="10"/>
        <color theme="1"/>
        <rFont val="宋体"/>
        <family val="3"/>
        <charset val="134"/>
      </rPr>
      <t xml:space="preserve">
（必填）</t>
    </r>
  </si>
  <si>
    <t>纯度</t>
    <phoneticPr fontId="3" type="noConversion"/>
  </si>
  <si>
    <t>样品量（mg）</t>
    <phoneticPr fontId="3" type="noConversion"/>
  </si>
  <si>
    <t>437.46/游离碱</t>
  </si>
  <si>
    <t>3.26</t>
  </si>
  <si>
    <t>HWH817-YBC-035-154-1</t>
  </si>
  <si>
    <t>466.50/游离碱</t>
  </si>
  <si>
    <t>3.48</t>
  </si>
  <si>
    <t>HWH817-LHX-35-028</t>
  </si>
  <si>
    <t>430.2/游离碱</t>
  </si>
  <si>
    <t>3.77</t>
  </si>
  <si>
    <t>455.45/游离碱</t>
  </si>
  <si>
    <t>3.1</t>
  </si>
  <si>
    <t>3.19</t>
  </si>
  <si>
    <t>3.47</t>
  </si>
  <si>
    <t>HWH817-XQ-35-04P1</t>
  </si>
  <si>
    <t>390.2/游离碱</t>
  </si>
  <si>
    <t>8.3</t>
  </si>
  <si>
    <t>HWH817-XQ-35-04P2</t>
  </si>
  <si>
    <t>3.95</t>
  </si>
  <si>
    <r>
      <rPr>
        <b/>
        <sz val="9"/>
        <color theme="1"/>
        <rFont val="宋体"/>
        <family val="3"/>
        <charset val="134"/>
      </rPr>
      <t>接收单位</t>
    </r>
  </si>
  <si>
    <t>储液浓度</t>
    <phoneticPr fontId="3" type="noConversion"/>
  </si>
  <si>
    <t>溶剂体积</t>
    <phoneticPr fontId="3" type="noConversion"/>
  </si>
  <si>
    <t>20 mM</t>
  </si>
  <si>
    <t>40 mM</t>
  </si>
  <si>
    <t>354 μL</t>
    <phoneticPr fontId="3" type="noConversion"/>
  </si>
  <si>
    <t>372 μL</t>
  </si>
  <si>
    <t>437 μL</t>
  </si>
  <si>
    <t>302 μL</t>
  </si>
  <si>
    <t>334 μL</t>
  </si>
  <si>
    <t>357 μL</t>
  </si>
  <si>
    <t>527 μL</t>
  </si>
  <si>
    <t>506 μL</t>
  </si>
  <si>
    <t>-23.96 *</t>
  </si>
  <si>
    <t>45.64 *</t>
  </si>
  <si>
    <t>1.78 *</t>
  </si>
  <si>
    <t>-19.80 *</t>
  </si>
  <si>
    <t>-21.31 *</t>
  </si>
  <si>
    <t>&gt;10000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</si>
</sst>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</numFmts>
  <fonts count="10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微软雅黑"/>
      <family val="1"/>
      <charset val="134"/>
    </font>
    <font>
      <sz val="12"/>
      <color theme="1"/>
      <name val="微软雅黑"/>
      <family val="2"/>
      <charset val="134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b/>
      <sz val="16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8"/>
      <color theme="1"/>
      <name val="Times New Roman"/>
      <family val="1"/>
    </font>
    <font>
      <b/>
      <sz val="9"/>
      <color rgb="FF000000"/>
      <name val="宋体"/>
      <family val="3"/>
      <charset val="134"/>
    </font>
    <font>
      <b/>
      <sz val="9"/>
      <color theme="1"/>
      <name val="Times New Roman"/>
      <family val="1"/>
    </font>
    <font>
      <i/>
      <sz val="15"/>
      <color theme="1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181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1" fillId="37" borderId="0" xfId="0" applyFont="1" applyFill="1" applyAlignment="1">
      <alignment vertical="center"/>
    </xf>
    <xf numFmtId="0" fontId="82" fillId="39" borderId="1" xfId="0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 vertical="center"/>
    </xf>
    <xf numFmtId="1" fontId="81" fillId="0" borderId="1" xfId="0" applyNumberFormat="1" applyFont="1" applyBorder="1" applyAlignment="1">
      <alignment horizontal="center" vertical="center"/>
    </xf>
    <xf numFmtId="0" fontId="81" fillId="40" borderId="1" xfId="0" applyFont="1" applyFill="1" applyBorder="1" applyAlignment="1">
      <alignment horizontal="center" vertical="center"/>
    </xf>
    <xf numFmtId="0" fontId="81" fillId="37" borderId="1" xfId="0" applyFont="1" applyFill="1" applyBorder="1" applyAlignment="1">
      <alignment horizontal="center" vertical="center"/>
    </xf>
    <xf numFmtId="1" fontId="81" fillId="37" borderId="1" xfId="0" applyNumberFormat="1" applyFont="1" applyFill="1" applyBorder="1" applyAlignment="1">
      <alignment horizontal="center" vertical="center"/>
    </xf>
    <xf numFmtId="1" fontId="81" fillId="37" borderId="0" xfId="0" applyNumberFormat="1" applyFont="1" applyFill="1" applyAlignment="1">
      <alignment horizontal="center" vertical="center"/>
    </xf>
    <xf numFmtId="0" fontId="81" fillId="37" borderId="0" xfId="0" applyFont="1" applyFill="1" applyAlignment="1">
      <alignment horizontal="center" vertical="center"/>
    </xf>
    <xf numFmtId="0" fontId="83" fillId="37" borderId="0" xfId="0" applyFont="1" applyFill="1"/>
    <xf numFmtId="1" fontId="81" fillId="43" borderId="1" xfId="0" applyNumberFormat="1" applyFont="1" applyFill="1" applyBorder="1" applyAlignment="1">
      <alignment horizontal="center" vertical="center"/>
    </xf>
    <xf numFmtId="177" fontId="81" fillId="43" borderId="1" xfId="0" applyNumberFormat="1" applyFont="1" applyFill="1" applyBorder="1" applyAlignment="1">
      <alignment horizontal="center" vertical="center"/>
    </xf>
    <xf numFmtId="9" fontId="81" fillId="37" borderId="1" xfId="35895" applyFont="1" applyFill="1" applyBorder="1" applyAlignment="1">
      <alignment horizontal="center" vertical="center"/>
    </xf>
    <xf numFmtId="179" fontId="81" fillId="37" borderId="1" xfId="0" applyNumberFormat="1" applyFont="1" applyFill="1" applyBorder="1" applyAlignment="1">
      <alignment horizontal="center" vertical="center"/>
    </xf>
    <xf numFmtId="1" fontId="81" fillId="42" borderId="1" xfId="0" applyNumberFormat="1" applyFont="1" applyFill="1" applyBorder="1" applyAlignment="1">
      <alignment horizontal="center" vertical="center"/>
    </xf>
    <xf numFmtId="177" fontId="81" fillId="42" borderId="1" xfId="0" applyNumberFormat="1" applyFont="1" applyFill="1" applyBorder="1" applyAlignment="1">
      <alignment horizontal="center" vertical="center"/>
    </xf>
    <xf numFmtId="179" fontId="81" fillId="37" borderId="0" xfId="0" applyNumberFormat="1" applyFont="1" applyFill="1" applyAlignment="1">
      <alignment horizontal="center" vertical="center"/>
    </xf>
    <xf numFmtId="1" fontId="81" fillId="39" borderId="1" xfId="0" applyNumberFormat="1" applyFont="1" applyFill="1" applyBorder="1" applyAlignment="1">
      <alignment horizontal="center" vertical="center"/>
    </xf>
    <xf numFmtId="0" fontId="81" fillId="39" borderId="3" xfId="0" applyFont="1" applyFill="1" applyBorder="1" applyAlignment="1">
      <alignment vertical="center"/>
    </xf>
    <xf numFmtId="0" fontId="81" fillId="39" borderId="5" xfId="0" applyFont="1" applyFill="1" applyBorder="1" applyAlignment="1">
      <alignment vertical="center"/>
    </xf>
    <xf numFmtId="0" fontId="81" fillId="39" borderId="4" xfId="0" applyFont="1" applyFill="1" applyBorder="1" applyAlignment="1">
      <alignment vertical="center"/>
    </xf>
    <xf numFmtId="0" fontId="81" fillId="39" borderId="1" xfId="0" applyFont="1" applyFill="1" applyBorder="1" applyAlignment="1">
      <alignment horizontal="center" vertical="center"/>
    </xf>
    <xf numFmtId="0" fontId="81" fillId="39" borderId="2" xfId="0" applyFont="1" applyFill="1" applyBorder="1" applyAlignment="1">
      <alignment horizontal="center" vertical="center"/>
    </xf>
    <xf numFmtId="178" fontId="81" fillId="40" borderId="1" xfId="0" applyNumberFormat="1" applyFont="1" applyFill="1" applyBorder="1" applyAlignment="1">
      <alignment horizontal="center" vertical="center"/>
    </xf>
    <xf numFmtId="2" fontId="81" fillId="37" borderId="1" xfId="0" applyNumberFormat="1" applyFont="1" applyFill="1" applyBorder="1" applyAlignment="1">
      <alignment horizontal="center" vertical="center"/>
    </xf>
    <xf numFmtId="0" fontId="81" fillId="37" borderId="0" xfId="0" applyFont="1" applyFill="1"/>
    <xf numFmtId="178" fontId="81" fillId="37" borderId="0" xfId="0" applyNumberFormat="1" applyFont="1" applyFill="1" applyAlignment="1">
      <alignment horizontal="center" vertical="center"/>
    </xf>
    <xf numFmtId="0" fontId="81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1" fillId="41" borderId="1" xfId="0" applyNumberFormat="1" applyFont="1" applyFill="1" applyBorder="1" applyAlignment="1">
      <alignment horizontal="center" vertical="center"/>
    </xf>
    <xf numFmtId="181" fontId="81" fillId="37" borderId="1" xfId="0" applyNumberFormat="1" applyFont="1" applyFill="1" applyBorder="1" applyAlignment="1">
      <alignment horizontal="center" vertical="center"/>
    </xf>
    <xf numFmtId="181" fontId="81" fillId="37" borderId="22" xfId="0" applyNumberFormat="1" applyFont="1" applyFill="1" applyBorder="1" applyAlignment="1">
      <alignment horizontal="center" vertical="center"/>
    </xf>
    <xf numFmtId="0" fontId="81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86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87" fillId="62" borderId="5" xfId="0" applyFont="1" applyFill="1" applyBorder="1" applyAlignment="1">
      <alignment horizontal="center" vertical="center"/>
    </xf>
    <xf numFmtId="2" fontId="75" fillId="0" borderId="23" xfId="4" applyNumberFormat="1" applyFont="1" applyBorder="1" applyAlignment="1">
      <alignment horizontal="center" vertical="center"/>
    </xf>
    <xf numFmtId="0" fontId="73" fillId="37" borderId="23" xfId="3" applyFont="1" applyFill="1" applyBorder="1" applyAlignment="1">
      <alignment horizontal="center" vertical="center"/>
    </xf>
    <xf numFmtId="0" fontId="54" fillId="0" borderId="23" xfId="5" applyFont="1" applyBorder="1" applyAlignment="1">
      <alignment horizontal="center" vertical="center" wrapText="1"/>
    </xf>
    <xf numFmtId="2" fontId="71" fillId="0" borderId="23" xfId="4" applyNumberFormat="1" applyFont="1" applyBorder="1" applyAlignment="1">
      <alignment horizontal="center" vertical="center"/>
    </xf>
    <xf numFmtId="1" fontId="74" fillId="0" borderId="23" xfId="4" applyNumberFormat="1" applyFont="1" applyBorder="1" applyAlignment="1">
      <alignment horizontal="center" vertical="center"/>
    </xf>
    <xf numFmtId="181" fontId="71" fillId="0" borderId="23" xfId="4" applyNumberFormat="1" applyFont="1" applyBorder="1" applyAlignment="1">
      <alignment horizontal="center" vertical="center"/>
    </xf>
    <xf numFmtId="0" fontId="54" fillId="0" borderId="23" xfId="4" applyFont="1" applyBorder="1" applyAlignment="1">
      <alignment horizontal="center" vertical="center"/>
    </xf>
    <xf numFmtId="0" fontId="74" fillId="0" borderId="23" xfId="3" applyFont="1" applyBorder="1" applyAlignment="1">
      <alignment horizontal="center" vertical="center"/>
    </xf>
    <xf numFmtId="0" fontId="54" fillId="0" borderId="23" xfId="4" applyFont="1" applyBorder="1" applyAlignment="1">
      <alignment horizontal="center" vertical="center" wrapText="1"/>
    </xf>
    <xf numFmtId="1" fontId="75" fillId="0" borderId="23" xfId="4" applyNumberFormat="1" applyFont="1" applyBorder="1" applyAlignment="1">
      <alignment horizontal="center" vertical="center"/>
    </xf>
    <xf numFmtId="2" fontId="74" fillId="0" borderId="23" xfId="4" applyNumberFormat="1" applyFont="1" applyBorder="1" applyAlignment="1">
      <alignment horizontal="center" vertical="center"/>
    </xf>
    <xf numFmtId="0" fontId="89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3" xfId="25" applyFont="1" applyFill="1" applyBorder="1" applyAlignment="1">
      <alignment horizontal="center" vertical="center" wrapText="1"/>
    </xf>
    <xf numFmtId="0" fontId="69" fillId="0" borderId="23" xfId="25" applyFont="1" applyBorder="1" applyAlignment="1">
      <alignment horizontal="center" vertical="center" wrapText="1"/>
    </xf>
    <xf numFmtId="181" fontId="75" fillId="0" borderId="23" xfId="4" applyNumberFormat="1" applyFont="1" applyBorder="1" applyAlignment="1">
      <alignment horizontal="center" vertical="center"/>
    </xf>
    <xf numFmtId="0" fontId="70" fillId="0" borderId="24" xfId="0" applyFont="1" applyBorder="1" applyAlignment="1" applyProtection="1">
      <alignment vertical="center"/>
      <protection locked="0"/>
    </xf>
    <xf numFmtId="0" fontId="70" fillId="0" borderId="25" xfId="0" applyFont="1" applyBorder="1" applyAlignment="1" applyProtection="1">
      <alignment vertical="center"/>
      <protection locked="0"/>
    </xf>
    <xf numFmtId="0" fontId="70" fillId="0" borderId="27" xfId="0" applyFont="1" applyBorder="1" applyAlignment="1" applyProtection="1">
      <alignment vertical="center"/>
      <protection locked="0"/>
    </xf>
    <xf numFmtId="0" fontId="70" fillId="0" borderId="0" xfId="0" applyFont="1" applyAlignment="1" applyProtection="1">
      <alignment vertical="center"/>
      <protection locked="0"/>
    </xf>
    <xf numFmtId="0" fontId="95" fillId="0" borderId="27" xfId="0" applyFont="1" applyBorder="1" applyAlignment="1" applyProtection="1">
      <alignment horizontal="right" vertical="center" wrapText="1"/>
      <protection locked="0"/>
    </xf>
    <xf numFmtId="0" fontId="95" fillId="0" borderId="0" xfId="0" applyFont="1" applyAlignment="1" applyProtection="1">
      <alignment horizontal="right" vertical="center" wrapText="1"/>
      <protection locked="0"/>
    </xf>
    <xf numFmtId="10" fontId="95" fillId="0" borderId="0" xfId="0" applyNumberFormat="1" applyFont="1" applyAlignment="1" applyProtection="1">
      <alignment horizontal="center" vertical="center" wrapText="1"/>
      <protection locked="0"/>
    </xf>
    <xf numFmtId="0" fontId="95" fillId="0" borderId="0" xfId="0" applyFont="1" applyAlignment="1" applyProtection="1">
      <alignment horizontal="center" vertical="center" wrapText="1"/>
      <protection locked="0"/>
    </xf>
    <xf numFmtId="0" fontId="70" fillId="0" borderId="29" xfId="0" applyFont="1" applyBorder="1" applyAlignment="1" applyProtection="1">
      <alignment horizontal="justify" vertical="top" wrapText="1"/>
      <protection locked="0"/>
    </xf>
    <xf numFmtId="0" fontId="97" fillId="0" borderId="0" xfId="0" applyFont="1" applyAlignment="1" applyProtection="1">
      <alignment horizontal="justify" vertical="top" wrapText="1"/>
      <protection locked="0"/>
    </xf>
    <xf numFmtId="0" fontId="70" fillId="0" borderId="28" xfId="0" applyFont="1" applyBorder="1" applyAlignment="1" applyProtection="1">
      <alignment vertical="center"/>
      <protection locked="0"/>
    </xf>
    <xf numFmtId="0" fontId="95" fillId="37" borderId="30" xfId="0" applyFont="1" applyFill="1" applyBorder="1" applyAlignment="1" applyProtection="1">
      <alignment horizontal="center" vertical="center" wrapText="1"/>
      <protection locked="0"/>
    </xf>
    <xf numFmtId="0" fontId="99" fillId="37" borderId="30" xfId="0" applyFont="1" applyFill="1" applyBorder="1" applyAlignment="1" applyProtection="1">
      <alignment horizontal="center" vertical="center" wrapText="1"/>
      <protection locked="0"/>
    </xf>
    <xf numFmtId="0" fontId="102" fillId="37" borderId="30" xfId="0" applyFont="1" applyFill="1" applyBorder="1" applyAlignment="1" applyProtection="1">
      <alignment horizontal="center" vertical="center" wrapText="1"/>
      <protection locked="0"/>
    </xf>
    <xf numFmtId="0" fontId="0" fillId="0" borderId="30" xfId="0" applyBorder="1" applyAlignment="1">
      <alignment horizontal="center" vertical="center"/>
    </xf>
    <xf numFmtId="0" fontId="2" fillId="37" borderId="30" xfId="2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70" fillId="37" borderId="30" xfId="2" applyFont="1" applyFill="1" applyBorder="1" applyAlignment="1" applyProtection="1">
      <alignment horizontal="center" vertical="center"/>
      <protection locked="0"/>
    </xf>
    <xf numFmtId="0" fontId="70" fillId="0" borderId="30" xfId="0" applyFont="1" applyBorder="1" applyAlignment="1" applyProtection="1">
      <alignment vertical="center"/>
      <protection locked="0"/>
    </xf>
    <xf numFmtId="0" fontId="103" fillId="0" borderId="27" xfId="0" applyFont="1" applyBorder="1" applyAlignment="1" applyProtection="1">
      <alignment horizontal="right" vertical="center" wrapText="1"/>
      <protection locked="0"/>
    </xf>
    <xf numFmtId="0" fontId="103" fillId="0" borderId="32" xfId="0" applyFont="1" applyBorder="1" applyAlignment="1" applyProtection="1">
      <alignment vertical="center"/>
      <protection locked="0"/>
    </xf>
    <xf numFmtId="0" fontId="70" fillId="0" borderId="32" xfId="0" applyFont="1" applyBorder="1" applyAlignment="1" applyProtection="1">
      <alignment horizontal="justify" vertical="top" wrapText="1"/>
      <protection locked="0"/>
    </xf>
    <xf numFmtId="0" fontId="97" fillId="0" borderId="19" xfId="0" applyFont="1" applyBorder="1" applyAlignment="1" applyProtection="1">
      <alignment horizontal="justify" vertical="top" wrapText="1"/>
      <protection locked="0"/>
    </xf>
    <xf numFmtId="0" fontId="97" fillId="0" borderId="15" xfId="0" applyFont="1" applyBorder="1" applyAlignment="1" applyProtection="1">
      <alignment horizontal="justify" vertical="top" wrapText="1"/>
      <protection locked="0"/>
    </xf>
    <xf numFmtId="0" fontId="70" fillId="0" borderId="20" xfId="0" applyFont="1" applyBorder="1" applyAlignment="1" applyProtection="1">
      <alignment vertical="center"/>
      <protection locked="0"/>
    </xf>
    <xf numFmtId="0" fontId="70" fillId="0" borderId="30" xfId="0" applyFont="1" applyBorder="1" applyAlignment="1">
      <alignment horizontal="center" vertical="center"/>
    </xf>
    <xf numFmtId="1" fontId="70" fillId="0" borderId="30" xfId="0" applyNumberFormat="1" applyFont="1" applyBorder="1" applyAlignment="1">
      <alignment horizontal="center" vertical="center"/>
    </xf>
    <xf numFmtId="179" fontId="104" fillId="37" borderId="1" xfId="0" applyNumberFormat="1" applyFont="1" applyFill="1" applyBorder="1" applyAlignment="1">
      <alignment horizontal="center" vertical="center"/>
    </xf>
    <xf numFmtId="1" fontId="71" fillId="0" borderId="23" xfId="4" applyNumberFormat="1" applyFont="1" applyBorder="1" applyAlignment="1">
      <alignment horizontal="center" vertical="center"/>
    </xf>
    <xf numFmtId="0" fontId="77" fillId="35" borderId="0" xfId="27" applyFont="1" applyFill="1" applyAlignment="1">
      <alignment horizontal="center" vertical="center"/>
    </xf>
    <xf numFmtId="0" fontId="54" fillId="0" borderId="23" xfId="4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75" fillId="0" borderId="23" xfId="4" applyNumberFormat="1" applyFont="1" applyBorder="1" applyAlignment="1">
      <alignment horizontal="center" vertical="center" wrapText="1"/>
    </xf>
    <xf numFmtId="49" fontId="75" fillId="0" borderId="23" xfId="4" applyNumberFormat="1" applyFont="1" applyBorder="1" applyAlignment="1">
      <alignment horizontal="center" vertical="center"/>
    </xf>
    <xf numFmtId="2" fontId="75" fillId="37" borderId="23" xfId="4" applyNumberFormat="1" applyFont="1" applyFill="1" applyBorder="1" applyAlignment="1">
      <alignment horizontal="center" vertical="center"/>
    </xf>
    <xf numFmtId="2" fontId="75" fillId="0" borderId="23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179" fontId="81" fillId="40" borderId="3" xfId="0" applyNumberFormat="1" applyFont="1" applyFill="1" applyBorder="1" applyAlignment="1">
      <alignment horizontal="left" vertical="center"/>
    </xf>
    <xf numFmtId="179" fontId="81" fillId="40" borderId="5" xfId="0" applyNumberFormat="1" applyFont="1" applyFill="1" applyBorder="1" applyAlignment="1">
      <alignment horizontal="left" vertical="center"/>
    </xf>
    <xf numFmtId="179" fontId="81" fillId="40" borderId="4" xfId="0" applyNumberFormat="1" applyFont="1" applyFill="1" applyBorder="1" applyAlignment="1">
      <alignment horizontal="left" vertical="center"/>
    </xf>
    <xf numFmtId="0" fontId="81" fillId="0" borderId="16" xfId="0" applyFont="1" applyBorder="1" applyAlignment="1">
      <alignment horizontal="center" vertical="center"/>
    </xf>
    <xf numFmtId="0" fontId="81" fillId="0" borderId="17" xfId="0" applyFont="1" applyBorder="1" applyAlignment="1">
      <alignment horizontal="center" vertical="center"/>
    </xf>
    <xf numFmtId="0" fontId="81" fillId="0" borderId="18" xfId="0" applyFont="1" applyBorder="1" applyAlignment="1">
      <alignment horizontal="center" vertical="center"/>
    </xf>
    <xf numFmtId="0" fontId="81" fillId="0" borderId="19" xfId="0" applyFont="1" applyBorder="1" applyAlignment="1">
      <alignment horizontal="center" vertical="center"/>
    </xf>
    <xf numFmtId="0" fontId="81" fillId="0" borderId="15" xfId="0" applyFont="1" applyBorder="1" applyAlignment="1">
      <alignment horizontal="center" vertical="center"/>
    </xf>
    <xf numFmtId="0" fontId="81" fillId="0" borderId="20" xfId="0" applyFont="1" applyBorder="1" applyAlignment="1">
      <alignment horizontal="center" vertical="center"/>
    </xf>
    <xf numFmtId="0" fontId="81" fillId="40" borderId="16" xfId="0" applyFont="1" applyFill="1" applyBorder="1" applyAlignment="1">
      <alignment horizontal="center" vertical="center"/>
    </xf>
    <xf numFmtId="0" fontId="81" fillId="40" borderId="17" xfId="0" applyFont="1" applyFill="1" applyBorder="1" applyAlignment="1">
      <alignment horizontal="center" vertical="center"/>
    </xf>
    <xf numFmtId="0" fontId="81" fillId="40" borderId="18" xfId="0" applyFont="1" applyFill="1" applyBorder="1" applyAlignment="1">
      <alignment horizontal="center" vertical="center"/>
    </xf>
    <xf numFmtId="0" fontId="81" fillId="40" borderId="19" xfId="0" applyFont="1" applyFill="1" applyBorder="1" applyAlignment="1">
      <alignment horizontal="center" vertical="center"/>
    </xf>
    <xf numFmtId="0" fontId="81" fillId="40" borderId="15" xfId="0" applyFont="1" applyFill="1" applyBorder="1" applyAlignment="1">
      <alignment horizontal="center" vertical="center"/>
    </xf>
    <xf numFmtId="0" fontId="81" fillId="40" borderId="20" xfId="0" applyFont="1" applyFill="1" applyBorder="1" applyAlignment="1">
      <alignment horizontal="center" vertical="center"/>
    </xf>
    <xf numFmtId="10" fontId="71" fillId="0" borderId="24" xfId="0" applyNumberFormat="1" applyFont="1" applyBorder="1" applyAlignment="1" applyProtection="1">
      <alignment horizontal="left" vertical="center" wrapText="1"/>
      <protection locked="0"/>
    </xf>
    <xf numFmtId="10" fontId="71" fillId="0" borderId="25" xfId="0" applyNumberFormat="1" applyFont="1" applyBorder="1" applyAlignment="1" applyProtection="1">
      <alignment horizontal="left" vertical="center" wrapText="1"/>
      <protection locked="0"/>
    </xf>
    <xf numFmtId="10" fontId="71" fillId="0" borderId="26" xfId="0" applyNumberFormat="1" applyFont="1" applyBorder="1" applyAlignment="1" applyProtection="1">
      <alignment horizontal="left" vertical="center" wrapText="1"/>
      <protection locked="0"/>
    </xf>
    <xf numFmtId="0" fontId="94" fillId="0" borderId="25" xfId="0" applyFont="1" applyBorder="1" applyAlignment="1" applyProtection="1">
      <alignment horizontal="center" vertical="center" wrapText="1"/>
      <protection locked="0"/>
    </xf>
    <xf numFmtId="0" fontId="94" fillId="0" borderId="26" xfId="0" applyFont="1" applyBorder="1" applyAlignment="1" applyProtection="1">
      <alignment horizontal="center" vertical="center" wrapText="1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0" fillId="0" borderId="28" xfId="0" applyFont="1" applyBorder="1" applyAlignment="1" applyProtection="1">
      <alignment horizontal="center" vertical="center"/>
      <protection locked="0"/>
    </xf>
    <xf numFmtId="0" fontId="96" fillId="0" borderId="27" xfId="0" applyFont="1" applyBorder="1" applyAlignment="1" applyProtection="1">
      <alignment horizontal="justify" vertical="top" wrapText="1"/>
      <protection locked="0"/>
    </xf>
    <xf numFmtId="0" fontId="96" fillId="0" borderId="0" xfId="0" applyFont="1" applyAlignment="1" applyProtection="1">
      <alignment horizontal="justify" vertical="top" wrapText="1"/>
      <protection locked="0"/>
    </xf>
    <xf numFmtId="0" fontId="18" fillId="63" borderId="30" xfId="0" applyFont="1" applyFill="1" applyBorder="1" applyAlignment="1" applyProtection="1">
      <alignment horizontal="center" vertical="center" wrapText="1"/>
      <protection locked="0"/>
    </xf>
    <xf numFmtId="0" fontId="71" fillId="63" borderId="30" xfId="0" applyFont="1" applyFill="1" applyBorder="1" applyAlignment="1" applyProtection="1">
      <alignment vertical="center"/>
      <protection locked="0"/>
    </xf>
    <xf numFmtId="0" fontId="18" fillId="63" borderId="24" xfId="0" applyFont="1" applyFill="1" applyBorder="1" applyAlignment="1" applyProtection="1">
      <alignment horizontal="center" vertical="center" wrapText="1"/>
      <protection locked="0"/>
    </xf>
    <xf numFmtId="0" fontId="18" fillId="63" borderId="25" xfId="0" applyFont="1" applyFill="1" applyBorder="1" applyAlignment="1" applyProtection="1">
      <alignment horizontal="center" vertical="center" wrapText="1"/>
      <protection locked="0"/>
    </xf>
    <xf numFmtId="0" fontId="18" fillId="63" borderId="26" xfId="0" applyFont="1" applyFill="1" applyBorder="1" applyAlignment="1" applyProtection="1">
      <alignment horizontal="center" vertical="center" wrapText="1"/>
      <protection locked="0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externalLink" Target="externalLinks/externalLink1.xml" Id="rId6" /><Relationship Type="http://schemas.openxmlformats.org/officeDocument/2006/relationships/worksheet" Target="worksheets/sheet5.xml" Id="rId5" /><Relationship Type="http://schemas.openxmlformats.org/officeDocument/2006/relationships/calcChain" Target="calcChain.xml" Id="rId10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0" Type="http://schemas.openxmlformats.org/officeDocument/2006/relationships/image" Target="../media/image12.emf"/><Relationship Id="rId4" Type="http://schemas.openxmlformats.org/officeDocument/2006/relationships/image" Target="../media/image6.emf"/><Relationship Id="rId9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65</xdr:row>
          <xdr:rowOff>0</xdr:rowOff>
        </xdr:from>
        <xdr:to>
          <xdr:col>9</xdr:col>
          <xdr:colOff>717550</xdr:colOff>
          <xdr:row>72</xdr:row>
          <xdr:rowOff>95250</xdr:rowOff>
        </xdr:to>
        <xdr:sp macro="" textlink="">
          <xdr:nvSpPr>
            <xdr:cNvPr id="12118" name="XLfitRepository" hidden="1">
              <a:extLst>
                <a:ext uri="{63B3BB69-23CF-44E3-9099-C40C66FF867C}">
                  <a14:compatExt spid="_x0000_s12118"/>
                </a:ext>
                <a:ext uri="{FF2B5EF4-FFF2-40B4-BE49-F238E27FC236}">
                  <a16:creationId xmlns:a16="http://schemas.microsoft.com/office/drawing/2014/main" id="{00000000-0008-0000-0300-000056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59</xdr:row>
          <xdr:rowOff>95250</xdr:rowOff>
        </xdr:from>
        <xdr:to>
          <xdr:col>13</xdr:col>
          <xdr:colOff>469900</xdr:colOff>
          <xdr:row>69</xdr:row>
          <xdr:rowOff>165100</xdr:rowOff>
        </xdr:to>
        <xdr:sp macro="" textlink="">
          <xdr:nvSpPr>
            <xdr:cNvPr id="12119" name="XLfitChart2D K62" hidden="1">
              <a:extLst>
                <a:ext uri="{63B3BB69-23CF-44E3-9099-C40C66FF867C}">
                  <a14:compatExt spid="_x0000_s12119"/>
                </a:ext>
                <a:ext uri="{FF2B5EF4-FFF2-40B4-BE49-F238E27FC236}">
                  <a16:creationId xmlns:a16="http://schemas.microsoft.com/office/drawing/2014/main" id="{00000000-0008-0000-0300-000057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59</xdr:row>
          <xdr:rowOff>107950</xdr:rowOff>
        </xdr:from>
        <xdr:to>
          <xdr:col>27</xdr:col>
          <xdr:colOff>209550</xdr:colOff>
          <xdr:row>69</xdr:row>
          <xdr:rowOff>171450</xdr:rowOff>
        </xdr:to>
        <xdr:sp macro="" textlink="">
          <xdr:nvSpPr>
            <xdr:cNvPr id="12120" name="XLfitChart2D X62" hidden="1">
              <a:extLst>
                <a:ext uri="{63B3BB69-23CF-44E3-9099-C40C66FF867C}">
                  <a14:compatExt spid="_x0000_s12120"/>
                </a:ext>
                <a:ext uri="{FF2B5EF4-FFF2-40B4-BE49-F238E27FC236}">
                  <a16:creationId xmlns:a16="http://schemas.microsoft.com/office/drawing/2014/main" id="{00000000-0008-0000-0300-000058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74</xdr:row>
          <xdr:rowOff>88900</xdr:rowOff>
        </xdr:from>
        <xdr:to>
          <xdr:col>13</xdr:col>
          <xdr:colOff>469900</xdr:colOff>
          <xdr:row>84</xdr:row>
          <xdr:rowOff>152400</xdr:rowOff>
        </xdr:to>
        <xdr:sp macro="" textlink="">
          <xdr:nvSpPr>
            <xdr:cNvPr id="12121" name="XLfitChart2D K77" hidden="1">
              <a:extLst>
                <a:ext uri="{63B3BB69-23CF-44E3-9099-C40C66FF867C}">
                  <a14:compatExt spid="_x0000_s12121"/>
                </a:ext>
                <a:ext uri="{FF2B5EF4-FFF2-40B4-BE49-F238E27FC236}">
                  <a16:creationId xmlns:a16="http://schemas.microsoft.com/office/drawing/2014/main" id="{00000000-0008-0000-0300-000059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31750</xdr:colOff>
          <xdr:row>74</xdr:row>
          <xdr:rowOff>95250</xdr:rowOff>
        </xdr:from>
        <xdr:to>
          <xdr:col>27</xdr:col>
          <xdr:colOff>241300</xdr:colOff>
          <xdr:row>84</xdr:row>
          <xdr:rowOff>165100</xdr:rowOff>
        </xdr:to>
        <xdr:sp macro="" textlink="">
          <xdr:nvSpPr>
            <xdr:cNvPr id="12122" name="XLfitChart2D X77" hidden="1">
              <a:extLst>
                <a:ext uri="{63B3BB69-23CF-44E3-9099-C40C66FF867C}">
                  <a14:compatExt spid="_x0000_s12122"/>
                </a:ext>
                <a:ext uri="{FF2B5EF4-FFF2-40B4-BE49-F238E27FC236}">
                  <a16:creationId xmlns:a16="http://schemas.microsoft.com/office/drawing/2014/main" id="{00000000-0008-0000-0300-00005A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31750</xdr:colOff>
          <xdr:row>89</xdr:row>
          <xdr:rowOff>88900</xdr:rowOff>
        </xdr:from>
        <xdr:to>
          <xdr:col>13</xdr:col>
          <xdr:colOff>495300</xdr:colOff>
          <xdr:row>99</xdr:row>
          <xdr:rowOff>152400</xdr:rowOff>
        </xdr:to>
        <xdr:sp macro="" textlink="">
          <xdr:nvSpPr>
            <xdr:cNvPr id="12123" name="XLfitChart2D K92" hidden="1">
              <a:extLst>
                <a:ext uri="{63B3BB69-23CF-44E3-9099-C40C66FF867C}">
                  <a14:compatExt spid="_x0000_s12123"/>
                </a:ext>
                <a:ext uri="{FF2B5EF4-FFF2-40B4-BE49-F238E27FC236}">
                  <a16:creationId xmlns:a16="http://schemas.microsoft.com/office/drawing/2014/main" id="{00000000-0008-0000-0300-00005B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104</xdr:row>
          <xdr:rowOff>184150</xdr:rowOff>
        </xdr:from>
        <xdr:to>
          <xdr:col>13</xdr:col>
          <xdr:colOff>469900</xdr:colOff>
          <xdr:row>115</xdr:row>
          <xdr:rowOff>0</xdr:rowOff>
        </xdr:to>
        <xdr:sp macro="" textlink="">
          <xdr:nvSpPr>
            <xdr:cNvPr id="12124" name="XLfitChart2D K107" hidden="1">
              <a:extLst>
                <a:ext uri="{63B3BB69-23CF-44E3-9099-C40C66FF867C}">
                  <a14:compatExt spid="_x0000_s12124"/>
                </a:ext>
                <a:ext uri="{FF2B5EF4-FFF2-40B4-BE49-F238E27FC236}">
                  <a16:creationId xmlns:a16="http://schemas.microsoft.com/office/drawing/2014/main" id="{00000000-0008-0000-0300-00005C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119</xdr:row>
          <xdr:rowOff>152400</xdr:rowOff>
        </xdr:from>
        <xdr:to>
          <xdr:col>13</xdr:col>
          <xdr:colOff>469900</xdr:colOff>
          <xdr:row>129</xdr:row>
          <xdr:rowOff>222250</xdr:rowOff>
        </xdr:to>
        <xdr:sp macro="" textlink="">
          <xdr:nvSpPr>
            <xdr:cNvPr id="12125" name="XLfitChart2D K122" hidden="1">
              <a:extLst>
                <a:ext uri="{63B3BB69-23CF-44E3-9099-C40C66FF867C}">
                  <a14:compatExt spid="_x0000_s12125"/>
                </a:ext>
                <a:ext uri="{FF2B5EF4-FFF2-40B4-BE49-F238E27FC236}">
                  <a16:creationId xmlns:a16="http://schemas.microsoft.com/office/drawing/2014/main" id="{00000000-0008-0000-0300-00005D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134</xdr:row>
          <xdr:rowOff>107950</xdr:rowOff>
        </xdr:from>
        <xdr:to>
          <xdr:col>13</xdr:col>
          <xdr:colOff>476250</xdr:colOff>
          <xdr:row>144</xdr:row>
          <xdr:rowOff>171450</xdr:rowOff>
        </xdr:to>
        <xdr:sp macro="" textlink="">
          <xdr:nvSpPr>
            <xdr:cNvPr id="12126" name="XLfitChart2D K137" hidden="1">
              <a:extLst>
                <a:ext uri="{63B3BB69-23CF-44E3-9099-C40C66FF867C}">
                  <a14:compatExt spid="_x0000_s12126"/>
                </a:ext>
                <a:ext uri="{FF2B5EF4-FFF2-40B4-BE49-F238E27FC236}">
                  <a16:creationId xmlns:a16="http://schemas.microsoft.com/office/drawing/2014/main" id="{00000000-0008-0000-0300-00005E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149</xdr:row>
          <xdr:rowOff>203200</xdr:rowOff>
        </xdr:from>
        <xdr:to>
          <xdr:col>13</xdr:col>
          <xdr:colOff>469900</xdr:colOff>
          <xdr:row>160</xdr:row>
          <xdr:rowOff>31750</xdr:rowOff>
        </xdr:to>
        <xdr:sp macro="" textlink="">
          <xdr:nvSpPr>
            <xdr:cNvPr id="12127" name="XLfitChart2D K152" hidden="1">
              <a:extLst>
                <a:ext uri="{63B3BB69-23CF-44E3-9099-C40C66FF867C}">
                  <a14:compatExt spid="_x0000_s12127"/>
                </a:ext>
                <a:ext uri="{FF2B5EF4-FFF2-40B4-BE49-F238E27FC236}">
                  <a16:creationId xmlns:a16="http://schemas.microsoft.com/office/drawing/2014/main" id="{00000000-0008-0000-0300-00005F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163</xdr:row>
          <xdr:rowOff>165100</xdr:rowOff>
        </xdr:from>
        <xdr:to>
          <xdr:col>13</xdr:col>
          <xdr:colOff>476250</xdr:colOff>
          <xdr:row>173</xdr:row>
          <xdr:rowOff>228600</xdr:rowOff>
        </xdr:to>
        <xdr:sp macro="" textlink="">
          <xdr:nvSpPr>
            <xdr:cNvPr id="12128" name="XLfitChart2D K167" hidden="1">
              <a:extLst>
                <a:ext uri="{63B3BB69-23CF-44E3-9099-C40C66FF867C}">
                  <a14:compatExt spid="_x0000_s12128"/>
                </a:ext>
                <a:ext uri="{FF2B5EF4-FFF2-40B4-BE49-F238E27FC236}">
                  <a16:creationId xmlns:a16="http://schemas.microsoft.com/office/drawing/2014/main" id="{00000000-0008-0000-0300-0000602F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9525</xdr:rowOff>
    </xdr:from>
    <xdr:to>
      <xdr:col>0</xdr:col>
      <xdr:colOff>1447801</xdr:colOff>
      <xdr:row>5</xdr:row>
      <xdr:rowOff>183239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" y="352425"/>
          <a:ext cx="1447800" cy="9166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XLfit4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image" Target="/xl/media/image4.png" Id="rI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2.bin" Id="rId1" /><Relationship Type="http://schemas.openxmlformats.org/officeDocument/2006/relationships/image" Target="/xl/media/image4.png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Relationship Type="http://schemas.openxmlformats.org/officeDocument/2006/relationships/image" Target="/xl/media/image4.png" Id="rI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image" Target="../media/image4.emf" Id="rId8" /><Relationship Type="http://schemas.openxmlformats.org/officeDocument/2006/relationships/oleObject" Target="../embeddings/oleObject5.bin" Id="rId13" /><Relationship Type="http://schemas.openxmlformats.org/officeDocument/2006/relationships/image" Target="../media/image9.emf" Id="rId18" /><Relationship Type="http://schemas.openxmlformats.org/officeDocument/2006/relationships/image" Target="../media/image13.emf" Id="rId26" /><Relationship Type="http://schemas.openxmlformats.org/officeDocument/2006/relationships/vmlDrawing" Target="../drawings/vmlDrawing1.vml" Id="rId3" /><Relationship Type="http://schemas.openxmlformats.org/officeDocument/2006/relationships/oleObject" Target="../embeddings/oleObject9.bin" Id="rId21" /><Relationship Type="http://schemas.openxmlformats.org/officeDocument/2006/relationships/oleObject" Target="../embeddings/oleObject2.bin" Id="rId7" /><Relationship Type="http://schemas.openxmlformats.org/officeDocument/2006/relationships/image" Target="../media/image6.emf" Id="rId12" /><Relationship Type="http://schemas.openxmlformats.org/officeDocument/2006/relationships/oleObject" Target="../embeddings/oleObject7.bin" Id="rId17" /><Relationship Type="http://schemas.openxmlformats.org/officeDocument/2006/relationships/oleObject" Target="../embeddings/oleObject11.bin" Id="rId25" /><Relationship Type="http://schemas.openxmlformats.org/officeDocument/2006/relationships/drawing" Target="../drawings/drawing2.xml" Id="rId2" /><Relationship Type="http://schemas.openxmlformats.org/officeDocument/2006/relationships/image" Target="../media/image8.emf" Id="rId16" /><Relationship Type="http://schemas.openxmlformats.org/officeDocument/2006/relationships/image" Target="../media/image10.emf" Id="rId20" /><Relationship Type="http://schemas.openxmlformats.org/officeDocument/2006/relationships/printerSettings" Target="../printerSettings/printerSettings4.bin" Id="rId1" /><Relationship Type="http://schemas.openxmlformats.org/officeDocument/2006/relationships/image" Target="../media/image3.emf" Id="rId6" /><Relationship Type="http://schemas.openxmlformats.org/officeDocument/2006/relationships/oleObject" Target="../embeddings/oleObject4.bin" Id="rId11" /><Relationship Type="http://schemas.openxmlformats.org/officeDocument/2006/relationships/image" Target="../media/image12.emf" Id="rId24" /><Relationship Type="http://schemas.openxmlformats.org/officeDocument/2006/relationships/oleObject" Target="../embeddings/oleObject1.bin" Id="rId5" /><Relationship Type="http://schemas.openxmlformats.org/officeDocument/2006/relationships/oleObject" Target="../embeddings/oleObject6.bin" Id="rId15" /><Relationship Type="http://schemas.openxmlformats.org/officeDocument/2006/relationships/oleObject" Target="../embeddings/oleObject10.bin" Id="rId23" /><Relationship Type="http://schemas.openxmlformats.org/officeDocument/2006/relationships/image" Target="../media/image5.emf" Id="rId10" /><Relationship Type="http://schemas.openxmlformats.org/officeDocument/2006/relationships/oleObject" Target="../embeddings/oleObject8.bin" Id="rId19" /><Relationship Type="http://schemas.openxmlformats.org/officeDocument/2006/relationships/oleObject" Target="../embeddings/oleObject3.bin" Id="rId9" /><Relationship Type="http://schemas.openxmlformats.org/officeDocument/2006/relationships/image" Target="../media/image7.emf" Id="rId14" /><Relationship Type="http://schemas.openxmlformats.org/officeDocument/2006/relationships/image" Target="../media/image11.emf" Id="rId22" /><Relationship Type="http://schemas.openxmlformats.org/officeDocument/2006/relationships/comments" Target="../comments1.xml" Id="rId27" /><Relationship Type="http://schemas.openxmlformats.org/officeDocument/2006/relationships/image" Target="/xl/media/image4.png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../drawings/drawing3.xml" Id="rId2" /><Relationship Type="http://schemas.openxmlformats.org/officeDocument/2006/relationships/printerSettings" Target="../printerSettings/printerSettings5.bin" Id="rId1" /><Relationship Type="http://schemas.openxmlformats.org/officeDocument/2006/relationships/image" Target="/xl/media/image4.png" Id="rId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000-000000000000}">
  <x:sheetPr codeName="Sheet1"/>
  <x:dimension ref="A4:X1151"/>
  <x:sheetViews>
    <x:sheetView workbookViewId="0">
      <x:selection activeCell="C24" sqref="C24"/>
    </x:sheetView>
  </x:sheetViews>
  <x:sheetFormatPr defaultColWidth="9" defaultRowHeight="15.5" x14ac:dyDescent="0.25"/>
  <x:cols>
    <x:col min="1" max="1" width="7.7265625" style="18" customWidth="1"/>
    <x:col min="2" max="2" width="22.6328125" style="26" customWidth="1"/>
    <x:col min="3" max="3" width="31.7265625" style="26" customWidth="1"/>
    <x:col min="4" max="4" width="29.453125" style="26" customWidth="1"/>
    <x:col min="5" max="5" width="36.90625" style="34" customWidth="1"/>
    <x:col min="6" max="6" width="37" style="34" customWidth="1"/>
    <x:col min="7" max="23" width="7.90625" style="34" customWidth="1"/>
    <x:col min="24" max="24" width="7.90625" style="19" customWidth="1"/>
    <x:col min="25" max="16384" width="9" style="20"/>
  </x:cols>
  <x:sheetData>
    <x:row r="4" spans="1:24" s="32" customFormat="1" ht="25.5" x14ac:dyDescent="0.25">
      <x:c r="A4" s="29"/>
      <x:c r="B4" s="144" t="s">
        <x:v>73</x:v>
      </x:c>
      <x:c r="C4" s="144"/>
      <x:c r="D4" s="144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1"/>
    </x:row>
    <x:row r="5" spans="1:24" x14ac:dyDescent="0.25">
      <x:c r="A5" s="26"/>
      <x:c r="B5" s="27"/>
      <x:c r="E5" s="33"/>
      <x:c r="F5" s="33"/>
      <x:c r="G5" s="33"/>
      <x:c r="H5" s="33"/>
    </x:row>
    <x:row r="6" spans="1:24" ht="15.65" customHeight="1" x14ac:dyDescent="0.25">
      <x:c r="A6" s="26"/>
      <x:c r="B6" s="27"/>
      <x:c r="E6" s="33"/>
      <x:c r="F6" s="33"/>
      <x:c r="G6" s="33"/>
      <x:c r="H6" s="33"/>
    </x:row>
    <x:row r="7" spans="1:24" ht="15.65" customHeight="1" x14ac:dyDescent="0.25"/>
    <x:row r="8" spans="1:24" s="22" customFormat="1" ht="15.65" customHeight="1" x14ac:dyDescent="0.25">
      <x:c r="A8" s="25"/>
      <x:c r="B8" s="35" t="s">
        <x:v>74</x:v>
      </x:c>
      <x:c r="C8" s="36" t="s">
        <x:v>134</x:v>
      </x:c>
      <x:c r="D8" s="18"/>
      <x:c r="E8" s="37"/>
      <x:c r="F8" s="37"/>
      <x:c r="G8" s="37"/>
      <x:c r="H8" s="37"/>
      <x:c r="I8" s="37"/>
      <x:c r="J8" s="37"/>
      <x:c r="K8" s="37"/>
      <x:c r="L8" s="37"/>
      <x:c r="M8" s="37"/>
      <x:c r="N8" s="37"/>
      <x:c r="O8" s="37"/>
      <x:c r="P8" s="37"/>
      <x:c r="Q8" s="37"/>
      <x:c r="R8" s="37"/>
      <x:c r="S8" s="37"/>
      <x:c r="T8" s="37"/>
      <x:c r="U8" s="37"/>
      <x:c r="V8" s="37"/>
      <x:c r="W8" s="37"/>
      <x:c r="X8" s="21"/>
    </x:row>
    <x:row r="9" spans="1:24" s="22" customFormat="1" ht="15.65" customHeight="1" x14ac:dyDescent="0.25">
      <x:c r="A9" s="25"/>
      <x:c r="B9" s="35" t="s">
        <x:v>75</x:v>
      </x:c>
      <x:c r="C9" s="38" t="s">
        <x:v>135</x:v>
      </x:c>
      <x:c r="D9" s="25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37"/>
      <x:c r="Q9" s="37"/>
      <x:c r="R9" s="37"/>
      <x:c r="S9" s="37"/>
      <x:c r="T9" s="37"/>
      <x:c r="U9" s="37"/>
      <x:c r="V9" s="37"/>
      <x:c r="W9" s="37"/>
      <x:c r="X9" s="21"/>
    </x:row>
    <x:row r="10" spans="1:24" s="22" customFormat="1" ht="15.65" customHeight="1" x14ac:dyDescent="0.25">
      <x:c r="A10" s="25"/>
      <x:c r="B10" s="39" t="s">
        <x:v>76</x:v>
      </x:c>
      <x:c r="C10" s="88" t="s">
        <x:v>179</x:v>
      </x:c>
      <x:c r="D10" s="40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37"/>
      <x:c r="Q10" s="37"/>
      <x:c r="R10" s="37"/>
      <x:c r="S10" s="37"/>
      <x:c r="T10" s="37"/>
      <x:c r="U10" s="37"/>
      <x:c r="V10" s="37"/>
      <x:c r="W10" s="37"/>
      <x:c r="X10" s="21"/>
    </x:row>
    <x:row r="11" spans="1:24" s="22" customFormat="1" ht="15.65" customHeight="1" x14ac:dyDescent="0.25">
      <x:c r="A11" s="25"/>
      <x:c r="B11" s="39"/>
      <x:c r="C11" s="105"/>
      <x:c r="D11" s="41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  <x:c r="Q11" s="37"/>
      <x:c r="R11" s="37"/>
      <x:c r="S11" s="37"/>
      <x:c r="T11" s="37"/>
      <x:c r="U11" s="37"/>
      <x:c r="V11" s="37"/>
      <x:c r="W11" s="37"/>
      <x:c r="X11" s="21"/>
    </x:row>
    <x:row r="12" spans="1:24" s="22" customFormat="1" ht="15.65" customHeight="1" x14ac:dyDescent="0.25">
      <x:c r="A12" s="25"/>
      <x:c r="B12" s="39" t="s">
        <x:v>77</x:v>
      </x:c>
      <x:c r="C12" s="41" t="s">
        <x:v>115</x:v>
      </x:c>
      <x:c r="D12" s="41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37"/>
      <x:c r="Q12" s="37"/>
      <x:c r="R12" s="37"/>
      <x:c r="S12" s="37"/>
      <x:c r="T12" s="37"/>
      <x:c r="U12" s="37"/>
      <x:c r="V12" s="37"/>
      <x:c r="W12" s="37"/>
      <x:c r="X12" s="21"/>
    </x:row>
    <x:row r="13" spans="1:24" s="22" customFormat="1" ht="15.65" customHeight="1" x14ac:dyDescent="0.25">
      <x:c r="A13" s="25"/>
      <x:c r="B13" s="39" t="s">
        <x:v>78</x:v>
      </x:c>
      <x:c r="C13" s="89">
        <x:v>45450</x:v>
      </x:c>
      <x:c r="D13" s="42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  <x:c r="Q13" s="37"/>
      <x:c r="R13" s="37"/>
      <x:c r="S13" s="37"/>
      <x:c r="T13" s="37"/>
      <x:c r="U13" s="37"/>
      <x:c r="V13" s="37"/>
      <x:c r="W13" s="37"/>
      <x:c r="X13" s="21"/>
    </x:row>
    <x:row r="14" spans="1:24" s="22" customFormat="1" ht="15.65" customHeight="1" x14ac:dyDescent="0.25">
      <x:c r="A14" s="25"/>
      <x:c r="B14" s="39" t="s">
        <x:v>79</x:v>
      </x:c>
      <x:c r="C14" s="89">
        <x:v>45450</x:v>
      </x:c>
      <x:c r="D14" s="42"/>
      <x:c r="E14" s="37"/>
      <x:c r="F14" s="37"/>
      <x:c r="G14" s="37"/>
      <x:c r="H14" s="37"/>
      <x:c r="I14" s="37"/>
      <x:c r="J14" s="37"/>
      <x:c r="K14" s="37"/>
      <x:c r="L14" s="37"/>
      <x:c r="M14" s="37"/>
      <x:c r="N14" s="37"/>
      <x:c r="O14" s="37"/>
      <x:c r="P14" s="37"/>
      <x:c r="Q14" s="37"/>
      <x:c r="R14" s="37"/>
      <x:c r="S14" s="37"/>
      <x:c r="T14" s="37"/>
      <x:c r="U14" s="37"/>
      <x:c r="V14" s="37"/>
      <x:c r="W14" s="37"/>
      <x:c r="X14" s="21"/>
    </x:row>
    <x:row r="15" spans="1:24" s="22" customFormat="1" ht="15.65" customHeight="1" x14ac:dyDescent="0.25">
      <x:c r="A15" s="25"/>
      <x:c r="B15" s="39" t="s">
        <x:v>80</x:v>
      </x:c>
      <x:c r="C15" s="89">
        <x:v>45451</x:v>
      </x:c>
      <x:c r="D15" s="42"/>
      <x:c r="E15" s="37"/>
      <x:c r="F15" s="37"/>
      <x:c r="G15" s="37"/>
      <x:c r="H15" s="37"/>
      <x:c r="I15" s="37"/>
      <x:c r="J15" s="37"/>
      <x:c r="K15" s="37"/>
      <x:c r="L15" s="37"/>
      <x:c r="M15" s="37"/>
      <x:c r="N15" s="37"/>
      <x:c r="O15" s="37"/>
      <x:c r="P15" s="37"/>
      <x:c r="Q15" s="37"/>
      <x:c r="R15" s="37"/>
      <x:c r="S15" s="37"/>
      <x:c r="T15" s="37"/>
      <x:c r="U15" s="37"/>
      <x:c r="V15" s="37"/>
      <x:c r="W15" s="37"/>
      <x:c r="X15" s="21"/>
    </x:row>
    <x:row r="16" spans="1:24" s="22" customFormat="1" ht="15.65" customHeight="1" x14ac:dyDescent="0.25">
      <x:c r="A16" s="25"/>
      <x:c r="B16" s="39"/>
      <x:c r="C16" s="41"/>
      <x:c r="D16" s="41"/>
      <x:c r="E16" s="37"/>
      <x:c r="F16" s="37"/>
      <x:c r="G16" s="37"/>
      <x:c r="H16" s="37"/>
      <x:c r="I16" s="37"/>
      <x:c r="J16" s="37"/>
      <x:c r="K16" s="37"/>
      <x:c r="L16" s="37"/>
      <x:c r="M16" s="37"/>
      <x:c r="N16" s="37"/>
      <x:c r="O16" s="37"/>
      <x:c r="P16" s="37"/>
      <x:c r="Q16" s="37"/>
      <x:c r="R16" s="37"/>
      <x:c r="S16" s="37"/>
      <x:c r="T16" s="37"/>
      <x:c r="U16" s="37"/>
      <x:c r="V16" s="37"/>
      <x:c r="W16" s="37"/>
      <x:c r="X16" s="21"/>
    </x:row>
    <x:row r="17" spans="1:24" s="22" customFormat="1" ht="15.65" customHeight="1" x14ac:dyDescent="0.25">
      <x:c r="A17" s="25"/>
      <x:c r="B17" s="39" t="s">
        <x:v>81</x:v>
      </x:c>
      <x:c r="C17" s="90" t="s">
        <x:v>177</x:v>
      </x:c>
      <x:c r="D17" s="41"/>
      <x:c r="E17" s="37"/>
      <x:c r="F17" s="37"/>
      <x:c r="G17" s="37"/>
      <x:c r="H17" s="37"/>
      <x:c r="I17" s="37"/>
      <x:c r="J17" s="37"/>
      <x:c r="K17" s="37"/>
      <x:c r="L17" s="37"/>
      <x:c r="M17" s="37"/>
      <x:c r="N17" s="37"/>
      <x:c r="O17" s="37"/>
      <x:c r="P17" s="37"/>
      <x:c r="Q17" s="37"/>
      <x:c r="R17" s="37"/>
      <x:c r="S17" s="37"/>
      <x:c r="T17" s="37"/>
      <x:c r="U17" s="37"/>
      <x:c r="V17" s="37"/>
      <x:c r="W17" s="37"/>
      <x:c r="X17" s="21"/>
    </x:row>
    <x:row r="18" spans="1:24" s="22" customFormat="1" ht="15.65" customHeight="1" x14ac:dyDescent="0.25">
      <x:c r="A18" s="25"/>
      <x:c r="B18" s="39" t="s">
        <x:v>82</x:v>
      </x:c>
      <x:c r="C18" s="90" t="s">
        <x:v>177</x:v>
      </x:c>
      <x:c r="D18" s="41"/>
      <x:c r="E18" s="37"/>
      <x:c r="F18" s="37"/>
      <x:c r="G18" s="37"/>
      <x:c r="H18" s="37"/>
      <x:c r="I18" s="37"/>
      <x:c r="J18" s="37"/>
      <x:c r="K18" s="37"/>
      <x:c r="L18" s="37"/>
      <x:c r="M18" s="37"/>
      <x:c r="N18" s="37"/>
      <x:c r="O18" s="37"/>
      <x:c r="P18" s="37"/>
      <x:c r="Q18" s="37"/>
      <x:c r="R18" s="37"/>
      <x:c r="S18" s="37"/>
      <x:c r="T18" s="37"/>
      <x:c r="U18" s="37"/>
      <x:c r="V18" s="37"/>
      <x:c r="W18" s="37"/>
      <x:c r="X18" s="21"/>
    </x:row>
    <x:row r="19" spans="1:24" s="22" customFormat="1" ht="15.65" customHeight="1" x14ac:dyDescent="0.25">
      <x:c r="A19" s="25"/>
      <x:c r="B19" s="39" t="s">
        <x:v>83</x:v>
      </x:c>
      <x:c r="C19" s="81" t="s">
        <x:v>178</x:v>
      </x:c>
      <x:c r="E19" s="37"/>
      <x:c r="F19" s="37"/>
      <x:c r="G19" s="37"/>
      <x:c r="H19" s="37"/>
      <x:c r="I19" s="37"/>
      <x:c r="J19" s="37"/>
      <x:c r="K19" s="37"/>
      <x:c r="L19" s="37"/>
      <x:c r="M19" s="37"/>
      <x:c r="N19" s="37"/>
      <x:c r="O19" s="37"/>
      <x:c r="P19" s="37"/>
      <x:c r="Q19" s="37"/>
      <x:c r="R19" s="37"/>
      <x:c r="S19" s="37"/>
      <x:c r="T19" s="37"/>
      <x:c r="U19" s="37"/>
      <x:c r="V19" s="37"/>
      <x:c r="W19" s="37"/>
      <x:c r="X19" s="21"/>
    </x:row>
    <x:row r="20" spans="1:24" s="22" customFormat="1" ht="15.65" customHeight="1" x14ac:dyDescent="0.25">
      <x:c r="A20" s="25"/>
      <x:c r="B20" s="39" t="s">
        <x:v>84</x:v>
      </x:c>
      <x:c r="C20" s="40" t="s">
        <x:v>85</x:v>
      </x:c>
      <x:c r="D20" s="41"/>
      <x:c r="E20" s="37"/>
      <x:c r="F20" s="37"/>
      <x:c r="G20" s="37"/>
      <x:c r="H20" s="37"/>
      <x:c r="I20" s="37"/>
      <x:c r="J20" s="37"/>
      <x:c r="K20" s="37"/>
      <x:c r="L20" s="37"/>
      <x:c r="M20" s="37"/>
      <x:c r="N20" s="37"/>
      <x:c r="O20" s="37"/>
      <x:c r="P20" s="37"/>
      <x:c r="Q20" s="37"/>
      <x:c r="R20" s="37"/>
      <x:c r="S20" s="37"/>
      <x:c r="T20" s="37"/>
      <x:c r="U20" s="37"/>
      <x:c r="V20" s="37"/>
      <x:c r="W20" s="37"/>
      <x:c r="X20" s="21"/>
    </x:row>
    <x:row r="21" spans="1:24" s="22" customFormat="1" ht="15.65" customHeight="1" x14ac:dyDescent="0.25">
      <x:c r="A21" s="25"/>
      <x:c r="B21" s="39"/>
      <x:c r="C21" s="41"/>
      <x:c r="D21" s="41"/>
      <x:c r="E21" s="37"/>
      <x:c r="F21" s="37"/>
      <x:c r="G21" s="37"/>
      <x:c r="H21" s="37"/>
      <x:c r="I21" s="37"/>
      <x:c r="J21" s="37"/>
      <x:c r="K21" s="37"/>
      <x:c r="L21" s="37"/>
      <x:c r="M21" s="37"/>
      <x:c r="N21" s="37"/>
      <x:c r="O21" s="37"/>
      <x:c r="P21" s="37"/>
      <x:c r="Q21" s="37"/>
      <x:c r="R21" s="37"/>
      <x:c r="S21" s="37"/>
      <x:c r="T21" s="37"/>
      <x:c r="U21" s="37"/>
      <x:c r="V21" s="37"/>
      <x:c r="W21" s="37"/>
      <x:c r="X21" s="21"/>
    </x:row>
    <x:row r="22" spans="1:24" s="22" customFormat="1" ht="15.65" customHeight="1" x14ac:dyDescent="0.25">
      <x:c r="A22" s="38"/>
      <x:c r="B22" s="39"/>
      <x:c r="C22" s="41"/>
      <x:c r="D22" s="41"/>
      <x:c r="E22" s="37"/>
      <x:c r="F22" s="37"/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21"/>
    </x:row>
    <x:row r="23" spans="1:24" s="22" customFormat="1" ht="15.65" customHeight="1" x14ac:dyDescent="0.25">
      <x:c r="A23" s="25"/>
      <x:c r="B23" s="25"/>
      <x:c r="C23" s="41"/>
      <x:c r="D23" s="41"/>
      <x:c r="E23" s="37"/>
      <x:c r="F23" s="37"/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21"/>
    </x:row>
    <x:row r="24" spans="1:24" s="22" customFormat="1" ht="15.65" customHeight="1" x14ac:dyDescent="0.25">
      <x:c r="A24" s="25"/>
      <x:c r="B24" s="39" t="s">
        <x:v>50</x:v>
      </x:c>
      <x:c r="C24" s="91" t="s">
        <x:v>175</x:v>
      </x:c>
      <x:c r="E24" s="37"/>
      <x:c r="F24" s="37"/>
      <x:c r="G24" s="37"/>
      <x:c r="H24" s="37"/>
      <x:c r="I24" s="37"/>
      <x:c r="J24" s="37"/>
      <x:c r="K24" s="37"/>
      <x:c r="L24" s="37"/>
      <x:c r="M24" s="37"/>
      <x:c r="N24" s="37"/>
      <x:c r="O24" s="37"/>
      <x:c r="P24" s="37"/>
      <x:c r="Q24" s="37"/>
      <x:c r="R24" s="37"/>
      <x:c r="S24" s="37"/>
      <x:c r="T24" s="37"/>
      <x:c r="U24" s="37"/>
      <x:c r="V24" s="37"/>
      <x:c r="W24" s="37"/>
      <x:c r="X24" s="21"/>
    </x:row>
    <x:row r="25" spans="1:24" s="22" customFormat="1" ht="15.65" customHeight="1" x14ac:dyDescent="0.25">
      <x:c r="A25" s="25"/>
      <x:c r="B25" s="39"/>
      <x:c r="C25" s="25"/>
      <x:c r="D25" s="25"/>
      <x:c r="E25" s="37"/>
      <x:c r="F25" s="37"/>
      <x:c r="G25" s="37"/>
      <x:c r="H25" s="37"/>
      <x:c r="I25" s="37"/>
      <x:c r="J25" s="37"/>
      <x:c r="K25" s="37"/>
      <x:c r="L25" s="37"/>
      <x:c r="M25" s="37"/>
      <x:c r="N25" s="37"/>
      <x:c r="O25" s="37"/>
      <x:c r="P25" s="37"/>
      <x:c r="Q25" s="37"/>
      <x:c r="R25" s="37"/>
      <x:c r="S25" s="37"/>
      <x:c r="T25" s="37"/>
      <x:c r="U25" s="37"/>
      <x:c r="V25" s="37"/>
      <x:c r="W25" s="37"/>
      <x:c r="X25" s="21"/>
    </x:row>
    <x:row r="26" spans="1:24" s="22" customFormat="1" ht="15.65" customHeight="1" x14ac:dyDescent="0.25">
      <x:c r="A26" s="39"/>
      <x:c r="B26" s="39" t="s">
        <x:v>51</x:v>
      </x:c>
      <x:c r="C26" s="40" t="s">
        <x:v>86</x:v>
      </x:c>
      <x:c r="D26" s="40"/>
      <x:c r="E26" s="37"/>
      <x:c r="F26" s="37"/>
      <x:c r="G26" s="37"/>
      <x:c r="H26" s="37"/>
      <x:c r="I26" s="37"/>
      <x:c r="J26" s="37"/>
      <x:c r="K26" s="37"/>
      <x:c r="L26" s="37"/>
      <x:c r="M26" s="37"/>
      <x:c r="N26" s="37"/>
      <x:c r="O26" s="37"/>
      <x:c r="P26" s="37"/>
      <x:c r="Q26" s="37"/>
      <x:c r="R26" s="37"/>
      <x:c r="S26" s="37"/>
      <x:c r="T26" s="37"/>
      <x:c r="U26" s="37"/>
      <x:c r="V26" s="37"/>
      <x:c r="W26" s="37"/>
      <x:c r="X26" s="21"/>
    </x:row>
    <x:row r="27" spans="1:24" s="22" customFormat="1" ht="15.65" customHeight="1" x14ac:dyDescent="0.25">
      <x:c r="A27" s="25"/>
      <x:c r="B27" s="25"/>
      <x:c r="C27" s="25"/>
      <x:c r="D27" s="25"/>
      <x:c r="E27" s="37"/>
      <x:c r="F27" s="37"/>
      <x:c r="G27" s="37"/>
      <x:c r="H27" s="37"/>
      <x:c r="I27" s="37"/>
      <x:c r="J27" s="37"/>
      <x:c r="K27" s="37"/>
      <x:c r="L27" s="37"/>
      <x:c r="M27" s="37"/>
      <x:c r="N27" s="37"/>
      <x:c r="O27" s="37"/>
      <x:c r="P27" s="37"/>
      <x:c r="Q27" s="37"/>
      <x:c r="R27" s="37"/>
      <x:c r="S27" s="37"/>
      <x:c r="T27" s="37"/>
      <x:c r="U27" s="37"/>
      <x:c r="V27" s="37"/>
      <x:c r="W27" s="37"/>
      <x:c r="X27" s="21"/>
    </x:row>
    <x:row r="28" spans="1:24" s="22" customFormat="1" ht="15.65" customHeight="1" x14ac:dyDescent="0.25">
      <x:c r="A28" s="25"/>
      <x:c r="B28" s="28"/>
      <x:c r="C28" s="28"/>
      <x:c r="D28" s="28"/>
      <x:c r="E28" s="37"/>
      <x:c r="F28" s="37"/>
      <x:c r="G28" s="37"/>
      <x:c r="H28" s="37"/>
      <x:c r="I28" s="37"/>
      <x:c r="J28" s="37"/>
      <x:c r="K28" s="37"/>
      <x:c r="L28" s="37"/>
      <x:c r="M28" s="37"/>
      <x:c r="N28" s="37"/>
      <x:c r="O28" s="37"/>
      <x:c r="P28" s="37"/>
      <x:c r="Q28" s="37"/>
      <x:c r="R28" s="37"/>
      <x:c r="S28" s="37"/>
      <x:c r="T28" s="37"/>
      <x:c r="U28" s="37"/>
      <x:c r="V28" s="37"/>
      <x:c r="W28" s="37"/>
      <x:c r="X28" s="21"/>
    </x:row>
    <x:row r="29" spans="1:24" s="22" customFormat="1" ht="15.65" customHeight="1" x14ac:dyDescent="0.25">
      <x:c r="A29" s="25"/>
      <x:c r="B29" s="28"/>
      <x:c r="C29" s="28"/>
      <x:c r="D29" s="28"/>
      <x:c r="E29" s="37"/>
      <x:c r="F29" s="37"/>
      <x:c r="G29" s="37"/>
      <x:c r="H29" s="37"/>
      <x:c r="I29" s="37"/>
      <x:c r="J29" s="37"/>
      <x:c r="K29" s="37"/>
      <x:c r="L29" s="37"/>
      <x:c r="M29" s="37"/>
      <x:c r="N29" s="37"/>
      <x:c r="O29" s="37"/>
      <x:c r="P29" s="37"/>
      <x:c r="Q29" s="37"/>
      <x:c r="R29" s="37"/>
      <x:c r="S29" s="37"/>
      <x:c r="T29" s="37"/>
      <x:c r="U29" s="37"/>
      <x:c r="V29" s="37"/>
      <x:c r="W29" s="37"/>
      <x:c r="X29" s="21"/>
    </x:row>
    <x:row r="30" spans="1:24" s="22" customFormat="1" ht="15.65" customHeight="1" x14ac:dyDescent="0.25">
      <x:c r="A30" s="25"/>
      <x:c r="B30" s="28"/>
      <x:c r="C30" s="28"/>
      <x:c r="D30" s="28"/>
      <x:c r="E30" s="37"/>
      <x:c r="F30" s="37"/>
      <x:c r="G30" s="37"/>
      <x:c r="H30" s="37"/>
      <x:c r="I30" s="37"/>
      <x:c r="J30" s="37"/>
      <x:c r="K30" s="37"/>
      <x:c r="L30" s="37"/>
      <x:c r="M30" s="37"/>
      <x:c r="N30" s="37"/>
      <x:c r="O30" s="37"/>
      <x:c r="P30" s="37"/>
      <x:c r="Q30" s="37"/>
      <x:c r="R30" s="37"/>
      <x:c r="S30" s="37"/>
      <x:c r="T30" s="37"/>
      <x:c r="U30" s="37"/>
      <x:c r="V30" s="37"/>
      <x:c r="W30" s="37"/>
      <x:c r="X30" s="21"/>
    </x:row>
    <x:row r="31" spans="1:24" s="22" customFormat="1" ht="15.65" customHeight="1" x14ac:dyDescent="0.25">
      <x:c r="A31" s="25"/>
      <x:c r="B31" s="28"/>
      <x:c r="C31" s="28"/>
      <x:c r="D31" s="28"/>
      <x:c r="E31" s="37"/>
      <x:c r="F31" s="37"/>
      <x:c r="G31" s="37"/>
      <x:c r="H31" s="37"/>
      <x:c r="I31" s="37"/>
      <x:c r="J31" s="37"/>
      <x:c r="K31" s="37"/>
      <x:c r="L31" s="37"/>
      <x:c r="M31" s="37"/>
      <x:c r="N31" s="37"/>
      <x:c r="O31" s="37"/>
      <x:c r="P31" s="37"/>
      <x:c r="Q31" s="37"/>
      <x:c r="R31" s="37"/>
      <x:c r="S31" s="37"/>
      <x:c r="T31" s="37"/>
      <x:c r="U31" s="37"/>
      <x:c r="V31" s="37"/>
      <x:c r="W31" s="37"/>
      <x:c r="X31" s="21"/>
    </x:row>
    <x:row r="32" spans="1:24" s="37" customFormat="1" x14ac:dyDescent="0.25">
      <x:c r="B32" s="43"/>
      <x:c r="C32" s="43"/>
      <x:c r="D32" s="43"/>
    </x:row>
    <x:row r="33" spans="2:4" s="37" customFormat="1" x14ac:dyDescent="0.25">
      <x:c r="B33" s="43"/>
      <x:c r="C33" s="43"/>
      <x:c r="D33" s="43"/>
    </x:row>
    <x:row r="34" spans="2:4" s="37" customFormat="1" x14ac:dyDescent="0.25">
      <x:c r="B34" s="43"/>
      <x:c r="C34" s="43"/>
      <x:c r="D34" s="43"/>
    </x:row>
    <x:row r="35" spans="2:4" s="37" customFormat="1" x14ac:dyDescent="0.25">
      <x:c r="B35" s="43"/>
      <x:c r="C35" s="43"/>
      <x:c r="D35" s="43"/>
    </x:row>
    <x:row r="36" spans="2:4" s="37" customFormat="1" x14ac:dyDescent="0.25">
      <x:c r="B36" s="43"/>
      <x:c r="C36" s="43"/>
      <x:c r="D36" s="43"/>
    </x:row>
    <x:row r="37" spans="2:4" s="37" customFormat="1" x14ac:dyDescent="0.25">
      <x:c r="B37" s="43"/>
      <x:c r="C37" s="43"/>
      <x:c r="D37" s="43"/>
    </x:row>
    <x:row r="38" spans="2:4" s="37" customFormat="1" x14ac:dyDescent="0.25">
      <x:c r="B38" s="43"/>
      <x:c r="C38" s="43"/>
      <x:c r="D38" s="43"/>
    </x:row>
    <x:row r="39" spans="2:4" s="37" customFormat="1" x14ac:dyDescent="0.25">
      <x:c r="B39" s="43"/>
      <x:c r="C39" s="43"/>
      <x:c r="D39" s="43"/>
    </x:row>
    <x:row r="40" spans="2:4" s="37" customFormat="1" x14ac:dyDescent="0.25">
      <x:c r="B40" s="43"/>
      <x:c r="C40" s="43"/>
      <x:c r="D40" s="43"/>
    </x:row>
    <x:row r="41" spans="2:4" s="37" customFormat="1" x14ac:dyDescent="0.25">
      <x:c r="B41" s="43"/>
      <x:c r="C41" s="43"/>
      <x:c r="D41" s="43"/>
    </x:row>
    <x:row r="42" spans="2:4" s="37" customFormat="1" x14ac:dyDescent="0.25">
      <x:c r="B42" s="43"/>
      <x:c r="C42" s="43"/>
      <x:c r="D42" s="43"/>
    </x:row>
    <x:row r="43" spans="2:4" s="37" customFormat="1" x14ac:dyDescent="0.25">
      <x:c r="B43" s="43"/>
      <x:c r="C43" s="43"/>
      <x:c r="D43" s="43"/>
    </x:row>
    <x:row r="44" spans="2:4" s="37" customFormat="1" x14ac:dyDescent="0.25">
      <x:c r="B44" s="43"/>
      <x:c r="C44" s="43"/>
      <x:c r="D44" s="43"/>
    </x:row>
    <x:row r="45" spans="2:4" s="37" customFormat="1" x14ac:dyDescent="0.25">
      <x:c r="B45" s="43"/>
      <x:c r="C45" s="43"/>
      <x:c r="D45" s="43"/>
    </x:row>
    <x:row r="46" spans="2:4" s="37" customFormat="1" x14ac:dyDescent="0.25">
      <x:c r="B46" s="43"/>
      <x:c r="C46" s="43"/>
      <x:c r="D46" s="43"/>
    </x:row>
    <x:row r="47" spans="2:4" s="37" customFormat="1" x14ac:dyDescent="0.25">
      <x:c r="B47" s="43"/>
      <x:c r="C47" s="43"/>
      <x:c r="D47" s="43"/>
    </x:row>
    <x:row r="48" spans="2:4" s="34" customFormat="1" ht="14" x14ac:dyDescent="0.25"/>
    <x:row r="49" s="34" customFormat="1" ht="14" x14ac:dyDescent="0.25"/>
    <x:row r="50" s="34" customFormat="1" ht="14" x14ac:dyDescent="0.25"/>
    <x:row r="51" s="34" customFormat="1" ht="14" x14ac:dyDescent="0.25"/>
    <x:row r="52" s="34" customFormat="1" ht="14" x14ac:dyDescent="0.25"/>
    <x:row r="53" s="34" customFormat="1" ht="14" x14ac:dyDescent="0.25"/>
    <x:row r="54" s="34" customFormat="1" ht="14" x14ac:dyDescent="0.25"/>
    <x:row r="55" s="34" customFormat="1" ht="14" x14ac:dyDescent="0.25"/>
    <x:row r="56" s="34" customFormat="1" ht="14" x14ac:dyDescent="0.25"/>
    <x:row r="57" s="34" customFormat="1" ht="14" x14ac:dyDescent="0.25"/>
    <x:row r="58" s="34" customFormat="1" ht="14" x14ac:dyDescent="0.25"/>
    <x:row r="59" s="34" customFormat="1" ht="14" x14ac:dyDescent="0.25"/>
    <x:row r="60" s="34" customFormat="1" ht="14" x14ac:dyDescent="0.25"/>
    <x:row r="61" s="34" customFormat="1" ht="14" x14ac:dyDescent="0.25"/>
    <x:row r="62" s="34" customFormat="1" ht="14" x14ac:dyDescent="0.25"/>
    <x:row r="63" s="34" customFormat="1" ht="14" x14ac:dyDescent="0.25"/>
    <x:row r="64" s="34" customFormat="1" ht="14" x14ac:dyDescent="0.25"/>
    <x:row r="65" s="34" customFormat="1" ht="14" x14ac:dyDescent="0.25"/>
    <x:row r="66" s="34" customFormat="1" ht="14" x14ac:dyDescent="0.25"/>
    <x:row r="67" s="34" customFormat="1" ht="14" x14ac:dyDescent="0.25"/>
    <x:row r="68" s="34" customFormat="1" ht="14" x14ac:dyDescent="0.25"/>
    <x:row r="69" s="34" customFormat="1" ht="14" x14ac:dyDescent="0.25"/>
    <x:row r="70" s="34" customFormat="1" ht="14" x14ac:dyDescent="0.25"/>
    <x:row r="71" s="34" customFormat="1" ht="14" x14ac:dyDescent="0.25"/>
    <x:row r="72" s="34" customFormat="1" ht="14" x14ac:dyDescent="0.25"/>
    <x:row r="73" s="34" customFormat="1" ht="14" x14ac:dyDescent="0.25"/>
    <x:row r="74" s="34" customFormat="1" ht="14" x14ac:dyDescent="0.25"/>
    <x:row r="75" s="34" customFormat="1" ht="14" x14ac:dyDescent="0.25"/>
    <x:row r="76" s="34" customFormat="1" ht="14" x14ac:dyDescent="0.25"/>
    <x:row r="77" s="34" customFormat="1" ht="14" x14ac:dyDescent="0.25"/>
    <x:row r="78" s="34" customFormat="1" ht="14" x14ac:dyDescent="0.25"/>
    <x:row r="79" s="34" customFormat="1" ht="14" x14ac:dyDescent="0.25"/>
    <x:row r="80" s="34" customFormat="1" ht="14" x14ac:dyDescent="0.25"/>
    <x:row r="81" s="34" customFormat="1" ht="14" x14ac:dyDescent="0.25"/>
    <x:row r="82" s="34" customFormat="1" ht="14" x14ac:dyDescent="0.25"/>
    <x:row r="83" s="34" customFormat="1" ht="14" x14ac:dyDescent="0.25"/>
    <x:row r="84" s="34" customFormat="1" ht="14" x14ac:dyDescent="0.25"/>
    <x:row r="85" s="34" customFormat="1" ht="14" x14ac:dyDescent="0.25"/>
    <x:row r="86" s="34" customFormat="1" ht="14" x14ac:dyDescent="0.25"/>
    <x:row r="87" s="34" customFormat="1" ht="14" x14ac:dyDescent="0.25"/>
    <x:row r="88" s="34" customFormat="1" ht="14" x14ac:dyDescent="0.25"/>
    <x:row r="89" s="34" customFormat="1" ht="14" x14ac:dyDescent="0.25"/>
    <x:row r="90" s="34" customFormat="1" ht="14" x14ac:dyDescent="0.25"/>
    <x:row r="91" s="34" customFormat="1" ht="14" x14ac:dyDescent="0.25"/>
    <x:row r="92" s="34" customFormat="1" ht="14" x14ac:dyDescent="0.25"/>
    <x:row r="93" s="34" customFormat="1" ht="14" x14ac:dyDescent="0.25"/>
    <x:row r="94" s="34" customFormat="1" ht="14" x14ac:dyDescent="0.25"/>
    <x:row r="95" s="34" customFormat="1" ht="14" x14ac:dyDescent="0.25"/>
    <x:row r="96" s="34" customFormat="1" ht="14" x14ac:dyDescent="0.25"/>
    <x:row r="97" s="34" customFormat="1" ht="14" x14ac:dyDescent="0.25"/>
    <x:row r="98" s="34" customFormat="1" ht="14" x14ac:dyDescent="0.25"/>
    <x:row r="99" s="34" customFormat="1" ht="14" x14ac:dyDescent="0.25"/>
    <x:row r="100" s="34" customFormat="1" ht="14" x14ac:dyDescent="0.25"/>
    <x:row r="101" s="34" customFormat="1" ht="14" x14ac:dyDescent="0.25"/>
    <x:row r="102" s="34" customFormat="1" ht="14" x14ac:dyDescent="0.25"/>
    <x:row r="103" s="34" customFormat="1" ht="14" x14ac:dyDescent="0.25"/>
    <x:row r="104" s="34" customFormat="1" ht="14" x14ac:dyDescent="0.25"/>
    <x:row r="105" s="34" customFormat="1" ht="14" x14ac:dyDescent="0.25"/>
    <x:row r="106" s="34" customFormat="1" ht="14" x14ac:dyDescent="0.25"/>
    <x:row r="107" s="34" customFormat="1" ht="14" x14ac:dyDescent="0.25"/>
    <x:row r="108" s="34" customFormat="1" ht="14" x14ac:dyDescent="0.25"/>
    <x:row r="109" s="34" customFormat="1" ht="14" x14ac:dyDescent="0.25"/>
    <x:row r="110" s="34" customFormat="1" ht="14" x14ac:dyDescent="0.25"/>
    <x:row r="111" s="34" customFormat="1" ht="14" x14ac:dyDescent="0.25"/>
    <x:row r="112" s="34" customFormat="1" ht="14" x14ac:dyDescent="0.25"/>
    <x:row r="113" s="34" customFormat="1" ht="14" x14ac:dyDescent="0.25"/>
    <x:row r="114" s="34" customFormat="1" ht="14" x14ac:dyDescent="0.25"/>
    <x:row r="115" s="34" customFormat="1" ht="14" x14ac:dyDescent="0.25"/>
    <x:row r="116" s="34" customFormat="1" ht="14" x14ac:dyDescent="0.25"/>
    <x:row r="117" s="34" customFormat="1" ht="14" x14ac:dyDescent="0.25"/>
    <x:row r="118" s="34" customFormat="1" ht="14" x14ac:dyDescent="0.25"/>
    <x:row r="119" s="34" customFormat="1" ht="14" x14ac:dyDescent="0.25"/>
    <x:row r="120" s="34" customFormat="1" ht="14" x14ac:dyDescent="0.25"/>
    <x:row r="121" s="34" customFormat="1" ht="14" x14ac:dyDescent="0.25"/>
    <x:row r="122" s="34" customFormat="1" ht="14" x14ac:dyDescent="0.25"/>
    <x:row r="123" s="34" customFormat="1" ht="14" x14ac:dyDescent="0.25"/>
    <x:row r="124" s="34" customFormat="1" ht="14" x14ac:dyDescent="0.25"/>
    <x:row r="125" s="34" customFormat="1" ht="14" x14ac:dyDescent="0.25"/>
    <x:row r="126" s="34" customFormat="1" ht="14" x14ac:dyDescent="0.25"/>
    <x:row r="127" s="34" customFormat="1" ht="14" x14ac:dyDescent="0.25"/>
    <x:row r="128" s="34" customFormat="1" ht="14" x14ac:dyDescent="0.25"/>
    <x:row r="129" s="34" customFormat="1" ht="14" x14ac:dyDescent="0.25"/>
    <x:row r="130" s="34" customFormat="1" ht="14" x14ac:dyDescent="0.25"/>
    <x:row r="131" s="34" customFormat="1" ht="14" x14ac:dyDescent="0.25"/>
    <x:row r="132" s="34" customFormat="1" ht="14" x14ac:dyDescent="0.25"/>
    <x:row r="133" s="34" customFormat="1" ht="14" x14ac:dyDescent="0.25"/>
    <x:row r="134" s="34" customFormat="1" ht="14" x14ac:dyDescent="0.25"/>
    <x:row r="135" s="34" customFormat="1" ht="14" x14ac:dyDescent="0.25"/>
    <x:row r="136" s="34" customFormat="1" ht="14" x14ac:dyDescent="0.25"/>
    <x:row r="137" s="34" customFormat="1" ht="14" x14ac:dyDescent="0.25"/>
    <x:row r="138" s="34" customFormat="1" ht="14" x14ac:dyDescent="0.25"/>
    <x:row r="139" s="34" customFormat="1" ht="14" x14ac:dyDescent="0.25"/>
    <x:row r="140" s="34" customFormat="1" ht="14" x14ac:dyDescent="0.25"/>
    <x:row r="141" s="34" customFormat="1" ht="14" x14ac:dyDescent="0.25"/>
    <x:row r="142" s="34" customFormat="1" ht="14" x14ac:dyDescent="0.25"/>
    <x:row r="143" s="34" customFormat="1" ht="14" x14ac:dyDescent="0.25"/>
    <x:row r="144" s="34" customFormat="1" ht="14" x14ac:dyDescent="0.25"/>
    <x:row r="145" s="34" customFormat="1" ht="14" x14ac:dyDescent="0.25"/>
    <x:row r="146" s="34" customFormat="1" ht="14" x14ac:dyDescent="0.25"/>
    <x:row r="147" s="34" customFormat="1" ht="14" x14ac:dyDescent="0.25"/>
    <x:row r="148" s="34" customFormat="1" ht="14" x14ac:dyDescent="0.25"/>
    <x:row r="149" s="34" customFormat="1" ht="14" x14ac:dyDescent="0.25"/>
    <x:row r="150" s="34" customFormat="1" ht="14" x14ac:dyDescent="0.25"/>
    <x:row r="151" s="34" customFormat="1" ht="14" x14ac:dyDescent="0.25"/>
    <x:row r="152" s="34" customFormat="1" ht="14" x14ac:dyDescent="0.25"/>
    <x:row r="153" s="34" customFormat="1" ht="14" x14ac:dyDescent="0.25"/>
    <x:row r="154" s="34" customFormat="1" ht="14" x14ac:dyDescent="0.25"/>
    <x:row r="155" s="34" customFormat="1" ht="14" x14ac:dyDescent="0.25"/>
    <x:row r="156" s="34" customFormat="1" ht="14" x14ac:dyDescent="0.25"/>
    <x:row r="157" s="34" customFormat="1" ht="14" x14ac:dyDescent="0.25"/>
    <x:row r="158" s="34" customFormat="1" ht="14" x14ac:dyDescent="0.25"/>
    <x:row r="159" s="34" customFormat="1" ht="14" x14ac:dyDescent="0.25"/>
    <x:row r="160" s="34" customFormat="1" ht="14" x14ac:dyDescent="0.25"/>
    <x:row r="161" s="34" customFormat="1" ht="14" x14ac:dyDescent="0.25"/>
    <x:row r="162" s="34" customFormat="1" ht="14" x14ac:dyDescent="0.25"/>
    <x:row r="163" s="34" customFormat="1" ht="14" x14ac:dyDescent="0.25"/>
    <x:row r="164" s="34" customFormat="1" ht="14" x14ac:dyDescent="0.25"/>
    <x:row r="165" s="34" customFormat="1" ht="14" x14ac:dyDescent="0.25"/>
    <x:row r="166" s="34" customFormat="1" ht="14" x14ac:dyDescent="0.25"/>
    <x:row r="167" s="34" customFormat="1" ht="14" x14ac:dyDescent="0.25"/>
    <x:row r="168" s="34" customFormat="1" ht="14" x14ac:dyDescent="0.25"/>
    <x:row r="169" s="34" customFormat="1" ht="14" x14ac:dyDescent="0.25"/>
    <x:row r="170" s="34" customFormat="1" ht="14" x14ac:dyDescent="0.25"/>
    <x:row r="171" s="34" customFormat="1" ht="14" x14ac:dyDescent="0.25"/>
    <x:row r="172" s="34" customFormat="1" ht="14" x14ac:dyDescent="0.25"/>
    <x:row r="173" s="34" customFormat="1" ht="14" x14ac:dyDescent="0.25"/>
    <x:row r="174" s="34" customFormat="1" ht="14" x14ac:dyDescent="0.25"/>
    <x:row r="175" s="34" customFormat="1" ht="14" x14ac:dyDescent="0.25"/>
    <x:row r="176" s="34" customFormat="1" ht="14" x14ac:dyDescent="0.25"/>
    <x:row r="177" s="34" customFormat="1" ht="14" x14ac:dyDescent="0.25"/>
    <x:row r="178" s="34" customFormat="1" ht="14" x14ac:dyDescent="0.25"/>
    <x:row r="179" s="34" customFormat="1" ht="14" x14ac:dyDescent="0.25"/>
    <x:row r="180" s="34" customFormat="1" ht="14" x14ac:dyDescent="0.25"/>
    <x:row r="181" s="34" customFormat="1" ht="14" x14ac:dyDescent="0.25"/>
    <x:row r="182" s="34" customFormat="1" ht="14" x14ac:dyDescent="0.25"/>
    <x:row r="183" s="34" customFormat="1" ht="14" x14ac:dyDescent="0.25"/>
    <x:row r="184" s="34" customFormat="1" ht="14" x14ac:dyDescent="0.25"/>
    <x:row r="185" s="34" customFormat="1" ht="14" x14ac:dyDescent="0.25"/>
    <x:row r="186" s="34" customFormat="1" ht="14" x14ac:dyDescent="0.25"/>
    <x:row r="187" s="34" customFormat="1" ht="14" x14ac:dyDescent="0.25"/>
    <x:row r="188" s="34" customFormat="1" ht="14" x14ac:dyDescent="0.25"/>
    <x:row r="189" s="34" customFormat="1" ht="14" x14ac:dyDescent="0.25"/>
    <x:row r="190" s="34" customFormat="1" ht="14" x14ac:dyDescent="0.25"/>
    <x:row r="191" s="34" customFormat="1" ht="14" x14ac:dyDescent="0.25"/>
    <x:row r="192" s="34" customFormat="1" ht="14" x14ac:dyDescent="0.25"/>
    <x:row r="193" s="34" customFormat="1" ht="14" x14ac:dyDescent="0.25"/>
    <x:row r="194" s="34" customFormat="1" ht="14" x14ac:dyDescent="0.25"/>
    <x:row r="195" s="34" customFormat="1" ht="14" x14ac:dyDescent="0.25"/>
    <x:row r="196" s="34" customFormat="1" ht="14" x14ac:dyDescent="0.25"/>
    <x:row r="197" s="34" customFormat="1" ht="14" x14ac:dyDescent="0.25"/>
    <x:row r="198" s="34" customFormat="1" ht="14" x14ac:dyDescent="0.25"/>
    <x:row r="199" s="34" customFormat="1" ht="14" x14ac:dyDescent="0.25"/>
    <x:row r="200" s="34" customFormat="1" ht="14" x14ac:dyDescent="0.25"/>
    <x:row r="201" s="34" customFormat="1" ht="14" x14ac:dyDescent="0.25"/>
    <x:row r="202" s="34" customFormat="1" ht="14" x14ac:dyDescent="0.25"/>
    <x:row r="203" s="34" customFormat="1" ht="14" x14ac:dyDescent="0.25"/>
    <x:row r="204" s="34" customFormat="1" ht="14" x14ac:dyDescent="0.25"/>
    <x:row r="205" s="34" customFormat="1" ht="14" x14ac:dyDescent="0.25"/>
    <x:row r="206" s="34" customFormat="1" ht="14" x14ac:dyDescent="0.25"/>
    <x:row r="207" s="34" customFormat="1" ht="14" x14ac:dyDescent="0.25"/>
    <x:row r="208" s="34" customFormat="1" ht="14" x14ac:dyDescent="0.25"/>
    <x:row r="209" s="34" customFormat="1" ht="14" x14ac:dyDescent="0.25"/>
    <x:row r="210" s="34" customFormat="1" ht="14" x14ac:dyDescent="0.25"/>
    <x:row r="211" s="34" customFormat="1" ht="14" x14ac:dyDescent="0.25"/>
    <x:row r="212" s="34" customFormat="1" ht="14" x14ac:dyDescent="0.25"/>
    <x:row r="213" s="34" customFormat="1" ht="14" x14ac:dyDescent="0.25"/>
    <x:row r="214" s="34" customFormat="1" ht="14" x14ac:dyDescent="0.25"/>
    <x:row r="215" s="34" customFormat="1" ht="14" x14ac:dyDescent="0.25"/>
    <x:row r="216" s="34" customFormat="1" ht="14" x14ac:dyDescent="0.25"/>
    <x:row r="217" s="34" customFormat="1" ht="14" x14ac:dyDescent="0.25"/>
    <x:row r="218" s="34" customFormat="1" ht="14" x14ac:dyDescent="0.25"/>
    <x:row r="219" s="34" customFormat="1" ht="14" x14ac:dyDescent="0.25"/>
    <x:row r="220" s="34" customFormat="1" ht="14" x14ac:dyDescent="0.25"/>
    <x:row r="221" s="34" customFormat="1" ht="14" x14ac:dyDescent="0.25"/>
    <x:row r="222" s="34" customFormat="1" ht="14" x14ac:dyDescent="0.25"/>
    <x:row r="223" s="34" customFormat="1" ht="14" x14ac:dyDescent="0.25"/>
    <x:row r="224" s="34" customFormat="1" ht="14" x14ac:dyDescent="0.25"/>
    <x:row r="225" s="34" customFormat="1" ht="14" x14ac:dyDescent="0.25"/>
    <x:row r="226" s="34" customFormat="1" ht="14" x14ac:dyDescent="0.25"/>
    <x:row r="227" s="34" customFormat="1" ht="14" x14ac:dyDescent="0.25"/>
    <x:row r="228" s="34" customFormat="1" ht="14" x14ac:dyDescent="0.25"/>
    <x:row r="229" s="34" customFormat="1" ht="14" x14ac:dyDescent="0.25"/>
    <x:row r="230" s="34" customFormat="1" ht="14" x14ac:dyDescent="0.25"/>
    <x:row r="231" s="34" customFormat="1" ht="14" x14ac:dyDescent="0.25"/>
    <x:row r="232" s="34" customFormat="1" ht="14" x14ac:dyDescent="0.25"/>
    <x:row r="233" s="34" customFormat="1" ht="14" x14ac:dyDescent="0.25"/>
    <x:row r="234" s="34" customFormat="1" ht="14" x14ac:dyDescent="0.25"/>
    <x:row r="235" s="34" customFormat="1" ht="14" x14ac:dyDescent="0.25"/>
    <x:row r="236" s="34" customFormat="1" ht="14" x14ac:dyDescent="0.25"/>
    <x:row r="237" s="34" customFormat="1" ht="14" x14ac:dyDescent="0.25"/>
    <x:row r="238" s="34" customFormat="1" ht="14" x14ac:dyDescent="0.25"/>
    <x:row r="239" s="34" customFormat="1" ht="14" x14ac:dyDescent="0.25"/>
    <x:row r="240" s="34" customFormat="1" ht="14" x14ac:dyDescent="0.25"/>
    <x:row r="241" s="34" customFormat="1" ht="14" x14ac:dyDescent="0.25"/>
    <x:row r="242" s="34" customFormat="1" ht="14" x14ac:dyDescent="0.25"/>
    <x:row r="243" s="34" customFormat="1" ht="14" x14ac:dyDescent="0.25"/>
    <x:row r="244" s="34" customFormat="1" ht="14" x14ac:dyDescent="0.25"/>
    <x:row r="245" s="34" customFormat="1" ht="14" x14ac:dyDescent="0.25"/>
    <x:row r="246" s="34" customFormat="1" ht="14" x14ac:dyDescent="0.25"/>
    <x:row r="247" s="34" customFormat="1" ht="14" x14ac:dyDescent="0.25"/>
    <x:row r="248" s="34" customFormat="1" ht="14" x14ac:dyDescent="0.25"/>
    <x:row r="249" s="34" customFormat="1" ht="14" x14ac:dyDescent="0.25"/>
    <x:row r="250" s="34" customFormat="1" ht="14" x14ac:dyDescent="0.25"/>
    <x:row r="251" s="34" customFormat="1" ht="14" x14ac:dyDescent="0.25"/>
    <x:row r="252" s="34" customFormat="1" ht="14" x14ac:dyDescent="0.25"/>
    <x:row r="253" s="34" customFormat="1" ht="14" x14ac:dyDescent="0.25"/>
    <x:row r="254" s="34" customFormat="1" ht="14" x14ac:dyDescent="0.25"/>
    <x:row r="255" s="34" customFormat="1" ht="14" x14ac:dyDescent="0.25"/>
    <x:row r="256" s="34" customFormat="1" ht="14" x14ac:dyDescent="0.25"/>
    <x:row r="257" s="34" customFormat="1" ht="14" x14ac:dyDescent="0.25"/>
    <x:row r="258" s="34" customFormat="1" ht="14" x14ac:dyDescent="0.25"/>
    <x:row r="259" s="34" customFormat="1" ht="14" x14ac:dyDescent="0.25"/>
    <x:row r="260" s="34" customFormat="1" ht="14" x14ac:dyDescent="0.25"/>
    <x:row r="261" s="34" customFormat="1" ht="14" x14ac:dyDescent="0.25"/>
    <x:row r="262" s="34" customFormat="1" ht="14" x14ac:dyDescent="0.25"/>
    <x:row r="263" s="34" customFormat="1" ht="14" x14ac:dyDescent="0.25"/>
    <x:row r="264" s="34" customFormat="1" ht="14" x14ac:dyDescent="0.25"/>
    <x:row r="265" s="34" customFormat="1" ht="14" x14ac:dyDescent="0.25"/>
    <x:row r="266" s="34" customFormat="1" ht="14" x14ac:dyDescent="0.25"/>
    <x:row r="267" s="34" customFormat="1" ht="14" x14ac:dyDescent="0.25"/>
    <x:row r="268" s="34" customFormat="1" ht="14" x14ac:dyDescent="0.25"/>
    <x:row r="269" s="34" customFormat="1" ht="14" x14ac:dyDescent="0.25"/>
    <x:row r="270" s="34" customFormat="1" ht="14" x14ac:dyDescent="0.25"/>
    <x:row r="271" s="34" customFormat="1" ht="14" x14ac:dyDescent="0.25"/>
    <x:row r="272" s="34" customFormat="1" ht="14" x14ac:dyDescent="0.25"/>
    <x:row r="273" s="34" customFormat="1" ht="14" x14ac:dyDescent="0.25"/>
    <x:row r="274" s="34" customFormat="1" ht="14" x14ac:dyDescent="0.25"/>
    <x:row r="275" s="34" customFormat="1" ht="14" x14ac:dyDescent="0.25"/>
    <x:row r="276" s="34" customFormat="1" ht="14" x14ac:dyDescent="0.25"/>
    <x:row r="277" s="34" customFormat="1" ht="14" x14ac:dyDescent="0.25"/>
    <x:row r="278" s="34" customFormat="1" ht="14" x14ac:dyDescent="0.25"/>
    <x:row r="279" s="34" customFormat="1" ht="14" x14ac:dyDescent="0.25"/>
    <x:row r="280" s="34" customFormat="1" ht="14" x14ac:dyDescent="0.25"/>
    <x:row r="281" s="34" customFormat="1" ht="14" x14ac:dyDescent="0.25"/>
    <x:row r="282" s="34" customFormat="1" ht="14" x14ac:dyDescent="0.25"/>
    <x:row r="283" s="34" customFormat="1" ht="14" x14ac:dyDescent="0.25"/>
    <x:row r="284" s="34" customFormat="1" ht="14" x14ac:dyDescent="0.25"/>
    <x:row r="285" s="34" customFormat="1" ht="14" x14ac:dyDescent="0.25"/>
    <x:row r="286" s="34" customFormat="1" ht="14" x14ac:dyDescent="0.25"/>
    <x:row r="287" s="34" customFormat="1" ht="14" x14ac:dyDescent="0.25"/>
    <x:row r="288" s="34" customFormat="1" ht="14" x14ac:dyDescent="0.25"/>
    <x:row r="289" s="34" customFormat="1" ht="14" x14ac:dyDescent="0.25"/>
    <x:row r="290" s="34" customFormat="1" ht="14" x14ac:dyDescent="0.25"/>
    <x:row r="291" s="34" customFormat="1" ht="14" x14ac:dyDescent="0.25"/>
    <x:row r="292" s="34" customFormat="1" ht="14" x14ac:dyDescent="0.25"/>
    <x:row r="293" s="34" customFormat="1" ht="14" x14ac:dyDescent="0.25"/>
    <x:row r="294" s="34" customFormat="1" ht="14" x14ac:dyDescent="0.25"/>
    <x:row r="295" s="34" customFormat="1" ht="14" x14ac:dyDescent="0.25"/>
    <x:row r="296" s="34" customFormat="1" ht="14" x14ac:dyDescent="0.25"/>
    <x:row r="297" s="34" customFormat="1" ht="14" x14ac:dyDescent="0.25"/>
    <x:row r="298" s="34" customFormat="1" ht="14" x14ac:dyDescent="0.25"/>
    <x:row r="299" s="34" customFormat="1" ht="14" x14ac:dyDescent="0.25"/>
    <x:row r="300" s="34" customFormat="1" ht="14" x14ac:dyDescent="0.25"/>
    <x:row r="301" s="34" customFormat="1" ht="14" x14ac:dyDescent="0.25"/>
    <x:row r="302" s="34" customFormat="1" ht="14" x14ac:dyDescent="0.25"/>
    <x:row r="303" s="34" customFormat="1" ht="14" x14ac:dyDescent="0.25"/>
    <x:row r="304" s="34" customFormat="1" ht="14" x14ac:dyDescent="0.25"/>
    <x:row r="305" spans="1:24" s="34" customFormat="1" ht="14" x14ac:dyDescent="0.25"/>
    <x:row r="306" spans="1:24" s="34" customFormat="1" ht="14" x14ac:dyDescent="0.25"/>
    <x:row r="307" spans="1:24" s="34" customFormat="1" ht="14" x14ac:dyDescent="0.25"/>
    <x:row r="308" spans="1:24" s="34" customFormat="1" ht="14" x14ac:dyDescent="0.25"/>
    <x:row r="309" spans="1:24" s="34" customFormat="1" ht="14" x14ac:dyDescent="0.25"/>
    <x:row r="310" spans="1:24" s="34" customFormat="1" ht="14" x14ac:dyDescent="0.25"/>
    <x:row r="311" spans="1:24" s="34" customFormat="1" ht="14" x14ac:dyDescent="0.25"/>
    <x:row r="312" spans="1:24" s="34" customFormat="1" ht="14" x14ac:dyDescent="0.25"/>
    <x:row r="313" spans="1:24" s="34" customFormat="1" ht="14" x14ac:dyDescent="0.25"/>
    <x:row r="314" spans="1:24" s="34" customFormat="1" ht="14" x14ac:dyDescent="0.25"/>
    <x:row r="315" spans="1:24" s="34" customFormat="1" ht="14" x14ac:dyDescent="0.25"/>
    <x:row r="316" spans="1:24" s="34" customFormat="1" ht="14" x14ac:dyDescent="0.25"/>
    <x:row r="317" spans="1:24" s="34" customFormat="1" ht="14" x14ac:dyDescent="0.25"/>
    <x:row r="318" spans="1:24" s="34" customFormat="1" ht="14" x14ac:dyDescent="0.25"/>
    <x:row r="319" spans="1:24" ht="14" x14ac:dyDescent="0.25">
      <x:c r="A319" s="19"/>
      <x:c r="B319" s="19"/>
      <x:c r="C319" s="19"/>
      <x:c r="D319" s="19"/>
      <x:c r="X319" s="20"/>
    </x:row>
    <x:row r="320" spans="1:24" ht="14" x14ac:dyDescent="0.25">
      <x:c r="A320" s="19"/>
      <x:c r="B320" s="19"/>
      <x:c r="C320" s="19"/>
      <x:c r="D320" s="19"/>
      <x:c r="X320" s="20"/>
    </x:row>
    <x:row r="321" spans="1:24" ht="14" x14ac:dyDescent="0.25">
      <x:c r="A321" s="19"/>
      <x:c r="B321" s="19"/>
      <x:c r="C321" s="19"/>
      <x:c r="D321" s="19"/>
      <x:c r="X321" s="20"/>
    </x:row>
    <x:row r="322" spans="1:24" ht="14" x14ac:dyDescent="0.25">
      <x:c r="A322" s="19"/>
      <x:c r="B322" s="19"/>
      <x:c r="C322" s="19"/>
      <x:c r="D322" s="19"/>
      <x:c r="X322" s="20"/>
    </x:row>
    <x:row r="323" spans="1:24" ht="14" x14ac:dyDescent="0.25">
      <x:c r="A323" s="19"/>
      <x:c r="B323" s="19"/>
      <x:c r="C323" s="19"/>
      <x:c r="D323" s="19"/>
      <x:c r="X323" s="20"/>
    </x:row>
    <x:row r="324" spans="1:24" ht="14" x14ac:dyDescent="0.25">
      <x:c r="A324" s="19"/>
      <x:c r="B324" s="19"/>
      <x:c r="C324" s="19"/>
      <x:c r="D324" s="19"/>
      <x:c r="X324" s="20"/>
    </x:row>
    <x:row r="325" spans="1:24" ht="14" x14ac:dyDescent="0.25">
      <x:c r="A325" s="19"/>
      <x:c r="B325" s="19"/>
      <x:c r="C325" s="19"/>
      <x:c r="D325" s="19"/>
      <x:c r="X325" s="20"/>
    </x:row>
    <x:row r="326" spans="1:24" ht="14" x14ac:dyDescent="0.25">
      <x:c r="A326" s="19"/>
      <x:c r="B326" s="19"/>
      <x:c r="C326" s="19"/>
      <x:c r="D326" s="19"/>
      <x:c r="X326" s="20"/>
    </x:row>
    <x:row r="327" spans="1:24" ht="14" x14ac:dyDescent="0.25">
      <x:c r="A327" s="19"/>
      <x:c r="B327" s="19"/>
      <x:c r="C327" s="19"/>
      <x:c r="D327" s="19"/>
      <x:c r="X327" s="20"/>
    </x:row>
    <x:row r="328" spans="1:24" ht="14" x14ac:dyDescent="0.25">
      <x:c r="A328" s="19"/>
      <x:c r="B328" s="19"/>
      <x:c r="C328" s="19"/>
      <x:c r="D328" s="19"/>
      <x:c r="X328" s="20"/>
    </x:row>
    <x:row r="329" spans="1:24" ht="14" x14ac:dyDescent="0.25">
      <x:c r="A329" s="19"/>
      <x:c r="B329" s="19"/>
      <x:c r="C329" s="19"/>
      <x:c r="D329" s="19"/>
      <x:c r="X329" s="20"/>
    </x:row>
    <x:row r="330" spans="1:24" ht="14" x14ac:dyDescent="0.25">
      <x:c r="A330" s="19"/>
      <x:c r="B330" s="19"/>
      <x:c r="C330" s="19"/>
      <x:c r="D330" s="19"/>
      <x:c r="X330" s="20"/>
    </x:row>
    <x:row r="331" spans="1:24" ht="14" x14ac:dyDescent="0.25">
      <x:c r="A331" s="19"/>
      <x:c r="B331" s="19"/>
      <x:c r="C331" s="19"/>
      <x:c r="D331" s="19"/>
      <x:c r="X331" s="20"/>
    </x:row>
    <x:row r="332" spans="1:24" ht="14" x14ac:dyDescent="0.25">
      <x:c r="A332" s="19"/>
      <x:c r="B332" s="19"/>
      <x:c r="C332" s="19"/>
      <x:c r="D332" s="19"/>
      <x:c r="X332" s="20"/>
    </x:row>
    <x:row r="333" spans="1:24" ht="14" x14ac:dyDescent="0.25">
      <x:c r="A333" s="19"/>
      <x:c r="B333" s="19"/>
      <x:c r="C333" s="19"/>
      <x:c r="D333" s="19"/>
      <x:c r="X333" s="20"/>
    </x:row>
    <x:row r="334" spans="1:24" ht="14" x14ac:dyDescent="0.25">
      <x:c r="A334" s="19"/>
      <x:c r="B334" s="19"/>
      <x:c r="C334" s="19"/>
      <x:c r="D334" s="19"/>
      <x:c r="X334" s="20"/>
    </x:row>
    <x:row r="335" spans="1:24" ht="14" x14ac:dyDescent="0.25">
      <x:c r="A335" s="19"/>
      <x:c r="B335" s="19"/>
      <x:c r="C335" s="19"/>
      <x:c r="D335" s="19"/>
      <x:c r="X335" s="20"/>
    </x:row>
    <x:row r="336" spans="1:24" ht="14" x14ac:dyDescent="0.25">
      <x:c r="A336" s="19"/>
      <x:c r="B336" s="19"/>
      <x:c r="C336" s="19"/>
      <x:c r="D336" s="19"/>
      <x:c r="X336" s="20"/>
    </x:row>
    <x:row r="337" spans="1:24" ht="14" x14ac:dyDescent="0.25">
      <x:c r="A337" s="19"/>
      <x:c r="B337" s="19"/>
      <x:c r="C337" s="19"/>
      <x:c r="D337" s="19"/>
      <x:c r="X337" s="20"/>
    </x:row>
    <x:row r="338" spans="1:24" ht="14" x14ac:dyDescent="0.25">
      <x:c r="A338" s="19"/>
      <x:c r="B338" s="19"/>
      <x:c r="C338" s="19"/>
      <x:c r="D338" s="19"/>
      <x:c r="X338" s="20"/>
    </x:row>
    <x:row r="339" spans="1:24" ht="14" x14ac:dyDescent="0.25">
      <x:c r="A339" s="19"/>
      <x:c r="B339" s="19"/>
      <x:c r="C339" s="19"/>
      <x:c r="D339" s="19"/>
      <x:c r="X339" s="20"/>
    </x:row>
    <x:row r="340" spans="1:24" ht="14" x14ac:dyDescent="0.25">
      <x:c r="A340" s="19"/>
      <x:c r="B340" s="19"/>
      <x:c r="C340" s="19"/>
      <x:c r="D340" s="19"/>
      <x:c r="X340" s="20"/>
    </x:row>
    <x:row r="341" spans="1:24" ht="14" x14ac:dyDescent="0.25">
      <x:c r="A341" s="19"/>
      <x:c r="B341" s="19"/>
      <x:c r="C341" s="19"/>
      <x:c r="D341" s="19"/>
      <x:c r="X341" s="20"/>
    </x:row>
    <x:row r="342" spans="1:24" ht="14" x14ac:dyDescent="0.25">
      <x:c r="A342" s="19"/>
      <x:c r="B342" s="19"/>
      <x:c r="C342" s="19"/>
      <x:c r="D342" s="19"/>
      <x:c r="X342" s="20"/>
    </x:row>
    <x:row r="343" spans="1:24" ht="14" x14ac:dyDescent="0.25">
      <x:c r="A343" s="19"/>
      <x:c r="B343" s="19"/>
      <x:c r="C343" s="19"/>
      <x:c r="D343" s="19"/>
      <x:c r="X343" s="20"/>
    </x:row>
    <x:row r="344" spans="1:24" ht="14" x14ac:dyDescent="0.25">
      <x:c r="A344" s="19"/>
      <x:c r="B344" s="19"/>
      <x:c r="C344" s="19"/>
      <x:c r="D344" s="19"/>
      <x:c r="X344" s="20"/>
    </x:row>
    <x:row r="345" spans="1:24" ht="14" x14ac:dyDescent="0.25">
      <x:c r="A345" s="19"/>
      <x:c r="B345" s="19"/>
      <x:c r="C345" s="19"/>
      <x:c r="D345" s="19"/>
      <x:c r="X345" s="20"/>
    </x:row>
    <x:row r="346" spans="1:24" ht="14" x14ac:dyDescent="0.25">
      <x:c r="A346" s="19"/>
      <x:c r="B346" s="19"/>
      <x:c r="C346" s="19"/>
      <x:c r="D346" s="19"/>
      <x:c r="X346" s="20"/>
    </x:row>
    <x:row r="347" spans="1:24" ht="14" x14ac:dyDescent="0.25">
      <x:c r="A347" s="19"/>
      <x:c r="B347" s="19"/>
      <x:c r="C347" s="19"/>
      <x:c r="D347" s="19"/>
      <x:c r="X347" s="20"/>
    </x:row>
    <x:row r="348" spans="1:24" ht="14" x14ac:dyDescent="0.25">
      <x:c r="A348" s="19"/>
      <x:c r="B348" s="19"/>
      <x:c r="C348" s="19"/>
      <x:c r="D348" s="19"/>
      <x:c r="X348" s="20"/>
    </x:row>
    <x:row r="349" spans="1:24" ht="14" x14ac:dyDescent="0.25">
      <x:c r="A349" s="19"/>
      <x:c r="B349" s="19"/>
      <x:c r="C349" s="19"/>
      <x:c r="D349" s="19"/>
      <x:c r="X349" s="20"/>
    </x:row>
    <x:row r="350" spans="1:24" ht="14" x14ac:dyDescent="0.25">
      <x:c r="A350" s="19"/>
      <x:c r="B350" s="19"/>
      <x:c r="C350" s="19"/>
      <x:c r="D350" s="19"/>
      <x:c r="X350" s="20"/>
    </x:row>
    <x:row r="351" spans="1:24" ht="14" x14ac:dyDescent="0.25">
      <x:c r="A351" s="19"/>
      <x:c r="B351" s="19"/>
      <x:c r="C351" s="19"/>
      <x:c r="D351" s="19"/>
      <x:c r="X351" s="20"/>
    </x:row>
    <x:row r="352" spans="1:24" ht="14" x14ac:dyDescent="0.25">
      <x:c r="A352" s="19"/>
      <x:c r="B352" s="19"/>
      <x:c r="C352" s="19"/>
      <x:c r="D352" s="19"/>
      <x:c r="X352" s="20"/>
    </x:row>
    <x:row r="353" spans="1:24" ht="14" x14ac:dyDescent="0.25">
      <x:c r="A353" s="19"/>
      <x:c r="B353" s="19"/>
      <x:c r="C353" s="19"/>
      <x:c r="D353" s="19"/>
      <x:c r="X353" s="20"/>
    </x:row>
    <x:row r="354" spans="1:24" ht="14" x14ac:dyDescent="0.25">
      <x:c r="A354" s="19"/>
      <x:c r="B354" s="19"/>
      <x:c r="C354" s="19"/>
      <x:c r="D354" s="19"/>
      <x:c r="X354" s="20"/>
    </x:row>
    <x:row r="355" spans="1:24" ht="14" x14ac:dyDescent="0.25">
      <x:c r="A355" s="19"/>
      <x:c r="B355" s="19"/>
      <x:c r="C355" s="19"/>
      <x:c r="D355" s="19"/>
      <x:c r="X355" s="20"/>
    </x:row>
    <x:row r="356" spans="1:24" ht="14" x14ac:dyDescent="0.25">
      <x:c r="A356" s="19"/>
      <x:c r="B356" s="19"/>
      <x:c r="C356" s="19"/>
      <x:c r="D356" s="19"/>
      <x:c r="X356" s="20"/>
    </x:row>
    <x:row r="357" spans="1:24" ht="14" x14ac:dyDescent="0.25">
      <x:c r="A357" s="19"/>
      <x:c r="B357" s="19"/>
      <x:c r="C357" s="19"/>
      <x:c r="D357" s="19"/>
      <x:c r="X357" s="20"/>
    </x:row>
    <x:row r="358" spans="1:24" ht="14" x14ac:dyDescent="0.25">
      <x:c r="A358" s="19"/>
      <x:c r="B358" s="19"/>
      <x:c r="C358" s="19"/>
      <x:c r="D358" s="19"/>
      <x:c r="X358" s="20"/>
    </x:row>
    <x:row r="359" spans="1:24" ht="14" x14ac:dyDescent="0.25">
      <x:c r="A359" s="19"/>
      <x:c r="B359" s="19"/>
      <x:c r="C359" s="19"/>
      <x:c r="D359" s="19"/>
      <x:c r="X359" s="20"/>
    </x:row>
    <x:row r="360" spans="1:24" ht="14" x14ac:dyDescent="0.25">
      <x:c r="A360" s="19"/>
      <x:c r="B360" s="19"/>
      <x:c r="C360" s="19"/>
      <x:c r="D360" s="19"/>
      <x:c r="X360" s="20"/>
    </x:row>
    <x:row r="361" spans="1:24" ht="14" x14ac:dyDescent="0.25">
      <x:c r="A361" s="19"/>
      <x:c r="B361" s="19"/>
      <x:c r="C361" s="19"/>
      <x:c r="D361" s="19"/>
      <x:c r="X361" s="20"/>
    </x:row>
    <x:row r="362" spans="1:24" ht="14" x14ac:dyDescent="0.25">
      <x:c r="A362" s="19"/>
      <x:c r="B362" s="19"/>
      <x:c r="C362" s="19"/>
      <x:c r="D362" s="19"/>
      <x:c r="X362" s="20"/>
    </x:row>
    <x:row r="363" spans="1:24" ht="14" x14ac:dyDescent="0.25">
      <x:c r="A363" s="19"/>
      <x:c r="B363" s="19"/>
      <x:c r="C363" s="19"/>
      <x:c r="D363" s="19"/>
      <x:c r="X363" s="20"/>
    </x:row>
    <x:row r="364" spans="1:24" ht="14" x14ac:dyDescent="0.25">
      <x:c r="A364" s="19"/>
      <x:c r="B364" s="19"/>
      <x:c r="C364" s="19"/>
      <x:c r="D364" s="19"/>
      <x:c r="X364" s="20"/>
    </x:row>
    <x:row r="365" spans="1:24" ht="14" x14ac:dyDescent="0.25">
      <x:c r="A365" s="19"/>
      <x:c r="B365" s="19"/>
      <x:c r="C365" s="19"/>
      <x:c r="D365" s="19"/>
      <x:c r="X365" s="20"/>
    </x:row>
    <x:row r="366" spans="1:24" ht="14" x14ac:dyDescent="0.25">
      <x:c r="A366" s="19"/>
      <x:c r="B366" s="19"/>
      <x:c r="C366" s="19"/>
      <x:c r="D366" s="19"/>
      <x:c r="X366" s="20"/>
    </x:row>
    <x:row r="367" spans="1:24" ht="14" x14ac:dyDescent="0.25">
      <x:c r="A367" s="19"/>
      <x:c r="B367" s="19"/>
      <x:c r="C367" s="19"/>
      <x:c r="D367" s="19"/>
      <x:c r="X367" s="20"/>
    </x:row>
    <x:row r="368" spans="1:24" ht="14" x14ac:dyDescent="0.25">
      <x:c r="A368" s="19"/>
      <x:c r="B368" s="19"/>
      <x:c r="C368" s="19"/>
      <x:c r="D368" s="19"/>
      <x:c r="X368" s="20"/>
    </x:row>
    <x:row r="369" spans="1:24" ht="14" x14ac:dyDescent="0.25">
      <x:c r="A369" s="19"/>
      <x:c r="B369" s="19"/>
      <x:c r="C369" s="19"/>
      <x:c r="D369" s="19"/>
      <x:c r="X369" s="20"/>
    </x:row>
    <x:row r="370" spans="1:24" ht="14" x14ac:dyDescent="0.25">
      <x:c r="A370" s="19"/>
      <x:c r="B370" s="19"/>
      <x:c r="C370" s="19"/>
      <x:c r="D370" s="19"/>
      <x:c r="X370" s="20"/>
    </x:row>
    <x:row r="371" spans="1:24" ht="14" x14ac:dyDescent="0.25">
      <x:c r="A371" s="19"/>
      <x:c r="B371" s="19"/>
      <x:c r="C371" s="19"/>
      <x:c r="D371" s="19"/>
      <x:c r="X371" s="20"/>
    </x:row>
    <x:row r="372" spans="1:24" ht="14" x14ac:dyDescent="0.25">
      <x:c r="A372" s="19"/>
      <x:c r="B372" s="19"/>
      <x:c r="C372" s="19"/>
      <x:c r="D372" s="19"/>
      <x:c r="X372" s="20"/>
    </x:row>
    <x:row r="373" spans="1:24" ht="14" x14ac:dyDescent="0.25">
      <x:c r="A373" s="19"/>
      <x:c r="B373" s="19"/>
      <x:c r="C373" s="19"/>
      <x:c r="D373" s="19"/>
      <x:c r="X373" s="20"/>
    </x:row>
    <x:row r="374" spans="1:24" ht="14" x14ac:dyDescent="0.25">
      <x:c r="A374" s="19"/>
      <x:c r="B374" s="19"/>
      <x:c r="C374" s="19"/>
      <x:c r="D374" s="19"/>
      <x:c r="X374" s="20"/>
    </x:row>
    <x:row r="375" spans="1:24" ht="14" x14ac:dyDescent="0.25">
      <x:c r="A375" s="19"/>
      <x:c r="B375" s="19"/>
      <x:c r="C375" s="19"/>
      <x:c r="D375" s="19"/>
      <x:c r="X375" s="20"/>
    </x:row>
    <x:row r="376" spans="1:24" ht="14" x14ac:dyDescent="0.25">
      <x:c r="A376" s="19"/>
      <x:c r="B376" s="19"/>
      <x:c r="C376" s="19"/>
      <x:c r="D376" s="19"/>
      <x:c r="X376" s="20"/>
    </x:row>
    <x:row r="377" spans="1:24" ht="14" x14ac:dyDescent="0.25">
      <x:c r="A377" s="19"/>
      <x:c r="B377" s="19"/>
      <x:c r="C377" s="19"/>
      <x:c r="D377" s="19"/>
      <x:c r="X377" s="20"/>
    </x:row>
    <x:row r="378" spans="1:24" ht="14" x14ac:dyDescent="0.25">
      <x:c r="A378" s="19"/>
      <x:c r="B378" s="19"/>
      <x:c r="C378" s="19"/>
      <x:c r="D378" s="19"/>
      <x:c r="X378" s="20"/>
    </x:row>
    <x:row r="379" spans="1:24" ht="14" x14ac:dyDescent="0.25">
      <x:c r="A379" s="19"/>
      <x:c r="B379" s="19"/>
      <x:c r="C379" s="19"/>
      <x:c r="D379" s="19"/>
      <x:c r="X379" s="20"/>
    </x:row>
    <x:row r="380" spans="1:24" ht="14" x14ac:dyDescent="0.25">
      <x:c r="A380" s="19"/>
      <x:c r="B380" s="19"/>
      <x:c r="C380" s="19"/>
      <x:c r="D380" s="19"/>
      <x:c r="X380" s="20"/>
    </x:row>
    <x:row r="381" spans="1:24" ht="14" x14ac:dyDescent="0.25">
      <x:c r="A381" s="19"/>
      <x:c r="B381" s="19"/>
      <x:c r="C381" s="19"/>
      <x:c r="D381" s="19"/>
      <x:c r="X381" s="20"/>
    </x:row>
    <x:row r="382" spans="1:24" ht="14" x14ac:dyDescent="0.25">
      <x:c r="A382" s="19"/>
      <x:c r="B382" s="19"/>
      <x:c r="C382" s="19"/>
      <x:c r="D382" s="19"/>
      <x:c r="X382" s="20"/>
    </x:row>
    <x:row r="383" spans="1:24" ht="14" x14ac:dyDescent="0.25">
      <x:c r="A383" s="19"/>
      <x:c r="B383" s="19"/>
      <x:c r="C383" s="19"/>
      <x:c r="D383" s="19"/>
      <x:c r="X383" s="20"/>
    </x:row>
    <x:row r="384" spans="1:24" ht="14" x14ac:dyDescent="0.25">
      <x:c r="A384" s="19"/>
      <x:c r="B384" s="19"/>
      <x:c r="C384" s="19"/>
      <x:c r="D384" s="19"/>
      <x:c r="X384" s="20"/>
    </x:row>
    <x:row r="385" spans="1:24" ht="14" x14ac:dyDescent="0.25">
      <x:c r="A385" s="19"/>
      <x:c r="B385" s="19"/>
      <x:c r="C385" s="19"/>
      <x:c r="D385" s="19"/>
      <x:c r="X385" s="20"/>
    </x:row>
    <x:row r="386" spans="1:24" ht="14" x14ac:dyDescent="0.25">
      <x:c r="A386" s="19"/>
      <x:c r="B386" s="19"/>
      <x:c r="C386" s="19"/>
      <x:c r="D386" s="19"/>
      <x:c r="X386" s="20"/>
    </x:row>
    <x:row r="387" spans="1:24" ht="14" x14ac:dyDescent="0.25">
      <x:c r="A387" s="19"/>
      <x:c r="B387" s="19"/>
      <x:c r="C387" s="19"/>
      <x:c r="D387" s="19"/>
      <x:c r="X387" s="20"/>
    </x:row>
    <x:row r="388" spans="1:24" ht="14" x14ac:dyDescent="0.25">
      <x:c r="A388" s="19"/>
      <x:c r="B388" s="19"/>
      <x:c r="C388" s="19"/>
      <x:c r="D388" s="19"/>
      <x:c r="X388" s="20"/>
    </x:row>
    <x:row r="389" spans="1:24" ht="14" x14ac:dyDescent="0.25">
      <x:c r="A389" s="19"/>
      <x:c r="B389" s="19"/>
      <x:c r="C389" s="19"/>
      <x:c r="D389" s="19"/>
      <x:c r="X389" s="20"/>
    </x:row>
    <x:row r="390" spans="1:24" ht="14" x14ac:dyDescent="0.25">
      <x:c r="A390" s="19"/>
      <x:c r="B390" s="19"/>
      <x:c r="C390" s="19"/>
      <x:c r="D390" s="19"/>
      <x:c r="X390" s="20"/>
    </x:row>
    <x:row r="391" spans="1:24" ht="14" x14ac:dyDescent="0.25">
      <x:c r="A391" s="19"/>
      <x:c r="B391" s="19"/>
      <x:c r="C391" s="19"/>
      <x:c r="D391" s="19"/>
      <x:c r="X391" s="20"/>
    </x:row>
    <x:row r="392" spans="1:24" ht="14" x14ac:dyDescent="0.25">
      <x:c r="A392" s="19"/>
      <x:c r="B392" s="19"/>
      <x:c r="C392" s="19"/>
      <x:c r="D392" s="19"/>
      <x:c r="X392" s="20"/>
    </x:row>
    <x:row r="393" spans="1:24" ht="14" x14ac:dyDescent="0.25">
      <x:c r="A393" s="19"/>
      <x:c r="B393" s="19"/>
      <x:c r="C393" s="19"/>
      <x:c r="D393" s="19"/>
      <x:c r="X393" s="20"/>
    </x:row>
    <x:row r="394" spans="1:24" ht="14" x14ac:dyDescent="0.25">
      <x:c r="A394" s="19"/>
      <x:c r="B394" s="19"/>
      <x:c r="C394" s="19"/>
      <x:c r="D394" s="19"/>
      <x:c r="X394" s="20"/>
    </x:row>
    <x:row r="395" spans="1:24" ht="14" x14ac:dyDescent="0.25">
      <x:c r="A395" s="19"/>
      <x:c r="B395" s="19"/>
      <x:c r="C395" s="19"/>
      <x:c r="D395" s="19"/>
      <x:c r="X395" s="20"/>
    </x:row>
    <x:row r="396" spans="1:24" ht="14" x14ac:dyDescent="0.25">
      <x:c r="A396" s="19"/>
      <x:c r="B396" s="19"/>
      <x:c r="C396" s="19"/>
      <x:c r="D396" s="19"/>
      <x:c r="X396" s="20"/>
    </x:row>
    <x:row r="397" spans="1:24" ht="14" x14ac:dyDescent="0.25">
      <x:c r="A397" s="19"/>
      <x:c r="B397" s="19"/>
      <x:c r="C397" s="19"/>
      <x:c r="D397" s="19"/>
      <x:c r="X397" s="20"/>
    </x:row>
    <x:row r="398" spans="1:24" ht="14" x14ac:dyDescent="0.25">
      <x:c r="A398" s="19"/>
      <x:c r="B398" s="19"/>
      <x:c r="C398" s="19"/>
      <x:c r="D398" s="19"/>
      <x:c r="X398" s="20"/>
    </x:row>
    <x:row r="399" spans="1:24" ht="14" x14ac:dyDescent="0.25">
      <x:c r="A399" s="19"/>
      <x:c r="B399" s="19"/>
      <x:c r="C399" s="19"/>
      <x:c r="D399" s="19"/>
      <x:c r="X399" s="20"/>
    </x:row>
    <x:row r="400" spans="1:24" ht="14" x14ac:dyDescent="0.25">
      <x:c r="A400" s="19"/>
      <x:c r="B400" s="19"/>
      <x:c r="C400" s="19"/>
      <x:c r="D400" s="19"/>
      <x:c r="X400" s="20"/>
    </x:row>
    <x:row r="401" spans="1:24" ht="14" x14ac:dyDescent="0.25">
      <x:c r="A401" s="19"/>
      <x:c r="B401" s="19"/>
      <x:c r="C401" s="19"/>
      <x:c r="D401" s="19"/>
      <x:c r="X401" s="20"/>
    </x:row>
    <x:row r="402" spans="1:24" ht="14" x14ac:dyDescent="0.25">
      <x:c r="A402" s="19"/>
      <x:c r="B402" s="19"/>
      <x:c r="C402" s="19"/>
      <x:c r="D402" s="19"/>
      <x:c r="X402" s="20"/>
    </x:row>
    <x:row r="403" spans="1:24" ht="14" x14ac:dyDescent="0.25">
      <x:c r="A403" s="19"/>
      <x:c r="B403" s="19"/>
      <x:c r="C403" s="19"/>
      <x:c r="D403" s="19"/>
      <x:c r="X403" s="20"/>
    </x:row>
    <x:row r="404" spans="1:24" ht="14" x14ac:dyDescent="0.25">
      <x:c r="A404" s="19"/>
      <x:c r="B404" s="19"/>
      <x:c r="C404" s="19"/>
      <x:c r="D404" s="19"/>
      <x:c r="X404" s="20"/>
    </x:row>
    <x:row r="405" spans="1:24" ht="14" x14ac:dyDescent="0.25">
      <x:c r="A405" s="19"/>
      <x:c r="B405" s="19"/>
      <x:c r="C405" s="19"/>
      <x:c r="D405" s="19"/>
      <x:c r="X405" s="20"/>
    </x:row>
    <x:row r="406" spans="1:24" ht="14" x14ac:dyDescent="0.25">
      <x:c r="A406" s="19"/>
      <x:c r="B406" s="19"/>
      <x:c r="C406" s="19"/>
      <x:c r="D406" s="19"/>
      <x:c r="X406" s="20"/>
    </x:row>
    <x:row r="407" spans="1:24" ht="14" x14ac:dyDescent="0.25">
      <x:c r="A407" s="19"/>
      <x:c r="B407" s="19"/>
      <x:c r="C407" s="19"/>
      <x:c r="D407" s="19"/>
      <x:c r="X407" s="20"/>
    </x:row>
    <x:row r="408" spans="1:24" ht="14" x14ac:dyDescent="0.25">
      <x:c r="A408" s="19"/>
      <x:c r="B408" s="19"/>
      <x:c r="C408" s="19"/>
      <x:c r="D408" s="19"/>
      <x:c r="X408" s="20"/>
    </x:row>
    <x:row r="409" spans="1:24" ht="14" x14ac:dyDescent="0.25">
      <x:c r="A409" s="19"/>
      <x:c r="B409" s="19"/>
      <x:c r="C409" s="19"/>
      <x:c r="D409" s="19"/>
      <x:c r="X409" s="20"/>
    </x:row>
    <x:row r="410" spans="1:24" ht="14" x14ac:dyDescent="0.25">
      <x:c r="A410" s="19"/>
      <x:c r="B410" s="19"/>
      <x:c r="C410" s="19"/>
      <x:c r="D410" s="19"/>
      <x:c r="X410" s="20"/>
    </x:row>
    <x:row r="411" spans="1:24" ht="14" x14ac:dyDescent="0.25">
      <x:c r="A411" s="19"/>
      <x:c r="B411" s="19"/>
      <x:c r="C411" s="19"/>
      <x:c r="D411" s="19"/>
      <x:c r="X411" s="20"/>
    </x:row>
    <x:row r="412" spans="1:24" ht="14" x14ac:dyDescent="0.25">
      <x:c r="A412" s="19"/>
      <x:c r="B412" s="19"/>
      <x:c r="C412" s="19"/>
      <x:c r="D412" s="19"/>
      <x:c r="X412" s="20"/>
    </x:row>
    <x:row r="413" spans="1:24" ht="14" x14ac:dyDescent="0.25">
      <x:c r="A413" s="19"/>
      <x:c r="B413" s="19"/>
      <x:c r="C413" s="19"/>
      <x:c r="D413" s="19"/>
      <x:c r="X413" s="20"/>
    </x:row>
    <x:row r="414" spans="1:24" ht="14" x14ac:dyDescent="0.25">
      <x:c r="A414" s="19"/>
      <x:c r="B414" s="19"/>
      <x:c r="C414" s="19"/>
      <x:c r="D414" s="19"/>
      <x:c r="X414" s="20"/>
    </x:row>
    <x:row r="415" spans="1:24" ht="14" x14ac:dyDescent="0.25">
      <x:c r="A415" s="19"/>
      <x:c r="B415" s="19"/>
      <x:c r="C415" s="19"/>
      <x:c r="D415" s="19"/>
      <x:c r="X415" s="20"/>
    </x:row>
    <x:row r="416" spans="1:24" ht="14" x14ac:dyDescent="0.25">
      <x:c r="A416" s="19"/>
      <x:c r="B416" s="19"/>
      <x:c r="C416" s="19"/>
      <x:c r="D416" s="19"/>
      <x:c r="X416" s="20"/>
    </x:row>
    <x:row r="417" spans="1:24" ht="14" x14ac:dyDescent="0.25">
      <x:c r="A417" s="19"/>
      <x:c r="B417" s="19"/>
      <x:c r="C417" s="19"/>
      <x:c r="D417" s="19"/>
      <x:c r="X417" s="20"/>
    </x:row>
    <x:row r="418" spans="1:24" ht="14" x14ac:dyDescent="0.25">
      <x:c r="A418" s="19"/>
      <x:c r="B418" s="19"/>
      <x:c r="C418" s="19"/>
      <x:c r="D418" s="19"/>
      <x:c r="X418" s="20"/>
    </x:row>
    <x:row r="419" spans="1:24" ht="14" x14ac:dyDescent="0.25">
      <x:c r="A419" s="19"/>
      <x:c r="B419" s="19"/>
      <x:c r="C419" s="19"/>
      <x:c r="D419" s="19"/>
      <x:c r="X419" s="20"/>
    </x:row>
    <x:row r="420" spans="1:24" ht="14" x14ac:dyDescent="0.25">
      <x:c r="A420" s="19"/>
      <x:c r="B420" s="19"/>
      <x:c r="C420" s="19"/>
      <x:c r="D420" s="19"/>
      <x:c r="X420" s="20"/>
    </x:row>
    <x:row r="421" spans="1:24" ht="14" x14ac:dyDescent="0.25">
      <x:c r="A421" s="19"/>
      <x:c r="B421" s="19"/>
      <x:c r="C421" s="19"/>
      <x:c r="D421" s="19"/>
      <x:c r="X421" s="20"/>
    </x:row>
    <x:row r="422" spans="1:24" ht="14" x14ac:dyDescent="0.25">
      <x:c r="A422" s="19"/>
      <x:c r="B422" s="19"/>
      <x:c r="C422" s="19"/>
      <x:c r="D422" s="19"/>
      <x:c r="X422" s="20"/>
    </x:row>
    <x:row r="423" spans="1:24" ht="14" x14ac:dyDescent="0.25">
      <x:c r="A423" s="19"/>
      <x:c r="B423" s="19"/>
      <x:c r="C423" s="19"/>
      <x:c r="D423" s="19"/>
      <x:c r="X423" s="20"/>
    </x:row>
    <x:row r="424" spans="1:24" ht="14" x14ac:dyDescent="0.25">
      <x:c r="A424" s="19"/>
      <x:c r="B424" s="19"/>
      <x:c r="C424" s="19"/>
      <x:c r="D424" s="19"/>
      <x:c r="X424" s="20"/>
    </x:row>
    <x:row r="425" spans="1:24" ht="14" x14ac:dyDescent="0.25">
      <x:c r="A425" s="19"/>
      <x:c r="B425" s="19"/>
      <x:c r="C425" s="19"/>
      <x:c r="D425" s="19"/>
      <x:c r="X425" s="20"/>
    </x:row>
    <x:row r="426" spans="1:24" ht="14" x14ac:dyDescent="0.25">
      <x:c r="A426" s="19"/>
      <x:c r="B426" s="19"/>
      <x:c r="C426" s="19"/>
      <x:c r="D426" s="19"/>
      <x:c r="X426" s="20"/>
    </x:row>
    <x:row r="427" spans="1:24" ht="14" x14ac:dyDescent="0.25">
      <x:c r="A427" s="19"/>
      <x:c r="B427" s="19"/>
      <x:c r="C427" s="19"/>
      <x:c r="D427" s="19"/>
      <x:c r="X427" s="20"/>
    </x:row>
    <x:row r="428" spans="1:24" ht="14" x14ac:dyDescent="0.25">
      <x:c r="A428" s="19"/>
      <x:c r="B428" s="19"/>
      <x:c r="C428" s="19"/>
      <x:c r="D428" s="19"/>
      <x:c r="X428" s="20"/>
    </x:row>
    <x:row r="429" spans="1:24" ht="14" x14ac:dyDescent="0.25">
      <x:c r="A429" s="19"/>
      <x:c r="B429" s="19"/>
      <x:c r="C429" s="19"/>
      <x:c r="D429" s="19"/>
      <x:c r="X429" s="20"/>
    </x:row>
    <x:row r="430" spans="1:24" ht="14" x14ac:dyDescent="0.25">
      <x:c r="A430" s="19"/>
      <x:c r="B430" s="19"/>
      <x:c r="C430" s="19"/>
      <x:c r="D430" s="19"/>
      <x:c r="X430" s="20"/>
    </x:row>
    <x:row r="431" spans="1:24" ht="14" x14ac:dyDescent="0.25">
      <x:c r="A431" s="19"/>
      <x:c r="B431" s="19"/>
      <x:c r="C431" s="19"/>
      <x:c r="D431" s="19"/>
      <x:c r="X431" s="20"/>
    </x:row>
    <x:row r="432" spans="1:24" ht="14" x14ac:dyDescent="0.25">
      <x:c r="A432" s="19"/>
      <x:c r="B432" s="19"/>
      <x:c r="C432" s="19"/>
      <x:c r="D432" s="19"/>
      <x:c r="X432" s="20"/>
    </x:row>
    <x:row r="433" spans="1:24" ht="14" x14ac:dyDescent="0.25">
      <x:c r="A433" s="19"/>
      <x:c r="B433" s="19"/>
      <x:c r="C433" s="19"/>
      <x:c r="D433" s="19"/>
      <x:c r="X433" s="20"/>
    </x:row>
    <x:row r="434" spans="1:24" ht="14" x14ac:dyDescent="0.25">
      <x:c r="A434" s="19"/>
      <x:c r="B434" s="19"/>
      <x:c r="C434" s="19"/>
      <x:c r="D434" s="19"/>
      <x:c r="X434" s="20"/>
    </x:row>
    <x:row r="435" spans="1:24" ht="14" x14ac:dyDescent="0.25">
      <x:c r="A435" s="19"/>
      <x:c r="B435" s="19"/>
      <x:c r="C435" s="19"/>
      <x:c r="D435" s="19"/>
      <x:c r="X435" s="20"/>
    </x:row>
    <x:row r="436" spans="1:24" ht="14" x14ac:dyDescent="0.25">
      <x:c r="A436" s="19"/>
      <x:c r="B436" s="19"/>
      <x:c r="C436" s="19"/>
      <x:c r="D436" s="19"/>
      <x:c r="X436" s="20"/>
    </x:row>
    <x:row r="437" spans="1:24" ht="14" x14ac:dyDescent="0.25">
      <x:c r="A437" s="19"/>
      <x:c r="B437" s="19"/>
      <x:c r="C437" s="19"/>
      <x:c r="D437" s="19"/>
      <x:c r="X437" s="20"/>
    </x:row>
    <x:row r="438" spans="1:24" ht="14" x14ac:dyDescent="0.25">
      <x:c r="A438" s="19"/>
      <x:c r="B438" s="19"/>
      <x:c r="C438" s="19"/>
      <x:c r="D438" s="19"/>
      <x:c r="X438" s="20"/>
    </x:row>
    <x:row r="439" spans="1:24" ht="14" x14ac:dyDescent="0.25">
      <x:c r="A439" s="19"/>
      <x:c r="B439" s="19"/>
      <x:c r="C439" s="19"/>
      <x:c r="D439" s="19"/>
      <x:c r="X439" s="20"/>
    </x:row>
    <x:row r="440" spans="1:24" ht="14" x14ac:dyDescent="0.25">
      <x:c r="A440" s="19"/>
      <x:c r="B440" s="19"/>
      <x:c r="C440" s="19"/>
      <x:c r="D440" s="19"/>
      <x:c r="X440" s="20"/>
    </x:row>
    <x:row r="441" spans="1:24" ht="14" x14ac:dyDescent="0.25">
      <x:c r="A441" s="19"/>
      <x:c r="B441" s="19"/>
      <x:c r="C441" s="19"/>
      <x:c r="D441" s="19"/>
      <x:c r="X441" s="20"/>
    </x:row>
    <x:row r="442" spans="1:24" ht="14" x14ac:dyDescent="0.25">
      <x:c r="A442" s="19"/>
      <x:c r="B442" s="19"/>
      <x:c r="C442" s="19"/>
      <x:c r="D442" s="19"/>
      <x:c r="X442" s="20"/>
    </x:row>
    <x:row r="443" spans="1:24" ht="14" x14ac:dyDescent="0.25">
      <x:c r="A443" s="19"/>
      <x:c r="B443" s="19"/>
      <x:c r="C443" s="19"/>
      <x:c r="D443" s="19"/>
      <x:c r="X443" s="20"/>
    </x:row>
    <x:row r="444" spans="1:24" ht="14" x14ac:dyDescent="0.25">
      <x:c r="A444" s="19"/>
      <x:c r="B444" s="19"/>
      <x:c r="C444" s="19"/>
      <x:c r="D444" s="19"/>
      <x:c r="X444" s="20"/>
    </x:row>
    <x:row r="445" spans="1:24" ht="14" x14ac:dyDescent="0.25">
      <x:c r="A445" s="19"/>
      <x:c r="B445" s="19"/>
      <x:c r="C445" s="19"/>
      <x:c r="D445" s="19"/>
      <x:c r="X445" s="20"/>
    </x:row>
    <x:row r="446" spans="1:24" ht="14" x14ac:dyDescent="0.25">
      <x:c r="A446" s="19"/>
      <x:c r="B446" s="19"/>
      <x:c r="C446" s="19"/>
      <x:c r="D446" s="19"/>
      <x:c r="X446" s="20"/>
    </x:row>
    <x:row r="447" spans="1:24" ht="14" x14ac:dyDescent="0.25">
      <x:c r="A447" s="19"/>
      <x:c r="B447" s="19"/>
      <x:c r="C447" s="19"/>
      <x:c r="D447" s="19"/>
      <x:c r="X447" s="20"/>
    </x:row>
    <x:row r="448" spans="1:24" ht="14" x14ac:dyDescent="0.25">
      <x:c r="A448" s="19"/>
      <x:c r="B448" s="19"/>
      <x:c r="C448" s="19"/>
      <x:c r="D448" s="19"/>
      <x:c r="X448" s="20"/>
    </x:row>
    <x:row r="449" spans="1:24" ht="14" x14ac:dyDescent="0.25">
      <x:c r="A449" s="19"/>
      <x:c r="B449" s="19"/>
      <x:c r="C449" s="19"/>
      <x:c r="D449" s="19"/>
      <x:c r="X449" s="20"/>
    </x:row>
    <x:row r="450" spans="1:24" ht="14" x14ac:dyDescent="0.25">
      <x:c r="A450" s="19"/>
      <x:c r="B450" s="19"/>
      <x:c r="C450" s="19"/>
      <x:c r="D450" s="19"/>
      <x:c r="X450" s="20"/>
    </x:row>
    <x:row r="451" spans="1:24" ht="14" x14ac:dyDescent="0.25">
      <x:c r="A451" s="19"/>
      <x:c r="B451" s="19"/>
      <x:c r="C451" s="19"/>
      <x:c r="D451" s="19"/>
      <x:c r="X451" s="20"/>
    </x:row>
    <x:row r="452" spans="1:24" ht="14" x14ac:dyDescent="0.25">
      <x:c r="A452" s="19"/>
      <x:c r="B452" s="19"/>
      <x:c r="C452" s="19"/>
      <x:c r="D452" s="19"/>
      <x:c r="X452" s="20"/>
    </x:row>
    <x:row r="453" spans="1:24" ht="14" x14ac:dyDescent="0.25">
      <x:c r="A453" s="19"/>
      <x:c r="B453" s="19"/>
      <x:c r="C453" s="19"/>
      <x:c r="D453" s="19"/>
      <x:c r="X453" s="20"/>
    </x:row>
    <x:row r="454" spans="1:24" ht="14" x14ac:dyDescent="0.25">
      <x:c r="A454" s="19"/>
      <x:c r="B454" s="19"/>
      <x:c r="C454" s="19"/>
      <x:c r="D454" s="19"/>
      <x:c r="X454" s="20"/>
    </x:row>
    <x:row r="455" spans="1:24" ht="14" x14ac:dyDescent="0.25">
      <x:c r="A455" s="19"/>
      <x:c r="B455" s="19"/>
      <x:c r="C455" s="19"/>
      <x:c r="D455" s="19"/>
      <x:c r="X455" s="20"/>
    </x:row>
    <x:row r="456" spans="1:24" ht="14" x14ac:dyDescent="0.25">
      <x:c r="A456" s="19"/>
      <x:c r="B456" s="19"/>
      <x:c r="C456" s="19"/>
      <x:c r="D456" s="19"/>
      <x:c r="X456" s="20"/>
    </x:row>
    <x:row r="457" spans="1:24" ht="14" x14ac:dyDescent="0.25">
      <x:c r="A457" s="19"/>
      <x:c r="B457" s="19"/>
      <x:c r="C457" s="19"/>
      <x:c r="D457" s="19"/>
      <x:c r="X457" s="20"/>
    </x:row>
    <x:row r="458" spans="1:24" ht="14" x14ac:dyDescent="0.25">
      <x:c r="A458" s="19"/>
      <x:c r="B458" s="19"/>
      <x:c r="C458" s="19"/>
      <x:c r="D458" s="19"/>
      <x:c r="X458" s="20"/>
    </x:row>
    <x:row r="459" spans="1:24" ht="14" x14ac:dyDescent="0.25">
      <x:c r="A459" s="19"/>
      <x:c r="B459" s="19"/>
      <x:c r="C459" s="19"/>
      <x:c r="D459" s="19"/>
      <x:c r="X459" s="20"/>
    </x:row>
    <x:row r="460" spans="1:24" ht="14" x14ac:dyDescent="0.25">
      <x:c r="A460" s="19"/>
      <x:c r="B460" s="19"/>
      <x:c r="C460" s="19"/>
      <x:c r="D460" s="19"/>
      <x:c r="X460" s="20"/>
    </x:row>
    <x:row r="461" spans="1:24" ht="14" x14ac:dyDescent="0.25">
      <x:c r="A461" s="19"/>
      <x:c r="B461" s="19"/>
      <x:c r="C461" s="19"/>
      <x:c r="D461" s="19"/>
      <x:c r="X461" s="20"/>
    </x:row>
    <x:row r="462" spans="1:24" ht="14" x14ac:dyDescent="0.25">
      <x:c r="A462" s="19"/>
      <x:c r="B462" s="19"/>
      <x:c r="C462" s="19"/>
      <x:c r="D462" s="19"/>
      <x:c r="X462" s="20"/>
    </x:row>
    <x:row r="463" spans="1:24" ht="14" x14ac:dyDescent="0.25">
      <x:c r="A463" s="19"/>
      <x:c r="B463" s="19"/>
      <x:c r="C463" s="19"/>
      <x:c r="D463" s="19"/>
      <x:c r="X463" s="20"/>
    </x:row>
    <x:row r="464" spans="1:24" ht="14" x14ac:dyDescent="0.25">
      <x:c r="A464" s="19"/>
      <x:c r="B464" s="19"/>
      <x:c r="C464" s="19"/>
      <x:c r="D464" s="19"/>
      <x:c r="X464" s="20"/>
    </x:row>
    <x:row r="465" spans="1:24" ht="14" x14ac:dyDescent="0.25">
      <x:c r="A465" s="19"/>
      <x:c r="B465" s="19"/>
      <x:c r="C465" s="19"/>
      <x:c r="D465" s="19"/>
      <x:c r="X465" s="20"/>
    </x:row>
    <x:row r="466" spans="1:24" ht="14" x14ac:dyDescent="0.25">
      <x:c r="A466" s="19"/>
      <x:c r="B466" s="19"/>
      <x:c r="C466" s="19"/>
      <x:c r="D466" s="19"/>
      <x:c r="X466" s="20"/>
    </x:row>
    <x:row r="467" spans="1:24" ht="14" x14ac:dyDescent="0.25">
      <x:c r="A467" s="19"/>
      <x:c r="B467" s="19"/>
      <x:c r="C467" s="19"/>
      <x:c r="D467" s="19"/>
      <x:c r="X467" s="20"/>
    </x:row>
    <x:row r="468" spans="1:24" ht="14" x14ac:dyDescent="0.25">
      <x:c r="A468" s="19"/>
      <x:c r="B468" s="19"/>
      <x:c r="C468" s="19"/>
      <x:c r="D468" s="19"/>
      <x:c r="X468" s="20"/>
    </x:row>
    <x:row r="469" spans="1:24" ht="14" x14ac:dyDescent="0.25">
      <x:c r="A469" s="19"/>
      <x:c r="B469" s="19"/>
      <x:c r="C469" s="19"/>
      <x:c r="D469" s="19"/>
      <x:c r="X469" s="20"/>
    </x:row>
    <x:row r="470" spans="1:24" ht="14" x14ac:dyDescent="0.25">
      <x:c r="A470" s="19"/>
      <x:c r="B470" s="19"/>
      <x:c r="C470" s="19"/>
      <x:c r="D470" s="19"/>
      <x:c r="X470" s="20"/>
    </x:row>
    <x:row r="471" spans="1:24" ht="14" x14ac:dyDescent="0.25">
      <x:c r="A471" s="19"/>
      <x:c r="B471" s="19"/>
      <x:c r="C471" s="19"/>
      <x:c r="D471" s="19"/>
      <x:c r="X471" s="20"/>
    </x:row>
    <x:row r="472" spans="1:24" ht="14" x14ac:dyDescent="0.25">
      <x:c r="A472" s="19"/>
      <x:c r="B472" s="19"/>
      <x:c r="C472" s="19"/>
      <x:c r="D472" s="19"/>
      <x:c r="X472" s="20"/>
    </x:row>
    <x:row r="473" spans="1:24" ht="14" x14ac:dyDescent="0.25">
      <x:c r="A473" s="19"/>
      <x:c r="B473" s="19"/>
      <x:c r="C473" s="19"/>
      <x:c r="D473" s="19"/>
      <x:c r="X473" s="20"/>
    </x:row>
    <x:row r="474" spans="1:24" ht="14" x14ac:dyDescent="0.25">
      <x:c r="A474" s="19"/>
      <x:c r="B474" s="19"/>
      <x:c r="C474" s="19"/>
      <x:c r="D474" s="19"/>
      <x:c r="X474" s="20"/>
    </x:row>
    <x:row r="475" spans="1:24" ht="14" x14ac:dyDescent="0.25">
      <x:c r="A475" s="19"/>
      <x:c r="B475" s="19"/>
      <x:c r="C475" s="19"/>
      <x:c r="D475" s="19"/>
      <x:c r="X475" s="20"/>
    </x:row>
    <x:row r="476" spans="1:24" ht="14" x14ac:dyDescent="0.25">
      <x:c r="A476" s="19"/>
      <x:c r="B476" s="19"/>
      <x:c r="C476" s="19"/>
      <x:c r="D476" s="19"/>
      <x:c r="X476" s="20"/>
    </x:row>
    <x:row r="477" spans="1:24" ht="14" x14ac:dyDescent="0.25">
      <x:c r="A477" s="19"/>
      <x:c r="B477" s="19"/>
      <x:c r="C477" s="19"/>
      <x:c r="D477" s="19"/>
      <x:c r="X477" s="20"/>
    </x:row>
    <x:row r="478" spans="1:24" ht="14" x14ac:dyDescent="0.25">
      <x:c r="A478" s="19"/>
      <x:c r="B478" s="19"/>
      <x:c r="C478" s="19"/>
      <x:c r="D478" s="19"/>
      <x:c r="X478" s="20"/>
    </x:row>
    <x:row r="479" spans="1:24" ht="14" x14ac:dyDescent="0.25">
      <x:c r="A479" s="19"/>
      <x:c r="B479" s="19"/>
      <x:c r="C479" s="19"/>
      <x:c r="D479" s="19"/>
      <x:c r="X479" s="20"/>
    </x:row>
    <x:row r="480" spans="1:24" ht="14" x14ac:dyDescent="0.25">
      <x:c r="A480" s="19"/>
      <x:c r="B480" s="19"/>
      <x:c r="C480" s="19"/>
      <x:c r="D480" s="19"/>
      <x:c r="X480" s="20"/>
    </x:row>
    <x:row r="481" spans="1:24" ht="14" x14ac:dyDescent="0.25">
      <x:c r="A481" s="19"/>
      <x:c r="B481" s="19"/>
      <x:c r="C481" s="19"/>
      <x:c r="D481" s="19"/>
      <x:c r="X481" s="20"/>
    </x:row>
    <x:row r="482" spans="1:24" ht="14" x14ac:dyDescent="0.25">
      <x:c r="A482" s="19"/>
      <x:c r="B482" s="19"/>
      <x:c r="C482" s="19"/>
      <x:c r="D482" s="19"/>
      <x:c r="X482" s="20"/>
    </x:row>
    <x:row r="483" spans="1:24" ht="14" x14ac:dyDescent="0.25">
      <x:c r="A483" s="19"/>
      <x:c r="B483" s="19"/>
      <x:c r="C483" s="19"/>
      <x:c r="D483" s="19"/>
      <x:c r="X483" s="20"/>
    </x:row>
    <x:row r="484" spans="1:24" ht="14" x14ac:dyDescent="0.25">
      <x:c r="A484" s="19"/>
      <x:c r="B484" s="19"/>
      <x:c r="C484" s="19"/>
      <x:c r="D484" s="19"/>
      <x:c r="X484" s="20"/>
    </x:row>
    <x:row r="485" spans="1:24" ht="14" x14ac:dyDescent="0.25">
      <x:c r="A485" s="19"/>
      <x:c r="B485" s="19"/>
      <x:c r="C485" s="19"/>
      <x:c r="D485" s="19"/>
      <x:c r="X485" s="20"/>
    </x:row>
    <x:row r="486" spans="1:24" ht="14" x14ac:dyDescent="0.25">
      <x:c r="A486" s="19"/>
      <x:c r="B486" s="19"/>
      <x:c r="C486" s="19"/>
      <x:c r="D486" s="19"/>
      <x:c r="X486" s="20"/>
    </x:row>
    <x:row r="487" spans="1:24" ht="14" x14ac:dyDescent="0.25">
      <x:c r="A487" s="19"/>
      <x:c r="B487" s="19"/>
      <x:c r="C487" s="19"/>
      <x:c r="D487" s="19"/>
      <x:c r="X487" s="20"/>
    </x:row>
    <x:row r="488" spans="1:24" ht="14" x14ac:dyDescent="0.25">
      <x:c r="A488" s="19"/>
      <x:c r="B488" s="19"/>
      <x:c r="C488" s="19"/>
      <x:c r="D488" s="19"/>
      <x:c r="X488" s="20"/>
    </x:row>
    <x:row r="489" spans="1:24" ht="14" x14ac:dyDescent="0.25">
      <x:c r="A489" s="19"/>
      <x:c r="B489" s="19"/>
      <x:c r="C489" s="19"/>
      <x:c r="D489" s="19"/>
      <x:c r="X489" s="20"/>
    </x:row>
    <x:row r="490" spans="1:24" ht="14" x14ac:dyDescent="0.25">
      <x:c r="A490" s="19"/>
      <x:c r="B490" s="19"/>
      <x:c r="C490" s="19"/>
      <x:c r="D490" s="19"/>
      <x:c r="X490" s="20"/>
    </x:row>
    <x:row r="491" spans="1:24" ht="14" x14ac:dyDescent="0.25">
      <x:c r="A491" s="19"/>
      <x:c r="B491" s="19"/>
      <x:c r="C491" s="19"/>
      <x:c r="D491" s="19"/>
      <x:c r="X491" s="20"/>
    </x:row>
    <x:row r="492" spans="1:24" ht="14" x14ac:dyDescent="0.25">
      <x:c r="A492" s="19"/>
      <x:c r="B492" s="19"/>
      <x:c r="C492" s="19"/>
      <x:c r="D492" s="19"/>
      <x:c r="X492" s="20"/>
    </x:row>
    <x:row r="493" spans="1:24" ht="14" x14ac:dyDescent="0.25">
      <x:c r="A493" s="19"/>
      <x:c r="B493" s="19"/>
      <x:c r="C493" s="19"/>
      <x:c r="D493" s="19"/>
      <x:c r="X493" s="20"/>
    </x:row>
    <x:row r="494" spans="1:24" ht="14" x14ac:dyDescent="0.25">
      <x:c r="A494" s="19"/>
      <x:c r="B494" s="19"/>
      <x:c r="C494" s="19"/>
      <x:c r="D494" s="19"/>
      <x:c r="X494" s="20"/>
    </x:row>
    <x:row r="495" spans="1:24" ht="14" x14ac:dyDescent="0.25">
      <x:c r="A495" s="19"/>
      <x:c r="B495" s="19"/>
      <x:c r="C495" s="19"/>
      <x:c r="D495" s="19"/>
      <x:c r="X495" s="20"/>
    </x:row>
    <x:row r="496" spans="1:24" ht="14" x14ac:dyDescent="0.25">
      <x:c r="A496" s="19"/>
      <x:c r="B496" s="19"/>
      <x:c r="C496" s="19"/>
      <x:c r="D496" s="19"/>
      <x:c r="X496" s="20"/>
    </x:row>
    <x:row r="497" spans="1:24" ht="14" x14ac:dyDescent="0.25">
      <x:c r="A497" s="19"/>
      <x:c r="B497" s="19"/>
      <x:c r="C497" s="19"/>
      <x:c r="D497" s="19"/>
      <x:c r="X497" s="20"/>
    </x:row>
    <x:row r="498" spans="1:24" ht="14" x14ac:dyDescent="0.25">
      <x:c r="A498" s="19"/>
      <x:c r="B498" s="19"/>
      <x:c r="C498" s="19"/>
      <x:c r="D498" s="19"/>
      <x:c r="X498" s="20"/>
    </x:row>
    <x:row r="499" spans="1:24" ht="14" x14ac:dyDescent="0.25">
      <x:c r="A499" s="19"/>
      <x:c r="B499" s="19"/>
      <x:c r="C499" s="19"/>
      <x:c r="D499" s="19"/>
      <x:c r="X499" s="20"/>
    </x:row>
    <x:row r="500" spans="1:24" ht="14" x14ac:dyDescent="0.25">
      <x:c r="A500" s="19"/>
      <x:c r="B500" s="19"/>
      <x:c r="C500" s="19"/>
      <x:c r="D500" s="19"/>
      <x:c r="X500" s="20"/>
    </x:row>
    <x:row r="501" spans="1:24" ht="14" x14ac:dyDescent="0.25">
      <x:c r="A501" s="19"/>
      <x:c r="B501" s="19"/>
      <x:c r="C501" s="19"/>
      <x:c r="D501" s="19"/>
      <x:c r="X501" s="20"/>
    </x:row>
    <x:row r="502" spans="1:24" ht="14" x14ac:dyDescent="0.25">
      <x:c r="A502" s="19"/>
      <x:c r="B502" s="19"/>
      <x:c r="C502" s="19"/>
      <x:c r="D502" s="19"/>
      <x:c r="X502" s="20"/>
    </x:row>
    <x:row r="503" spans="1:24" ht="14" x14ac:dyDescent="0.25">
      <x:c r="A503" s="19"/>
      <x:c r="B503" s="19"/>
      <x:c r="C503" s="19"/>
      <x:c r="D503" s="19"/>
      <x:c r="X503" s="20"/>
    </x:row>
    <x:row r="504" spans="1:24" ht="14" x14ac:dyDescent="0.25">
      <x:c r="A504" s="19"/>
      <x:c r="B504" s="19"/>
      <x:c r="C504" s="19"/>
      <x:c r="D504" s="19"/>
      <x:c r="X504" s="20"/>
    </x:row>
    <x:row r="505" spans="1:24" ht="14" x14ac:dyDescent="0.25">
      <x:c r="A505" s="19"/>
      <x:c r="B505" s="19"/>
      <x:c r="C505" s="19"/>
      <x:c r="D505" s="19"/>
      <x:c r="X505" s="20"/>
    </x:row>
    <x:row r="506" spans="1:24" ht="14" x14ac:dyDescent="0.25">
      <x:c r="A506" s="19"/>
      <x:c r="B506" s="19"/>
      <x:c r="C506" s="19"/>
      <x:c r="D506" s="19"/>
      <x:c r="X506" s="20"/>
    </x:row>
    <x:row r="507" spans="1:24" ht="14" x14ac:dyDescent="0.25">
      <x:c r="A507" s="19"/>
      <x:c r="B507" s="19"/>
      <x:c r="C507" s="19"/>
      <x:c r="D507" s="19"/>
      <x:c r="X507" s="20"/>
    </x:row>
    <x:row r="508" spans="1:24" ht="14" x14ac:dyDescent="0.25">
      <x:c r="A508" s="19"/>
      <x:c r="B508" s="19"/>
      <x:c r="C508" s="19"/>
      <x:c r="D508" s="19"/>
      <x:c r="X508" s="20"/>
    </x:row>
    <x:row r="509" spans="1:24" ht="14" x14ac:dyDescent="0.25">
      <x:c r="A509" s="19"/>
      <x:c r="B509" s="19"/>
      <x:c r="C509" s="19"/>
      <x:c r="D509" s="19"/>
      <x:c r="X509" s="20"/>
    </x:row>
    <x:row r="510" spans="1:24" ht="14" x14ac:dyDescent="0.25">
      <x:c r="A510" s="19"/>
      <x:c r="B510" s="19"/>
      <x:c r="C510" s="19"/>
      <x:c r="D510" s="19"/>
      <x:c r="X510" s="20"/>
    </x:row>
    <x:row r="511" spans="1:24" ht="14" x14ac:dyDescent="0.25">
      <x:c r="A511" s="19"/>
      <x:c r="B511" s="19"/>
      <x:c r="C511" s="19"/>
      <x:c r="D511" s="19"/>
      <x:c r="X511" s="20"/>
    </x:row>
    <x:row r="512" spans="1:24" ht="14" x14ac:dyDescent="0.25">
      <x:c r="A512" s="19"/>
      <x:c r="B512" s="19"/>
      <x:c r="C512" s="19"/>
      <x:c r="D512" s="19"/>
      <x:c r="X512" s="20"/>
    </x:row>
    <x:row r="513" spans="1:24" ht="14" x14ac:dyDescent="0.25">
      <x:c r="A513" s="19"/>
      <x:c r="B513" s="19"/>
      <x:c r="C513" s="19"/>
      <x:c r="D513" s="19"/>
      <x:c r="X513" s="20"/>
    </x:row>
    <x:row r="514" spans="1:24" ht="14" x14ac:dyDescent="0.25">
      <x:c r="A514" s="19"/>
      <x:c r="B514" s="19"/>
      <x:c r="C514" s="19"/>
      <x:c r="D514" s="19"/>
      <x:c r="X514" s="20"/>
    </x:row>
    <x:row r="515" spans="1:24" ht="14" x14ac:dyDescent="0.25">
      <x:c r="A515" s="19"/>
      <x:c r="B515" s="19"/>
      <x:c r="C515" s="19"/>
      <x:c r="D515" s="19"/>
      <x:c r="X515" s="20"/>
    </x:row>
    <x:row r="516" spans="1:24" ht="14" x14ac:dyDescent="0.25">
      <x:c r="A516" s="19"/>
      <x:c r="B516" s="19"/>
      <x:c r="C516" s="19"/>
      <x:c r="D516" s="19"/>
      <x:c r="X516" s="20"/>
    </x:row>
    <x:row r="517" spans="1:24" ht="14" x14ac:dyDescent="0.25">
      <x:c r="A517" s="19"/>
      <x:c r="B517" s="19"/>
      <x:c r="C517" s="19"/>
      <x:c r="D517" s="19"/>
      <x:c r="X517" s="20"/>
    </x:row>
    <x:row r="518" spans="1:24" ht="14" x14ac:dyDescent="0.25">
      <x:c r="A518" s="19"/>
      <x:c r="B518" s="19"/>
      <x:c r="C518" s="19"/>
      <x:c r="D518" s="19"/>
      <x:c r="X518" s="20"/>
    </x:row>
    <x:row r="519" spans="1:24" ht="14" x14ac:dyDescent="0.25">
      <x:c r="A519" s="19"/>
      <x:c r="B519" s="19"/>
      <x:c r="C519" s="19"/>
      <x:c r="D519" s="19"/>
      <x:c r="X519" s="20"/>
    </x:row>
    <x:row r="520" spans="1:24" ht="14" x14ac:dyDescent="0.25">
      <x:c r="A520" s="19"/>
      <x:c r="B520" s="19"/>
      <x:c r="C520" s="19"/>
      <x:c r="D520" s="19"/>
      <x:c r="X520" s="20"/>
    </x:row>
    <x:row r="521" spans="1:24" ht="14" x14ac:dyDescent="0.25">
      <x:c r="A521" s="19"/>
      <x:c r="B521" s="19"/>
      <x:c r="C521" s="19"/>
      <x:c r="D521" s="19"/>
      <x:c r="X521" s="20"/>
    </x:row>
    <x:row r="522" spans="1:24" ht="14" x14ac:dyDescent="0.25">
      <x:c r="A522" s="19"/>
      <x:c r="B522" s="19"/>
      <x:c r="C522" s="19"/>
      <x:c r="D522" s="19"/>
      <x:c r="X522" s="20"/>
    </x:row>
    <x:row r="523" spans="1:24" ht="14" x14ac:dyDescent="0.25">
      <x:c r="A523" s="19"/>
      <x:c r="B523" s="19"/>
      <x:c r="C523" s="19"/>
      <x:c r="D523" s="19"/>
      <x:c r="X523" s="20"/>
    </x:row>
    <x:row r="524" spans="1:24" ht="14" x14ac:dyDescent="0.25">
      <x:c r="A524" s="19"/>
      <x:c r="B524" s="19"/>
      <x:c r="C524" s="19"/>
      <x:c r="D524" s="19"/>
      <x:c r="X524" s="20"/>
    </x:row>
    <x:row r="525" spans="1:24" ht="14" x14ac:dyDescent="0.25">
      <x:c r="A525" s="19"/>
      <x:c r="B525" s="19"/>
      <x:c r="C525" s="19"/>
      <x:c r="D525" s="19"/>
      <x:c r="X525" s="20"/>
    </x:row>
    <x:row r="526" spans="1:24" ht="14" x14ac:dyDescent="0.25">
      <x:c r="A526" s="19"/>
      <x:c r="B526" s="19"/>
      <x:c r="C526" s="19"/>
      <x:c r="D526" s="19"/>
      <x:c r="X526" s="20"/>
    </x:row>
    <x:row r="527" spans="1:24" ht="14" x14ac:dyDescent="0.25">
      <x:c r="A527" s="19"/>
      <x:c r="B527" s="19"/>
      <x:c r="C527" s="19"/>
      <x:c r="D527" s="19"/>
      <x:c r="X527" s="20"/>
    </x:row>
    <x:row r="528" spans="1:24" ht="14" x14ac:dyDescent="0.25">
      <x:c r="A528" s="19"/>
      <x:c r="B528" s="19"/>
      <x:c r="C528" s="19"/>
      <x:c r="D528" s="19"/>
      <x:c r="X528" s="20"/>
    </x:row>
    <x:row r="529" spans="1:24" ht="14" x14ac:dyDescent="0.25">
      <x:c r="A529" s="19"/>
      <x:c r="B529" s="19"/>
      <x:c r="C529" s="19"/>
      <x:c r="D529" s="19"/>
      <x:c r="X529" s="20"/>
    </x:row>
    <x:row r="530" spans="1:24" ht="14" x14ac:dyDescent="0.25">
      <x:c r="A530" s="19"/>
      <x:c r="B530" s="19"/>
      <x:c r="C530" s="19"/>
      <x:c r="D530" s="19"/>
      <x:c r="X530" s="20"/>
    </x:row>
    <x:row r="531" spans="1:24" ht="14" x14ac:dyDescent="0.25">
      <x:c r="A531" s="19"/>
      <x:c r="B531" s="19"/>
      <x:c r="C531" s="19"/>
      <x:c r="D531" s="19"/>
      <x:c r="X531" s="20"/>
    </x:row>
    <x:row r="532" spans="1:24" ht="14" x14ac:dyDescent="0.25">
      <x:c r="A532" s="19"/>
      <x:c r="B532" s="19"/>
      <x:c r="C532" s="19"/>
      <x:c r="D532" s="19"/>
      <x:c r="X532" s="20"/>
    </x:row>
    <x:row r="533" spans="1:24" ht="14" x14ac:dyDescent="0.25">
      <x:c r="A533" s="19"/>
      <x:c r="B533" s="19"/>
      <x:c r="C533" s="19"/>
      <x:c r="D533" s="19"/>
      <x:c r="X533" s="20"/>
    </x:row>
    <x:row r="534" spans="1:24" ht="14" x14ac:dyDescent="0.25">
      <x:c r="A534" s="19"/>
      <x:c r="B534" s="19"/>
      <x:c r="C534" s="19"/>
      <x:c r="D534" s="19"/>
      <x:c r="X534" s="20"/>
    </x:row>
    <x:row r="535" spans="1:24" ht="14" x14ac:dyDescent="0.25">
      <x:c r="A535" s="19"/>
      <x:c r="B535" s="19"/>
      <x:c r="C535" s="19"/>
      <x:c r="D535" s="19"/>
      <x:c r="X535" s="20"/>
    </x:row>
    <x:row r="536" spans="1:24" ht="14" x14ac:dyDescent="0.25">
      <x:c r="A536" s="19"/>
      <x:c r="B536" s="19"/>
      <x:c r="C536" s="19"/>
      <x:c r="D536" s="19"/>
      <x:c r="X536" s="20"/>
    </x:row>
    <x:row r="537" spans="1:24" ht="14" x14ac:dyDescent="0.25">
      <x:c r="A537" s="19"/>
      <x:c r="B537" s="19"/>
      <x:c r="C537" s="19"/>
      <x:c r="D537" s="19"/>
      <x:c r="X537" s="20"/>
    </x:row>
    <x:row r="538" spans="1:24" ht="14" x14ac:dyDescent="0.25">
      <x:c r="A538" s="19"/>
      <x:c r="B538" s="19"/>
      <x:c r="C538" s="19"/>
      <x:c r="D538" s="19"/>
      <x:c r="X538" s="20"/>
    </x:row>
    <x:row r="539" spans="1:24" ht="14" x14ac:dyDescent="0.25">
      <x:c r="A539" s="19"/>
      <x:c r="B539" s="19"/>
      <x:c r="C539" s="19"/>
      <x:c r="D539" s="19"/>
      <x:c r="X539" s="20"/>
    </x:row>
    <x:row r="540" spans="1:24" ht="14" x14ac:dyDescent="0.25">
      <x:c r="A540" s="19"/>
      <x:c r="B540" s="19"/>
      <x:c r="C540" s="19"/>
      <x:c r="D540" s="19"/>
      <x:c r="X540" s="20"/>
    </x:row>
    <x:row r="541" spans="1:24" ht="14" x14ac:dyDescent="0.25">
      <x:c r="A541" s="19"/>
      <x:c r="B541" s="19"/>
      <x:c r="C541" s="19"/>
      <x:c r="D541" s="19"/>
      <x:c r="X541" s="20"/>
    </x:row>
    <x:row r="542" spans="1:24" ht="14" x14ac:dyDescent="0.25">
      <x:c r="A542" s="19"/>
      <x:c r="B542" s="19"/>
      <x:c r="C542" s="19"/>
      <x:c r="D542" s="19"/>
      <x:c r="X542" s="20"/>
    </x:row>
    <x:row r="543" spans="1:24" ht="14" x14ac:dyDescent="0.25">
      <x:c r="A543" s="19"/>
      <x:c r="B543" s="19"/>
      <x:c r="C543" s="19"/>
      <x:c r="D543" s="19"/>
      <x:c r="X543" s="20"/>
    </x:row>
    <x:row r="544" spans="1:24" ht="14" x14ac:dyDescent="0.25">
      <x:c r="A544" s="19"/>
      <x:c r="B544" s="19"/>
      <x:c r="C544" s="19"/>
      <x:c r="D544" s="19"/>
      <x:c r="X544" s="20"/>
    </x:row>
    <x:row r="545" spans="1:24" ht="14" x14ac:dyDescent="0.25">
      <x:c r="A545" s="19"/>
      <x:c r="B545" s="19"/>
      <x:c r="C545" s="19"/>
      <x:c r="D545" s="19"/>
      <x:c r="X545" s="20"/>
    </x:row>
    <x:row r="546" spans="1:24" ht="14" x14ac:dyDescent="0.25">
      <x:c r="A546" s="19"/>
      <x:c r="B546" s="19"/>
      <x:c r="C546" s="19"/>
      <x:c r="D546" s="19"/>
      <x:c r="X546" s="20"/>
    </x:row>
    <x:row r="547" spans="1:24" ht="14" x14ac:dyDescent="0.25">
      <x:c r="A547" s="19"/>
      <x:c r="B547" s="19"/>
      <x:c r="C547" s="19"/>
      <x:c r="D547" s="19"/>
      <x:c r="X547" s="20"/>
    </x:row>
    <x:row r="548" spans="1:24" ht="14" x14ac:dyDescent="0.25">
      <x:c r="A548" s="19"/>
      <x:c r="B548" s="19"/>
      <x:c r="C548" s="19"/>
      <x:c r="D548" s="19"/>
      <x:c r="X548" s="20"/>
    </x:row>
    <x:row r="549" spans="1:24" ht="14" x14ac:dyDescent="0.25">
      <x:c r="A549" s="19"/>
      <x:c r="B549" s="19"/>
      <x:c r="C549" s="19"/>
      <x:c r="D549" s="19"/>
      <x:c r="X549" s="20"/>
    </x:row>
    <x:row r="550" spans="1:24" ht="14" x14ac:dyDescent="0.25">
      <x:c r="A550" s="19"/>
      <x:c r="B550" s="19"/>
      <x:c r="C550" s="19"/>
      <x:c r="D550" s="19"/>
      <x:c r="X550" s="20"/>
    </x:row>
    <x:row r="551" spans="1:24" ht="14" x14ac:dyDescent="0.25">
      <x:c r="A551" s="19"/>
      <x:c r="B551" s="19"/>
      <x:c r="C551" s="19"/>
      <x:c r="D551" s="19"/>
      <x:c r="X551" s="20"/>
    </x:row>
    <x:row r="552" spans="1:24" ht="14" x14ac:dyDescent="0.25">
      <x:c r="A552" s="19"/>
      <x:c r="B552" s="19"/>
      <x:c r="C552" s="19"/>
      <x:c r="D552" s="19"/>
      <x:c r="X552" s="20"/>
    </x:row>
    <x:row r="553" spans="1:24" ht="14" x14ac:dyDescent="0.25">
      <x:c r="A553" s="19"/>
      <x:c r="B553" s="19"/>
      <x:c r="C553" s="19"/>
      <x:c r="D553" s="19"/>
      <x:c r="X553" s="20"/>
    </x:row>
    <x:row r="554" spans="1:24" ht="14" x14ac:dyDescent="0.25">
      <x:c r="A554" s="19"/>
      <x:c r="B554" s="19"/>
      <x:c r="C554" s="19"/>
      <x:c r="D554" s="19"/>
      <x:c r="X554" s="20"/>
    </x:row>
    <x:row r="555" spans="1:24" ht="14" x14ac:dyDescent="0.25">
      <x:c r="A555" s="19"/>
      <x:c r="B555" s="19"/>
      <x:c r="C555" s="19"/>
      <x:c r="D555" s="19"/>
      <x:c r="X555" s="20"/>
    </x:row>
    <x:row r="556" spans="1:24" ht="14" x14ac:dyDescent="0.25">
      <x:c r="A556" s="19"/>
      <x:c r="B556" s="19"/>
      <x:c r="C556" s="19"/>
      <x:c r="D556" s="19"/>
      <x:c r="X556" s="20"/>
    </x:row>
    <x:row r="557" spans="1:24" ht="14" x14ac:dyDescent="0.25">
      <x:c r="A557" s="19"/>
      <x:c r="B557" s="19"/>
      <x:c r="C557" s="19"/>
      <x:c r="D557" s="19"/>
      <x:c r="X557" s="20"/>
    </x:row>
    <x:row r="558" spans="1:24" ht="14" x14ac:dyDescent="0.25">
      <x:c r="A558" s="19"/>
      <x:c r="B558" s="19"/>
      <x:c r="C558" s="19"/>
      <x:c r="D558" s="19"/>
      <x:c r="X558" s="20"/>
    </x:row>
    <x:row r="559" spans="1:24" ht="14" x14ac:dyDescent="0.25">
      <x:c r="A559" s="19"/>
      <x:c r="B559" s="19"/>
      <x:c r="C559" s="19"/>
      <x:c r="D559" s="19"/>
      <x:c r="X559" s="20"/>
    </x:row>
    <x:row r="560" spans="1:24" ht="14" x14ac:dyDescent="0.25">
      <x:c r="A560" s="19"/>
      <x:c r="B560" s="19"/>
      <x:c r="C560" s="19"/>
      <x:c r="D560" s="19"/>
      <x:c r="X560" s="20"/>
    </x:row>
    <x:row r="561" spans="1:24" ht="14" x14ac:dyDescent="0.25">
      <x:c r="A561" s="19"/>
      <x:c r="B561" s="19"/>
      <x:c r="C561" s="19"/>
      <x:c r="D561" s="19"/>
      <x:c r="X561" s="20"/>
    </x:row>
    <x:row r="562" spans="1:24" ht="14" x14ac:dyDescent="0.25">
      <x:c r="A562" s="19"/>
      <x:c r="B562" s="19"/>
      <x:c r="C562" s="19"/>
      <x:c r="D562" s="19"/>
      <x:c r="X562" s="20"/>
    </x:row>
    <x:row r="563" spans="1:24" ht="14" x14ac:dyDescent="0.25">
      <x:c r="A563" s="19"/>
      <x:c r="B563" s="19"/>
      <x:c r="C563" s="19"/>
      <x:c r="D563" s="19"/>
      <x:c r="X563" s="20"/>
    </x:row>
    <x:row r="564" spans="1:24" ht="14" x14ac:dyDescent="0.25">
      <x:c r="A564" s="19"/>
      <x:c r="B564" s="19"/>
      <x:c r="C564" s="19"/>
      <x:c r="D564" s="19"/>
      <x:c r="X564" s="20"/>
    </x:row>
    <x:row r="565" spans="1:24" ht="14" x14ac:dyDescent="0.25">
      <x:c r="A565" s="19"/>
      <x:c r="B565" s="19"/>
      <x:c r="C565" s="19"/>
      <x:c r="D565" s="19"/>
      <x:c r="X565" s="20"/>
    </x:row>
    <x:row r="566" spans="1:24" ht="14" x14ac:dyDescent="0.25">
      <x:c r="A566" s="19"/>
      <x:c r="B566" s="19"/>
      <x:c r="C566" s="19"/>
      <x:c r="D566" s="19"/>
      <x:c r="X566" s="20"/>
    </x:row>
    <x:row r="567" spans="1:24" ht="14" x14ac:dyDescent="0.25">
      <x:c r="A567" s="19"/>
      <x:c r="B567" s="19"/>
      <x:c r="C567" s="19"/>
      <x:c r="D567" s="19"/>
      <x:c r="X567" s="20"/>
    </x:row>
    <x:row r="568" spans="1:24" ht="14" x14ac:dyDescent="0.25">
      <x:c r="A568" s="19"/>
      <x:c r="B568" s="19"/>
      <x:c r="C568" s="19"/>
      <x:c r="D568" s="19"/>
      <x:c r="X568" s="20"/>
    </x:row>
    <x:row r="569" spans="1:24" ht="14" x14ac:dyDescent="0.25">
      <x:c r="A569" s="19"/>
      <x:c r="B569" s="19"/>
      <x:c r="C569" s="19"/>
      <x:c r="D569" s="19"/>
      <x:c r="X569" s="20"/>
    </x:row>
    <x:row r="570" spans="1:24" ht="14" x14ac:dyDescent="0.25">
      <x:c r="A570" s="19"/>
      <x:c r="B570" s="19"/>
      <x:c r="C570" s="19"/>
      <x:c r="D570" s="19"/>
      <x:c r="X570" s="20"/>
    </x:row>
    <x:row r="571" spans="1:24" ht="14" x14ac:dyDescent="0.25">
      <x:c r="A571" s="19"/>
      <x:c r="B571" s="19"/>
      <x:c r="C571" s="19"/>
      <x:c r="D571" s="19"/>
      <x:c r="X571" s="20"/>
    </x:row>
    <x:row r="572" spans="1:24" ht="14" x14ac:dyDescent="0.25">
      <x:c r="A572" s="19"/>
      <x:c r="B572" s="19"/>
      <x:c r="C572" s="19"/>
      <x:c r="D572" s="19"/>
      <x:c r="X572" s="20"/>
    </x:row>
    <x:row r="573" spans="1:24" ht="14" x14ac:dyDescent="0.25">
      <x:c r="A573" s="19"/>
      <x:c r="B573" s="19"/>
      <x:c r="C573" s="19"/>
      <x:c r="D573" s="19"/>
      <x:c r="X573" s="20"/>
    </x:row>
    <x:row r="574" spans="1:24" ht="14" x14ac:dyDescent="0.25">
      <x:c r="A574" s="19"/>
      <x:c r="B574" s="19"/>
      <x:c r="C574" s="19"/>
      <x:c r="D574" s="19"/>
      <x:c r="X574" s="20"/>
    </x:row>
    <x:row r="575" spans="1:24" ht="14" x14ac:dyDescent="0.25">
      <x:c r="A575" s="19"/>
      <x:c r="B575" s="19"/>
      <x:c r="C575" s="19"/>
      <x:c r="D575" s="19"/>
      <x:c r="X575" s="20"/>
    </x:row>
    <x:row r="576" spans="1:24" ht="14" x14ac:dyDescent="0.25">
      <x:c r="A576" s="19"/>
      <x:c r="B576" s="19"/>
      <x:c r="C576" s="19"/>
      <x:c r="D576" s="19"/>
      <x:c r="X576" s="20"/>
    </x:row>
    <x:row r="577" spans="1:24" ht="14" x14ac:dyDescent="0.25">
      <x:c r="A577" s="19"/>
      <x:c r="B577" s="19"/>
      <x:c r="C577" s="19"/>
      <x:c r="D577" s="19"/>
      <x:c r="X577" s="20"/>
    </x:row>
    <x:row r="578" spans="1:24" ht="14" x14ac:dyDescent="0.25">
      <x:c r="A578" s="19"/>
      <x:c r="B578" s="19"/>
      <x:c r="C578" s="19"/>
      <x:c r="D578" s="19"/>
      <x:c r="X578" s="20"/>
    </x:row>
    <x:row r="579" spans="1:24" ht="14" x14ac:dyDescent="0.25">
      <x:c r="A579" s="19"/>
      <x:c r="B579" s="19"/>
      <x:c r="C579" s="19"/>
      <x:c r="D579" s="19"/>
      <x:c r="X579" s="20"/>
    </x:row>
    <x:row r="580" spans="1:24" ht="14" x14ac:dyDescent="0.25">
      <x:c r="A580" s="19"/>
      <x:c r="B580" s="19"/>
      <x:c r="C580" s="19"/>
      <x:c r="D580" s="19"/>
      <x:c r="X580" s="20"/>
    </x:row>
    <x:row r="581" spans="1:24" ht="14" x14ac:dyDescent="0.25">
      <x:c r="A581" s="19"/>
      <x:c r="B581" s="19"/>
      <x:c r="C581" s="19"/>
      <x:c r="D581" s="19"/>
      <x:c r="X581" s="20"/>
    </x:row>
    <x:row r="582" spans="1:24" ht="14" x14ac:dyDescent="0.25">
      <x:c r="A582" s="19"/>
      <x:c r="B582" s="19"/>
      <x:c r="C582" s="19"/>
      <x:c r="D582" s="19"/>
      <x:c r="X582" s="20"/>
    </x:row>
    <x:row r="583" spans="1:24" ht="14" x14ac:dyDescent="0.25">
      <x:c r="A583" s="19"/>
      <x:c r="B583" s="19"/>
      <x:c r="C583" s="19"/>
      <x:c r="D583" s="19"/>
      <x:c r="X583" s="20"/>
    </x:row>
    <x:row r="584" spans="1:24" ht="14" x14ac:dyDescent="0.25">
      <x:c r="A584" s="19"/>
      <x:c r="B584" s="19"/>
      <x:c r="C584" s="19"/>
      <x:c r="D584" s="19"/>
      <x:c r="X584" s="20"/>
    </x:row>
    <x:row r="585" spans="1:24" ht="14" x14ac:dyDescent="0.25">
      <x:c r="A585" s="19"/>
      <x:c r="B585" s="19"/>
      <x:c r="C585" s="19"/>
      <x:c r="D585" s="19"/>
      <x:c r="X585" s="20"/>
    </x:row>
    <x:row r="586" spans="1:24" ht="14" x14ac:dyDescent="0.25">
      <x:c r="A586" s="19"/>
      <x:c r="B586" s="19"/>
      <x:c r="C586" s="19"/>
      <x:c r="D586" s="19"/>
      <x:c r="X586" s="20"/>
    </x:row>
    <x:row r="587" spans="1:24" ht="14" x14ac:dyDescent="0.25">
      <x:c r="A587" s="19"/>
      <x:c r="B587" s="19"/>
      <x:c r="C587" s="19"/>
      <x:c r="D587" s="19"/>
      <x:c r="X587" s="20"/>
    </x:row>
    <x:row r="588" spans="1:24" ht="14" x14ac:dyDescent="0.25">
      <x:c r="A588" s="19"/>
      <x:c r="B588" s="19"/>
      <x:c r="C588" s="19"/>
      <x:c r="D588" s="19"/>
      <x:c r="X588" s="20"/>
    </x:row>
    <x:row r="589" spans="1:24" ht="14" x14ac:dyDescent="0.25">
      <x:c r="A589" s="19"/>
      <x:c r="B589" s="19"/>
      <x:c r="C589" s="19"/>
      <x:c r="D589" s="19"/>
      <x:c r="X589" s="20"/>
    </x:row>
    <x:row r="590" spans="1:24" ht="14" x14ac:dyDescent="0.25">
      <x:c r="A590" s="19"/>
      <x:c r="B590" s="19"/>
      <x:c r="C590" s="19"/>
      <x:c r="D590" s="19"/>
      <x:c r="X590" s="20"/>
    </x:row>
    <x:row r="591" spans="1:24" ht="14" x14ac:dyDescent="0.25">
      <x:c r="A591" s="19"/>
      <x:c r="B591" s="19"/>
      <x:c r="C591" s="19"/>
      <x:c r="D591" s="19"/>
      <x:c r="X591" s="20"/>
    </x:row>
    <x:row r="592" spans="1:24" ht="14" x14ac:dyDescent="0.25">
      <x:c r="A592" s="19"/>
      <x:c r="B592" s="19"/>
      <x:c r="C592" s="19"/>
      <x:c r="D592" s="19"/>
      <x:c r="X592" s="20"/>
    </x:row>
    <x:row r="593" spans="1:24" ht="14" x14ac:dyDescent="0.25">
      <x:c r="A593" s="19"/>
      <x:c r="B593" s="19"/>
      <x:c r="C593" s="19"/>
      <x:c r="D593" s="19"/>
      <x:c r="X593" s="20"/>
    </x:row>
    <x:row r="594" spans="1:24" ht="14" x14ac:dyDescent="0.25">
      <x:c r="A594" s="19"/>
      <x:c r="B594" s="19"/>
      <x:c r="C594" s="19"/>
      <x:c r="D594" s="19"/>
      <x:c r="X594" s="20"/>
    </x:row>
    <x:row r="595" spans="1:24" ht="14" x14ac:dyDescent="0.25">
      <x:c r="A595" s="19"/>
      <x:c r="B595" s="19"/>
      <x:c r="C595" s="19"/>
      <x:c r="D595" s="19"/>
      <x:c r="X595" s="20"/>
    </x:row>
    <x:row r="596" spans="1:24" ht="14" x14ac:dyDescent="0.25">
      <x:c r="A596" s="19"/>
      <x:c r="B596" s="19"/>
      <x:c r="C596" s="19"/>
      <x:c r="D596" s="19"/>
      <x:c r="X596" s="20"/>
    </x:row>
    <x:row r="597" spans="1:24" ht="14" x14ac:dyDescent="0.25">
      <x:c r="A597" s="19"/>
      <x:c r="B597" s="19"/>
      <x:c r="C597" s="19"/>
      <x:c r="D597" s="19"/>
      <x:c r="X597" s="20"/>
    </x:row>
    <x:row r="598" spans="1:24" ht="14" x14ac:dyDescent="0.25">
      <x:c r="A598" s="19"/>
      <x:c r="B598" s="19"/>
      <x:c r="C598" s="19"/>
      <x:c r="D598" s="19"/>
      <x:c r="X598" s="20"/>
    </x:row>
    <x:row r="599" spans="1:24" ht="14" x14ac:dyDescent="0.25">
      <x:c r="A599" s="19"/>
      <x:c r="B599" s="19"/>
      <x:c r="C599" s="19"/>
      <x:c r="D599" s="19"/>
      <x:c r="X599" s="20"/>
    </x:row>
    <x:row r="600" spans="1:24" ht="14" x14ac:dyDescent="0.25">
      <x:c r="A600" s="19"/>
      <x:c r="B600" s="19"/>
      <x:c r="C600" s="19"/>
      <x:c r="D600" s="19"/>
      <x:c r="X600" s="20"/>
    </x:row>
    <x:row r="601" spans="1:24" ht="14" x14ac:dyDescent="0.25">
      <x:c r="A601" s="19"/>
      <x:c r="B601" s="19"/>
      <x:c r="C601" s="19"/>
      <x:c r="D601" s="19"/>
      <x:c r="X601" s="20"/>
    </x:row>
    <x:row r="602" spans="1:24" ht="14" x14ac:dyDescent="0.25">
      <x:c r="A602" s="19"/>
      <x:c r="B602" s="19"/>
      <x:c r="C602" s="19"/>
      <x:c r="D602" s="19"/>
      <x:c r="X602" s="20"/>
    </x:row>
    <x:row r="603" spans="1:24" ht="14" x14ac:dyDescent="0.25">
      <x:c r="A603" s="19"/>
      <x:c r="B603" s="19"/>
      <x:c r="C603" s="19"/>
      <x:c r="D603" s="19"/>
      <x:c r="X603" s="20"/>
    </x:row>
    <x:row r="604" spans="1:24" ht="14" x14ac:dyDescent="0.25">
      <x:c r="A604" s="19"/>
      <x:c r="B604" s="19"/>
      <x:c r="C604" s="19"/>
      <x:c r="D604" s="19"/>
      <x:c r="X604" s="20"/>
    </x:row>
    <x:row r="605" spans="1:24" ht="14" x14ac:dyDescent="0.25">
      <x:c r="A605" s="19"/>
      <x:c r="B605" s="19"/>
      <x:c r="C605" s="19"/>
      <x:c r="D605" s="19"/>
      <x:c r="X605" s="20"/>
    </x:row>
    <x:row r="606" spans="1:24" ht="14" x14ac:dyDescent="0.25">
      <x:c r="A606" s="19"/>
      <x:c r="B606" s="19"/>
      <x:c r="C606" s="19"/>
      <x:c r="D606" s="19"/>
      <x:c r="X606" s="20"/>
    </x:row>
    <x:row r="607" spans="1:24" ht="14" x14ac:dyDescent="0.25">
      <x:c r="A607" s="19"/>
      <x:c r="B607" s="19"/>
      <x:c r="C607" s="19"/>
      <x:c r="D607" s="19"/>
      <x:c r="X607" s="20"/>
    </x:row>
    <x:row r="608" spans="1:24" ht="14" x14ac:dyDescent="0.25">
      <x:c r="A608" s="19"/>
      <x:c r="B608" s="19"/>
      <x:c r="C608" s="19"/>
      <x:c r="D608" s="19"/>
      <x:c r="X608" s="20"/>
    </x:row>
    <x:row r="609" spans="1:24" ht="14" x14ac:dyDescent="0.25">
      <x:c r="A609" s="19"/>
      <x:c r="B609" s="19"/>
      <x:c r="C609" s="19"/>
      <x:c r="D609" s="19"/>
      <x:c r="X609" s="20"/>
    </x:row>
    <x:row r="610" spans="1:24" ht="14" x14ac:dyDescent="0.25">
      <x:c r="A610" s="19"/>
      <x:c r="B610" s="19"/>
      <x:c r="C610" s="19"/>
      <x:c r="D610" s="19"/>
      <x:c r="X610" s="20"/>
    </x:row>
    <x:row r="611" spans="1:24" ht="14" x14ac:dyDescent="0.25">
      <x:c r="A611" s="19"/>
      <x:c r="B611" s="19"/>
      <x:c r="C611" s="19"/>
      <x:c r="D611" s="19"/>
      <x:c r="X611" s="20"/>
    </x:row>
    <x:row r="612" spans="1:24" ht="14" x14ac:dyDescent="0.25">
      <x:c r="A612" s="19"/>
      <x:c r="B612" s="19"/>
      <x:c r="C612" s="19"/>
      <x:c r="D612" s="19"/>
      <x:c r="X612" s="20"/>
    </x:row>
    <x:row r="613" spans="1:24" ht="14" x14ac:dyDescent="0.25">
      <x:c r="A613" s="19"/>
      <x:c r="B613" s="19"/>
      <x:c r="C613" s="19"/>
      <x:c r="D613" s="19"/>
      <x:c r="X613" s="20"/>
    </x:row>
    <x:row r="614" spans="1:24" ht="14" x14ac:dyDescent="0.25">
      <x:c r="A614" s="19"/>
      <x:c r="B614" s="19"/>
      <x:c r="C614" s="19"/>
      <x:c r="D614" s="19"/>
      <x:c r="X614" s="20"/>
    </x:row>
    <x:row r="615" spans="1:24" ht="14" x14ac:dyDescent="0.25">
      <x:c r="A615" s="19"/>
      <x:c r="B615" s="19"/>
      <x:c r="C615" s="19"/>
      <x:c r="D615" s="19"/>
      <x:c r="X615" s="20"/>
    </x:row>
    <x:row r="616" spans="1:24" ht="14" x14ac:dyDescent="0.25">
      <x:c r="A616" s="19"/>
      <x:c r="B616" s="19"/>
      <x:c r="C616" s="19"/>
      <x:c r="D616" s="19"/>
      <x:c r="X616" s="20"/>
    </x:row>
    <x:row r="617" spans="1:24" ht="14" x14ac:dyDescent="0.25">
      <x:c r="A617" s="19"/>
      <x:c r="B617" s="19"/>
      <x:c r="C617" s="19"/>
      <x:c r="D617" s="19"/>
      <x:c r="X617" s="20"/>
    </x:row>
    <x:row r="618" spans="1:24" ht="14" x14ac:dyDescent="0.25">
      <x:c r="A618" s="19"/>
      <x:c r="B618" s="19"/>
      <x:c r="C618" s="19"/>
      <x:c r="D618" s="19"/>
      <x:c r="X618" s="20"/>
    </x:row>
    <x:row r="619" spans="1:24" ht="14" x14ac:dyDescent="0.25">
      <x:c r="A619" s="19"/>
      <x:c r="B619" s="19"/>
      <x:c r="C619" s="19"/>
      <x:c r="D619" s="19"/>
      <x:c r="X619" s="20"/>
    </x:row>
    <x:row r="620" spans="1:24" ht="14" x14ac:dyDescent="0.25">
      <x:c r="A620" s="19"/>
      <x:c r="B620" s="19"/>
      <x:c r="C620" s="19"/>
      <x:c r="D620" s="19"/>
      <x:c r="X620" s="20"/>
    </x:row>
    <x:row r="621" spans="1:24" ht="14" x14ac:dyDescent="0.25">
      <x:c r="A621" s="19"/>
      <x:c r="B621" s="19"/>
      <x:c r="C621" s="19"/>
      <x:c r="D621" s="19"/>
      <x:c r="X621" s="20"/>
    </x:row>
    <x:row r="622" spans="1:24" ht="14" x14ac:dyDescent="0.25">
      <x:c r="A622" s="19"/>
      <x:c r="B622" s="19"/>
      <x:c r="C622" s="19"/>
      <x:c r="D622" s="19"/>
      <x:c r="X622" s="20"/>
    </x:row>
    <x:row r="623" spans="1:24" ht="14" x14ac:dyDescent="0.25">
      <x:c r="A623" s="19"/>
      <x:c r="B623" s="19"/>
      <x:c r="C623" s="19"/>
      <x:c r="D623" s="19"/>
      <x:c r="X623" s="20"/>
    </x:row>
    <x:row r="624" spans="1:24" ht="14" x14ac:dyDescent="0.25">
      <x:c r="A624" s="19"/>
      <x:c r="B624" s="19"/>
      <x:c r="C624" s="19"/>
      <x:c r="D624" s="19"/>
      <x:c r="X624" s="20"/>
    </x:row>
    <x:row r="625" spans="1:24" ht="14" x14ac:dyDescent="0.25">
      <x:c r="A625" s="19"/>
      <x:c r="B625" s="19"/>
      <x:c r="C625" s="19"/>
      <x:c r="D625" s="19"/>
      <x:c r="X625" s="20"/>
    </x:row>
    <x:row r="626" spans="1:24" ht="14" x14ac:dyDescent="0.25">
      <x:c r="A626" s="19"/>
      <x:c r="B626" s="19"/>
      <x:c r="C626" s="19"/>
      <x:c r="D626" s="19"/>
      <x:c r="X626" s="20"/>
    </x:row>
    <x:row r="627" spans="1:24" ht="14" x14ac:dyDescent="0.25">
      <x:c r="A627" s="19"/>
      <x:c r="B627" s="19"/>
      <x:c r="C627" s="19"/>
      <x:c r="D627" s="19"/>
      <x:c r="X627" s="20"/>
    </x:row>
    <x:row r="628" spans="1:24" ht="14" x14ac:dyDescent="0.25">
      <x:c r="A628" s="19"/>
      <x:c r="B628" s="19"/>
      <x:c r="C628" s="19"/>
      <x:c r="D628" s="19"/>
      <x:c r="X628" s="20"/>
    </x:row>
    <x:row r="629" spans="1:24" ht="14" x14ac:dyDescent="0.25">
      <x:c r="A629" s="19"/>
      <x:c r="B629" s="19"/>
      <x:c r="C629" s="19"/>
      <x:c r="D629" s="19"/>
      <x:c r="X629" s="20"/>
    </x:row>
    <x:row r="630" spans="1:24" ht="14" x14ac:dyDescent="0.25">
      <x:c r="A630" s="19"/>
      <x:c r="B630" s="19"/>
      <x:c r="C630" s="19"/>
      <x:c r="D630" s="19"/>
      <x:c r="X630" s="20"/>
    </x:row>
    <x:row r="631" spans="1:24" ht="14" x14ac:dyDescent="0.25">
      <x:c r="A631" s="19"/>
      <x:c r="B631" s="19"/>
      <x:c r="C631" s="19"/>
      <x:c r="D631" s="19"/>
      <x:c r="X631" s="20"/>
    </x:row>
    <x:row r="632" spans="1:24" ht="14" x14ac:dyDescent="0.25">
      <x:c r="A632" s="19"/>
      <x:c r="B632" s="19"/>
      <x:c r="C632" s="19"/>
      <x:c r="D632" s="19"/>
      <x:c r="X632" s="20"/>
    </x:row>
    <x:row r="633" spans="1:24" ht="14" x14ac:dyDescent="0.25">
      <x:c r="A633" s="19"/>
      <x:c r="B633" s="19"/>
      <x:c r="C633" s="19"/>
      <x:c r="D633" s="19"/>
      <x:c r="X633" s="20"/>
    </x:row>
    <x:row r="634" spans="1:24" ht="14" x14ac:dyDescent="0.25">
      <x:c r="A634" s="19"/>
      <x:c r="B634" s="19"/>
      <x:c r="C634" s="19"/>
      <x:c r="D634" s="19"/>
      <x:c r="X634" s="20"/>
    </x:row>
    <x:row r="635" spans="1:24" ht="14" x14ac:dyDescent="0.25">
      <x:c r="A635" s="19"/>
      <x:c r="B635" s="19"/>
      <x:c r="C635" s="19"/>
      <x:c r="D635" s="19"/>
      <x:c r="X635" s="20"/>
    </x:row>
    <x:row r="636" spans="1:24" ht="14" x14ac:dyDescent="0.25">
      <x:c r="A636" s="19"/>
      <x:c r="B636" s="19"/>
      <x:c r="C636" s="19"/>
      <x:c r="D636" s="19"/>
      <x:c r="X636" s="20"/>
    </x:row>
    <x:row r="637" spans="1:24" ht="14" x14ac:dyDescent="0.25">
      <x:c r="A637" s="19"/>
      <x:c r="B637" s="19"/>
      <x:c r="C637" s="19"/>
      <x:c r="D637" s="19"/>
      <x:c r="X637" s="20"/>
    </x:row>
    <x:row r="638" spans="1:24" ht="14" x14ac:dyDescent="0.25">
      <x:c r="A638" s="19"/>
      <x:c r="B638" s="19"/>
      <x:c r="C638" s="19"/>
      <x:c r="D638" s="19"/>
      <x:c r="X638" s="20"/>
    </x:row>
    <x:row r="639" spans="1:24" ht="14" x14ac:dyDescent="0.25">
      <x:c r="A639" s="19"/>
      <x:c r="B639" s="19"/>
      <x:c r="C639" s="19"/>
      <x:c r="D639" s="19"/>
      <x:c r="X639" s="20"/>
    </x:row>
    <x:row r="640" spans="1:24" ht="14" x14ac:dyDescent="0.25">
      <x:c r="A640" s="19"/>
      <x:c r="B640" s="19"/>
      <x:c r="C640" s="19"/>
      <x:c r="D640" s="19"/>
      <x:c r="X640" s="20"/>
    </x:row>
    <x:row r="641" spans="1:24" ht="14" x14ac:dyDescent="0.25">
      <x:c r="A641" s="19"/>
      <x:c r="B641" s="19"/>
      <x:c r="C641" s="19"/>
      <x:c r="D641" s="19"/>
      <x:c r="X641" s="20"/>
    </x:row>
    <x:row r="642" spans="1:24" ht="14" x14ac:dyDescent="0.25">
      <x:c r="A642" s="19"/>
      <x:c r="B642" s="19"/>
      <x:c r="C642" s="19"/>
      <x:c r="D642" s="19"/>
      <x:c r="X642" s="20"/>
    </x:row>
    <x:row r="643" spans="1:24" ht="14" x14ac:dyDescent="0.25">
      <x:c r="A643" s="19"/>
      <x:c r="B643" s="19"/>
      <x:c r="C643" s="19"/>
      <x:c r="D643" s="19"/>
      <x:c r="X643" s="20"/>
    </x:row>
    <x:row r="644" spans="1:24" ht="14" x14ac:dyDescent="0.25">
      <x:c r="A644" s="19"/>
      <x:c r="B644" s="19"/>
      <x:c r="C644" s="19"/>
      <x:c r="D644" s="19"/>
      <x:c r="X644" s="20"/>
    </x:row>
    <x:row r="645" spans="1:24" ht="14" x14ac:dyDescent="0.25">
      <x:c r="A645" s="19"/>
      <x:c r="B645" s="19"/>
      <x:c r="C645" s="19"/>
      <x:c r="D645" s="19"/>
      <x:c r="X645" s="20"/>
    </x:row>
    <x:row r="646" spans="1:24" ht="14" x14ac:dyDescent="0.25">
      <x:c r="A646" s="19"/>
      <x:c r="B646" s="19"/>
      <x:c r="C646" s="19"/>
      <x:c r="D646" s="19"/>
      <x:c r="X646" s="20"/>
    </x:row>
    <x:row r="647" spans="1:24" ht="14" x14ac:dyDescent="0.25">
      <x:c r="A647" s="19"/>
      <x:c r="B647" s="19"/>
      <x:c r="C647" s="19"/>
      <x:c r="D647" s="19"/>
      <x:c r="X647" s="20"/>
    </x:row>
    <x:row r="648" spans="1:24" ht="14" x14ac:dyDescent="0.25">
      <x:c r="A648" s="19"/>
      <x:c r="B648" s="19"/>
      <x:c r="C648" s="19"/>
      <x:c r="D648" s="19"/>
      <x:c r="X648" s="20"/>
    </x:row>
    <x:row r="649" spans="1:24" ht="14" x14ac:dyDescent="0.25">
      <x:c r="A649" s="19"/>
      <x:c r="B649" s="19"/>
      <x:c r="C649" s="19"/>
      <x:c r="D649" s="19"/>
      <x:c r="X649" s="20"/>
    </x:row>
    <x:row r="650" spans="1:24" ht="14" x14ac:dyDescent="0.25">
      <x:c r="A650" s="19"/>
      <x:c r="B650" s="19"/>
      <x:c r="C650" s="19"/>
      <x:c r="D650" s="19"/>
      <x:c r="X650" s="20"/>
    </x:row>
    <x:row r="651" spans="1:24" ht="14" x14ac:dyDescent="0.25">
      <x:c r="A651" s="19"/>
      <x:c r="B651" s="19"/>
      <x:c r="C651" s="19"/>
      <x:c r="D651" s="19"/>
      <x:c r="X651" s="20"/>
    </x:row>
    <x:row r="652" spans="1:24" ht="14" x14ac:dyDescent="0.25">
      <x:c r="A652" s="19"/>
      <x:c r="B652" s="19"/>
      <x:c r="C652" s="19"/>
      <x:c r="D652" s="19"/>
      <x:c r="X652" s="20"/>
    </x:row>
    <x:row r="653" spans="1:24" ht="14" x14ac:dyDescent="0.25">
      <x:c r="A653" s="19"/>
      <x:c r="B653" s="19"/>
      <x:c r="C653" s="19"/>
      <x:c r="D653" s="19"/>
      <x:c r="X653" s="20"/>
    </x:row>
    <x:row r="654" spans="1:24" ht="14" x14ac:dyDescent="0.25">
      <x:c r="A654" s="19"/>
      <x:c r="B654" s="19"/>
      <x:c r="C654" s="19"/>
      <x:c r="D654" s="19"/>
      <x:c r="X654" s="20"/>
    </x:row>
    <x:row r="655" spans="1:24" ht="14" x14ac:dyDescent="0.25">
      <x:c r="A655" s="19"/>
      <x:c r="B655" s="19"/>
      <x:c r="C655" s="19"/>
      <x:c r="D655" s="19"/>
      <x:c r="X655" s="20"/>
    </x:row>
    <x:row r="656" spans="1:24" ht="14" x14ac:dyDescent="0.25">
      <x:c r="A656" s="19"/>
      <x:c r="B656" s="19"/>
      <x:c r="C656" s="19"/>
      <x:c r="D656" s="19"/>
      <x:c r="X656" s="20"/>
    </x:row>
    <x:row r="657" spans="1:24" ht="14" x14ac:dyDescent="0.25">
      <x:c r="A657" s="19"/>
      <x:c r="B657" s="19"/>
      <x:c r="C657" s="19"/>
      <x:c r="D657" s="19"/>
      <x:c r="X657" s="20"/>
    </x:row>
    <x:row r="658" spans="1:24" ht="14" x14ac:dyDescent="0.25">
      <x:c r="A658" s="19"/>
      <x:c r="B658" s="19"/>
      <x:c r="C658" s="19"/>
      <x:c r="D658" s="19"/>
      <x:c r="X658" s="20"/>
    </x:row>
    <x:row r="659" spans="1:24" ht="14" x14ac:dyDescent="0.25">
      <x:c r="A659" s="19"/>
      <x:c r="B659" s="19"/>
      <x:c r="C659" s="19"/>
      <x:c r="D659" s="19"/>
      <x:c r="X659" s="20"/>
    </x:row>
    <x:row r="660" spans="1:24" ht="14" x14ac:dyDescent="0.25">
      <x:c r="A660" s="19"/>
      <x:c r="B660" s="19"/>
      <x:c r="C660" s="19"/>
      <x:c r="D660" s="19"/>
      <x:c r="X660" s="20"/>
    </x:row>
    <x:row r="661" spans="1:24" ht="14" x14ac:dyDescent="0.25">
      <x:c r="A661" s="19"/>
      <x:c r="B661" s="19"/>
      <x:c r="C661" s="19"/>
      <x:c r="D661" s="19"/>
      <x:c r="X661" s="20"/>
    </x:row>
    <x:row r="662" spans="1:24" ht="14" x14ac:dyDescent="0.25">
      <x:c r="A662" s="19"/>
      <x:c r="B662" s="19"/>
      <x:c r="C662" s="19"/>
      <x:c r="D662" s="19"/>
      <x:c r="X662" s="20"/>
    </x:row>
    <x:row r="663" spans="1:24" ht="14" x14ac:dyDescent="0.25">
      <x:c r="A663" s="19"/>
      <x:c r="B663" s="19"/>
      <x:c r="C663" s="19"/>
      <x:c r="D663" s="19"/>
      <x:c r="X663" s="20"/>
    </x:row>
    <x:row r="664" spans="1:24" ht="14" x14ac:dyDescent="0.25">
      <x:c r="A664" s="19"/>
      <x:c r="B664" s="19"/>
      <x:c r="C664" s="19"/>
      <x:c r="D664" s="19"/>
      <x:c r="X664" s="20"/>
    </x:row>
    <x:row r="665" spans="1:24" ht="14" x14ac:dyDescent="0.25">
      <x:c r="A665" s="19"/>
      <x:c r="B665" s="19"/>
      <x:c r="C665" s="19"/>
      <x:c r="D665" s="19"/>
      <x:c r="X665" s="20"/>
    </x:row>
    <x:row r="666" spans="1:24" ht="14" x14ac:dyDescent="0.25">
      <x:c r="A666" s="19"/>
      <x:c r="B666" s="19"/>
      <x:c r="C666" s="19"/>
      <x:c r="D666" s="19"/>
      <x:c r="X666" s="20"/>
    </x:row>
    <x:row r="667" spans="1:24" ht="14" x14ac:dyDescent="0.25">
      <x:c r="A667" s="19"/>
      <x:c r="B667" s="19"/>
      <x:c r="C667" s="19"/>
      <x:c r="D667" s="19"/>
      <x:c r="X667" s="20"/>
    </x:row>
    <x:row r="668" spans="1:24" ht="14" x14ac:dyDescent="0.25">
      <x:c r="A668" s="19"/>
      <x:c r="B668" s="19"/>
      <x:c r="C668" s="19"/>
      <x:c r="D668" s="19"/>
      <x:c r="X668" s="20"/>
    </x:row>
    <x:row r="669" spans="1:24" ht="14" x14ac:dyDescent="0.25">
      <x:c r="A669" s="19"/>
      <x:c r="B669" s="19"/>
      <x:c r="C669" s="19"/>
      <x:c r="D669" s="19"/>
      <x:c r="X669" s="20"/>
    </x:row>
    <x:row r="670" spans="1:24" ht="14" x14ac:dyDescent="0.25">
      <x:c r="A670" s="19"/>
      <x:c r="B670" s="19"/>
      <x:c r="C670" s="19"/>
      <x:c r="D670" s="19"/>
      <x:c r="X670" s="20"/>
    </x:row>
    <x:row r="671" spans="1:24" ht="14" x14ac:dyDescent="0.25">
      <x:c r="A671" s="19"/>
      <x:c r="B671" s="19"/>
      <x:c r="C671" s="19"/>
      <x:c r="D671" s="19"/>
      <x:c r="X671" s="20"/>
    </x:row>
    <x:row r="672" spans="1:24" ht="14" x14ac:dyDescent="0.25">
      <x:c r="A672" s="19"/>
      <x:c r="B672" s="19"/>
      <x:c r="C672" s="19"/>
      <x:c r="D672" s="19"/>
      <x:c r="X672" s="20"/>
    </x:row>
    <x:row r="673" spans="1:24" ht="14" x14ac:dyDescent="0.25">
      <x:c r="A673" s="19"/>
      <x:c r="B673" s="19"/>
      <x:c r="C673" s="19"/>
      <x:c r="D673" s="19"/>
      <x:c r="X673" s="20"/>
    </x:row>
    <x:row r="674" spans="1:24" ht="14" x14ac:dyDescent="0.25">
      <x:c r="A674" s="19"/>
      <x:c r="B674" s="19"/>
      <x:c r="C674" s="19"/>
      <x:c r="D674" s="19"/>
      <x:c r="X674" s="20"/>
    </x:row>
    <x:row r="675" spans="1:24" ht="14" x14ac:dyDescent="0.25">
      <x:c r="A675" s="19"/>
      <x:c r="B675" s="19"/>
      <x:c r="C675" s="19"/>
      <x:c r="D675" s="19"/>
      <x:c r="X675" s="20"/>
    </x:row>
    <x:row r="676" spans="1:24" ht="14" x14ac:dyDescent="0.25">
      <x:c r="A676" s="19"/>
      <x:c r="B676" s="19"/>
      <x:c r="C676" s="19"/>
      <x:c r="D676" s="19"/>
      <x:c r="X676" s="20"/>
    </x:row>
    <x:row r="677" spans="1:24" ht="14" x14ac:dyDescent="0.25">
      <x:c r="A677" s="19"/>
      <x:c r="B677" s="19"/>
      <x:c r="C677" s="19"/>
      <x:c r="D677" s="19"/>
      <x:c r="X677" s="20"/>
    </x:row>
    <x:row r="678" spans="1:24" ht="14" x14ac:dyDescent="0.25">
      <x:c r="A678" s="19"/>
      <x:c r="B678" s="19"/>
      <x:c r="C678" s="19"/>
      <x:c r="D678" s="19"/>
      <x:c r="X678" s="20"/>
    </x:row>
    <x:row r="679" spans="1:24" ht="14" x14ac:dyDescent="0.25">
      <x:c r="A679" s="19"/>
      <x:c r="B679" s="19"/>
      <x:c r="C679" s="19"/>
      <x:c r="D679" s="19"/>
      <x:c r="X679" s="20"/>
    </x:row>
    <x:row r="680" spans="1:24" ht="14" x14ac:dyDescent="0.25">
      <x:c r="A680" s="19"/>
      <x:c r="B680" s="19"/>
      <x:c r="C680" s="19"/>
      <x:c r="D680" s="19"/>
      <x:c r="X680" s="20"/>
    </x:row>
    <x:row r="681" spans="1:24" ht="14" x14ac:dyDescent="0.25">
      <x:c r="A681" s="19"/>
      <x:c r="B681" s="19"/>
      <x:c r="C681" s="19"/>
      <x:c r="D681" s="19"/>
      <x:c r="X681" s="20"/>
    </x:row>
    <x:row r="682" spans="1:24" ht="14" x14ac:dyDescent="0.25">
      <x:c r="A682" s="19"/>
      <x:c r="B682" s="19"/>
      <x:c r="C682" s="19"/>
      <x:c r="D682" s="19"/>
      <x:c r="X682" s="20"/>
    </x:row>
    <x:row r="683" spans="1:24" ht="14" x14ac:dyDescent="0.25">
      <x:c r="A683" s="19"/>
      <x:c r="B683" s="19"/>
      <x:c r="C683" s="19"/>
      <x:c r="D683" s="19"/>
      <x:c r="X683" s="20"/>
    </x:row>
    <x:row r="684" spans="1:24" ht="14" x14ac:dyDescent="0.25">
      <x:c r="A684" s="19"/>
      <x:c r="B684" s="19"/>
      <x:c r="C684" s="19"/>
      <x:c r="D684" s="19"/>
      <x:c r="X684" s="20"/>
    </x:row>
    <x:row r="685" spans="1:24" ht="14" x14ac:dyDescent="0.25">
      <x:c r="A685" s="19"/>
      <x:c r="B685" s="19"/>
      <x:c r="C685" s="19"/>
      <x:c r="D685" s="19"/>
      <x:c r="X685" s="20"/>
    </x:row>
    <x:row r="686" spans="1:24" ht="14" x14ac:dyDescent="0.25">
      <x:c r="A686" s="19"/>
      <x:c r="B686" s="19"/>
      <x:c r="C686" s="19"/>
      <x:c r="D686" s="19"/>
      <x:c r="X686" s="20"/>
    </x:row>
    <x:row r="687" spans="1:24" ht="14" x14ac:dyDescent="0.25">
      <x:c r="A687" s="19"/>
      <x:c r="B687" s="19"/>
      <x:c r="C687" s="19"/>
      <x:c r="D687" s="19"/>
      <x:c r="X687" s="20"/>
    </x:row>
    <x:row r="688" spans="1:24" ht="14" x14ac:dyDescent="0.25">
      <x:c r="A688" s="19"/>
      <x:c r="B688" s="19"/>
      <x:c r="C688" s="19"/>
      <x:c r="D688" s="19"/>
      <x:c r="X688" s="20"/>
    </x:row>
    <x:row r="689" spans="1:24" ht="14" x14ac:dyDescent="0.25">
      <x:c r="A689" s="19"/>
      <x:c r="B689" s="19"/>
      <x:c r="C689" s="19"/>
      <x:c r="D689" s="19"/>
      <x:c r="X689" s="20"/>
    </x:row>
    <x:row r="690" spans="1:24" ht="14" x14ac:dyDescent="0.25">
      <x:c r="A690" s="19"/>
      <x:c r="B690" s="19"/>
      <x:c r="C690" s="19"/>
      <x:c r="D690" s="19"/>
      <x:c r="X690" s="20"/>
    </x:row>
    <x:row r="691" spans="1:24" ht="14" x14ac:dyDescent="0.25">
      <x:c r="A691" s="19"/>
      <x:c r="B691" s="19"/>
      <x:c r="C691" s="19"/>
      <x:c r="D691" s="19"/>
      <x:c r="X691" s="20"/>
    </x:row>
    <x:row r="692" spans="1:24" ht="14" x14ac:dyDescent="0.25">
      <x:c r="A692" s="19"/>
      <x:c r="B692" s="19"/>
      <x:c r="C692" s="19"/>
      <x:c r="D692" s="19"/>
      <x:c r="X692" s="20"/>
    </x:row>
    <x:row r="693" spans="1:24" ht="14" x14ac:dyDescent="0.25">
      <x:c r="A693" s="19"/>
      <x:c r="B693" s="19"/>
      <x:c r="C693" s="19"/>
      <x:c r="D693" s="19"/>
      <x:c r="X693" s="20"/>
    </x:row>
    <x:row r="694" spans="1:24" ht="14" x14ac:dyDescent="0.25">
      <x:c r="A694" s="19"/>
      <x:c r="B694" s="19"/>
      <x:c r="C694" s="19"/>
      <x:c r="D694" s="19"/>
      <x:c r="X694" s="20"/>
    </x:row>
    <x:row r="695" spans="1:24" ht="14" x14ac:dyDescent="0.25">
      <x:c r="A695" s="19"/>
      <x:c r="B695" s="19"/>
      <x:c r="C695" s="19"/>
      <x:c r="D695" s="19"/>
      <x:c r="X695" s="20"/>
    </x:row>
    <x:row r="696" spans="1:24" ht="14" x14ac:dyDescent="0.25">
      <x:c r="A696" s="19"/>
      <x:c r="B696" s="19"/>
      <x:c r="C696" s="19"/>
      <x:c r="D696" s="19"/>
      <x:c r="X696" s="20"/>
    </x:row>
    <x:row r="697" spans="1:24" ht="14" x14ac:dyDescent="0.25">
      <x:c r="A697" s="19"/>
      <x:c r="B697" s="19"/>
      <x:c r="C697" s="19"/>
      <x:c r="D697" s="19"/>
      <x:c r="X697" s="20"/>
    </x:row>
    <x:row r="698" spans="1:24" ht="14" x14ac:dyDescent="0.25">
      <x:c r="A698" s="19"/>
      <x:c r="B698" s="19"/>
      <x:c r="C698" s="19"/>
      <x:c r="D698" s="19"/>
      <x:c r="X698" s="20"/>
    </x:row>
    <x:row r="699" spans="1:24" ht="14" x14ac:dyDescent="0.25">
      <x:c r="A699" s="19"/>
      <x:c r="B699" s="19"/>
      <x:c r="C699" s="19"/>
      <x:c r="D699" s="19"/>
      <x:c r="X699" s="20"/>
    </x:row>
    <x:row r="700" spans="1:24" ht="14" x14ac:dyDescent="0.25">
      <x:c r="A700" s="19"/>
      <x:c r="B700" s="19"/>
      <x:c r="C700" s="19"/>
      <x:c r="D700" s="19"/>
      <x:c r="X700" s="20"/>
    </x:row>
    <x:row r="701" spans="1:24" ht="14" x14ac:dyDescent="0.25">
      <x:c r="A701" s="19"/>
      <x:c r="B701" s="19"/>
      <x:c r="C701" s="19"/>
      <x:c r="D701" s="19"/>
      <x:c r="X701" s="20"/>
    </x:row>
    <x:row r="702" spans="1:24" ht="14" x14ac:dyDescent="0.25">
      <x:c r="A702" s="19"/>
      <x:c r="B702" s="19"/>
      <x:c r="C702" s="19"/>
      <x:c r="D702" s="19"/>
      <x:c r="X702" s="20"/>
    </x:row>
    <x:row r="703" spans="1:24" ht="14" x14ac:dyDescent="0.25">
      <x:c r="A703" s="19"/>
      <x:c r="B703" s="19"/>
      <x:c r="C703" s="19"/>
      <x:c r="D703" s="19"/>
      <x:c r="X703" s="20"/>
    </x:row>
    <x:row r="704" spans="1:24" ht="14" x14ac:dyDescent="0.25">
      <x:c r="A704" s="19"/>
      <x:c r="B704" s="19"/>
      <x:c r="C704" s="19"/>
      <x:c r="D704" s="19"/>
      <x:c r="X704" s="20"/>
    </x:row>
    <x:row r="705" spans="1:24" ht="14" x14ac:dyDescent="0.25">
      <x:c r="A705" s="19"/>
      <x:c r="B705" s="19"/>
      <x:c r="C705" s="19"/>
      <x:c r="D705" s="19"/>
      <x:c r="X705" s="20"/>
    </x:row>
    <x:row r="706" spans="1:24" ht="14" x14ac:dyDescent="0.25">
      <x:c r="A706" s="19"/>
      <x:c r="B706" s="19"/>
      <x:c r="C706" s="19"/>
      <x:c r="D706" s="19"/>
      <x:c r="X706" s="20"/>
    </x:row>
    <x:row r="707" spans="1:24" ht="14" x14ac:dyDescent="0.25">
      <x:c r="A707" s="19"/>
      <x:c r="B707" s="19"/>
      <x:c r="C707" s="19"/>
      <x:c r="D707" s="19"/>
      <x:c r="X707" s="20"/>
    </x:row>
    <x:row r="708" spans="1:24" ht="14" x14ac:dyDescent="0.25">
      <x:c r="A708" s="19"/>
      <x:c r="B708" s="19"/>
      <x:c r="C708" s="19"/>
      <x:c r="D708" s="19"/>
      <x:c r="X708" s="20"/>
    </x:row>
    <x:row r="709" spans="1:24" ht="14" x14ac:dyDescent="0.25">
      <x:c r="A709" s="19"/>
      <x:c r="B709" s="19"/>
      <x:c r="C709" s="19"/>
      <x:c r="D709" s="19"/>
      <x:c r="X709" s="20"/>
    </x:row>
    <x:row r="710" spans="1:24" ht="14" x14ac:dyDescent="0.25">
      <x:c r="A710" s="19"/>
      <x:c r="B710" s="19"/>
      <x:c r="C710" s="19"/>
      <x:c r="D710" s="19"/>
      <x:c r="X710" s="20"/>
    </x:row>
    <x:row r="711" spans="1:24" ht="14" x14ac:dyDescent="0.25">
      <x:c r="A711" s="19"/>
      <x:c r="B711" s="19"/>
      <x:c r="C711" s="19"/>
      <x:c r="D711" s="19"/>
      <x:c r="X711" s="20"/>
    </x:row>
    <x:row r="712" spans="1:24" ht="14" x14ac:dyDescent="0.25">
      <x:c r="A712" s="19"/>
      <x:c r="B712" s="19"/>
      <x:c r="C712" s="19"/>
      <x:c r="D712" s="19"/>
      <x:c r="X712" s="20"/>
    </x:row>
    <x:row r="713" spans="1:24" ht="14" x14ac:dyDescent="0.25">
      <x:c r="A713" s="19"/>
      <x:c r="B713" s="19"/>
      <x:c r="C713" s="19"/>
      <x:c r="D713" s="19"/>
      <x:c r="X713" s="20"/>
    </x:row>
    <x:row r="714" spans="1:24" ht="14" x14ac:dyDescent="0.25">
      <x:c r="A714" s="19"/>
      <x:c r="B714" s="19"/>
      <x:c r="C714" s="19"/>
      <x:c r="D714" s="19"/>
      <x:c r="X714" s="20"/>
    </x:row>
    <x:row r="715" spans="1:24" ht="14" x14ac:dyDescent="0.25">
      <x:c r="A715" s="19"/>
      <x:c r="B715" s="19"/>
      <x:c r="C715" s="19"/>
      <x:c r="D715" s="19"/>
      <x:c r="X715" s="20"/>
    </x:row>
    <x:row r="716" spans="1:24" ht="14" x14ac:dyDescent="0.25">
      <x:c r="A716" s="19"/>
      <x:c r="B716" s="19"/>
      <x:c r="C716" s="19"/>
      <x:c r="D716" s="19"/>
      <x:c r="X716" s="20"/>
    </x:row>
    <x:row r="717" spans="1:24" ht="14" x14ac:dyDescent="0.25">
      <x:c r="A717" s="19"/>
      <x:c r="B717" s="19"/>
      <x:c r="C717" s="19"/>
      <x:c r="D717" s="19"/>
      <x:c r="X717" s="20"/>
    </x:row>
    <x:row r="718" spans="1:24" ht="14" x14ac:dyDescent="0.25">
      <x:c r="A718" s="19"/>
      <x:c r="B718" s="19"/>
      <x:c r="C718" s="19"/>
      <x:c r="D718" s="19"/>
      <x:c r="X718" s="20"/>
    </x:row>
    <x:row r="719" spans="1:24" ht="14" x14ac:dyDescent="0.25">
      <x:c r="A719" s="19"/>
      <x:c r="B719" s="19"/>
      <x:c r="C719" s="19"/>
      <x:c r="D719" s="19"/>
      <x:c r="X719" s="20"/>
    </x:row>
    <x:row r="720" spans="1:24" ht="14" x14ac:dyDescent="0.25">
      <x:c r="A720" s="19"/>
      <x:c r="B720" s="19"/>
      <x:c r="C720" s="19"/>
      <x:c r="D720" s="19"/>
      <x:c r="X720" s="20"/>
    </x:row>
    <x:row r="721" spans="1:24" ht="14" x14ac:dyDescent="0.25">
      <x:c r="A721" s="19"/>
      <x:c r="B721" s="19"/>
      <x:c r="C721" s="19"/>
      <x:c r="D721" s="19"/>
      <x:c r="X721" s="20"/>
    </x:row>
    <x:row r="722" spans="1:24" ht="14" x14ac:dyDescent="0.25">
      <x:c r="A722" s="19"/>
      <x:c r="B722" s="19"/>
      <x:c r="C722" s="19"/>
      <x:c r="D722" s="19"/>
      <x:c r="X722" s="20"/>
    </x:row>
    <x:row r="723" spans="1:24" ht="14" x14ac:dyDescent="0.25">
      <x:c r="A723" s="19"/>
      <x:c r="B723" s="19"/>
      <x:c r="C723" s="19"/>
      <x:c r="D723" s="19"/>
      <x:c r="X723" s="20"/>
    </x:row>
    <x:row r="724" spans="1:24" ht="14" x14ac:dyDescent="0.25">
      <x:c r="A724" s="19"/>
      <x:c r="B724" s="19"/>
      <x:c r="C724" s="19"/>
      <x:c r="D724" s="19"/>
      <x:c r="X724" s="20"/>
    </x:row>
    <x:row r="725" spans="1:24" ht="14" x14ac:dyDescent="0.25">
      <x:c r="A725" s="19"/>
      <x:c r="B725" s="19"/>
      <x:c r="C725" s="19"/>
      <x:c r="D725" s="19"/>
      <x:c r="X725" s="20"/>
    </x:row>
    <x:row r="726" spans="1:24" ht="14" x14ac:dyDescent="0.25">
      <x:c r="A726" s="19"/>
      <x:c r="B726" s="19"/>
      <x:c r="C726" s="19"/>
      <x:c r="D726" s="19"/>
      <x:c r="X726" s="20"/>
    </x:row>
    <x:row r="727" spans="1:24" ht="14" x14ac:dyDescent="0.25">
      <x:c r="A727" s="19"/>
      <x:c r="B727" s="19"/>
      <x:c r="C727" s="19"/>
      <x:c r="D727" s="19"/>
      <x:c r="X727" s="20"/>
    </x:row>
    <x:row r="728" spans="1:24" ht="14" x14ac:dyDescent="0.25">
      <x:c r="A728" s="19"/>
      <x:c r="B728" s="19"/>
      <x:c r="C728" s="19"/>
      <x:c r="D728" s="19"/>
      <x:c r="X728" s="20"/>
    </x:row>
    <x:row r="729" spans="1:24" ht="14" x14ac:dyDescent="0.25">
      <x:c r="A729" s="19"/>
      <x:c r="B729" s="19"/>
      <x:c r="C729" s="19"/>
      <x:c r="D729" s="19"/>
      <x:c r="X729" s="20"/>
    </x:row>
    <x:row r="730" spans="1:24" ht="14" x14ac:dyDescent="0.25">
      <x:c r="A730" s="19"/>
      <x:c r="B730" s="19"/>
      <x:c r="C730" s="19"/>
      <x:c r="D730" s="19"/>
      <x:c r="X730" s="20"/>
    </x:row>
    <x:row r="731" spans="1:24" ht="14" x14ac:dyDescent="0.25">
      <x:c r="A731" s="19"/>
      <x:c r="B731" s="19"/>
      <x:c r="C731" s="19"/>
      <x:c r="D731" s="19"/>
      <x:c r="X731" s="20"/>
    </x:row>
    <x:row r="732" spans="1:24" ht="14" x14ac:dyDescent="0.25">
      <x:c r="A732" s="19"/>
      <x:c r="B732" s="19"/>
      <x:c r="C732" s="19"/>
      <x:c r="D732" s="19"/>
      <x:c r="X732" s="20"/>
    </x:row>
    <x:row r="733" spans="1:24" ht="14" x14ac:dyDescent="0.25">
      <x:c r="A733" s="19"/>
      <x:c r="B733" s="19"/>
      <x:c r="C733" s="19"/>
      <x:c r="D733" s="19"/>
      <x:c r="X733" s="20"/>
    </x:row>
    <x:row r="734" spans="1:24" ht="14" x14ac:dyDescent="0.25">
      <x:c r="A734" s="19"/>
      <x:c r="B734" s="19"/>
      <x:c r="C734" s="19"/>
      <x:c r="D734" s="19"/>
      <x:c r="X734" s="20"/>
    </x:row>
    <x:row r="735" spans="1:24" ht="14" x14ac:dyDescent="0.25">
      <x:c r="A735" s="19"/>
      <x:c r="B735" s="19"/>
      <x:c r="C735" s="19"/>
      <x:c r="D735" s="19"/>
      <x:c r="X735" s="20"/>
    </x:row>
    <x:row r="736" spans="1:24" ht="14" x14ac:dyDescent="0.25">
      <x:c r="A736" s="19"/>
      <x:c r="B736" s="19"/>
      <x:c r="C736" s="19"/>
      <x:c r="D736" s="19"/>
      <x:c r="X736" s="20"/>
    </x:row>
    <x:row r="737" spans="1:24" ht="14" x14ac:dyDescent="0.25">
      <x:c r="A737" s="19"/>
      <x:c r="B737" s="19"/>
      <x:c r="C737" s="19"/>
      <x:c r="D737" s="19"/>
      <x:c r="X737" s="20"/>
    </x:row>
    <x:row r="738" spans="1:24" ht="14" x14ac:dyDescent="0.25">
      <x:c r="A738" s="19"/>
      <x:c r="B738" s="19"/>
      <x:c r="C738" s="19"/>
      <x:c r="D738" s="19"/>
      <x:c r="X738" s="20"/>
    </x:row>
    <x:row r="739" spans="1:24" ht="14" x14ac:dyDescent="0.25">
      <x:c r="A739" s="19"/>
      <x:c r="B739" s="19"/>
      <x:c r="C739" s="19"/>
      <x:c r="D739" s="19"/>
      <x:c r="X739" s="20"/>
    </x:row>
    <x:row r="740" spans="1:24" ht="14" x14ac:dyDescent="0.25">
      <x:c r="A740" s="19"/>
      <x:c r="B740" s="19"/>
      <x:c r="C740" s="19"/>
      <x:c r="D740" s="19"/>
      <x:c r="X740" s="20"/>
    </x:row>
    <x:row r="741" spans="1:24" ht="14" x14ac:dyDescent="0.25">
      <x:c r="A741" s="19"/>
      <x:c r="B741" s="19"/>
      <x:c r="C741" s="19"/>
      <x:c r="D741" s="19"/>
      <x:c r="X741" s="20"/>
    </x:row>
    <x:row r="742" spans="1:24" ht="14" x14ac:dyDescent="0.25">
      <x:c r="A742" s="19"/>
      <x:c r="B742" s="19"/>
      <x:c r="C742" s="19"/>
      <x:c r="D742" s="19"/>
      <x:c r="X742" s="20"/>
    </x:row>
    <x:row r="743" spans="1:24" ht="14" x14ac:dyDescent="0.25">
      <x:c r="A743" s="19"/>
      <x:c r="B743" s="19"/>
      <x:c r="C743" s="19"/>
      <x:c r="D743" s="19"/>
      <x:c r="X743" s="20"/>
    </x:row>
    <x:row r="744" spans="1:24" ht="14" x14ac:dyDescent="0.25">
      <x:c r="A744" s="19"/>
      <x:c r="B744" s="19"/>
      <x:c r="C744" s="19"/>
      <x:c r="D744" s="19"/>
      <x:c r="X744" s="20"/>
    </x:row>
    <x:row r="745" spans="1:24" ht="14" x14ac:dyDescent="0.25">
      <x:c r="A745" s="19"/>
      <x:c r="B745" s="19"/>
      <x:c r="C745" s="19"/>
      <x:c r="D745" s="19"/>
      <x:c r="X745" s="20"/>
    </x:row>
    <x:row r="746" spans="1:24" ht="14" x14ac:dyDescent="0.25">
      <x:c r="A746" s="19"/>
      <x:c r="B746" s="19"/>
      <x:c r="C746" s="19"/>
      <x:c r="D746" s="19"/>
      <x:c r="X746" s="20"/>
    </x:row>
    <x:row r="747" spans="1:24" ht="14" x14ac:dyDescent="0.25">
      <x:c r="A747" s="19"/>
      <x:c r="B747" s="19"/>
      <x:c r="C747" s="19"/>
      <x:c r="D747" s="19"/>
      <x:c r="X747" s="20"/>
    </x:row>
    <x:row r="748" spans="1:24" ht="14" x14ac:dyDescent="0.25">
      <x:c r="A748" s="19"/>
      <x:c r="B748" s="19"/>
      <x:c r="C748" s="19"/>
      <x:c r="D748" s="19"/>
      <x:c r="X748" s="20"/>
    </x:row>
    <x:row r="749" spans="1:24" ht="14" x14ac:dyDescent="0.25">
      <x:c r="A749" s="19"/>
      <x:c r="B749" s="19"/>
      <x:c r="C749" s="19"/>
      <x:c r="D749" s="19"/>
      <x:c r="X749" s="20"/>
    </x:row>
    <x:row r="750" spans="1:24" ht="14" x14ac:dyDescent="0.25">
      <x:c r="A750" s="19"/>
      <x:c r="B750" s="19"/>
      <x:c r="C750" s="19"/>
      <x:c r="D750" s="19"/>
      <x:c r="X750" s="20"/>
    </x:row>
    <x:row r="751" spans="1:24" ht="14" x14ac:dyDescent="0.25">
      <x:c r="A751" s="19"/>
      <x:c r="B751" s="19"/>
      <x:c r="C751" s="19"/>
      <x:c r="D751" s="19"/>
      <x:c r="X751" s="20"/>
    </x:row>
    <x:row r="752" spans="1:24" ht="14" x14ac:dyDescent="0.25">
      <x:c r="A752" s="19"/>
      <x:c r="B752" s="19"/>
      <x:c r="C752" s="19"/>
      <x:c r="D752" s="19"/>
      <x:c r="X752" s="20"/>
    </x:row>
    <x:row r="753" spans="1:24" ht="14" x14ac:dyDescent="0.25">
      <x:c r="A753" s="19"/>
      <x:c r="B753" s="19"/>
      <x:c r="C753" s="19"/>
      <x:c r="D753" s="19"/>
      <x:c r="X753" s="20"/>
    </x:row>
    <x:row r="754" spans="1:24" ht="14" x14ac:dyDescent="0.25">
      <x:c r="A754" s="19"/>
      <x:c r="B754" s="19"/>
      <x:c r="C754" s="19"/>
      <x:c r="D754" s="19"/>
      <x:c r="X754" s="20"/>
    </x:row>
    <x:row r="755" spans="1:24" ht="14" x14ac:dyDescent="0.25">
      <x:c r="A755" s="19"/>
      <x:c r="B755" s="19"/>
      <x:c r="C755" s="19"/>
      <x:c r="D755" s="19"/>
      <x:c r="X755" s="20"/>
    </x:row>
    <x:row r="756" spans="1:24" ht="14" x14ac:dyDescent="0.25">
      <x:c r="A756" s="19"/>
      <x:c r="B756" s="19"/>
      <x:c r="C756" s="19"/>
      <x:c r="D756" s="19"/>
      <x:c r="X756" s="20"/>
    </x:row>
    <x:row r="757" spans="1:24" ht="14" x14ac:dyDescent="0.25">
      <x:c r="A757" s="19"/>
      <x:c r="B757" s="19"/>
      <x:c r="C757" s="19"/>
      <x:c r="D757" s="19"/>
      <x:c r="X757" s="20"/>
    </x:row>
    <x:row r="758" spans="1:24" ht="14" x14ac:dyDescent="0.25">
      <x:c r="A758" s="19"/>
      <x:c r="B758" s="19"/>
      <x:c r="C758" s="19"/>
      <x:c r="D758" s="19"/>
      <x:c r="X758" s="20"/>
    </x:row>
    <x:row r="759" spans="1:24" ht="14" x14ac:dyDescent="0.25">
      <x:c r="A759" s="19"/>
      <x:c r="B759" s="19"/>
      <x:c r="C759" s="19"/>
      <x:c r="D759" s="19"/>
      <x:c r="X759" s="20"/>
    </x:row>
    <x:row r="760" spans="1:24" ht="14" x14ac:dyDescent="0.25">
      <x:c r="A760" s="19"/>
      <x:c r="B760" s="19"/>
      <x:c r="C760" s="19"/>
      <x:c r="D760" s="19"/>
      <x:c r="X760" s="20"/>
    </x:row>
    <x:row r="761" spans="1:24" ht="14" x14ac:dyDescent="0.25">
      <x:c r="A761" s="19"/>
      <x:c r="B761" s="19"/>
      <x:c r="C761" s="19"/>
      <x:c r="D761" s="19"/>
      <x:c r="X761" s="20"/>
    </x:row>
    <x:row r="762" spans="1:24" ht="14" x14ac:dyDescent="0.25">
      <x:c r="A762" s="19"/>
      <x:c r="B762" s="19"/>
      <x:c r="C762" s="19"/>
      <x:c r="D762" s="19"/>
      <x:c r="X762" s="20"/>
    </x:row>
    <x:row r="763" spans="1:24" ht="14" x14ac:dyDescent="0.25">
      <x:c r="A763" s="19"/>
      <x:c r="B763" s="19"/>
      <x:c r="C763" s="19"/>
      <x:c r="D763" s="19"/>
      <x:c r="X763" s="20"/>
    </x:row>
    <x:row r="764" spans="1:24" ht="14" x14ac:dyDescent="0.25">
      <x:c r="A764" s="19"/>
      <x:c r="B764" s="19"/>
      <x:c r="C764" s="19"/>
      <x:c r="D764" s="19"/>
      <x:c r="X764" s="20"/>
    </x:row>
    <x:row r="765" spans="1:24" ht="14" x14ac:dyDescent="0.25">
      <x:c r="A765" s="19"/>
      <x:c r="B765" s="19"/>
      <x:c r="C765" s="19"/>
      <x:c r="D765" s="19"/>
      <x:c r="X765" s="20"/>
    </x:row>
    <x:row r="766" spans="1:24" ht="14" x14ac:dyDescent="0.25">
      <x:c r="A766" s="19"/>
      <x:c r="B766" s="19"/>
      <x:c r="C766" s="19"/>
      <x:c r="D766" s="19"/>
      <x:c r="X766" s="20"/>
    </x:row>
    <x:row r="767" spans="1:24" ht="14" x14ac:dyDescent="0.25">
      <x:c r="A767" s="19"/>
      <x:c r="B767" s="19"/>
      <x:c r="C767" s="19"/>
      <x:c r="D767" s="19"/>
      <x:c r="X767" s="20"/>
    </x:row>
    <x:row r="768" spans="1:24" ht="14" x14ac:dyDescent="0.25">
      <x:c r="A768" s="19"/>
      <x:c r="B768" s="19"/>
      <x:c r="C768" s="19"/>
      <x:c r="D768" s="19"/>
      <x:c r="X768" s="20"/>
    </x:row>
    <x:row r="769" spans="1:24" ht="14" x14ac:dyDescent="0.25">
      <x:c r="A769" s="19"/>
      <x:c r="B769" s="19"/>
      <x:c r="C769" s="19"/>
      <x:c r="D769" s="19"/>
      <x:c r="X769" s="20"/>
    </x:row>
    <x:row r="770" spans="1:24" ht="14" x14ac:dyDescent="0.25">
      <x:c r="A770" s="19"/>
      <x:c r="B770" s="19"/>
      <x:c r="C770" s="19"/>
      <x:c r="D770" s="19"/>
      <x:c r="X770" s="20"/>
    </x:row>
    <x:row r="771" spans="1:24" ht="14" x14ac:dyDescent="0.25">
      <x:c r="A771" s="19"/>
      <x:c r="B771" s="19"/>
      <x:c r="C771" s="19"/>
      <x:c r="D771" s="19"/>
      <x:c r="X771" s="20"/>
    </x:row>
    <x:row r="772" spans="1:24" ht="14" x14ac:dyDescent="0.25">
      <x:c r="A772" s="19"/>
      <x:c r="B772" s="19"/>
      <x:c r="C772" s="19"/>
      <x:c r="D772" s="19"/>
      <x:c r="X772" s="20"/>
    </x:row>
    <x:row r="773" spans="1:24" ht="14" x14ac:dyDescent="0.25">
      <x:c r="A773" s="19"/>
      <x:c r="B773" s="19"/>
      <x:c r="C773" s="19"/>
      <x:c r="D773" s="19"/>
      <x:c r="X773" s="20"/>
    </x:row>
    <x:row r="774" spans="1:24" ht="14" x14ac:dyDescent="0.25">
      <x:c r="A774" s="19"/>
      <x:c r="B774" s="19"/>
      <x:c r="C774" s="19"/>
      <x:c r="D774" s="19"/>
      <x:c r="X774" s="20"/>
    </x:row>
    <x:row r="775" spans="1:24" ht="14" x14ac:dyDescent="0.25">
      <x:c r="A775" s="19"/>
      <x:c r="B775" s="19"/>
      <x:c r="C775" s="19"/>
      <x:c r="D775" s="19"/>
      <x:c r="X775" s="20"/>
    </x:row>
    <x:row r="776" spans="1:24" ht="14" x14ac:dyDescent="0.25">
      <x:c r="A776" s="19"/>
      <x:c r="B776" s="19"/>
      <x:c r="C776" s="19"/>
      <x:c r="D776" s="19"/>
      <x:c r="X776" s="20"/>
    </x:row>
    <x:row r="777" spans="1:24" ht="14" x14ac:dyDescent="0.25">
      <x:c r="A777" s="19"/>
      <x:c r="B777" s="19"/>
      <x:c r="C777" s="19"/>
      <x:c r="D777" s="19"/>
      <x:c r="X777" s="20"/>
    </x:row>
    <x:row r="778" spans="1:24" ht="14" x14ac:dyDescent="0.25">
      <x:c r="A778" s="19"/>
      <x:c r="B778" s="19"/>
      <x:c r="C778" s="19"/>
      <x:c r="D778" s="19"/>
      <x:c r="X778" s="20"/>
    </x:row>
    <x:row r="779" spans="1:24" ht="14" x14ac:dyDescent="0.25">
      <x:c r="A779" s="19"/>
      <x:c r="B779" s="19"/>
      <x:c r="C779" s="19"/>
      <x:c r="D779" s="19"/>
      <x:c r="X779" s="20"/>
    </x:row>
    <x:row r="780" spans="1:24" ht="14" x14ac:dyDescent="0.25">
      <x:c r="A780" s="19"/>
      <x:c r="B780" s="19"/>
      <x:c r="C780" s="19"/>
      <x:c r="D780" s="19"/>
      <x:c r="X780" s="20"/>
    </x:row>
    <x:row r="781" spans="1:24" ht="14" x14ac:dyDescent="0.25">
      <x:c r="A781" s="19"/>
      <x:c r="B781" s="19"/>
      <x:c r="C781" s="19"/>
      <x:c r="D781" s="19"/>
      <x:c r="X781" s="20"/>
    </x:row>
    <x:row r="782" spans="1:24" ht="14" x14ac:dyDescent="0.25">
      <x:c r="A782" s="19"/>
      <x:c r="B782" s="19"/>
      <x:c r="C782" s="19"/>
      <x:c r="D782" s="19"/>
      <x:c r="X782" s="20"/>
    </x:row>
    <x:row r="783" spans="1:24" ht="14" x14ac:dyDescent="0.25">
      <x:c r="A783" s="19"/>
      <x:c r="B783" s="19"/>
      <x:c r="C783" s="19"/>
      <x:c r="D783" s="19"/>
      <x:c r="X783" s="20"/>
    </x:row>
    <x:row r="784" spans="1:24" ht="14" x14ac:dyDescent="0.25">
      <x:c r="A784" s="19"/>
      <x:c r="B784" s="19"/>
      <x:c r="C784" s="19"/>
      <x:c r="D784" s="19"/>
      <x:c r="X784" s="20"/>
    </x:row>
    <x:row r="785" spans="1:24" ht="14" x14ac:dyDescent="0.25">
      <x:c r="A785" s="19"/>
      <x:c r="B785" s="19"/>
      <x:c r="C785" s="19"/>
      <x:c r="D785" s="19"/>
      <x:c r="X785" s="20"/>
    </x:row>
    <x:row r="786" spans="1:24" ht="14" x14ac:dyDescent="0.25">
      <x:c r="A786" s="19"/>
      <x:c r="B786" s="19"/>
      <x:c r="C786" s="19"/>
      <x:c r="D786" s="19"/>
      <x:c r="X786" s="20"/>
    </x:row>
    <x:row r="787" spans="1:24" ht="14" x14ac:dyDescent="0.25">
      <x:c r="A787" s="19"/>
      <x:c r="B787" s="19"/>
      <x:c r="C787" s="19"/>
      <x:c r="D787" s="19"/>
      <x:c r="X787" s="20"/>
    </x:row>
    <x:row r="788" spans="1:24" ht="14" x14ac:dyDescent="0.25">
      <x:c r="A788" s="19"/>
      <x:c r="B788" s="19"/>
      <x:c r="C788" s="19"/>
      <x:c r="D788" s="19"/>
      <x:c r="X788" s="20"/>
    </x:row>
    <x:row r="789" spans="1:24" ht="14" x14ac:dyDescent="0.25">
      <x:c r="A789" s="19"/>
      <x:c r="B789" s="19"/>
      <x:c r="C789" s="19"/>
      <x:c r="D789" s="19"/>
      <x:c r="X789" s="20"/>
    </x:row>
    <x:row r="790" spans="1:24" ht="14" x14ac:dyDescent="0.25">
      <x:c r="A790" s="19"/>
      <x:c r="B790" s="19"/>
      <x:c r="C790" s="19"/>
      <x:c r="D790" s="19"/>
      <x:c r="X790" s="20"/>
    </x:row>
    <x:row r="791" spans="1:24" ht="14" x14ac:dyDescent="0.25">
      <x:c r="A791" s="19"/>
      <x:c r="B791" s="19"/>
      <x:c r="C791" s="19"/>
      <x:c r="D791" s="19"/>
      <x:c r="X791" s="20"/>
    </x:row>
    <x:row r="792" spans="1:24" ht="14" x14ac:dyDescent="0.25">
      <x:c r="A792" s="19"/>
      <x:c r="B792" s="19"/>
      <x:c r="C792" s="19"/>
      <x:c r="D792" s="19"/>
      <x:c r="X792" s="20"/>
    </x:row>
    <x:row r="793" spans="1:24" ht="14" x14ac:dyDescent="0.25">
      <x:c r="A793" s="19"/>
      <x:c r="B793" s="19"/>
      <x:c r="C793" s="19"/>
      <x:c r="D793" s="19"/>
      <x:c r="X793" s="20"/>
    </x:row>
    <x:row r="794" spans="1:24" ht="14" x14ac:dyDescent="0.25">
      <x:c r="A794" s="19"/>
      <x:c r="B794" s="19"/>
      <x:c r="C794" s="19"/>
      <x:c r="D794" s="19"/>
      <x:c r="X794" s="20"/>
    </x:row>
    <x:row r="795" spans="1:24" ht="14" x14ac:dyDescent="0.25">
      <x:c r="A795" s="19"/>
      <x:c r="B795" s="19"/>
      <x:c r="C795" s="19"/>
      <x:c r="D795" s="19"/>
      <x:c r="X795" s="20"/>
    </x:row>
    <x:row r="796" spans="1:24" ht="14" x14ac:dyDescent="0.25">
      <x:c r="A796" s="19"/>
      <x:c r="B796" s="19"/>
      <x:c r="C796" s="19"/>
      <x:c r="D796" s="19"/>
      <x:c r="X796" s="20"/>
    </x:row>
    <x:row r="797" spans="1:24" ht="14" x14ac:dyDescent="0.25">
      <x:c r="A797" s="19"/>
      <x:c r="B797" s="19"/>
      <x:c r="C797" s="19"/>
      <x:c r="D797" s="19"/>
      <x:c r="X797" s="20"/>
    </x:row>
    <x:row r="798" spans="1:24" ht="14" x14ac:dyDescent="0.25">
      <x:c r="A798" s="19"/>
      <x:c r="B798" s="19"/>
      <x:c r="C798" s="19"/>
      <x:c r="D798" s="19"/>
      <x:c r="X798" s="20"/>
    </x:row>
    <x:row r="799" spans="1:24" ht="14" x14ac:dyDescent="0.25">
      <x:c r="A799" s="19"/>
      <x:c r="B799" s="19"/>
      <x:c r="C799" s="19"/>
      <x:c r="D799" s="19"/>
      <x:c r="X799" s="20"/>
    </x:row>
    <x:row r="800" spans="1:24" ht="14" x14ac:dyDescent="0.25">
      <x:c r="A800" s="19"/>
      <x:c r="B800" s="19"/>
      <x:c r="C800" s="19"/>
      <x:c r="D800" s="19"/>
      <x:c r="X800" s="20"/>
    </x:row>
    <x:row r="801" spans="1:24" ht="14" x14ac:dyDescent="0.25">
      <x:c r="A801" s="19"/>
      <x:c r="B801" s="19"/>
      <x:c r="C801" s="19"/>
      <x:c r="D801" s="19"/>
      <x:c r="X801" s="20"/>
    </x:row>
    <x:row r="802" spans="1:24" ht="14" x14ac:dyDescent="0.25">
      <x:c r="A802" s="19"/>
      <x:c r="B802" s="19"/>
      <x:c r="C802" s="19"/>
      <x:c r="D802" s="19"/>
      <x:c r="X802" s="20"/>
    </x:row>
    <x:row r="803" spans="1:24" ht="14" x14ac:dyDescent="0.25">
      <x:c r="A803" s="19"/>
      <x:c r="B803" s="19"/>
      <x:c r="C803" s="19"/>
      <x:c r="D803" s="19"/>
      <x:c r="X803" s="20"/>
    </x:row>
    <x:row r="804" spans="1:24" ht="14" x14ac:dyDescent="0.25">
      <x:c r="A804" s="19"/>
      <x:c r="B804" s="19"/>
      <x:c r="C804" s="19"/>
      <x:c r="D804" s="19"/>
      <x:c r="X804" s="20"/>
    </x:row>
    <x:row r="805" spans="1:24" ht="14" x14ac:dyDescent="0.25">
      <x:c r="A805" s="19"/>
      <x:c r="B805" s="19"/>
      <x:c r="C805" s="19"/>
      <x:c r="D805" s="19"/>
      <x:c r="X805" s="20"/>
    </x:row>
    <x:row r="806" spans="1:24" ht="14" x14ac:dyDescent="0.25">
      <x:c r="A806" s="19"/>
      <x:c r="B806" s="19"/>
      <x:c r="C806" s="19"/>
      <x:c r="D806" s="19"/>
      <x:c r="X806" s="20"/>
    </x:row>
    <x:row r="807" spans="1:24" ht="14" x14ac:dyDescent="0.25">
      <x:c r="A807" s="19"/>
      <x:c r="B807" s="19"/>
      <x:c r="C807" s="19"/>
      <x:c r="D807" s="19"/>
      <x:c r="X807" s="20"/>
    </x:row>
    <x:row r="808" spans="1:24" ht="14" x14ac:dyDescent="0.25">
      <x:c r="A808" s="19"/>
      <x:c r="B808" s="19"/>
      <x:c r="C808" s="19"/>
      <x:c r="D808" s="19"/>
      <x:c r="X808" s="20"/>
    </x:row>
    <x:row r="809" spans="1:24" ht="14" x14ac:dyDescent="0.25">
      <x:c r="A809" s="19"/>
      <x:c r="B809" s="19"/>
      <x:c r="C809" s="19"/>
      <x:c r="D809" s="19"/>
      <x:c r="X809" s="20"/>
    </x:row>
    <x:row r="810" spans="1:24" ht="14" x14ac:dyDescent="0.25">
      <x:c r="A810" s="19"/>
      <x:c r="B810" s="19"/>
      <x:c r="C810" s="19"/>
      <x:c r="D810" s="19"/>
      <x:c r="X810" s="20"/>
    </x:row>
    <x:row r="811" spans="1:24" ht="14" x14ac:dyDescent="0.25">
      <x:c r="A811" s="19"/>
      <x:c r="B811" s="19"/>
      <x:c r="C811" s="19"/>
      <x:c r="D811" s="19"/>
      <x:c r="X811" s="20"/>
    </x:row>
    <x:row r="812" spans="1:24" ht="14" x14ac:dyDescent="0.25">
      <x:c r="A812" s="19"/>
      <x:c r="B812" s="19"/>
      <x:c r="C812" s="19"/>
      <x:c r="D812" s="19"/>
      <x:c r="X812" s="20"/>
    </x:row>
    <x:row r="813" spans="1:24" ht="14" x14ac:dyDescent="0.25">
      <x:c r="A813" s="19"/>
      <x:c r="B813" s="19"/>
      <x:c r="C813" s="19"/>
      <x:c r="D813" s="19"/>
      <x:c r="X813" s="20"/>
    </x:row>
    <x:row r="814" spans="1:24" ht="14" x14ac:dyDescent="0.25">
      <x:c r="A814" s="19"/>
      <x:c r="B814" s="19"/>
      <x:c r="C814" s="19"/>
      <x:c r="D814" s="19"/>
      <x:c r="X814" s="20"/>
    </x:row>
    <x:row r="815" spans="1:24" ht="14" x14ac:dyDescent="0.25">
      <x:c r="A815" s="19"/>
      <x:c r="B815" s="19"/>
      <x:c r="C815" s="19"/>
      <x:c r="D815" s="19"/>
      <x:c r="X815" s="20"/>
    </x:row>
    <x:row r="816" spans="1:24" ht="14" x14ac:dyDescent="0.25">
      <x:c r="A816" s="19"/>
      <x:c r="B816" s="19"/>
      <x:c r="C816" s="19"/>
      <x:c r="D816" s="19"/>
      <x:c r="X816" s="20"/>
    </x:row>
    <x:row r="817" spans="1:24" ht="14" x14ac:dyDescent="0.25">
      <x:c r="A817" s="19"/>
      <x:c r="B817" s="19"/>
      <x:c r="C817" s="19"/>
      <x:c r="D817" s="19"/>
      <x:c r="X817" s="20"/>
    </x:row>
    <x:row r="818" spans="1:24" ht="14" x14ac:dyDescent="0.25">
      <x:c r="A818" s="19"/>
      <x:c r="B818" s="19"/>
      <x:c r="C818" s="19"/>
      <x:c r="D818" s="19"/>
      <x:c r="X818" s="20"/>
    </x:row>
    <x:row r="819" spans="1:24" ht="14" x14ac:dyDescent="0.25">
      <x:c r="A819" s="19"/>
      <x:c r="B819" s="19"/>
      <x:c r="C819" s="19"/>
      <x:c r="D819" s="19"/>
      <x:c r="X819" s="20"/>
    </x:row>
    <x:row r="820" spans="1:24" ht="14" x14ac:dyDescent="0.25">
      <x:c r="A820" s="19"/>
      <x:c r="B820" s="19"/>
      <x:c r="C820" s="19"/>
      <x:c r="D820" s="19"/>
      <x:c r="X820" s="20"/>
    </x:row>
    <x:row r="821" spans="1:24" ht="14" x14ac:dyDescent="0.25">
      <x:c r="A821" s="19"/>
      <x:c r="B821" s="19"/>
      <x:c r="C821" s="19"/>
      <x:c r="D821" s="19"/>
      <x:c r="X821" s="20"/>
    </x:row>
    <x:row r="822" spans="1:24" ht="14" x14ac:dyDescent="0.25">
      <x:c r="A822" s="19"/>
      <x:c r="B822" s="19"/>
      <x:c r="C822" s="19"/>
      <x:c r="D822" s="19"/>
      <x:c r="X822" s="20"/>
    </x:row>
    <x:row r="823" spans="1:24" ht="14" x14ac:dyDescent="0.25">
      <x:c r="A823" s="19"/>
      <x:c r="B823" s="19"/>
      <x:c r="C823" s="19"/>
      <x:c r="D823" s="19"/>
      <x:c r="X823" s="20"/>
    </x:row>
    <x:row r="824" spans="1:24" ht="14" x14ac:dyDescent="0.25">
      <x:c r="A824" s="19"/>
      <x:c r="B824" s="19"/>
      <x:c r="C824" s="19"/>
      <x:c r="D824" s="19"/>
      <x:c r="X824" s="20"/>
    </x:row>
    <x:row r="825" spans="1:24" ht="14" x14ac:dyDescent="0.25">
      <x:c r="A825" s="19"/>
      <x:c r="B825" s="19"/>
      <x:c r="C825" s="19"/>
      <x:c r="D825" s="19"/>
      <x:c r="X825" s="20"/>
    </x:row>
    <x:row r="826" spans="1:24" ht="14" x14ac:dyDescent="0.25">
      <x:c r="A826" s="19"/>
      <x:c r="B826" s="19"/>
      <x:c r="C826" s="19"/>
      <x:c r="D826" s="19"/>
      <x:c r="X826" s="20"/>
    </x:row>
    <x:row r="827" spans="1:24" ht="14" x14ac:dyDescent="0.25">
      <x:c r="A827" s="19"/>
      <x:c r="B827" s="19"/>
      <x:c r="C827" s="19"/>
      <x:c r="D827" s="19"/>
      <x:c r="X827" s="20"/>
    </x:row>
    <x:row r="828" spans="1:24" ht="14" x14ac:dyDescent="0.25">
      <x:c r="A828" s="19"/>
      <x:c r="B828" s="19"/>
      <x:c r="C828" s="19"/>
      <x:c r="D828" s="19"/>
      <x:c r="X828" s="20"/>
    </x:row>
    <x:row r="829" spans="1:24" ht="14" x14ac:dyDescent="0.25">
      <x:c r="A829" s="19"/>
      <x:c r="B829" s="19"/>
      <x:c r="C829" s="19"/>
      <x:c r="D829" s="19"/>
      <x:c r="X829" s="20"/>
    </x:row>
    <x:row r="830" spans="1:24" ht="14" x14ac:dyDescent="0.25">
      <x:c r="A830" s="19"/>
      <x:c r="B830" s="19"/>
      <x:c r="C830" s="19"/>
      <x:c r="D830" s="19"/>
      <x:c r="X830" s="20"/>
    </x:row>
    <x:row r="831" spans="1:24" ht="14" x14ac:dyDescent="0.25">
      <x:c r="A831" s="19"/>
      <x:c r="B831" s="19"/>
      <x:c r="C831" s="19"/>
      <x:c r="D831" s="19"/>
      <x:c r="X831" s="20"/>
    </x:row>
    <x:row r="832" spans="1:24" ht="14" x14ac:dyDescent="0.25">
      <x:c r="A832" s="19"/>
      <x:c r="B832" s="19"/>
      <x:c r="C832" s="19"/>
      <x:c r="D832" s="19"/>
      <x:c r="X832" s="20"/>
    </x:row>
    <x:row r="833" spans="1:24" ht="14" x14ac:dyDescent="0.25">
      <x:c r="A833" s="19"/>
      <x:c r="B833" s="19"/>
      <x:c r="C833" s="19"/>
      <x:c r="D833" s="19"/>
      <x:c r="X833" s="20"/>
    </x:row>
    <x:row r="834" spans="1:24" ht="14" x14ac:dyDescent="0.25">
      <x:c r="A834" s="19"/>
      <x:c r="B834" s="19"/>
      <x:c r="C834" s="19"/>
      <x:c r="D834" s="19"/>
      <x:c r="X834" s="20"/>
    </x:row>
    <x:row r="835" spans="1:24" ht="14" x14ac:dyDescent="0.25">
      <x:c r="A835" s="19"/>
      <x:c r="B835" s="19"/>
      <x:c r="C835" s="19"/>
      <x:c r="D835" s="19"/>
      <x:c r="X835" s="20"/>
    </x:row>
    <x:row r="836" spans="1:24" ht="14" x14ac:dyDescent="0.25">
      <x:c r="A836" s="19"/>
      <x:c r="B836" s="19"/>
      <x:c r="C836" s="19"/>
      <x:c r="D836" s="19"/>
      <x:c r="X836" s="20"/>
    </x:row>
    <x:row r="837" spans="1:24" ht="14" x14ac:dyDescent="0.25">
      <x:c r="A837" s="19"/>
      <x:c r="B837" s="19"/>
      <x:c r="C837" s="19"/>
      <x:c r="D837" s="19"/>
      <x:c r="X837" s="20"/>
    </x:row>
    <x:row r="838" spans="1:24" ht="14" x14ac:dyDescent="0.25">
      <x:c r="A838" s="19"/>
      <x:c r="B838" s="19"/>
      <x:c r="C838" s="19"/>
      <x:c r="D838" s="19"/>
      <x:c r="X838" s="20"/>
    </x:row>
    <x:row r="839" spans="1:24" ht="14" x14ac:dyDescent="0.25">
      <x:c r="A839" s="19"/>
      <x:c r="B839" s="19"/>
      <x:c r="C839" s="19"/>
      <x:c r="D839" s="19"/>
      <x:c r="X839" s="20"/>
    </x:row>
    <x:row r="840" spans="1:24" ht="14" x14ac:dyDescent="0.25">
      <x:c r="A840" s="19"/>
      <x:c r="B840" s="19"/>
      <x:c r="C840" s="19"/>
      <x:c r="D840" s="19"/>
      <x:c r="X840" s="20"/>
    </x:row>
    <x:row r="841" spans="1:24" ht="14" x14ac:dyDescent="0.25">
      <x:c r="A841" s="19"/>
      <x:c r="B841" s="19"/>
      <x:c r="C841" s="19"/>
      <x:c r="D841" s="19"/>
      <x:c r="X841" s="20"/>
    </x:row>
    <x:row r="842" spans="1:24" ht="14" x14ac:dyDescent="0.25">
      <x:c r="A842" s="19"/>
      <x:c r="B842" s="19"/>
      <x:c r="C842" s="19"/>
      <x:c r="D842" s="19"/>
      <x:c r="X842" s="20"/>
    </x:row>
    <x:row r="843" spans="1:24" ht="14" x14ac:dyDescent="0.25">
      <x:c r="A843" s="19"/>
      <x:c r="B843" s="19"/>
      <x:c r="C843" s="19"/>
      <x:c r="D843" s="19"/>
      <x:c r="X843" s="20"/>
    </x:row>
    <x:row r="844" spans="1:24" ht="14" x14ac:dyDescent="0.25">
      <x:c r="A844" s="19"/>
      <x:c r="B844" s="19"/>
      <x:c r="C844" s="19"/>
      <x:c r="D844" s="19"/>
      <x:c r="X844" s="20"/>
    </x:row>
    <x:row r="845" spans="1:24" ht="14" x14ac:dyDescent="0.25">
      <x:c r="A845" s="19"/>
      <x:c r="B845" s="19"/>
      <x:c r="C845" s="19"/>
      <x:c r="D845" s="19"/>
      <x:c r="X845" s="20"/>
    </x:row>
    <x:row r="846" spans="1:24" ht="14" x14ac:dyDescent="0.25">
      <x:c r="A846" s="19"/>
      <x:c r="B846" s="19"/>
      <x:c r="C846" s="19"/>
      <x:c r="D846" s="19"/>
      <x:c r="X846" s="20"/>
    </x:row>
    <x:row r="847" spans="1:24" ht="14" x14ac:dyDescent="0.25">
      <x:c r="A847" s="19"/>
      <x:c r="B847" s="19"/>
      <x:c r="C847" s="19"/>
      <x:c r="D847" s="19"/>
      <x:c r="X847" s="20"/>
    </x:row>
    <x:row r="848" spans="1:24" ht="14" x14ac:dyDescent="0.25">
      <x:c r="A848" s="19"/>
      <x:c r="B848" s="19"/>
      <x:c r="C848" s="19"/>
      <x:c r="D848" s="19"/>
      <x:c r="X848" s="20"/>
    </x:row>
    <x:row r="849" spans="1:24" ht="14" x14ac:dyDescent="0.25">
      <x:c r="A849" s="19"/>
      <x:c r="B849" s="19"/>
      <x:c r="C849" s="19"/>
      <x:c r="D849" s="19"/>
      <x:c r="X849" s="20"/>
    </x:row>
    <x:row r="850" spans="1:24" ht="14" x14ac:dyDescent="0.25">
      <x:c r="A850" s="19"/>
      <x:c r="B850" s="19"/>
      <x:c r="C850" s="19"/>
      <x:c r="D850" s="19"/>
      <x:c r="X850" s="20"/>
    </x:row>
    <x:row r="851" spans="1:24" ht="14" x14ac:dyDescent="0.25">
      <x:c r="A851" s="19"/>
      <x:c r="B851" s="19"/>
      <x:c r="C851" s="19"/>
      <x:c r="D851" s="19"/>
      <x:c r="X851" s="20"/>
    </x:row>
    <x:row r="852" spans="1:24" ht="14" x14ac:dyDescent="0.25">
      <x:c r="A852" s="19"/>
      <x:c r="B852" s="19"/>
      <x:c r="C852" s="19"/>
      <x:c r="D852" s="19"/>
      <x:c r="X852" s="20"/>
    </x:row>
    <x:row r="853" spans="1:24" ht="14" x14ac:dyDescent="0.25">
      <x:c r="A853" s="19"/>
      <x:c r="B853" s="19"/>
      <x:c r="C853" s="19"/>
      <x:c r="D853" s="19"/>
      <x:c r="X853" s="20"/>
    </x:row>
    <x:row r="854" spans="1:24" ht="14" x14ac:dyDescent="0.25">
      <x:c r="A854" s="19"/>
      <x:c r="B854" s="19"/>
      <x:c r="C854" s="19"/>
      <x:c r="D854" s="19"/>
      <x:c r="X854" s="20"/>
    </x:row>
    <x:row r="855" spans="1:24" ht="14" x14ac:dyDescent="0.25">
      <x:c r="A855" s="19"/>
      <x:c r="B855" s="19"/>
      <x:c r="C855" s="19"/>
      <x:c r="D855" s="19"/>
      <x:c r="X855" s="20"/>
    </x:row>
    <x:row r="856" spans="1:24" ht="14" x14ac:dyDescent="0.25">
      <x:c r="A856" s="19"/>
      <x:c r="B856" s="19"/>
      <x:c r="C856" s="19"/>
      <x:c r="D856" s="19"/>
      <x:c r="X856" s="20"/>
    </x:row>
    <x:row r="857" spans="1:24" ht="14" x14ac:dyDescent="0.25">
      <x:c r="A857" s="19"/>
      <x:c r="B857" s="19"/>
      <x:c r="C857" s="19"/>
      <x:c r="D857" s="19"/>
      <x:c r="X857" s="20"/>
    </x:row>
    <x:row r="858" spans="1:24" ht="14" x14ac:dyDescent="0.25">
      <x:c r="A858" s="19"/>
      <x:c r="B858" s="19"/>
      <x:c r="C858" s="19"/>
      <x:c r="D858" s="19"/>
      <x:c r="X858" s="20"/>
    </x:row>
    <x:row r="859" spans="1:24" ht="14" x14ac:dyDescent="0.25">
      <x:c r="A859" s="19"/>
      <x:c r="B859" s="19"/>
      <x:c r="C859" s="19"/>
      <x:c r="D859" s="19"/>
      <x:c r="X859" s="20"/>
    </x:row>
    <x:row r="860" spans="1:24" ht="14" x14ac:dyDescent="0.25">
      <x:c r="A860" s="19"/>
      <x:c r="B860" s="19"/>
      <x:c r="C860" s="19"/>
      <x:c r="D860" s="19"/>
      <x:c r="X860" s="20"/>
    </x:row>
    <x:row r="861" spans="1:24" ht="14" x14ac:dyDescent="0.25">
      <x:c r="A861" s="19"/>
      <x:c r="B861" s="19"/>
      <x:c r="C861" s="19"/>
      <x:c r="D861" s="19"/>
      <x:c r="X861" s="20"/>
    </x:row>
    <x:row r="862" spans="1:24" ht="14" x14ac:dyDescent="0.25">
      <x:c r="A862" s="19"/>
      <x:c r="B862" s="19"/>
      <x:c r="C862" s="19"/>
      <x:c r="D862" s="19"/>
      <x:c r="X862" s="20"/>
    </x:row>
    <x:row r="863" spans="1:24" ht="14" x14ac:dyDescent="0.25">
      <x:c r="A863" s="19"/>
      <x:c r="B863" s="19"/>
      <x:c r="C863" s="19"/>
      <x:c r="D863" s="19"/>
      <x:c r="X863" s="20"/>
    </x:row>
    <x:row r="864" spans="1:24" ht="14" x14ac:dyDescent="0.25">
      <x:c r="A864" s="19"/>
      <x:c r="B864" s="19"/>
      <x:c r="C864" s="19"/>
      <x:c r="D864" s="19"/>
      <x:c r="X864" s="20"/>
    </x:row>
    <x:row r="865" spans="1:24" ht="14" x14ac:dyDescent="0.25">
      <x:c r="A865" s="19"/>
      <x:c r="B865" s="19"/>
      <x:c r="C865" s="19"/>
      <x:c r="D865" s="19"/>
      <x:c r="X865" s="20"/>
    </x:row>
    <x:row r="866" spans="1:24" ht="14" x14ac:dyDescent="0.25">
      <x:c r="A866" s="19"/>
      <x:c r="B866" s="19"/>
      <x:c r="C866" s="19"/>
      <x:c r="D866" s="19"/>
      <x:c r="X866" s="20"/>
    </x:row>
    <x:row r="867" spans="1:24" ht="14" x14ac:dyDescent="0.25">
      <x:c r="A867" s="19"/>
      <x:c r="B867" s="19"/>
      <x:c r="C867" s="19"/>
      <x:c r="D867" s="19"/>
      <x:c r="X867" s="20"/>
    </x:row>
    <x:row r="868" spans="1:24" ht="14" x14ac:dyDescent="0.25">
      <x:c r="A868" s="19"/>
      <x:c r="B868" s="19"/>
      <x:c r="C868" s="19"/>
      <x:c r="D868" s="19"/>
      <x:c r="X868" s="20"/>
    </x:row>
    <x:row r="869" spans="1:24" ht="14" x14ac:dyDescent="0.25">
      <x:c r="A869" s="19"/>
      <x:c r="B869" s="19"/>
      <x:c r="C869" s="19"/>
      <x:c r="D869" s="19"/>
      <x:c r="X869" s="20"/>
    </x:row>
    <x:row r="870" spans="1:24" ht="14" x14ac:dyDescent="0.25">
      <x:c r="A870" s="19"/>
      <x:c r="B870" s="19"/>
      <x:c r="C870" s="19"/>
      <x:c r="D870" s="19"/>
      <x:c r="X870" s="20"/>
    </x:row>
    <x:row r="871" spans="1:24" ht="14" x14ac:dyDescent="0.25">
      <x:c r="A871" s="19"/>
      <x:c r="B871" s="19"/>
      <x:c r="C871" s="19"/>
      <x:c r="D871" s="19"/>
      <x:c r="X871" s="20"/>
    </x:row>
    <x:row r="872" spans="1:24" ht="14" x14ac:dyDescent="0.25">
      <x:c r="A872" s="19"/>
      <x:c r="B872" s="19"/>
      <x:c r="C872" s="19"/>
      <x:c r="D872" s="19"/>
      <x:c r="X872" s="20"/>
    </x:row>
    <x:row r="873" spans="1:24" ht="14" x14ac:dyDescent="0.25">
      <x:c r="A873" s="19"/>
      <x:c r="B873" s="19"/>
      <x:c r="C873" s="19"/>
      <x:c r="D873" s="19"/>
      <x:c r="X873" s="20"/>
    </x:row>
    <x:row r="874" spans="1:24" ht="14" x14ac:dyDescent="0.25">
      <x:c r="A874" s="19"/>
      <x:c r="B874" s="19"/>
      <x:c r="C874" s="19"/>
      <x:c r="D874" s="19"/>
      <x:c r="X874" s="20"/>
    </x:row>
    <x:row r="875" spans="1:24" ht="14" x14ac:dyDescent="0.25">
      <x:c r="A875" s="19"/>
      <x:c r="B875" s="19"/>
      <x:c r="C875" s="19"/>
      <x:c r="D875" s="19"/>
      <x:c r="X875" s="20"/>
    </x:row>
    <x:row r="876" spans="1:24" ht="14" x14ac:dyDescent="0.25">
      <x:c r="A876" s="19"/>
      <x:c r="B876" s="19"/>
      <x:c r="C876" s="19"/>
      <x:c r="D876" s="19"/>
      <x:c r="X876" s="20"/>
    </x:row>
    <x:row r="877" spans="1:24" ht="14" x14ac:dyDescent="0.25">
      <x:c r="A877" s="19"/>
      <x:c r="B877" s="19"/>
      <x:c r="C877" s="19"/>
      <x:c r="D877" s="19"/>
      <x:c r="X877" s="20"/>
    </x:row>
    <x:row r="878" spans="1:24" ht="14" x14ac:dyDescent="0.25">
      <x:c r="A878" s="19"/>
      <x:c r="B878" s="19"/>
      <x:c r="C878" s="19"/>
      <x:c r="D878" s="19"/>
      <x:c r="X878" s="20"/>
    </x:row>
    <x:row r="879" spans="1:24" ht="14" x14ac:dyDescent="0.25">
      <x:c r="A879" s="19"/>
      <x:c r="B879" s="19"/>
      <x:c r="C879" s="19"/>
      <x:c r="D879" s="19"/>
      <x:c r="X879" s="20"/>
    </x:row>
    <x:row r="880" spans="1:24" ht="14" x14ac:dyDescent="0.25">
      <x:c r="A880" s="19"/>
      <x:c r="B880" s="19"/>
      <x:c r="C880" s="19"/>
      <x:c r="D880" s="19"/>
      <x:c r="X880" s="20"/>
    </x:row>
    <x:row r="881" spans="1:24" ht="14" x14ac:dyDescent="0.25">
      <x:c r="A881" s="19"/>
      <x:c r="B881" s="19"/>
      <x:c r="C881" s="19"/>
      <x:c r="D881" s="19"/>
      <x:c r="X881" s="20"/>
    </x:row>
    <x:row r="882" spans="1:24" ht="14" x14ac:dyDescent="0.25">
      <x:c r="A882" s="19"/>
      <x:c r="B882" s="19"/>
      <x:c r="C882" s="19"/>
      <x:c r="D882" s="19"/>
      <x:c r="X882" s="20"/>
    </x:row>
    <x:row r="883" spans="1:24" ht="14" x14ac:dyDescent="0.25">
      <x:c r="A883" s="19"/>
      <x:c r="B883" s="19"/>
      <x:c r="C883" s="19"/>
      <x:c r="D883" s="19"/>
      <x:c r="X883" s="20"/>
    </x:row>
    <x:row r="884" spans="1:24" ht="14" x14ac:dyDescent="0.25">
      <x:c r="A884" s="19"/>
      <x:c r="B884" s="19"/>
      <x:c r="C884" s="19"/>
      <x:c r="D884" s="19"/>
      <x:c r="X884" s="20"/>
    </x:row>
    <x:row r="885" spans="1:24" ht="14" x14ac:dyDescent="0.25">
      <x:c r="A885" s="19"/>
      <x:c r="B885" s="19"/>
      <x:c r="C885" s="19"/>
      <x:c r="D885" s="19"/>
      <x:c r="X885" s="20"/>
    </x:row>
    <x:row r="886" spans="1:24" ht="14" x14ac:dyDescent="0.25">
      <x:c r="A886" s="19"/>
      <x:c r="B886" s="19"/>
      <x:c r="C886" s="19"/>
      <x:c r="D886" s="19"/>
      <x:c r="X886" s="20"/>
    </x:row>
    <x:row r="887" spans="1:24" ht="14" x14ac:dyDescent="0.25">
      <x:c r="A887" s="19"/>
      <x:c r="B887" s="19"/>
      <x:c r="C887" s="19"/>
      <x:c r="D887" s="19"/>
      <x:c r="X887" s="20"/>
    </x:row>
    <x:row r="888" spans="1:24" ht="14" x14ac:dyDescent="0.25">
      <x:c r="A888" s="19"/>
      <x:c r="B888" s="19"/>
      <x:c r="C888" s="19"/>
      <x:c r="D888" s="19"/>
      <x:c r="X888" s="20"/>
    </x:row>
    <x:row r="889" spans="1:24" ht="14" x14ac:dyDescent="0.25">
      <x:c r="A889" s="19"/>
      <x:c r="B889" s="19"/>
      <x:c r="C889" s="19"/>
      <x:c r="D889" s="19"/>
      <x:c r="X889" s="20"/>
    </x:row>
    <x:row r="890" spans="1:24" ht="14" x14ac:dyDescent="0.25">
      <x:c r="A890" s="19"/>
      <x:c r="B890" s="19"/>
      <x:c r="C890" s="19"/>
      <x:c r="D890" s="19"/>
      <x:c r="X890" s="20"/>
    </x:row>
    <x:row r="891" spans="1:24" ht="14" x14ac:dyDescent="0.25">
      <x:c r="A891" s="19"/>
      <x:c r="B891" s="19"/>
      <x:c r="C891" s="19"/>
      <x:c r="D891" s="19"/>
      <x:c r="X891" s="20"/>
    </x:row>
    <x:row r="892" spans="1:24" ht="14" x14ac:dyDescent="0.25">
      <x:c r="A892" s="19"/>
      <x:c r="B892" s="19"/>
      <x:c r="C892" s="19"/>
      <x:c r="D892" s="19"/>
      <x:c r="X892" s="20"/>
    </x:row>
    <x:row r="893" spans="1:24" ht="14" x14ac:dyDescent="0.25">
      <x:c r="A893" s="19"/>
      <x:c r="B893" s="19"/>
      <x:c r="C893" s="19"/>
      <x:c r="D893" s="19"/>
      <x:c r="X893" s="20"/>
    </x:row>
    <x:row r="894" spans="1:24" ht="14" x14ac:dyDescent="0.25">
      <x:c r="A894" s="19"/>
      <x:c r="B894" s="19"/>
      <x:c r="C894" s="19"/>
      <x:c r="D894" s="19"/>
      <x:c r="X894" s="20"/>
    </x:row>
    <x:row r="895" spans="1:24" ht="14" x14ac:dyDescent="0.25">
      <x:c r="A895" s="19"/>
      <x:c r="B895" s="19"/>
      <x:c r="C895" s="19"/>
      <x:c r="D895" s="19"/>
      <x:c r="X895" s="20"/>
    </x:row>
    <x:row r="896" spans="1:24" ht="14" x14ac:dyDescent="0.25">
      <x:c r="A896" s="19"/>
      <x:c r="B896" s="19"/>
      <x:c r="C896" s="19"/>
      <x:c r="D896" s="19"/>
      <x:c r="X896" s="20"/>
    </x:row>
    <x:row r="897" spans="1:24" ht="14" x14ac:dyDescent="0.25">
      <x:c r="A897" s="19"/>
      <x:c r="B897" s="19"/>
      <x:c r="C897" s="19"/>
      <x:c r="D897" s="19"/>
      <x:c r="X897" s="20"/>
    </x:row>
    <x:row r="898" spans="1:24" ht="14" x14ac:dyDescent="0.25">
      <x:c r="A898" s="19"/>
      <x:c r="B898" s="19"/>
      <x:c r="C898" s="19"/>
      <x:c r="D898" s="19"/>
      <x:c r="X898" s="20"/>
    </x:row>
    <x:row r="899" spans="1:24" ht="14" x14ac:dyDescent="0.25">
      <x:c r="A899" s="19"/>
      <x:c r="B899" s="19"/>
      <x:c r="C899" s="19"/>
      <x:c r="D899" s="19"/>
      <x:c r="X899" s="20"/>
    </x:row>
    <x:row r="900" spans="1:24" ht="14" x14ac:dyDescent="0.25">
      <x:c r="A900" s="19"/>
      <x:c r="B900" s="19"/>
      <x:c r="C900" s="19"/>
      <x:c r="D900" s="19"/>
      <x:c r="X900" s="20"/>
    </x:row>
    <x:row r="901" spans="1:24" ht="14" x14ac:dyDescent="0.25">
      <x:c r="A901" s="19"/>
      <x:c r="B901" s="19"/>
      <x:c r="C901" s="19"/>
      <x:c r="D901" s="19"/>
      <x:c r="X901" s="20"/>
    </x:row>
    <x:row r="902" spans="1:24" ht="14" x14ac:dyDescent="0.25">
      <x:c r="A902" s="19"/>
      <x:c r="B902" s="19"/>
      <x:c r="C902" s="19"/>
      <x:c r="D902" s="19"/>
      <x:c r="X902" s="20"/>
    </x:row>
    <x:row r="903" spans="1:24" ht="14" x14ac:dyDescent="0.25">
      <x:c r="A903" s="19"/>
      <x:c r="B903" s="19"/>
      <x:c r="C903" s="19"/>
      <x:c r="D903" s="19"/>
      <x:c r="X903" s="20"/>
    </x:row>
    <x:row r="904" spans="1:24" ht="14" x14ac:dyDescent="0.25">
      <x:c r="A904" s="19"/>
      <x:c r="B904" s="19"/>
      <x:c r="C904" s="19"/>
      <x:c r="D904" s="19"/>
      <x:c r="X904" s="20"/>
    </x:row>
    <x:row r="905" spans="1:24" ht="14" x14ac:dyDescent="0.25">
      <x:c r="A905" s="19"/>
      <x:c r="B905" s="19"/>
      <x:c r="C905" s="19"/>
      <x:c r="D905" s="19"/>
      <x:c r="X905" s="20"/>
    </x:row>
    <x:row r="906" spans="1:24" ht="14" x14ac:dyDescent="0.25">
      <x:c r="A906" s="19"/>
      <x:c r="B906" s="19"/>
      <x:c r="C906" s="19"/>
      <x:c r="D906" s="19"/>
      <x:c r="X906" s="20"/>
    </x:row>
    <x:row r="907" spans="1:24" ht="14" x14ac:dyDescent="0.25">
      <x:c r="A907" s="19"/>
      <x:c r="B907" s="19"/>
      <x:c r="C907" s="19"/>
      <x:c r="D907" s="19"/>
      <x:c r="X907" s="20"/>
    </x:row>
    <x:row r="908" spans="1:24" ht="14" x14ac:dyDescent="0.25">
      <x:c r="A908" s="19"/>
      <x:c r="B908" s="19"/>
      <x:c r="C908" s="19"/>
      <x:c r="D908" s="19"/>
      <x:c r="X908" s="20"/>
    </x:row>
    <x:row r="909" spans="1:24" ht="14" x14ac:dyDescent="0.25">
      <x:c r="A909" s="19"/>
      <x:c r="B909" s="19"/>
      <x:c r="C909" s="19"/>
      <x:c r="D909" s="19"/>
      <x:c r="X909" s="20"/>
    </x:row>
    <x:row r="910" spans="1:24" ht="14" x14ac:dyDescent="0.25">
      <x:c r="A910" s="19"/>
      <x:c r="B910" s="19"/>
      <x:c r="C910" s="19"/>
      <x:c r="D910" s="19"/>
      <x:c r="X910" s="20"/>
    </x:row>
    <x:row r="911" spans="1:24" ht="14" x14ac:dyDescent="0.25">
      <x:c r="A911" s="19"/>
      <x:c r="B911" s="19"/>
      <x:c r="C911" s="19"/>
      <x:c r="D911" s="19"/>
      <x:c r="X911" s="20"/>
    </x:row>
    <x:row r="912" spans="1:24" ht="14" x14ac:dyDescent="0.25">
      <x:c r="A912" s="19"/>
      <x:c r="B912" s="19"/>
      <x:c r="C912" s="19"/>
      <x:c r="D912" s="19"/>
      <x:c r="X912" s="20"/>
    </x:row>
    <x:row r="913" spans="1:24" ht="14" x14ac:dyDescent="0.25">
      <x:c r="A913" s="19"/>
      <x:c r="B913" s="19"/>
      <x:c r="C913" s="19"/>
      <x:c r="D913" s="19"/>
      <x:c r="X913" s="20"/>
    </x:row>
    <x:row r="914" spans="1:24" ht="14" x14ac:dyDescent="0.25">
      <x:c r="A914" s="19"/>
      <x:c r="B914" s="19"/>
      <x:c r="C914" s="19"/>
      <x:c r="D914" s="19"/>
      <x:c r="X914" s="20"/>
    </x:row>
    <x:row r="915" spans="1:24" ht="14" x14ac:dyDescent="0.25">
      <x:c r="A915" s="19"/>
      <x:c r="B915" s="19"/>
      <x:c r="C915" s="19"/>
      <x:c r="D915" s="19"/>
      <x:c r="X915" s="20"/>
    </x:row>
    <x:row r="916" spans="1:24" ht="14" x14ac:dyDescent="0.25">
      <x:c r="A916" s="19"/>
      <x:c r="B916" s="19"/>
      <x:c r="C916" s="19"/>
      <x:c r="D916" s="19"/>
      <x:c r="X916" s="20"/>
    </x:row>
    <x:row r="917" spans="1:24" ht="14" x14ac:dyDescent="0.25">
      <x:c r="A917" s="19"/>
      <x:c r="B917" s="19"/>
      <x:c r="C917" s="19"/>
      <x:c r="D917" s="19"/>
      <x:c r="X917" s="20"/>
    </x:row>
    <x:row r="918" spans="1:24" ht="14" x14ac:dyDescent="0.25">
      <x:c r="A918" s="19"/>
      <x:c r="B918" s="19"/>
      <x:c r="C918" s="19"/>
      <x:c r="D918" s="19"/>
      <x:c r="X918" s="20"/>
    </x:row>
    <x:row r="919" spans="1:24" ht="14" x14ac:dyDescent="0.25">
      <x:c r="A919" s="19"/>
      <x:c r="B919" s="19"/>
      <x:c r="C919" s="19"/>
      <x:c r="D919" s="19"/>
      <x:c r="X919" s="20"/>
    </x:row>
    <x:row r="920" spans="1:24" ht="14" x14ac:dyDescent="0.25">
      <x:c r="A920" s="19"/>
      <x:c r="B920" s="19"/>
      <x:c r="C920" s="19"/>
      <x:c r="D920" s="19"/>
      <x:c r="X920" s="20"/>
    </x:row>
    <x:row r="921" spans="1:24" ht="14" x14ac:dyDescent="0.25">
      <x:c r="A921" s="19"/>
      <x:c r="B921" s="19"/>
      <x:c r="C921" s="19"/>
      <x:c r="D921" s="19"/>
      <x:c r="X921" s="20"/>
    </x:row>
    <x:row r="922" spans="1:24" ht="14" x14ac:dyDescent="0.25">
      <x:c r="A922" s="19"/>
      <x:c r="B922" s="19"/>
      <x:c r="C922" s="19"/>
      <x:c r="D922" s="19"/>
      <x:c r="X922" s="20"/>
    </x:row>
    <x:row r="923" spans="1:24" ht="14" x14ac:dyDescent="0.25">
      <x:c r="A923" s="19"/>
      <x:c r="B923" s="19"/>
      <x:c r="C923" s="19"/>
      <x:c r="D923" s="19"/>
      <x:c r="X923" s="20"/>
    </x:row>
    <x:row r="924" spans="1:24" ht="14" x14ac:dyDescent="0.25">
      <x:c r="A924" s="19"/>
      <x:c r="B924" s="19"/>
      <x:c r="C924" s="19"/>
      <x:c r="D924" s="19"/>
      <x:c r="X924" s="20"/>
    </x:row>
    <x:row r="925" spans="1:24" ht="14" x14ac:dyDescent="0.25">
      <x:c r="A925" s="19"/>
      <x:c r="B925" s="19"/>
      <x:c r="C925" s="19"/>
      <x:c r="D925" s="19"/>
      <x:c r="X925" s="20"/>
    </x:row>
    <x:row r="926" spans="1:24" ht="14" x14ac:dyDescent="0.25">
      <x:c r="A926" s="19"/>
      <x:c r="B926" s="19"/>
      <x:c r="C926" s="19"/>
      <x:c r="D926" s="19"/>
      <x:c r="X926" s="20"/>
    </x:row>
    <x:row r="927" spans="1:24" ht="14" x14ac:dyDescent="0.25">
      <x:c r="A927" s="19"/>
      <x:c r="B927" s="19"/>
      <x:c r="C927" s="19"/>
      <x:c r="D927" s="19"/>
      <x:c r="X927" s="20"/>
    </x:row>
    <x:row r="928" spans="1:24" ht="14" x14ac:dyDescent="0.25">
      <x:c r="A928" s="19"/>
      <x:c r="B928" s="19"/>
      <x:c r="C928" s="19"/>
      <x:c r="D928" s="19"/>
      <x:c r="X928" s="20"/>
    </x:row>
    <x:row r="929" spans="1:24" ht="14" x14ac:dyDescent="0.25">
      <x:c r="A929" s="19"/>
      <x:c r="B929" s="19"/>
      <x:c r="C929" s="19"/>
      <x:c r="D929" s="19"/>
      <x:c r="X929" s="20"/>
    </x:row>
    <x:row r="930" spans="1:24" ht="14" x14ac:dyDescent="0.25">
      <x:c r="A930" s="19"/>
      <x:c r="B930" s="19"/>
      <x:c r="C930" s="19"/>
      <x:c r="D930" s="19"/>
      <x:c r="X930" s="20"/>
    </x:row>
    <x:row r="931" spans="1:24" ht="14" x14ac:dyDescent="0.25">
      <x:c r="A931" s="19"/>
      <x:c r="B931" s="19"/>
      <x:c r="C931" s="19"/>
      <x:c r="D931" s="19"/>
      <x:c r="X931" s="20"/>
    </x:row>
    <x:row r="932" spans="1:24" ht="14" x14ac:dyDescent="0.25">
      <x:c r="A932" s="19"/>
      <x:c r="B932" s="19"/>
      <x:c r="C932" s="19"/>
      <x:c r="D932" s="19"/>
      <x:c r="X932" s="20"/>
    </x:row>
    <x:row r="933" spans="1:24" ht="14" x14ac:dyDescent="0.25">
      <x:c r="A933" s="19"/>
      <x:c r="B933" s="19"/>
      <x:c r="C933" s="19"/>
      <x:c r="D933" s="19"/>
      <x:c r="X933" s="20"/>
    </x:row>
    <x:row r="934" spans="1:24" ht="14" x14ac:dyDescent="0.25">
      <x:c r="A934" s="19"/>
      <x:c r="B934" s="19"/>
      <x:c r="C934" s="19"/>
      <x:c r="D934" s="19"/>
      <x:c r="X934" s="20"/>
    </x:row>
    <x:row r="935" spans="1:24" ht="14" x14ac:dyDescent="0.25">
      <x:c r="A935" s="19"/>
      <x:c r="B935" s="19"/>
      <x:c r="C935" s="19"/>
      <x:c r="D935" s="19"/>
      <x:c r="X935" s="20"/>
    </x:row>
    <x:row r="936" spans="1:24" ht="14" x14ac:dyDescent="0.25">
      <x:c r="A936" s="19"/>
      <x:c r="B936" s="19"/>
      <x:c r="C936" s="19"/>
      <x:c r="D936" s="19"/>
      <x:c r="X936" s="20"/>
    </x:row>
    <x:row r="937" spans="1:24" ht="14" x14ac:dyDescent="0.25">
      <x:c r="A937" s="19"/>
      <x:c r="B937" s="19"/>
      <x:c r="C937" s="19"/>
      <x:c r="D937" s="19"/>
      <x:c r="X937" s="20"/>
    </x:row>
    <x:row r="938" spans="1:24" ht="14" x14ac:dyDescent="0.25">
      <x:c r="A938" s="19"/>
      <x:c r="B938" s="19"/>
      <x:c r="C938" s="19"/>
      <x:c r="D938" s="19"/>
      <x:c r="X938" s="20"/>
    </x:row>
    <x:row r="939" spans="1:24" ht="14" x14ac:dyDescent="0.25">
      <x:c r="A939" s="19"/>
      <x:c r="B939" s="19"/>
      <x:c r="C939" s="19"/>
      <x:c r="D939" s="19"/>
      <x:c r="X939" s="20"/>
    </x:row>
    <x:row r="940" spans="1:24" ht="14" x14ac:dyDescent="0.25">
      <x:c r="A940" s="19"/>
      <x:c r="B940" s="19"/>
      <x:c r="C940" s="19"/>
      <x:c r="D940" s="19"/>
      <x:c r="X940" s="20"/>
    </x:row>
    <x:row r="941" spans="1:24" ht="14" x14ac:dyDescent="0.25">
      <x:c r="A941" s="19"/>
      <x:c r="B941" s="19"/>
      <x:c r="C941" s="19"/>
      <x:c r="D941" s="19"/>
      <x:c r="X941" s="20"/>
    </x:row>
    <x:row r="942" spans="1:24" ht="14" x14ac:dyDescent="0.25">
      <x:c r="A942" s="19"/>
      <x:c r="B942" s="19"/>
      <x:c r="C942" s="19"/>
      <x:c r="D942" s="19"/>
      <x:c r="X942" s="20"/>
    </x:row>
    <x:row r="943" spans="1:24" ht="14" x14ac:dyDescent="0.25">
      <x:c r="A943" s="19"/>
      <x:c r="B943" s="19"/>
      <x:c r="C943" s="19"/>
      <x:c r="D943" s="19"/>
      <x:c r="X943" s="20"/>
    </x:row>
    <x:row r="944" spans="1:24" ht="14" x14ac:dyDescent="0.25">
      <x:c r="A944" s="19"/>
      <x:c r="B944" s="19"/>
      <x:c r="C944" s="19"/>
      <x:c r="D944" s="19"/>
      <x:c r="X944" s="20"/>
    </x:row>
    <x:row r="945" spans="1:24" ht="14" x14ac:dyDescent="0.25">
      <x:c r="A945" s="19"/>
      <x:c r="B945" s="19"/>
      <x:c r="C945" s="19"/>
      <x:c r="D945" s="19"/>
      <x:c r="X945" s="20"/>
    </x:row>
    <x:row r="946" spans="1:24" ht="14" x14ac:dyDescent="0.25">
      <x:c r="A946" s="19"/>
      <x:c r="B946" s="19"/>
      <x:c r="C946" s="19"/>
      <x:c r="D946" s="19"/>
      <x:c r="X946" s="20"/>
    </x:row>
    <x:row r="947" spans="1:24" ht="14" x14ac:dyDescent="0.25">
      <x:c r="A947" s="19"/>
      <x:c r="B947" s="19"/>
      <x:c r="C947" s="19"/>
      <x:c r="D947" s="19"/>
      <x:c r="X947" s="20"/>
    </x:row>
    <x:row r="948" spans="1:24" ht="14" x14ac:dyDescent="0.25">
      <x:c r="A948" s="19"/>
      <x:c r="B948" s="19"/>
      <x:c r="C948" s="19"/>
      <x:c r="D948" s="19"/>
      <x:c r="X948" s="20"/>
    </x:row>
    <x:row r="949" spans="1:24" ht="14" x14ac:dyDescent="0.25">
      <x:c r="A949" s="19"/>
      <x:c r="B949" s="19"/>
      <x:c r="C949" s="19"/>
      <x:c r="D949" s="19"/>
      <x:c r="X949" s="20"/>
    </x:row>
    <x:row r="950" spans="1:24" ht="14" x14ac:dyDescent="0.25">
      <x:c r="A950" s="19"/>
      <x:c r="B950" s="19"/>
      <x:c r="C950" s="19"/>
      <x:c r="D950" s="19"/>
      <x:c r="X950" s="20"/>
    </x:row>
    <x:row r="951" spans="1:24" ht="14" x14ac:dyDescent="0.25">
      <x:c r="A951" s="19"/>
      <x:c r="B951" s="19"/>
      <x:c r="C951" s="19"/>
      <x:c r="D951" s="19"/>
      <x:c r="X951" s="20"/>
    </x:row>
    <x:row r="952" spans="1:24" ht="14" x14ac:dyDescent="0.25">
      <x:c r="A952" s="19"/>
      <x:c r="B952" s="19"/>
      <x:c r="C952" s="19"/>
      <x:c r="D952" s="19"/>
      <x:c r="X952" s="20"/>
    </x:row>
    <x:row r="953" spans="1:24" ht="14" x14ac:dyDescent="0.25">
      <x:c r="A953" s="19"/>
      <x:c r="B953" s="19"/>
      <x:c r="C953" s="19"/>
      <x:c r="D953" s="19"/>
      <x:c r="X953" s="20"/>
    </x:row>
    <x:row r="954" spans="1:24" ht="14" x14ac:dyDescent="0.25">
      <x:c r="A954" s="19"/>
      <x:c r="B954" s="19"/>
      <x:c r="C954" s="19"/>
      <x:c r="D954" s="19"/>
      <x:c r="X954" s="20"/>
    </x:row>
    <x:row r="955" spans="1:24" ht="14" x14ac:dyDescent="0.25">
      <x:c r="A955" s="19"/>
      <x:c r="B955" s="19"/>
      <x:c r="C955" s="19"/>
      <x:c r="D955" s="19"/>
      <x:c r="X955" s="20"/>
    </x:row>
    <x:row r="956" spans="1:24" ht="14" x14ac:dyDescent="0.25">
      <x:c r="A956" s="19"/>
      <x:c r="B956" s="19"/>
      <x:c r="C956" s="19"/>
      <x:c r="D956" s="19"/>
      <x:c r="X956" s="20"/>
    </x:row>
    <x:row r="957" spans="1:24" ht="14" x14ac:dyDescent="0.25">
      <x:c r="A957" s="19"/>
      <x:c r="B957" s="19"/>
      <x:c r="C957" s="19"/>
      <x:c r="D957" s="19"/>
      <x:c r="X957" s="20"/>
    </x:row>
    <x:row r="958" spans="1:24" ht="14" x14ac:dyDescent="0.25">
      <x:c r="A958" s="19"/>
      <x:c r="B958" s="19"/>
      <x:c r="C958" s="19"/>
      <x:c r="D958" s="19"/>
      <x:c r="X958" s="20"/>
    </x:row>
    <x:row r="959" spans="1:24" ht="14" x14ac:dyDescent="0.25">
      <x:c r="A959" s="19"/>
      <x:c r="B959" s="19"/>
      <x:c r="C959" s="19"/>
      <x:c r="D959" s="19"/>
      <x:c r="X959" s="20"/>
    </x:row>
    <x:row r="960" spans="1:24" ht="14" x14ac:dyDescent="0.25">
      <x:c r="A960" s="19"/>
      <x:c r="B960" s="19"/>
      <x:c r="C960" s="19"/>
      <x:c r="D960" s="19"/>
      <x:c r="X960" s="20"/>
    </x:row>
    <x:row r="961" spans="1:24" ht="14" x14ac:dyDescent="0.25">
      <x:c r="A961" s="19"/>
      <x:c r="B961" s="19"/>
      <x:c r="C961" s="19"/>
      <x:c r="D961" s="19"/>
      <x:c r="X961" s="20"/>
    </x:row>
    <x:row r="962" spans="1:24" ht="14" x14ac:dyDescent="0.25">
      <x:c r="A962" s="19"/>
      <x:c r="B962" s="19"/>
      <x:c r="C962" s="19"/>
      <x:c r="D962" s="19"/>
      <x:c r="X962" s="20"/>
    </x:row>
    <x:row r="963" spans="1:24" ht="14" x14ac:dyDescent="0.25">
      <x:c r="A963" s="19"/>
      <x:c r="B963" s="19"/>
      <x:c r="C963" s="19"/>
      <x:c r="D963" s="19"/>
      <x:c r="X963" s="20"/>
    </x:row>
    <x:row r="964" spans="1:24" ht="14" x14ac:dyDescent="0.25">
      <x:c r="A964" s="19"/>
      <x:c r="B964" s="19"/>
      <x:c r="C964" s="19"/>
      <x:c r="D964" s="19"/>
      <x:c r="X964" s="20"/>
    </x:row>
    <x:row r="965" spans="1:24" ht="14" x14ac:dyDescent="0.25">
      <x:c r="A965" s="19"/>
      <x:c r="B965" s="19"/>
      <x:c r="C965" s="19"/>
      <x:c r="D965" s="19"/>
      <x:c r="X965" s="20"/>
    </x:row>
    <x:row r="966" spans="1:24" ht="14" x14ac:dyDescent="0.25">
      <x:c r="A966" s="19"/>
      <x:c r="B966" s="19"/>
      <x:c r="C966" s="19"/>
      <x:c r="D966" s="19"/>
      <x:c r="X966" s="20"/>
    </x:row>
    <x:row r="967" spans="1:24" ht="14" x14ac:dyDescent="0.25">
      <x:c r="A967" s="19"/>
      <x:c r="B967" s="19"/>
      <x:c r="C967" s="19"/>
      <x:c r="D967" s="19"/>
      <x:c r="X967" s="20"/>
    </x:row>
    <x:row r="968" spans="1:24" ht="14" x14ac:dyDescent="0.25">
      <x:c r="A968" s="19"/>
      <x:c r="B968" s="19"/>
      <x:c r="C968" s="19"/>
      <x:c r="D968" s="19"/>
      <x:c r="X968" s="20"/>
    </x:row>
    <x:row r="969" spans="1:24" ht="14" x14ac:dyDescent="0.25">
      <x:c r="A969" s="19"/>
      <x:c r="B969" s="19"/>
      <x:c r="C969" s="19"/>
      <x:c r="D969" s="19"/>
      <x:c r="X969" s="20"/>
    </x:row>
    <x:row r="970" spans="1:24" ht="14" x14ac:dyDescent="0.25">
      <x:c r="A970" s="19"/>
      <x:c r="B970" s="19"/>
      <x:c r="C970" s="19"/>
      <x:c r="D970" s="19"/>
      <x:c r="X970" s="20"/>
    </x:row>
    <x:row r="971" spans="1:24" ht="14" x14ac:dyDescent="0.25">
      <x:c r="A971" s="19"/>
      <x:c r="B971" s="19"/>
      <x:c r="C971" s="19"/>
      <x:c r="D971" s="19"/>
      <x:c r="X971" s="20"/>
    </x:row>
    <x:row r="972" spans="1:24" ht="14" x14ac:dyDescent="0.25">
      <x:c r="A972" s="19"/>
      <x:c r="B972" s="19"/>
      <x:c r="C972" s="19"/>
      <x:c r="D972" s="19"/>
      <x:c r="X972" s="20"/>
    </x:row>
    <x:row r="973" spans="1:24" ht="14" x14ac:dyDescent="0.25">
      <x:c r="A973" s="19"/>
      <x:c r="B973" s="19"/>
      <x:c r="C973" s="19"/>
      <x:c r="D973" s="19"/>
      <x:c r="X973" s="20"/>
    </x:row>
    <x:row r="974" spans="1:24" ht="14" x14ac:dyDescent="0.25">
      <x:c r="A974" s="19"/>
      <x:c r="B974" s="19"/>
      <x:c r="C974" s="19"/>
      <x:c r="D974" s="19"/>
      <x:c r="X974" s="20"/>
    </x:row>
    <x:row r="975" spans="1:24" ht="14" x14ac:dyDescent="0.25">
      <x:c r="A975" s="19"/>
      <x:c r="B975" s="19"/>
      <x:c r="C975" s="19"/>
      <x:c r="D975" s="19"/>
      <x:c r="X975" s="20"/>
    </x:row>
    <x:row r="976" spans="1:24" ht="14" x14ac:dyDescent="0.25">
      <x:c r="A976" s="19"/>
      <x:c r="B976" s="19"/>
      <x:c r="C976" s="19"/>
      <x:c r="D976" s="19"/>
      <x:c r="X976" s="20"/>
    </x:row>
    <x:row r="977" spans="1:24" ht="14" x14ac:dyDescent="0.25">
      <x:c r="A977" s="19"/>
      <x:c r="B977" s="19"/>
      <x:c r="C977" s="19"/>
      <x:c r="D977" s="19"/>
      <x:c r="X977" s="20"/>
    </x:row>
    <x:row r="978" spans="1:24" ht="14" x14ac:dyDescent="0.25">
      <x:c r="A978" s="19"/>
      <x:c r="B978" s="19"/>
      <x:c r="C978" s="19"/>
      <x:c r="D978" s="19"/>
      <x:c r="X978" s="20"/>
    </x:row>
    <x:row r="979" spans="1:24" ht="14" x14ac:dyDescent="0.25">
      <x:c r="A979" s="19"/>
      <x:c r="B979" s="19"/>
      <x:c r="C979" s="19"/>
      <x:c r="D979" s="19"/>
      <x:c r="X979" s="20"/>
    </x:row>
    <x:row r="980" spans="1:24" ht="14" x14ac:dyDescent="0.25">
      <x:c r="A980" s="19"/>
      <x:c r="B980" s="19"/>
      <x:c r="C980" s="19"/>
      <x:c r="D980" s="19"/>
      <x:c r="X980" s="20"/>
    </x:row>
    <x:row r="981" spans="1:24" ht="14" x14ac:dyDescent="0.25">
      <x:c r="A981" s="19"/>
      <x:c r="B981" s="19"/>
      <x:c r="C981" s="19"/>
      <x:c r="D981" s="19"/>
      <x:c r="X981" s="20"/>
    </x:row>
    <x:row r="982" spans="1:24" ht="14" x14ac:dyDescent="0.25">
      <x:c r="A982" s="19"/>
      <x:c r="B982" s="19"/>
      <x:c r="C982" s="19"/>
      <x:c r="D982" s="19"/>
      <x:c r="X982" s="20"/>
    </x:row>
    <x:row r="983" spans="1:24" ht="14" x14ac:dyDescent="0.25">
      <x:c r="A983" s="19"/>
      <x:c r="B983" s="19"/>
      <x:c r="C983" s="19"/>
      <x:c r="D983" s="19"/>
      <x:c r="X983" s="20"/>
    </x:row>
    <x:row r="984" spans="1:24" ht="14" x14ac:dyDescent="0.25">
      <x:c r="A984" s="19"/>
      <x:c r="B984" s="19"/>
      <x:c r="C984" s="19"/>
      <x:c r="D984" s="19"/>
      <x:c r="X984" s="20"/>
    </x:row>
    <x:row r="985" spans="1:24" ht="14" x14ac:dyDescent="0.25">
      <x:c r="A985" s="19"/>
      <x:c r="B985" s="19"/>
      <x:c r="C985" s="19"/>
      <x:c r="D985" s="19"/>
      <x:c r="X985" s="20"/>
    </x:row>
    <x:row r="986" spans="1:24" ht="14" x14ac:dyDescent="0.25">
      <x:c r="A986" s="19"/>
      <x:c r="B986" s="19"/>
      <x:c r="C986" s="19"/>
      <x:c r="D986" s="19"/>
      <x:c r="X986" s="20"/>
    </x:row>
    <x:row r="987" spans="1:24" ht="14" x14ac:dyDescent="0.25">
      <x:c r="A987" s="19"/>
      <x:c r="B987" s="19"/>
      <x:c r="C987" s="19"/>
      <x:c r="D987" s="19"/>
      <x:c r="X987" s="20"/>
    </x:row>
    <x:row r="988" spans="1:24" ht="14" x14ac:dyDescent="0.25">
      <x:c r="A988" s="19"/>
      <x:c r="B988" s="19"/>
      <x:c r="C988" s="19"/>
      <x:c r="D988" s="19"/>
      <x:c r="X988" s="20"/>
    </x:row>
    <x:row r="989" spans="1:24" ht="14" x14ac:dyDescent="0.25">
      <x:c r="A989" s="19"/>
      <x:c r="B989" s="19"/>
      <x:c r="C989" s="19"/>
      <x:c r="D989" s="19"/>
      <x:c r="X989" s="20"/>
    </x:row>
    <x:row r="990" spans="1:24" ht="14" x14ac:dyDescent="0.25">
      <x:c r="A990" s="19"/>
      <x:c r="B990" s="19"/>
      <x:c r="C990" s="19"/>
      <x:c r="D990" s="19"/>
      <x:c r="X990" s="20"/>
    </x:row>
    <x:row r="991" spans="1:24" ht="14" x14ac:dyDescent="0.25">
      <x:c r="A991" s="19"/>
      <x:c r="B991" s="19"/>
      <x:c r="C991" s="19"/>
      <x:c r="D991" s="19"/>
      <x:c r="X991" s="20"/>
    </x:row>
    <x:row r="992" spans="1:24" ht="14" x14ac:dyDescent="0.25">
      <x:c r="A992" s="19"/>
      <x:c r="B992" s="19"/>
      <x:c r="C992" s="19"/>
      <x:c r="D992" s="19"/>
      <x:c r="X992" s="20"/>
    </x:row>
    <x:row r="993" spans="1:24" ht="14" x14ac:dyDescent="0.25">
      <x:c r="A993" s="19"/>
      <x:c r="B993" s="19"/>
      <x:c r="C993" s="19"/>
      <x:c r="D993" s="19"/>
      <x:c r="X993" s="20"/>
    </x:row>
    <x:row r="994" spans="1:24" ht="14" x14ac:dyDescent="0.25">
      <x:c r="A994" s="19"/>
      <x:c r="B994" s="19"/>
      <x:c r="C994" s="19"/>
      <x:c r="D994" s="19"/>
      <x:c r="X994" s="20"/>
    </x:row>
    <x:row r="995" spans="1:24" ht="14" x14ac:dyDescent="0.25">
      <x:c r="A995" s="19"/>
      <x:c r="B995" s="19"/>
      <x:c r="C995" s="19"/>
      <x:c r="D995" s="19"/>
      <x:c r="X995" s="20"/>
    </x:row>
    <x:row r="996" spans="1:24" ht="14" x14ac:dyDescent="0.25">
      <x:c r="A996" s="19"/>
      <x:c r="B996" s="19"/>
      <x:c r="C996" s="19"/>
      <x:c r="D996" s="19"/>
      <x:c r="X996" s="20"/>
    </x:row>
    <x:row r="997" spans="1:24" ht="14" x14ac:dyDescent="0.25">
      <x:c r="A997" s="19"/>
      <x:c r="B997" s="19"/>
      <x:c r="C997" s="19"/>
      <x:c r="D997" s="19"/>
      <x:c r="X997" s="20"/>
    </x:row>
    <x:row r="998" spans="1:24" ht="14" x14ac:dyDescent="0.25">
      <x:c r="A998" s="19"/>
      <x:c r="B998" s="19"/>
      <x:c r="C998" s="19"/>
      <x:c r="D998" s="19"/>
      <x:c r="X998" s="20"/>
    </x:row>
    <x:row r="999" spans="1:24" ht="14" x14ac:dyDescent="0.25">
      <x:c r="A999" s="19"/>
      <x:c r="B999" s="19"/>
      <x:c r="C999" s="19"/>
      <x:c r="D999" s="19"/>
      <x:c r="X999" s="20"/>
    </x:row>
    <x:row r="1000" spans="1:24" ht="14" x14ac:dyDescent="0.25">
      <x:c r="A1000" s="19"/>
      <x:c r="B1000" s="19"/>
      <x:c r="C1000" s="19"/>
      <x:c r="D1000" s="19"/>
      <x:c r="X1000" s="20"/>
    </x:row>
    <x:row r="1001" spans="1:24" ht="14" x14ac:dyDescent="0.25">
      <x:c r="A1001" s="19"/>
      <x:c r="B1001" s="19"/>
      <x:c r="C1001" s="19"/>
      <x:c r="D1001" s="19"/>
      <x:c r="X1001" s="20"/>
    </x:row>
    <x:row r="1002" spans="1:24" ht="14" x14ac:dyDescent="0.25">
      <x:c r="A1002" s="19"/>
      <x:c r="B1002" s="19"/>
      <x:c r="C1002" s="19"/>
      <x:c r="D1002" s="19"/>
      <x:c r="X1002" s="20"/>
    </x:row>
    <x:row r="1003" spans="1:24" ht="14" x14ac:dyDescent="0.25">
      <x:c r="A1003" s="19"/>
      <x:c r="B1003" s="19"/>
      <x:c r="C1003" s="19"/>
      <x:c r="D1003" s="19"/>
      <x:c r="X1003" s="20"/>
    </x:row>
    <x:row r="1004" spans="1:24" ht="14" x14ac:dyDescent="0.25">
      <x:c r="A1004" s="19"/>
      <x:c r="B1004" s="19"/>
      <x:c r="C1004" s="19"/>
      <x:c r="D1004" s="19"/>
      <x:c r="X1004" s="20"/>
    </x:row>
    <x:row r="1005" spans="1:24" ht="14" x14ac:dyDescent="0.25">
      <x:c r="A1005" s="19"/>
      <x:c r="B1005" s="19"/>
      <x:c r="C1005" s="19"/>
      <x:c r="D1005" s="19"/>
      <x:c r="X1005" s="20"/>
    </x:row>
    <x:row r="1006" spans="1:24" ht="14" x14ac:dyDescent="0.25">
      <x:c r="A1006" s="19"/>
      <x:c r="B1006" s="19"/>
      <x:c r="C1006" s="19"/>
      <x:c r="D1006" s="19"/>
      <x:c r="X1006" s="20"/>
    </x:row>
    <x:row r="1007" spans="1:24" ht="14" x14ac:dyDescent="0.25">
      <x:c r="A1007" s="19"/>
      <x:c r="B1007" s="19"/>
      <x:c r="C1007" s="19"/>
      <x:c r="D1007" s="19"/>
      <x:c r="X1007" s="20"/>
    </x:row>
    <x:row r="1008" spans="1:24" ht="14" x14ac:dyDescent="0.25">
      <x:c r="A1008" s="19"/>
      <x:c r="B1008" s="19"/>
      <x:c r="C1008" s="19"/>
      <x:c r="D1008" s="19"/>
      <x:c r="X1008" s="20"/>
    </x:row>
    <x:row r="1009" spans="1:24" ht="14" x14ac:dyDescent="0.25">
      <x:c r="A1009" s="19"/>
      <x:c r="B1009" s="19"/>
      <x:c r="C1009" s="19"/>
      <x:c r="D1009" s="19"/>
      <x:c r="X1009" s="20"/>
    </x:row>
    <x:row r="1010" spans="1:24" ht="14" x14ac:dyDescent="0.25">
      <x:c r="A1010" s="19"/>
      <x:c r="B1010" s="19"/>
      <x:c r="C1010" s="19"/>
      <x:c r="D1010" s="19"/>
      <x:c r="X1010" s="20"/>
    </x:row>
    <x:row r="1011" spans="1:24" ht="14" x14ac:dyDescent="0.25">
      <x:c r="A1011" s="19"/>
      <x:c r="B1011" s="19"/>
      <x:c r="C1011" s="19"/>
      <x:c r="D1011" s="19"/>
      <x:c r="X1011" s="20"/>
    </x:row>
    <x:row r="1012" spans="1:24" ht="14" x14ac:dyDescent="0.25">
      <x:c r="A1012" s="19"/>
      <x:c r="B1012" s="19"/>
      <x:c r="C1012" s="19"/>
      <x:c r="D1012" s="19"/>
      <x:c r="X1012" s="20"/>
    </x:row>
    <x:row r="1013" spans="1:24" ht="14" x14ac:dyDescent="0.25">
      <x:c r="A1013" s="19"/>
      <x:c r="B1013" s="19"/>
      <x:c r="C1013" s="19"/>
      <x:c r="D1013" s="19"/>
      <x:c r="X1013" s="20"/>
    </x:row>
    <x:row r="1014" spans="1:24" ht="14" x14ac:dyDescent="0.25">
      <x:c r="A1014" s="19"/>
      <x:c r="B1014" s="19"/>
      <x:c r="C1014" s="19"/>
      <x:c r="D1014" s="19"/>
      <x:c r="X1014" s="20"/>
    </x:row>
    <x:row r="1015" spans="1:24" ht="14" x14ac:dyDescent="0.25">
      <x:c r="A1015" s="19"/>
      <x:c r="B1015" s="19"/>
      <x:c r="C1015" s="19"/>
      <x:c r="D1015" s="19"/>
      <x:c r="X1015" s="20"/>
    </x:row>
    <x:row r="1016" spans="1:24" ht="14" x14ac:dyDescent="0.25">
      <x:c r="A1016" s="19"/>
      <x:c r="B1016" s="19"/>
      <x:c r="C1016" s="19"/>
      <x:c r="D1016" s="19"/>
      <x:c r="X1016" s="20"/>
    </x:row>
    <x:row r="1017" spans="1:24" ht="14" x14ac:dyDescent="0.25">
      <x:c r="A1017" s="19"/>
      <x:c r="B1017" s="19"/>
      <x:c r="C1017" s="19"/>
      <x:c r="D1017" s="19"/>
      <x:c r="X1017" s="20"/>
    </x:row>
    <x:row r="1018" spans="1:24" ht="14" x14ac:dyDescent="0.25">
      <x:c r="A1018" s="19"/>
      <x:c r="B1018" s="19"/>
      <x:c r="C1018" s="19"/>
      <x:c r="D1018" s="19"/>
      <x:c r="X1018" s="20"/>
    </x:row>
    <x:row r="1019" spans="1:24" ht="14" x14ac:dyDescent="0.25">
      <x:c r="A1019" s="19"/>
      <x:c r="B1019" s="19"/>
      <x:c r="C1019" s="19"/>
      <x:c r="D1019" s="19"/>
      <x:c r="X1019" s="20"/>
    </x:row>
    <x:row r="1020" spans="1:24" ht="14" x14ac:dyDescent="0.25">
      <x:c r="A1020" s="19"/>
      <x:c r="B1020" s="19"/>
      <x:c r="C1020" s="19"/>
      <x:c r="D1020" s="19"/>
      <x:c r="X1020" s="20"/>
    </x:row>
    <x:row r="1021" spans="1:24" ht="14" x14ac:dyDescent="0.25">
      <x:c r="A1021" s="19"/>
      <x:c r="B1021" s="19"/>
      <x:c r="C1021" s="19"/>
      <x:c r="D1021" s="19"/>
      <x:c r="X1021" s="20"/>
    </x:row>
    <x:row r="1022" spans="1:24" ht="14" x14ac:dyDescent="0.25">
      <x:c r="A1022" s="19"/>
      <x:c r="B1022" s="19"/>
      <x:c r="C1022" s="19"/>
      <x:c r="D1022" s="19"/>
      <x:c r="X1022" s="20"/>
    </x:row>
    <x:row r="1023" spans="1:24" ht="14" x14ac:dyDescent="0.25">
      <x:c r="A1023" s="19"/>
      <x:c r="B1023" s="19"/>
      <x:c r="C1023" s="19"/>
      <x:c r="D1023" s="19"/>
      <x:c r="X1023" s="20"/>
    </x:row>
    <x:row r="1024" spans="1:24" ht="14" x14ac:dyDescent="0.25">
      <x:c r="A1024" s="19"/>
      <x:c r="B1024" s="19"/>
      <x:c r="C1024" s="19"/>
      <x:c r="D1024" s="19"/>
      <x:c r="X1024" s="20"/>
    </x:row>
    <x:row r="1025" spans="1:24" ht="14" x14ac:dyDescent="0.25">
      <x:c r="A1025" s="19"/>
      <x:c r="B1025" s="19"/>
      <x:c r="C1025" s="19"/>
      <x:c r="D1025" s="19"/>
      <x:c r="X1025" s="20"/>
    </x:row>
    <x:row r="1026" spans="1:24" ht="14" x14ac:dyDescent="0.25">
      <x:c r="A1026" s="19"/>
      <x:c r="B1026" s="19"/>
      <x:c r="C1026" s="19"/>
      <x:c r="D1026" s="19"/>
      <x:c r="X1026" s="20"/>
    </x:row>
    <x:row r="1027" spans="1:24" ht="14" x14ac:dyDescent="0.25">
      <x:c r="A1027" s="19"/>
      <x:c r="B1027" s="19"/>
      <x:c r="C1027" s="19"/>
      <x:c r="D1027" s="19"/>
      <x:c r="X1027" s="20"/>
    </x:row>
    <x:row r="1028" spans="1:24" ht="14" x14ac:dyDescent="0.25">
      <x:c r="A1028" s="19"/>
      <x:c r="B1028" s="19"/>
      <x:c r="C1028" s="19"/>
      <x:c r="D1028" s="19"/>
      <x:c r="X1028" s="20"/>
    </x:row>
    <x:row r="1029" spans="1:24" ht="14" x14ac:dyDescent="0.25">
      <x:c r="A1029" s="19"/>
      <x:c r="B1029" s="19"/>
      <x:c r="C1029" s="19"/>
      <x:c r="D1029" s="19"/>
      <x:c r="X1029" s="20"/>
    </x:row>
    <x:row r="1030" spans="1:24" ht="14" x14ac:dyDescent="0.25">
      <x:c r="A1030" s="19"/>
      <x:c r="B1030" s="19"/>
      <x:c r="C1030" s="19"/>
      <x:c r="D1030" s="19"/>
      <x:c r="X1030" s="20"/>
    </x:row>
    <x:row r="1031" spans="1:24" ht="14" x14ac:dyDescent="0.25">
      <x:c r="A1031" s="19"/>
      <x:c r="B1031" s="19"/>
      <x:c r="C1031" s="19"/>
      <x:c r="D1031" s="19"/>
      <x:c r="X1031" s="20"/>
    </x:row>
    <x:row r="1032" spans="1:24" ht="14" x14ac:dyDescent="0.25">
      <x:c r="A1032" s="19"/>
      <x:c r="B1032" s="19"/>
      <x:c r="C1032" s="19"/>
      <x:c r="D1032" s="19"/>
      <x:c r="X1032" s="20"/>
    </x:row>
    <x:row r="1033" spans="1:24" ht="14" x14ac:dyDescent="0.25">
      <x:c r="A1033" s="19"/>
      <x:c r="B1033" s="19"/>
      <x:c r="C1033" s="19"/>
      <x:c r="D1033" s="19"/>
      <x:c r="X1033" s="20"/>
    </x:row>
    <x:row r="1034" spans="1:24" ht="14" x14ac:dyDescent="0.25">
      <x:c r="A1034" s="19"/>
      <x:c r="B1034" s="19"/>
      <x:c r="C1034" s="19"/>
      <x:c r="D1034" s="19"/>
      <x:c r="X1034" s="20"/>
    </x:row>
    <x:row r="1035" spans="1:24" ht="14" x14ac:dyDescent="0.25">
      <x:c r="A1035" s="19"/>
      <x:c r="B1035" s="19"/>
      <x:c r="C1035" s="19"/>
      <x:c r="D1035" s="19"/>
      <x:c r="X1035" s="20"/>
    </x:row>
    <x:row r="1036" spans="1:24" ht="14" x14ac:dyDescent="0.25">
      <x:c r="A1036" s="19"/>
      <x:c r="B1036" s="19"/>
      <x:c r="C1036" s="19"/>
      <x:c r="D1036" s="19"/>
      <x:c r="X1036" s="20"/>
    </x:row>
    <x:row r="1037" spans="1:24" ht="14" x14ac:dyDescent="0.25">
      <x:c r="A1037" s="19"/>
      <x:c r="B1037" s="19"/>
      <x:c r="C1037" s="19"/>
      <x:c r="D1037" s="19"/>
      <x:c r="X1037" s="20"/>
    </x:row>
    <x:row r="1038" spans="1:24" ht="14" x14ac:dyDescent="0.25">
      <x:c r="A1038" s="19"/>
      <x:c r="B1038" s="19"/>
      <x:c r="C1038" s="19"/>
      <x:c r="D1038" s="19"/>
      <x:c r="X1038" s="20"/>
    </x:row>
    <x:row r="1039" spans="1:24" ht="14" x14ac:dyDescent="0.25">
      <x:c r="A1039" s="19"/>
      <x:c r="B1039" s="19"/>
      <x:c r="C1039" s="19"/>
      <x:c r="D1039" s="19"/>
      <x:c r="X1039" s="20"/>
    </x:row>
    <x:row r="1040" spans="1:24" ht="14" x14ac:dyDescent="0.25">
      <x:c r="A1040" s="19"/>
      <x:c r="B1040" s="19"/>
      <x:c r="C1040" s="19"/>
      <x:c r="D1040" s="19"/>
      <x:c r="X1040" s="20"/>
    </x:row>
    <x:row r="1041" spans="1:24" ht="14" x14ac:dyDescent="0.25">
      <x:c r="A1041" s="19"/>
      <x:c r="B1041" s="19"/>
      <x:c r="C1041" s="19"/>
      <x:c r="D1041" s="19"/>
      <x:c r="X1041" s="20"/>
    </x:row>
    <x:row r="1042" spans="1:24" ht="14" x14ac:dyDescent="0.25">
      <x:c r="A1042" s="19"/>
      <x:c r="B1042" s="19"/>
      <x:c r="C1042" s="19"/>
      <x:c r="D1042" s="19"/>
      <x:c r="X1042" s="20"/>
    </x:row>
    <x:row r="1043" spans="1:24" ht="14" x14ac:dyDescent="0.25">
      <x:c r="A1043" s="19"/>
      <x:c r="B1043" s="19"/>
      <x:c r="C1043" s="19"/>
      <x:c r="D1043" s="19"/>
      <x:c r="X1043" s="20"/>
    </x:row>
    <x:row r="1044" spans="1:24" ht="14" x14ac:dyDescent="0.25">
      <x:c r="A1044" s="19"/>
      <x:c r="B1044" s="19"/>
      <x:c r="C1044" s="19"/>
      <x:c r="D1044" s="19"/>
      <x:c r="X1044" s="20"/>
    </x:row>
    <x:row r="1045" spans="1:24" ht="14" x14ac:dyDescent="0.25">
      <x:c r="A1045" s="19"/>
      <x:c r="B1045" s="19"/>
      <x:c r="C1045" s="19"/>
      <x:c r="D1045" s="19"/>
      <x:c r="X1045" s="20"/>
    </x:row>
    <x:row r="1046" spans="1:24" ht="14" x14ac:dyDescent="0.25">
      <x:c r="A1046" s="19"/>
      <x:c r="B1046" s="19"/>
      <x:c r="C1046" s="19"/>
      <x:c r="D1046" s="19"/>
      <x:c r="X1046" s="20"/>
    </x:row>
    <x:row r="1047" spans="1:24" ht="14" x14ac:dyDescent="0.25">
      <x:c r="A1047" s="19"/>
      <x:c r="B1047" s="19"/>
      <x:c r="C1047" s="19"/>
      <x:c r="D1047" s="19"/>
      <x:c r="X1047" s="20"/>
    </x:row>
    <x:row r="1048" spans="1:24" ht="14" x14ac:dyDescent="0.25">
      <x:c r="A1048" s="19"/>
      <x:c r="B1048" s="19"/>
      <x:c r="C1048" s="19"/>
      <x:c r="D1048" s="19"/>
      <x:c r="X1048" s="20"/>
    </x:row>
    <x:row r="1049" spans="1:24" ht="14" x14ac:dyDescent="0.25">
      <x:c r="A1049" s="19"/>
      <x:c r="B1049" s="19"/>
      <x:c r="C1049" s="19"/>
      <x:c r="D1049" s="19"/>
      <x:c r="X1049" s="20"/>
    </x:row>
    <x:row r="1050" spans="1:24" ht="14" x14ac:dyDescent="0.25">
      <x:c r="A1050" s="19"/>
      <x:c r="B1050" s="19"/>
      <x:c r="C1050" s="19"/>
      <x:c r="D1050" s="19"/>
      <x:c r="X1050" s="20"/>
    </x:row>
    <x:row r="1051" spans="1:24" ht="14" x14ac:dyDescent="0.25">
      <x:c r="A1051" s="19"/>
      <x:c r="B1051" s="19"/>
      <x:c r="C1051" s="19"/>
      <x:c r="D1051" s="19"/>
      <x:c r="X1051" s="20"/>
    </x:row>
    <x:row r="1052" spans="1:24" ht="14" x14ac:dyDescent="0.25">
      <x:c r="A1052" s="19"/>
      <x:c r="B1052" s="19"/>
      <x:c r="C1052" s="19"/>
      <x:c r="D1052" s="19"/>
      <x:c r="X1052" s="20"/>
    </x:row>
    <x:row r="1053" spans="1:24" ht="14" x14ac:dyDescent="0.25">
      <x:c r="A1053" s="19"/>
      <x:c r="B1053" s="19"/>
      <x:c r="C1053" s="19"/>
      <x:c r="D1053" s="19"/>
      <x:c r="X1053" s="20"/>
    </x:row>
    <x:row r="1054" spans="1:24" ht="14" x14ac:dyDescent="0.25">
      <x:c r="A1054" s="19"/>
      <x:c r="B1054" s="19"/>
      <x:c r="C1054" s="19"/>
      <x:c r="D1054" s="19"/>
      <x:c r="X1054" s="20"/>
    </x:row>
    <x:row r="1055" spans="1:24" ht="14" x14ac:dyDescent="0.25">
      <x:c r="A1055" s="19"/>
      <x:c r="B1055" s="19"/>
      <x:c r="C1055" s="19"/>
      <x:c r="D1055" s="19"/>
      <x:c r="X1055" s="20"/>
    </x:row>
    <x:row r="1056" spans="1:24" ht="14" x14ac:dyDescent="0.25">
      <x:c r="A1056" s="19"/>
      <x:c r="B1056" s="19"/>
      <x:c r="C1056" s="19"/>
      <x:c r="D1056" s="19"/>
      <x:c r="X1056" s="20"/>
    </x:row>
    <x:row r="1057" spans="1:24" ht="14" x14ac:dyDescent="0.25">
      <x:c r="A1057" s="19"/>
      <x:c r="B1057" s="19"/>
      <x:c r="C1057" s="19"/>
      <x:c r="D1057" s="19"/>
      <x:c r="X1057" s="20"/>
    </x:row>
    <x:row r="1058" spans="1:24" ht="14" x14ac:dyDescent="0.25">
      <x:c r="A1058" s="19"/>
      <x:c r="B1058" s="19"/>
      <x:c r="C1058" s="19"/>
      <x:c r="D1058" s="19"/>
      <x:c r="X1058" s="20"/>
    </x:row>
    <x:row r="1059" spans="1:24" ht="14" x14ac:dyDescent="0.25">
      <x:c r="A1059" s="19"/>
      <x:c r="B1059" s="19"/>
      <x:c r="C1059" s="19"/>
      <x:c r="D1059" s="19"/>
      <x:c r="X1059" s="20"/>
    </x:row>
    <x:row r="1060" spans="1:24" ht="14" x14ac:dyDescent="0.25">
      <x:c r="A1060" s="19"/>
      <x:c r="B1060" s="19"/>
      <x:c r="C1060" s="19"/>
      <x:c r="D1060" s="19"/>
      <x:c r="X1060" s="20"/>
    </x:row>
    <x:row r="1061" spans="1:24" ht="14" x14ac:dyDescent="0.25">
      <x:c r="A1061" s="19"/>
      <x:c r="B1061" s="19"/>
      <x:c r="C1061" s="19"/>
      <x:c r="D1061" s="19"/>
      <x:c r="X1061" s="20"/>
    </x:row>
    <x:row r="1062" spans="1:24" ht="14" x14ac:dyDescent="0.25">
      <x:c r="A1062" s="19"/>
      <x:c r="B1062" s="19"/>
      <x:c r="C1062" s="19"/>
      <x:c r="D1062" s="19"/>
      <x:c r="X1062" s="20"/>
    </x:row>
    <x:row r="1063" spans="1:24" ht="14" x14ac:dyDescent="0.25">
      <x:c r="A1063" s="19"/>
      <x:c r="B1063" s="19"/>
      <x:c r="C1063" s="19"/>
      <x:c r="D1063" s="19"/>
      <x:c r="X1063" s="20"/>
    </x:row>
    <x:row r="1064" spans="1:24" ht="14" x14ac:dyDescent="0.25">
      <x:c r="A1064" s="19"/>
      <x:c r="B1064" s="19"/>
      <x:c r="C1064" s="19"/>
      <x:c r="D1064" s="19"/>
      <x:c r="X1064" s="20"/>
    </x:row>
    <x:row r="1065" spans="1:24" ht="14" x14ac:dyDescent="0.25">
      <x:c r="A1065" s="19"/>
      <x:c r="B1065" s="19"/>
      <x:c r="C1065" s="19"/>
      <x:c r="D1065" s="19"/>
      <x:c r="X1065" s="20"/>
    </x:row>
    <x:row r="1066" spans="1:24" ht="14" x14ac:dyDescent="0.25">
      <x:c r="A1066" s="19"/>
      <x:c r="B1066" s="19"/>
      <x:c r="C1066" s="19"/>
      <x:c r="D1066" s="19"/>
      <x:c r="X1066" s="20"/>
    </x:row>
    <x:row r="1067" spans="1:24" ht="14" x14ac:dyDescent="0.25">
      <x:c r="A1067" s="19"/>
      <x:c r="B1067" s="19"/>
      <x:c r="C1067" s="19"/>
      <x:c r="D1067" s="19"/>
      <x:c r="X1067" s="20"/>
    </x:row>
    <x:row r="1068" spans="1:24" ht="14" x14ac:dyDescent="0.25">
      <x:c r="A1068" s="19"/>
      <x:c r="B1068" s="19"/>
      <x:c r="C1068" s="19"/>
      <x:c r="D1068" s="19"/>
      <x:c r="X1068" s="20"/>
    </x:row>
    <x:row r="1069" spans="1:24" ht="14" x14ac:dyDescent="0.25">
      <x:c r="A1069" s="19"/>
      <x:c r="B1069" s="19"/>
      <x:c r="C1069" s="19"/>
      <x:c r="D1069" s="19"/>
      <x:c r="X1069" s="20"/>
    </x:row>
    <x:row r="1070" spans="1:24" ht="14" x14ac:dyDescent="0.25">
      <x:c r="A1070" s="19"/>
      <x:c r="B1070" s="19"/>
      <x:c r="C1070" s="19"/>
      <x:c r="D1070" s="19"/>
      <x:c r="X1070" s="20"/>
    </x:row>
    <x:row r="1071" spans="1:24" ht="14" x14ac:dyDescent="0.25">
      <x:c r="A1071" s="19"/>
      <x:c r="B1071" s="19"/>
      <x:c r="C1071" s="19"/>
      <x:c r="D1071" s="19"/>
      <x:c r="X1071" s="20"/>
    </x:row>
    <x:row r="1072" spans="1:24" ht="14" x14ac:dyDescent="0.25">
      <x:c r="A1072" s="19"/>
      <x:c r="B1072" s="19"/>
      <x:c r="C1072" s="19"/>
      <x:c r="D1072" s="19"/>
      <x:c r="X1072" s="20"/>
    </x:row>
    <x:row r="1073" spans="1:24" ht="14" x14ac:dyDescent="0.25">
      <x:c r="A1073" s="19"/>
      <x:c r="B1073" s="19"/>
      <x:c r="C1073" s="19"/>
      <x:c r="D1073" s="19"/>
      <x:c r="X1073" s="20"/>
    </x:row>
    <x:row r="1074" spans="1:24" ht="14" x14ac:dyDescent="0.25">
      <x:c r="A1074" s="19"/>
      <x:c r="B1074" s="19"/>
      <x:c r="C1074" s="19"/>
      <x:c r="D1074" s="19"/>
      <x:c r="X1074" s="20"/>
    </x:row>
    <x:row r="1075" spans="1:24" ht="14" x14ac:dyDescent="0.25">
      <x:c r="A1075" s="19"/>
      <x:c r="B1075" s="19"/>
      <x:c r="C1075" s="19"/>
      <x:c r="D1075" s="19"/>
      <x:c r="X1075" s="20"/>
    </x:row>
    <x:row r="1076" spans="1:24" ht="14" x14ac:dyDescent="0.25">
      <x:c r="A1076" s="19"/>
      <x:c r="B1076" s="19"/>
      <x:c r="C1076" s="19"/>
      <x:c r="D1076" s="19"/>
      <x:c r="X1076" s="20"/>
    </x:row>
    <x:row r="1077" spans="1:24" ht="14" x14ac:dyDescent="0.25">
      <x:c r="A1077" s="19"/>
      <x:c r="B1077" s="19"/>
      <x:c r="C1077" s="19"/>
      <x:c r="D1077" s="19"/>
      <x:c r="X1077" s="20"/>
    </x:row>
    <x:row r="1078" spans="1:24" ht="14" x14ac:dyDescent="0.25">
      <x:c r="A1078" s="19"/>
      <x:c r="B1078" s="19"/>
      <x:c r="C1078" s="19"/>
      <x:c r="D1078" s="19"/>
      <x:c r="X1078" s="20"/>
    </x:row>
    <x:row r="1079" spans="1:24" ht="14" x14ac:dyDescent="0.25">
      <x:c r="A1079" s="19"/>
      <x:c r="B1079" s="19"/>
      <x:c r="C1079" s="19"/>
      <x:c r="D1079" s="19"/>
      <x:c r="X1079" s="20"/>
    </x:row>
    <x:row r="1080" spans="1:24" ht="14" x14ac:dyDescent="0.25">
      <x:c r="A1080" s="19"/>
      <x:c r="B1080" s="19"/>
      <x:c r="C1080" s="19"/>
      <x:c r="D1080" s="19"/>
      <x:c r="X1080" s="20"/>
    </x:row>
    <x:row r="1081" spans="1:24" ht="14" x14ac:dyDescent="0.25">
      <x:c r="A1081" s="19"/>
      <x:c r="B1081" s="19"/>
      <x:c r="C1081" s="19"/>
      <x:c r="D1081" s="19"/>
      <x:c r="X1081" s="20"/>
    </x:row>
    <x:row r="1082" spans="1:24" ht="14" x14ac:dyDescent="0.25">
      <x:c r="A1082" s="19"/>
      <x:c r="B1082" s="19"/>
      <x:c r="C1082" s="19"/>
      <x:c r="D1082" s="19"/>
      <x:c r="X1082" s="20"/>
    </x:row>
    <x:row r="1083" spans="1:24" ht="14" x14ac:dyDescent="0.25">
      <x:c r="A1083" s="19"/>
      <x:c r="B1083" s="19"/>
      <x:c r="C1083" s="19"/>
      <x:c r="D1083" s="19"/>
      <x:c r="X1083" s="20"/>
    </x:row>
    <x:row r="1084" spans="1:24" ht="14" x14ac:dyDescent="0.25">
      <x:c r="A1084" s="19"/>
      <x:c r="B1084" s="19"/>
      <x:c r="C1084" s="19"/>
      <x:c r="D1084" s="19"/>
      <x:c r="X1084" s="20"/>
    </x:row>
    <x:row r="1085" spans="1:24" ht="14" x14ac:dyDescent="0.25">
      <x:c r="A1085" s="19"/>
      <x:c r="B1085" s="19"/>
      <x:c r="C1085" s="19"/>
      <x:c r="D1085" s="19"/>
      <x:c r="X1085" s="20"/>
    </x:row>
    <x:row r="1086" spans="1:24" ht="14" x14ac:dyDescent="0.25">
      <x:c r="A1086" s="19"/>
      <x:c r="B1086" s="19"/>
      <x:c r="C1086" s="19"/>
      <x:c r="D1086" s="19"/>
      <x:c r="X1086" s="20"/>
    </x:row>
    <x:row r="1087" spans="1:24" ht="14" x14ac:dyDescent="0.25">
      <x:c r="A1087" s="19"/>
      <x:c r="B1087" s="19"/>
      <x:c r="C1087" s="19"/>
      <x:c r="D1087" s="19"/>
      <x:c r="X1087" s="20"/>
    </x:row>
    <x:row r="1088" spans="1:24" ht="14" x14ac:dyDescent="0.25">
      <x:c r="A1088" s="19"/>
      <x:c r="B1088" s="19"/>
      <x:c r="C1088" s="19"/>
      <x:c r="D1088" s="19"/>
      <x:c r="X1088" s="20"/>
    </x:row>
    <x:row r="1089" spans="1:24" ht="14" x14ac:dyDescent="0.25">
      <x:c r="A1089" s="19"/>
      <x:c r="B1089" s="19"/>
      <x:c r="C1089" s="19"/>
      <x:c r="D1089" s="19"/>
      <x:c r="X1089" s="20"/>
    </x:row>
    <x:row r="1090" spans="1:24" ht="14" x14ac:dyDescent="0.25">
      <x:c r="A1090" s="19"/>
      <x:c r="B1090" s="19"/>
      <x:c r="C1090" s="19"/>
      <x:c r="D1090" s="19"/>
      <x:c r="X1090" s="20"/>
    </x:row>
    <x:row r="1091" spans="1:24" ht="14" x14ac:dyDescent="0.25">
      <x:c r="A1091" s="19"/>
      <x:c r="B1091" s="19"/>
      <x:c r="C1091" s="19"/>
      <x:c r="D1091" s="19"/>
      <x:c r="X1091" s="20"/>
    </x:row>
    <x:row r="1092" spans="1:24" ht="14" x14ac:dyDescent="0.25">
      <x:c r="A1092" s="19"/>
      <x:c r="B1092" s="19"/>
      <x:c r="C1092" s="19"/>
      <x:c r="D1092" s="19"/>
      <x:c r="X1092" s="20"/>
    </x:row>
    <x:row r="1093" spans="1:24" ht="14" x14ac:dyDescent="0.25">
      <x:c r="A1093" s="19"/>
      <x:c r="B1093" s="19"/>
      <x:c r="C1093" s="19"/>
      <x:c r="D1093" s="19"/>
      <x:c r="X1093" s="20"/>
    </x:row>
    <x:row r="1094" spans="1:24" ht="14" x14ac:dyDescent="0.25">
      <x:c r="A1094" s="19"/>
      <x:c r="B1094" s="19"/>
      <x:c r="C1094" s="19"/>
      <x:c r="D1094" s="19"/>
      <x:c r="X1094" s="20"/>
    </x:row>
    <x:row r="1095" spans="1:24" ht="14" x14ac:dyDescent="0.25">
      <x:c r="A1095" s="19"/>
      <x:c r="B1095" s="19"/>
      <x:c r="C1095" s="19"/>
      <x:c r="D1095" s="19"/>
      <x:c r="X1095" s="20"/>
    </x:row>
    <x:row r="1096" spans="1:24" ht="14" x14ac:dyDescent="0.25">
      <x:c r="A1096" s="19"/>
      <x:c r="B1096" s="19"/>
      <x:c r="C1096" s="19"/>
      <x:c r="D1096" s="19"/>
      <x:c r="X1096" s="20"/>
    </x:row>
    <x:row r="1097" spans="1:24" ht="14" x14ac:dyDescent="0.25">
      <x:c r="A1097" s="19"/>
      <x:c r="B1097" s="19"/>
      <x:c r="C1097" s="19"/>
      <x:c r="D1097" s="19"/>
      <x:c r="X1097" s="20"/>
    </x:row>
    <x:row r="1098" spans="1:24" ht="14" x14ac:dyDescent="0.25">
      <x:c r="A1098" s="19"/>
      <x:c r="B1098" s="19"/>
      <x:c r="C1098" s="19"/>
      <x:c r="D1098" s="19"/>
      <x:c r="X1098" s="20"/>
    </x:row>
    <x:row r="1099" spans="1:24" ht="14" x14ac:dyDescent="0.25">
      <x:c r="A1099" s="19"/>
      <x:c r="B1099" s="19"/>
      <x:c r="C1099" s="19"/>
      <x:c r="D1099" s="19"/>
      <x:c r="X1099" s="20"/>
    </x:row>
    <x:row r="1100" spans="1:24" ht="14" x14ac:dyDescent="0.25">
      <x:c r="A1100" s="19"/>
      <x:c r="B1100" s="19"/>
      <x:c r="C1100" s="19"/>
      <x:c r="D1100" s="19"/>
      <x:c r="X1100" s="20"/>
    </x:row>
    <x:row r="1101" spans="1:24" ht="14" x14ac:dyDescent="0.25">
      <x:c r="A1101" s="19"/>
      <x:c r="B1101" s="19"/>
      <x:c r="C1101" s="19"/>
      <x:c r="D1101" s="19"/>
      <x:c r="X1101" s="20"/>
    </x:row>
    <x:row r="1102" spans="1:24" ht="14" x14ac:dyDescent="0.25">
      <x:c r="A1102" s="19"/>
      <x:c r="B1102" s="19"/>
      <x:c r="C1102" s="19"/>
      <x:c r="D1102" s="19"/>
      <x:c r="X1102" s="20"/>
    </x:row>
    <x:row r="1103" spans="1:24" ht="14" x14ac:dyDescent="0.25">
      <x:c r="A1103" s="19"/>
      <x:c r="B1103" s="19"/>
      <x:c r="C1103" s="19"/>
      <x:c r="D1103" s="19"/>
      <x:c r="X1103" s="20"/>
    </x:row>
    <x:row r="1104" spans="1:24" ht="14" x14ac:dyDescent="0.25">
      <x:c r="A1104" s="19"/>
      <x:c r="B1104" s="19"/>
      <x:c r="C1104" s="19"/>
      <x:c r="D1104" s="19"/>
      <x:c r="X1104" s="20"/>
    </x:row>
    <x:row r="1105" spans="1:24" ht="14" x14ac:dyDescent="0.25">
      <x:c r="A1105" s="19"/>
      <x:c r="B1105" s="19"/>
      <x:c r="C1105" s="19"/>
      <x:c r="D1105" s="19"/>
      <x:c r="X1105" s="20"/>
    </x:row>
    <x:row r="1106" spans="1:24" ht="14" x14ac:dyDescent="0.25">
      <x:c r="A1106" s="19"/>
      <x:c r="B1106" s="19"/>
      <x:c r="C1106" s="19"/>
      <x:c r="D1106" s="19"/>
      <x:c r="X1106" s="20"/>
    </x:row>
    <x:row r="1107" spans="1:24" ht="14" x14ac:dyDescent="0.25">
      <x:c r="A1107" s="19"/>
      <x:c r="B1107" s="19"/>
      <x:c r="C1107" s="19"/>
      <x:c r="D1107" s="19"/>
      <x:c r="X1107" s="20"/>
    </x:row>
    <x:row r="1108" spans="1:24" ht="14" x14ac:dyDescent="0.25">
      <x:c r="A1108" s="19"/>
      <x:c r="B1108" s="19"/>
      <x:c r="C1108" s="19"/>
      <x:c r="D1108" s="19"/>
      <x:c r="X1108" s="20"/>
    </x:row>
    <x:row r="1109" spans="1:24" ht="14" x14ac:dyDescent="0.25">
      <x:c r="A1109" s="19"/>
      <x:c r="B1109" s="19"/>
      <x:c r="C1109" s="19"/>
      <x:c r="D1109" s="19"/>
      <x:c r="X1109" s="20"/>
    </x:row>
    <x:row r="1110" spans="1:24" ht="14" x14ac:dyDescent="0.25">
      <x:c r="A1110" s="19"/>
      <x:c r="B1110" s="19"/>
      <x:c r="C1110" s="19"/>
      <x:c r="D1110" s="19"/>
      <x:c r="X1110" s="20"/>
    </x:row>
    <x:row r="1111" spans="1:24" ht="14" x14ac:dyDescent="0.25">
      <x:c r="A1111" s="19"/>
      <x:c r="B1111" s="19"/>
      <x:c r="C1111" s="19"/>
      <x:c r="D1111" s="19"/>
      <x:c r="X1111" s="20"/>
    </x:row>
    <x:row r="1112" spans="1:24" ht="14" x14ac:dyDescent="0.25">
      <x:c r="A1112" s="19"/>
      <x:c r="B1112" s="19"/>
      <x:c r="C1112" s="19"/>
      <x:c r="D1112" s="19"/>
      <x:c r="X1112" s="20"/>
    </x:row>
    <x:row r="1113" spans="1:24" ht="14" x14ac:dyDescent="0.25">
      <x:c r="A1113" s="19"/>
      <x:c r="B1113" s="19"/>
      <x:c r="C1113" s="19"/>
      <x:c r="D1113" s="19"/>
      <x:c r="X1113" s="20"/>
    </x:row>
    <x:row r="1114" spans="1:24" ht="14" x14ac:dyDescent="0.25">
      <x:c r="A1114" s="19"/>
      <x:c r="B1114" s="19"/>
      <x:c r="C1114" s="19"/>
      <x:c r="D1114" s="19"/>
      <x:c r="X1114" s="20"/>
    </x:row>
    <x:row r="1115" spans="1:24" ht="14" x14ac:dyDescent="0.25">
      <x:c r="A1115" s="19"/>
      <x:c r="B1115" s="19"/>
      <x:c r="C1115" s="19"/>
      <x:c r="D1115" s="19"/>
      <x:c r="X1115" s="20"/>
    </x:row>
    <x:row r="1116" spans="1:24" ht="14" x14ac:dyDescent="0.25">
      <x:c r="A1116" s="19"/>
      <x:c r="B1116" s="19"/>
      <x:c r="C1116" s="19"/>
      <x:c r="D1116" s="19"/>
      <x:c r="X1116" s="20"/>
    </x:row>
    <x:row r="1117" spans="1:24" ht="14" x14ac:dyDescent="0.25">
      <x:c r="A1117" s="19"/>
      <x:c r="B1117" s="19"/>
      <x:c r="C1117" s="19"/>
      <x:c r="D1117" s="19"/>
      <x:c r="X1117" s="20"/>
    </x:row>
    <x:row r="1118" spans="1:24" ht="14" x14ac:dyDescent="0.25">
      <x:c r="A1118" s="19"/>
      <x:c r="B1118" s="19"/>
      <x:c r="C1118" s="19"/>
      <x:c r="D1118" s="19"/>
      <x:c r="X1118" s="20"/>
    </x:row>
    <x:row r="1119" spans="1:24" ht="14" x14ac:dyDescent="0.25">
      <x:c r="A1119" s="19"/>
      <x:c r="B1119" s="19"/>
      <x:c r="C1119" s="19"/>
      <x:c r="D1119" s="19"/>
      <x:c r="X1119" s="20"/>
    </x:row>
    <x:row r="1120" spans="1:24" ht="14" x14ac:dyDescent="0.25">
      <x:c r="A1120" s="19"/>
      <x:c r="B1120" s="19"/>
      <x:c r="C1120" s="19"/>
      <x:c r="D1120" s="19"/>
      <x:c r="X1120" s="20"/>
    </x:row>
    <x:row r="1121" spans="1:24" ht="14" x14ac:dyDescent="0.25">
      <x:c r="A1121" s="19"/>
      <x:c r="B1121" s="19"/>
      <x:c r="C1121" s="19"/>
      <x:c r="D1121" s="19"/>
      <x:c r="X1121" s="20"/>
    </x:row>
    <x:row r="1122" spans="1:24" ht="14" x14ac:dyDescent="0.25">
      <x:c r="A1122" s="19"/>
      <x:c r="B1122" s="19"/>
      <x:c r="C1122" s="19"/>
      <x:c r="D1122" s="19"/>
      <x:c r="X1122" s="20"/>
    </x:row>
    <x:row r="1123" spans="1:24" ht="14" x14ac:dyDescent="0.25">
      <x:c r="A1123" s="19"/>
      <x:c r="B1123" s="19"/>
      <x:c r="C1123" s="19"/>
      <x:c r="D1123" s="19"/>
      <x:c r="X1123" s="20"/>
    </x:row>
    <x:row r="1124" spans="1:24" ht="14" x14ac:dyDescent="0.25">
      <x:c r="A1124" s="19"/>
      <x:c r="B1124" s="19"/>
      <x:c r="C1124" s="19"/>
      <x:c r="D1124" s="19"/>
      <x:c r="X1124" s="20"/>
    </x:row>
    <x:row r="1125" spans="1:24" ht="14" x14ac:dyDescent="0.25">
      <x:c r="A1125" s="19"/>
      <x:c r="B1125" s="19"/>
      <x:c r="C1125" s="19"/>
      <x:c r="D1125" s="19"/>
      <x:c r="X1125" s="20"/>
    </x:row>
    <x:row r="1126" spans="1:24" ht="14" x14ac:dyDescent="0.25">
      <x:c r="A1126" s="19"/>
      <x:c r="B1126" s="19"/>
      <x:c r="C1126" s="19"/>
      <x:c r="D1126" s="19"/>
      <x:c r="X1126" s="20"/>
    </x:row>
    <x:row r="1127" spans="1:24" ht="14" x14ac:dyDescent="0.25">
      <x:c r="A1127" s="19"/>
      <x:c r="B1127" s="19"/>
      <x:c r="C1127" s="19"/>
      <x:c r="D1127" s="19"/>
      <x:c r="X1127" s="20"/>
    </x:row>
    <x:row r="1128" spans="1:24" ht="14" x14ac:dyDescent="0.25">
      <x:c r="A1128" s="19"/>
      <x:c r="B1128" s="19"/>
      <x:c r="C1128" s="19"/>
      <x:c r="D1128" s="19"/>
      <x:c r="X1128" s="20"/>
    </x:row>
    <x:row r="1129" spans="1:24" ht="14" x14ac:dyDescent="0.25">
      <x:c r="A1129" s="19"/>
      <x:c r="B1129" s="19"/>
      <x:c r="C1129" s="19"/>
      <x:c r="D1129" s="19"/>
      <x:c r="X1129" s="20"/>
    </x:row>
    <x:row r="1130" spans="1:24" ht="14" x14ac:dyDescent="0.25">
      <x:c r="A1130" s="19"/>
      <x:c r="B1130" s="19"/>
      <x:c r="C1130" s="19"/>
      <x:c r="D1130" s="19"/>
      <x:c r="X1130" s="20"/>
    </x:row>
    <x:row r="1131" spans="1:24" ht="14" x14ac:dyDescent="0.25">
      <x:c r="A1131" s="19"/>
      <x:c r="B1131" s="19"/>
      <x:c r="C1131" s="19"/>
      <x:c r="D1131" s="19"/>
      <x:c r="X1131" s="20"/>
    </x:row>
    <x:row r="1132" spans="1:24" ht="14" x14ac:dyDescent="0.25">
      <x:c r="A1132" s="19"/>
      <x:c r="B1132" s="19"/>
      <x:c r="C1132" s="19"/>
      <x:c r="D1132" s="19"/>
      <x:c r="X1132" s="20"/>
    </x:row>
    <x:row r="1133" spans="1:24" ht="14" x14ac:dyDescent="0.25">
      <x:c r="A1133" s="19"/>
      <x:c r="B1133" s="19"/>
      <x:c r="C1133" s="19"/>
      <x:c r="D1133" s="19"/>
      <x:c r="X1133" s="20"/>
    </x:row>
    <x:row r="1134" spans="1:24" ht="14" x14ac:dyDescent="0.25">
      <x:c r="A1134" s="19"/>
      <x:c r="B1134" s="19"/>
      <x:c r="C1134" s="19"/>
      <x:c r="D1134" s="19"/>
      <x:c r="X1134" s="20"/>
    </x:row>
    <x:row r="1135" spans="1:24" ht="14" x14ac:dyDescent="0.25">
      <x:c r="A1135" s="19"/>
      <x:c r="B1135" s="19"/>
      <x:c r="C1135" s="19"/>
      <x:c r="D1135" s="19"/>
      <x:c r="X1135" s="20"/>
    </x:row>
    <x:row r="1136" spans="1:24" ht="14" x14ac:dyDescent="0.25">
      <x:c r="A1136" s="19"/>
      <x:c r="B1136" s="19"/>
      <x:c r="C1136" s="19"/>
      <x:c r="D1136" s="19"/>
      <x:c r="X1136" s="20"/>
    </x:row>
    <x:row r="1137" spans="1:24" ht="14" x14ac:dyDescent="0.25">
      <x:c r="A1137" s="19"/>
      <x:c r="B1137" s="19"/>
      <x:c r="C1137" s="19"/>
      <x:c r="D1137" s="19"/>
      <x:c r="X1137" s="20"/>
    </x:row>
    <x:row r="1138" spans="1:24" ht="14" x14ac:dyDescent="0.25">
      <x:c r="A1138" s="19"/>
      <x:c r="B1138" s="19"/>
      <x:c r="C1138" s="19"/>
      <x:c r="D1138" s="19"/>
      <x:c r="X1138" s="20"/>
    </x:row>
    <x:row r="1139" spans="1:24" ht="14" x14ac:dyDescent="0.25">
      <x:c r="A1139" s="19"/>
      <x:c r="B1139" s="19"/>
      <x:c r="C1139" s="19"/>
      <x:c r="D1139" s="19"/>
      <x:c r="X1139" s="20"/>
    </x:row>
    <x:row r="1140" spans="1:24" ht="14" x14ac:dyDescent="0.25">
      <x:c r="A1140" s="19"/>
      <x:c r="B1140" s="19"/>
      <x:c r="C1140" s="19"/>
      <x:c r="D1140" s="19"/>
      <x:c r="X1140" s="20"/>
    </x:row>
    <x:row r="1141" spans="1:24" ht="14" x14ac:dyDescent="0.25">
      <x:c r="A1141" s="19"/>
      <x:c r="B1141" s="19"/>
      <x:c r="C1141" s="19"/>
      <x:c r="D1141" s="19"/>
      <x:c r="X1141" s="20"/>
    </x:row>
    <x:row r="1142" spans="1:24" ht="14" x14ac:dyDescent="0.25">
      <x:c r="A1142" s="19"/>
      <x:c r="B1142" s="19"/>
      <x:c r="C1142" s="19"/>
      <x:c r="D1142" s="19"/>
      <x:c r="X1142" s="20"/>
    </x:row>
    <x:row r="1143" spans="1:24" ht="14" x14ac:dyDescent="0.25">
      <x:c r="A1143" s="19"/>
      <x:c r="B1143" s="19"/>
      <x:c r="C1143" s="19"/>
      <x:c r="D1143" s="19"/>
      <x:c r="X1143" s="20"/>
    </x:row>
    <x:row r="1144" spans="1:24" ht="14" x14ac:dyDescent="0.25">
      <x:c r="A1144" s="19"/>
      <x:c r="B1144" s="19"/>
      <x:c r="C1144" s="19"/>
      <x:c r="D1144" s="19"/>
      <x:c r="X1144" s="20"/>
    </x:row>
    <x:row r="1145" spans="1:24" ht="14" x14ac:dyDescent="0.25">
      <x:c r="A1145" s="19"/>
      <x:c r="B1145" s="19"/>
      <x:c r="C1145" s="19"/>
      <x:c r="D1145" s="19"/>
      <x:c r="X1145" s="20"/>
    </x:row>
    <x:row r="1146" spans="1:24" ht="14" x14ac:dyDescent="0.25">
      <x:c r="A1146" s="19"/>
      <x:c r="B1146" s="19"/>
      <x:c r="C1146" s="19"/>
      <x:c r="D1146" s="19"/>
      <x:c r="X1146" s="20"/>
    </x:row>
    <x:row r="1147" spans="1:24" ht="14" x14ac:dyDescent="0.25">
      <x:c r="A1147" s="19"/>
      <x:c r="B1147" s="19"/>
      <x:c r="C1147" s="19"/>
      <x:c r="D1147" s="19"/>
      <x:c r="X1147" s="20"/>
    </x:row>
    <x:row r="1148" spans="1:24" ht="14" x14ac:dyDescent="0.25">
      <x:c r="A1148" s="19"/>
      <x:c r="B1148" s="19"/>
      <x:c r="C1148" s="19"/>
      <x:c r="D1148" s="19"/>
      <x:c r="X1148" s="20"/>
    </x:row>
    <x:row r="1149" spans="1:24" ht="14" x14ac:dyDescent="0.25">
      <x:c r="A1149" s="19"/>
      <x:c r="B1149" s="19"/>
      <x:c r="C1149" s="19"/>
      <x:c r="D1149" s="19"/>
      <x:c r="X1149" s="20"/>
    </x:row>
    <x:row r="1150" spans="1:24" ht="14" x14ac:dyDescent="0.25">
      <x:c r="A1150" s="19"/>
      <x:c r="B1150" s="19"/>
      <x:c r="C1150" s="19"/>
      <x:c r="D1150" s="19"/>
      <x:c r="X1150" s="20"/>
    </x:row>
    <x:row r="1151" spans="1:24" ht="14" x14ac:dyDescent="0.25">
      <x:c r="A1151" s="19"/>
      <x:c r="B1151" s="19"/>
      <x:c r="C1151" s="19"/>
      <x:c r="D1151" s="19"/>
      <x:c r="X1151" s="20"/>
    </x:row>
  </x:sheetData>
  <x:mergeCells count="1">
    <x:mergeCell ref="B4:D4"/>
  </x:mergeCells>
  <x:phoneticPr fontId="3" type="noConversion"/>
  <x:pageMargins left="0.7" right="0.7" top="0.75" bottom="0.75" header="0.3" footer="0.3"/>
  <x:pageSetup paperSize="9" orientation="portrait" horizontalDpi="300" verticalDpi="300" r:id="rId1"/>
  <x:drawing r:id="rId2"/>
  <x:picture r:id="rId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100-000000000000}">
  <x:sheetPr codeName="Sheet2">
    <x:pageSetUpPr fitToPage="1"/>
  </x:sheetPr>
  <x:dimension ref="A1:AJ518"/>
  <x:sheetViews>
    <x:sheetView tabSelected="1" zoomScale="110" zoomScaleNormal="110" workbookViewId="0">
      <x:selection activeCell="F2" sqref="F2:F11"/>
    </x:sheetView>
  </x:sheetViews>
  <x:sheetFormatPr defaultRowHeight="15.5" x14ac:dyDescent="0.25"/>
  <x:cols>
    <x:col min="1" max="1" width="11.36328125" style="24" bestFit="1" customWidth="1"/>
    <x:col min="2" max="2" width="19.90625" style="24" customWidth="1"/>
    <x:col min="3" max="3" width="16.54296875" style="24" customWidth="1"/>
    <x:col min="4" max="4" width="8.90625" style="24" customWidth="1"/>
    <x:col min="5" max="5" width="9.26953125" style="24" customWidth="1"/>
    <x:col min="6" max="6" width="11.08984375" style="24" customWidth="1"/>
    <x:col min="7" max="7" width="12.26953125" style="24" customWidth="1"/>
    <x:col min="8" max="8" width="10.26953125" style="24" bestFit="1" customWidth="1"/>
    <x:col min="9" max="9" width="16" style="24" bestFit="1" customWidth="1"/>
    <x:col min="10" max="10" width="14.36328125" style="24" bestFit="1" customWidth="1"/>
    <x:col min="11" max="11" width="14" style="24" bestFit="1" customWidth="1"/>
    <x:col min="12" max="36" width="9" style="23"/>
    <x:col min="37" max="253" width="9" style="24"/>
    <x:col min="254" max="254" width="12.08984375" style="24" bestFit="1" customWidth="1"/>
    <x:col min="255" max="255" width="12" style="24" customWidth="1"/>
    <x:col min="256" max="256" width="21.26953125" style="24" bestFit="1" customWidth="1"/>
    <x:col min="257" max="257" width="9.08984375" style="24" bestFit="1" customWidth="1"/>
    <x:col min="258" max="258" width="11.36328125" style="24" customWidth="1"/>
    <x:col min="259" max="259" width="12.26953125" style="24" customWidth="1"/>
    <x:col min="260" max="260" width="13.08984375" style="24" customWidth="1"/>
    <x:col min="261" max="261" width="38.08984375" style="24" customWidth="1"/>
    <x:col min="262" max="262" width="19.26953125" style="24" bestFit="1" customWidth="1"/>
    <x:col min="263" max="263" width="11.6328125" style="24" customWidth="1"/>
    <x:col min="264" max="264" width="9.90625" style="24" customWidth="1"/>
    <x:col min="265" max="265" width="11.36328125" style="24" customWidth="1"/>
    <x:col min="266" max="509" width="9" style="24"/>
    <x:col min="510" max="510" width="12.08984375" style="24" bestFit="1" customWidth="1"/>
    <x:col min="511" max="511" width="12" style="24" customWidth="1"/>
    <x:col min="512" max="512" width="21.26953125" style="24" bestFit="1" customWidth="1"/>
    <x:col min="513" max="513" width="9.08984375" style="24" bestFit="1" customWidth="1"/>
    <x:col min="514" max="514" width="11.36328125" style="24" customWidth="1"/>
    <x:col min="515" max="515" width="12.26953125" style="24" customWidth="1"/>
    <x:col min="516" max="516" width="13.08984375" style="24" customWidth="1"/>
    <x:col min="517" max="517" width="38.08984375" style="24" customWidth="1"/>
    <x:col min="518" max="518" width="19.26953125" style="24" bestFit="1" customWidth="1"/>
    <x:col min="519" max="519" width="11.6328125" style="24" customWidth="1"/>
    <x:col min="520" max="520" width="9.90625" style="24" customWidth="1"/>
    <x:col min="521" max="521" width="11.36328125" style="24" customWidth="1"/>
    <x:col min="522" max="765" width="9" style="24"/>
    <x:col min="766" max="766" width="12.08984375" style="24" bestFit="1" customWidth="1"/>
    <x:col min="767" max="767" width="12" style="24" customWidth="1"/>
    <x:col min="768" max="768" width="21.26953125" style="24" bestFit="1" customWidth="1"/>
    <x:col min="769" max="769" width="9.08984375" style="24" bestFit="1" customWidth="1"/>
    <x:col min="770" max="770" width="11.36328125" style="24" customWidth="1"/>
    <x:col min="771" max="771" width="12.26953125" style="24" customWidth="1"/>
    <x:col min="772" max="772" width="13.08984375" style="24" customWidth="1"/>
    <x:col min="773" max="773" width="38.08984375" style="24" customWidth="1"/>
    <x:col min="774" max="774" width="19.26953125" style="24" bestFit="1" customWidth="1"/>
    <x:col min="775" max="775" width="11.6328125" style="24" customWidth="1"/>
    <x:col min="776" max="776" width="9.90625" style="24" customWidth="1"/>
    <x:col min="777" max="777" width="11.36328125" style="24" customWidth="1"/>
    <x:col min="778" max="1021" width="9" style="24"/>
    <x:col min="1022" max="1022" width="12.08984375" style="24" bestFit="1" customWidth="1"/>
    <x:col min="1023" max="1023" width="12" style="24" customWidth="1"/>
    <x:col min="1024" max="1024" width="21.26953125" style="24" bestFit="1" customWidth="1"/>
    <x:col min="1025" max="1025" width="9.08984375" style="24" bestFit="1" customWidth="1"/>
    <x:col min="1026" max="1026" width="11.36328125" style="24" customWidth="1"/>
    <x:col min="1027" max="1027" width="12.26953125" style="24" customWidth="1"/>
    <x:col min="1028" max="1028" width="13.08984375" style="24" customWidth="1"/>
    <x:col min="1029" max="1029" width="38.08984375" style="24" customWidth="1"/>
    <x:col min="1030" max="1030" width="19.26953125" style="24" bestFit="1" customWidth="1"/>
    <x:col min="1031" max="1031" width="11.6328125" style="24" customWidth="1"/>
    <x:col min="1032" max="1032" width="9.90625" style="24" customWidth="1"/>
    <x:col min="1033" max="1033" width="11.36328125" style="24" customWidth="1"/>
    <x:col min="1034" max="1277" width="9" style="24"/>
    <x:col min="1278" max="1278" width="12.08984375" style="24" bestFit="1" customWidth="1"/>
    <x:col min="1279" max="1279" width="12" style="24" customWidth="1"/>
    <x:col min="1280" max="1280" width="21.26953125" style="24" bestFit="1" customWidth="1"/>
    <x:col min="1281" max="1281" width="9.08984375" style="24" bestFit="1" customWidth="1"/>
    <x:col min="1282" max="1282" width="11.36328125" style="24" customWidth="1"/>
    <x:col min="1283" max="1283" width="12.26953125" style="24" customWidth="1"/>
    <x:col min="1284" max="1284" width="13.08984375" style="24" customWidth="1"/>
    <x:col min="1285" max="1285" width="38.08984375" style="24" customWidth="1"/>
    <x:col min="1286" max="1286" width="19.26953125" style="24" bestFit="1" customWidth="1"/>
    <x:col min="1287" max="1287" width="11.6328125" style="24" customWidth="1"/>
    <x:col min="1288" max="1288" width="9.90625" style="24" customWidth="1"/>
    <x:col min="1289" max="1289" width="11.36328125" style="24" customWidth="1"/>
    <x:col min="1290" max="1533" width="9" style="24"/>
    <x:col min="1534" max="1534" width="12.08984375" style="24" bestFit="1" customWidth="1"/>
    <x:col min="1535" max="1535" width="12" style="24" customWidth="1"/>
    <x:col min="1536" max="1536" width="21.26953125" style="24" bestFit="1" customWidth="1"/>
    <x:col min="1537" max="1537" width="9.08984375" style="24" bestFit="1" customWidth="1"/>
    <x:col min="1538" max="1538" width="11.36328125" style="24" customWidth="1"/>
    <x:col min="1539" max="1539" width="12.26953125" style="24" customWidth="1"/>
    <x:col min="1540" max="1540" width="13.08984375" style="24" customWidth="1"/>
    <x:col min="1541" max="1541" width="38.08984375" style="24" customWidth="1"/>
    <x:col min="1542" max="1542" width="19.26953125" style="24" bestFit="1" customWidth="1"/>
    <x:col min="1543" max="1543" width="11.6328125" style="24" customWidth="1"/>
    <x:col min="1544" max="1544" width="9.90625" style="24" customWidth="1"/>
    <x:col min="1545" max="1545" width="11.36328125" style="24" customWidth="1"/>
    <x:col min="1546" max="1789" width="9" style="24"/>
    <x:col min="1790" max="1790" width="12.08984375" style="24" bestFit="1" customWidth="1"/>
    <x:col min="1791" max="1791" width="12" style="24" customWidth="1"/>
    <x:col min="1792" max="1792" width="21.26953125" style="24" bestFit="1" customWidth="1"/>
    <x:col min="1793" max="1793" width="9.08984375" style="24" bestFit="1" customWidth="1"/>
    <x:col min="1794" max="1794" width="11.36328125" style="24" customWidth="1"/>
    <x:col min="1795" max="1795" width="12.26953125" style="24" customWidth="1"/>
    <x:col min="1796" max="1796" width="13.08984375" style="24" customWidth="1"/>
    <x:col min="1797" max="1797" width="38.08984375" style="24" customWidth="1"/>
    <x:col min="1798" max="1798" width="19.26953125" style="24" bestFit="1" customWidth="1"/>
    <x:col min="1799" max="1799" width="11.6328125" style="24" customWidth="1"/>
    <x:col min="1800" max="1800" width="9.90625" style="24" customWidth="1"/>
    <x:col min="1801" max="1801" width="11.36328125" style="24" customWidth="1"/>
    <x:col min="1802" max="2045" width="9" style="24"/>
    <x:col min="2046" max="2046" width="12.08984375" style="24" bestFit="1" customWidth="1"/>
    <x:col min="2047" max="2047" width="12" style="24" customWidth="1"/>
    <x:col min="2048" max="2048" width="21.26953125" style="24" bestFit="1" customWidth="1"/>
    <x:col min="2049" max="2049" width="9.08984375" style="24" bestFit="1" customWidth="1"/>
    <x:col min="2050" max="2050" width="11.36328125" style="24" customWidth="1"/>
    <x:col min="2051" max="2051" width="12.26953125" style="24" customWidth="1"/>
    <x:col min="2052" max="2052" width="13.08984375" style="24" customWidth="1"/>
    <x:col min="2053" max="2053" width="38.08984375" style="24" customWidth="1"/>
    <x:col min="2054" max="2054" width="19.26953125" style="24" bestFit="1" customWidth="1"/>
    <x:col min="2055" max="2055" width="11.6328125" style="24" customWidth="1"/>
    <x:col min="2056" max="2056" width="9.90625" style="24" customWidth="1"/>
    <x:col min="2057" max="2057" width="11.36328125" style="24" customWidth="1"/>
    <x:col min="2058" max="2301" width="9" style="24"/>
    <x:col min="2302" max="2302" width="12.08984375" style="24" bestFit="1" customWidth="1"/>
    <x:col min="2303" max="2303" width="12" style="24" customWidth="1"/>
    <x:col min="2304" max="2304" width="21.26953125" style="24" bestFit="1" customWidth="1"/>
    <x:col min="2305" max="2305" width="9.08984375" style="24" bestFit="1" customWidth="1"/>
    <x:col min="2306" max="2306" width="11.36328125" style="24" customWidth="1"/>
    <x:col min="2307" max="2307" width="12.26953125" style="24" customWidth="1"/>
    <x:col min="2308" max="2308" width="13.08984375" style="24" customWidth="1"/>
    <x:col min="2309" max="2309" width="38.08984375" style="24" customWidth="1"/>
    <x:col min="2310" max="2310" width="19.26953125" style="24" bestFit="1" customWidth="1"/>
    <x:col min="2311" max="2311" width="11.6328125" style="24" customWidth="1"/>
    <x:col min="2312" max="2312" width="9.90625" style="24" customWidth="1"/>
    <x:col min="2313" max="2313" width="11.36328125" style="24" customWidth="1"/>
    <x:col min="2314" max="2557" width="9" style="24"/>
    <x:col min="2558" max="2558" width="12.08984375" style="24" bestFit="1" customWidth="1"/>
    <x:col min="2559" max="2559" width="12" style="24" customWidth="1"/>
    <x:col min="2560" max="2560" width="21.26953125" style="24" bestFit="1" customWidth="1"/>
    <x:col min="2561" max="2561" width="9.08984375" style="24" bestFit="1" customWidth="1"/>
    <x:col min="2562" max="2562" width="11.36328125" style="24" customWidth="1"/>
    <x:col min="2563" max="2563" width="12.26953125" style="24" customWidth="1"/>
    <x:col min="2564" max="2564" width="13.08984375" style="24" customWidth="1"/>
    <x:col min="2565" max="2565" width="38.08984375" style="24" customWidth="1"/>
    <x:col min="2566" max="2566" width="19.26953125" style="24" bestFit="1" customWidth="1"/>
    <x:col min="2567" max="2567" width="11.6328125" style="24" customWidth="1"/>
    <x:col min="2568" max="2568" width="9.90625" style="24" customWidth="1"/>
    <x:col min="2569" max="2569" width="11.36328125" style="24" customWidth="1"/>
    <x:col min="2570" max="2813" width="9" style="24"/>
    <x:col min="2814" max="2814" width="12.08984375" style="24" bestFit="1" customWidth="1"/>
    <x:col min="2815" max="2815" width="12" style="24" customWidth="1"/>
    <x:col min="2816" max="2816" width="21.26953125" style="24" bestFit="1" customWidth="1"/>
    <x:col min="2817" max="2817" width="9.08984375" style="24" bestFit="1" customWidth="1"/>
    <x:col min="2818" max="2818" width="11.36328125" style="24" customWidth="1"/>
    <x:col min="2819" max="2819" width="12.26953125" style="24" customWidth="1"/>
    <x:col min="2820" max="2820" width="13.08984375" style="24" customWidth="1"/>
    <x:col min="2821" max="2821" width="38.08984375" style="24" customWidth="1"/>
    <x:col min="2822" max="2822" width="19.26953125" style="24" bestFit="1" customWidth="1"/>
    <x:col min="2823" max="2823" width="11.6328125" style="24" customWidth="1"/>
    <x:col min="2824" max="2824" width="9.90625" style="24" customWidth="1"/>
    <x:col min="2825" max="2825" width="11.36328125" style="24" customWidth="1"/>
    <x:col min="2826" max="3069" width="9" style="24"/>
    <x:col min="3070" max="3070" width="12.08984375" style="24" bestFit="1" customWidth="1"/>
    <x:col min="3071" max="3071" width="12" style="24" customWidth="1"/>
    <x:col min="3072" max="3072" width="21.26953125" style="24" bestFit="1" customWidth="1"/>
    <x:col min="3073" max="3073" width="9.08984375" style="24" bestFit="1" customWidth="1"/>
    <x:col min="3074" max="3074" width="11.36328125" style="24" customWidth="1"/>
    <x:col min="3075" max="3075" width="12.26953125" style="24" customWidth="1"/>
    <x:col min="3076" max="3076" width="13.08984375" style="24" customWidth="1"/>
    <x:col min="3077" max="3077" width="38.08984375" style="24" customWidth="1"/>
    <x:col min="3078" max="3078" width="19.26953125" style="24" bestFit="1" customWidth="1"/>
    <x:col min="3079" max="3079" width="11.6328125" style="24" customWidth="1"/>
    <x:col min="3080" max="3080" width="9.90625" style="24" customWidth="1"/>
    <x:col min="3081" max="3081" width="11.36328125" style="24" customWidth="1"/>
    <x:col min="3082" max="3325" width="9" style="24"/>
    <x:col min="3326" max="3326" width="12.08984375" style="24" bestFit="1" customWidth="1"/>
    <x:col min="3327" max="3327" width="12" style="24" customWidth="1"/>
    <x:col min="3328" max="3328" width="21.26953125" style="24" bestFit="1" customWidth="1"/>
    <x:col min="3329" max="3329" width="9.08984375" style="24" bestFit="1" customWidth="1"/>
    <x:col min="3330" max="3330" width="11.36328125" style="24" customWidth="1"/>
    <x:col min="3331" max="3331" width="12.26953125" style="24" customWidth="1"/>
    <x:col min="3332" max="3332" width="13.08984375" style="24" customWidth="1"/>
    <x:col min="3333" max="3333" width="38.08984375" style="24" customWidth="1"/>
    <x:col min="3334" max="3334" width="19.26953125" style="24" bestFit="1" customWidth="1"/>
    <x:col min="3335" max="3335" width="11.6328125" style="24" customWidth="1"/>
    <x:col min="3336" max="3336" width="9.90625" style="24" customWidth="1"/>
    <x:col min="3337" max="3337" width="11.36328125" style="24" customWidth="1"/>
    <x:col min="3338" max="3581" width="9" style="24"/>
    <x:col min="3582" max="3582" width="12.08984375" style="24" bestFit="1" customWidth="1"/>
    <x:col min="3583" max="3583" width="12" style="24" customWidth="1"/>
    <x:col min="3584" max="3584" width="21.26953125" style="24" bestFit="1" customWidth="1"/>
    <x:col min="3585" max="3585" width="9.08984375" style="24" bestFit="1" customWidth="1"/>
    <x:col min="3586" max="3586" width="11.36328125" style="24" customWidth="1"/>
    <x:col min="3587" max="3587" width="12.26953125" style="24" customWidth="1"/>
    <x:col min="3588" max="3588" width="13.08984375" style="24" customWidth="1"/>
    <x:col min="3589" max="3589" width="38.08984375" style="24" customWidth="1"/>
    <x:col min="3590" max="3590" width="19.26953125" style="24" bestFit="1" customWidth="1"/>
    <x:col min="3591" max="3591" width="11.6328125" style="24" customWidth="1"/>
    <x:col min="3592" max="3592" width="9.90625" style="24" customWidth="1"/>
    <x:col min="3593" max="3593" width="11.36328125" style="24" customWidth="1"/>
    <x:col min="3594" max="3837" width="9" style="24"/>
    <x:col min="3838" max="3838" width="12.08984375" style="24" bestFit="1" customWidth="1"/>
    <x:col min="3839" max="3839" width="12" style="24" customWidth="1"/>
    <x:col min="3840" max="3840" width="21.26953125" style="24" bestFit="1" customWidth="1"/>
    <x:col min="3841" max="3841" width="9.08984375" style="24" bestFit="1" customWidth="1"/>
    <x:col min="3842" max="3842" width="11.36328125" style="24" customWidth="1"/>
    <x:col min="3843" max="3843" width="12.26953125" style="24" customWidth="1"/>
    <x:col min="3844" max="3844" width="13.08984375" style="24" customWidth="1"/>
    <x:col min="3845" max="3845" width="38.08984375" style="24" customWidth="1"/>
    <x:col min="3846" max="3846" width="19.26953125" style="24" bestFit="1" customWidth="1"/>
    <x:col min="3847" max="3847" width="11.6328125" style="24" customWidth="1"/>
    <x:col min="3848" max="3848" width="9.90625" style="24" customWidth="1"/>
    <x:col min="3849" max="3849" width="11.36328125" style="24" customWidth="1"/>
    <x:col min="3850" max="4093" width="9" style="24"/>
    <x:col min="4094" max="4094" width="12.08984375" style="24" bestFit="1" customWidth="1"/>
    <x:col min="4095" max="4095" width="12" style="24" customWidth="1"/>
    <x:col min="4096" max="4096" width="21.26953125" style="24" bestFit="1" customWidth="1"/>
    <x:col min="4097" max="4097" width="9.08984375" style="24" bestFit="1" customWidth="1"/>
    <x:col min="4098" max="4098" width="11.36328125" style="24" customWidth="1"/>
    <x:col min="4099" max="4099" width="12.26953125" style="24" customWidth="1"/>
    <x:col min="4100" max="4100" width="13.08984375" style="24" customWidth="1"/>
    <x:col min="4101" max="4101" width="38.08984375" style="24" customWidth="1"/>
    <x:col min="4102" max="4102" width="19.26953125" style="24" bestFit="1" customWidth="1"/>
    <x:col min="4103" max="4103" width="11.6328125" style="24" customWidth="1"/>
    <x:col min="4104" max="4104" width="9.90625" style="24" customWidth="1"/>
    <x:col min="4105" max="4105" width="11.36328125" style="24" customWidth="1"/>
    <x:col min="4106" max="4349" width="9" style="24"/>
    <x:col min="4350" max="4350" width="12.08984375" style="24" bestFit="1" customWidth="1"/>
    <x:col min="4351" max="4351" width="12" style="24" customWidth="1"/>
    <x:col min="4352" max="4352" width="21.26953125" style="24" bestFit="1" customWidth="1"/>
    <x:col min="4353" max="4353" width="9.08984375" style="24" bestFit="1" customWidth="1"/>
    <x:col min="4354" max="4354" width="11.36328125" style="24" customWidth="1"/>
    <x:col min="4355" max="4355" width="12.26953125" style="24" customWidth="1"/>
    <x:col min="4356" max="4356" width="13.08984375" style="24" customWidth="1"/>
    <x:col min="4357" max="4357" width="38.08984375" style="24" customWidth="1"/>
    <x:col min="4358" max="4358" width="19.26953125" style="24" bestFit="1" customWidth="1"/>
    <x:col min="4359" max="4359" width="11.6328125" style="24" customWidth="1"/>
    <x:col min="4360" max="4360" width="9.90625" style="24" customWidth="1"/>
    <x:col min="4361" max="4361" width="11.36328125" style="24" customWidth="1"/>
    <x:col min="4362" max="4605" width="9" style="24"/>
    <x:col min="4606" max="4606" width="12.08984375" style="24" bestFit="1" customWidth="1"/>
    <x:col min="4607" max="4607" width="12" style="24" customWidth="1"/>
    <x:col min="4608" max="4608" width="21.26953125" style="24" bestFit="1" customWidth="1"/>
    <x:col min="4609" max="4609" width="9.08984375" style="24" bestFit="1" customWidth="1"/>
    <x:col min="4610" max="4610" width="11.36328125" style="24" customWidth="1"/>
    <x:col min="4611" max="4611" width="12.26953125" style="24" customWidth="1"/>
    <x:col min="4612" max="4612" width="13.08984375" style="24" customWidth="1"/>
    <x:col min="4613" max="4613" width="38.08984375" style="24" customWidth="1"/>
    <x:col min="4614" max="4614" width="19.26953125" style="24" bestFit="1" customWidth="1"/>
    <x:col min="4615" max="4615" width="11.6328125" style="24" customWidth="1"/>
    <x:col min="4616" max="4616" width="9.90625" style="24" customWidth="1"/>
    <x:col min="4617" max="4617" width="11.36328125" style="24" customWidth="1"/>
    <x:col min="4618" max="4861" width="9" style="24"/>
    <x:col min="4862" max="4862" width="12.08984375" style="24" bestFit="1" customWidth="1"/>
    <x:col min="4863" max="4863" width="12" style="24" customWidth="1"/>
    <x:col min="4864" max="4864" width="21.26953125" style="24" bestFit="1" customWidth="1"/>
    <x:col min="4865" max="4865" width="9.08984375" style="24" bestFit="1" customWidth="1"/>
    <x:col min="4866" max="4866" width="11.36328125" style="24" customWidth="1"/>
    <x:col min="4867" max="4867" width="12.26953125" style="24" customWidth="1"/>
    <x:col min="4868" max="4868" width="13.08984375" style="24" customWidth="1"/>
    <x:col min="4869" max="4869" width="38.08984375" style="24" customWidth="1"/>
    <x:col min="4870" max="4870" width="19.26953125" style="24" bestFit="1" customWidth="1"/>
    <x:col min="4871" max="4871" width="11.6328125" style="24" customWidth="1"/>
    <x:col min="4872" max="4872" width="9.90625" style="24" customWidth="1"/>
    <x:col min="4873" max="4873" width="11.36328125" style="24" customWidth="1"/>
    <x:col min="4874" max="5117" width="9" style="24"/>
    <x:col min="5118" max="5118" width="12.08984375" style="24" bestFit="1" customWidth="1"/>
    <x:col min="5119" max="5119" width="12" style="24" customWidth="1"/>
    <x:col min="5120" max="5120" width="21.26953125" style="24" bestFit="1" customWidth="1"/>
    <x:col min="5121" max="5121" width="9.08984375" style="24" bestFit="1" customWidth="1"/>
    <x:col min="5122" max="5122" width="11.36328125" style="24" customWidth="1"/>
    <x:col min="5123" max="5123" width="12.26953125" style="24" customWidth="1"/>
    <x:col min="5124" max="5124" width="13.08984375" style="24" customWidth="1"/>
    <x:col min="5125" max="5125" width="38.08984375" style="24" customWidth="1"/>
    <x:col min="5126" max="5126" width="19.26953125" style="24" bestFit="1" customWidth="1"/>
    <x:col min="5127" max="5127" width="11.6328125" style="24" customWidth="1"/>
    <x:col min="5128" max="5128" width="9.90625" style="24" customWidth="1"/>
    <x:col min="5129" max="5129" width="11.36328125" style="24" customWidth="1"/>
    <x:col min="5130" max="5373" width="9" style="24"/>
    <x:col min="5374" max="5374" width="12.08984375" style="24" bestFit="1" customWidth="1"/>
    <x:col min="5375" max="5375" width="12" style="24" customWidth="1"/>
    <x:col min="5376" max="5376" width="21.26953125" style="24" bestFit="1" customWidth="1"/>
    <x:col min="5377" max="5377" width="9.08984375" style="24" bestFit="1" customWidth="1"/>
    <x:col min="5378" max="5378" width="11.36328125" style="24" customWidth="1"/>
    <x:col min="5379" max="5379" width="12.26953125" style="24" customWidth="1"/>
    <x:col min="5380" max="5380" width="13.08984375" style="24" customWidth="1"/>
    <x:col min="5381" max="5381" width="38.08984375" style="24" customWidth="1"/>
    <x:col min="5382" max="5382" width="19.26953125" style="24" bestFit="1" customWidth="1"/>
    <x:col min="5383" max="5383" width="11.6328125" style="24" customWidth="1"/>
    <x:col min="5384" max="5384" width="9.90625" style="24" customWidth="1"/>
    <x:col min="5385" max="5385" width="11.36328125" style="24" customWidth="1"/>
    <x:col min="5386" max="5629" width="9" style="24"/>
    <x:col min="5630" max="5630" width="12.08984375" style="24" bestFit="1" customWidth="1"/>
    <x:col min="5631" max="5631" width="12" style="24" customWidth="1"/>
    <x:col min="5632" max="5632" width="21.26953125" style="24" bestFit="1" customWidth="1"/>
    <x:col min="5633" max="5633" width="9.08984375" style="24" bestFit="1" customWidth="1"/>
    <x:col min="5634" max="5634" width="11.36328125" style="24" customWidth="1"/>
    <x:col min="5635" max="5635" width="12.26953125" style="24" customWidth="1"/>
    <x:col min="5636" max="5636" width="13.08984375" style="24" customWidth="1"/>
    <x:col min="5637" max="5637" width="38.08984375" style="24" customWidth="1"/>
    <x:col min="5638" max="5638" width="19.26953125" style="24" bestFit="1" customWidth="1"/>
    <x:col min="5639" max="5639" width="11.6328125" style="24" customWidth="1"/>
    <x:col min="5640" max="5640" width="9.90625" style="24" customWidth="1"/>
    <x:col min="5641" max="5641" width="11.36328125" style="24" customWidth="1"/>
    <x:col min="5642" max="5885" width="9" style="24"/>
    <x:col min="5886" max="5886" width="12.08984375" style="24" bestFit="1" customWidth="1"/>
    <x:col min="5887" max="5887" width="12" style="24" customWidth="1"/>
    <x:col min="5888" max="5888" width="21.26953125" style="24" bestFit="1" customWidth="1"/>
    <x:col min="5889" max="5889" width="9.08984375" style="24" bestFit="1" customWidth="1"/>
    <x:col min="5890" max="5890" width="11.36328125" style="24" customWidth="1"/>
    <x:col min="5891" max="5891" width="12.26953125" style="24" customWidth="1"/>
    <x:col min="5892" max="5892" width="13.08984375" style="24" customWidth="1"/>
    <x:col min="5893" max="5893" width="38.08984375" style="24" customWidth="1"/>
    <x:col min="5894" max="5894" width="19.26953125" style="24" bestFit="1" customWidth="1"/>
    <x:col min="5895" max="5895" width="11.6328125" style="24" customWidth="1"/>
    <x:col min="5896" max="5896" width="9.90625" style="24" customWidth="1"/>
    <x:col min="5897" max="5897" width="11.36328125" style="24" customWidth="1"/>
    <x:col min="5898" max="6141" width="9" style="24"/>
    <x:col min="6142" max="6142" width="12.08984375" style="24" bestFit="1" customWidth="1"/>
    <x:col min="6143" max="6143" width="12" style="24" customWidth="1"/>
    <x:col min="6144" max="6144" width="21.26953125" style="24" bestFit="1" customWidth="1"/>
    <x:col min="6145" max="6145" width="9.08984375" style="24" bestFit="1" customWidth="1"/>
    <x:col min="6146" max="6146" width="11.36328125" style="24" customWidth="1"/>
    <x:col min="6147" max="6147" width="12.26953125" style="24" customWidth="1"/>
    <x:col min="6148" max="6148" width="13.08984375" style="24" customWidth="1"/>
    <x:col min="6149" max="6149" width="38.08984375" style="24" customWidth="1"/>
    <x:col min="6150" max="6150" width="19.26953125" style="24" bestFit="1" customWidth="1"/>
    <x:col min="6151" max="6151" width="11.6328125" style="24" customWidth="1"/>
    <x:col min="6152" max="6152" width="9.90625" style="24" customWidth="1"/>
    <x:col min="6153" max="6153" width="11.36328125" style="24" customWidth="1"/>
    <x:col min="6154" max="6397" width="9" style="24"/>
    <x:col min="6398" max="6398" width="12.08984375" style="24" bestFit="1" customWidth="1"/>
    <x:col min="6399" max="6399" width="12" style="24" customWidth="1"/>
    <x:col min="6400" max="6400" width="21.26953125" style="24" bestFit="1" customWidth="1"/>
    <x:col min="6401" max="6401" width="9.08984375" style="24" bestFit="1" customWidth="1"/>
    <x:col min="6402" max="6402" width="11.36328125" style="24" customWidth="1"/>
    <x:col min="6403" max="6403" width="12.26953125" style="24" customWidth="1"/>
    <x:col min="6404" max="6404" width="13.08984375" style="24" customWidth="1"/>
    <x:col min="6405" max="6405" width="38.08984375" style="24" customWidth="1"/>
    <x:col min="6406" max="6406" width="19.26953125" style="24" bestFit="1" customWidth="1"/>
    <x:col min="6407" max="6407" width="11.6328125" style="24" customWidth="1"/>
    <x:col min="6408" max="6408" width="9.90625" style="24" customWidth="1"/>
    <x:col min="6409" max="6409" width="11.36328125" style="24" customWidth="1"/>
    <x:col min="6410" max="6653" width="9" style="24"/>
    <x:col min="6654" max="6654" width="12.08984375" style="24" bestFit="1" customWidth="1"/>
    <x:col min="6655" max="6655" width="12" style="24" customWidth="1"/>
    <x:col min="6656" max="6656" width="21.26953125" style="24" bestFit="1" customWidth="1"/>
    <x:col min="6657" max="6657" width="9.08984375" style="24" bestFit="1" customWidth="1"/>
    <x:col min="6658" max="6658" width="11.36328125" style="24" customWidth="1"/>
    <x:col min="6659" max="6659" width="12.26953125" style="24" customWidth="1"/>
    <x:col min="6660" max="6660" width="13.08984375" style="24" customWidth="1"/>
    <x:col min="6661" max="6661" width="38.08984375" style="24" customWidth="1"/>
    <x:col min="6662" max="6662" width="19.26953125" style="24" bestFit="1" customWidth="1"/>
    <x:col min="6663" max="6663" width="11.6328125" style="24" customWidth="1"/>
    <x:col min="6664" max="6664" width="9.90625" style="24" customWidth="1"/>
    <x:col min="6665" max="6665" width="11.36328125" style="24" customWidth="1"/>
    <x:col min="6666" max="6909" width="9" style="24"/>
    <x:col min="6910" max="6910" width="12.08984375" style="24" bestFit="1" customWidth="1"/>
    <x:col min="6911" max="6911" width="12" style="24" customWidth="1"/>
    <x:col min="6912" max="6912" width="21.26953125" style="24" bestFit="1" customWidth="1"/>
    <x:col min="6913" max="6913" width="9.08984375" style="24" bestFit="1" customWidth="1"/>
    <x:col min="6914" max="6914" width="11.36328125" style="24" customWidth="1"/>
    <x:col min="6915" max="6915" width="12.26953125" style="24" customWidth="1"/>
    <x:col min="6916" max="6916" width="13.08984375" style="24" customWidth="1"/>
    <x:col min="6917" max="6917" width="38.08984375" style="24" customWidth="1"/>
    <x:col min="6918" max="6918" width="19.26953125" style="24" bestFit="1" customWidth="1"/>
    <x:col min="6919" max="6919" width="11.6328125" style="24" customWidth="1"/>
    <x:col min="6920" max="6920" width="9.90625" style="24" customWidth="1"/>
    <x:col min="6921" max="6921" width="11.36328125" style="24" customWidth="1"/>
    <x:col min="6922" max="7165" width="9" style="24"/>
    <x:col min="7166" max="7166" width="12.08984375" style="24" bestFit="1" customWidth="1"/>
    <x:col min="7167" max="7167" width="12" style="24" customWidth="1"/>
    <x:col min="7168" max="7168" width="21.26953125" style="24" bestFit="1" customWidth="1"/>
    <x:col min="7169" max="7169" width="9.08984375" style="24" bestFit="1" customWidth="1"/>
    <x:col min="7170" max="7170" width="11.36328125" style="24" customWidth="1"/>
    <x:col min="7171" max="7171" width="12.26953125" style="24" customWidth="1"/>
    <x:col min="7172" max="7172" width="13.08984375" style="24" customWidth="1"/>
    <x:col min="7173" max="7173" width="38.08984375" style="24" customWidth="1"/>
    <x:col min="7174" max="7174" width="19.26953125" style="24" bestFit="1" customWidth="1"/>
    <x:col min="7175" max="7175" width="11.6328125" style="24" customWidth="1"/>
    <x:col min="7176" max="7176" width="9.90625" style="24" customWidth="1"/>
    <x:col min="7177" max="7177" width="11.36328125" style="24" customWidth="1"/>
    <x:col min="7178" max="7421" width="9" style="24"/>
    <x:col min="7422" max="7422" width="12.08984375" style="24" bestFit="1" customWidth="1"/>
    <x:col min="7423" max="7423" width="12" style="24" customWidth="1"/>
    <x:col min="7424" max="7424" width="21.26953125" style="24" bestFit="1" customWidth="1"/>
    <x:col min="7425" max="7425" width="9.08984375" style="24" bestFit="1" customWidth="1"/>
    <x:col min="7426" max="7426" width="11.36328125" style="24" customWidth="1"/>
    <x:col min="7427" max="7427" width="12.26953125" style="24" customWidth="1"/>
    <x:col min="7428" max="7428" width="13.08984375" style="24" customWidth="1"/>
    <x:col min="7429" max="7429" width="38.08984375" style="24" customWidth="1"/>
    <x:col min="7430" max="7430" width="19.26953125" style="24" bestFit="1" customWidth="1"/>
    <x:col min="7431" max="7431" width="11.6328125" style="24" customWidth="1"/>
    <x:col min="7432" max="7432" width="9.90625" style="24" customWidth="1"/>
    <x:col min="7433" max="7433" width="11.36328125" style="24" customWidth="1"/>
    <x:col min="7434" max="7677" width="9" style="24"/>
    <x:col min="7678" max="7678" width="12.08984375" style="24" bestFit="1" customWidth="1"/>
    <x:col min="7679" max="7679" width="12" style="24" customWidth="1"/>
    <x:col min="7680" max="7680" width="21.26953125" style="24" bestFit="1" customWidth="1"/>
    <x:col min="7681" max="7681" width="9.08984375" style="24" bestFit="1" customWidth="1"/>
    <x:col min="7682" max="7682" width="11.36328125" style="24" customWidth="1"/>
    <x:col min="7683" max="7683" width="12.26953125" style="24" customWidth="1"/>
    <x:col min="7684" max="7684" width="13.08984375" style="24" customWidth="1"/>
    <x:col min="7685" max="7685" width="38.08984375" style="24" customWidth="1"/>
    <x:col min="7686" max="7686" width="19.26953125" style="24" bestFit="1" customWidth="1"/>
    <x:col min="7687" max="7687" width="11.6328125" style="24" customWidth="1"/>
    <x:col min="7688" max="7688" width="9.90625" style="24" customWidth="1"/>
    <x:col min="7689" max="7689" width="11.36328125" style="24" customWidth="1"/>
    <x:col min="7690" max="7933" width="9" style="24"/>
    <x:col min="7934" max="7934" width="12.08984375" style="24" bestFit="1" customWidth="1"/>
    <x:col min="7935" max="7935" width="12" style="24" customWidth="1"/>
    <x:col min="7936" max="7936" width="21.26953125" style="24" bestFit="1" customWidth="1"/>
    <x:col min="7937" max="7937" width="9.08984375" style="24" bestFit="1" customWidth="1"/>
    <x:col min="7938" max="7938" width="11.36328125" style="24" customWidth="1"/>
    <x:col min="7939" max="7939" width="12.26953125" style="24" customWidth="1"/>
    <x:col min="7940" max="7940" width="13.08984375" style="24" customWidth="1"/>
    <x:col min="7941" max="7941" width="38.08984375" style="24" customWidth="1"/>
    <x:col min="7942" max="7942" width="19.26953125" style="24" bestFit="1" customWidth="1"/>
    <x:col min="7943" max="7943" width="11.6328125" style="24" customWidth="1"/>
    <x:col min="7944" max="7944" width="9.90625" style="24" customWidth="1"/>
    <x:col min="7945" max="7945" width="11.36328125" style="24" customWidth="1"/>
    <x:col min="7946" max="8189" width="9" style="24"/>
    <x:col min="8190" max="8190" width="12.08984375" style="24" bestFit="1" customWidth="1"/>
    <x:col min="8191" max="8191" width="12" style="24" customWidth="1"/>
    <x:col min="8192" max="8192" width="21.26953125" style="24" bestFit="1" customWidth="1"/>
    <x:col min="8193" max="8193" width="9.08984375" style="24" bestFit="1" customWidth="1"/>
    <x:col min="8194" max="8194" width="11.36328125" style="24" customWidth="1"/>
    <x:col min="8195" max="8195" width="12.26953125" style="24" customWidth="1"/>
    <x:col min="8196" max="8196" width="13.08984375" style="24" customWidth="1"/>
    <x:col min="8197" max="8197" width="38.08984375" style="24" customWidth="1"/>
    <x:col min="8198" max="8198" width="19.26953125" style="24" bestFit="1" customWidth="1"/>
    <x:col min="8199" max="8199" width="11.6328125" style="24" customWidth="1"/>
    <x:col min="8200" max="8200" width="9.90625" style="24" customWidth="1"/>
    <x:col min="8201" max="8201" width="11.36328125" style="24" customWidth="1"/>
    <x:col min="8202" max="8445" width="9" style="24"/>
    <x:col min="8446" max="8446" width="12.08984375" style="24" bestFit="1" customWidth="1"/>
    <x:col min="8447" max="8447" width="12" style="24" customWidth="1"/>
    <x:col min="8448" max="8448" width="21.26953125" style="24" bestFit="1" customWidth="1"/>
    <x:col min="8449" max="8449" width="9.08984375" style="24" bestFit="1" customWidth="1"/>
    <x:col min="8450" max="8450" width="11.36328125" style="24" customWidth="1"/>
    <x:col min="8451" max="8451" width="12.26953125" style="24" customWidth="1"/>
    <x:col min="8452" max="8452" width="13.08984375" style="24" customWidth="1"/>
    <x:col min="8453" max="8453" width="38.08984375" style="24" customWidth="1"/>
    <x:col min="8454" max="8454" width="19.26953125" style="24" bestFit="1" customWidth="1"/>
    <x:col min="8455" max="8455" width="11.6328125" style="24" customWidth="1"/>
    <x:col min="8456" max="8456" width="9.90625" style="24" customWidth="1"/>
    <x:col min="8457" max="8457" width="11.36328125" style="24" customWidth="1"/>
    <x:col min="8458" max="8701" width="9" style="24"/>
    <x:col min="8702" max="8702" width="12.08984375" style="24" bestFit="1" customWidth="1"/>
    <x:col min="8703" max="8703" width="12" style="24" customWidth="1"/>
    <x:col min="8704" max="8704" width="21.26953125" style="24" bestFit="1" customWidth="1"/>
    <x:col min="8705" max="8705" width="9.08984375" style="24" bestFit="1" customWidth="1"/>
    <x:col min="8706" max="8706" width="11.36328125" style="24" customWidth="1"/>
    <x:col min="8707" max="8707" width="12.26953125" style="24" customWidth="1"/>
    <x:col min="8708" max="8708" width="13.08984375" style="24" customWidth="1"/>
    <x:col min="8709" max="8709" width="38.08984375" style="24" customWidth="1"/>
    <x:col min="8710" max="8710" width="19.26953125" style="24" bestFit="1" customWidth="1"/>
    <x:col min="8711" max="8711" width="11.6328125" style="24" customWidth="1"/>
    <x:col min="8712" max="8712" width="9.90625" style="24" customWidth="1"/>
    <x:col min="8713" max="8713" width="11.36328125" style="24" customWidth="1"/>
    <x:col min="8714" max="8957" width="9" style="24"/>
    <x:col min="8958" max="8958" width="12.08984375" style="24" bestFit="1" customWidth="1"/>
    <x:col min="8959" max="8959" width="12" style="24" customWidth="1"/>
    <x:col min="8960" max="8960" width="21.26953125" style="24" bestFit="1" customWidth="1"/>
    <x:col min="8961" max="8961" width="9.08984375" style="24" bestFit="1" customWidth="1"/>
    <x:col min="8962" max="8962" width="11.36328125" style="24" customWidth="1"/>
    <x:col min="8963" max="8963" width="12.26953125" style="24" customWidth="1"/>
    <x:col min="8964" max="8964" width="13.08984375" style="24" customWidth="1"/>
    <x:col min="8965" max="8965" width="38.08984375" style="24" customWidth="1"/>
    <x:col min="8966" max="8966" width="19.26953125" style="24" bestFit="1" customWidth="1"/>
    <x:col min="8967" max="8967" width="11.6328125" style="24" customWidth="1"/>
    <x:col min="8968" max="8968" width="9.90625" style="24" customWidth="1"/>
    <x:col min="8969" max="8969" width="11.36328125" style="24" customWidth="1"/>
    <x:col min="8970" max="9213" width="9" style="24"/>
    <x:col min="9214" max="9214" width="12.08984375" style="24" bestFit="1" customWidth="1"/>
    <x:col min="9215" max="9215" width="12" style="24" customWidth="1"/>
    <x:col min="9216" max="9216" width="21.26953125" style="24" bestFit="1" customWidth="1"/>
    <x:col min="9217" max="9217" width="9.08984375" style="24" bestFit="1" customWidth="1"/>
    <x:col min="9218" max="9218" width="11.36328125" style="24" customWidth="1"/>
    <x:col min="9219" max="9219" width="12.26953125" style="24" customWidth="1"/>
    <x:col min="9220" max="9220" width="13.08984375" style="24" customWidth="1"/>
    <x:col min="9221" max="9221" width="38.08984375" style="24" customWidth="1"/>
    <x:col min="9222" max="9222" width="19.26953125" style="24" bestFit="1" customWidth="1"/>
    <x:col min="9223" max="9223" width="11.6328125" style="24" customWidth="1"/>
    <x:col min="9224" max="9224" width="9.90625" style="24" customWidth="1"/>
    <x:col min="9225" max="9225" width="11.36328125" style="24" customWidth="1"/>
    <x:col min="9226" max="9469" width="9" style="24"/>
    <x:col min="9470" max="9470" width="12.08984375" style="24" bestFit="1" customWidth="1"/>
    <x:col min="9471" max="9471" width="12" style="24" customWidth="1"/>
    <x:col min="9472" max="9472" width="21.26953125" style="24" bestFit="1" customWidth="1"/>
    <x:col min="9473" max="9473" width="9.08984375" style="24" bestFit="1" customWidth="1"/>
    <x:col min="9474" max="9474" width="11.36328125" style="24" customWidth="1"/>
    <x:col min="9475" max="9475" width="12.26953125" style="24" customWidth="1"/>
    <x:col min="9476" max="9476" width="13.08984375" style="24" customWidth="1"/>
    <x:col min="9477" max="9477" width="38.08984375" style="24" customWidth="1"/>
    <x:col min="9478" max="9478" width="19.26953125" style="24" bestFit="1" customWidth="1"/>
    <x:col min="9479" max="9479" width="11.6328125" style="24" customWidth="1"/>
    <x:col min="9480" max="9480" width="9.90625" style="24" customWidth="1"/>
    <x:col min="9481" max="9481" width="11.36328125" style="24" customWidth="1"/>
    <x:col min="9482" max="9725" width="9" style="24"/>
    <x:col min="9726" max="9726" width="12.08984375" style="24" bestFit="1" customWidth="1"/>
    <x:col min="9727" max="9727" width="12" style="24" customWidth="1"/>
    <x:col min="9728" max="9728" width="21.26953125" style="24" bestFit="1" customWidth="1"/>
    <x:col min="9729" max="9729" width="9.08984375" style="24" bestFit="1" customWidth="1"/>
    <x:col min="9730" max="9730" width="11.36328125" style="24" customWidth="1"/>
    <x:col min="9731" max="9731" width="12.26953125" style="24" customWidth="1"/>
    <x:col min="9732" max="9732" width="13.08984375" style="24" customWidth="1"/>
    <x:col min="9733" max="9733" width="38.08984375" style="24" customWidth="1"/>
    <x:col min="9734" max="9734" width="19.26953125" style="24" bestFit="1" customWidth="1"/>
    <x:col min="9735" max="9735" width="11.6328125" style="24" customWidth="1"/>
    <x:col min="9736" max="9736" width="9.90625" style="24" customWidth="1"/>
    <x:col min="9737" max="9737" width="11.36328125" style="24" customWidth="1"/>
    <x:col min="9738" max="9981" width="9" style="24"/>
    <x:col min="9982" max="9982" width="12.08984375" style="24" bestFit="1" customWidth="1"/>
    <x:col min="9983" max="9983" width="12" style="24" customWidth="1"/>
    <x:col min="9984" max="9984" width="21.26953125" style="24" bestFit="1" customWidth="1"/>
    <x:col min="9985" max="9985" width="9.08984375" style="24" bestFit="1" customWidth="1"/>
    <x:col min="9986" max="9986" width="11.36328125" style="24" customWidth="1"/>
    <x:col min="9987" max="9987" width="12.26953125" style="24" customWidth="1"/>
    <x:col min="9988" max="9988" width="13.08984375" style="24" customWidth="1"/>
    <x:col min="9989" max="9989" width="38.08984375" style="24" customWidth="1"/>
    <x:col min="9990" max="9990" width="19.26953125" style="24" bestFit="1" customWidth="1"/>
    <x:col min="9991" max="9991" width="11.6328125" style="24" customWidth="1"/>
    <x:col min="9992" max="9992" width="9.90625" style="24" customWidth="1"/>
    <x:col min="9993" max="9993" width="11.36328125" style="24" customWidth="1"/>
    <x:col min="9994" max="10237" width="9" style="24"/>
    <x:col min="10238" max="10238" width="12.08984375" style="24" bestFit="1" customWidth="1"/>
    <x:col min="10239" max="10239" width="12" style="24" customWidth="1"/>
    <x:col min="10240" max="10240" width="21.26953125" style="24" bestFit="1" customWidth="1"/>
    <x:col min="10241" max="10241" width="9.08984375" style="24" bestFit="1" customWidth="1"/>
    <x:col min="10242" max="10242" width="11.36328125" style="24" customWidth="1"/>
    <x:col min="10243" max="10243" width="12.26953125" style="24" customWidth="1"/>
    <x:col min="10244" max="10244" width="13.08984375" style="24" customWidth="1"/>
    <x:col min="10245" max="10245" width="38.08984375" style="24" customWidth="1"/>
    <x:col min="10246" max="10246" width="19.26953125" style="24" bestFit="1" customWidth="1"/>
    <x:col min="10247" max="10247" width="11.6328125" style="24" customWidth="1"/>
    <x:col min="10248" max="10248" width="9.90625" style="24" customWidth="1"/>
    <x:col min="10249" max="10249" width="11.36328125" style="24" customWidth="1"/>
    <x:col min="10250" max="10493" width="9" style="24"/>
    <x:col min="10494" max="10494" width="12.08984375" style="24" bestFit="1" customWidth="1"/>
    <x:col min="10495" max="10495" width="12" style="24" customWidth="1"/>
    <x:col min="10496" max="10496" width="21.26953125" style="24" bestFit="1" customWidth="1"/>
    <x:col min="10497" max="10497" width="9.08984375" style="24" bestFit="1" customWidth="1"/>
    <x:col min="10498" max="10498" width="11.36328125" style="24" customWidth="1"/>
    <x:col min="10499" max="10499" width="12.26953125" style="24" customWidth="1"/>
    <x:col min="10500" max="10500" width="13.08984375" style="24" customWidth="1"/>
    <x:col min="10501" max="10501" width="38.08984375" style="24" customWidth="1"/>
    <x:col min="10502" max="10502" width="19.26953125" style="24" bestFit="1" customWidth="1"/>
    <x:col min="10503" max="10503" width="11.6328125" style="24" customWidth="1"/>
    <x:col min="10504" max="10504" width="9.90625" style="24" customWidth="1"/>
    <x:col min="10505" max="10505" width="11.36328125" style="24" customWidth="1"/>
    <x:col min="10506" max="10749" width="9" style="24"/>
    <x:col min="10750" max="10750" width="12.08984375" style="24" bestFit="1" customWidth="1"/>
    <x:col min="10751" max="10751" width="12" style="24" customWidth="1"/>
    <x:col min="10752" max="10752" width="21.26953125" style="24" bestFit="1" customWidth="1"/>
    <x:col min="10753" max="10753" width="9.08984375" style="24" bestFit="1" customWidth="1"/>
    <x:col min="10754" max="10754" width="11.36328125" style="24" customWidth="1"/>
    <x:col min="10755" max="10755" width="12.26953125" style="24" customWidth="1"/>
    <x:col min="10756" max="10756" width="13.08984375" style="24" customWidth="1"/>
    <x:col min="10757" max="10757" width="38.08984375" style="24" customWidth="1"/>
    <x:col min="10758" max="10758" width="19.26953125" style="24" bestFit="1" customWidth="1"/>
    <x:col min="10759" max="10759" width="11.6328125" style="24" customWidth="1"/>
    <x:col min="10760" max="10760" width="9.90625" style="24" customWidth="1"/>
    <x:col min="10761" max="10761" width="11.36328125" style="24" customWidth="1"/>
    <x:col min="10762" max="11005" width="9" style="24"/>
    <x:col min="11006" max="11006" width="12.08984375" style="24" bestFit="1" customWidth="1"/>
    <x:col min="11007" max="11007" width="12" style="24" customWidth="1"/>
    <x:col min="11008" max="11008" width="21.26953125" style="24" bestFit="1" customWidth="1"/>
    <x:col min="11009" max="11009" width="9.08984375" style="24" bestFit="1" customWidth="1"/>
    <x:col min="11010" max="11010" width="11.36328125" style="24" customWidth="1"/>
    <x:col min="11011" max="11011" width="12.26953125" style="24" customWidth="1"/>
    <x:col min="11012" max="11012" width="13.08984375" style="24" customWidth="1"/>
    <x:col min="11013" max="11013" width="38.08984375" style="24" customWidth="1"/>
    <x:col min="11014" max="11014" width="19.26953125" style="24" bestFit="1" customWidth="1"/>
    <x:col min="11015" max="11015" width="11.6328125" style="24" customWidth="1"/>
    <x:col min="11016" max="11016" width="9.90625" style="24" customWidth="1"/>
    <x:col min="11017" max="11017" width="11.36328125" style="24" customWidth="1"/>
    <x:col min="11018" max="11261" width="9" style="24"/>
    <x:col min="11262" max="11262" width="12.08984375" style="24" bestFit="1" customWidth="1"/>
    <x:col min="11263" max="11263" width="12" style="24" customWidth="1"/>
    <x:col min="11264" max="11264" width="21.26953125" style="24" bestFit="1" customWidth="1"/>
    <x:col min="11265" max="11265" width="9.08984375" style="24" bestFit="1" customWidth="1"/>
    <x:col min="11266" max="11266" width="11.36328125" style="24" customWidth="1"/>
    <x:col min="11267" max="11267" width="12.26953125" style="24" customWidth="1"/>
    <x:col min="11268" max="11268" width="13.08984375" style="24" customWidth="1"/>
    <x:col min="11269" max="11269" width="38.08984375" style="24" customWidth="1"/>
    <x:col min="11270" max="11270" width="19.26953125" style="24" bestFit="1" customWidth="1"/>
    <x:col min="11271" max="11271" width="11.6328125" style="24" customWidth="1"/>
    <x:col min="11272" max="11272" width="9.90625" style="24" customWidth="1"/>
    <x:col min="11273" max="11273" width="11.36328125" style="24" customWidth="1"/>
    <x:col min="11274" max="11517" width="9" style="24"/>
    <x:col min="11518" max="11518" width="12.08984375" style="24" bestFit="1" customWidth="1"/>
    <x:col min="11519" max="11519" width="12" style="24" customWidth="1"/>
    <x:col min="11520" max="11520" width="21.26953125" style="24" bestFit="1" customWidth="1"/>
    <x:col min="11521" max="11521" width="9.08984375" style="24" bestFit="1" customWidth="1"/>
    <x:col min="11522" max="11522" width="11.36328125" style="24" customWidth="1"/>
    <x:col min="11523" max="11523" width="12.26953125" style="24" customWidth="1"/>
    <x:col min="11524" max="11524" width="13.08984375" style="24" customWidth="1"/>
    <x:col min="11525" max="11525" width="38.08984375" style="24" customWidth="1"/>
    <x:col min="11526" max="11526" width="19.26953125" style="24" bestFit="1" customWidth="1"/>
    <x:col min="11527" max="11527" width="11.6328125" style="24" customWidth="1"/>
    <x:col min="11528" max="11528" width="9.90625" style="24" customWidth="1"/>
    <x:col min="11529" max="11529" width="11.36328125" style="24" customWidth="1"/>
    <x:col min="11530" max="11773" width="9" style="24"/>
    <x:col min="11774" max="11774" width="12.08984375" style="24" bestFit="1" customWidth="1"/>
    <x:col min="11775" max="11775" width="12" style="24" customWidth="1"/>
    <x:col min="11776" max="11776" width="21.26953125" style="24" bestFit="1" customWidth="1"/>
    <x:col min="11777" max="11777" width="9.08984375" style="24" bestFit="1" customWidth="1"/>
    <x:col min="11778" max="11778" width="11.36328125" style="24" customWidth="1"/>
    <x:col min="11779" max="11779" width="12.26953125" style="24" customWidth="1"/>
    <x:col min="11780" max="11780" width="13.08984375" style="24" customWidth="1"/>
    <x:col min="11781" max="11781" width="38.08984375" style="24" customWidth="1"/>
    <x:col min="11782" max="11782" width="19.26953125" style="24" bestFit="1" customWidth="1"/>
    <x:col min="11783" max="11783" width="11.6328125" style="24" customWidth="1"/>
    <x:col min="11784" max="11784" width="9.90625" style="24" customWidth="1"/>
    <x:col min="11785" max="11785" width="11.36328125" style="24" customWidth="1"/>
    <x:col min="11786" max="12029" width="9" style="24"/>
    <x:col min="12030" max="12030" width="12.08984375" style="24" bestFit="1" customWidth="1"/>
    <x:col min="12031" max="12031" width="12" style="24" customWidth="1"/>
    <x:col min="12032" max="12032" width="21.26953125" style="24" bestFit="1" customWidth="1"/>
    <x:col min="12033" max="12033" width="9.08984375" style="24" bestFit="1" customWidth="1"/>
    <x:col min="12034" max="12034" width="11.36328125" style="24" customWidth="1"/>
    <x:col min="12035" max="12035" width="12.26953125" style="24" customWidth="1"/>
    <x:col min="12036" max="12036" width="13.08984375" style="24" customWidth="1"/>
    <x:col min="12037" max="12037" width="38.08984375" style="24" customWidth="1"/>
    <x:col min="12038" max="12038" width="19.26953125" style="24" bestFit="1" customWidth="1"/>
    <x:col min="12039" max="12039" width="11.6328125" style="24" customWidth="1"/>
    <x:col min="12040" max="12040" width="9.90625" style="24" customWidth="1"/>
    <x:col min="12041" max="12041" width="11.36328125" style="24" customWidth="1"/>
    <x:col min="12042" max="12285" width="9" style="24"/>
    <x:col min="12286" max="12286" width="12.08984375" style="24" bestFit="1" customWidth="1"/>
    <x:col min="12287" max="12287" width="12" style="24" customWidth="1"/>
    <x:col min="12288" max="12288" width="21.26953125" style="24" bestFit="1" customWidth="1"/>
    <x:col min="12289" max="12289" width="9.08984375" style="24" bestFit="1" customWidth="1"/>
    <x:col min="12290" max="12290" width="11.36328125" style="24" customWidth="1"/>
    <x:col min="12291" max="12291" width="12.26953125" style="24" customWidth="1"/>
    <x:col min="12292" max="12292" width="13.08984375" style="24" customWidth="1"/>
    <x:col min="12293" max="12293" width="38.08984375" style="24" customWidth="1"/>
    <x:col min="12294" max="12294" width="19.26953125" style="24" bestFit="1" customWidth="1"/>
    <x:col min="12295" max="12295" width="11.6328125" style="24" customWidth="1"/>
    <x:col min="12296" max="12296" width="9.90625" style="24" customWidth="1"/>
    <x:col min="12297" max="12297" width="11.36328125" style="24" customWidth="1"/>
    <x:col min="12298" max="12541" width="9" style="24"/>
    <x:col min="12542" max="12542" width="12.08984375" style="24" bestFit="1" customWidth="1"/>
    <x:col min="12543" max="12543" width="12" style="24" customWidth="1"/>
    <x:col min="12544" max="12544" width="21.26953125" style="24" bestFit="1" customWidth="1"/>
    <x:col min="12545" max="12545" width="9.08984375" style="24" bestFit="1" customWidth="1"/>
    <x:col min="12546" max="12546" width="11.36328125" style="24" customWidth="1"/>
    <x:col min="12547" max="12547" width="12.26953125" style="24" customWidth="1"/>
    <x:col min="12548" max="12548" width="13.08984375" style="24" customWidth="1"/>
    <x:col min="12549" max="12549" width="38.08984375" style="24" customWidth="1"/>
    <x:col min="12550" max="12550" width="19.26953125" style="24" bestFit="1" customWidth="1"/>
    <x:col min="12551" max="12551" width="11.6328125" style="24" customWidth="1"/>
    <x:col min="12552" max="12552" width="9.90625" style="24" customWidth="1"/>
    <x:col min="12553" max="12553" width="11.36328125" style="24" customWidth="1"/>
    <x:col min="12554" max="12797" width="9" style="24"/>
    <x:col min="12798" max="12798" width="12.08984375" style="24" bestFit="1" customWidth="1"/>
    <x:col min="12799" max="12799" width="12" style="24" customWidth="1"/>
    <x:col min="12800" max="12800" width="21.26953125" style="24" bestFit="1" customWidth="1"/>
    <x:col min="12801" max="12801" width="9.08984375" style="24" bestFit="1" customWidth="1"/>
    <x:col min="12802" max="12802" width="11.36328125" style="24" customWidth="1"/>
    <x:col min="12803" max="12803" width="12.26953125" style="24" customWidth="1"/>
    <x:col min="12804" max="12804" width="13.08984375" style="24" customWidth="1"/>
    <x:col min="12805" max="12805" width="38.08984375" style="24" customWidth="1"/>
    <x:col min="12806" max="12806" width="19.26953125" style="24" bestFit="1" customWidth="1"/>
    <x:col min="12807" max="12807" width="11.6328125" style="24" customWidth="1"/>
    <x:col min="12808" max="12808" width="9.90625" style="24" customWidth="1"/>
    <x:col min="12809" max="12809" width="11.36328125" style="24" customWidth="1"/>
    <x:col min="12810" max="13053" width="9" style="24"/>
    <x:col min="13054" max="13054" width="12.08984375" style="24" bestFit="1" customWidth="1"/>
    <x:col min="13055" max="13055" width="12" style="24" customWidth="1"/>
    <x:col min="13056" max="13056" width="21.26953125" style="24" bestFit="1" customWidth="1"/>
    <x:col min="13057" max="13057" width="9.08984375" style="24" bestFit="1" customWidth="1"/>
    <x:col min="13058" max="13058" width="11.36328125" style="24" customWidth="1"/>
    <x:col min="13059" max="13059" width="12.26953125" style="24" customWidth="1"/>
    <x:col min="13060" max="13060" width="13.08984375" style="24" customWidth="1"/>
    <x:col min="13061" max="13061" width="38.08984375" style="24" customWidth="1"/>
    <x:col min="13062" max="13062" width="19.26953125" style="24" bestFit="1" customWidth="1"/>
    <x:col min="13063" max="13063" width="11.6328125" style="24" customWidth="1"/>
    <x:col min="13064" max="13064" width="9.90625" style="24" customWidth="1"/>
    <x:col min="13065" max="13065" width="11.36328125" style="24" customWidth="1"/>
    <x:col min="13066" max="13309" width="9" style="24"/>
    <x:col min="13310" max="13310" width="12.08984375" style="24" bestFit="1" customWidth="1"/>
    <x:col min="13311" max="13311" width="12" style="24" customWidth="1"/>
    <x:col min="13312" max="13312" width="21.26953125" style="24" bestFit="1" customWidth="1"/>
    <x:col min="13313" max="13313" width="9.08984375" style="24" bestFit="1" customWidth="1"/>
    <x:col min="13314" max="13314" width="11.36328125" style="24" customWidth="1"/>
    <x:col min="13315" max="13315" width="12.26953125" style="24" customWidth="1"/>
    <x:col min="13316" max="13316" width="13.08984375" style="24" customWidth="1"/>
    <x:col min="13317" max="13317" width="38.08984375" style="24" customWidth="1"/>
    <x:col min="13318" max="13318" width="19.26953125" style="24" bestFit="1" customWidth="1"/>
    <x:col min="13319" max="13319" width="11.6328125" style="24" customWidth="1"/>
    <x:col min="13320" max="13320" width="9.90625" style="24" customWidth="1"/>
    <x:col min="13321" max="13321" width="11.36328125" style="24" customWidth="1"/>
    <x:col min="13322" max="13565" width="9" style="24"/>
    <x:col min="13566" max="13566" width="12.08984375" style="24" bestFit="1" customWidth="1"/>
    <x:col min="13567" max="13567" width="12" style="24" customWidth="1"/>
    <x:col min="13568" max="13568" width="21.26953125" style="24" bestFit="1" customWidth="1"/>
    <x:col min="13569" max="13569" width="9.08984375" style="24" bestFit="1" customWidth="1"/>
    <x:col min="13570" max="13570" width="11.36328125" style="24" customWidth="1"/>
    <x:col min="13571" max="13571" width="12.26953125" style="24" customWidth="1"/>
    <x:col min="13572" max="13572" width="13.08984375" style="24" customWidth="1"/>
    <x:col min="13573" max="13573" width="38.08984375" style="24" customWidth="1"/>
    <x:col min="13574" max="13574" width="19.26953125" style="24" bestFit="1" customWidth="1"/>
    <x:col min="13575" max="13575" width="11.6328125" style="24" customWidth="1"/>
    <x:col min="13576" max="13576" width="9.90625" style="24" customWidth="1"/>
    <x:col min="13577" max="13577" width="11.36328125" style="24" customWidth="1"/>
    <x:col min="13578" max="13821" width="9" style="24"/>
    <x:col min="13822" max="13822" width="12.08984375" style="24" bestFit="1" customWidth="1"/>
    <x:col min="13823" max="13823" width="12" style="24" customWidth="1"/>
    <x:col min="13824" max="13824" width="21.26953125" style="24" bestFit="1" customWidth="1"/>
    <x:col min="13825" max="13825" width="9.08984375" style="24" bestFit="1" customWidth="1"/>
    <x:col min="13826" max="13826" width="11.36328125" style="24" customWidth="1"/>
    <x:col min="13827" max="13827" width="12.26953125" style="24" customWidth="1"/>
    <x:col min="13828" max="13828" width="13.08984375" style="24" customWidth="1"/>
    <x:col min="13829" max="13829" width="38.08984375" style="24" customWidth="1"/>
    <x:col min="13830" max="13830" width="19.26953125" style="24" bestFit="1" customWidth="1"/>
    <x:col min="13831" max="13831" width="11.6328125" style="24" customWidth="1"/>
    <x:col min="13832" max="13832" width="9.90625" style="24" customWidth="1"/>
    <x:col min="13833" max="13833" width="11.36328125" style="24" customWidth="1"/>
    <x:col min="13834" max="14077" width="9" style="24"/>
    <x:col min="14078" max="14078" width="12.08984375" style="24" bestFit="1" customWidth="1"/>
    <x:col min="14079" max="14079" width="12" style="24" customWidth="1"/>
    <x:col min="14080" max="14080" width="21.26953125" style="24" bestFit="1" customWidth="1"/>
    <x:col min="14081" max="14081" width="9.08984375" style="24" bestFit="1" customWidth="1"/>
    <x:col min="14082" max="14082" width="11.36328125" style="24" customWidth="1"/>
    <x:col min="14083" max="14083" width="12.26953125" style="24" customWidth="1"/>
    <x:col min="14084" max="14084" width="13.08984375" style="24" customWidth="1"/>
    <x:col min="14085" max="14085" width="38.08984375" style="24" customWidth="1"/>
    <x:col min="14086" max="14086" width="19.26953125" style="24" bestFit="1" customWidth="1"/>
    <x:col min="14087" max="14087" width="11.6328125" style="24" customWidth="1"/>
    <x:col min="14088" max="14088" width="9.90625" style="24" customWidth="1"/>
    <x:col min="14089" max="14089" width="11.36328125" style="24" customWidth="1"/>
    <x:col min="14090" max="14333" width="9" style="24"/>
    <x:col min="14334" max="14334" width="12.08984375" style="24" bestFit="1" customWidth="1"/>
    <x:col min="14335" max="14335" width="12" style="24" customWidth="1"/>
    <x:col min="14336" max="14336" width="21.26953125" style="24" bestFit="1" customWidth="1"/>
    <x:col min="14337" max="14337" width="9.08984375" style="24" bestFit="1" customWidth="1"/>
    <x:col min="14338" max="14338" width="11.36328125" style="24" customWidth="1"/>
    <x:col min="14339" max="14339" width="12.26953125" style="24" customWidth="1"/>
    <x:col min="14340" max="14340" width="13.08984375" style="24" customWidth="1"/>
    <x:col min="14341" max="14341" width="38.08984375" style="24" customWidth="1"/>
    <x:col min="14342" max="14342" width="19.26953125" style="24" bestFit="1" customWidth="1"/>
    <x:col min="14343" max="14343" width="11.6328125" style="24" customWidth="1"/>
    <x:col min="14344" max="14344" width="9.90625" style="24" customWidth="1"/>
    <x:col min="14345" max="14345" width="11.36328125" style="24" customWidth="1"/>
    <x:col min="14346" max="14589" width="9" style="24"/>
    <x:col min="14590" max="14590" width="12.08984375" style="24" bestFit="1" customWidth="1"/>
    <x:col min="14591" max="14591" width="12" style="24" customWidth="1"/>
    <x:col min="14592" max="14592" width="21.26953125" style="24" bestFit="1" customWidth="1"/>
    <x:col min="14593" max="14593" width="9.08984375" style="24" bestFit="1" customWidth="1"/>
    <x:col min="14594" max="14594" width="11.36328125" style="24" customWidth="1"/>
    <x:col min="14595" max="14595" width="12.26953125" style="24" customWidth="1"/>
    <x:col min="14596" max="14596" width="13.08984375" style="24" customWidth="1"/>
    <x:col min="14597" max="14597" width="38.08984375" style="24" customWidth="1"/>
    <x:col min="14598" max="14598" width="19.26953125" style="24" bestFit="1" customWidth="1"/>
    <x:col min="14599" max="14599" width="11.6328125" style="24" customWidth="1"/>
    <x:col min="14600" max="14600" width="9.90625" style="24" customWidth="1"/>
    <x:col min="14601" max="14601" width="11.36328125" style="24" customWidth="1"/>
    <x:col min="14602" max="14845" width="9" style="24"/>
    <x:col min="14846" max="14846" width="12.08984375" style="24" bestFit="1" customWidth="1"/>
    <x:col min="14847" max="14847" width="12" style="24" customWidth="1"/>
    <x:col min="14848" max="14848" width="21.26953125" style="24" bestFit="1" customWidth="1"/>
    <x:col min="14849" max="14849" width="9.08984375" style="24" bestFit="1" customWidth="1"/>
    <x:col min="14850" max="14850" width="11.36328125" style="24" customWidth="1"/>
    <x:col min="14851" max="14851" width="12.26953125" style="24" customWidth="1"/>
    <x:col min="14852" max="14852" width="13.08984375" style="24" customWidth="1"/>
    <x:col min="14853" max="14853" width="38.08984375" style="24" customWidth="1"/>
    <x:col min="14854" max="14854" width="19.26953125" style="24" bestFit="1" customWidth="1"/>
    <x:col min="14855" max="14855" width="11.6328125" style="24" customWidth="1"/>
    <x:col min="14856" max="14856" width="9.90625" style="24" customWidth="1"/>
    <x:col min="14857" max="14857" width="11.36328125" style="24" customWidth="1"/>
    <x:col min="14858" max="15101" width="9" style="24"/>
    <x:col min="15102" max="15102" width="12.08984375" style="24" bestFit="1" customWidth="1"/>
    <x:col min="15103" max="15103" width="12" style="24" customWidth="1"/>
    <x:col min="15104" max="15104" width="21.26953125" style="24" bestFit="1" customWidth="1"/>
    <x:col min="15105" max="15105" width="9.08984375" style="24" bestFit="1" customWidth="1"/>
    <x:col min="15106" max="15106" width="11.36328125" style="24" customWidth="1"/>
    <x:col min="15107" max="15107" width="12.26953125" style="24" customWidth="1"/>
    <x:col min="15108" max="15108" width="13.08984375" style="24" customWidth="1"/>
    <x:col min="15109" max="15109" width="38.08984375" style="24" customWidth="1"/>
    <x:col min="15110" max="15110" width="19.26953125" style="24" bestFit="1" customWidth="1"/>
    <x:col min="15111" max="15111" width="11.6328125" style="24" customWidth="1"/>
    <x:col min="15112" max="15112" width="9.90625" style="24" customWidth="1"/>
    <x:col min="15113" max="15113" width="11.36328125" style="24" customWidth="1"/>
    <x:col min="15114" max="15357" width="9" style="24"/>
    <x:col min="15358" max="15358" width="12.08984375" style="24" bestFit="1" customWidth="1"/>
    <x:col min="15359" max="15359" width="12" style="24" customWidth="1"/>
    <x:col min="15360" max="15360" width="21.26953125" style="24" bestFit="1" customWidth="1"/>
    <x:col min="15361" max="15361" width="9.08984375" style="24" bestFit="1" customWidth="1"/>
    <x:col min="15362" max="15362" width="11.36328125" style="24" customWidth="1"/>
    <x:col min="15363" max="15363" width="12.26953125" style="24" customWidth="1"/>
    <x:col min="15364" max="15364" width="13.08984375" style="24" customWidth="1"/>
    <x:col min="15365" max="15365" width="38.08984375" style="24" customWidth="1"/>
    <x:col min="15366" max="15366" width="19.26953125" style="24" bestFit="1" customWidth="1"/>
    <x:col min="15367" max="15367" width="11.6328125" style="24" customWidth="1"/>
    <x:col min="15368" max="15368" width="9.90625" style="24" customWidth="1"/>
    <x:col min="15369" max="15369" width="11.36328125" style="24" customWidth="1"/>
    <x:col min="15370" max="15613" width="9" style="24"/>
    <x:col min="15614" max="15614" width="12.08984375" style="24" bestFit="1" customWidth="1"/>
    <x:col min="15615" max="15615" width="12" style="24" customWidth="1"/>
    <x:col min="15616" max="15616" width="21.26953125" style="24" bestFit="1" customWidth="1"/>
    <x:col min="15617" max="15617" width="9.08984375" style="24" bestFit="1" customWidth="1"/>
    <x:col min="15618" max="15618" width="11.36328125" style="24" customWidth="1"/>
    <x:col min="15619" max="15619" width="12.26953125" style="24" customWidth="1"/>
    <x:col min="15620" max="15620" width="13.08984375" style="24" customWidth="1"/>
    <x:col min="15621" max="15621" width="38.08984375" style="24" customWidth="1"/>
    <x:col min="15622" max="15622" width="19.26953125" style="24" bestFit="1" customWidth="1"/>
    <x:col min="15623" max="15623" width="11.6328125" style="24" customWidth="1"/>
    <x:col min="15624" max="15624" width="9.90625" style="24" customWidth="1"/>
    <x:col min="15625" max="15625" width="11.36328125" style="24" customWidth="1"/>
    <x:col min="15626" max="15869" width="9" style="24"/>
    <x:col min="15870" max="15870" width="12.08984375" style="24" bestFit="1" customWidth="1"/>
    <x:col min="15871" max="15871" width="12" style="24" customWidth="1"/>
    <x:col min="15872" max="15872" width="21.26953125" style="24" bestFit="1" customWidth="1"/>
    <x:col min="15873" max="15873" width="9.08984375" style="24" bestFit="1" customWidth="1"/>
    <x:col min="15874" max="15874" width="11.36328125" style="24" customWidth="1"/>
    <x:col min="15875" max="15875" width="12.26953125" style="24" customWidth="1"/>
    <x:col min="15876" max="15876" width="13.08984375" style="24" customWidth="1"/>
    <x:col min="15877" max="15877" width="38.08984375" style="24" customWidth="1"/>
    <x:col min="15878" max="15878" width="19.26953125" style="24" bestFit="1" customWidth="1"/>
    <x:col min="15879" max="15879" width="11.6328125" style="24" customWidth="1"/>
    <x:col min="15880" max="15880" width="9.90625" style="24" customWidth="1"/>
    <x:col min="15881" max="15881" width="11.36328125" style="24" customWidth="1"/>
    <x:col min="15882" max="16125" width="9" style="24"/>
    <x:col min="16126" max="16126" width="12.08984375" style="24" bestFit="1" customWidth="1"/>
    <x:col min="16127" max="16127" width="12" style="24" customWidth="1"/>
    <x:col min="16128" max="16128" width="21.26953125" style="24" bestFit="1" customWidth="1"/>
    <x:col min="16129" max="16129" width="9.08984375" style="24" bestFit="1" customWidth="1"/>
    <x:col min="16130" max="16130" width="11.36328125" style="24" customWidth="1"/>
    <x:col min="16131" max="16131" width="12.26953125" style="24" customWidth="1"/>
    <x:col min="16132" max="16132" width="13.08984375" style="24" customWidth="1"/>
    <x:col min="16133" max="16133" width="38.08984375" style="24" customWidth="1"/>
    <x:col min="16134" max="16134" width="19.26953125" style="24" bestFit="1" customWidth="1"/>
    <x:col min="16135" max="16135" width="11.6328125" style="24" customWidth="1"/>
    <x:col min="16136" max="16136" width="9.90625" style="24" customWidth="1"/>
    <x:col min="16137" max="16137" width="11.36328125" style="24" customWidth="1"/>
    <x:col min="16138" max="16384" width="9" style="24"/>
  </x:cols>
  <x:sheetData>
    <x:row r="1" spans="1:11" ht="18" x14ac:dyDescent="0.25">
      <x:c r="A1" s="95" t="s">
        <x:v>108</x:v>
      </x:c>
      <x:c r="B1" s="95" t="s">
        <x:v>63</x:v>
      </x:c>
      <x:c r="C1" s="101" t="s">
        <x:v>90</x:v>
      </x:c>
      <x:c r="D1" s="101" t="s">
        <x:v>1</x:v>
      </x:c>
      <x:c r="E1" s="101" t="s">
        <x:v>2</x:v>
      </x:c>
      <x:c r="F1" s="100" t="s">
        <x:v>133</x:v>
      </x:c>
      <x:c r="G1" s="102" t="s">
        <x:v>3</x:v>
      </x:c>
      <x:c r="H1" s="145" t="s">
        <x:v>91</x:v>
      </x:c>
      <x:c r="I1" s="146"/>
      <x:c r="J1" s="96" t="s">
        <x:v>43</x:v>
      </x:c>
      <x:c r="K1" s="96" t="s">
        <x:v>93</x:v>
      </x:c>
    </x:row>
    <x:row r="2" spans="1:11" ht="15.75" customHeight="1" x14ac:dyDescent="0.25">
      <x:c r="A2" s="148" t="s">
        <x:v>193</x:v>
      </x:c>
      <x:c r="B2" s="147" t="s">
        <x:v>136</x:v>
      </x:c>
      <x:c r="C2" s="103" t="str">
        <x:f>'Assay protocol'!C21</x:f>
        <x:v>HRO761</x:v>
      </x:c>
      <x:c r="D2" s="94">
        <x:f ca="1">OFFSET(INDEX('Raw data analysis'!B:B,MATCH(C2,'Raw data analysis'!B:B,0)),2,5)</x:f>
        <x:v>4.0821618005488292</x:v>
      </x:c>
      <x:c r="E2" s="110">
        <x:f ca="1">OFFSET(INDEX('Raw data analysis'!B:B,MATCH(C2,'Raw data analysis'!B:B,0)),2,6)</x:f>
        <x:v>98.215363957924609</x:v>
      </x:c>
      <x:c r="F2" s="104">
        <x:f ca="1">OFFSET(INDEX('Raw data analysis'!B:B,MATCH(C2,'Raw data analysis'!B:B,0)),2,7)</x:f>
        <x:v>6.0871061917745619</x:v>
      </x:c>
      <x:c r="G2" s="94">
        <x:f ca="1">OFFSET(INDEX('Raw data analysis'!B:B,MATCH(C2,'Raw data analysis'!B:B,0)),2,8)</x:f>
        <x:v>1.1153676150169702</x:v>
      </x:c>
      <x:c r="H2" s="94" t="s">
        <x:v>0</x:v>
      </x:c>
      <x:c r="I2" s="94" t="s">
        <x:v>107</x:v>
      </x:c>
      <x:c r="J2" s="149" t="s">
        <x:v>137</x:v>
      </x:c>
      <x:c r="K2" s="150" t="s">
        <x:v>177</x:v>
      </x:c>
    </x:row>
    <x:row r="3" spans="1:11" x14ac:dyDescent="0.25">
      <x:c r="A3" s="148"/>
      <x:c r="B3" s="147"/>
      <x:c r="C3" s="103" t="str">
        <x:f>'Assay protocol'!C22</x:f>
        <x:v>HW350003A</x:v>
      </x:c>
      <x:c r="D3" s="94">
        <x:f ca="1">OFFSET(INDEX('Raw data analysis'!B:B,MATCH(C3,'Raw data analysis'!B:B,0)),2,5)</x:f>
        <x:v>7.2840281118351236</x:v>
      </x:c>
      <x:c r="E3" s="99">
        <x:f ca="1">OFFSET(INDEX('Raw data analysis'!B:B,MATCH(C3,'Raw data analysis'!B:B,0)),2,6)</x:f>
        <x:v>92.820925095810523</x:v>
      </x:c>
      <x:c r="F3" s="98">
        <x:f ca="1">OFFSET(INDEX('Raw data analysis'!B:B,MATCH(C3,'Raw data analysis'!B:B,0)),2,7)</x:f>
        <x:v>233.12992591464004</x:v>
      </x:c>
      <x:c r="G3" s="94">
        <x:f ca="1">OFFSET(INDEX('Raw data analysis'!B:B,MATCH(C3,'Raw data analysis'!B:B,0)),2,8)</x:f>
        <x:v>1.2928607828820751</x:v>
      </x:c>
      <x:c r="H3" s="94" t="s">
        <x:v>106</x:v>
      </x:c>
      <x:c r="I3" s="94" t="s">
        <x:v>99</x:v>
      </x:c>
      <x:c r="J3" s="149"/>
      <x:c r="K3" s="150"/>
    </x:row>
    <x:row r="4" spans="1:11" x14ac:dyDescent="0.25">
      <x:c r="A4" s="148"/>
      <x:c r="B4" s="147"/>
      <x:c r="C4" s="103" t="str">
        <x:f>'Assay protocol'!C23</x:f>
        <x:v>HW350003B</x:v>
      </x:c>
      <x:c r="D4" s="97"/>
      <x:c r="E4" s="99"/>
      <x:c r="F4" s="98" t="str">
        <x:f ca="1">OFFSET(INDEX('Raw data analysis'!B:B,MATCH(C4,'Raw data analysis'!B:B,0)),2,7)</x:f>
        <x:v>&gt;10000</x:v>
      </x:c>
      <x:c r="G4" s="94"/>
      <x:c r="H4" s="94" t="s">
        <x:v>106</x:v>
      </x:c>
      <x:c r="I4" s="94" t="s">
        <x:v>99</x:v>
      </x:c>
      <x:c r="J4" s="149"/>
      <x:c r="K4" s="150"/>
    </x:row>
    <x:row r="5" spans="1:11" x14ac:dyDescent="0.25">
      <x:c r="A5" s="148"/>
      <x:c r="B5" s="147"/>
      <x:c r="C5" s="103" t="str">
        <x:f>'Assay protocol'!C24</x:f>
        <x:v>HW356010</x:v>
      </x:c>
      <x:c r="D5" s="94"/>
      <x:c r="E5" s="99"/>
      <x:c r="F5" s="98" t="str">
        <x:f ca="1">OFFSET(INDEX('Raw data analysis'!B:B,MATCH(C5,'Raw data analysis'!B:B,0)),2,7)</x:f>
        <x:v>&gt;10000</x:v>
      </x:c>
      <x:c r="G5" s="110"/>
      <x:c r="H5" s="94" t="s">
        <x:v>106</x:v>
      </x:c>
      <x:c r="I5" s="94" t="s">
        <x:v>99</x:v>
      </x:c>
      <x:c r="J5" s="149"/>
      <x:c r="K5" s="150"/>
    </x:row>
    <x:row r="6" spans="1:11" x14ac:dyDescent="0.25">
      <x:c r="A6" s="148"/>
      <x:c r="B6" s="147"/>
      <x:c r="C6" s="103" t="str">
        <x:f>'Assay protocol'!C25</x:f>
        <x:v>HW356022</x:v>
      </x:c>
      <x:c r="D6" s="94"/>
      <x:c r="E6" s="97"/>
      <x:c r="F6" s="104" t="str">
        <x:f ca="1">OFFSET(INDEX('Raw data analysis'!B:B,MATCH(C6,'Raw data analysis'!B:B,0)),2,7)</x:f>
        <x:v>&gt;10000</x:v>
      </x:c>
      <x:c r="G6" s="94"/>
      <x:c r="H6" s="94" t="s">
        <x:v>106</x:v>
      </x:c>
      <x:c r="I6" s="94" t="s">
        <x:v>99</x:v>
      </x:c>
      <x:c r="J6" s="149"/>
      <x:c r="K6" s="150"/>
    </x:row>
    <x:row r="7" spans="1:11" x14ac:dyDescent="0.25">
      <x:c r="A7" s="148"/>
      <x:c r="B7" s="147"/>
      <x:c r="C7" s="103" t="str">
        <x:f>'Assay protocol'!C26</x:f>
        <x:v>HW356024B</x:v>
      </x:c>
      <x:c r="D7" s="94"/>
      <x:c r="E7" s="143"/>
      <x:c r="F7" s="98" t="str">
        <x:f ca="1">OFFSET(INDEX('Raw data analysis'!B:B,MATCH(C7,'Raw data analysis'!B:B,0)),2,7)</x:f>
        <x:v>&gt;10000</x:v>
      </x:c>
      <x:c r="G7" s="94"/>
      <x:c r="H7" s="94" t="s">
        <x:v>106</x:v>
      </x:c>
      <x:c r="I7" s="94" t="s">
        <x:v>99</x:v>
      </x:c>
      <x:c r="J7" s="149"/>
      <x:c r="K7" s="150"/>
    </x:row>
    <x:row r="8" spans="1:11" x14ac:dyDescent="0.25">
      <x:c r="A8" s="148"/>
      <x:c r="B8" s="147"/>
      <x:c r="C8" s="103" t="str">
        <x:f>'Assay protocol'!C27</x:f>
        <x:v>HW356024A</x:v>
      </x:c>
      <x:c r="D8" s="94">
        <x:f ca="1">OFFSET(INDEX('Raw data analysis'!B:B,MATCH(C8,'Raw data analysis'!B:B,0)),2,5)</x:f>
        <x:v>0.11009396475468324</x:v>
      </x:c>
      <x:c r="E8" s="99">
        <x:f ca="1">OFFSET(INDEX('Raw data analysis'!B:B,MATCH(C8,'Raw data analysis'!B:B,0)),2,6)</x:f>
        <x:v>87.021658078662199</x:v>
      </x:c>
      <x:c r="F8" s="98">
        <x:f ca="1">OFFSET(INDEX('Raw data analysis'!B:B,MATCH(C8,'Raw data analysis'!B:B,0)),2,7)</x:f>
        <x:v>325.60952071037275</x:v>
      </x:c>
      <x:c r="G8" s="94">
        <x:f ca="1">OFFSET(INDEX('Raw data analysis'!B:B,MATCH(C8,'Raw data analysis'!B:B,0)),2,8)</x:f>
        <x:v>1.2524367271479593</x:v>
      </x:c>
      <x:c r="H8" s="94" t="s">
        <x:v>106</x:v>
      </x:c>
      <x:c r="I8" s="94" t="s">
        <x:v>99</x:v>
      </x:c>
      <x:c r="J8" s="149"/>
      <x:c r="K8" s="150"/>
    </x:row>
    <x:row r="9" spans="1:11" x14ac:dyDescent="0.25">
      <x:c r="A9" s="148"/>
      <x:c r="B9" s="147"/>
      <x:c r="C9" s="103" t="str">
        <x:f>'Assay protocol'!C28</x:f>
        <x:v>HW356024-BP</x:v>
      </x:c>
      <x:c r="D9" s="94"/>
      <x:c r="E9" s="99"/>
      <x:c r="F9" s="98" t="str">
        <x:f ca="1">OFFSET(INDEX('Raw data analysis'!B:B,MATCH(C9,'Raw data analysis'!B:B,0)),2,7)</x:f>
        <x:v>&gt;10000</x:v>
      </x:c>
      <x:c r="G9" s="94"/>
      <x:c r="H9" s="94" t="s">
        <x:v>106</x:v>
      </x:c>
      <x:c r="I9" s="94" t="s">
        <x:v>99</x:v>
      </x:c>
      <x:c r="J9" s="149"/>
      <x:c r="K9" s="150"/>
    </x:row>
    <x:row r="10" spans="1:11" x14ac:dyDescent="0.25">
      <x:c r="A10" s="148"/>
      <x:c r="B10" s="147"/>
      <x:c r="C10" s="103" t="str">
        <x:f>'Assay protocol'!C29</x:f>
        <x:v>HW350004P1</x:v>
      </x:c>
      <x:c r="D10" s="94"/>
      <x:c r="E10" s="99"/>
      <x:c r="F10" s="98" t="str">
        <x:f ca="1">OFFSET(INDEX('Raw data analysis'!O:O,MATCH(C10,'Raw data analysis'!O:O,0)),2,7)</x:f>
        <x:v>&gt;10000</x:v>
      </x:c>
      <x:c r="G10" s="94"/>
      <x:c r="H10" s="94" t="s">
        <x:v>106</x:v>
      </x:c>
      <x:c r="I10" s="94" t="s">
        <x:v>99</x:v>
      </x:c>
      <x:c r="J10" s="149"/>
      <x:c r="K10" s="150"/>
    </x:row>
    <x:row r="11" spans="1:11" x14ac:dyDescent="0.25">
      <x:c r="A11" s="148"/>
      <x:c r="B11" s="147"/>
      <x:c r="C11" s="103" t="str">
        <x:f>'Assay protocol'!C30</x:f>
        <x:v>HW350004P2</x:v>
      </x:c>
      <x:c r="D11" s="110">
        <x:f ca="1">OFFSET(INDEX('Raw data analysis'!O:O,MATCH(C11,'Raw data analysis'!O:O,0)),2,5)</x:f>
        <x:v>11.804632928523846</x:v>
      </x:c>
      <x:c r="E11" s="143">
        <x:f ca="1">OFFSET(INDEX('Raw data analysis'!O:O,MATCH(C11,'Raw data analysis'!O:O,0)),2,6)</x:f>
        <x:v>103.01478676914191</x:v>
      </x:c>
      <x:c r="F11" s="98">
        <x:f ca="1">OFFSET(INDEX('Raw data analysis'!O:O,MATCH(C11,'Raw data analysis'!O:O,0)),2,7)</x:f>
        <x:v>489.31692316847295</x:v>
      </x:c>
      <x:c r="G11" s="94">
        <x:f ca="1">OFFSET(INDEX('Raw data analysis'!O:O,MATCH(C11,'Raw data analysis'!O:O,0)),2,8)</x:f>
        <x:v>0.64745260261613269</x:v>
      </x:c>
      <x:c r="H11" s="94" t="s">
        <x:v>106</x:v>
      </x:c>
      <x:c r="I11" s="94" t="s">
        <x:v>99</x:v>
      </x:c>
      <x:c r="J11" s="149"/>
      <x:c r="K11" s="150"/>
    </x:row>
    <x:row r="12" spans="1:11" s="23" customFormat="1" x14ac:dyDescent="0.25"/>
    <x:row r="13" spans="1:11" s="23" customFormat="1" x14ac:dyDescent="0.25"/>
    <x:row r="14" spans="1:11" s="23" customFormat="1" x14ac:dyDescent="0.25"/>
    <x:row r="15" spans="1:11" s="23" customFormat="1" x14ac:dyDescent="0.25"/>
    <x:row r="16" spans="1:11" s="23" customFormat="1" x14ac:dyDescent="0.25"/>
    <x:row r="17" spans="1:11" s="23" customFormat="1" x14ac:dyDescent="0.25"/>
    <x:row r="18" spans="1:11" s="23" customFormat="1" x14ac:dyDescent="0.25"/>
    <x:row r="19" spans="1:11" s="23" customFormat="1" x14ac:dyDescent="0.25"/>
    <x:row r="20" spans="1:11" s="23" customFormat="1" x14ac:dyDescent="0.25"/>
    <x:row r="21" spans="1:11" s="23" customFormat="1" x14ac:dyDescent="0.25"/>
    <x:row r="22" spans="1:11" s="23" customFormat="1" x14ac:dyDescent="0.25"/>
    <x:row r="23" spans="1:11" s="23" customFormat="1" x14ac:dyDescent="0.25"/>
    <x:row r="24" spans="1:11" s="23" customFormat="1" x14ac:dyDescent="0.25"/>
    <x:row r="25" spans="1:11" s="23" customFormat="1" x14ac:dyDescent="0.25"/>
    <x:row r="26" spans="1:11" s="23" customFormat="1" x14ac:dyDescent="0.25"/>
    <x:row r="27" spans="1:11" x14ac:dyDescent="0.25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</x:row>
    <x:row r="28" spans="1:11" x14ac:dyDescent="0.25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</x:row>
    <x:row r="29" spans="1:11" x14ac:dyDescent="0.25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</x:row>
    <x:row r="30" spans="1:11" x14ac:dyDescent="0.25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</x:row>
    <x:row r="31" spans="1:11" x14ac:dyDescent="0.25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</x:row>
    <x:row r="32" spans="1:11" x14ac:dyDescent="0.25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</x:row>
    <x:row r="33" spans="1:11" x14ac:dyDescent="0.25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</x:row>
    <x:row r="34" spans="1:11" x14ac:dyDescent="0.25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</x:row>
    <x:row r="35" spans="1:11" x14ac:dyDescent="0.2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</x:row>
    <x:row r="36" spans="1:11" x14ac:dyDescent="0.25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</x:row>
    <x:row r="37" spans="1:11" x14ac:dyDescent="0.25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</x:row>
    <x:row r="38" spans="1:11" x14ac:dyDescent="0.25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</x:row>
    <x:row r="39" spans="1:11" x14ac:dyDescent="0.25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</x:row>
    <x:row r="40" spans="1:11" x14ac:dyDescent="0.25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</x:row>
    <x:row r="41" spans="1:11" x14ac:dyDescent="0.25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</x:row>
    <x:row r="42" spans="1:11" x14ac:dyDescent="0.25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</x:row>
    <x:row r="43" spans="1:11" x14ac:dyDescent="0.25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</x:row>
    <x:row r="44" spans="1:11" x14ac:dyDescent="0.25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</x:row>
    <x:row r="45" spans="1:11" x14ac:dyDescent="0.2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</x:row>
    <x:row r="46" spans="1:11" x14ac:dyDescent="0.25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</x:row>
    <x:row r="47" spans="1:11" x14ac:dyDescent="0.25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spans="1:11" x14ac:dyDescent="0.25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</x:row>
    <x:row r="49" spans="1:11" x14ac:dyDescent="0.25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</x:row>
    <x:row r="50" spans="1:11" x14ac:dyDescent="0.25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</x:row>
    <x:row r="51" spans="1:11" x14ac:dyDescent="0.25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</x:row>
    <x:row r="52" spans="1:11" x14ac:dyDescent="0.25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</x:row>
    <x:row r="53" spans="1:11" x14ac:dyDescent="0.25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</x:row>
    <x:row r="54" spans="1:11" x14ac:dyDescent="0.25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</x:row>
    <x:row r="55" spans="1:11" x14ac:dyDescent="0.2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</x:row>
    <x:row r="56" spans="1:11" x14ac:dyDescent="0.25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</x:row>
    <x:row r="57" spans="1:11" x14ac:dyDescent="0.25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</x:row>
    <x:row r="58" spans="1:11" x14ac:dyDescent="0.25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</x:row>
    <x:row r="59" spans="1:11" x14ac:dyDescent="0.25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</x:row>
    <x:row r="60" spans="1:11" x14ac:dyDescent="0.25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</x:row>
    <x:row r="61" spans="1:11" x14ac:dyDescent="0.25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</x:row>
    <x:row r="62" spans="1:11" x14ac:dyDescent="0.25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</x:row>
    <x:row r="63" spans="1:11" x14ac:dyDescent="0.25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</x:row>
    <x:row r="64" spans="1:11" x14ac:dyDescent="0.25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</x:row>
    <x:row r="65" spans="1:11" x14ac:dyDescent="0.2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</x:row>
    <x:row r="66" spans="1:11" x14ac:dyDescent="0.25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</x:row>
    <x:row r="67" spans="1:11" x14ac:dyDescent="0.25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</x:row>
    <x:row r="68" spans="1:11" x14ac:dyDescent="0.25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</x:row>
    <x:row r="69" spans="1:11" x14ac:dyDescent="0.25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</x:row>
    <x:row r="70" spans="1:11" x14ac:dyDescent="0.25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</x:row>
    <x:row r="71" spans="1:11" x14ac:dyDescent="0.25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</x:row>
    <x:row r="72" spans="1:11" x14ac:dyDescent="0.25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</x:row>
    <x:row r="73" spans="1:11" x14ac:dyDescent="0.25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</x:row>
    <x:row r="74" spans="1:11" x14ac:dyDescent="0.25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</x:row>
    <x:row r="75" spans="1:11" x14ac:dyDescent="0.2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</x:row>
    <x:row r="76" spans="1:11" x14ac:dyDescent="0.25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</x:row>
    <x:row r="77" spans="1:11" x14ac:dyDescent="0.25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</x:row>
    <x:row r="78" spans="1:11" x14ac:dyDescent="0.25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</x:row>
    <x:row r="79" spans="1:11" x14ac:dyDescent="0.25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</x:row>
    <x:row r="80" spans="1:11" x14ac:dyDescent="0.25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</x:row>
    <x:row r="81" spans="1:11" x14ac:dyDescent="0.25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</x:row>
    <x:row r="82" spans="1:11" x14ac:dyDescent="0.25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</x:row>
    <x:row r="83" spans="1:11" x14ac:dyDescent="0.25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</x:row>
    <x:row r="84" spans="1:11" x14ac:dyDescent="0.25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</x:row>
    <x:row r="85" spans="1:11" x14ac:dyDescent="0.2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</x:row>
    <x:row r="86" spans="1:11" x14ac:dyDescent="0.25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</x:row>
    <x:row r="87" spans="1:11" x14ac:dyDescent="0.25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</x:row>
    <x:row r="88" spans="1:11" x14ac:dyDescent="0.25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</x:row>
    <x:row r="89" spans="1:11" x14ac:dyDescent="0.25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</x:row>
    <x:row r="90" spans="1:11" x14ac:dyDescent="0.25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</x:row>
    <x:row r="91" spans="1:11" x14ac:dyDescent="0.25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</x:row>
    <x:row r="92" spans="1:11" x14ac:dyDescent="0.25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</x:row>
    <x:row r="93" spans="1:11" x14ac:dyDescent="0.25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</x:row>
    <x:row r="94" spans="1:11" x14ac:dyDescent="0.25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</x:row>
    <x:row r="95" spans="1:11" x14ac:dyDescent="0.2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</x:row>
    <x:row r="96" spans="1:11" x14ac:dyDescent="0.25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</x:row>
    <x:row r="97" spans="1:11" x14ac:dyDescent="0.25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</x:row>
    <x:row r="98" spans="1:11" x14ac:dyDescent="0.25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</x:row>
    <x:row r="99" spans="1:11" x14ac:dyDescent="0.25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</x:row>
    <x:row r="100" spans="1:11" x14ac:dyDescent="0.25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</x:row>
    <x:row r="101" spans="1:11" x14ac:dyDescent="0.25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</x:row>
    <x:row r="102" spans="1:11" x14ac:dyDescent="0.25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</x:row>
    <x:row r="103" spans="1:11" x14ac:dyDescent="0.25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</x:row>
    <x:row r="104" spans="1:11" x14ac:dyDescent="0.25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</x:row>
    <x:row r="105" spans="1:11" x14ac:dyDescent="0.2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</x:row>
    <x:row r="106" spans="1:11" x14ac:dyDescent="0.25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</x:row>
    <x:row r="107" spans="1:11" x14ac:dyDescent="0.25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</x:row>
    <x:row r="108" spans="1:11" x14ac:dyDescent="0.25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</x:row>
    <x:row r="109" spans="1:11" x14ac:dyDescent="0.25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</x:row>
    <x:row r="110" spans="1:11" x14ac:dyDescent="0.25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</x:row>
    <x:row r="111" spans="1:11" x14ac:dyDescent="0.25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</x:row>
    <x:row r="112" spans="1:11" x14ac:dyDescent="0.25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</x:row>
    <x:row r="113" spans="1:11" x14ac:dyDescent="0.25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</x:row>
    <x:row r="114" spans="1:11" x14ac:dyDescent="0.25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</x:row>
    <x:row r="115" spans="1:11" x14ac:dyDescent="0.2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</x:row>
    <x:row r="116" spans="1:11" x14ac:dyDescent="0.25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</x:row>
    <x:row r="117" spans="1:11" x14ac:dyDescent="0.25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</x:row>
    <x:row r="118" spans="1:11" x14ac:dyDescent="0.25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</x:row>
    <x:row r="119" spans="1:11" x14ac:dyDescent="0.25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</x:row>
    <x:row r="120" spans="1:11" x14ac:dyDescent="0.25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</x:row>
    <x:row r="121" spans="1:11" x14ac:dyDescent="0.25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</x:row>
    <x:row r="122" spans="1:11" x14ac:dyDescent="0.25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</x:row>
    <x:row r="123" spans="1:11" x14ac:dyDescent="0.25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</x:row>
    <x:row r="124" spans="1:11" x14ac:dyDescent="0.25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</x:row>
    <x:row r="125" spans="1:11" x14ac:dyDescent="0.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</x:row>
    <x:row r="126" spans="1:11" x14ac:dyDescent="0.25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</x:row>
    <x:row r="127" spans="1:11" x14ac:dyDescent="0.25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</x:row>
    <x:row r="128" spans="1:11" x14ac:dyDescent="0.25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</x:row>
    <x:row r="129" spans="1:11" x14ac:dyDescent="0.25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</x:row>
    <x:row r="130" spans="1:11" x14ac:dyDescent="0.25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</x:row>
    <x:row r="131" spans="1:11" x14ac:dyDescent="0.25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</x:row>
    <x:row r="132" spans="1:11" x14ac:dyDescent="0.25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</x:row>
    <x:row r="133" spans="1:11" x14ac:dyDescent="0.25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</x:row>
    <x:row r="134" spans="1:11" x14ac:dyDescent="0.25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</x:row>
    <x:row r="135" spans="1:11" x14ac:dyDescent="0.2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</x:row>
    <x:row r="136" spans="1:11" x14ac:dyDescent="0.25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</x:row>
    <x:row r="137" spans="1:11" x14ac:dyDescent="0.25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</x:row>
    <x:row r="138" spans="1:11" x14ac:dyDescent="0.25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</x:row>
    <x:row r="139" spans="1:11" x14ac:dyDescent="0.25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</x:row>
    <x:row r="140" spans="1:11" x14ac:dyDescent="0.25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</x:row>
    <x:row r="141" spans="1:11" x14ac:dyDescent="0.25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</x:row>
    <x:row r="142" spans="1:11" x14ac:dyDescent="0.25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</x:row>
    <x:row r="143" spans="1:11" x14ac:dyDescent="0.25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</x:row>
    <x:row r="144" spans="1:11" x14ac:dyDescent="0.25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</x:row>
    <x:row r="145" spans="1:11" x14ac:dyDescent="0.2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</x:row>
    <x:row r="146" spans="1:11" x14ac:dyDescent="0.25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</x:row>
    <x:row r="147" spans="1:11" x14ac:dyDescent="0.25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</x:row>
    <x:row r="148" spans="1:11" x14ac:dyDescent="0.25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</x:row>
    <x:row r="149" spans="1:11" x14ac:dyDescent="0.25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</x:row>
    <x:row r="150" spans="1:11" x14ac:dyDescent="0.25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</x:row>
    <x:row r="151" spans="1:11" x14ac:dyDescent="0.25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</x:row>
    <x:row r="152" spans="1:11" x14ac:dyDescent="0.25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</x:row>
    <x:row r="153" spans="1:11" x14ac:dyDescent="0.25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</x:row>
    <x:row r="154" spans="1:11" x14ac:dyDescent="0.25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</x:row>
    <x:row r="155" spans="1:11" x14ac:dyDescent="0.2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</x:row>
    <x:row r="156" spans="1:11" x14ac:dyDescent="0.25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</x:row>
    <x:row r="157" spans="1:11" x14ac:dyDescent="0.25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</x:row>
    <x:row r="158" spans="1:11" x14ac:dyDescent="0.25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</x:row>
    <x:row r="159" spans="1:11" x14ac:dyDescent="0.25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</x:row>
    <x:row r="160" spans="1:11" x14ac:dyDescent="0.25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</x:row>
    <x:row r="161" spans="1:11" x14ac:dyDescent="0.25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</x:row>
    <x:row r="162" spans="1:11" x14ac:dyDescent="0.25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</x:row>
    <x:row r="163" spans="1:11" x14ac:dyDescent="0.25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</x:row>
    <x:row r="164" spans="1:11" x14ac:dyDescent="0.25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</x:row>
    <x:row r="165" spans="1:11" x14ac:dyDescent="0.2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</x:row>
    <x:row r="166" spans="1:11" x14ac:dyDescent="0.25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</x:row>
    <x:row r="167" spans="1:11" x14ac:dyDescent="0.25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</x:row>
    <x:row r="168" spans="1:11" x14ac:dyDescent="0.25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</x:row>
    <x:row r="169" spans="1:11" x14ac:dyDescent="0.25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</x:row>
    <x:row r="170" spans="1:11" x14ac:dyDescent="0.25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</x:row>
    <x:row r="171" spans="1:11" x14ac:dyDescent="0.25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</x:row>
    <x:row r="172" spans="1:11" x14ac:dyDescent="0.25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</x:row>
    <x:row r="173" spans="1:11" x14ac:dyDescent="0.25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</x:row>
    <x:row r="174" spans="1:11" x14ac:dyDescent="0.25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</x:row>
    <x:row r="175" spans="1:11" x14ac:dyDescent="0.2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</x:row>
    <x:row r="176" spans="1:11" x14ac:dyDescent="0.25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</x:row>
    <x:row r="177" spans="1:11" x14ac:dyDescent="0.25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</x:row>
    <x:row r="178" spans="1:11" x14ac:dyDescent="0.25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</x:row>
    <x:row r="179" spans="1:11" x14ac:dyDescent="0.25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</x:row>
    <x:row r="180" spans="1:11" x14ac:dyDescent="0.25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</x:row>
    <x:row r="181" spans="1:11" x14ac:dyDescent="0.25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</x:row>
    <x:row r="182" spans="1:11" x14ac:dyDescent="0.25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</x:row>
    <x:row r="183" spans="1:11" x14ac:dyDescent="0.25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</x:row>
    <x:row r="184" spans="1:11" x14ac:dyDescent="0.25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</x:row>
    <x:row r="185" spans="1:11" x14ac:dyDescent="0.2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</x:row>
    <x:row r="186" spans="1:11" x14ac:dyDescent="0.25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</x:row>
    <x:row r="187" spans="1:11" x14ac:dyDescent="0.25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</x:row>
    <x:row r="188" spans="1:11" x14ac:dyDescent="0.25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</x:row>
    <x:row r="189" spans="1:11" x14ac:dyDescent="0.25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</x:row>
    <x:row r="190" spans="1:11" x14ac:dyDescent="0.25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</x:row>
    <x:row r="191" spans="1:11" x14ac:dyDescent="0.25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</x:row>
    <x:row r="192" spans="1:11" x14ac:dyDescent="0.25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</x:row>
    <x:row r="193" spans="1:11" x14ac:dyDescent="0.25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</x:row>
    <x:row r="194" spans="1:11" x14ac:dyDescent="0.25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</x:row>
    <x:row r="195" spans="1:11" x14ac:dyDescent="0.2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</x:row>
    <x:row r="196" spans="1:11" x14ac:dyDescent="0.25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</x:row>
    <x:row r="197" spans="1:11" x14ac:dyDescent="0.25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</x:row>
    <x:row r="198" spans="1:11" x14ac:dyDescent="0.25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</x:row>
    <x:row r="199" spans="1:11" x14ac:dyDescent="0.25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</x:row>
    <x:row r="200" spans="1:11" x14ac:dyDescent="0.25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</x:row>
    <x:row r="201" spans="1:11" x14ac:dyDescent="0.25">
      <x:c r="A201" s="23"/>
      <x:c r="B201" s="23"/>
      <x:c r="C201" s="23"/>
      <x:c r="D201" s="23"/>
      <x:c r="E201" s="23"/>
      <x:c r="F201" s="23"/>
      <x:c r="G201" s="23"/>
      <x:c r="H201" s="23"/>
      <x:c r="I201" s="23"/>
      <x:c r="J201" s="23"/>
      <x:c r="K201" s="23"/>
    </x:row>
    <x:row r="202" spans="1:11" x14ac:dyDescent="0.25">
      <x:c r="A202" s="23"/>
      <x:c r="B202" s="23"/>
      <x:c r="C202" s="23"/>
      <x:c r="D202" s="23"/>
      <x:c r="E202" s="23"/>
      <x:c r="F202" s="23"/>
      <x:c r="G202" s="23"/>
      <x:c r="H202" s="23"/>
      <x:c r="I202" s="23"/>
      <x:c r="J202" s="23"/>
      <x:c r="K202" s="23"/>
    </x:row>
    <x:row r="203" spans="1:11" x14ac:dyDescent="0.25">
      <x:c r="A203" s="23"/>
      <x:c r="B203" s="23"/>
      <x:c r="C203" s="23"/>
      <x:c r="D203" s="23"/>
      <x:c r="E203" s="23"/>
      <x:c r="F203" s="23"/>
      <x:c r="G203" s="23"/>
      <x:c r="H203" s="23"/>
      <x:c r="I203" s="23"/>
      <x:c r="J203" s="23"/>
      <x:c r="K203" s="23"/>
    </x:row>
    <x:row r="204" spans="1:11" x14ac:dyDescent="0.25">
      <x:c r="A204" s="23"/>
      <x:c r="B204" s="23"/>
      <x:c r="C204" s="23"/>
      <x:c r="D204" s="23"/>
      <x:c r="E204" s="23"/>
      <x:c r="F204" s="23"/>
      <x:c r="G204" s="23"/>
      <x:c r="H204" s="23"/>
      <x:c r="I204" s="23"/>
      <x:c r="J204" s="23"/>
      <x:c r="K204" s="23"/>
    </x:row>
    <x:row r="205" spans="1:11" x14ac:dyDescent="0.25">
      <x:c r="A205" s="23"/>
      <x:c r="B205" s="23"/>
      <x:c r="C205" s="23"/>
      <x:c r="D205" s="23"/>
      <x:c r="E205" s="23"/>
      <x:c r="F205" s="23"/>
      <x:c r="G205" s="23"/>
      <x:c r="H205" s="23"/>
      <x:c r="I205" s="23"/>
      <x:c r="J205" s="23"/>
      <x:c r="K205" s="23"/>
    </x:row>
    <x:row r="206" spans="1:11" x14ac:dyDescent="0.25">
      <x:c r="A206" s="23"/>
      <x:c r="B206" s="23"/>
      <x:c r="C206" s="23"/>
      <x:c r="D206" s="23"/>
      <x:c r="E206" s="23"/>
      <x:c r="F206" s="23"/>
      <x:c r="G206" s="23"/>
      <x:c r="H206" s="23"/>
      <x:c r="I206" s="23"/>
      <x:c r="J206" s="23"/>
      <x:c r="K206" s="23"/>
    </x:row>
    <x:row r="207" spans="1:11" x14ac:dyDescent="0.25">
      <x:c r="A207" s="23"/>
      <x:c r="B207" s="23"/>
      <x:c r="C207" s="23"/>
      <x:c r="D207" s="23"/>
      <x:c r="E207" s="23"/>
      <x:c r="F207" s="23"/>
      <x:c r="G207" s="23"/>
      <x:c r="H207" s="23"/>
      <x:c r="I207" s="23"/>
      <x:c r="J207" s="23"/>
      <x:c r="K207" s="23"/>
    </x:row>
    <x:row r="208" spans="1:11" x14ac:dyDescent="0.25">
      <x:c r="A208" s="23"/>
      <x:c r="B208" s="23"/>
      <x:c r="C208" s="23"/>
      <x:c r="D208" s="23"/>
      <x:c r="E208" s="23"/>
      <x:c r="F208" s="23"/>
      <x:c r="G208" s="23"/>
      <x:c r="H208" s="23"/>
      <x:c r="I208" s="23"/>
      <x:c r="J208" s="23"/>
      <x:c r="K208" s="23"/>
    </x:row>
    <x:row r="209" spans="1:11" x14ac:dyDescent="0.25">
      <x:c r="A209" s="23"/>
      <x:c r="B209" s="23"/>
      <x:c r="C209" s="23"/>
      <x:c r="D209" s="23"/>
      <x:c r="E209" s="23"/>
      <x:c r="F209" s="23"/>
      <x:c r="G209" s="23"/>
      <x:c r="H209" s="23"/>
      <x:c r="I209" s="23"/>
      <x:c r="J209" s="23"/>
      <x:c r="K209" s="23"/>
    </x:row>
    <x:row r="210" spans="1:11" x14ac:dyDescent="0.25">
      <x:c r="A210" s="23"/>
      <x:c r="B210" s="23"/>
      <x:c r="C210" s="23"/>
      <x:c r="D210" s="23"/>
      <x:c r="E210" s="23"/>
      <x:c r="F210" s="23"/>
      <x:c r="G210" s="23"/>
      <x:c r="H210" s="23"/>
      <x:c r="I210" s="23"/>
      <x:c r="J210" s="23"/>
      <x:c r="K210" s="23"/>
    </x:row>
    <x:row r="211" spans="1:11" x14ac:dyDescent="0.25">
      <x:c r="A211" s="23"/>
      <x:c r="B211" s="23"/>
      <x:c r="C211" s="23"/>
      <x:c r="D211" s="23"/>
      <x:c r="E211" s="23"/>
      <x:c r="F211" s="23"/>
      <x:c r="G211" s="23"/>
      <x:c r="H211" s="23"/>
      <x:c r="I211" s="23"/>
      <x:c r="J211" s="23"/>
      <x:c r="K211" s="23"/>
    </x:row>
    <x:row r="212" spans="1:11" x14ac:dyDescent="0.25">
      <x:c r="A212" s="23"/>
      <x:c r="B212" s="23"/>
      <x:c r="C212" s="23"/>
      <x:c r="D212" s="23"/>
      <x:c r="E212" s="23"/>
      <x:c r="F212" s="23"/>
      <x:c r="G212" s="23"/>
      <x:c r="H212" s="23"/>
      <x:c r="I212" s="23"/>
      <x:c r="J212" s="23"/>
      <x:c r="K212" s="23"/>
    </x:row>
    <x:row r="213" spans="1:11" x14ac:dyDescent="0.25">
      <x:c r="A213" s="23"/>
      <x:c r="B213" s="23"/>
      <x:c r="C213" s="23"/>
      <x:c r="D213" s="23"/>
      <x:c r="E213" s="23"/>
      <x:c r="F213" s="23"/>
      <x:c r="G213" s="23"/>
      <x:c r="H213" s="23"/>
      <x:c r="I213" s="23"/>
      <x:c r="J213" s="23"/>
      <x:c r="K213" s="23"/>
    </x:row>
    <x:row r="214" spans="1:11" x14ac:dyDescent="0.25">
      <x:c r="A214" s="23"/>
      <x:c r="B214" s="23"/>
      <x:c r="C214" s="23"/>
      <x:c r="D214" s="23"/>
      <x:c r="E214" s="23"/>
      <x:c r="F214" s="23"/>
      <x:c r="G214" s="23"/>
      <x:c r="H214" s="23"/>
      <x:c r="I214" s="23"/>
      <x:c r="J214" s="23"/>
      <x:c r="K214" s="23"/>
    </x:row>
    <x:row r="215" spans="1:11" x14ac:dyDescent="0.25">
      <x:c r="A215" s="23"/>
      <x:c r="B215" s="23"/>
      <x:c r="C215" s="23"/>
      <x:c r="D215" s="23"/>
      <x:c r="E215" s="23"/>
      <x:c r="F215" s="23"/>
      <x:c r="G215" s="23"/>
      <x:c r="H215" s="23"/>
      <x:c r="I215" s="23"/>
      <x:c r="J215" s="23"/>
      <x:c r="K215" s="23"/>
    </x:row>
    <x:row r="216" spans="1:11" x14ac:dyDescent="0.25">
      <x:c r="A216" s="23"/>
      <x:c r="B216" s="23"/>
      <x:c r="C216" s="23"/>
      <x:c r="D216" s="23"/>
      <x:c r="E216" s="23"/>
      <x:c r="F216" s="23"/>
      <x:c r="G216" s="23"/>
      <x:c r="H216" s="23"/>
      <x:c r="I216" s="23"/>
      <x:c r="J216" s="23"/>
      <x:c r="K216" s="23"/>
    </x:row>
    <x:row r="217" spans="1:11" x14ac:dyDescent="0.25">
      <x:c r="A217" s="23"/>
      <x:c r="B217" s="23"/>
      <x:c r="C217" s="23"/>
      <x:c r="D217" s="23"/>
      <x:c r="E217" s="23"/>
      <x:c r="F217" s="23"/>
      <x:c r="G217" s="23"/>
      <x:c r="H217" s="23"/>
      <x:c r="I217" s="23"/>
      <x:c r="J217" s="23"/>
      <x:c r="K217" s="23"/>
    </x:row>
    <x:row r="218" spans="1:11" x14ac:dyDescent="0.25">
      <x:c r="A218" s="23"/>
      <x:c r="B218" s="23"/>
      <x:c r="C218" s="23"/>
      <x:c r="D218" s="23"/>
      <x:c r="E218" s="23"/>
      <x:c r="F218" s="23"/>
      <x:c r="G218" s="23"/>
      <x:c r="H218" s="23"/>
      <x:c r="I218" s="23"/>
      <x:c r="J218" s="23"/>
      <x:c r="K218" s="23"/>
    </x:row>
    <x:row r="219" spans="1:11" x14ac:dyDescent="0.25">
      <x:c r="A219" s="23"/>
      <x:c r="B219" s="23"/>
      <x:c r="C219" s="23"/>
      <x:c r="D219" s="23"/>
      <x:c r="E219" s="23"/>
      <x:c r="F219" s="23"/>
      <x:c r="G219" s="23"/>
      <x:c r="H219" s="23"/>
      <x:c r="I219" s="23"/>
      <x:c r="J219" s="23"/>
      <x:c r="K219" s="23"/>
    </x:row>
    <x:row r="220" spans="1:11" x14ac:dyDescent="0.25">
      <x:c r="A220" s="23"/>
      <x:c r="B220" s="23"/>
      <x:c r="C220" s="23"/>
      <x:c r="D220" s="23"/>
      <x:c r="E220" s="23"/>
      <x:c r="F220" s="23"/>
      <x:c r="G220" s="23"/>
      <x:c r="H220" s="23"/>
      <x:c r="I220" s="23"/>
      <x:c r="J220" s="23"/>
      <x:c r="K220" s="23"/>
    </x:row>
    <x:row r="221" spans="1:11" x14ac:dyDescent="0.25">
      <x:c r="A221" s="23"/>
      <x:c r="B221" s="23"/>
      <x:c r="C221" s="23"/>
      <x:c r="D221" s="23"/>
      <x:c r="E221" s="23"/>
      <x:c r="F221" s="23"/>
      <x:c r="G221" s="23"/>
      <x:c r="H221" s="23"/>
      <x:c r="I221" s="23"/>
      <x:c r="J221" s="23"/>
      <x:c r="K221" s="23"/>
    </x:row>
    <x:row r="222" spans="1:11" x14ac:dyDescent="0.25">
      <x:c r="A222" s="23"/>
      <x:c r="B222" s="23"/>
      <x:c r="C222" s="23"/>
      <x:c r="D222" s="23"/>
      <x:c r="E222" s="23"/>
      <x:c r="F222" s="23"/>
      <x:c r="G222" s="23"/>
      <x:c r="H222" s="23"/>
      <x:c r="I222" s="23"/>
      <x:c r="J222" s="23"/>
      <x:c r="K222" s="23"/>
    </x:row>
    <x:row r="223" spans="1:11" x14ac:dyDescent="0.25">
      <x:c r="A223" s="23"/>
      <x:c r="B223" s="23"/>
      <x:c r="C223" s="23"/>
      <x:c r="D223" s="23"/>
      <x:c r="E223" s="23"/>
      <x:c r="F223" s="23"/>
      <x:c r="G223" s="23"/>
      <x:c r="H223" s="23"/>
      <x:c r="I223" s="23"/>
      <x:c r="J223" s="23"/>
      <x:c r="K223" s="23"/>
    </x:row>
    <x:row r="224" spans="1:11" x14ac:dyDescent="0.25">
      <x:c r="A224" s="23"/>
      <x:c r="B224" s="23"/>
      <x:c r="C224" s="23"/>
      <x:c r="D224" s="23"/>
      <x:c r="E224" s="23"/>
      <x:c r="F224" s="23"/>
      <x:c r="G224" s="23"/>
      <x:c r="H224" s="23"/>
      <x:c r="I224" s="23"/>
      <x:c r="J224" s="23"/>
      <x:c r="K224" s="23"/>
    </x:row>
    <x:row r="225" spans="1:11" x14ac:dyDescent="0.25">
      <x:c r="A225" s="23"/>
      <x:c r="B225" s="23"/>
      <x:c r="C225" s="23"/>
      <x:c r="D225" s="23"/>
      <x:c r="E225" s="23"/>
      <x:c r="F225" s="23"/>
      <x:c r="G225" s="23"/>
      <x:c r="H225" s="23"/>
      <x:c r="I225" s="23"/>
      <x:c r="J225" s="23"/>
      <x:c r="K225" s="23"/>
    </x:row>
    <x:row r="226" spans="1:11" x14ac:dyDescent="0.25">
      <x:c r="A226" s="23"/>
      <x:c r="B226" s="23"/>
      <x:c r="C226" s="23"/>
      <x:c r="D226" s="23"/>
      <x:c r="E226" s="23"/>
      <x:c r="F226" s="23"/>
      <x:c r="G226" s="23"/>
      <x:c r="H226" s="23"/>
      <x:c r="I226" s="23"/>
      <x:c r="J226" s="23"/>
      <x:c r="K226" s="23"/>
    </x:row>
    <x:row r="227" spans="1:11" x14ac:dyDescent="0.25">
      <x:c r="A227" s="23"/>
      <x:c r="B227" s="23"/>
      <x:c r="C227" s="23"/>
      <x:c r="D227" s="23"/>
      <x:c r="E227" s="23"/>
      <x:c r="F227" s="23"/>
      <x:c r="G227" s="23"/>
      <x:c r="H227" s="23"/>
      <x:c r="I227" s="23"/>
      <x:c r="J227" s="23"/>
      <x:c r="K227" s="23"/>
    </x:row>
    <x:row r="228" spans="1:11" x14ac:dyDescent="0.25">
      <x:c r="A228" s="23"/>
      <x:c r="B228" s="23"/>
      <x:c r="C228" s="23"/>
      <x:c r="D228" s="23"/>
      <x:c r="E228" s="23"/>
      <x:c r="F228" s="23"/>
      <x:c r="G228" s="23"/>
      <x:c r="H228" s="23"/>
      <x:c r="I228" s="23"/>
      <x:c r="J228" s="23"/>
      <x:c r="K228" s="23"/>
    </x:row>
    <x:row r="229" spans="1:11" x14ac:dyDescent="0.25">
      <x:c r="A229" s="23"/>
      <x:c r="B229" s="23"/>
      <x:c r="C229" s="23"/>
      <x:c r="D229" s="23"/>
      <x:c r="E229" s="23"/>
      <x:c r="F229" s="23"/>
      <x:c r="G229" s="23"/>
      <x:c r="H229" s="23"/>
      <x:c r="I229" s="23"/>
      <x:c r="J229" s="23"/>
      <x:c r="K229" s="23"/>
    </x:row>
    <x:row r="230" spans="1:11" x14ac:dyDescent="0.25">
      <x:c r="A230" s="23"/>
      <x:c r="B230" s="23"/>
      <x:c r="C230" s="23"/>
      <x:c r="D230" s="23"/>
      <x:c r="E230" s="23"/>
      <x:c r="F230" s="23"/>
      <x:c r="G230" s="23"/>
      <x:c r="H230" s="23"/>
      <x:c r="I230" s="23"/>
      <x:c r="J230" s="23"/>
      <x:c r="K230" s="23"/>
    </x:row>
    <x:row r="231" spans="1:11" x14ac:dyDescent="0.25">
      <x:c r="A231" s="23"/>
      <x:c r="B231" s="23"/>
      <x:c r="C231" s="23"/>
      <x:c r="D231" s="23"/>
      <x:c r="E231" s="23"/>
      <x:c r="F231" s="23"/>
      <x:c r="G231" s="23"/>
      <x:c r="H231" s="23"/>
      <x:c r="I231" s="23"/>
      <x:c r="J231" s="23"/>
      <x:c r="K231" s="23"/>
    </x:row>
    <x:row r="232" spans="1:11" x14ac:dyDescent="0.25">
      <x:c r="A232" s="23"/>
      <x:c r="B232" s="23"/>
      <x:c r="C232" s="23"/>
      <x:c r="D232" s="23"/>
      <x:c r="E232" s="23"/>
      <x:c r="F232" s="23"/>
      <x:c r="G232" s="23"/>
      <x:c r="H232" s="23"/>
      <x:c r="I232" s="23"/>
      <x:c r="J232" s="23"/>
      <x:c r="K232" s="23"/>
    </x:row>
    <x:row r="233" spans="1:11" x14ac:dyDescent="0.25">
      <x:c r="A233" s="23"/>
      <x:c r="B233" s="23"/>
      <x:c r="C233" s="23"/>
      <x:c r="D233" s="23"/>
      <x:c r="E233" s="23"/>
      <x:c r="F233" s="23"/>
      <x:c r="G233" s="23"/>
      <x:c r="H233" s="23"/>
      <x:c r="I233" s="23"/>
      <x:c r="J233" s="23"/>
      <x:c r="K233" s="23"/>
    </x:row>
    <x:row r="234" spans="1:11" x14ac:dyDescent="0.25">
      <x:c r="A234" s="23"/>
      <x:c r="B234" s="23"/>
      <x:c r="C234" s="23"/>
      <x:c r="D234" s="23"/>
      <x:c r="E234" s="23"/>
      <x:c r="F234" s="23"/>
      <x:c r="G234" s="23"/>
      <x:c r="H234" s="23"/>
      <x:c r="I234" s="23"/>
      <x:c r="J234" s="23"/>
      <x:c r="K234" s="23"/>
    </x:row>
    <x:row r="235" spans="1:11" x14ac:dyDescent="0.25">
      <x:c r="A235" s="23"/>
      <x:c r="B235" s="23"/>
      <x:c r="C235" s="23"/>
      <x:c r="D235" s="23"/>
      <x:c r="E235" s="23"/>
      <x:c r="F235" s="23"/>
      <x:c r="G235" s="23"/>
      <x:c r="H235" s="23"/>
      <x:c r="I235" s="23"/>
      <x:c r="J235" s="23"/>
      <x:c r="K235" s="23"/>
    </x:row>
    <x:row r="236" spans="1:11" x14ac:dyDescent="0.25">
      <x:c r="A236" s="23"/>
      <x:c r="B236" s="23"/>
      <x:c r="C236" s="23"/>
      <x:c r="D236" s="23"/>
      <x:c r="E236" s="23"/>
      <x:c r="F236" s="23"/>
      <x:c r="G236" s="23"/>
      <x:c r="H236" s="23"/>
      <x:c r="I236" s="23"/>
      <x:c r="J236" s="23"/>
      <x:c r="K236" s="23"/>
    </x:row>
    <x:row r="237" spans="1:11" x14ac:dyDescent="0.25">
      <x:c r="A237" s="23"/>
      <x:c r="B237" s="23"/>
      <x:c r="C237" s="23"/>
      <x:c r="D237" s="23"/>
      <x:c r="E237" s="23"/>
      <x:c r="F237" s="23"/>
      <x:c r="G237" s="23"/>
      <x:c r="H237" s="23"/>
      <x:c r="I237" s="23"/>
      <x:c r="J237" s="23"/>
      <x:c r="K237" s="23"/>
    </x:row>
    <x:row r="238" spans="1:11" x14ac:dyDescent="0.25">
      <x:c r="A238" s="23"/>
      <x:c r="B238" s="23"/>
      <x:c r="C238" s="23"/>
      <x:c r="D238" s="23"/>
      <x:c r="E238" s="23"/>
      <x:c r="F238" s="23"/>
      <x:c r="G238" s="23"/>
      <x:c r="H238" s="23"/>
      <x:c r="I238" s="23"/>
      <x:c r="J238" s="23"/>
      <x:c r="K238" s="23"/>
    </x:row>
    <x:row r="239" spans="1:11" x14ac:dyDescent="0.25">
      <x:c r="A239" s="23"/>
      <x:c r="B239" s="23"/>
      <x:c r="C239" s="23"/>
      <x:c r="D239" s="23"/>
      <x:c r="E239" s="23"/>
      <x:c r="F239" s="23"/>
      <x:c r="G239" s="23"/>
      <x:c r="H239" s="23"/>
      <x:c r="I239" s="23"/>
      <x:c r="J239" s="23"/>
      <x:c r="K239" s="23"/>
    </x:row>
    <x:row r="240" spans="1:11" x14ac:dyDescent="0.25">
      <x:c r="A240" s="23"/>
      <x:c r="B240" s="23"/>
      <x:c r="C240" s="23"/>
      <x:c r="D240" s="23"/>
      <x:c r="E240" s="23"/>
      <x:c r="F240" s="23"/>
      <x:c r="G240" s="23"/>
      <x:c r="H240" s="23"/>
      <x:c r="I240" s="23"/>
      <x:c r="J240" s="23"/>
      <x:c r="K240" s="23"/>
    </x:row>
    <x:row r="241" spans="1:11" x14ac:dyDescent="0.25">
      <x:c r="A241" s="23"/>
      <x:c r="B241" s="23"/>
      <x:c r="C241" s="23"/>
      <x:c r="D241" s="23"/>
      <x:c r="E241" s="23"/>
      <x:c r="F241" s="23"/>
      <x:c r="G241" s="23"/>
      <x:c r="H241" s="23"/>
      <x:c r="I241" s="23"/>
      <x:c r="J241" s="23"/>
      <x:c r="K241" s="23"/>
    </x:row>
    <x:row r="242" spans="1:11" x14ac:dyDescent="0.25">
      <x:c r="A242" s="23"/>
      <x:c r="B242" s="23"/>
      <x:c r="C242" s="23"/>
      <x:c r="D242" s="23"/>
      <x:c r="E242" s="23"/>
      <x:c r="F242" s="23"/>
      <x:c r="G242" s="23"/>
      <x:c r="H242" s="23"/>
      <x:c r="I242" s="23"/>
      <x:c r="J242" s="23"/>
      <x:c r="K242" s="23"/>
    </x:row>
    <x:row r="243" spans="1:11" x14ac:dyDescent="0.25">
      <x:c r="A243" s="23"/>
      <x:c r="B243" s="23"/>
      <x:c r="C243" s="23"/>
      <x:c r="D243" s="23"/>
      <x:c r="E243" s="23"/>
      <x:c r="F243" s="23"/>
      <x:c r="G243" s="23"/>
      <x:c r="H243" s="23"/>
      <x:c r="I243" s="23"/>
      <x:c r="J243" s="23"/>
      <x:c r="K243" s="23"/>
    </x:row>
    <x:row r="244" spans="1:11" x14ac:dyDescent="0.25">
      <x:c r="A244" s="23"/>
      <x:c r="B244" s="23"/>
      <x:c r="C244" s="23"/>
      <x:c r="D244" s="23"/>
      <x:c r="E244" s="23"/>
      <x:c r="F244" s="23"/>
      <x:c r="G244" s="23"/>
      <x:c r="H244" s="23"/>
      <x:c r="I244" s="23"/>
      <x:c r="J244" s="23"/>
      <x:c r="K244" s="23"/>
    </x:row>
    <x:row r="245" spans="1:11" x14ac:dyDescent="0.25">
      <x:c r="A245" s="23"/>
      <x:c r="B245" s="23"/>
      <x:c r="C245" s="23"/>
      <x:c r="D245" s="23"/>
      <x:c r="E245" s="23"/>
      <x:c r="F245" s="23"/>
      <x:c r="G245" s="23"/>
      <x:c r="H245" s="23"/>
      <x:c r="I245" s="23"/>
      <x:c r="J245" s="23"/>
      <x:c r="K245" s="23"/>
    </x:row>
    <x:row r="246" spans="1:11" x14ac:dyDescent="0.25">
      <x:c r="A246" s="23"/>
      <x:c r="B246" s="23"/>
      <x:c r="C246" s="23"/>
      <x:c r="D246" s="23"/>
      <x:c r="E246" s="23"/>
      <x:c r="F246" s="23"/>
      <x:c r="G246" s="23"/>
      <x:c r="H246" s="23"/>
      <x:c r="I246" s="23"/>
      <x:c r="J246" s="23"/>
      <x:c r="K246" s="23"/>
    </x:row>
    <x:row r="247" spans="1:11" x14ac:dyDescent="0.25">
      <x:c r="A247" s="23"/>
      <x:c r="B247" s="23"/>
      <x:c r="C247" s="23"/>
      <x:c r="D247" s="23"/>
      <x:c r="E247" s="23"/>
      <x:c r="F247" s="23"/>
      <x:c r="G247" s="23"/>
      <x:c r="H247" s="23"/>
      <x:c r="I247" s="23"/>
      <x:c r="J247" s="23"/>
      <x:c r="K247" s="23"/>
    </x:row>
    <x:row r="248" spans="1:11" x14ac:dyDescent="0.25">
      <x:c r="A248" s="23"/>
      <x:c r="B248" s="23"/>
      <x:c r="C248" s="23"/>
      <x:c r="D248" s="23"/>
      <x:c r="E248" s="23"/>
      <x:c r="F248" s="23"/>
      <x:c r="G248" s="23"/>
      <x:c r="H248" s="23"/>
      <x:c r="I248" s="23"/>
      <x:c r="J248" s="23"/>
      <x:c r="K248" s="23"/>
    </x:row>
    <x:row r="249" spans="1:11" x14ac:dyDescent="0.25">
      <x:c r="A249" s="23"/>
      <x:c r="B249" s="23"/>
      <x:c r="C249" s="23"/>
      <x:c r="D249" s="23"/>
      <x:c r="E249" s="23"/>
      <x:c r="F249" s="23"/>
      <x:c r="G249" s="23"/>
      <x:c r="H249" s="23"/>
      <x:c r="I249" s="23"/>
      <x:c r="J249" s="23"/>
      <x:c r="K249" s="23"/>
    </x:row>
    <x:row r="250" spans="1:11" x14ac:dyDescent="0.25">
      <x:c r="A250" s="23"/>
      <x:c r="B250" s="23"/>
      <x:c r="C250" s="23"/>
      <x:c r="D250" s="23"/>
      <x:c r="E250" s="23"/>
      <x:c r="F250" s="23"/>
      <x:c r="G250" s="23"/>
      <x:c r="H250" s="23"/>
      <x:c r="I250" s="23"/>
      <x:c r="J250" s="23"/>
      <x:c r="K250" s="23"/>
    </x:row>
    <x:row r="251" spans="1:11" x14ac:dyDescent="0.25">
      <x:c r="A251" s="23"/>
      <x:c r="B251" s="23"/>
      <x:c r="C251" s="23"/>
      <x:c r="D251" s="23"/>
      <x:c r="E251" s="23"/>
      <x:c r="F251" s="23"/>
      <x:c r="G251" s="23"/>
      <x:c r="H251" s="23"/>
      <x:c r="I251" s="23"/>
      <x:c r="J251" s="23"/>
      <x:c r="K251" s="23"/>
    </x:row>
    <x:row r="252" spans="1:11" x14ac:dyDescent="0.25">
      <x:c r="A252" s="23"/>
      <x:c r="B252" s="23"/>
      <x:c r="C252" s="23"/>
      <x:c r="D252" s="23"/>
      <x:c r="E252" s="23"/>
      <x:c r="F252" s="23"/>
      <x:c r="G252" s="23"/>
      <x:c r="H252" s="23"/>
      <x:c r="I252" s="23"/>
      <x:c r="J252" s="23"/>
      <x:c r="K252" s="23"/>
    </x:row>
    <x:row r="253" spans="1:11" x14ac:dyDescent="0.25">
      <x:c r="A253" s="23"/>
      <x:c r="B253" s="23"/>
      <x:c r="C253" s="23"/>
      <x:c r="D253" s="23"/>
      <x:c r="E253" s="23"/>
      <x:c r="F253" s="23"/>
      <x:c r="G253" s="23"/>
      <x:c r="H253" s="23"/>
      <x:c r="I253" s="23"/>
      <x:c r="J253" s="23"/>
      <x:c r="K253" s="23"/>
    </x:row>
    <x:row r="254" spans="1:11" x14ac:dyDescent="0.25">
      <x:c r="A254" s="23"/>
      <x:c r="B254" s="23"/>
      <x:c r="C254" s="23"/>
      <x:c r="D254" s="23"/>
      <x:c r="E254" s="23"/>
      <x:c r="F254" s="23"/>
      <x:c r="G254" s="23"/>
      <x:c r="H254" s="23"/>
      <x:c r="I254" s="23"/>
      <x:c r="J254" s="23"/>
      <x:c r="K254" s="23"/>
    </x:row>
    <x:row r="255" spans="1:11" x14ac:dyDescent="0.25">
      <x:c r="A255" s="23"/>
      <x:c r="B255" s="23"/>
      <x:c r="C255" s="23"/>
      <x:c r="D255" s="23"/>
      <x:c r="E255" s="23"/>
      <x:c r="F255" s="23"/>
      <x:c r="G255" s="23"/>
      <x:c r="H255" s="23"/>
      <x:c r="I255" s="23"/>
      <x:c r="J255" s="23"/>
      <x:c r="K255" s="23"/>
    </x:row>
    <x:row r="256" spans="1:11" x14ac:dyDescent="0.25">
      <x:c r="A256" s="23"/>
      <x:c r="B256" s="23"/>
      <x:c r="C256" s="23"/>
      <x:c r="D256" s="23"/>
      <x:c r="E256" s="23"/>
      <x:c r="F256" s="23"/>
      <x:c r="G256" s="23"/>
      <x:c r="H256" s="23"/>
      <x:c r="I256" s="23"/>
      <x:c r="J256" s="23"/>
      <x:c r="K256" s="23"/>
    </x:row>
    <x:row r="257" spans="1:11" x14ac:dyDescent="0.25">
      <x:c r="A257" s="23"/>
      <x:c r="B257" s="23"/>
      <x:c r="C257" s="23"/>
      <x:c r="D257" s="23"/>
      <x:c r="E257" s="23"/>
      <x:c r="F257" s="23"/>
      <x:c r="G257" s="23"/>
      <x:c r="H257" s="23"/>
      <x:c r="I257" s="23"/>
      <x:c r="J257" s="23"/>
      <x:c r="K257" s="23"/>
    </x:row>
    <x:row r="258" spans="1:11" x14ac:dyDescent="0.25">
      <x:c r="A258" s="23"/>
      <x:c r="B258" s="23"/>
      <x:c r="C258" s="23"/>
      <x:c r="D258" s="23"/>
      <x:c r="E258" s="23"/>
      <x:c r="F258" s="23"/>
      <x:c r="G258" s="23"/>
      <x:c r="H258" s="23"/>
      <x:c r="I258" s="23"/>
      <x:c r="J258" s="23"/>
      <x:c r="K258" s="23"/>
    </x:row>
    <x:row r="259" spans="1:11" x14ac:dyDescent="0.25">
      <x:c r="A259" s="23"/>
      <x:c r="B259" s="23"/>
      <x:c r="C259" s="23"/>
      <x:c r="D259" s="23"/>
      <x:c r="E259" s="23"/>
      <x:c r="F259" s="23"/>
      <x:c r="G259" s="23"/>
      <x:c r="H259" s="23"/>
      <x:c r="I259" s="23"/>
      <x:c r="J259" s="23"/>
      <x:c r="K259" s="23"/>
    </x:row>
    <x:row r="260" spans="1:11" x14ac:dyDescent="0.25">
      <x:c r="A260" s="23"/>
      <x:c r="B260" s="23"/>
      <x:c r="C260" s="23"/>
      <x:c r="D260" s="23"/>
      <x:c r="E260" s="23"/>
      <x:c r="F260" s="23"/>
      <x:c r="G260" s="23"/>
      <x:c r="H260" s="23"/>
      <x:c r="I260" s="23"/>
      <x:c r="J260" s="23"/>
      <x:c r="K260" s="23"/>
    </x:row>
    <x:row r="261" spans="1:11" x14ac:dyDescent="0.25">
      <x:c r="A261" s="23"/>
      <x:c r="B261" s="23"/>
      <x:c r="C261" s="23"/>
      <x:c r="D261" s="23"/>
      <x:c r="E261" s="23"/>
      <x:c r="F261" s="23"/>
      <x:c r="G261" s="23"/>
      <x:c r="H261" s="23"/>
      <x:c r="I261" s="23"/>
      <x:c r="J261" s="23"/>
      <x:c r="K261" s="23"/>
    </x:row>
    <x:row r="262" spans="1:11" x14ac:dyDescent="0.25">
      <x:c r="A262" s="23"/>
      <x:c r="B262" s="23"/>
      <x:c r="C262" s="23"/>
      <x:c r="D262" s="23"/>
      <x:c r="E262" s="23"/>
      <x:c r="F262" s="23"/>
      <x:c r="G262" s="23"/>
      <x:c r="H262" s="23"/>
      <x:c r="I262" s="23"/>
      <x:c r="J262" s="23"/>
      <x:c r="K262" s="23"/>
    </x:row>
    <x:row r="263" spans="1:11" x14ac:dyDescent="0.25">
      <x:c r="A263" s="23"/>
      <x:c r="B263" s="23"/>
      <x:c r="C263" s="23"/>
      <x:c r="D263" s="23"/>
      <x:c r="E263" s="23"/>
      <x:c r="F263" s="23"/>
      <x:c r="G263" s="23"/>
      <x:c r="H263" s="23"/>
      <x:c r="I263" s="23"/>
      <x:c r="J263" s="23"/>
      <x:c r="K263" s="23"/>
    </x:row>
    <x:row r="264" spans="1:11" x14ac:dyDescent="0.25">
      <x:c r="A264" s="23"/>
      <x:c r="B264" s="23"/>
      <x:c r="C264" s="23"/>
      <x:c r="D264" s="23"/>
      <x:c r="E264" s="23"/>
      <x:c r="F264" s="23"/>
      <x:c r="G264" s="23"/>
      <x:c r="H264" s="23"/>
      <x:c r="I264" s="23"/>
      <x:c r="J264" s="23"/>
      <x:c r="K264" s="23"/>
    </x:row>
    <x:row r="265" spans="1:11" x14ac:dyDescent="0.25">
      <x:c r="A265" s="23"/>
      <x:c r="B265" s="23"/>
      <x:c r="C265" s="23"/>
      <x:c r="D265" s="23"/>
      <x:c r="E265" s="23"/>
      <x:c r="F265" s="23"/>
      <x:c r="G265" s="23"/>
      <x:c r="H265" s="23"/>
      <x:c r="I265" s="23"/>
      <x:c r="J265" s="23"/>
      <x:c r="K265" s="23"/>
    </x:row>
    <x:row r="266" spans="1:11" x14ac:dyDescent="0.25">
      <x:c r="A266" s="23"/>
      <x:c r="B266" s="23"/>
      <x:c r="C266" s="23"/>
      <x:c r="D266" s="23"/>
      <x:c r="E266" s="23"/>
      <x:c r="F266" s="23"/>
      <x:c r="G266" s="23"/>
      <x:c r="H266" s="23"/>
      <x:c r="I266" s="23"/>
      <x:c r="J266" s="23"/>
      <x:c r="K266" s="23"/>
    </x:row>
    <x:row r="267" spans="1:11" x14ac:dyDescent="0.25">
      <x:c r="A267" s="23"/>
      <x:c r="B267" s="23"/>
      <x:c r="C267" s="23"/>
      <x:c r="D267" s="23"/>
      <x:c r="E267" s="23"/>
      <x:c r="F267" s="23"/>
      <x:c r="G267" s="23"/>
      <x:c r="H267" s="23"/>
      <x:c r="I267" s="23"/>
      <x:c r="J267" s="23"/>
      <x:c r="K267" s="23"/>
    </x:row>
    <x:row r="268" spans="1:11" x14ac:dyDescent="0.25">
      <x:c r="A268" s="23"/>
      <x:c r="B268" s="23"/>
      <x:c r="C268" s="23"/>
      <x:c r="D268" s="23"/>
      <x:c r="E268" s="23"/>
      <x:c r="F268" s="23"/>
      <x:c r="G268" s="23"/>
      <x:c r="H268" s="23"/>
      <x:c r="I268" s="23"/>
      <x:c r="J268" s="23"/>
      <x:c r="K268" s="23"/>
    </x:row>
    <x:row r="269" spans="1:11" x14ac:dyDescent="0.25">
      <x:c r="A269" s="23"/>
      <x:c r="B269" s="23"/>
      <x:c r="C269" s="23"/>
      <x:c r="D269" s="23"/>
      <x:c r="E269" s="23"/>
      <x:c r="F269" s="23"/>
      <x:c r="G269" s="23"/>
      <x:c r="H269" s="23"/>
      <x:c r="I269" s="23"/>
      <x:c r="J269" s="23"/>
      <x:c r="K269" s="23"/>
    </x:row>
    <x:row r="270" spans="1:11" x14ac:dyDescent="0.25">
      <x:c r="A270" s="23"/>
      <x:c r="B270" s="23"/>
      <x:c r="C270" s="23"/>
      <x:c r="D270" s="23"/>
      <x:c r="E270" s="23"/>
      <x:c r="F270" s="23"/>
      <x:c r="G270" s="23"/>
      <x:c r="H270" s="23"/>
      <x:c r="I270" s="23"/>
      <x:c r="J270" s="23"/>
      <x:c r="K270" s="23"/>
    </x:row>
    <x:row r="271" spans="1:11" x14ac:dyDescent="0.25">
      <x:c r="A271" s="23"/>
      <x:c r="B271" s="23"/>
      <x:c r="C271" s="23"/>
      <x:c r="D271" s="23"/>
      <x:c r="E271" s="23"/>
      <x:c r="F271" s="23"/>
      <x:c r="G271" s="23"/>
      <x:c r="H271" s="23"/>
      <x:c r="I271" s="23"/>
      <x:c r="J271" s="23"/>
      <x:c r="K271" s="23"/>
    </x:row>
    <x:row r="272" spans="1:11" x14ac:dyDescent="0.25">
      <x:c r="A272" s="23"/>
      <x:c r="B272" s="23"/>
      <x:c r="C272" s="23"/>
      <x:c r="D272" s="23"/>
      <x:c r="E272" s="23"/>
      <x:c r="F272" s="23"/>
      <x:c r="G272" s="23"/>
      <x:c r="H272" s="23"/>
      <x:c r="I272" s="23"/>
      <x:c r="J272" s="23"/>
      <x:c r="K272" s="23"/>
    </x:row>
    <x:row r="273" spans="1:11" x14ac:dyDescent="0.25">
      <x:c r="A273" s="23"/>
      <x:c r="B273" s="23"/>
      <x:c r="C273" s="23"/>
      <x:c r="D273" s="23"/>
      <x:c r="E273" s="23"/>
      <x:c r="F273" s="23"/>
      <x:c r="G273" s="23"/>
      <x:c r="H273" s="23"/>
      <x:c r="I273" s="23"/>
      <x:c r="J273" s="23"/>
      <x:c r="K273" s="23"/>
    </x:row>
    <x:row r="274" spans="1:11" x14ac:dyDescent="0.25">
      <x:c r="A274" s="23"/>
      <x:c r="B274" s="23"/>
      <x:c r="C274" s="23"/>
      <x:c r="D274" s="23"/>
      <x:c r="E274" s="23"/>
      <x:c r="F274" s="23"/>
      <x:c r="G274" s="23"/>
      <x:c r="H274" s="23"/>
      <x:c r="I274" s="23"/>
      <x:c r="J274" s="23"/>
      <x:c r="K274" s="23"/>
    </x:row>
    <x:row r="275" spans="1:11" x14ac:dyDescent="0.25">
      <x:c r="A275" s="23"/>
      <x:c r="B275" s="23"/>
      <x:c r="C275" s="23"/>
      <x:c r="D275" s="23"/>
      <x:c r="E275" s="23"/>
      <x:c r="F275" s="23"/>
      <x:c r="G275" s="23"/>
      <x:c r="H275" s="23"/>
      <x:c r="I275" s="23"/>
      <x:c r="J275" s="23"/>
      <x:c r="K275" s="23"/>
    </x:row>
    <x:row r="276" spans="1:11" x14ac:dyDescent="0.25">
      <x:c r="A276" s="23"/>
      <x:c r="B276" s="23"/>
      <x:c r="C276" s="23"/>
      <x:c r="D276" s="23"/>
      <x:c r="E276" s="23"/>
      <x:c r="F276" s="23"/>
      <x:c r="G276" s="23"/>
      <x:c r="H276" s="23"/>
      <x:c r="I276" s="23"/>
      <x:c r="J276" s="23"/>
      <x:c r="K276" s="23"/>
    </x:row>
    <x:row r="277" spans="1:11" x14ac:dyDescent="0.25">
      <x:c r="A277" s="23"/>
      <x:c r="B277" s="23"/>
      <x:c r="C277" s="23"/>
      <x:c r="D277" s="23"/>
      <x:c r="E277" s="23"/>
      <x:c r="F277" s="23"/>
      <x:c r="G277" s="23"/>
      <x:c r="H277" s="23"/>
      <x:c r="I277" s="23"/>
      <x:c r="J277" s="23"/>
      <x:c r="K277" s="23"/>
    </x:row>
    <x:row r="278" spans="1:11" x14ac:dyDescent="0.25">
      <x:c r="A278" s="23"/>
      <x:c r="B278" s="23"/>
      <x:c r="C278" s="23"/>
      <x:c r="D278" s="23"/>
      <x:c r="E278" s="23"/>
      <x:c r="F278" s="23"/>
      <x:c r="G278" s="23"/>
      <x:c r="H278" s="23"/>
      <x:c r="I278" s="23"/>
      <x:c r="J278" s="23"/>
      <x:c r="K278" s="23"/>
    </x:row>
    <x:row r="279" spans="1:11" x14ac:dyDescent="0.25">
      <x:c r="A279" s="23"/>
      <x:c r="B279" s="23"/>
      <x:c r="C279" s="23"/>
      <x:c r="D279" s="23"/>
      <x:c r="E279" s="23"/>
      <x:c r="F279" s="23"/>
      <x:c r="G279" s="23"/>
      <x:c r="H279" s="23"/>
      <x:c r="I279" s="23"/>
      <x:c r="J279" s="23"/>
      <x:c r="K279" s="23"/>
    </x:row>
    <x:row r="280" spans="1:11" x14ac:dyDescent="0.25">
      <x:c r="A280" s="23"/>
      <x:c r="B280" s="23"/>
      <x:c r="C280" s="23"/>
      <x:c r="D280" s="23"/>
      <x:c r="E280" s="23"/>
      <x:c r="F280" s="23"/>
      <x:c r="G280" s="23"/>
      <x:c r="H280" s="23"/>
      <x:c r="I280" s="23"/>
      <x:c r="J280" s="23"/>
      <x:c r="K280" s="23"/>
    </x:row>
    <x:row r="281" spans="1:11" x14ac:dyDescent="0.25">
      <x:c r="A281" s="23"/>
      <x:c r="B281" s="23"/>
      <x:c r="C281" s="23"/>
      <x:c r="D281" s="23"/>
      <x:c r="E281" s="23"/>
      <x:c r="F281" s="23"/>
      <x:c r="G281" s="23"/>
      <x:c r="H281" s="23"/>
      <x:c r="I281" s="23"/>
      <x:c r="J281" s="23"/>
      <x:c r="K281" s="23"/>
    </x:row>
    <x:row r="282" spans="1:11" x14ac:dyDescent="0.25">
      <x:c r="A282" s="23"/>
      <x:c r="B282" s="23"/>
      <x:c r="C282" s="23"/>
      <x:c r="D282" s="23"/>
      <x:c r="E282" s="23"/>
      <x:c r="F282" s="23"/>
      <x:c r="G282" s="23"/>
      <x:c r="H282" s="23"/>
      <x:c r="I282" s="23"/>
      <x:c r="J282" s="23"/>
      <x:c r="K282" s="23"/>
    </x:row>
    <x:row r="283" spans="1:11" x14ac:dyDescent="0.25">
      <x:c r="A283" s="23"/>
      <x:c r="B283" s="23"/>
      <x:c r="C283" s="23"/>
      <x:c r="D283" s="23"/>
      <x:c r="E283" s="23"/>
      <x:c r="F283" s="23"/>
      <x:c r="G283" s="23"/>
      <x:c r="H283" s="23"/>
      <x:c r="I283" s="23"/>
      <x:c r="J283" s="23"/>
      <x:c r="K283" s="23"/>
    </x:row>
    <x:row r="284" spans="1:11" x14ac:dyDescent="0.25">
      <x:c r="A284" s="23"/>
      <x:c r="B284" s="23"/>
      <x:c r="C284" s="23"/>
      <x:c r="D284" s="23"/>
      <x:c r="E284" s="23"/>
      <x:c r="F284" s="23"/>
      <x:c r="G284" s="23"/>
      <x:c r="H284" s="23"/>
      <x:c r="I284" s="23"/>
      <x:c r="J284" s="23"/>
      <x:c r="K284" s="23"/>
    </x:row>
    <x:row r="285" spans="1:11" x14ac:dyDescent="0.25">
      <x:c r="A285" s="23"/>
      <x:c r="B285" s="23"/>
      <x:c r="C285" s="23"/>
      <x:c r="D285" s="23"/>
      <x:c r="E285" s="23"/>
      <x:c r="F285" s="23"/>
      <x:c r="G285" s="23"/>
      <x:c r="H285" s="23"/>
      <x:c r="I285" s="23"/>
      <x:c r="J285" s="23"/>
      <x:c r="K285" s="23"/>
    </x:row>
    <x:row r="286" spans="1:11" x14ac:dyDescent="0.25">
      <x:c r="A286" s="23"/>
      <x:c r="B286" s="23"/>
      <x:c r="C286" s="23"/>
      <x:c r="D286" s="23"/>
      <x:c r="E286" s="23"/>
      <x:c r="F286" s="23"/>
      <x:c r="G286" s="23"/>
      <x:c r="H286" s="23"/>
      <x:c r="I286" s="23"/>
      <x:c r="J286" s="23"/>
      <x:c r="K286" s="23"/>
    </x:row>
    <x:row r="287" spans="1:11" x14ac:dyDescent="0.25">
      <x:c r="A287" s="23"/>
      <x:c r="B287" s="23"/>
      <x:c r="C287" s="23"/>
      <x:c r="D287" s="23"/>
      <x:c r="E287" s="23"/>
      <x:c r="F287" s="23"/>
      <x:c r="G287" s="23"/>
      <x:c r="H287" s="23"/>
      <x:c r="I287" s="23"/>
      <x:c r="J287" s="23"/>
      <x:c r="K287" s="23"/>
    </x:row>
    <x:row r="288" spans="1:11" x14ac:dyDescent="0.25">
      <x:c r="A288" s="23"/>
      <x:c r="B288" s="23"/>
      <x:c r="C288" s="23"/>
      <x:c r="D288" s="23"/>
      <x:c r="E288" s="23"/>
      <x:c r="F288" s="23"/>
      <x:c r="G288" s="23"/>
      <x:c r="H288" s="23"/>
      <x:c r="I288" s="23"/>
      <x:c r="J288" s="23"/>
      <x:c r="K288" s="23"/>
    </x:row>
    <x:row r="289" spans="1:11" x14ac:dyDescent="0.25">
      <x:c r="A289" s="23"/>
      <x:c r="B289" s="23"/>
      <x:c r="C289" s="23"/>
      <x:c r="D289" s="23"/>
      <x:c r="E289" s="23"/>
      <x:c r="F289" s="23"/>
      <x:c r="G289" s="23"/>
      <x:c r="H289" s="23"/>
      <x:c r="I289" s="23"/>
      <x:c r="J289" s="23"/>
      <x:c r="K289" s="23"/>
    </x:row>
    <x:row r="290" spans="1:11" x14ac:dyDescent="0.25">
      <x:c r="A290" s="23"/>
      <x:c r="B290" s="23"/>
      <x:c r="C290" s="23"/>
      <x:c r="D290" s="23"/>
      <x:c r="E290" s="23"/>
      <x:c r="F290" s="23"/>
      <x:c r="G290" s="23"/>
      <x:c r="H290" s="23"/>
      <x:c r="I290" s="23"/>
      <x:c r="J290" s="23"/>
      <x:c r="K290" s="23"/>
    </x:row>
    <x:row r="291" spans="1:11" x14ac:dyDescent="0.25">
      <x:c r="A291" s="23"/>
      <x:c r="B291" s="23"/>
      <x:c r="C291" s="23"/>
      <x:c r="D291" s="23"/>
      <x:c r="E291" s="23"/>
      <x:c r="F291" s="23"/>
      <x:c r="G291" s="23"/>
      <x:c r="H291" s="23"/>
      <x:c r="I291" s="23"/>
      <x:c r="J291" s="23"/>
      <x:c r="K291" s="23"/>
    </x:row>
    <x:row r="292" spans="1:11" x14ac:dyDescent="0.25">
      <x:c r="A292" s="23"/>
      <x:c r="B292" s="23"/>
      <x:c r="C292" s="23"/>
      <x:c r="D292" s="23"/>
      <x:c r="E292" s="23"/>
      <x:c r="F292" s="23"/>
      <x:c r="G292" s="23"/>
      <x:c r="H292" s="23"/>
      <x:c r="I292" s="23"/>
      <x:c r="J292" s="23"/>
      <x:c r="K292" s="23"/>
    </x:row>
    <x:row r="293" spans="1:11" x14ac:dyDescent="0.25">
      <x:c r="A293" s="23"/>
      <x:c r="B293" s="23"/>
      <x:c r="C293" s="23"/>
      <x:c r="D293" s="23"/>
      <x:c r="E293" s="23"/>
      <x:c r="F293" s="23"/>
      <x:c r="G293" s="23"/>
      <x:c r="H293" s="23"/>
      <x:c r="I293" s="23"/>
      <x:c r="J293" s="23"/>
      <x:c r="K293" s="23"/>
    </x:row>
    <x:row r="294" spans="1:11" x14ac:dyDescent="0.25">
      <x:c r="A294" s="23"/>
      <x:c r="B294" s="23"/>
      <x:c r="C294" s="23"/>
      <x:c r="D294" s="23"/>
      <x:c r="E294" s="23"/>
      <x:c r="F294" s="23"/>
      <x:c r="G294" s="23"/>
      <x:c r="H294" s="23"/>
      <x:c r="I294" s="23"/>
      <x:c r="J294" s="23"/>
      <x:c r="K294" s="23"/>
    </x:row>
    <x:row r="295" spans="1:11" x14ac:dyDescent="0.25">
      <x:c r="A295" s="23"/>
      <x:c r="B295" s="23"/>
      <x:c r="C295" s="23"/>
      <x:c r="D295" s="23"/>
      <x:c r="E295" s="23"/>
      <x:c r="F295" s="23"/>
      <x:c r="G295" s="23"/>
      <x:c r="H295" s="23"/>
      <x:c r="I295" s="23"/>
      <x:c r="J295" s="23"/>
      <x:c r="K295" s="23"/>
    </x:row>
    <x:row r="296" spans="1:11" x14ac:dyDescent="0.25">
      <x:c r="A296" s="23"/>
      <x:c r="B296" s="23"/>
      <x:c r="C296" s="23"/>
      <x:c r="D296" s="23"/>
      <x:c r="E296" s="23"/>
      <x:c r="F296" s="23"/>
      <x:c r="G296" s="23"/>
      <x:c r="H296" s="23"/>
      <x:c r="I296" s="23"/>
      <x:c r="J296" s="23"/>
      <x:c r="K296" s="23"/>
    </x:row>
    <x:row r="297" spans="1:11" x14ac:dyDescent="0.25">
      <x:c r="A297" s="23"/>
      <x:c r="B297" s="23"/>
      <x:c r="C297" s="23"/>
      <x:c r="D297" s="23"/>
      <x:c r="E297" s="23"/>
      <x:c r="F297" s="23"/>
      <x:c r="G297" s="23"/>
      <x:c r="H297" s="23"/>
      <x:c r="I297" s="23"/>
      <x:c r="J297" s="23"/>
      <x:c r="K297" s="23"/>
    </x:row>
    <x:row r="298" spans="1:11" x14ac:dyDescent="0.25">
      <x:c r="A298" s="23"/>
      <x:c r="B298" s="23"/>
      <x:c r="C298" s="23"/>
      <x:c r="D298" s="23"/>
      <x:c r="E298" s="23"/>
      <x:c r="F298" s="23"/>
      <x:c r="G298" s="23"/>
      <x:c r="H298" s="23"/>
      <x:c r="I298" s="23"/>
      <x:c r="J298" s="23"/>
      <x:c r="K298" s="23"/>
    </x:row>
    <x:row r="299" spans="1:11" x14ac:dyDescent="0.25">
      <x:c r="A299" s="23"/>
      <x:c r="B299" s="23"/>
      <x:c r="C299" s="23"/>
      <x:c r="D299" s="23"/>
      <x:c r="E299" s="23"/>
      <x:c r="F299" s="23"/>
      <x:c r="G299" s="23"/>
      <x:c r="H299" s="23"/>
      <x:c r="I299" s="23"/>
      <x:c r="J299" s="23"/>
      <x:c r="K299" s="23"/>
    </x:row>
    <x:row r="300" spans="1:11" x14ac:dyDescent="0.25">
      <x:c r="A300" s="23"/>
      <x:c r="B300" s="23"/>
      <x:c r="C300" s="23"/>
      <x:c r="D300" s="23"/>
      <x:c r="E300" s="23"/>
      <x:c r="F300" s="23"/>
      <x:c r="G300" s="23"/>
      <x:c r="H300" s="23"/>
      <x:c r="I300" s="23"/>
      <x:c r="J300" s="23"/>
      <x:c r="K300" s="23"/>
    </x:row>
    <x:row r="301" spans="1:11" x14ac:dyDescent="0.25">
      <x:c r="A301" s="23"/>
      <x:c r="B301" s="23"/>
      <x:c r="C301" s="23"/>
      <x:c r="D301" s="23"/>
      <x:c r="E301" s="23"/>
      <x:c r="F301" s="23"/>
      <x:c r="G301" s="23"/>
      <x:c r="H301" s="23"/>
      <x:c r="I301" s="23"/>
      <x:c r="J301" s="23"/>
      <x:c r="K301" s="23"/>
    </x:row>
    <x:row r="302" spans="1:11" x14ac:dyDescent="0.25">
      <x:c r="A302" s="23"/>
      <x:c r="B302" s="23"/>
      <x:c r="C302" s="23"/>
      <x:c r="D302" s="23"/>
      <x:c r="E302" s="23"/>
      <x:c r="F302" s="23"/>
      <x:c r="G302" s="23"/>
      <x:c r="H302" s="23"/>
      <x:c r="I302" s="23"/>
      <x:c r="J302" s="23"/>
      <x:c r="K302" s="23"/>
    </x:row>
    <x:row r="303" spans="1:11" x14ac:dyDescent="0.25">
      <x:c r="A303" s="23"/>
      <x:c r="B303" s="23"/>
      <x:c r="C303" s="23"/>
      <x:c r="D303" s="23"/>
      <x:c r="E303" s="23"/>
      <x:c r="F303" s="23"/>
      <x:c r="G303" s="23"/>
      <x:c r="H303" s="23"/>
      <x:c r="I303" s="23"/>
      <x:c r="J303" s="23"/>
      <x:c r="K303" s="23"/>
    </x:row>
    <x:row r="304" spans="1:11" x14ac:dyDescent="0.25">
      <x:c r="A304" s="23"/>
      <x:c r="B304" s="23"/>
      <x:c r="C304" s="23"/>
      <x:c r="D304" s="23"/>
      <x:c r="E304" s="23"/>
      <x:c r="F304" s="23"/>
      <x:c r="G304" s="23"/>
      <x:c r="H304" s="23"/>
      <x:c r="I304" s="23"/>
      <x:c r="J304" s="23"/>
      <x:c r="K304" s="23"/>
    </x:row>
    <x:row r="305" spans="1:11" x14ac:dyDescent="0.25">
      <x:c r="A305" s="23"/>
      <x:c r="B305" s="23"/>
      <x:c r="C305" s="23"/>
      <x:c r="D305" s="23"/>
      <x:c r="E305" s="23"/>
      <x:c r="F305" s="23"/>
      <x:c r="G305" s="23"/>
      <x:c r="H305" s="23"/>
      <x:c r="I305" s="23"/>
      <x:c r="J305" s="23"/>
      <x:c r="K305" s="23"/>
    </x:row>
    <x:row r="306" spans="1:11" x14ac:dyDescent="0.25">
      <x:c r="A306" s="23"/>
      <x:c r="B306" s="23"/>
      <x:c r="C306" s="23"/>
      <x:c r="D306" s="23"/>
      <x:c r="E306" s="23"/>
      <x:c r="F306" s="23"/>
      <x:c r="G306" s="23"/>
      <x:c r="H306" s="23"/>
      <x:c r="I306" s="23"/>
      <x:c r="J306" s="23"/>
      <x:c r="K306" s="23"/>
    </x:row>
    <x:row r="307" spans="1:11" x14ac:dyDescent="0.25">
      <x:c r="A307" s="23"/>
      <x:c r="B307" s="23"/>
      <x:c r="C307" s="23"/>
      <x:c r="D307" s="23"/>
      <x:c r="E307" s="23"/>
      <x:c r="F307" s="23"/>
      <x:c r="G307" s="23"/>
      <x:c r="H307" s="23"/>
      <x:c r="I307" s="23"/>
      <x:c r="J307" s="23"/>
      <x:c r="K307" s="23"/>
    </x:row>
    <x:row r="308" spans="1:11" x14ac:dyDescent="0.25">
      <x:c r="A308" s="23"/>
      <x:c r="B308" s="23"/>
      <x:c r="C308" s="23"/>
      <x:c r="D308" s="23"/>
      <x:c r="E308" s="23"/>
      <x:c r="F308" s="23"/>
      <x:c r="G308" s="23"/>
      <x:c r="H308" s="23"/>
      <x:c r="I308" s="23"/>
      <x:c r="J308" s="23"/>
      <x:c r="K308" s="23"/>
    </x:row>
    <x:row r="309" spans="1:11" x14ac:dyDescent="0.25">
      <x:c r="A309" s="23"/>
      <x:c r="B309" s="23"/>
      <x:c r="C309" s="23"/>
      <x:c r="D309" s="23"/>
      <x:c r="E309" s="23"/>
      <x:c r="F309" s="23"/>
      <x:c r="G309" s="23"/>
      <x:c r="H309" s="23"/>
      <x:c r="I309" s="23"/>
      <x:c r="J309" s="23"/>
      <x:c r="K309" s="23"/>
    </x:row>
    <x:row r="310" spans="1:11" x14ac:dyDescent="0.25">
      <x:c r="A310" s="23"/>
      <x:c r="B310" s="23"/>
      <x:c r="C310" s="23"/>
      <x:c r="D310" s="23"/>
      <x:c r="E310" s="23"/>
      <x:c r="F310" s="23"/>
      <x:c r="G310" s="23"/>
      <x:c r="H310" s="23"/>
      <x:c r="I310" s="23"/>
      <x:c r="J310" s="23"/>
      <x:c r="K310" s="23"/>
    </x:row>
    <x:row r="311" spans="1:11" x14ac:dyDescent="0.25">
      <x:c r="A311" s="23"/>
      <x:c r="B311" s="23"/>
      <x:c r="C311" s="23"/>
      <x:c r="D311" s="23"/>
      <x:c r="E311" s="23"/>
      <x:c r="F311" s="23"/>
      <x:c r="G311" s="23"/>
      <x:c r="H311" s="23"/>
      <x:c r="I311" s="23"/>
      <x:c r="J311" s="23"/>
      <x:c r="K311" s="23"/>
    </x:row>
    <x:row r="312" spans="1:11" x14ac:dyDescent="0.25">
      <x:c r="A312" s="23"/>
      <x:c r="B312" s="23"/>
      <x:c r="C312" s="23"/>
      <x:c r="D312" s="23"/>
      <x:c r="E312" s="23"/>
      <x:c r="F312" s="23"/>
      <x:c r="G312" s="23"/>
      <x:c r="H312" s="23"/>
      <x:c r="I312" s="23"/>
      <x:c r="J312" s="23"/>
      <x:c r="K312" s="23"/>
    </x:row>
    <x:row r="313" spans="1:11" x14ac:dyDescent="0.25">
      <x:c r="A313" s="23"/>
      <x:c r="B313" s="23"/>
      <x:c r="C313" s="23"/>
      <x:c r="D313" s="23"/>
      <x:c r="E313" s="23"/>
      <x:c r="F313" s="23"/>
      <x:c r="G313" s="23"/>
      <x:c r="H313" s="23"/>
      <x:c r="I313" s="23"/>
      <x:c r="J313" s="23"/>
      <x:c r="K313" s="23"/>
    </x:row>
    <x:row r="314" spans="1:11" x14ac:dyDescent="0.25">
      <x:c r="A314" s="23"/>
      <x:c r="B314" s="23"/>
      <x:c r="C314" s="23"/>
      <x:c r="D314" s="23"/>
      <x:c r="E314" s="23"/>
      <x:c r="F314" s="23"/>
      <x:c r="G314" s="23"/>
      <x:c r="H314" s="23"/>
      <x:c r="I314" s="23"/>
      <x:c r="J314" s="23"/>
      <x:c r="K314" s="23"/>
    </x:row>
    <x:row r="315" spans="1:11" x14ac:dyDescent="0.25">
      <x:c r="A315" s="23"/>
      <x:c r="B315" s="23"/>
      <x:c r="C315" s="23"/>
      <x:c r="D315" s="23"/>
      <x:c r="E315" s="23"/>
      <x:c r="F315" s="23"/>
      <x:c r="G315" s="23"/>
      <x:c r="H315" s="23"/>
      <x:c r="I315" s="23"/>
      <x:c r="J315" s="23"/>
      <x:c r="K315" s="23"/>
    </x:row>
    <x:row r="316" spans="1:11" x14ac:dyDescent="0.25">
      <x:c r="A316" s="23"/>
      <x:c r="B316" s="23"/>
      <x:c r="C316" s="23"/>
      <x:c r="D316" s="23"/>
      <x:c r="E316" s="23"/>
      <x:c r="F316" s="23"/>
      <x:c r="G316" s="23"/>
      <x:c r="H316" s="23"/>
      <x:c r="I316" s="23"/>
      <x:c r="J316" s="23"/>
      <x:c r="K316" s="23"/>
    </x:row>
    <x:row r="317" spans="1:11" x14ac:dyDescent="0.25">
      <x:c r="A317" s="23"/>
      <x:c r="B317" s="23"/>
      <x:c r="C317" s="23"/>
      <x:c r="D317" s="23"/>
      <x:c r="E317" s="23"/>
      <x:c r="F317" s="23"/>
      <x:c r="G317" s="23"/>
      <x:c r="H317" s="23"/>
      <x:c r="I317" s="23"/>
      <x:c r="J317" s="23"/>
      <x:c r="K317" s="23"/>
    </x:row>
    <x:row r="318" spans="1:11" x14ac:dyDescent="0.25">
      <x:c r="A318" s="23"/>
      <x:c r="B318" s="23"/>
      <x:c r="C318" s="23"/>
      <x:c r="D318" s="23"/>
      <x:c r="E318" s="23"/>
      <x:c r="F318" s="23"/>
      <x:c r="G318" s="23"/>
      <x:c r="H318" s="23"/>
      <x:c r="I318" s="23"/>
      <x:c r="J318" s="23"/>
      <x:c r="K318" s="23"/>
    </x:row>
    <x:row r="319" spans="1:11" x14ac:dyDescent="0.25">
      <x:c r="A319" s="23"/>
      <x:c r="B319" s="23"/>
      <x:c r="C319" s="23"/>
      <x:c r="D319" s="23"/>
      <x:c r="E319" s="23"/>
      <x:c r="F319" s="23"/>
      <x:c r="G319" s="23"/>
      <x:c r="H319" s="23"/>
      <x:c r="I319" s="23"/>
      <x:c r="J319" s="23"/>
      <x:c r="K319" s="23"/>
    </x:row>
    <x:row r="320" spans="1:11" x14ac:dyDescent="0.25">
      <x:c r="A320" s="23"/>
      <x:c r="B320" s="23"/>
      <x:c r="C320" s="23"/>
      <x:c r="D320" s="23"/>
      <x:c r="E320" s="23"/>
      <x:c r="F320" s="23"/>
      <x:c r="G320" s="23"/>
      <x:c r="H320" s="23"/>
      <x:c r="I320" s="23"/>
      <x:c r="J320" s="23"/>
      <x:c r="K320" s="23"/>
    </x:row>
    <x:row r="321" spans="1:11" x14ac:dyDescent="0.25">
      <x:c r="A321" s="23"/>
      <x:c r="B321" s="23"/>
      <x:c r="C321" s="23"/>
      <x:c r="D321" s="23"/>
      <x:c r="E321" s="23"/>
      <x:c r="F321" s="23"/>
      <x:c r="G321" s="23"/>
      <x:c r="H321" s="23"/>
      <x:c r="I321" s="23"/>
      <x:c r="J321" s="23"/>
      <x:c r="K321" s="23"/>
    </x:row>
    <x:row r="322" spans="1:11" x14ac:dyDescent="0.25">
      <x:c r="A322" s="23"/>
      <x:c r="B322" s="23"/>
      <x:c r="C322" s="23"/>
      <x:c r="D322" s="23"/>
      <x:c r="E322" s="23"/>
      <x:c r="F322" s="23"/>
      <x:c r="G322" s="23"/>
      <x:c r="H322" s="23"/>
      <x:c r="I322" s="23"/>
      <x:c r="J322" s="23"/>
      <x:c r="K322" s="23"/>
    </x:row>
    <x:row r="323" spans="1:11" x14ac:dyDescent="0.25">
      <x:c r="A323" s="23"/>
      <x:c r="B323" s="23"/>
      <x:c r="C323" s="23"/>
      <x:c r="D323" s="23"/>
      <x:c r="E323" s="23"/>
      <x:c r="F323" s="23"/>
      <x:c r="G323" s="23"/>
      <x:c r="H323" s="23"/>
      <x:c r="I323" s="23"/>
      <x:c r="J323" s="23"/>
      <x:c r="K323" s="23"/>
    </x:row>
    <x:row r="324" spans="1:11" x14ac:dyDescent="0.25">
      <x:c r="A324" s="23"/>
      <x:c r="B324" s="23"/>
      <x:c r="C324" s="23"/>
      <x:c r="D324" s="23"/>
      <x:c r="E324" s="23"/>
      <x:c r="F324" s="23"/>
      <x:c r="G324" s="23"/>
      <x:c r="H324" s="23"/>
      <x:c r="I324" s="23"/>
      <x:c r="J324" s="23"/>
      <x:c r="K324" s="23"/>
    </x:row>
    <x:row r="325" spans="1:11" x14ac:dyDescent="0.25">
      <x:c r="A325" s="23"/>
      <x:c r="B325" s="23"/>
      <x:c r="C325" s="23"/>
      <x:c r="D325" s="23"/>
      <x:c r="E325" s="23"/>
      <x:c r="F325" s="23"/>
      <x:c r="G325" s="23"/>
      <x:c r="H325" s="23"/>
      <x:c r="I325" s="23"/>
      <x:c r="J325" s="23"/>
      <x:c r="K325" s="23"/>
    </x:row>
    <x:row r="326" spans="1:11" x14ac:dyDescent="0.25">
      <x:c r="A326" s="23"/>
      <x:c r="B326" s="23"/>
      <x:c r="C326" s="23"/>
      <x:c r="D326" s="23"/>
      <x:c r="E326" s="23"/>
      <x:c r="F326" s="23"/>
      <x:c r="G326" s="23"/>
      <x:c r="H326" s="23"/>
      <x:c r="I326" s="23"/>
      <x:c r="J326" s="23"/>
      <x:c r="K326" s="23"/>
    </x:row>
    <x:row r="327" spans="1:11" x14ac:dyDescent="0.25">
      <x:c r="A327" s="23"/>
      <x:c r="B327" s="23"/>
      <x:c r="C327" s="23"/>
      <x:c r="D327" s="23"/>
      <x:c r="E327" s="23"/>
      <x:c r="F327" s="23"/>
      <x:c r="G327" s="23"/>
      <x:c r="H327" s="23"/>
      <x:c r="I327" s="23"/>
      <x:c r="J327" s="23"/>
      <x:c r="K327" s="23"/>
    </x:row>
    <x:row r="328" spans="1:11" x14ac:dyDescent="0.25">
      <x:c r="A328" s="23"/>
      <x:c r="B328" s="23"/>
      <x:c r="C328" s="23"/>
      <x:c r="D328" s="23"/>
      <x:c r="E328" s="23"/>
      <x:c r="F328" s="23"/>
      <x:c r="G328" s="23"/>
      <x:c r="H328" s="23"/>
      <x:c r="I328" s="23"/>
      <x:c r="J328" s="23"/>
      <x:c r="K328" s="23"/>
    </x:row>
    <x:row r="329" spans="1:11" x14ac:dyDescent="0.25">
      <x:c r="A329" s="23"/>
      <x:c r="B329" s="23"/>
      <x:c r="C329" s="23"/>
      <x:c r="D329" s="23"/>
      <x:c r="E329" s="23"/>
      <x:c r="F329" s="23"/>
      <x:c r="G329" s="23"/>
      <x:c r="H329" s="23"/>
      <x:c r="I329" s="23"/>
      <x:c r="J329" s="23"/>
      <x:c r="K329" s="23"/>
    </x:row>
    <x:row r="330" spans="1:11" x14ac:dyDescent="0.25">
      <x:c r="A330" s="23"/>
      <x:c r="B330" s="23"/>
      <x:c r="C330" s="23"/>
      <x:c r="D330" s="23"/>
      <x:c r="E330" s="23"/>
      <x:c r="F330" s="23"/>
      <x:c r="G330" s="23"/>
      <x:c r="H330" s="23"/>
      <x:c r="I330" s="23"/>
      <x:c r="J330" s="23"/>
      <x:c r="K330" s="23"/>
    </x:row>
    <x:row r="331" spans="1:11" x14ac:dyDescent="0.25">
      <x:c r="A331" s="23"/>
      <x:c r="B331" s="23"/>
      <x:c r="C331" s="23"/>
      <x:c r="D331" s="23"/>
      <x:c r="E331" s="23"/>
      <x:c r="F331" s="23"/>
      <x:c r="G331" s="23"/>
      <x:c r="H331" s="23"/>
      <x:c r="I331" s="23"/>
      <x:c r="J331" s="23"/>
      <x:c r="K331" s="23"/>
    </x:row>
    <x:row r="332" spans="1:11" x14ac:dyDescent="0.25">
      <x:c r="A332" s="23"/>
      <x:c r="B332" s="23"/>
      <x:c r="C332" s="23"/>
      <x:c r="D332" s="23"/>
      <x:c r="E332" s="23"/>
      <x:c r="F332" s="23"/>
      <x:c r="G332" s="23"/>
      <x:c r="H332" s="23"/>
      <x:c r="I332" s="23"/>
      <x:c r="J332" s="23"/>
      <x:c r="K332" s="23"/>
    </x:row>
    <x:row r="333" spans="1:11" x14ac:dyDescent="0.25">
      <x:c r="A333" s="23"/>
      <x:c r="B333" s="23"/>
      <x:c r="C333" s="23"/>
      <x:c r="D333" s="23"/>
      <x:c r="E333" s="23"/>
      <x:c r="F333" s="23"/>
      <x:c r="G333" s="23"/>
      <x:c r="H333" s="23"/>
      <x:c r="I333" s="23"/>
      <x:c r="J333" s="23"/>
      <x:c r="K333" s="23"/>
    </x:row>
    <x:row r="334" spans="1:11" x14ac:dyDescent="0.25">
      <x:c r="A334" s="23"/>
      <x:c r="B334" s="23"/>
      <x:c r="C334" s="23"/>
      <x:c r="D334" s="23"/>
      <x:c r="E334" s="23"/>
      <x:c r="F334" s="23"/>
      <x:c r="G334" s="23"/>
      <x:c r="H334" s="23"/>
      <x:c r="I334" s="23"/>
      <x:c r="J334" s="23"/>
      <x:c r="K334" s="23"/>
    </x:row>
    <x:row r="335" spans="1:11" x14ac:dyDescent="0.25">
      <x:c r="A335" s="23"/>
      <x:c r="B335" s="23"/>
      <x:c r="C335" s="23"/>
      <x:c r="D335" s="23"/>
      <x:c r="E335" s="23"/>
      <x:c r="F335" s="23"/>
      <x:c r="G335" s="23"/>
      <x:c r="H335" s="23"/>
      <x:c r="I335" s="23"/>
      <x:c r="J335" s="23"/>
      <x:c r="K335" s="23"/>
    </x:row>
    <x:row r="336" spans="1:11" x14ac:dyDescent="0.25">
      <x:c r="A336" s="23"/>
      <x:c r="B336" s="23"/>
      <x:c r="C336" s="23"/>
      <x:c r="D336" s="23"/>
      <x:c r="E336" s="23"/>
      <x:c r="F336" s="23"/>
      <x:c r="G336" s="23"/>
      <x:c r="H336" s="23"/>
      <x:c r="I336" s="23"/>
      <x:c r="J336" s="23"/>
      <x:c r="K336" s="23"/>
    </x:row>
    <x:row r="337" spans="1:11" x14ac:dyDescent="0.25">
      <x:c r="A337" s="23"/>
      <x:c r="B337" s="23"/>
      <x:c r="C337" s="23"/>
      <x:c r="D337" s="23"/>
      <x:c r="E337" s="23"/>
      <x:c r="F337" s="23"/>
      <x:c r="G337" s="23"/>
      <x:c r="H337" s="23"/>
      <x:c r="I337" s="23"/>
      <x:c r="J337" s="23"/>
      <x:c r="K337" s="23"/>
    </x:row>
    <x:row r="338" spans="1:11" x14ac:dyDescent="0.25">
      <x:c r="A338" s="23"/>
      <x:c r="B338" s="23"/>
      <x:c r="C338" s="23"/>
      <x:c r="D338" s="23"/>
      <x:c r="E338" s="23"/>
      <x:c r="F338" s="23"/>
      <x:c r="G338" s="23"/>
      <x:c r="H338" s="23"/>
      <x:c r="I338" s="23"/>
      <x:c r="J338" s="23"/>
      <x:c r="K338" s="23"/>
    </x:row>
    <x:row r="339" spans="1:11" x14ac:dyDescent="0.25">
      <x:c r="A339" s="23"/>
      <x:c r="B339" s="23"/>
      <x:c r="C339" s="23"/>
      <x:c r="D339" s="23"/>
      <x:c r="E339" s="23"/>
      <x:c r="F339" s="23"/>
      <x:c r="G339" s="23"/>
      <x:c r="H339" s="23"/>
      <x:c r="I339" s="23"/>
      <x:c r="J339" s="23"/>
      <x:c r="K339" s="23"/>
    </x:row>
    <x:row r="340" spans="1:11" x14ac:dyDescent="0.25">
      <x:c r="A340" s="23"/>
      <x:c r="B340" s="23"/>
      <x:c r="C340" s="23"/>
      <x:c r="D340" s="23"/>
      <x:c r="E340" s="23"/>
      <x:c r="F340" s="23"/>
      <x:c r="G340" s="23"/>
      <x:c r="H340" s="23"/>
      <x:c r="I340" s="23"/>
      <x:c r="J340" s="23"/>
      <x:c r="K340" s="23"/>
    </x:row>
    <x:row r="341" spans="1:11" x14ac:dyDescent="0.25">
      <x:c r="A341" s="23"/>
      <x:c r="B341" s="23"/>
      <x:c r="C341" s="23"/>
      <x:c r="D341" s="23"/>
      <x:c r="E341" s="23"/>
      <x:c r="F341" s="23"/>
      <x:c r="G341" s="23"/>
      <x:c r="H341" s="23"/>
      <x:c r="I341" s="23"/>
      <x:c r="J341" s="23"/>
      <x:c r="K341" s="23"/>
    </x:row>
    <x:row r="342" spans="1:11" x14ac:dyDescent="0.25">
      <x:c r="A342" s="23"/>
      <x:c r="B342" s="23"/>
      <x:c r="C342" s="23"/>
      <x:c r="D342" s="23"/>
      <x:c r="E342" s="23"/>
      <x:c r="F342" s="23"/>
      <x:c r="G342" s="23"/>
      <x:c r="H342" s="23"/>
      <x:c r="I342" s="23"/>
      <x:c r="J342" s="23"/>
      <x:c r="K342" s="23"/>
    </x:row>
    <x:row r="343" spans="1:11" x14ac:dyDescent="0.25">
      <x:c r="A343" s="23"/>
      <x:c r="B343" s="23"/>
      <x:c r="C343" s="23"/>
      <x:c r="D343" s="23"/>
      <x:c r="E343" s="23"/>
      <x:c r="F343" s="23"/>
      <x:c r="G343" s="23"/>
      <x:c r="H343" s="23"/>
      <x:c r="I343" s="23"/>
      <x:c r="J343" s="23"/>
      <x:c r="K343" s="23"/>
    </x:row>
    <x:row r="344" spans="1:11" x14ac:dyDescent="0.25">
      <x:c r="A344" s="23"/>
      <x:c r="B344" s="23"/>
      <x:c r="C344" s="23"/>
      <x:c r="D344" s="23"/>
      <x:c r="E344" s="23"/>
      <x:c r="F344" s="23"/>
      <x:c r="G344" s="23"/>
      <x:c r="H344" s="23"/>
      <x:c r="I344" s="23"/>
      <x:c r="J344" s="23"/>
      <x:c r="K344" s="23"/>
    </x:row>
    <x:row r="345" spans="1:11" x14ac:dyDescent="0.25">
      <x:c r="A345" s="23"/>
      <x:c r="B345" s="23"/>
      <x:c r="C345" s="23"/>
      <x:c r="D345" s="23"/>
      <x:c r="E345" s="23"/>
      <x:c r="F345" s="23"/>
      <x:c r="G345" s="23"/>
      <x:c r="H345" s="23"/>
      <x:c r="I345" s="23"/>
      <x:c r="J345" s="23"/>
      <x:c r="K345" s="23"/>
    </x:row>
    <x:row r="346" spans="1:11" x14ac:dyDescent="0.25">
      <x:c r="A346" s="23"/>
      <x:c r="B346" s="23"/>
      <x:c r="C346" s="23"/>
      <x:c r="D346" s="23"/>
      <x:c r="E346" s="23"/>
      <x:c r="F346" s="23"/>
      <x:c r="G346" s="23"/>
      <x:c r="H346" s="23"/>
      <x:c r="I346" s="23"/>
      <x:c r="J346" s="23"/>
      <x:c r="K346" s="23"/>
    </x:row>
    <x:row r="347" spans="1:11" x14ac:dyDescent="0.25">
      <x:c r="A347" s="23"/>
      <x:c r="B347" s="23"/>
      <x:c r="C347" s="23"/>
      <x:c r="D347" s="23"/>
      <x:c r="E347" s="23"/>
      <x:c r="F347" s="23"/>
      <x:c r="G347" s="23"/>
      <x:c r="H347" s="23"/>
      <x:c r="I347" s="23"/>
      <x:c r="J347" s="23"/>
      <x:c r="K347" s="23"/>
    </x:row>
    <x:row r="348" spans="1:11" x14ac:dyDescent="0.25">
      <x:c r="A348" s="23"/>
      <x:c r="B348" s="23"/>
      <x:c r="C348" s="23"/>
      <x:c r="D348" s="23"/>
      <x:c r="E348" s="23"/>
      <x:c r="F348" s="23"/>
      <x:c r="G348" s="23"/>
      <x:c r="H348" s="23"/>
      <x:c r="I348" s="23"/>
      <x:c r="J348" s="23"/>
      <x:c r="K348" s="23"/>
    </x:row>
    <x:row r="349" spans="1:11" x14ac:dyDescent="0.25">
      <x:c r="A349" s="23"/>
      <x:c r="B349" s="23"/>
      <x:c r="C349" s="23"/>
      <x:c r="D349" s="23"/>
      <x:c r="E349" s="23"/>
      <x:c r="F349" s="23"/>
      <x:c r="G349" s="23"/>
      <x:c r="H349" s="23"/>
      <x:c r="I349" s="23"/>
      <x:c r="J349" s="23"/>
      <x:c r="K349" s="23"/>
    </x:row>
    <x:row r="350" spans="1:11" x14ac:dyDescent="0.25">
      <x:c r="A350" s="23"/>
      <x:c r="B350" s="23"/>
      <x:c r="C350" s="23"/>
      <x:c r="D350" s="23"/>
      <x:c r="E350" s="23"/>
      <x:c r="F350" s="23"/>
      <x:c r="G350" s="23"/>
      <x:c r="H350" s="23"/>
      <x:c r="I350" s="23"/>
      <x:c r="J350" s="23"/>
      <x:c r="K350" s="23"/>
    </x:row>
    <x:row r="351" spans="1:11" x14ac:dyDescent="0.25">
      <x:c r="A351" s="23"/>
      <x:c r="B351" s="23"/>
      <x:c r="C351" s="23"/>
      <x:c r="D351" s="23"/>
      <x:c r="E351" s="23"/>
      <x:c r="F351" s="23"/>
      <x:c r="G351" s="23"/>
      <x:c r="H351" s="23"/>
      <x:c r="I351" s="23"/>
      <x:c r="J351" s="23"/>
      <x:c r="K351" s="23"/>
    </x:row>
    <x:row r="352" spans="1:11" x14ac:dyDescent="0.25">
      <x:c r="A352" s="23"/>
      <x:c r="B352" s="23"/>
      <x:c r="C352" s="23"/>
      <x:c r="D352" s="23"/>
      <x:c r="E352" s="23"/>
      <x:c r="F352" s="23"/>
      <x:c r="G352" s="23"/>
      <x:c r="H352" s="23"/>
      <x:c r="I352" s="23"/>
      <x:c r="J352" s="23"/>
      <x:c r="K352" s="23"/>
    </x:row>
    <x:row r="353" spans="1:11" x14ac:dyDescent="0.25">
      <x:c r="A353" s="23"/>
      <x:c r="B353" s="23"/>
      <x:c r="C353" s="23"/>
      <x:c r="D353" s="23"/>
      <x:c r="E353" s="23"/>
      <x:c r="F353" s="23"/>
      <x:c r="G353" s="23"/>
      <x:c r="H353" s="23"/>
      <x:c r="I353" s="23"/>
      <x:c r="J353" s="23"/>
      <x:c r="K353" s="23"/>
    </x:row>
    <x:row r="354" spans="1:11" x14ac:dyDescent="0.25">
      <x:c r="A354" s="23"/>
      <x:c r="B354" s="23"/>
      <x:c r="C354" s="23"/>
      <x:c r="D354" s="23"/>
      <x:c r="E354" s="23"/>
      <x:c r="F354" s="23"/>
      <x:c r="G354" s="23"/>
      <x:c r="H354" s="23"/>
      <x:c r="I354" s="23"/>
      <x:c r="J354" s="23"/>
      <x:c r="K354" s="23"/>
    </x:row>
    <x:row r="355" spans="1:11" x14ac:dyDescent="0.25">
      <x:c r="A355" s="23"/>
      <x:c r="B355" s="23"/>
      <x:c r="C355" s="23"/>
      <x:c r="D355" s="23"/>
      <x:c r="E355" s="23"/>
      <x:c r="F355" s="23"/>
      <x:c r="G355" s="23"/>
      <x:c r="H355" s="23"/>
      <x:c r="I355" s="23"/>
      <x:c r="J355" s="23"/>
      <x:c r="K355" s="23"/>
    </x:row>
    <x:row r="356" spans="1:11" x14ac:dyDescent="0.25">
      <x:c r="A356" s="23"/>
      <x:c r="B356" s="23"/>
      <x:c r="C356" s="23"/>
      <x:c r="D356" s="23"/>
      <x:c r="E356" s="23"/>
      <x:c r="F356" s="23"/>
      <x:c r="G356" s="23"/>
      <x:c r="H356" s="23"/>
      <x:c r="I356" s="23"/>
      <x:c r="J356" s="23"/>
      <x:c r="K356" s="23"/>
    </x:row>
    <x:row r="357" spans="1:11" x14ac:dyDescent="0.25">
      <x:c r="A357" s="23"/>
      <x:c r="B357" s="23"/>
      <x:c r="C357" s="23"/>
      <x:c r="D357" s="23"/>
      <x:c r="E357" s="23"/>
      <x:c r="F357" s="23"/>
      <x:c r="G357" s="23"/>
      <x:c r="H357" s="23"/>
      <x:c r="I357" s="23"/>
      <x:c r="J357" s="23"/>
      <x:c r="K357" s="23"/>
    </x:row>
    <x:row r="358" spans="1:11" x14ac:dyDescent="0.25">
      <x:c r="A358" s="23"/>
      <x:c r="B358" s="23"/>
      <x:c r="C358" s="23"/>
      <x:c r="D358" s="23"/>
      <x:c r="E358" s="23"/>
      <x:c r="F358" s="23"/>
      <x:c r="G358" s="23"/>
      <x:c r="H358" s="23"/>
      <x:c r="I358" s="23"/>
      <x:c r="J358" s="23"/>
      <x:c r="K358" s="23"/>
    </x:row>
    <x:row r="359" spans="1:11" x14ac:dyDescent="0.25">
      <x:c r="A359" s="23"/>
      <x:c r="B359" s="23"/>
      <x:c r="C359" s="23"/>
      <x:c r="D359" s="23"/>
      <x:c r="E359" s="23"/>
      <x:c r="F359" s="23"/>
      <x:c r="G359" s="23"/>
      <x:c r="H359" s="23"/>
      <x:c r="I359" s="23"/>
      <x:c r="J359" s="23"/>
      <x:c r="K359" s="23"/>
    </x:row>
    <x:row r="360" spans="1:11" x14ac:dyDescent="0.25">
      <x:c r="A360" s="23"/>
      <x:c r="B360" s="23"/>
      <x:c r="C360" s="23"/>
      <x:c r="D360" s="23"/>
      <x:c r="E360" s="23"/>
      <x:c r="F360" s="23"/>
      <x:c r="G360" s="23"/>
      <x:c r="H360" s="23"/>
      <x:c r="I360" s="23"/>
      <x:c r="J360" s="23"/>
      <x:c r="K360" s="23"/>
    </x:row>
    <x:row r="361" spans="1:11" x14ac:dyDescent="0.25">
      <x:c r="A361" s="23"/>
      <x:c r="B361" s="23"/>
      <x:c r="C361" s="23"/>
      <x:c r="D361" s="23"/>
      <x:c r="E361" s="23"/>
      <x:c r="F361" s="23"/>
      <x:c r="G361" s="23"/>
      <x:c r="H361" s="23"/>
      <x:c r="I361" s="23"/>
      <x:c r="J361" s="23"/>
      <x:c r="K361" s="23"/>
    </x:row>
    <x:row r="362" spans="1:11" x14ac:dyDescent="0.25">
      <x:c r="A362" s="23"/>
      <x:c r="B362" s="23"/>
      <x:c r="C362" s="23"/>
      <x:c r="D362" s="23"/>
      <x:c r="E362" s="23"/>
      <x:c r="F362" s="23"/>
      <x:c r="G362" s="23"/>
      <x:c r="H362" s="23"/>
      <x:c r="I362" s="23"/>
      <x:c r="J362" s="23"/>
      <x:c r="K362" s="23"/>
    </x:row>
    <x:row r="363" spans="1:11" x14ac:dyDescent="0.25">
      <x:c r="A363" s="23"/>
      <x:c r="B363" s="23"/>
      <x:c r="C363" s="23"/>
      <x:c r="D363" s="23"/>
      <x:c r="E363" s="23"/>
      <x:c r="F363" s="23"/>
      <x:c r="G363" s="23"/>
      <x:c r="H363" s="23"/>
      <x:c r="I363" s="23"/>
      <x:c r="J363" s="23"/>
      <x:c r="K363" s="23"/>
    </x:row>
    <x:row r="364" spans="1:11" x14ac:dyDescent="0.25">
      <x:c r="A364" s="23"/>
      <x:c r="B364" s="23"/>
      <x:c r="C364" s="23"/>
      <x:c r="D364" s="23"/>
      <x:c r="E364" s="23"/>
      <x:c r="F364" s="23"/>
      <x:c r="G364" s="23"/>
      <x:c r="H364" s="23"/>
      <x:c r="I364" s="23"/>
      <x:c r="J364" s="23"/>
      <x:c r="K364" s="23"/>
    </x:row>
    <x:row r="365" spans="1:11" x14ac:dyDescent="0.25">
      <x:c r="A365" s="23"/>
      <x:c r="B365" s="23"/>
      <x:c r="C365" s="23"/>
      <x:c r="D365" s="23"/>
      <x:c r="E365" s="23"/>
      <x:c r="F365" s="23"/>
      <x:c r="G365" s="23"/>
      <x:c r="H365" s="23"/>
      <x:c r="I365" s="23"/>
      <x:c r="J365" s="23"/>
      <x:c r="K365" s="23"/>
    </x:row>
    <x:row r="366" spans="1:11" x14ac:dyDescent="0.25">
      <x:c r="A366" s="23"/>
      <x:c r="B366" s="23"/>
      <x:c r="C366" s="23"/>
      <x:c r="D366" s="23"/>
      <x:c r="E366" s="23"/>
      <x:c r="F366" s="23"/>
      <x:c r="G366" s="23"/>
      <x:c r="H366" s="23"/>
      <x:c r="I366" s="23"/>
      <x:c r="J366" s="23"/>
      <x:c r="K366" s="23"/>
    </x:row>
    <x:row r="367" spans="1:11" x14ac:dyDescent="0.25">
      <x:c r="A367" s="23"/>
      <x:c r="B367" s="23"/>
      <x:c r="C367" s="23"/>
      <x:c r="D367" s="23"/>
      <x:c r="E367" s="23"/>
      <x:c r="F367" s="23"/>
      <x:c r="G367" s="23"/>
      <x:c r="H367" s="23"/>
      <x:c r="I367" s="23"/>
      <x:c r="J367" s="23"/>
      <x:c r="K367" s="23"/>
    </x:row>
    <x:row r="368" spans="1:11" x14ac:dyDescent="0.25">
      <x:c r="A368" s="23"/>
      <x:c r="B368" s="23"/>
      <x:c r="C368" s="23"/>
      <x:c r="D368" s="23"/>
      <x:c r="E368" s="23"/>
      <x:c r="F368" s="23"/>
      <x:c r="G368" s="23"/>
      <x:c r="H368" s="23"/>
      <x:c r="I368" s="23"/>
      <x:c r="J368" s="23"/>
      <x:c r="K368" s="23"/>
    </x:row>
    <x:row r="369" spans="1:11" x14ac:dyDescent="0.25">
      <x:c r="A369" s="23"/>
      <x:c r="B369" s="23"/>
      <x:c r="C369" s="23"/>
      <x:c r="D369" s="23"/>
      <x:c r="E369" s="23"/>
      <x:c r="F369" s="23"/>
      <x:c r="G369" s="23"/>
      <x:c r="H369" s="23"/>
      <x:c r="I369" s="23"/>
      <x:c r="J369" s="23"/>
      <x:c r="K369" s="23"/>
    </x:row>
    <x:row r="370" spans="1:11" x14ac:dyDescent="0.25">
      <x:c r="A370" s="23"/>
      <x:c r="B370" s="23"/>
      <x:c r="C370" s="23"/>
      <x:c r="D370" s="23"/>
      <x:c r="E370" s="23"/>
      <x:c r="F370" s="23"/>
      <x:c r="G370" s="23"/>
      <x:c r="H370" s="23"/>
      <x:c r="I370" s="23"/>
      <x:c r="J370" s="23"/>
      <x:c r="K370" s="23"/>
    </x:row>
    <x:row r="371" spans="1:11" x14ac:dyDescent="0.25">
      <x:c r="A371" s="23"/>
      <x:c r="B371" s="23"/>
      <x:c r="C371" s="23"/>
      <x:c r="D371" s="23"/>
      <x:c r="E371" s="23"/>
      <x:c r="F371" s="23"/>
      <x:c r="G371" s="23"/>
      <x:c r="H371" s="23"/>
      <x:c r="I371" s="23"/>
      <x:c r="J371" s="23"/>
      <x:c r="K371" s="23"/>
    </x:row>
    <x:row r="372" spans="1:11" x14ac:dyDescent="0.25">
      <x:c r="A372" s="23"/>
      <x:c r="B372" s="23"/>
      <x:c r="C372" s="23"/>
      <x:c r="D372" s="23"/>
      <x:c r="E372" s="23"/>
      <x:c r="F372" s="23"/>
      <x:c r="G372" s="23"/>
      <x:c r="H372" s="23"/>
      <x:c r="I372" s="23"/>
      <x:c r="J372" s="23"/>
      <x:c r="K372" s="23"/>
    </x:row>
    <x:row r="373" spans="1:11" x14ac:dyDescent="0.25">
      <x:c r="A373" s="23"/>
      <x:c r="B373" s="23"/>
      <x:c r="C373" s="23"/>
      <x:c r="D373" s="23"/>
      <x:c r="E373" s="23"/>
      <x:c r="F373" s="23"/>
      <x:c r="G373" s="23"/>
      <x:c r="H373" s="23"/>
      <x:c r="I373" s="23"/>
      <x:c r="J373" s="23"/>
      <x:c r="K373" s="23"/>
    </x:row>
    <x:row r="374" spans="1:11" x14ac:dyDescent="0.25">
      <x:c r="A374" s="23"/>
      <x:c r="B374" s="23"/>
      <x:c r="C374" s="23"/>
      <x:c r="D374" s="23"/>
      <x:c r="E374" s="23"/>
      <x:c r="F374" s="23"/>
      <x:c r="G374" s="23"/>
      <x:c r="H374" s="23"/>
      <x:c r="I374" s="23"/>
      <x:c r="J374" s="23"/>
      <x:c r="K374" s="23"/>
    </x:row>
    <x:row r="375" spans="1:11" x14ac:dyDescent="0.25">
      <x:c r="A375" s="23"/>
      <x:c r="B375" s="23"/>
      <x:c r="C375" s="23"/>
      <x:c r="D375" s="23"/>
      <x:c r="E375" s="23"/>
      <x:c r="F375" s="23"/>
      <x:c r="G375" s="23"/>
      <x:c r="H375" s="23"/>
      <x:c r="I375" s="23"/>
      <x:c r="J375" s="23"/>
      <x:c r="K375" s="23"/>
    </x:row>
    <x:row r="376" spans="1:11" x14ac:dyDescent="0.25">
      <x:c r="A376" s="23"/>
      <x:c r="B376" s="23"/>
      <x:c r="C376" s="23"/>
      <x:c r="D376" s="23"/>
      <x:c r="E376" s="23"/>
      <x:c r="F376" s="23"/>
      <x:c r="G376" s="23"/>
      <x:c r="H376" s="23"/>
      <x:c r="I376" s="23"/>
      <x:c r="J376" s="23"/>
      <x:c r="K376" s="23"/>
    </x:row>
    <x:row r="377" spans="1:11" x14ac:dyDescent="0.25">
      <x:c r="A377" s="23"/>
      <x:c r="B377" s="23"/>
      <x:c r="C377" s="23"/>
      <x:c r="D377" s="23"/>
      <x:c r="E377" s="23"/>
      <x:c r="F377" s="23"/>
      <x:c r="G377" s="23"/>
      <x:c r="H377" s="23"/>
      <x:c r="I377" s="23"/>
      <x:c r="J377" s="23"/>
      <x:c r="K377" s="23"/>
    </x:row>
    <x:row r="378" spans="1:11" x14ac:dyDescent="0.25">
      <x:c r="A378" s="23"/>
      <x:c r="B378" s="23"/>
      <x:c r="C378" s="23"/>
      <x:c r="D378" s="23"/>
      <x:c r="E378" s="23"/>
      <x:c r="F378" s="23"/>
      <x:c r="G378" s="23"/>
      <x:c r="H378" s="23"/>
      <x:c r="I378" s="23"/>
      <x:c r="J378" s="23"/>
      <x:c r="K378" s="23"/>
    </x:row>
    <x:row r="379" spans="1:11" x14ac:dyDescent="0.25">
      <x:c r="A379" s="23"/>
      <x:c r="B379" s="23"/>
      <x:c r="C379" s="23"/>
      <x:c r="D379" s="23"/>
      <x:c r="E379" s="23"/>
      <x:c r="F379" s="23"/>
      <x:c r="G379" s="23"/>
      <x:c r="H379" s="23"/>
      <x:c r="I379" s="23"/>
      <x:c r="J379" s="23"/>
      <x:c r="K379" s="23"/>
    </x:row>
    <x:row r="380" spans="1:11" x14ac:dyDescent="0.25">
      <x:c r="A380" s="23"/>
      <x:c r="B380" s="23"/>
      <x:c r="C380" s="23"/>
      <x:c r="D380" s="23"/>
      <x:c r="E380" s="23"/>
      <x:c r="F380" s="23"/>
      <x:c r="G380" s="23"/>
      <x:c r="H380" s="23"/>
      <x:c r="I380" s="23"/>
      <x:c r="J380" s="23"/>
      <x:c r="K380" s="23"/>
    </x:row>
    <x:row r="381" spans="1:11" x14ac:dyDescent="0.25">
      <x:c r="A381" s="23"/>
      <x:c r="B381" s="23"/>
      <x:c r="C381" s="23"/>
      <x:c r="D381" s="23"/>
      <x:c r="E381" s="23"/>
      <x:c r="F381" s="23"/>
      <x:c r="G381" s="23"/>
      <x:c r="H381" s="23"/>
      <x:c r="I381" s="23"/>
      <x:c r="J381" s="23"/>
      <x:c r="K381" s="23"/>
    </x:row>
    <x:row r="382" spans="1:11" x14ac:dyDescent="0.25">
      <x:c r="A382" s="23"/>
      <x:c r="B382" s="23"/>
      <x:c r="C382" s="23"/>
      <x:c r="D382" s="23"/>
      <x:c r="E382" s="23"/>
      <x:c r="F382" s="23"/>
      <x:c r="G382" s="23"/>
      <x:c r="H382" s="23"/>
      <x:c r="I382" s="23"/>
      <x:c r="J382" s="23"/>
      <x:c r="K382" s="23"/>
    </x:row>
    <x:row r="383" spans="1:11" x14ac:dyDescent="0.25">
      <x:c r="A383" s="23"/>
      <x:c r="B383" s="23"/>
      <x:c r="C383" s="23"/>
      <x:c r="D383" s="23"/>
      <x:c r="E383" s="23"/>
      <x:c r="F383" s="23"/>
      <x:c r="G383" s="23"/>
      <x:c r="H383" s="23"/>
      <x:c r="I383" s="23"/>
      <x:c r="J383" s="23"/>
      <x:c r="K383" s="23"/>
    </x:row>
    <x:row r="384" spans="1:11" x14ac:dyDescent="0.25">
      <x:c r="A384" s="23"/>
      <x:c r="B384" s="23"/>
      <x:c r="C384" s="23"/>
      <x:c r="D384" s="23"/>
      <x:c r="E384" s="23"/>
      <x:c r="F384" s="23"/>
      <x:c r="G384" s="23"/>
      <x:c r="H384" s="23"/>
      <x:c r="I384" s="23"/>
      <x:c r="J384" s="23"/>
      <x:c r="K384" s="23"/>
    </x:row>
    <x:row r="385" spans="1:11" x14ac:dyDescent="0.25">
      <x:c r="A385" s="23"/>
      <x:c r="B385" s="23"/>
      <x:c r="C385" s="23"/>
      <x:c r="D385" s="23"/>
      <x:c r="E385" s="23"/>
      <x:c r="F385" s="23"/>
      <x:c r="G385" s="23"/>
      <x:c r="H385" s="23"/>
      <x:c r="I385" s="23"/>
      <x:c r="J385" s="23"/>
      <x:c r="K385" s="23"/>
    </x:row>
    <x:row r="386" spans="1:11" x14ac:dyDescent="0.25">
      <x:c r="A386" s="23"/>
      <x:c r="B386" s="23"/>
      <x:c r="C386" s="23"/>
      <x:c r="D386" s="23"/>
      <x:c r="E386" s="23"/>
      <x:c r="F386" s="23"/>
      <x:c r="G386" s="23"/>
      <x:c r="H386" s="23"/>
      <x:c r="I386" s="23"/>
      <x:c r="J386" s="23"/>
      <x:c r="K386" s="23"/>
    </x:row>
    <x:row r="387" spans="1:11" x14ac:dyDescent="0.25">
      <x:c r="A387" s="23"/>
      <x:c r="B387" s="23"/>
      <x:c r="C387" s="23"/>
      <x:c r="D387" s="23"/>
      <x:c r="E387" s="23"/>
      <x:c r="F387" s="23"/>
      <x:c r="G387" s="23"/>
      <x:c r="H387" s="23"/>
      <x:c r="I387" s="23"/>
      <x:c r="J387" s="23"/>
      <x:c r="K387" s="23"/>
    </x:row>
    <x:row r="388" spans="1:11" x14ac:dyDescent="0.25">
      <x:c r="A388" s="23"/>
      <x:c r="B388" s="23"/>
      <x:c r="C388" s="23"/>
      <x:c r="D388" s="23"/>
      <x:c r="E388" s="23"/>
      <x:c r="F388" s="23"/>
      <x:c r="G388" s="23"/>
      <x:c r="H388" s="23"/>
      <x:c r="I388" s="23"/>
      <x:c r="J388" s="23"/>
      <x:c r="K388" s="23"/>
    </x:row>
    <x:row r="389" spans="1:11" x14ac:dyDescent="0.25">
      <x:c r="A389" s="23"/>
      <x:c r="B389" s="23"/>
      <x:c r="C389" s="23"/>
      <x:c r="D389" s="23"/>
      <x:c r="E389" s="23"/>
      <x:c r="F389" s="23"/>
      <x:c r="G389" s="23"/>
      <x:c r="H389" s="23"/>
      <x:c r="I389" s="23"/>
      <x:c r="J389" s="23"/>
      <x:c r="K389" s="23"/>
    </x:row>
    <x:row r="390" spans="1:11" x14ac:dyDescent="0.25">
      <x:c r="A390" s="23"/>
      <x:c r="B390" s="23"/>
      <x:c r="C390" s="23"/>
      <x:c r="D390" s="23"/>
      <x:c r="E390" s="23"/>
      <x:c r="F390" s="23"/>
      <x:c r="G390" s="23"/>
      <x:c r="H390" s="23"/>
      <x:c r="I390" s="23"/>
      <x:c r="J390" s="23"/>
      <x:c r="K390" s="23"/>
    </x:row>
    <x:row r="391" spans="1:11" x14ac:dyDescent="0.25">
      <x:c r="A391" s="23"/>
      <x:c r="B391" s="23"/>
      <x:c r="C391" s="23"/>
      <x:c r="D391" s="23"/>
      <x:c r="E391" s="23"/>
      <x:c r="F391" s="23"/>
      <x:c r="G391" s="23"/>
      <x:c r="H391" s="23"/>
      <x:c r="I391" s="23"/>
      <x:c r="J391" s="23"/>
      <x:c r="K391" s="23"/>
    </x:row>
    <x:row r="392" spans="1:11" x14ac:dyDescent="0.25">
      <x:c r="A392" s="23"/>
      <x:c r="B392" s="23"/>
      <x:c r="C392" s="23"/>
      <x:c r="D392" s="23"/>
      <x:c r="E392" s="23"/>
      <x:c r="F392" s="23"/>
      <x:c r="G392" s="23"/>
      <x:c r="H392" s="23"/>
      <x:c r="I392" s="23"/>
      <x:c r="J392" s="23"/>
      <x:c r="K392" s="23"/>
    </x:row>
    <x:row r="393" spans="1:11" x14ac:dyDescent="0.25">
      <x:c r="A393" s="23"/>
      <x:c r="B393" s="23"/>
      <x:c r="C393" s="23"/>
      <x:c r="D393" s="23"/>
      <x:c r="E393" s="23"/>
      <x:c r="F393" s="23"/>
      <x:c r="G393" s="23"/>
      <x:c r="H393" s="23"/>
      <x:c r="I393" s="23"/>
      <x:c r="J393" s="23"/>
      <x:c r="K393" s="23"/>
    </x:row>
    <x:row r="394" spans="1:11" x14ac:dyDescent="0.25">
      <x:c r="A394" s="23"/>
      <x:c r="B394" s="23"/>
      <x:c r="C394" s="23"/>
      <x:c r="D394" s="23"/>
      <x:c r="E394" s="23"/>
      <x:c r="F394" s="23"/>
      <x:c r="G394" s="23"/>
      <x:c r="H394" s="23"/>
      <x:c r="I394" s="23"/>
      <x:c r="J394" s="23"/>
      <x:c r="K394" s="23"/>
    </x:row>
    <x:row r="395" spans="1:11" x14ac:dyDescent="0.25">
      <x:c r="A395" s="23"/>
      <x:c r="B395" s="23"/>
      <x:c r="C395" s="23"/>
      <x:c r="D395" s="23"/>
      <x:c r="E395" s="23"/>
      <x:c r="F395" s="23"/>
      <x:c r="G395" s="23"/>
      <x:c r="H395" s="23"/>
      <x:c r="I395" s="23"/>
      <x:c r="J395" s="23"/>
      <x:c r="K395" s="23"/>
    </x:row>
    <x:row r="396" spans="1:11" x14ac:dyDescent="0.25">
      <x:c r="A396" s="23"/>
      <x:c r="B396" s="23"/>
      <x:c r="C396" s="23"/>
      <x:c r="D396" s="23"/>
      <x:c r="E396" s="23"/>
      <x:c r="F396" s="23"/>
      <x:c r="G396" s="23"/>
      <x:c r="H396" s="23"/>
      <x:c r="I396" s="23"/>
      <x:c r="J396" s="23"/>
      <x:c r="K396" s="23"/>
    </x:row>
    <x:row r="397" spans="1:11" x14ac:dyDescent="0.25">
      <x:c r="A397" s="23"/>
      <x:c r="B397" s="23"/>
      <x:c r="C397" s="23"/>
      <x:c r="D397" s="23"/>
      <x:c r="E397" s="23"/>
      <x:c r="F397" s="23"/>
      <x:c r="G397" s="23"/>
      <x:c r="H397" s="23"/>
      <x:c r="I397" s="23"/>
      <x:c r="J397" s="23"/>
      <x:c r="K397" s="23"/>
    </x:row>
    <x:row r="398" spans="1:11" x14ac:dyDescent="0.25">
      <x:c r="A398" s="23"/>
      <x:c r="B398" s="23"/>
      <x:c r="C398" s="23"/>
      <x:c r="D398" s="23"/>
      <x:c r="E398" s="23"/>
      <x:c r="F398" s="23"/>
      <x:c r="G398" s="23"/>
      <x:c r="H398" s="23"/>
      <x:c r="I398" s="23"/>
      <x:c r="J398" s="23"/>
      <x:c r="K398" s="23"/>
    </x:row>
    <x:row r="399" spans="1:11" x14ac:dyDescent="0.25">
      <x:c r="A399" s="23"/>
      <x:c r="B399" s="23"/>
      <x:c r="C399" s="23"/>
      <x:c r="D399" s="23"/>
      <x:c r="E399" s="23"/>
      <x:c r="F399" s="23"/>
      <x:c r="G399" s="23"/>
      <x:c r="H399" s="23"/>
      <x:c r="I399" s="23"/>
      <x:c r="J399" s="23"/>
      <x:c r="K399" s="23"/>
    </x:row>
    <x:row r="400" spans="1:11" x14ac:dyDescent="0.25">
      <x:c r="A400" s="23"/>
      <x:c r="B400" s="23"/>
      <x:c r="C400" s="23"/>
      <x:c r="D400" s="23"/>
      <x:c r="E400" s="23"/>
      <x:c r="F400" s="23"/>
      <x:c r="G400" s="23"/>
      <x:c r="H400" s="23"/>
      <x:c r="I400" s="23"/>
      <x:c r="J400" s="23"/>
      <x:c r="K400" s="23"/>
    </x:row>
    <x:row r="401" spans="1:11" x14ac:dyDescent="0.25">
      <x:c r="A401" s="23"/>
      <x:c r="B401" s="23"/>
      <x:c r="C401" s="23"/>
      <x:c r="D401" s="23"/>
      <x:c r="E401" s="23"/>
      <x:c r="F401" s="23"/>
      <x:c r="G401" s="23"/>
      <x:c r="H401" s="23"/>
      <x:c r="I401" s="23"/>
      <x:c r="J401" s="23"/>
      <x:c r="K401" s="23"/>
    </x:row>
    <x:row r="402" spans="1:11" x14ac:dyDescent="0.25">
      <x:c r="A402" s="23"/>
      <x:c r="B402" s="23"/>
      <x:c r="C402" s="23"/>
      <x:c r="D402" s="23"/>
      <x:c r="E402" s="23"/>
      <x:c r="F402" s="23"/>
      <x:c r="G402" s="23"/>
      <x:c r="H402" s="23"/>
      <x:c r="I402" s="23"/>
      <x:c r="J402" s="23"/>
      <x:c r="K402" s="23"/>
    </x:row>
    <x:row r="403" spans="1:11" x14ac:dyDescent="0.25">
      <x:c r="A403" s="23"/>
      <x:c r="B403" s="23"/>
      <x:c r="C403" s="23"/>
      <x:c r="D403" s="23"/>
      <x:c r="E403" s="23"/>
      <x:c r="F403" s="23"/>
      <x:c r="G403" s="23"/>
      <x:c r="H403" s="23"/>
      <x:c r="I403" s="23"/>
      <x:c r="J403" s="23"/>
      <x:c r="K403" s="23"/>
    </x:row>
    <x:row r="404" spans="1:11" x14ac:dyDescent="0.25">
      <x:c r="A404" s="23"/>
      <x:c r="B404" s="23"/>
      <x:c r="C404" s="23"/>
      <x:c r="D404" s="23"/>
      <x:c r="E404" s="23"/>
      <x:c r="F404" s="23"/>
      <x:c r="G404" s="23"/>
      <x:c r="H404" s="23"/>
      <x:c r="I404" s="23"/>
      <x:c r="J404" s="23"/>
      <x:c r="K404" s="23"/>
    </x:row>
    <x:row r="405" spans="1:11" x14ac:dyDescent="0.25">
      <x:c r="A405" s="23"/>
      <x:c r="B405" s="23"/>
      <x:c r="C405" s="23"/>
      <x:c r="D405" s="23"/>
      <x:c r="E405" s="23"/>
      <x:c r="F405" s="23"/>
      <x:c r="G405" s="23"/>
      <x:c r="H405" s="23"/>
      <x:c r="I405" s="23"/>
      <x:c r="J405" s="23"/>
      <x:c r="K405" s="23"/>
    </x:row>
    <x:row r="406" spans="1:11" x14ac:dyDescent="0.25">
      <x:c r="A406" s="23"/>
      <x:c r="B406" s="23"/>
      <x:c r="C406" s="23"/>
      <x:c r="D406" s="23"/>
      <x:c r="E406" s="23"/>
      <x:c r="F406" s="23"/>
      <x:c r="G406" s="23"/>
      <x:c r="H406" s="23"/>
      <x:c r="I406" s="23"/>
      <x:c r="J406" s="23"/>
      <x:c r="K406" s="23"/>
    </x:row>
    <x:row r="407" spans="1:11" x14ac:dyDescent="0.25">
      <x:c r="A407" s="23"/>
      <x:c r="B407" s="23"/>
      <x:c r="C407" s="23"/>
      <x:c r="D407" s="23"/>
      <x:c r="E407" s="23"/>
      <x:c r="F407" s="23"/>
      <x:c r="G407" s="23"/>
      <x:c r="H407" s="23"/>
      <x:c r="I407" s="23"/>
      <x:c r="J407" s="23"/>
      <x:c r="K407" s="23"/>
    </x:row>
    <x:row r="408" spans="1:11" x14ac:dyDescent="0.25">
      <x:c r="A408" s="23"/>
      <x:c r="B408" s="23"/>
      <x:c r="C408" s="23"/>
      <x:c r="D408" s="23"/>
      <x:c r="E408" s="23"/>
      <x:c r="F408" s="23"/>
      <x:c r="G408" s="23"/>
      <x:c r="H408" s="23"/>
      <x:c r="I408" s="23"/>
      <x:c r="J408" s="23"/>
      <x:c r="K408" s="23"/>
    </x:row>
    <x:row r="409" spans="1:11" x14ac:dyDescent="0.25">
      <x:c r="A409" s="23"/>
      <x:c r="B409" s="23"/>
      <x:c r="C409" s="23"/>
      <x:c r="D409" s="23"/>
      <x:c r="E409" s="23"/>
      <x:c r="F409" s="23"/>
      <x:c r="G409" s="23"/>
      <x:c r="H409" s="23"/>
      <x:c r="I409" s="23"/>
      <x:c r="J409" s="23"/>
      <x:c r="K409" s="23"/>
    </x:row>
    <x:row r="410" spans="1:11" x14ac:dyDescent="0.25">
      <x:c r="A410" s="23"/>
      <x:c r="B410" s="23"/>
      <x:c r="C410" s="23"/>
      <x:c r="D410" s="23"/>
      <x:c r="E410" s="23"/>
      <x:c r="F410" s="23"/>
      <x:c r="G410" s="23"/>
      <x:c r="H410" s="23"/>
      <x:c r="I410" s="23"/>
      <x:c r="J410" s="23"/>
      <x:c r="K410" s="23"/>
    </x:row>
    <x:row r="411" spans="1:11" x14ac:dyDescent="0.25">
      <x:c r="A411" s="23"/>
      <x:c r="B411" s="23"/>
      <x:c r="C411" s="23"/>
      <x:c r="D411" s="23"/>
      <x:c r="E411" s="23"/>
      <x:c r="F411" s="23"/>
      <x:c r="G411" s="23"/>
      <x:c r="H411" s="23"/>
      <x:c r="I411" s="23"/>
      <x:c r="J411" s="23"/>
      <x:c r="K411" s="23"/>
    </x:row>
    <x:row r="412" spans="1:11" x14ac:dyDescent="0.25">
      <x:c r="A412" s="23"/>
      <x:c r="B412" s="23"/>
      <x:c r="C412" s="23"/>
      <x:c r="D412" s="23"/>
      <x:c r="E412" s="23"/>
      <x:c r="F412" s="23"/>
      <x:c r="G412" s="23"/>
      <x:c r="H412" s="23"/>
      <x:c r="I412" s="23"/>
      <x:c r="J412" s="23"/>
      <x:c r="K412" s="23"/>
    </x:row>
    <x:row r="413" spans="1:11" x14ac:dyDescent="0.25">
      <x:c r="A413" s="23"/>
      <x:c r="B413" s="23"/>
      <x:c r="C413" s="23"/>
      <x:c r="D413" s="23"/>
      <x:c r="E413" s="23"/>
      <x:c r="F413" s="23"/>
      <x:c r="G413" s="23"/>
      <x:c r="H413" s="23"/>
      <x:c r="I413" s="23"/>
      <x:c r="J413" s="23"/>
      <x:c r="K413" s="23"/>
    </x:row>
    <x:row r="414" spans="1:11" x14ac:dyDescent="0.25">
      <x:c r="A414" s="23"/>
      <x:c r="B414" s="23"/>
      <x:c r="C414" s="23"/>
      <x:c r="D414" s="23"/>
      <x:c r="E414" s="23"/>
      <x:c r="F414" s="23"/>
      <x:c r="G414" s="23"/>
      <x:c r="H414" s="23"/>
      <x:c r="I414" s="23"/>
      <x:c r="J414" s="23"/>
      <x:c r="K414" s="23"/>
    </x:row>
    <x:row r="415" spans="1:11" x14ac:dyDescent="0.25">
      <x:c r="A415" s="23"/>
      <x:c r="B415" s="23"/>
      <x:c r="C415" s="23"/>
      <x:c r="D415" s="23"/>
      <x:c r="E415" s="23"/>
      <x:c r="F415" s="23"/>
      <x:c r="G415" s="23"/>
      <x:c r="H415" s="23"/>
      <x:c r="I415" s="23"/>
      <x:c r="J415" s="23"/>
      <x:c r="K415" s="23"/>
    </x:row>
    <x:row r="416" spans="1:11" x14ac:dyDescent="0.25">
      <x:c r="A416" s="23"/>
      <x:c r="B416" s="23"/>
      <x:c r="C416" s="23"/>
      <x:c r="D416" s="23"/>
      <x:c r="E416" s="23"/>
      <x:c r="F416" s="23"/>
      <x:c r="G416" s="23"/>
      <x:c r="H416" s="23"/>
      <x:c r="I416" s="23"/>
      <x:c r="J416" s="23"/>
      <x:c r="K416" s="23"/>
    </x:row>
    <x:row r="417" spans="1:11" x14ac:dyDescent="0.25">
      <x:c r="A417" s="23"/>
      <x:c r="B417" s="23"/>
      <x:c r="C417" s="23"/>
      <x:c r="D417" s="23"/>
      <x:c r="E417" s="23"/>
      <x:c r="F417" s="23"/>
      <x:c r="G417" s="23"/>
      <x:c r="H417" s="23"/>
      <x:c r="I417" s="23"/>
      <x:c r="J417" s="23"/>
      <x:c r="K417" s="23"/>
    </x:row>
    <x:row r="418" spans="1:11" x14ac:dyDescent="0.25">
      <x:c r="A418" s="23"/>
      <x:c r="B418" s="23"/>
      <x:c r="C418" s="23"/>
      <x:c r="D418" s="23"/>
      <x:c r="E418" s="23"/>
      <x:c r="F418" s="23"/>
      <x:c r="G418" s="23"/>
      <x:c r="H418" s="23"/>
      <x:c r="I418" s="23"/>
      <x:c r="J418" s="23"/>
      <x:c r="K418" s="23"/>
    </x:row>
    <x:row r="419" spans="1:11" x14ac:dyDescent="0.25">
      <x:c r="A419" s="23"/>
      <x:c r="B419" s="23"/>
      <x:c r="C419" s="23"/>
      <x:c r="D419" s="23"/>
      <x:c r="E419" s="23"/>
      <x:c r="F419" s="23"/>
      <x:c r="G419" s="23"/>
      <x:c r="H419" s="23"/>
      <x:c r="I419" s="23"/>
      <x:c r="J419" s="23"/>
      <x:c r="K419" s="23"/>
    </x:row>
    <x:row r="420" spans="1:11" x14ac:dyDescent="0.25">
      <x:c r="A420" s="23"/>
      <x:c r="B420" s="23"/>
      <x:c r="C420" s="23"/>
      <x:c r="D420" s="23"/>
      <x:c r="E420" s="23"/>
      <x:c r="F420" s="23"/>
      <x:c r="G420" s="23"/>
      <x:c r="H420" s="23"/>
      <x:c r="I420" s="23"/>
      <x:c r="J420" s="23"/>
      <x:c r="K420" s="23"/>
    </x:row>
    <x:row r="421" spans="1:11" x14ac:dyDescent="0.25">
      <x:c r="A421" s="23"/>
      <x:c r="B421" s="23"/>
      <x:c r="C421" s="23"/>
      <x:c r="D421" s="23"/>
      <x:c r="E421" s="23"/>
      <x:c r="F421" s="23"/>
      <x:c r="G421" s="23"/>
      <x:c r="H421" s="23"/>
      <x:c r="I421" s="23"/>
      <x:c r="J421" s="23"/>
      <x:c r="K421" s="23"/>
    </x:row>
    <x:row r="422" spans="1:11" x14ac:dyDescent="0.25">
      <x:c r="A422" s="23"/>
      <x:c r="B422" s="23"/>
      <x:c r="C422" s="23"/>
      <x:c r="D422" s="23"/>
      <x:c r="E422" s="23"/>
      <x:c r="F422" s="23"/>
      <x:c r="G422" s="23"/>
      <x:c r="H422" s="23"/>
      <x:c r="I422" s="23"/>
      <x:c r="J422" s="23"/>
      <x:c r="K422" s="23"/>
    </x:row>
    <x:row r="423" spans="1:11" x14ac:dyDescent="0.25">
      <x:c r="A423" s="23"/>
      <x:c r="B423" s="23"/>
      <x:c r="C423" s="23"/>
      <x:c r="D423" s="23"/>
      <x:c r="E423" s="23"/>
      <x:c r="F423" s="23"/>
      <x:c r="G423" s="23"/>
      <x:c r="H423" s="23"/>
      <x:c r="I423" s="23"/>
      <x:c r="J423" s="23"/>
      <x:c r="K423" s="23"/>
    </x:row>
    <x:row r="424" spans="1:11" x14ac:dyDescent="0.25">
      <x:c r="A424" s="23"/>
      <x:c r="B424" s="23"/>
      <x:c r="C424" s="23"/>
      <x:c r="D424" s="23"/>
      <x:c r="E424" s="23"/>
      <x:c r="F424" s="23"/>
      <x:c r="G424" s="23"/>
      <x:c r="H424" s="23"/>
      <x:c r="I424" s="23"/>
      <x:c r="J424" s="23"/>
      <x:c r="K424" s="23"/>
    </x:row>
    <x:row r="425" spans="1:11" x14ac:dyDescent="0.25">
      <x:c r="A425" s="23"/>
      <x:c r="B425" s="23"/>
      <x:c r="C425" s="23"/>
      <x:c r="D425" s="23"/>
      <x:c r="E425" s="23"/>
      <x:c r="F425" s="23"/>
      <x:c r="G425" s="23"/>
      <x:c r="H425" s="23"/>
      <x:c r="I425" s="23"/>
      <x:c r="J425" s="23"/>
      <x:c r="K425" s="23"/>
    </x:row>
    <x:row r="426" spans="1:11" x14ac:dyDescent="0.25">
      <x:c r="A426" s="23"/>
      <x:c r="B426" s="23"/>
      <x:c r="C426" s="23"/>
      <x:c r="D426" s="23"/>
      <x:c r="E426" s="23"/>
      <x:c r="F426" s="23"/>
      <x:c r="G426" s="23"/>
      <x:c r="H426" s="23"/>
      <x:c r="I426" s="23"/>
      <x:c r="J426" s="23"/>
      <x:c r="K426" s="23"/>
    </x:row>
    <x:row r="427" spans="1:11" x14ac:dyDescent="0.25">
      <x:c r="A427" s="23"/>
      <x:c r="B427" s="23"/>
      <x:c r="C427" s="23"/>
      <x:c r="D427" s="23"/>
      <x:c r="E427" s="23"/>
      <x:c r="F427" s="23"/>
      <x:c r="G427" s="23"/>
      <x:c r="H427" s="23"/>
      <x:c r="I427" s="23"/>
      <x:c r="J427" s="23"/>
      <x:c r="K427" s="23"/>
    </x:row>
    <x:row r="428" spans="1:11" x14ac:dyDescent="0.25">
      <x:c r="A428" s="23"/>
      <x:c r="B428" s="23"/>
      <x:c r="C428" s="23"/>
      <x:c r="D428" s="23"/>
      <x:c r="E428" s="23"/>
      <x:c r="F428" s="23"/>
      <x:c r="G428" s="23"/>
      <x:c r="H428" s="23"/>
      <x:c r="I428" s="23"/>
      <x:c r="J428" s="23"/>
      <x:c r="K428" s="23"/>
    </x:row>
    <x:row r="429" spans="1:11" x14ac:dyDescent="0.25">
      <x:c r="A429" s="23"/>
      <x:c r="B429" s="23"/>
      <x:c r="C429" s="23"/>
      <x:c r="D429" s="23"/>
      <x:c r="E429" s="23"/>
      <x:c r="F429" s="23"/>
      <x:c r="G429" s="23"/>
      <x:c r="H429" s="23"/>
      <x:c r="I429" s="23"/>
      <x:c r="J429" s="23"/>
      <x:c r="K429" s="23"/>
    </x:row>
    <x:row r="430" spans="1:11" x14ac:dyDescent="0.25">
      <x:c r="A430" s="23"/>
      <x:c r="B430" s="23"/>
      <x:c r="C430" s="23"/>
      <x:c r="D430" s="23"/>
      <x:c r="E430" s="23"/>
      <x:c r="F430" s="23"/>
      <x:c r="G430" s="23"/>
      <x:c r="H430" s="23"/>
      <x:c r="I430" s="23"/>
      <x:c r="J430" s="23"/>
      <x:c r="K430" s="23"/>
    </x:row>
    <x:row r="431" spans="1:11" x14ac:dyDescent="0.25">
      <x:c r="A431" s="23"/>
      <x:c r="B431" s="23"/>
      <x:c r="C431" s="23"/>
      <x:c r="D431" s="23"/>
      <x:c r="E431" s="23"/>
      <x:c r="F431" s="23"/>
      <x:c r="G431" s="23"/>
      <x:c r="H431" s="23"/>
      <x:c r="I431" s="23"/>
      <x:c r="J431" s="23"/>
      <x:c r="K431" s="23"/>
    </x:row>
    <x:row r="432" spans="1:11" x14ac:dyDescent="0.25">
      <x:c r="A432" s="23"/>
      <x:c r="B432" s="23"/>
      <x:c r="C432" s="23"/>
      <x:c r="D432" s="23"/>
      <x:c r="E432" s="23"/>
      <x:c r="F432" s="23"/>
      <x:c r="G432" s="23"/>
      <x:c r="H432" s="23"/>
      <x:c r="I432" s="23"/>
      <x:c r="J432" s="23"/>
      <x:c r="K432" s="23"/>
    </x:row>
    <x:row r="433" spans="1:11" x14ac:dyDescent="0.25">
      <x:c r="A433" s="23"/>
      <x:c r="B433" s="23"/>
      <x:c r="C433" s="23"/>
      <x:c r="D433" s="23"/>
      <x:c r="E433" s="23"/>
      <x:c r="F433" s="23"/>
      <x:c r="G433" s="23"/>
      <x:c r="H433" s="23"/>
      <x:c r="I433" s="23"/>
      <x:c r="J433" s="23"/>
      <x:c r="K433" s="23"/>
    </x:row>
    <x:row r="434" spans="1:11" x14ac:dyDescent="0.25">
      <x:c r="A434" s="23"/>
      <x:c r="B434" s="23"/>
      <x:c r="C434" s="23"/>
      <x:c r="D434" s="23"/>
      <x:c r="E434" s="23"/>
      <x:c r="F434" s="23"/>
      <x:c r="G434" s="23"/>
      <x:c r="H434" s="23"/>
      <x:c r="I434" s="23"/>
      <x:c r="J434" s="23"/>
      <x:c r="K434" s="23"/>
    </x:row>
    <x:row r="435" spans="1:11" x14ac:dyDescent="0.25">
      <x:c r="A435" s="23"/>
      <x:c r="B435" s="23"/>
      <x:c r="C435" s="23"/>
      <x:c r="D435" s="23"/>
      <x:c r="E435" s="23"/>
      <x:c r="F435" s="23"/>
      <x:c r="G435" s="23"/>
      <x:c r="H435" s="23"/>
      <x:c r="I435" s="23"/>
      <x:c r="J435" s="23"/>
      <x:c r="K435" s="23"/>
    </x:row>
    <x:row r="436" spans="1:11" x14ac:dyDescent="0.25">
      <x:c r="A436" s="23"/>
      <x:c r="B436" s="23"/>
      <x:c r="C436" s="23"/>
      <x:c r="D436" s="23"/>
      <x:c r="E436" s="23"/>
      <x:c r="F436" s="23"/>
      <x:c r="G436" s="23"/>
      <x:c r="H436" s="23"/>
      <x:c r="I436" s="23"/>
      <x:c r="J436" s="23"/>
      <x:c r="K436" s="23"/>
    </x:row>
    <x:row r="437" spans="1:11" x14ac:dyDescent="0.25">
      <x:c r="A437" s="23"/>
      <x:c r="B437" s="23"/>
      <x:c r="C437" s="23"/>
      <x:c r="D437" s="23"/>
      <x:c r="E437" s="23"/>
      <x:c r="F437" s="23"/>
      <x:c r="G437" s="23"/>
      <x:c r="H437" s="23"/>
      <x:c r="I437" s="23"/>
      <x:c r="J437" s="23"/>
      <x:c r="K437" s="23"/>
    </x:row>
    <x:row r="438" spans="1:11" x14ac:dyDescent="0.25">
      <x:c r="A438" s="23"/>
      <x:c r="B438" s="23"/>
      <x:c r="C438" s="23"/>
      <x:c r="D438" s="23"/>
      <x:c r="E438" s="23"/>
      <x:c r="F438" s="23"/>
      <x:c r="G438" s="23"/>
      <x:c r="H438" s="23"/>
      <x:c r="I438" s="23"/>
      <x:c r="J438" s="23"/>
      <x:c r="K438" s="23"/>
    </x:row>
    <x:row r="439" spans="1:11" x14ac:dyDescent="0.25">
      <x:c r="A439" s="23"/>
      <x:c r="B439" s="23"/>
      <x:c r="C439" s="23"/>
      <x:c r="D439" s="23"/>
      <x:c r="E439" s="23"/>
      <x:c r="F439" s="23"/>
      <x:c r="G439" s="23"/>
      <x:c r="H439" s="23"/>
      <x:c r="I439" s="23"/>
      <x:c r="J439" s="23"/>
      <x:c r="K439" s="23"/>
    </x:row>
    <x:row r="440" spans="1:11" x14ac:dyDescent="0.25">
      <x:c r="A440" s="23"/>
      <x:c r="B440" s="23"/>
      <x:c r="C440" s="23"/>
      <x:c r="D440" s="23"/>
      <x:c r="E440" s="23"/>
      <x:c r="F440" s="23"/>
      <x:c r="G440" s="23"/>
      <x:c r="H440" s="23"/>
      <x:c r="I440" s="23"/>
      <x:c r="J440" s="23"/>
      <x:c r="K440" s="23"/>
    </x:row>
    <x:row r="441" spans="1:11" x14ac:dyDescent="0.25">
      <x:c r="A441" s="23"/>
      <x:c r="B441" s="23"/>
      <x:c r="C441" s="23"/>
      <x:c r="D441" s="23"/>
      <x:c r="E441" s="23"/>
      <x:c r="F441" s="23"/>
      <x:c r="G441" s="23"/>
      <x:c r="H441" s="23"/>
      <x:c r="I441" s="23"/>
      <x:c r="J441" s="23"/>
      <x:c r="K441" s="23"/>
    </x:row>
    <x:row r="442" spans="1:11" x14ac:dyDescent="0.25">
      <x:c r="A442" s="23"/>
      <x:c r="B442" s="23"/>
      <x:c r="C442" s="23"/>
      <x:c r="D442" s="23"/>
      <x:c r="E442" s="23"/>
      <x:c r="F442" s="23"/>
      <x:c r="G442" s="23"/>
      <x:c r="H442" s="23"/>
      <x:c r="I442" s="23"/>
      <x:c r="J442" s="23"/>
      <x:c r="K442" s="23"/>
    </x:row>
    <x:row r="443" spans="1:11" x14ac:dyDescent="0.25">
      <x:c r="A443" s="23"/>
      <x:c r="B443" s="23"/>
      <x:c r="C443" s="23"/>
      <x:c r="D443" s="23"/>
      <x:c r="E443" s="23"/>
      <x:c r="F443" s="23"/>
      <x:c r="G443" s="23"/>
      <x:c r="H443" s="23"/>
      <x:c r="I443" s="23"/>
      <x:c r="J443" s="23"/>
      <x:c r="K443" s="23"/>
    </x:row>
    <x:row r="444" spans="1:11" x14ac:dyDescent="0.25">
      <x:c r="A444" s="23"/>
      <x:c r="B444" s="23"/>
      <x:c r="C444" s="23"/>
      <x:c r="D444" s="23"/>
      <x:c r="E444" s="23"/>
      <x:c r="F444" s="23"/>
      <x:c r="G444" s="23"/>
      <x:c r="H444" s="23"/>
      <x:c r="I444" s="23"/>
      <x:c r="J444" s="23"/>
      <x:c r="K444" s="23"/>
    </x:row>
    <x:row r="445" spans="1:11" x14ac:dyDescent="0.25">
      <x:c r="A445" s="23"/>
      <x:c r="B445" s="23"/>
      <x:c r="C445" s="23"/>
      <x:c r="D445" s="23"/>
      <x:c r="E445" s="23"/>
      <x:c r="F445" s="23"/>
      <x:c r="G445" s="23"/>
      <x:c r="H445" s="23"/>
      <x:c r="I445" s="23"/>
      <x:c r="J445" s="23"/>
      <x:c r="K445" s="23"/>
    </x:row>
    <x:row r="446" spans="1:11" x14ac:dyDescent="0.25">
      <x:c r="A446" s="23"/>
      <x:c r="B446" s="23"/>
      <x:c r="C446" s="23"/>
      <x:c r="D446" s="23"/>
      <x:c r="E446" s="23"/>
      <x:c r="F446" s="23"/>
      <x:c r="G446" s="23"/>
      <x:c r="H446" s="23"/>
      <x:c r="I446" s="23"/>
      <x:c r="J446" s="23"/>
      <x:c r="K446" s="23"/>
    </x:row>
    <x:row r="447" spans="1:11" x14ac:dyDescent="0.25">
      <x:c r="A447" s="23"/>
      <x:c r="B447" s="23"/>
      <x:c r="C447" s="23"/>
      <x:c r="D447" s="23"/>
      <x:c r="E447" s="23"/>
      <x:c r="F447" s="23"/>
      <x:c r="G447" s="23"/>
      <x:c r="H447" s="23"/>
      <x:c r="I447" s="23"/>
      <x:c r="J447" s="23"/>
      <x:c r="K447" s="23"/>
    </x:row>
    <x:row r="448" spans="1:11" x14ac:dyDescent="0.25">
      <x:c r="A448" s="23"/>
      <x:c r="B448" s="23"/>
      <x:c r="C448" s="23"/>
      <x:c r="D448" s="23"/>
      <x:c r="E448" s="23"/>
      <x:c r="F448" s="23"/>
      <x:c r="G448" s="23"/>
      <x:c r="H448" s="23"/>
      <x:c r="I448" s="23"/>
      <x:c r="J448" s="23"/>
      <x:c r="K448" s="23"/>
    </x:row>
    <x:row r="449" spans="1:11" x14ac:dyDescent="0.25">
      <x:c r="A449" s="23"/>
      <x:c r="B449" s="23"/>
      <x:c r="C449" s="23"/>
      <x:c r="D449" s="23"/>
      <x:c r="E449" s="23"/>
      <x:c r="F449" s="23"/>
      <x:c r="G449" s="23"/>
      <x:c r="H449" s="23"/>
      <x:c r="I449" s="23"/>
      <x:c r="J449" s="23"/>
      <x:c r="K449" s="23"/>
    </x:row>
    <x:row r="450" spans="1:11" x14ac:dyDescent="0.25">
      <x:c r="A450" s="23"/>
      <x:c r="B450" s="23"/>
      <x:c r="C450" s="23"/>
      <x:c r="D450" s="23"/>
      <x:c r="E450" s="23"/>
      <x:c r="F450" s="23"/>
      <x:c r="G450" s="23"/>
      <x:c r="H450" s="23"/>
      <x:c r="I450" s="23"/>
      <x:c r="J450" s="23"/>
      <x:c r="K450" s="23"/>
    </x:row>
    <x:row r="451" spans="1:11" x14ac:dyDescent="0.25">
      <x:c r="A451" s="23"/>
      <x:c r="B451" s="23"/>
      <x:c r="C451" s="23"/>
      <x:c r="D451" s="23"/>
      <x:c r="E451" s="23"/>
      <x:c r="F451" s="23"/>
      <x:c r="G451" s="23"/>
      <x:c r="H451" s="23"/>
      <x:c r="I451" s="23"/>
      <x:c r="J451" s="23"/>
      <x:c r="K451" s="23"/>
    </x:row>
    <x:row r="452" spans="1:11" x14ac:dyDescent="0.25">
      <x:c r="A452" s="23"/>
      <x:c r="B452" s="23"/>
      <x:c r="C452" s="23"/>
      <x:c r="D452" s="23"/>
      <x:c r="E452" s="23"/>
      <x:c r="F452" s="23"/>
      <x:c r="G452" s="23"/>
      <x:c r="H452" s="23"/>
      <x:c r="I452" s="23"/>
      <x:c r="J452" s="23"/>
      <x:c r="K452" s="23"/>
    </x:row>
    <x:row r="453" spans="1:11" x14ac:dyDescent="0.25">
      <x:c r="A453" s="23"/>
      <x:c r="B453" s="23"/>
      <x:c r="C453" s="23"/>
      <x:c r="D453" s="23"/>
      <x:c r="E453" s="23"/>
      <x:c r="F453" s="23"/>
      <x:c r="G453" s="23"/>
      <x:c r="H453" s="23"/>
      <x:c r="I453" s="23"/>
      <x:c r="J453" s="23"/>
      <x:c r="K453" s="23"/>
    </x:row>
    <x:row r="454" spans="1:11" x14ac:dyDescent="0.25">
      <x:c r="A454" s="23"/>
      <x:c r="B454" s="23"/>
      <x:c r="C454" s="23"/>
      <x:c r="D454" s="23"/>
      <x:c r="E454" s="23"/>
      <x:c r="F454" s="23"/>
      <x:c r="G454" s="23"/>
      <x:c r="H454" s="23"/>
      <x:c r="I454" s="23"/>
      <x:c r="J454" s="23"/>
      <x:c r="K454" s="23"/>
    </x:row>
    <x:row r="455" spans="1:11" x14ac:dyDescent="0.25">
      <x:c r="A455" s="23"/>
      <x:c r="B455" s="23"/>
      <x:c r="C455" s="23"/>
      <x:c r="D455" s="23"/>
      <x:c r="E455" s="23"/>
      <x:c r="F455" s="23"/>
      <x:c r="G455" s="23"/>
      <x:c r="H455" s="23"/>
      <x:c r="I455" s="23"/>
      <x:c r="J455" s="23"/>
      <x:c r="K455" s="23"/>
    </x:row>
    <x:row r="456" spans="1:11" x14ac:dyDescent="0.25">
      <x:c r="A456" s="23"/>
      <x:c r="B456" s="23"/>
      <x:c r="C456" s="23"/>
      <x:c r="D456" s="23"/>
      <x:c r="E456" s="23"/>
      <x:c r="F456" s="23"/>
      <x:c r="G456" s="23"/>
      <x:c r="H456" s="23"/>
      <x:c r="I456" s="23"/>
      <x:c r="J456" s="23"/>
      <x:c r="K456" s="23"/>
    </x:row>
    <x:row r="457" spans="1:11" x14ac:dyDescent="0.25">
      <x:c r="A457" s="23"/>
      <x:c r="B457" s="23"/>
      <x:c r="C457" s="23"/>
      <x:c r="D457" s="23"/>
      <x:c r="E457" s="23"/>
      <x:c r="F457" s="23"/>
      <x:c r="G457" s="23"/>
      <x:c r="H457" s="23"/>
      <x:c r="I457" s="23"/>
      <x:c r="J457" s="23"/>
      <x:c r="K457" s="23"/>
    </x:row>
    <x:row r="458" spans="1:11" x14ac:dyDescent="0.25">
      <x:c r="A458" s="23"/>
      <x:c r="B458" s="23"/>
      <x:c r="C458" s="23"/>
      <x:c r="D458" s="23"/>
      <x:c r="E458" s="23"/>
      <x:c r="F458" s="23"/>
      <x:c r="G458" s="23"/>
      <x:c r="H458" s="23"/>
      <x:c r="I458" s="23"/>
      <x:c r="J458" s="23"/>
      <x:c r="K458" s="23"/>
    </x:row>
    <x:row r="459" spans="1:11" x14ac:dyDescent="0.25">
      <x:c r="A459" s="23"/>
      <x:c r="B459" s="23"/>
      <x:c r="C459" s="23"/>
      <x:c r="D459" s="23"/>
      <x:c r="E459" s="23"/>
      <x:c r="F459" s="23"/>
      <x:c r="G459" s="23"/>
      <x:c r="H459" s="23"/>
      <x:c r="I459" s="23"/>
      <x:c r="J459" s="23"/>
      <x:c r="K459" s="23"/>
    </x:row>
    <x:row r="460" spans="1:11" x14ac:dyDescent="0.25">
      <x:c r="A460" s="23"/>
      <x:c r="B460" s="23"/>
      <x:c r="C460" s="23"/>
      <x:c r="D460" s="23"/>
      <x:c r="E460" s="23"/>
      <x:c r="F460" s="23"/>
      <x:c r="G460" s="23"/>
      <x:c r="H460" s="23"/>
      <x:c r="I460" s="23"/>
      <x:c r="J460" s="23"/>
      <x:c r="K460" s="23"/>
    </x:row>
    <x:row r="461" spans="1:11" x14ac:dyDescent="0.25">
      <x:c r="A461" s="23"/>
      <x:c r="B461" s="23"/>
      <x:c r="C461" s="23"/>
      <x:c r="D461" s="23"/>
      <x:c r="E461" s="23"/>
      <x:c r="F461" s="23"/>
      <x:c r="G461" s="23"/>
      <x:c r="H461" s="23"/>
      <x:c r="I461" s="23"/>
      <x:c r="J461" s="23"/>
      <x:c r="K461" s="23"/>
    </x:row>
    <x:row r="462" spans="1:11" x14ac:dyDescent="0.25">
      <x:c r="A462" s="23"/>
      <x:c r="B462" s="23"/>
      <x:c r="C462" s="23"/>
      <x:c r="D462" s="23"/>
      <x:c r="E462" s="23"/>
      <x:c r="F462" s="23"/>
      <x:c r="G462" s="23"/>
      <x:c r="H462" s="23"/>
      <x:c r="I462" s="23"/>
      <x:c r="J462" s="23"/>
      <x:c r="K462" s="23"/>
    </x:row>
    <x:row r="463" spans="1:11" x14ac:dyDescent="0.25">
      <x:c r="A463" s="23"/>
      <x:c r="B463" s="23"/>
      <x:c r="C463" s="23"/>
      <x:c r="D463" s="23"/>
      <x:c r="E463" s="23"/>
      <x:c r="F463" s="23"/>
      <x:c r="G463" s="23"/>
      <x:c r="H463" s="23"/>
      <x:c r="I463" s="23"/>
      <x:c r="J463" s="23"/>
      <x:c r="K463" s="23"/>
    </x:row>
    <x:row r="464" spans="1:11" x14ac:dyDescent="0.25">
      <x:c r="A464" s="23"/>
      <x:c r="B464" s="23"/>
      <x:c r="C464" s="23"/>
      <x:c r="D464" s="23"/>
      <x:c r="E464" s="23"/>
      <x:c r="F464" s="23"/>
      <x:c r="G464" s="23"/>
      <x:c r="H464" s="23"/>
      <x:c r="I464" s="23"/>
      <x:c r="J464" s="23"/>
      <x:c r="K464" s="23"/>
    </x:row>
    <x:row r="465" spans="1:11" x14ac:dyDescent="0.25">
      <x:c r="A465" s="23"/>
      <x:c r="B465" s="23"/>
      <x:c r="C465" s="23"/>
      <x:c r="D465" s="23"/>
      <x:c r="E465" s="23"/>
      <x:c r="F465" s="23"/>
      <x:c r="G465" s="23"/>
      <x:c r="H465" s="23"/>
      <x:c r="I465" s="23"/>
      <x:c r="J465" s="23"/>
      <x:c r="K465" s="23"/>
    </x:row>
    <x:row r="466" spans="1:11" x14ac:dyDescent="0.25">
      <x:c r="A466" s="23"/>
      <x:c r="B466" s="23"/>
      <x:c r="C466" s="23"/>
      <x:c r="D466" s="23"/>
      <x:c r="E466" s="23"/>
      <x:c r="F466" s="23"/>
      <x:c r="G466" s="23"/>
      <x:c r="H466" s="23"/>
      <x:c r="I466" s="23"/>
      <x:c r="J466" s="23"/>
      <x:c r="K466" s="23"/>
    </x:row>
    <x:row r="467" spans="1:11" x14ac:dyDescent="0.25">
      <x:c r="A467" s="23"/>
      <x:c r="B467" s="23"/>
      <x:c r="C467" s="23"/>
      <x:c r="D467" s="23"/>
      <x:c r="E467" s="23"/>
      <x:c r="F467" s="23"/>
      <x:c r="G467" s="23"/>
      <x:c r="H467" s="23"/>
      <x:c r="I467" s="23"/>
      <x:c r="J467" s="23"/>
      <x:c r="K467" s="23"/>
    </x:row>
    <x:row r="468" spans="1:11" x14ac:dyDescent="0.25">
      <x:c r="A468" s="23"/>
      <x:c r="B468" s="23"/>
      <x:c r="C468" s="23"/>
      <x:c r="D468" s="23"/>
      <x:c r="E468" s="23"/>
      <x:c r="F468" s="23"/>
      <x:c r="G468" s="23"/>
      <x:c r="H468" s="23"/>
      <x:c r="I468" s="23"/>
      <x:c r="J468" s="23"/>
      <x:c r="K468" s="23"/>
    </x:row>
    <x:row r="469" spans="1:11" x14ac:dyDescent="0.25">
      <x:c r="A469" s="23"/>
      <x:c r="B469" s="23"/>
      <x:c r="C469" s="23"/>
      <x:c r="D469" s="23"/>
      <x:c r="E469" s="23"/>
      <x:c r="F469" s="23"/>
      <x:c r="G469" s="23"/>
      <x:c r="H469" s="23"/>
      <x:c r="I469" s="23"/>
      <x:c r="J469" s="23"/>
      <x:c r="K469" s="23"/>
    </x:row>
    <x:row r="470" spans="1:11" x14ac:dyDescent="0.25">
      <x:c r="A470" s="23"/>
      <x:c r="B470" s="23"/>
      <x:c r="C470" s="23"/>
      <x:c r="D470" s="23"/>
      <x:c r="E470" s="23"/>
      <x:c r="F470" s="23"/>
      <x:c r="G470" s="23"/>
      <x:c r="H470" s="23"/>
      <x:c r="I470" s="23"/>
      <x:c r="J470" s="23"/>
      <x:c r="K470" s="23"/>
    </x:row>
    <x:row r="471" spans="1:11" x14ac:dyDescent="0.25">
      <x:c r="A471" s="23"/>
      <x:c r="B471" s="23"/>
      <x:c r="C471" s="23"/>
      <x:c r="D471" s="23"/>
      <x:c r="E471" s="23"/>
      <x:c r="F471" s="23"/>
      <x:c r="G471" s="23"/>
      <x:c r="H471" s="23"/>
      <x:c r="I471" s="23"/>
      <x:c r="J471" s="23"/>
      <x:c r="K471" s="23"/>
    </x:row>
    <x:row r="472" spans="1:11" x14ac:dyDescent="0.25">
      <x:c r="A472" s="23"/>
      <x:c r="B472" s="23"/>
      <x:c r="C472" s="23"/>
      <x:c r="D472" s="23"/>
      <x:c r="E472" s="23"/>
      <x:c r="F472" s="23"/>
      <x:c r="G472" s="23"/>
      <x:c r="H472" s="23"/>
      <x:c r="I472" s="23"/>
      <x:c r="J472" s="23"/>
      <x:c r="K472" s="23"/>
    </x:row>
    <x:row r="473" spans="1:11" x14ac:dyDescent="0.25">
      <x:c r="A473" s="23"/>
      <x:c r="B473" s="23"/>
      <x:c r="C473" s="23"/>
      <x:c r="D473" s="23"/>
      <x:c r="E473" s="23"/>
      <x:c r="F473" s="23"/>
      <x:c r="G473" s="23"/>
      <x:c r="H473" s="23"/>
      <x:c r="I473" s="23"/>
      <x:c r="J473" s="23"/>
      <x:c r="K473" s="23"/>
    </x:row>
    <x:row r="474" spans="1:11" x14ac:dyDescent="0.25">
      <x:c r="A474" s="23"/>
      <x:c r="B474" s="23"/>
      <x:c r="C474" s="23"/>
      <x:c r="D474" s="23"/>
      <x:c r="E474" s="23"/>
      <x:c r="F474" s="23"/>
      <x:c r="G474" s="23"/>
      <x:c r="H474" s="23"/>
      <x:c r="I474" s="23"/>
      <x:c r="J474" s="23"/>
      <x:c r="K474" s="23"/>
    </x:row>
    <x:row r="475" spans="1:11" x14ac:dyDescent="0.25">
      <x:c r="A475" s="23"/>
      <x:c r="B475" s="23"/>
      <x:c r="C475" s="23"/>
      <x:c r="D475" s="23"/>
      <x:c r="E475" s="23"/>
      <x:c r="F475" s="23"/>
      <x:c r="G475" s="23"/>
      <x:c r="H475" s="23"/>
      <x:c r="I475" s="23"/>
      <x:c r="J475" s="23"/>
      <x:c r="K475" s="23"/>
    </x:row>
    <x:row r="476" spans="1:11" x14ac:dyDescent="0.25">
      <x:c r="A476" s="23"/>
      <x:c r="B476" s="23"/>
      <x:c r="C476" s="23"/>
      <x:c r="D476" s="23"/>
      <x:c r="E476" s="23"/>
      <x:c r="F476" s="23"/>
      <x:c r="G476" s="23"/>
      <x:c r="H476" s="23"/>
      <x:c r="I476" s="23"/>
      <x:c r="J476" s="23"/>
      <x:c r="K476" s="23"/>
    </x:row>
    <x:row r="477" spans="1:11" x14ac:dyDescent="0.25">
      <x:c r="A477" s="23"/>
      <x:c r="B477" s="23"/>
      <x:c r="C477" s="23"/>
      <x:c r="D477" s="23"/>
      <x:c r="E477" s="23"/>
      <x:c r="F477" s="23"/>
      <x:c r="G477" s="23"/>
      <x:c r="H477" s="23"/>
      <x:c r="I477" s="23"/>
      <x:c r="J477" s="23"/>
      <x:c r="K477" s="23"/>
    </x:row>
    <x:row r="478" spans="1:11" x14ac:dyDescent="0.25">
      <x:c r="A478" s="23"/>
      <x:c r="B478" s="23"/>
      <x:c r="C478" s="23"/>
      <x:c r="D478" s="23"/>
      <x:c r="E478" s="23"/>
      <x:c r="F478" s="23"/>
      <x:c r="G478" s="23"/>
      <x:c r="H478" s="23"/>
      <x:c r="I478" s="23"/>
      <x:c r="J478" s="23"/>
      <x:c r="K478" s="23"/>
    </x:row>
    <x:row r="479" spans="1:11" x14ac:dyDescent="0.25">
      <x:c r="A479" s="23"/>
      <x:c r="B479" s="23"/>
      <x:c r="C479" s="23"/>
      <x:c r="D479" s="23"/>
      <x:c r="E479" s="23"/>
      <x:c r="F479" s="23"/>
      <x:c r="G479" s="23"/>
      <x:c r="H479" s="23"/>
      <x:c r="I479" s="23"/>
      <x:c r="J479" s="23"/>
      <x:c r="K479" s="23"/>
    </x:row>
    <x:row r="480" spans="1:11" x14ac:dyDescent="0.25">
      <x:c r="A480" s="23"/>
      <x:c r="B480" s="23"/>
      <x:c r="C480" s="23"/>
      <x:c r="D480" s="23"/>
      <x:c r="E480" s="23"/>
      <x:c r="F480" s="23"/>
      <x:c r="G480" s="23"/>
      <x:c r="H480" s="23"/>
      <x:c r="I480" s="23"/>
      <x:c r="J480" s="23"/>
      <x:c r="K480" s="23"/>
    </x:row>
    <x:row r="481" spans="1:11" x14ac:dyDescent="0.25">
      <x:c r="A481" s="23"/>
      <x:c r="B481" s="23"/>
      <x:c r="C481" s="23"/>
      <x:c r="D481" s="23"/>
      <x:c r="E481" s="23"/>
      <x:c r="F481" s="23"/>
      <x:c r="G481" s="23"/>
      <x:c r="H481" s="23"/>
      <x:c r="I481" s="23"/>
      <x:c r="J481" s="23"/>
      <x:c r="K481" s="23"/>
    </x:row>
    <x:row r="482" spans="1:11" x14ac:dyDescent="0.25">
      <x:c r="A482" s="23"/>
      <x:c r="B482" s="23"/>
      <x:c r="C482" s="23"/>
      <x:c r="D482" s="23"/>
      <x:c r="E482" s="23"/>
      <x:c r="F482" s="23"/>
      <x:c r="G482" s="23"/>
      <x:c r="H482" s="23"/>
      <x:c r="I482" s="23"/>
      <x:c r="J482" s="23"/>
      <x:c r="K482" s="23"/>
    </x:row>
    <x:row r="483" spans="1:11" x14ac:dyDescent="0.25">
      <x:c r="A483" s="23"/>
      <x:c r="B483" s="23"/>
      <x:c r="C483" s="23"/>
      <x:c r="D483" s="23"/>
      <x:c r="E483" s="23"/>
      <x:c r="F483" s="23"/>
      <x:c r="G483" s="23"/>
      <x:c r="H483" s="23"/>
      <x:c r="I483" s="23"/>
      <x:c r="J483" s="23"/>
      <x:c r="K483" s="23"/>
    </x:row>
    <x:row r="484" spans="1:11" x14ac:dyDescent="0.25">
      <x:c r="A484" s="23"/>
      <x:c r="B484" s="23"/>
      <x:c r="C484" s="23"/>
      <x:c r="D484" s="23"/>
      <x:c r="E484" s="23"/>
      <x:c r="F484" s="23"/>
      <x:c r="G484" s="23"/>
      <x:c r="H484" s="23"/>
      <x:c r="I484" s="23"/>
      <x:c r="J484" s="23"/>
      <x:c r="K484" s="23"/>
    </x:row>
    <x:row r="485" spans="1:11" x14ac:dyDescent="0.25">
      <x:c r="A485" s="23"/>
      <x:c r="B485" s="23"/>
      <x:c r="C485" s="23"/>
      <x:c r="D485" s="23"/>
      <x:c r="E485" s="23"/>
      <x:c r="F485" s="23"/>
      <x:c r="G485" s="23"/>
      <x:c r="H485" s="23"/>
      <x:c r="I485" s="23"/>
      <x:c r="J485" s="23"/>
      <x:c r="K485" s="23"/>
    </x:row>
    <x:row r="486" spans="1:11" x14ac:dyDescent="0.25">
      <x:c r="A486" s="23"/>
      <x:c r="B486" s="23"/>
      <x:c r="C486" s="23"/>
      <x:c r="D486" s="23"/>
      <x:c r="E486" s="23"/>
      <x:c r="F486" s="23"/>
      <x:c r="G486" s="23"/>
      <x:c r="H486" s="23"/>
      <x:c r="I486" s="23"/>
      <x:c r="J486" s="23"/>
      <x:c r="K486" s="23"/>
    </x:row>
    <x:row r="487" spans="1:11" x14ac:dyDescent="0.25">
      <x:c r="A487" s="23"/>
      <x:c r="B487" s="23"/>
      <x:c r="C487" s="23"/>
      <x:c r="D487" s="23"/>
      <x:c r="E487" s="23"/>
      <x:c r="F487" s="23"/>
      <x:c r="G487" s="23"/>
      <x:c r="H487" s="23"/>
      <x:c r="I487" s="23"/>
      <x:c r="J487" s="23"/>
      <x:c r="K487" s="23"/>
    </x:row>
    <x:row r="488" spans="1:11" x14ac:dyDescent="0.25">
      <x:c r="A488" s="23"/>
      <x:c r="B488" s="23"/>
      <x:c r="C488" s="23"/>
      <x:c r="D488" s="23"/>
      <x:c r="E488" s="23"/>
      <x:c r="F488" s="23"/>
      <x:c r="G488" s="23"/>
      <x:c r="H488" s="23"/>
      <x:c r="I488" s="23"/>
      <x:c r="J488" s="23"/>
      <x:c r="K488" s="23"/>
    </x:row>
    <x:row r="489" spans="1:11" x14ac:dyDescent="0.25">
      <x:c r="A489" s="23"/>
      <x:c r="B489" s="23"/>
      <x:c r="C489" s="23"/>
      <x:c r="D489" s="23"/>
      <x:c r="E489" s="23"/>
      <x:c r="F489" s="23"/>
      <x:c r="G489" s="23"/>
      <x:c r="H489" s="23"/>
      <x:c r="I489" s="23"/>
      <x:c r="J489" s="23"/>
      <x:c r="K489" s="23"/>
    </x:row>
    <x:row r="490" spans="1:11" x14ac:dyDescent="0.25">
      <x:c r="A490" s="23"/>
      <x:c r="B490" s="23"/>
      <x:c r="C490" s="23"/>
      <x:c r="D490" s="23"/>
      <x:c r="E490" s="23"/>
      <x:c r="F490" s="23"/>
      <x:c r="G490" s="23"/>
      <x:c r="H490" s="23"/>
      <x:c r="I490" s="23"/>
      <x:c r="J490" s="23"/>
      <x:c r="K490" s="23"/>
    </x:row>
    <x:row r="491" spans="1:11" x14ac:dyDescent="0.25">
      <x:c r="A491" s="23"/>
      <x:c r="B491" s="23"/>
      <x:c r="C491" s="23"/>
      <x:c r="D491" s="23"/>
      <x:c r="E491" s="23"/>
      <x:c r="F491" s="23"/>
      <x:c r="G491" s="23"/>
      <x:c r="H491" s="23"/>
      <x:c r="I491" s="23"/>
      <x:c r="J491" s="23"/>
      <x:c r="K491" s="23"/>
    </x:row>
    <x:row r="492" spans="1:11" x14ac:dyDescent="0.25">
      <x:c r="A492" s="23"/>
      <x:c r="B492" s="23"/>
      <x:c r="C492" s="23"/>
      <x:c r="D492" s="23"/>
      <x:c r="E492" s="23"/>
      <x:c r="F492" s="23"/>
      <x:c r="G492" s="23"/>
      <x:c r="H492" s="23"/>
      <x:c r="I492" s="23"/>
      <x:c r="J492" s="23"/>
      <x:c r="K492" s="23"/>
    </x:row>
    <x:row r="493" spans="1:11" x14ac:dyDescent="0.25">
      <x:c r="A493" s="23"/>
      <x:c r="B493" s="23"/>
      <x:c r="C493" s="23"/>
      <x:c r="D493" s="23"/>
      <x:c r="E493" s="23"/>
      <x:c r="F493" s="23"/>
      <x:c r="G493" s="23"/>
      <x:c r="H493" s="23"/>
      <x:c r="I493" s="23"/>
      <x:c r="J493" s="23"/>
      <x:c r="K493" s="23"/>
    </x:row>
    <x:row r="494" spans="1:11" x14ac:dyDescent="0.25">
      <x:c r="A494" s="23"/>
      <x:c r="B494" s="23"/>
      <x:c r="C494" s="23"/>
      <x:c r="D494" s="23"/>
      <x:c r="E494" s="23"/>
      <x:c r="F494" s="23"/>
      <x:c r="G494" s="23"/>
      <x:c r="H494" s="23"/>
      <x:c r="I494" s="23"/>
      <x:c r="J494" s="23"/>
      <x:c r="K494" s="23"/>
    </x:row>
    <x:row r="495" spans="1:11" x14ac:dyDescent="0.25">
      <x:c r="A495" s="23"/>
      <x:c r="B495" s="23"/>
      <x:c r="C495" s="23"/>
      <x:c r="D495" s="23"/>
      <x:c r="E495" s="23"/>
      <x:c r="F495" s="23"/>
      <x:c r="G495" s="23"/>
      <x:c r="H495" s="23"/>
      <x:c r="I495" s="23"/>
      <x:c r="J495" s="23"/>
      <x:c r="K495" s="23"/>
    </x:row>
    <x:row r="496" spans="1:11" x14ac:dyDescent="0.25">
      <x:c r="A496" s="23"/>
      <x:c r="B496" s="23"/>
      <x:c r="C496" s="23"/>
      <x:c r="D496" s="23"/>
      <x:c r="E496" s="23"/>
      <x:c r="F496" s="23"/>
      <x:c r="G496" s="23"/>
      <x:c r="H496" s="23"/>
      <x:c r="I496" s="23"/>
      <x:c r="J496" s="23"/>
      <x:c r="K496" s="23"/>
    </x:row>
    <x:row r="497" spans="1:11" x14ac:dyDescent="0.25">
      <x:c r="A497" s="23"/>
      <x:c r="B497" s="23"/>
      <x:c r="C497" s="23"/>
      <x:c r="D497" s="23"/>
      <x:c r="E497" s="23"/>
      <x:c r="F497" s="23"/>
      <x:c r="G497" s="23"/>
      <x:c r="H497" s="23"/>
      <x:c r="I497" s="23"/>
      <x:c r="J497" s="23"/>
      <x:c r="K497" s="23"/>
    </x:row>
    <x:row r="498" spans="1:11" x14ac:dyDescent="0.25">
      <x:c r="A498" s="23"/>
      <x:c r="B498" s="23"/>
      <x:c r="C498" s="23"/>
      <x:c r="D498" s="23"/>
      <x:c r="E498" s="23"/>
      <x:c r="F498" s="23"/>
      <x:c r="G498" s="23"/>
      <x:c r="H498" s="23"/>
      <x:c r="I498" s="23"/>
      <x:c r="J498" s="23"/>
      <x:c r="K498" s="23"/>
    </x:row>
    <x:row r="499" spans="1:11" x14ac:dyDescent="0.25">
      <x:c r="A499" s="23"/>
      <x:c r="B499" s="23"/>
      <x:c r="C499" s="23"/>
      <x:c r="D499" s="23"/>
      <x:c r="E499" s="23"/>
      <x:c r="F499" s="23"/>
      <x:c r="G499" s="23"/>
      <x:c r="H499" s="23"/>
      <x:c r="I499" s="23"/>
      <x:c r="J499" s="23"/>
      <x:c r="K499" s="23"/>
    </x:row>
    <x:row r="500" spans="1:11" x14ac:dyDescent="0.25">
      <x:c r="A500" s="23"/>
      <x:c r="B500" s="23"/>
      <x:c r="C500" s="23"/>
      <x:c r="D500" s="23"/>
      <x:c r="E500" s="23"/>
      <x:c r="F500" s="23"/>
      <x:c r="G500" s="23"/>
      <x:c r="H500" s="23"/>
      <x:c r="I500" s="23"/>
      <x:c r="J500" s="23"/>
      <x:c r="K500" s="23"/>
    </x:row>
    <x:row r="501" spans="1:11" x14ac:dyDescent="0.25">
      <x:c r="A501" s="23"/>
      <x:c r="B501" s="23"/>
      <x:c r="C501" s="23"/>
      <x:c r="D501" s="23"/>
      <x:c r="E501" s="23"/>
      <x:c r="F501" s="23"/>
      <x:c r="G501" s="23"/>
      <x:c r="H501" s="23"/>
      <x:c r="I501" s="23"/>
      <x:c r="J501" s="23"/>
      <x:c r="K501" s="23"/>
    </x:row>
    <x:row r="502" spans="1:11" x14ac:dyDescent="0.25">
      <x:c r="A502" s="23"/>
      <x:c r="B502" s="23"/>
      <x:c r="C502" s="23"/>
      <x:c r="D502" s="23"/>
      <x:c r="E502" s="23"/>
      <x:c r="F502" s="23"/>
      <x:c r="G502" s="23"/>
      <x:c r="H502" s="23"/>
      <x:c r="I502" s="23"/>
      <x:c r="J502" s="23"/>
      <x:c r="K502" s="23"/>
    </x:row>
    <x:row r="503" spans="1:11" x14ac:dyDescent="0.25">
      <x:c r="A503" s="23"/>
      <x:c r="B503" s="23"/>
      <x:c r="C503" s="23"/>
      <x:c r="D503" s="23"/>
      <x:c r="E503" s="23"/>
      <x:c r="F503" s="23"/>
      <x:c r="G503" s="23"/>
      <x:c r="H503" s="23"/>
      <x:c r="I503" s="23"/>
      <x:c r="J503" s="23"/>
      <x:c r="K503" s="23"/>
    </x:row>
    <x:row r="504" spans="1:11" x14ac:dyDescent="0.25">
      <x:c r="A504" s="23"/>
      <x:c r="B504" s="23"/>
      <x:c r="C504" s="23"/>
      <x:c r="D504" s="23"/>
      <x:c r="E504" s="23"/>
      <x:c r="F504" s="23"/>
      <x:c r="G504" s="23"/>
      <x:c r="H504" s="23"/>
      <x:c r="I504" s="23"/>
      <x:c r="J504" s="23"/>
      <x:c r="K504" s="23"/>
    </x:row>
    <x:row r="505" spans="1:11" x14ac:dyDescent="0.25">
      <x:c r="A505" s="23"/>
      <x:c r="B505" s="23"/>
      <x:c r="C505" s="23"/>
      <x:c r="D505" s="23"/>
      <x:c r="E505" s="23"/>
      <x:c r="F505" s="23"/>
      <x:c r="G505" s="23"/>
      <x:c r="H505" s="23"/>
      <x:c r="I505" s="23"/>
      <x:c r="J505" s="23"/>
      <x:c r="K505" s="23"/>
    </x:row>
    <x:row r="506" spans="1:11" x14ac:dyDescent="0.25">
      <x:c r="A506" s="23"/>
      <x:c r="B506" s="23"/>
      <x:c r="C506" s="23"/>
      <x:c r="D506" s="23"/>
      <x:c r="E506" s="23"/>
      <x:c r="F506" s="23"/>
      <x:c r="G506" s="23"/>
      <x:c r="H506" s="23"/>
      <x:c r="I506" s="23"/>
      <x:c r="J506" s="23"/>
      <x:c r="K506" s="23"/>
    </x:row>
    <x:row r="507" spans="1:11" x14ac:dyDescent="0.25">
      <x:c r="A507" s="23"/>
      <x:c r="B507" s="23"/>
      <x:c r="C507" s="23"/>
      <x:c r="D507" s="23"/>
      <x:c r="E507" s="23"/>
      <x:c r="F507" s="23"/>
      <x:c r="G507" s="23"/>
      <x:c r="H507" s="23"/>
      <x:c r="I507" s="23"/>
      <x:c r="J507" s="23"/>
      <x:c r="K507" s="23"/>
    </x:row>
    <x:row r="508" spans="1:11" x14ac:dyDescent="0.25">
      <x:c r="A508" s="23"/>
      <x:c r="B508" s="23"/>
      <x:c r="C508" s="23"/>
      <x:c r="D508" s="23"/>
      <x:c r="E508" s="23"/>
      <x:c r="F508" s="23"/>
      <x:c r="G508" s="23"/>
      <x:c r="H508" s="23"/>
      <x:c r="I508" s="23"/>
      <x:c r="J508" s="23"/>
      <x:c r="K508" s="23"/>
    </x:row>
    <x:row r="509" spans="1:11" x14ac:dyDescent="0.25">
      <x:c r="A509" s="23"/>
      <x:c r="B509" s="23"/>
      <x:c r="C509" s="23"/>
      <x:c r="D509" s="23"/>
      <x:c r="E509" s="23"/>
      <x:c r="F509" s="23"/>
      <x:c r="G509" s="23"/>
      <x:c r="H509" s="23"/>
      <x:c r="I509" s="23"/>
      <x:c r="J509" s="23"/>
      <x:c r="K509" s="23"/>
    </x:row>
    <x:row r="510" spans="1:11" x14ac:dyDescent="0.25">
      <x:c r="A510" s="23"/>
      <x:c r="B510" s="23"/>
      <x:c r="C510" s="23"/>
      <x:c r="D510" s="23"/>
      <x:c r="E510" s="23"/>
      <x:c r="F510" s="23"/>
      <x:c r="G510" s="23"/>
      <x:c r="H510" s="23"/>
      <x:c r="I510" s="23"/>
      <x:c r="J510" s="23"/>
      <x:c r="K510" s="23"/>
    </x:row>
    <x:row r="511" spans="1:11" x14ac:dyDescent="0.25">
      <x:c r="A511" s="23"/>
      <x:c r="B511" s="23"/>
      <x:c r="C511" s="23"/>
      <x:c r="D511" s="23"/>
      <x:c r="E511" s="23"/>
      <x:c r="F511" s="23"/>
      <x:c r="G511" s="23"/>
      <x:c r="H511" s="23"/>
      <x:c r="I511" s="23"/>
      <x:c r="J511" s="23"/>
      <x:c r="K511" s="23"/>
    </x:row>
    <x:row r="512" spans="1:11" x14ac:dyDescent="0.25">
      <x:c r="A512" s="23"/>
      <x:c r="B512" s="23"/>
      <x:c r="C512" s="23"/>
      <x:c r="D512" s="23"/>
      <x:c r="E512" s="23"/>
      <x:c r="F512" s="23"/>
      <x:c r="G512" s="23"/>
      <x:c r="H512" s="23"/>
      <x:c r="I512" s="23"/>
      <x:c r="J512" s="23"/>
      <x:c r="K512" s="23"/>
    </x:row>
    <x:row r="513" spans="1:11" x14ac:dyDescent="0.25">
      <x:c r="A513" s="23"/>
      <x:c r="B513" s="23"/>
      <x:c r="C513" s="23"/>
      <x:c r="D513" s="23"/>
      <x:c r="E513" s="23"/>
      <x:c r="F513" s="23"/>
      <x:c r="G513" s="23"/>
      <x:c r="H513" s="23"/>
      <x:c r="I513" s="23"/>
      <x:c r="J513" s="23"/>
      <x:c r="K513" s="23"/>
    </x:row>
    <x:row r="514" spans="1:11" x14ac:dyDescent="0.25">
      <x:c r="A514" s="23"/>
      <x:c r="B514" s="23"/>
      <x:c r="C514" s="23"/>
      <x:c r="D514" s="23"/>
      <x:c r="E514" s="23"/>
      <x:c r="F514" s="23"/>
      <x:c r="G514" s="23"/>
      <x:c r="H514" s="23"/>
      <x:c r="I514" s="23"/>
      <x:c r="J514" s="23"/>
      <x:c r="K514" s="23"/>
    </x:row>
    <x:row r="515" spans="1:11" x14ac:dyDescent="0.25">
      <x:c r="A515" s="23"/>
      <x:c r="B515" s="23"/>
      <x:c r="C515" s="23"/>
      <x:c r="D515" s="23"/>
      <x:c r="E515" s="23"/>
      <x:c r="F515" s="23"/>
      <x:c r="G515" s="23"/>
      <x:c r="H515" s="23"/>
      <x:c r="I515" s="23"/>
      <x:c r="J515" s="23"/>
      <x:c r="K515" s="23"/>
    </x:row>
    <x:row r="516" spans="1:11" x14ac:dyDescent="0.25">
      <x:c r="A516" s="23"/>
      <x:c r="B516" s="23"/>
      <x:c r="C516" s="23"/>
      <x:c r="D516" s="23"/>
      <x:c r="E516" s="23"/>
      <x:c r="F516" s="23"/>
      <x:c r="G516" s="23"/>
      <x:c r="H516" s="23"/>
      <x:c r="I516" s="23"/>
      <x:c r="J516" s="23"/>
      <x:c r="K516" s="23"/>
    </x:row>
    <x:row r="517" spans="1:11" x14ac:dyDescent="0.25">
      <x:c r="A517" s="23"/>
      <x:c r="B517" s="23"/>
      <x:c r="C517" s="23"/>
      <x:c r="D517" s="23"/>
      <x:c r="E517" s="23"/>
      <x:c r="F517" s="23"/>
      <x:c r="G517" s="23"/>
      <x:c r="H517" s="23"/>
      <x:c r="I517" s="23"/>
      <x:c r="J517" s="23"/>
      <x:c r="K517" s="23"/>
    </x:row>
    <x:row r="518" spans="1:11" x14ac:dyDescent="0.25">
      <x:c r="A518" s="23"/>
      <x:c r="B518" s="23"/>
      <x:c r="C518" s="23"/>
      <x:c r="D518" s="23"/>
      <x:c r="E518" s="23"/>
      <x:c r="F518" s="23"/>
      <x:c r="G518" s="23"/>
      <x:c r="H518" s="23"/>
      <x:c r="I518" s="23"/>
      <x:c r="J518" s="23"/>
      <x:c r="K518" s="23"/>
    </x:row>
  </x:sheetData>
  <x:mergeCells count="5">
    <x:mergeCell ref="H1:I1"/>
    <x:mergeCell ref="B2:B11"/>
    <x:mergeCell ref="A2:A11"/>
    <x:mergeCell ref="J2:J11"/>
    <x:mergeCell ref="K2:K11"/>
  </x:mergeCells>
  <x:phoneticPr fontId="3" type="noConversion"/>
  <x:pageMargins left="0.7" right="0.7" top="0.75" bottom="0.75" header="0.3" footer="0.3"/>
  <x:pageSetup paperSize="9" scale="96" orientation="landscape" r:id="rId1"/>
  <x:picture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200-000000000000}">
  <x:sheetPr codeName="Sheet3"/>
  <x:dimension ref="A1:AH185"/>
  <x:sheetViews>
    <x:sheetView workbookViewId="0">
      <x:selection activeCell="C34" sqref="C34"/>
    </x:sheetView>
  </x:sheetViews>
  <x:sheetFormatPr defaultColWidth="9" defaultRowHeight="15.5" x14ac:dyDescent="0.25"/>
  <x:cols>
    <x:col min="1" max="1" width="9.6328125" style="5" customWidth="1"/>
    <x:col min="2" max="3" width="28.453125" style="5" customWidth="1"/>
    <x:col min="4" max="4" width="23.90625" style="5" customWidth="1"/>
    <x:col min="5" max="5" width="19.36328125" style="5" customWidth="1"/>
    <x:col min="6" max="6" width="15.6328125" style="5" customWidth="1"/>
    <x:col min="7" max="7" width="22.7265625" style="5" customWidth="1"/>
    <x:col min="8" max="8" width="10.08984375" style="10" customWidth="1"/>
    <x:col min="9" max="9" width="14" style="47" bestFit="1" customWidth="1"/>
    <x:col min="10" max="26" width="9" style="4"/>
    <x:col min="27" max="16384" width="9" style="5"/>
  </x:cols>
  <x:sheetData>
    <x:row r="1" spans="1:11" x14ac:dyDescent="0.25">
      <x:c r="A1" s="1"/>
      <x:c r="B1" s="1"/>
      <x:c r="C1" s="1"/>
      <x:c r="D1" s="1"/>
      <x:c r="E1" s="1"/>
      <x:c r="F1" s="1"/>
      <x:c r="G1" s="1"/>
      <x:c r="H1" s="1"/>
      <x:c r="J1" s="2"/>
      <x:c r="K1" s="3"/>
    </x:row>
    <x:row r="2" spans="1:11" x14ac:dyDescent="0.25">
      <x:c r="A2" s="6" t="s">
        <x:v>94</x:v>
      </x:c>
      <x:c r="B2" s="44" t="s">
        <x:v>52</x:v>
      </x:c>
      <x:c r="C2" s="1"/>
      <x:c r="D2" s="1"/>
      <x:c r="E2" s="1"/>
      <x:c r="F2" s="1"/>
      <x:c r="G2" s="1"/>
      <x:c r="H2" s="1"/>
      <x:c r="J2" s="2"/>
      <x:c r="K2" s="3"/>
    </x:row>
    <x:row r="3" spans="1:11" ht="14.25" customHeight="1" x14ac:dyDescent="0.25">
      <x:c r="A3" s="1"/>
      <x:c r="B3" s="1"/>
      <x:c r="C3" s="1"/>
      <x:c r="D3" s="1"/>
      <x:c r="E3" s="1"/>
      <x:c r="F3" s="1"/>
      <x:c r="G3" s="1"/>
      <x:c r="H3" s="1"/>
      <x:c r="J3" s="2"/>
      <x:c r="K3" s="3"/>
    </x:row>
    <x:row r="4" spans="1:11" x14ac:dyDescent="0.3">
      <x:c r="A4" s="6"/>
      <x:c r="B4" s="93" t="s">
        <x:v>116</x:v>
      </x:c>
      <x:c r="C4" s="93" t="s">
        <x:v>117</x:v>
      </x:c>
      <x:c r="D4" s="93" t="s">
        <x:v>118</x:v>
      </x:c>
      <x:c r="E4" s="106"/>
      <x:c r="F4" s="6"/>
      <x:c r="G4" s="6"/>
      <x:c r="H4" s="6"/>
      <x:c r="J4" s="2"/>
      <x:c r="K4" s="3"/>
    </x:row>
    <x:row r="5" spans="1:11" x14ac:dyDescent="0.3">
      <x:c r="A5" s="6"/>
      <x:c r="B5" s="7" t="s">
        <x:v>138</x:v>
      </x:c>
      <x:c r="C5" s="7" t="s">
        <x:v>139</x:v>
      </x:c>
      <x:c r="D5" s="8" t="s">
        <x:v>140</x:v>
      </x:c>
      <x:c r="E5" s="106"/>
      <x:c r="F5" s="6"/>
      <x:c r="G5" s="6"/>
      <x:c r="H5" s="6"/>
      <x:c r="J5" s="2"/>
      <x:c r="K5" s="3"/>
    </x:row>
    <x:row r="6" spans="1:11" x14ac:dyDescent="0.3">
      <x:c r="A6" s="1"/>
      <x:c r="B6" s="7" t="s">
        <x:v>141</x:v>
      </x:c>
      <x:c r="C6" s="7" t="s">
        <x:v>139</x:v>
      </x:c>
      <x:c r="D6" s="8" t="s">
        <x:v>140</x:v>
      </x:c>
      <x:c r="E6" s="106"/>
      <x:c r="F6" s="1"/>
      <x:c r="G6" s="1"/>
      <x:c r="H6" s="1"/>
      <x:c r="J6" s="2"/>
      <x:c r="K6" s="3"/>
    </x:row>
    <x:row r="7" spans="1:11" x14ac:dyDescent="0.3">
      <x:c r="A7" s="1"/>
      <x:c r="B7" s="7" t="s">
        <x:v>142</x:v>
      </x:c>
      <x:c r="C7" s="7" t="s">
        <x:v>143</x:v>
      </x:c>
      <x:c r="D7" s="8" t="s">
        <x:v>144</x:v>
      </x:c>
      <x:c r="E7" s="106"/>
      <x:c r="F7" s="7"/>
      <x:c r="G7" s="7"/>
      <x:c r="H7" s="7"/>
      <x:c r="J7" s="2"/>
      <x:c r="K7" s="3"/>
    </x:row>
    <x:row r="8" spans="1:11" x14ac:dyDescent="0.3">
      <x:c r="A8" s="1"/>
      <x:c r="B8" s="7" t="s">
        <x:v>145</x:v>
      </x:c>
      <x:c r="C8" s="7" t="s">
        <x:v>146</x:v>
      </x:c>
      <x:c r="D8" s="8" t="s">
        <x:v>147</x:v>
      </x:c>
      <x:c r="E8" s="106"/>
      <x:c r="F8" s="1"/>
      <x:c r="G8" s="1"/>
      <x:c r="H8" s="1"/>
      <x:c r="J8" s="2"/>
      <x:c r="K8" s="3"/>
    </x:row>
    <x:row r="9" spans="1:11" x14ac:dyDescent="0.3">
      <x:c r="A9" s="1"/>
      <x:c r="B9" s="7" t="s">
        <x:v>171</x:v>
      </x:c>
      <x:c r="C9" s="7" t="s">
        <x:v>173</x:v>
      </x:c>
      <x:c r="D9" s="8" t="s">
        <x:v>172</x:v>
      </x:c>
      <x:c r="E9" s="106"/>
      <x:c r="F9" s="1"/>
      <x:c r="G9" s="1"/>
      <x:c r="H9" s="1"/>
      <x:c r="J9" s="2"/>
      <x:c r="K9" s="3"/>
    </x:row>
    <x:row r="10" spans="1:11" x14ac:dyDescent="0.3">
      <x:c r="A10" s="6"/>
      <x:c r="B10" s="93" t="s">
        <x:v>119</x:v>
      </x:c>
      <x:c r="C10" s="93" t="s">
        <x:v>117</x:v>
      </x:c>
      <x:c r="D10" s="93" t="s">
        <x:v>118</x:v>
      </x:c>
      <x:c r="E10" s="106"/>
      <x:c r="F10" s="6"/>
      <x:c r="G10" s="6"/>
      <x:c r="H10" s="6"/>
      <x:c r="J10" s="2"/>
      <x:c r="K10" s="3"/>
    </x:row>
    <x:row r="11" spans="1:11" x14ac:dyDescent="0.3">
      <x:c r="A11" s="1"/>
      <x:c r="B11" s="7" t="s">
        <x:v>4</x:v>
      </x:c>
      <x:c r="C11" s="7" t="s">
        <x:v>5</x:v>
      </x:c>
      <x:c r="D11" s="7">
        <x:v>249944</x:v>
      </x:c>
      <x:c r="E11" s="106"/>
      <x:c r="F11" s="1"/>
      <x:c r="G11" s="1"/>
      <x:c r="H11" s="1"/>
      <x:c r="J11" s="2"/>
      <x:c r="K11" s="3"/>
    </x:row>
    <x:row r="12" spans="1:11" x14ac:dyDescent="0.3">
      <x:c r="A12" s="1"/>
      <x:c r="B12" s="7" t="s">
        <x:v>113</x:v>
      </x:c>
      <x:c r="C12" s="7" t="s">
        <x:v>148</x:v>
      </x:c>
      <x:c r="D12" s="7">
        <x:v>4514</x:v>
      </x:c>
      <x:c r="E12" s="106"/>
      <x:c r="F12" s="1"/>
      <x:c r="G12" s="1"/>
      <x:c r="H12" s="1"/>
      <x:c r="J12" s="2"/>
      <x:c r="K12" s="45"/>
    </x:row>
    <x:row r="13" spans="1:11" x14ac:dyDescent="0.3">
      <x:c r="A13" s="6"/>
      <x:c r="B13" s="93" t="s">
        <x:v>120</x:v>
      </x:c>
      <x:c r="C13" s="93" t="s">
        <x:v>117</x:v>
      </x:c>
      <x:c r="D13" s="93" t="s">
        <x:v>118</x:v>
      </x:c>
      <x:c r="E13" s="106"/>
      <x:c r="F13" s="1"/>
      <x:c r="G13" s="1"/>
      <x:c r="H13" s="1"/>
      <x:c r="J13" s="2"/>
      <x:c r="K13" s="45"/>
    </x:row>
    <x:row r="14" spans="1:11" x14ac:dyDescent="0.3">
      <x:c r="A14" s="6"/>
      <x:c r="B14" s="7" t="s">
        <x:v>149</x:v>
      </x:c>
      <x:c r="C14" s="7" t="s">
        <x:v>64</x:v>
      </x:c>
      <x:c r="D14" s="7">
        <x:v>655</x:v>
      </x:c>
      <x:c r="E14" s="106"/>
      <x:c r="F14" s="1"/>
      <x:c r="G14" s="1"/>
      <x:c r="H14" s="1"/>
      <x:c r="J14" s="2"/>
      <x:c r="K14" s="45"/>
    </x:row>
    <x:row r="15" spans="1:11" x14ac:dyDescent="0.3">
      <x:c r="A15" s="1"/>
      <x:c r="B15" s="7" t="s">
        <x:v>87</x:v>
      </x:c>
      <x:c r="C15" s="7" t="s">
        <x:v>150</x:v>
      </x:c>
      <x:c r="D15" s="7" t="s">
        <x:v>65</x:v>
      </x:c>
      <x:c r="E15" s="106"/>
      <x:c r="F15" s="1"/>
      <x:c r="G15" s="1"/>
      <x:c r="H15" s="1"/>
      <x:c r="J15" s="2"/>
      <x:c r="K15" s="45"/>
    </x:row>
    <x:row r="16" spans="1:11" x14ac:dyDescent="0.3">
      <x:c r="A16" s="1"/>
      <x:c r="B16" s="9" t="s">
        <x:v>88</x:v>
      </x:c>
      <x:c r="C16" s="9" t="s">
        <x:v>66</x:v>
      </x:c>
      <x:c r="D16" s="9" t="s">
        <x:v>121</x:v>
      </x:c>
      <x:c r="E16" s="106"/>
      <x:c r="F16" s="1"/>
      <x:c r="G16" s="1"/>
      <x:c r="H16" s="1"/>
      <x:c r="J16" s="2"/>
      <x:c r="K16" s="45"/>
    </x:row>
    <x:row r="17" spans="1:34" x14ac:dyDescent="0.3">
      <x:c r="A17" s="6"/>
      <x:c r="B17" s="7"/>
      <x:c r="C17" s="7"/>
      <x:c r="D17" s="7"/>
      <x:c r="E17" s="106"/>
      <x:c r="F17" s="1"/>
      <x:c r="G17" s="1"/>
      <x:c r="H17" s="1"/>
      <x:c r="J17" s="2"/>
      <x:c r="K17" s="45"/>
    </x:row>
    <x:row r="18" spans="1:34" ht="14.25" customHeight="1" x14ac:dyDescent="0.3">
      <x:c r="A18" s="6" t="s">
        <x:v>100</x:v>
      </x:c>
      <x:c r="B18" s="151" t="s">
        <x:v>55</x:v>
      </x:c>
      <x:c r="C18" s="151"/>
      <x:c r="D18" s="11"/>
      <x:c r="E18" s="106"/>
      <x:c r="F18" s="1"/>
      <x:c r="G18" s="10"/>
      <x:c r="AA18" s="10"/>
      <x:c r="AB18" s="10"/>
      <x:c r="AC18" s="10"/>
      <x:c r="AD18" s="10"/>
      <x:c r="AE18" s="10"/>
      <x:c r="AF18" s="10"/>
      <x:c r="AG18" s="10"/>
      <x:c r="AH18" s="10"/>
    </x:row>
    <x:row r="19" spans="1:34" ht="18" customHeight="1" x14ac:dyDescent="0.25">
      <x:c r="A19" s="1"/>
      <x:c r="B19" s="12"/>
      <x:c r="C19" s="11"/>
      <x:c r="D19" s="11"/>
      <x:c r="E19" s="11"/>
      <x:c r="F19" s="11"/>
      <x:c r="G19" s="1"/>
      <x:c r="H19" s="1"/>
      <x:c r="AA19" s="10"/>
      <x:c r="AB19" s="10"/>
      <x:c r="AC19" s="10"/>
      <x:c r="AD19" s="10"/>
      <x:c r="AE19" s="10"/>
      <x:c r="AF19" s="10"/>
      <x:c r="AG19" s="10"/>
      <x:c r="AH19" s="10"/>
    </x:row>
    <x:row r="20" spans="1:34" x14ac:dyDescent="0.25">
      <x:c r="A20" s="6"/>
      <x:c r="B20" s="93" t="s">
        <x:v>122</x:v>
      </x:c>
      <x:c r="C20" s="93" t="s">
        <x:v>123</x:v>
      </x:c>
      <x:c r="D20" s="93" t="s">
        <x:v>124</x:v>
      </x:c>
      <x:c r="E20" s="93" t="s">
        <x:v>125</x:v>
      </x:c>
      <x:c r="F20" s="93" t="s">
        <x:v>126</x:v>
      </x:c>
      <x:c r="G20" s="1"/>
      <x:c r="H20" s="1"/>
      <x:c r="AA20" s="10"/>
      <x:c r="AB20" s="10"/>
      <x:c r="AC20" s="10"/>
      <x:c r="AD20" s="10"/>
      <x:c r="AE20" s="10"/>
      <x:c r="AF20" s="10"/>
      <x:c r="AG20" s="10"/>
      <x:c r="AH20" s="10"/>
    </x:row>
    <x:row r="21" spans="1:34" x14ac:dyDescent="0.25">
      <x:c r="A21" s="1"/>
      <x:c r="B21" s="8" t="s">
        <x:v>114</x:v>
      </x:c>
      <x:c r="C21" s="7" t="s">
        <x:v>171</x:v>
      </x:c>
      <x:c r="D21" s="7">
        <x:v>10</x:v>
      </x:c>
      <x:c r="E21" s="7">
        <x:v>1000</x:v>
      </x:c>
      <x:c r="F21" s="7">
        <x:v>3</x:v>
      </x:c>
      <x:c r="G21" s="10"/>
      <x:c r="AA21" s="10"/>
      <x:c r="AB21" s="10"/>
      <x:c r="AC21" s="10"/>
      <x:c r="AD21" s="10"/>
      <x:c r="AE21" s="10"/>
      <x:c r="AF21" s="10"/>
      <x:c r="AG21" s="10"/>
      <x:c r="AH21" s="10"/>
    </x:row>
    <x:row r="22" spans="1:34" x14ac:dyDescent="0.25">
      <x:c r="A22" s="1"/>
      <x:c r="B22" s="8">
        <x:v>1</x:v>
      </x:c>
      <x:c r="C22" s="7" t="s">
        <x:v>192</x:v>
      </x:c>
      <x:c r="D22" s="7">
        <x:v>10</x:v>
      </x:c>
      <x:c r="E22" s="7">
        <x:v>10000</x:v>
      </x:c>
      <x:c r="F22" s="7">
        <x:v>3</x:v>
      </x:c>
      <x:c r="G22" s="10"/>
      <x:c r="M22" s="4" t="s">
        <x:v>174</x:v>
      </x:c>
      <x:c r="AA22" s="10"/>
      <x:c r="AB22" s="10"/>
      <x:c r="AC22" s="10"/>
      <x:c r="AD22" s="10"/>
      <x:c r="AE22" s="10"/>
      <x:c r="AF22" s="10"/>
      <x:c r="AG22" s="10"/>
      <x:c r="AH22" s="10"/>
    </x:row>
    <x:row r="23" spans="1:34" x14ac:dyDescent="0.25">
      <x:c r="A23" s="1"/>
      <x:c r="B23" s="8">
        <x:v>2</x:v>
      </x:c>
      <x:c r="C23" s="7" t="s">
        <x:v>184</x:v>
      </x:c>
      <x:c r="D23" s="7">
        <x:v>20</x:v>
      </x:c>
      <x:c r="E23" s="7">
        <x:v>10000</x:v>
      </x:c>
      <x:c r="F23" s="7">
        <x:v>3</x:v>
      </x:c>
      <x:c r="G23" s="10"/>
      <x:c r="AA23" s="10"/>
      <x:c r="AB23" s="10"/>
      <x:c r="AC23" s="10"/>
      <x:c r="AD23" s="10"/>
      <x:c r="AE23" s="10"/>
      <x:c r="AF23" s="10"/>
      <x:c r="AG23" s="10"/>
      <x:c r="AH23" s="10"/>
    </x:row>
    <x:row r="24" spans="1:34" x14ac:dyDescent="0.25">
      <x:c r="A24" s="1"/>
      <x:c r="B24" s="8">
        <x:v>3</x:v>
      </x:c>
      <x:c r="C24" s="7" t="s">
        <x:v>185</x:v>
      </x:c>
      <x:c r="D24" s="7">
        <x:v>20</x:v>
      </x:c>
      <x:c r="E24" s="7">
        <x:v>10000</x:v>
      </x:c>
      <x:c r="F24" s="7">
        <x:v>3</x:v>
      </x:c>
      <x:c r="G24" s="10"/>
      <x:c r="AA24" s="10"/>
      <x:c r="AB24" s="10"/>
      <x:c r="AC24" s="10"/>
      <x:c r="AD24" s="10"/>
      <x:c r="AE24" s="10"/>
      <x:c r="AF24" s="10"/>
      <x:c r="AG24" s="10"/>
      <x:c r="AH24" s="10"/>
    </x:row>
    <x:row r="25" spans="1:34" x14ac:dyDescent="0.25">
      <x:c r="A25" s="1"/>
      <x:c r="B25" s="8">
        <x:v>4</x:v>
      </x:c>
      <x:c r="C25" s="7" t="s">
        <x:v>186</x:v>
      </x:c>
      <x:c r="D25" s="7">
        <x:v>20</x:v>
      </x:c>
      <x:c r="E25" s="7">
        <x:v>10000</x:v>
      </x:c>
      <x:c r="F25" s="7">
        <x:v>3</x:v>
      </x:c>
      <x:c r="G25" s="10"/>
      <x:c r="AA25" s="10"/>
      <x:c r="AB25" s="10"/>
      <x:c r="AC25" s="10"/>
      <x:c r="AD25" s="10"/>
      <x:c r="AE25" s="10"/>
      <x:c r="AF25" s="10"/>
      <x:c r="AG25" s="10"/>
      <x:c r="AH25" s="10"/>
    </x:row>
    <x:row r="26" spans="1:34" x14ac:dyDescent="0.25">
      <x:c r="A26" s="1"/>
      <x:c r="B26" s="8">
        <x:v>5</x:v>
      </x:c>
      <x:c r="C26" s="7" t="s">
        <x:v>187</x:v>
      </x:c>
      <x:c r="D26" s="7">
        <x:v>20</x:v>
      </x:c>
      <x:c r="E26" s="7">
        <x:v>10000</x:v>
      </x:c>
      <x:c r="F26" s="7">
        <x:v>3</x:v>
      </x:c>
      <x:c r="G26" s="10"/>
      <x:c r="AA26" s="10"/>
      <x:c r="AB26" s="10"/>
      <x:c r="AC26" s="10"/>
      <x:c r="AD26" s="10"/>
      <x:c r="AE26" s="10"/>
      <x:c r="AF26" s="10"/>
      <x:c r="AG26" s="10"/>
      <x:c r="AH26" s="10"/>
    </x:row>
    <x:row r="27" spans="1:34" x14ac:dyDescent="0.25">
      <x:c r="A27" s="1"/>
      <x:c r="B27" s="8">
        <x:v>6</x:v>
      </x:c>
      <x:c r="C27" s="7" t="s">
        <x:v>188</x:v>
      </x:c>
      <x:c r="D27" s="7">
        <x:v>20</x:v>
      </x:c>
      <x:c r="E27" s="7">
        <x:v>10000</x:v>
      </x:c>
      <x:c r="F27" s="7">
        <x:v>3</x:v>
      </x:c>
      <x:c r="G27" s="10"/>
      <x:c r="AA27" s="10"/>
      <x:c r="AB27" s="10"/>
      <x:c r="AC27" s="10"/>
      <x:c r="AD27" s="10"/>
      <x:c r="AE27" s="10"/>
      <x:c r="AF27" s="10"/>
      <x:c r="AG27" s="10"/>
      <x:c r="AH27" s="10"/>
    </x:row>
    <x:row r="28" spans="1:34" x14ac:dyDescent="0.25">
      <x:c r="A28" s="1"/>
      <x:c r="B28" s="8">
        <x:v>7</x:v>
      </x:c>
      <x:c r="C28" s="7" t="s">
        <x:v>189</x:v>
      </x:c>
      <x:c r="D28" s="7">
        <x:v>20</x:v>
      </x:c>
      <x:c r="E28" s="7">
        <x:v>10000</x:v>
      </x:c>
      <x:c r="F28" s="7">
        <x:v>3</x:v>
      </x:c>
      <x:c r="G28" s="10"/>
      <x:c r="AA28" s="10"/>
      <x:c r="AB28" s="10"/>
      <x:c r="AC28" s="10"/>
      <x:c r="AD28" s="10"/>
      <x:c r="AE28" s="10"/>
      <x:c r="AF28" s="10"/>
      <x:c r="AG28" s="10"/>
      <x:c r="AH28" s="10"/>
    </x:row>
    <x:row r="29" spans="1:34" x14ac:dyDescent="0.25">
      <x:c r="A29" s="1"/>
      <x:c r="B29" s="8">
        <x:v>8</x:v>
      </x:c>
      <x:c r="C29" s="7" t="s">
        <x:v>190</x:v>
      </x:c>
      <x:c r="D29" s="7">
        <x:v>40</x:v>
      </x:c>
      <x:c r="E29" s="7">
        <x:v>10000</x:v>
      </x:c>
      <x:c r="F29" s="7">
        <x:v>3</x:v>
      </x:c>
      <x:c r="G29" s="10"/>
      <x:c r="AA29" s="10"/>
      <x:c r="AB29" s="10"/>
      <x:c r="AC29" s="10"/>
      <x:c r="AD29" s="10"/>
      <x:c r="AE29" s="10"/>
      <x:c r="AF29" s="10"/>
      <x:c r="AG29" s="10"/>
      <x:c r="AH29" s="10"/>
    </x:row>
    <x:row r="30" spans="1:34" x14ac:dyDescent="0.25">
      <x:c r="A30" s="1"/>
      <x:c r="B30" s="8">
        <x:v>9</x:v>
      </x:c>
      <x:c r="C30" s="7" t="s">
        <x:v>191</x:v>
      </x:c>
      <x:c r="D30" s="7">
        <x:v>20</x:v>
      </x:c>
      <x:c r="E30" s="7">
        <x:v>10000</x:v>
      </x:c>
      <x:c r="F30" s="7">
        <x:v>3</x:v>
      </x:c>
      <x:c r="G30" s="10"/>
      <x:c r="AA30" s="10"/>
      <x:c r="AB30" s="10"/>
      <x:c r="AC30" s="10"/>
      <x:c r="AD30" s="10"/>
      <x:c r="AE30" s="10"/>
      <x:c r="AF30" s="10"/>
      <x:c r="AG30" s="10"/>
      <x:c r="AH30" s="10"/>
    </x:row>
    <x:row r="31" spans="1:34" x14ac:dyDescent="0.25">
      <x:c r="A31" s="1"/>
      <x:c r="B31" s="13"/>
      <x:c r="C31" s="13"/>
      <x:c r="D31" s="13"/>
      <x:c r="E31" s="13"/>
      <x:c r="F31" s="13"/>
      <x:c r="G31" s="14"/>
      <x:c r="AA31" s="10"/>
      <x:c r="AB31" s="10"/>
      <x:c r="AC31" s="10"/>
      <x:c r="AD31" s="10"/>
      <x:c r="AE31" s="10"/>
      <x:c r="AF31" s="10"/>
      <x:c r="AG31" s="10"/>
      <x:c r="AH31" s="10"/>
    </x:row>
    <x:row r="32" spans="1:34" x14ac:dyDescent="0.25">
      <x:c r="A32" s="107" t="s">
        <x:v>151</x:v>
      </x:c>
      <x:c r="B32" s="49" t="s">
        <x:v>152</x:v>
      </x:c>
      <x:c r="C32" s="47"/>
      <x:c r="D32" s="47"/>
      <x:c r="E32" s="48"/>
      <x:c r="F32" s="48"/>
      <x:c r="G32" s="1"/>
      <x:c r="H32" s="1"/>
      <x:c r="AA32" s="10"/>
      <x:c r="AB32" s="10"/>
      <x:c r="AC32" s="10"/>
      <x:c r="AD32" s="10"/>
      <x:c r="AE32" s="10"/>
      <x:c r="AF32" s="10"/>
      <x:c r="AG32" s="10"/>
      <x:c r="AH32" s="10"/>
    </x:row>
    <x:row r="33" spans="1:34" x14ac:dyDescent="0.25">
      <x:c r="A33" s="10"/>
      <x:c r="B33" s="47"/>
      <x:c r="C33" s="47"/>
      <x:c r="D33" s="47"/>
      <x:c r="E33" s="48"/>
      <x:c r="F33" s="48"/>
      <x:c r="G33" s="1"/>
      <x:c r="H33" s="1"/>
      <x:c r="AA33" s="10"/>
      <x:c r="AB33" s="10"/>
      <x:c r="AC33" s="10"/>
      <x:c r="AD33" s="10"/>
      <x:c r="AE33" s="10"/>
      <x:c r="AF33" s="10"/>
      <x:c r="AG33" s="10"/>
      <x:c r="AH33" s="10"/>
    </x:row>
    <x:row r="34" spans="1:34" ht="16.5" x14ac:dyDescent="0.25">
      <x:c r="A34" s="10"/>
      <x:c r="B34" s="47" t="s">
        <x:v>181</x:v>
      </x:c>
      <x:c r="C34" s="47"/>
      <x:c r="D34" s="47"/>
      <x:c r="E34" s="48"/>
      <x:c r="F34" s="48"/>
      <x:c r="G34" s="1"/>
      <x:c r="H34" s="1"/>
      <x:c r="AA34" s="10"/>
      <x:c r="AB34" s="10"/>
      <x:c r="AC34" s="10"/>
      <x:c r="AD34" s="10"/>
      <x:c r="AE34" s="10"/>
      <x:c r="AF34" s="10"/>
      <x:c r="AG34" s="10"/>
      <x:c r="AH34" s="10"/>
    </x:row>
    <x:row r="35" spans="1:34" x14ac:dyDescent="0.25">
      <x:c r="A35" s="10"/>
      <x:c r="B35" s="47"/>
      <x:c r="C35" s="47"/>
      <x:c r="D35" s="47"/>
      <x:c r="E35" s="48"/>
      <x:c r="F35" s="48"/>
      <x:c r="G35" s="1"/>
      <x:c r="H35" s="1"/>
      <x:c r="AA35" s="10"/>
      <x:c r="AB35" s="10"/>
      <x:c r="AC35" s="10"/>
      <x:c r="AD35" s="10"/>
      <x:c r="AE35" s="10"/>
      <x:c r="AF35" s="10"/>
      <x:c r="AG35" s="10"/>
      <x:c r="AH35" s="10"/>
    </x:row>
    <x:row r="36" spans="1:34" x14ac:dyDescent="0.25">
      <x:c r="A36" s="92" t="s">
        <x:v>127</x:v>
      </x:c>
      <x:c r="B36" s="151" t="s">
        <x:v>96</x:v>
      </x:c>
      <x:c r="C36" s="151"/>
      <x:c r="D36" s="7"/>
      <x:c r="E36" s="7"/>
      <x:c r="F36" s="7"/>
      <x:c r="G36" s="14"/>
      <x:c r="H36" s="14"/>
      <x:c r="AA36" s="10"/>
      <x:c r="AB36" s="10"/>
      <x:c r="AC36" s="10"/>
      <x:c r="AD36" s="10"/>
      <x:c r="AE36" s="10"/>
      <x:c r="AF36" s="10"/>
      <x:c r="AG36" s="10"/>
      <x:c r="AH36" s="10"/>
    </x:row>
    <x:row r="37" spans="1:34" s="10" customFormat="1" x14ac:dyDescent="0.25">
      <x:c r="A37" s="1"/>
      <x:c r="F37" s="14"/>
      <x:c r="G37" s="14"/>
      <x:c r="H37" s="14"/>
      <x:c r="I37" s="47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spans="1:34" s="10" customFormat="1" x14ac:dyDescent="0.25">
      <x:c r="A38" s="1"/>
      <x:c r="B38" s="108" t="s">
        <x:v>153</x:v>
      </x:c>
      <x:c r="C38" s="109" t="s">
        <x:v>142</x:v>
      </x:c>
      <x:c r="D38" s="109" t="s">
        <x:v>154</x:v>
      </x:c>
      <x:c r="E38" s="109" t="s">
        <x:v>141</x:v>
      </x:c>
      <x:c r="F38" s="109" t="s">
        <x:v>138</x:v>
      </x:c>
      <x:c r="G38" s="14"/>
      <x:c r="H38" s="14"/>
      <x:c r="I38" s="47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spans="1:34" s="10" customFormat="1" x14ac:dyDescent="0.25">
      <x:c r="A39" s="1"/>
      <x:c r="B39" s="108" t="s">
        <x:v>89</x:v>
      </x:c>
      <x:c r="C39" s="109" t="s">
        <x:v>155</x:v>
      </x:c>
      <x:c r="D39" s="109" t="s">
        <x:v>156</x:v>
      </x:c>
      <x:c r="E39" s="109" t="s">
        <x:v>157</x:v>
      </x:c>
      <x:c r="F39" s="109" t="s">
        <x:v>158</x:v>
      </x:c>
      <x:c r="G39" s="14"/>
      <x:c r="H39" s="14"/>
      <x:c r="I39" s="47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spans="1:34" s="10" customFormat="1" x14ac:dyDescent="0.25">
      <x:c r="A40" s="1"/>
      <x:c r="B40" s="7"/>
      <x:c r="C40" s="48"/>
      <x:c r="D40" s="48"/>
      <x:c r="E40" s="48"/>
      <x:c r="F40" s="46"/>
      <x:c r="G40" s="14"/>
      <x:c r="H40" s="14"/>
      <x:c r="I40" s="47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spans="1:34" s="10" customFormat="1" x14ac:dyDescent="0.25">
      <x:c r="A41" s="92" t="s">
        <x:v>128</x:v>
      </x:c>
      <x:c r="B41" s="49" t="s">
        <x:v>6</x:v>
      </x:c>
      <x:c r="C41" s="47"/>
      <x:c r="D41" s="47"/>
      <x:c r="E41" s="48"/>
      <x:c r="F41" s="48"/>
      <x:c r="G41" s="46"/>
      <x:c r="H41" s="46"/>
      <x:c r="I41" s="47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spans="1:34" s="10" customFormat="1" x14ac:dyDescent="0.25">
      <x:c r="A42" s="47"/>
      <x:c r="B42" s="47"/>
      <x:c r="C42" s="47"/>
      <x:c r="D42" s="47"/>
      <x:c r="E42" s="48"/>
      <x:c r="F42" s="48"/>
      <x:c r="G42" s="48"/>
      <x:c r="H42" s="48"/>
      <x:c r="I42" s="47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spans="1:34" s="10" customFormat="1" ht="20.149999999999999" customHeight="1" x14ac:dyDescent="0.25">
      <x:c r="A43" s="50" t="s">
        <x:v>7</x:v>
      </x:c>
      <x:c r="B43" s="47" t="s">
        <x:v>159</x:v>
      </x:c>
      <x:c r="C43" s="47"/>
      <x:c r="D43" s="47"/>
      <x:c r="E43" s="47"/>
      <x:c r="F43" s="47"/>
      <x:c r="G43" s="46"/>
      <x:c r="H43" s="46"/>
      <x:c r="I43" s="47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spans="1:34" s="10" customFormat="1" ht="20.149999999999999" customHeight="1" x14ac:dyDescent="0.25">
      <x:c r="A44" s="50" t="s">
        <x:v>44</x:v>
      </x:c>
      <x:c r="B44" s="47" t="s">
        <x:v>160</x:v>
      </x:c>
      <x:c r="C44" s="47"/>
      <x:c r="D44" s="47"/>
      <x:c r="E44" s="47"/>
      <x:c r="F44" s="47"/>
      <x:c r="G44" s="48"/>
      <x:c r="H44" s="48"/>
      <x:c r="I44" s="47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spans="1:34" s="10" customFormat="1" ht="20.149999999999999" customHeight="1" x14ac:dyDescent="0.25">
      <x:c r="A45" s="50" t="s">
        <x:v>8</x:v>
      </x:c>
      <x:c r="B45" s="47" t="s">
        <x:v>161</x:v>
      </x:c>
      <x:c r="C45" s="47"/>
      <x:c r="D45" s="47"/>
      <x:c r="E45" s="47"/>
      <x:c r="F45" s="47"/>
      <x:c r="G45" s="48"/>
      <x:c r="H45" s="48"/>
      <x:c r="I45" s="47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spans="1:34" s="10" customFormat="1" ht="20.149999999999999" customHeight="1" x14ac:dyDescent="0.25">
      <x:c r="A46" s="50" t="s">
        <x:v>9</x:v>
      </x:c>
      <x:c r="B46" s="47" t="s">
        <x:v>162</x:v>
      </x:c>
      <x:c r="C46" s="47"/>
      <x:c r="D46" s="47"/>
      <x:c r="E46" s="47"/>
      <x:c r="F46" s="47"/>
      <x:c r="G46" s="48"/>
      <x:c r="H46" s="48"/>
      <x:c r="I46" s="47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spans="1:34" s="10" customFormat="1" ht="20.149999999999999" customHeight="1" x14ac:dyDescent="0.25">
      <x:c r="A47" s="50" t="s">
        <x:v>10</x:v>
      </x:c>
      <x:c r="B47" s="47" t="s">
        <x:v>163</x:v>
      </x:c>
      <x:c r="C47" s="47"/>
      <x:c r="D47" s="47"/>
      <x:c r="E47" s="47"/>
      <x:c r="F47" s="47"/>
      <x:c r="G47" s="48"/>
      <x:c r="H47" s="48"/>
      <x:c r="I47" s="47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spans="1:34" s="10" customFormat="1" ht="20.149999999999999" customHeight="1" x14ac:dyDescent="0.25">
      <x:c r="A48" s="50" t="s">
        <x:v>11</x:v>
      </x:c>
      <x:c r="B48" s="47" t="s">
        <x:v>164</x:v>
      </x:c>
      <x:c r="C48" s="47"/>
      <x:c r="D48" s="47"/>
      <x:c r="E48" s="47"/>
      <x:c r="F48" s="47"/>
      <x:c r="G48" s="48"/>
      <x:c r="H48" s="48"/>
      <x:c r="I48" s="47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spans="1:26" s="10" customFormat="1" ht="20.149999999999999" customHeight="1" x14ac:dyDescent="0.25">
      <x:c r="A49" s="50" t="s">
        <x:v>165</x:v>
      </x:c>
      <x:c r="B49" s="47" t="s">
        <x:v>166</x:v>
      </x:c>
      <x:c r="C49" s="47"/>
      <x:c r="D49" s="47"/>
      <x:c r="E49" s="47"/>
      <x:c r="F49" s="47"/>
      <x:c r="G49" s="48"/>
      <x:c r="H49" s="48"/>
      <x:c r="I49" s="47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 spans="1:26" s="10" customFormat="1" ht="20.149999999999999" customHeight="1" x14ac:dyDescent="0.25">
      <x:c r="A50" s="50" t="s">
        <x:v>167</x:v>
      </x:c>
      <x:c r="B50" s="47" t="s">
        <x:v>168</x:v>
      </x:c>
      <x:c r="C50" s="47"/>
      <x:c r="D50" s="47"/>
      <x:c r="E50" s="47"/>
      <x:c r="F50" s="47"/>
      <x:c r="G50" s="48"/>
      <x:c r="H50" s="48"/>
      <x:c r="I50" s="47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 spans="1:26" s="10" customFormat="1" ht="20.149999999999999" customHeight="1" x14ac:dyDescent="0.25">
      <x:c r="A51" s="50" t="s">
        <x:v>169</x:v>
      </x:c>
      <x:c r="B51" s="47" t="s">
        <x:v>170</x:v>
      </x:c>
      <x:c r="C51" s="47"/>
      <x:c r="D51" s="47"/>
      <x:c r="E51" s="47"/>
      <x:c r="F51" s="47"/>
      <x:c r="G51" s="48"/>
      <x:c r="H51" s="48"/>
      <x:c r="I51" s="47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 spans="1:26" s="10" customFormat="1" ht="20.149999999999999" customHeight="1" x14ac:dyDescent="0.25">
      <x:c r="A52" s="50"/>
      <x:c r="B52" s="47"/>
      <x:c r="C52" s="47"/>
      <x:c r="D52" s="47"/>
      <x:c r="E52" s="47"/>
      <x:c r="F52" s="47"/>
      <x:c r="G52" s="48"/>
      <x:c r="H52" s="48"/>
      <x:c r="I52" s="47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 spans="1:26" s="10" customFormat="1" x14ac:dyDescent="0.25">
      <x:c r="A53" s="92" t="s">
        <x:v>101</x:v>
      </x:c>
      <x:c r="B53" s="49" t="s">
        <x:v>129</x:v>
      </x:c>
      <x:c r="C53" s="47"/>
      <x:c r="D53" s="47"/>
      <x:c r="E53" s="47"/>
      <x:c r="F53" s="48"/>
      <x:c r="G53" s="48"/>
      <x:c r="H53" s="48"/>
      <x:c r="I53" s="47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 spans="1:26" s="10" customFormat="1" x14ac:dyDescent="0.25">
      <x:c r="A54" s="47"/>
      <x:c r="B54" s="47"/>
      <x:c r="C54" s="47"/>
      <x:c r="D54" s="47"/>
      <x:c r="E54" s="47"/>
      <x:c r="F54" s="48"/>
      <x:c r="G54" s="48"/>
      <x:c r="H54" s="48"/>
      <x:c r="I54" s="47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 spans="1:26" s="10" customFormat="1" x14ac:dyDescent="0.25">
      <x:c r="A55" s="50" t="s">
        <x:v>53</x:v>
      </x:c>
      <x:c r="B55" s="51" t="s">
        <x:v>102</x:v>
      </x:c>
      <x:c r="C55" s="47"/>
      <x:c r="D55" s="47"/>
      <x:c r="E55" s="47"/>
      <x:c r="F55" s="48"/>
      <x:c r="G55" s="48"/>
      <x:c r="H55" s="48"/>
      <x:c r="I55" s="47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 spans="1:26" s="10" customFormat="1" x14ac:dyDescent="0.25">
      <x:c r="A56" s="50" t="s">
        <x:v>69</x:v>
      </x:c>
      <x:c r="B56" s="51" t="s">
        <x:v>45</x:v>
      </x:c>
      <x:c r="C56" s="47"/>
      <x:c r="D56" s="47"/>
      <x:c r="E56" s="47"/>
      <x:c r="F56" s="48"/>
      <x:c r="G56" s="48"/>
      <x:c r="H56" s="48"/>
      <x:c r="I56" s="47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 spans="1:26" s="10" customFormat="1" x14ac:dyDescent="0.25">
      <x:c r="A57" s="50"/>
      <x:c r="B57" s="51" t="s">
        <x:v>130</x:v>
      </x:c>
      <x:c r="C57" s="47"/>
      <x:c r="D57" s="47"/>
      <x:c r="E57" s="47"/>
      <x:c r="F57" s="48"/>
      <x:c r="G57" s="48"/>
      <x:c r="H57" s="48"/>
      <x:c r="I57" s="4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 spans="1:26" s="10" customFormat="1" ht="20.149999999999999" customHeight="1" x14ac:dyDescent="0.25">
      <x:c r="A58" s="50"/>
      <x:c r="B58" s="51" t="s">
        <x:v>131</x:v>
      </x:c>
      <x:c r="C58" s="47"/>
      <x:c r="D58" s="47"/>
      <x:c r="E58" s="47"/>
      <x:c r="F58" s="48"/>
      <x:c r="G58" s="48"/>
      <x:c r="H58" s="48"/>
      <x:c r="I58" s="47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 spans="1:26" s="10" customFormat="1" ht="20.149999999999999" customHeight="1" x14ac:dyDescent="0.25">
      <x:c r="A59" s="50"/>
      <x:c r="B59" s="51" t="s">
        <x:v>46</x:v>
      </x:c>
      <x:c r="C59" s="47"/>
      <x:c r="D59" s="47"/>
      <x:c r="E59" s="47"/>
      <x:c r="F59" s="48"/>
      <x:c r="G59" s="48"/>
      <x:c r="H59" s="48"/>
      <x:c r="I59" s="47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 spans="1:26" s="10" customFormat="1" ht="20.149999999999999" customHeight="1" x14ac:dyDescent="0.25">
      <x:c r="A60" s="50"/>
      <x:c r="B60" s="51" t="s">
        <x:v>47</x:v>
      </x:c>
      <x:c r="C60" s="47"/>
      <x:c r="D60" s="47"/>
      <x:c r="E60" s="47"/>
      <x:c r="F60" s="48"/>
      <x:c r="G60" s="48"/>
      <x:c r="H60" s="48"/>
      <x:c r="I60" s="47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 spans="1:26" s="10" customFormat="1" ht="20.149999999999999" customHeight="1" x14ac:dyDescent="0.25">
      <x:c r="A61" s="50"/>
      <x:c r="B61" s="51" t="s">
        <x:v>48</x:v>
      </x:c>
      <x:c r="C61" s="47"/>
      <x:c r="D61" s="47"/>
      <x:c r="E61" s="47"/>
      <x:c r="F61" s="48"/>
      <x:c r="G61" s="48"/>
      <x:c r="H61" s="48"/>
      <x:c r="I61" s="47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 spans="1:26" s="10" customFormat="1" ht="20.149999999999999" customHeight="1" x14ac:dyDescent="0.25">
      <x:c r="A62" s="50"/>
      <x:c r="B62" s="51" t="s">
        <x:v>49</x:v>
      </x:c>
      <x:c r="C62" s="47"/>
      <x:c r="D62" s="47"/>
      <x:c r="E62" s="47"/>
      <x:c r="F62" s="48"/>
      <x:c r="G62" s="48"/>
      <x:c r="H62" s="48"/>
      <x:c r="I62" s="47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 spans="1:26" s="10" customFormat="1" ht="20.149999999999999" customHeight="1" x14ac:dyDescent="0.25">
      <x:c r="A63" s="50" t="s">
        <x:v>54</x:v>
      </x:c>
      <x:c r="B63" s="51" t="s">
        <x:v>103</x:v>
      </x:c>
      <x:c r="C63" s="47"/>
      <x:c r="D63" s="47"/>
      <x:c r="E63" s="47"/>
      <x:c r="F63" s="48"/>
      <x:c r="G63" s="48"/>
      <x:c r="H63" s="48"/>
      <x:c r="I63" s="47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 spans="1:26" s="10" customFormat="1" ht="20.149999999999999" customHeight="1" x14ac:dyDescent="0.25">
      <x:c r="B64" s="51" t="s">
        <x:v>68</x:v>
      </x:c>
      <x:c r="C64" s="47"/>
      <x:c r="D64" s="47"/>
      <x:c r="E64" s="47"/>
      <x:c r="F64" s="47"/>
      <x:c r="G64" s="48"/>
      <x:c r="H64" s="48"/>
      <x:c r="I64" s="47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 spans="1:26" s="10" customFormat="1" ht="20.149999999999999" customHeight="1" x14ac:dyDescent="0.25">
      <x:c r="B65" s="51" t="s">
        <x:v>104</x:v>
      </x:c>
      <x:c r="C65" s="47"/>
      <x:c r="D65" s="47"/>
      <x:c r="E65" s="47"/>
      <x:c r="F65" s="47"/>
      <x:c r="G65" s="48"/>
      <x:c r="H65" s="48"/>
      <x:c r="I65" s="47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 spans="1:26" s="10" customFormat="1" ht="20.149999999999999" customHeight="1" x14ac:dyDescent="0.25">
      <x:c r="B66" s="51" t="s">
        <x:v>40</x:v>
      </x:c>
      <x:c r="C66" s="47"/>
      <x:c r="D66" s="47"/>
      <x:c r="E66" s="47"/>
      <x:c r="F66" s="47"/>
      <x:c r="G66" s="48"/>
      <x:c r="H66" s="48"/>
      <x:c r="I66" s="47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 spans="1:26" s="10" customFormat="1" ht="20.149999999999999" customHeight="1" x14ac:dyDescent="0.25">
      <x:c r="B67" s="51" t="s">
        <x:v>41</x:v>
      </x:c>
      <x:c r="C67" s="47"/>
      <x:c r="D67" s="47"/>
      <x:c r="E67" s="47"/>
      <x:c r="F67" s="47"/>
      <x:c r="G67" s="47"/>
      <x:c r="H67" s="47"/>
      <x:c r="I67" s="47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 spans="1:26" s="10" customFormat="1" ht="20.149999999999999" customHeight="1" x14ac:dyDescent="0.25">
      <x:c r="B68" s="51" t="s">
        <x:v>67</x:v>
      </x:c>
      <x:c r="C68" s="47"/>
      <x:c r="D68" s="47"/>
      <x:c r="E68" s="47"/>
      <x:c r="F68" s="47"/>
      <x:c r="G68" s="47"/>
      <x:c r="H68" s="47"/>
      <x:c r="I68" s="47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 spans="1:26" s="10" customFormat="1" ht="20.149999999999999" customHeight="1" x14ac:dyDescent="0.25">
      <x:c r="B69" s="51" t="s">
        <x:v>42</x:v>
      </x:c>
      <x:c r="C69" s="47"/>
      <x:c r="D69" s="47"/>
      <x:c r="E69" s="47"/>
      <x:c r="F69" s="47"/>
      <x:c r="G69" s="47"/>
      <x:c r="H69" s="47"/>
      <x:c r="I69" s="47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 spans="1:26" s="10" customFormat="1" ht="20.149999999999999" customHeight="1" x14ac:dyDescent="0.35">
      <x:c r="B70" s="82"/>
      <x:c r="C70" s="82"/>
      <x:c r="D70" s="82"/>
      <x:c r="E70" s="82"/>
      <x:c r="F70" s="82"/>
      <x:c r="G70" s="47"/>
      <x:c r="H70" s="47"/>
      <x:c r="I70" s="47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 spans="1:26" s="10" customFormat="1" ht="20.149999999999999" customHeight="1" x14ac:dyDescent="0.25">
      <x:c r="A71" s="92" t="s">
        <x:v>95</x:v>
      </x:c>
      <x:c r="B71" s="49" t="s">
        <x:v>132</x:v>
      </x:c>
      <x:c r="C71" s="47"/>
      <x:c r="D71" s="47"/>
      <x:c r="E71" s="47"/>
      <x:c r="F71" s="47"/>
      <x:c r="G71" s="47"/>
      <x:c r="H71" s="47"/>
      <x:c r="I71" s="47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 spans="1:26" s="10" customFormat="1" ht="20.149999999999999" customHeight="1" x14ac:dyDescent="0.25">
      <x:c r="A72" s="47"/>
      <x:c r="B72" s="47"/>
      <x:c r="C72" s="47"/>
      <x:c r="D72" s="47"/>
      <x:c r="E72" s="47"/>
      <x:c r="F72" s="47"/>
      <x:c r="G72" s="47"/>
      <x:c r="H72" s="47"/>
      <x:c r="I72" s="47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 spans="1:26" s="10" customFormat="1" ht="20.149999999999999" customHeight="1" x14ac:dyDescent="0.25">
      <x:c r="A73" s="52"/>
      <x:c r="B73" s="83" t="s">
        <x:v>180</x:v>
      </x:c>
      <x:c r="C73" s="52"/>
      <x:c r="D73" s="52"/>
      <x:c r="E73" s="52"/>
      <x:c r="F73" s="52"/>
      <x:c r="G73" s="52"/>
      <x:c r="H73" s="52"/>
      <x:c r="I73" s="47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 spans="1:26" s="4" customFormat="1" x14ac:dyDescent="0.25"/>
    <x:row r="75" spans="1:26" s="4" customFormat="1" x14ac:dyDescent="0.25">
      <x:c r="A75" s="16"/>
    </x:row>
    <x:row r="76" spans="1:26" s="4" customFormat="1" x14ac:dyDescent="0.25">
      <x:c r="A76" s="16"/>
    </x:row>
    <x:row r="77" spans="1:26" s="4" customFormat="1" x14ac:dyDescent="0.35">
      <x:c r="A77" s="17"/>
    </x:row>
    <x:row r="78" spans="1:26" s="4" customFormat="1" x14ac:dyDescent="0.25"/>
    <x:row r="79" spans="1:26" s="4" customFormat="1" x14ac:dyDescent="0.25"/>
    <x:row r="80" spans="1:26" s="4" customFormat="1" x14ac:dyDescent="0.25"/>
    <x:row r="81" spans="5:5" s="4" customFormat="1" x14ac:dyDescent="0.25"/>
    <x:row r="82" spans="5:5" s="4" customFormat="1" x14ac:dyDescent="0.25">
      <x:c r="E82" s="15"/>
    </x:row>
    <x:row r="83" spans="5:5" s="4" customFormat="1" x14ac:dyDescent="0.25">
      <x:c r="E83" s="15"/>
    </x:row>
    <x:row r="84" spans="5:5" s="4" customFormat="1" x14ac:dyDescent="0.25"/>
    <x:row r="85" spans="5:5" s="4" customFormat="1" x14ac:dyDescent="0.25"/>
    <x:row r="86" spans="5:5" s="4" customFormat="1" x14ac:dyDescent="0.25"/>
    <x:row r="87" spans="5:5" s="4" customFormat="1" x14ac:dyDescent="0.25"/>
    <x:row r="88" spans="5:5" s="4" customFormat="1" x14ac:dyDescent="0.25"/>
    <x:row r="89" spans="5:5" s="4" customFormat="1" x14ac:dyDescent="0.25"/>
    <x:row r="90" spans="5:5" s="4" customFormat="1" x14ac:dyDescent="0.25"/>
    <x:row r="91" spans="5:5" s="4" customFormat="1" x14ac:dyDescent="0.25"/>
    <x:row r="92" spans="5:5" s="4" customFormat="1" x14ac:dyDescent="0.25"/>
    <x:row r="93" spans="5:5" s="4" customFormat="1" x14ac:dyDescent="0.25"/>
    <x:row r="94" spans="5:5" s="4" customFormat="1" x14ac:dyDescent="0.25"/>
    <x:row r="95" spans="5:5" s="4" customFormat="1" x14ac:dyDescent="0.25"/>
    <x:row r="96" spans="5:5" s="4" customFormat="1" x14ac:dyDescent="0.25"/>
    <x:row r="97" s="4" customFormat="1" x14ac:dyDescent="0.25"/>
    <x:row r="98" s="4" customFormat="1" x14ac:dyDescent="0.25"/>
    <x:row r="99" s="4" customFormat="1" x14ac:dyDescent="0.25"/>
    <x:row r="100" s="4" customFormat="1" x14ac:dyDescent="0.25"/>
    <x:row r="101" s="4" customFormat="1" x14ac:dyDescent="0.25"/>
    <x:row r="102" s="4" customFormat="1" x14ac:dyDescent="0.25"/>
    <x:row r="103" s="4" customFormat="1" x14ac:dyDescent="0.25"/>
    <x:row r="104" s="4" customFormat="1" x14ac:dyDescent="0.25"/>
    <x:row r="105" s="4" customFormat="1" x14ac:dyDescent="0.25"/>
    <x:row r="106" s="4" customFormat="1" x14ac:dyDescent="0.25"/>
    <x:row r="107" s="4" customFormat="1" x14ac:dyDescent="0.25"/>
    <x:row r="108" s="4" customFormat="1" x14ac:dyDescent="0.25"/>
    <x:row r="109" s="4" customFormat="1" x14ac:dyDescent="0.25"/>
    <x:row r="110" s="4" customFormat="1" x14ac:dyDescent="0.25"/>
    <x:row r="111" s="4" customFormat="1" x14ac:dyDescent="0.25"/>
    <x:row r="112" s="4" customFormat="1" x14ac:dyDescent="0.25"/>
    <x:row r="113" s="4" customFormat="1" x14ac:dyDescent="0.25"/>
    <x:row r="114" s="4" customFormat="1" x14ac:dyDescent="0.25"/>
    <x:row r="115" s="4" customFormat="1" x14ac:dyDescent="0.25"/>
    <x:row r="116" s="4" customFormat="1" x14ac:dyDescent="0.25"/>
    <x:row r="117" s="4" customFormat="1" x14ac:dyDescent="0.25"/>
    <x:row r="118" s="4" customFormat="1" x14ac:dyDescent="0.25"/>
    <x:row r="119" s="4" customFormat="1" x14ac:dyDescent="0.25"/>
    <x:row r="120" s="4" customFormat="1" x14ac:dyDescent="0.25"/>
    <x:row r="121" s="4" customFormat="1" x14ac:dyDescent="0.25"/>
    <x:row r="122" s="4" customFormat="1" x14ac:dyDescent="0.25"/>
    <x:row r="123" s="4" customFormat="1" x14ac:dyDescent="0.25"/>
    <x:row r="124" s="4" customFormat="1" x14ac:dyDescent="0.25"/>
    <x:row r="125" s="4" customFormat="1" x14ac:dyDescent="0.25"/>
    <x:row r="126" s="4" customFormat="1" x14ac:dyDescent="0.25"/>
    <x:row r="127" s="4" customFormat="1" x14ac:dyDescent="0.25"/>
    <x:row r="128" s="4" customFormat="1" x14ac:dyDescent="0.25"/>
    <x:row r="129" spans="9:9" s="4" customFormat="1" x14ac:dyDescent="0.25"/>
    <x:row r="130" spans="9:9" s="4" customFormat="1" x14ac:dyDescent="0.25"/>
    <x:row r="131" spans="9:9" s="4" customFormat="1" x14ac:dyDescent="0.25"/>
    <x:row r="132" spans="9:9" s="4" customFormat="1" x14ac:dyDescent="0.25"/>
    <x:row r="133" spans="9:9" s="4" customFormat="1" x14ac:dyDescent="0.25"/>
    <x:row r="134" spans="9:9" s="4" customFormat="1" x14ac:dyDescent="0.25"/>
    <x:row r="135" spans="9:9" s="4" customFormat="1" x14ac:dyDescent="0.25"/>
    <x:row r="136" spans="9:9" s="4" customFormat="1" x14ac:dyDescent="0.25"/>
    <x:row r="137" spans="9:9" s="4" customFormat="1" x14ac:dyDescent="0.25"/>
    <x:row r="138" spans="9:9" s="4" customFormat="1" x14ac:dyDescent="0.25"/>
    <x:row r="139" spans="9:9" s="4" customFormat="1" x14ac:dyDescent="0.25"/>
    <x:row r="140" spans="9:9" s="4" customFormat="1" x14ac:dyDescent="0.25"/>
    <x:row r="141" spans="9:9" s="4" customFormat="1" x14ac:dyDescent="0.25"/>
    <x:row r="142" spans="9:9" s="4" customFormat="1" x14ac:dyDescent="0.25"/>
    <x:row r="143" spans="9:9" s="4" customFormat="1" x14ac:dyDescent="0.25">
      <x:c r="I143" s="47"/>
    </x:row>
    <x:row r="144" spans="9:9" s="4" customFormat="1" x14ac:dyDescent="0.25">
      <x:c r="I144" s="47"/>
    </x:row>
    <x:row r="145" spans="9:9" s="4" customFormat="1" x14ac:dyDescent="0.25">
      <x:c r="I145" s="47"/>
    </x:row>
    <x:row r="146" spans="9:9" s="4" customFormat="1" x14ac:dyDescent="0.25">
      <x:c r="I146" s="47"/>
    </x:row>
    <x:row r="147" spans="9:9" s="4" customFormat="1" x14ac:dyDescent="0.25">
      <x:c r="I147" s="47"/>
    </x:row>
    <x:row r="148" spans="9:9" s="4" customFormat="1" x14ac:dyDescent="0.25">
      <x:c r="I148" s="47"/>
    </x:row>
    <x:row r="149" spans="9:9" s="4" customFormat="1" x14ac:dyDescent="0.25">
      <x:c r="I149" s="47"/>
    </x:row>
    <x:row r="150" spans="9:9" s="4" customFormat="1" x14ac:dyDescent="0.25">
      <x:c r="I150" s="47"/>
    </x:row>
    <x:row r="151" spans="9:9" s="4" customFormat="1" x14ac:dyDescent="0.25">
      <x:c r="I151" s="47"/>
    </x:row>
    <x:row r="152" spans="9:9" s="4" customFormat="1" x14ac:dyDescent="0.25">
      <x:c r="I152" s="47"/>
    </x:row>
    <x:row r="153" spans="9:9" s="4" customFormat="1" x14ac:dyDescent="0.25">
      <x:c r="I153" s="47"/>
    </x:row>
    <x:row r="154" spans="9:9" s="4" customFormat="1" x14ac:dyDescent="0.25">
      <x:c r="I154" s="47"/>
    </x:row>
    <x:row r="155" spans="9:9" s="4" customFormat="1" x14ac:dyDescent="0.25">
      <x:c r="I155" s="47"/>
    </x:row>
    <x:row r="156" spans="9:9" s="4" customFormat="1" x14ac:dyDescent="0.25">
      <x:c r="I156" s="47"/>
    </x:row>
    <x:row r="157" spans="9:9" s="4" customFormat="1" x14ac:dyDescent="0.25">
      <x:c r="I157" s="47"/>
    </x:row>
    <x:row r="158" spans="9:9" s="4" customFormat="1" x14ac:dyDescent="0.25">
      <x:c r="I158" s="47"/>
    </x:row>
    <x:row r="159" spans="9:9" s="4" customFormat="1" x14ac:dyDescent="0.25">
      <x:c r="I159" s="47"/>
    </x:row>
    <x:row r="160" spans="9:9" s="4" customFormat="1" x14ac:dyDescent="0.25">
      <x:c r="I160" s="47"/>
    </x:row>
    <x:row r="161" spans="8:9" s="4" customFormat="1" x14ac:dyDescent="0.25">
      <x:c r="I161" s="47"/>
    </x:row>
    <x:row r="162" spans="8:9" s="4" customFormat="1" x14ac:dyDescent="0.25">
      <x:c r="I162" s="47"/>
    </x:row>
    <x:row r="163" spans="8:9" s="4" customFormat="1" x14ac:dyDescent="0.25">
      <x:c r="I163" s="47"/>
    </x:row>
    <x:row r="164" spans="8:9" s="4" customFormat="1" x14ac:dyDescent="0.25">
      <x:c r="I164" s="47"/>
    </x:row>
    <x:row r="165" spans="8:9" s="4" customFormat="1" x14ac:dyDescent="0.25">
      <x:c r="I165" s="47"/>
    </x:row>
    <x:row r="166" spans="8:9" s="4" customFormat="1" x14ac:dyDescent="0.25">
      <x:c r="I166" s="47"/>
    </x:row>
    <x:row r="167" spans="8:9" s="4" customFormat="1" x14ac:dyDescent="0.25">
      <x:c r="I167" s="47"/>
    </x:row>
    <x:row r="168" spans="8:9" s="4" customFormat="1" x14ac:dyDescent="0.25">
      <x:c r="I168" s="47"/>
    </x:row>
    <x:row r="169" spans="8:9" s="4" customFormat="1" x14ac:dyDescent="0.25">
      <x:c r="I169" s="47"/>
    </x:row>
    <x:row r="170" spans="8:9" s="4" customFormat="1" x14ac:dyDescent="0.25">
      <x:c r="I170" s="47"/>
    </x:row>
    <x:row r="171" spans="8:9" s="4" customFormat="1" x14ac:dyDescent="0.25">
      <x:c r="I171" s="47"/>
    </x:row>
    <x:row r="172" spans="8:9" s="4" customFormat="1" x14ac:dyDescent="0.25">
      <x:c r="I172" s="47"/>
    </x:row>
    <x:row r="173" spans="8:9" s="4" customFormat="1" x14ac:dyDescent="0.25">
      <x:c r="I173" s="47"/>
    </x:row>
    <x:row r="174" spans="8:9" s="4" customFormat="1" x14ac:dyDescent="0.25">
      <x:c r="I174" s="47"/>
    </x:row>
    <x:row r="175" spans="8:9" s="4" customFormat="1" x14ac:dyDescent="0.25">
      <x:c r="I175" s="47"/>
    </x:row>
    <x:row r="176" spans="8:9" s="4" customFormat="1" x14ac:dyDescent="0.25">
      <x:c r="H176" s="10"/>
      <x:c r="I176" s="47"/>
    </x:row>
    <x:row r="177" spans="8:9" s="4" customFormat="1" x14ac:dyDescent="0.25">
      <x:c r="H177" s="10"/>
      <x:c r="I177" s="47"/>
    </x:row>
    <x:row r="178" spans="8:9" s="4" customFormat="1" x14ac:dyDescent="0.25">
      <x:c r="H178" s="10"/>
      <x:c r="I178" s="47"/>
    </x:row>
    <x:row r="179" spans="8:9" s="4" customFormat="1" x14ac:dyDescent="0.25">
      <x:c r="H179" s="10"/>
      <x:c r="I179" s="47"/>
    </x:row>
    <x:row r="180" spans="8:9" s="4" customFormat="1" x14ac:dyDescent="0.25">
      <x:c r="H180" s="10"/>
      <x:c r="I180" s="47"/>
    </x:row>
    <x:row r="181" spans="8:9" s="4" customFormat="1" x14ac:dyDescent="0.25">
      <x:c r="H181" s="10"/>
      <x:c r="I181" s="47"/>
    </x:row>
    <x:row r="182" spans="8:9" s="4" customFormat="1" x14ac:dyDescent="0.25">
      <x:c r="H182" s="10"/>
      <x:c r="I182" s="47"/>
    </x:row>
    <x:row r="183" spans="8:9" s="4" customFormat="1" x14ac:dyDescent="0.25">
      <x:c r="H183" s="10"/>
      <x:c r="I183" s="47"/>
    </x:row>
    <x:row r="184" spans="8:9" s="4" customFormat="1" x14ac:dyDescent="0.25">
      <x:c r="H184" s="10"/>
      <x:c r="I184" s="47"/>
    </x:row>
    <x:row r="185" spans="8:9" s="4" customFormat="1" x14ac:dyDescent="0.25">
      <x:c r="H185" s="10"/>
      <x:c r="I185" s="47"/>
    </x:row>
  </x:sheetData>
  <x:mergeCells count="2">
    <x:mergeCell ref="B18:C18"/>
    <x:mergeCell ref="B36:C36"/>
  </x:mergeCells>
  <x:phoneticPr fontId="5" type="noConversion"/>
  <x:pageMargins left="0.7" right="0.7" top="0.75" bottom="0.75" header="0.3" footer="0.3"/>
  <x:pageSetup paperSize="9" orientation="portrait" horizontalDpi="300" verticalDpi="300" r:id="rId1"/>
  <x:picture r:id="rId2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00000000-0001-0000-0300-000000000000}">
  <x:sheetPr codeName="Sheet4"/>
  <x:dimension ref="A1:AU202"/>
  <x:sheetViews>
    <x:sheetView topLeftCell="A55" zoomScale="55" zoomScaleNormal="55" workbookViewId="0">
      <x:selection activeCell="O81" sqref="O81:R82"/>
    </x:sheetView>
  </x:sheetViews>
  <x:sheetFormatPr defaultColWidth="9" defaultRowHeight="20.149999999999999" customHeight="1" x14ac:dyDescent="0.25"/>
  <x:cols>
    <x:col min="1" max="1" width="24.08984375" style="80" customWidth="1"/>
    <x:col min="2" max="2" width="21.7265625" style="80" customWidth="1"/>
    <x:col min="3" max="13" width="14.6328125" style="80" customWidth="1"/>
    <x:col min="14" max="14" width="22.36328125" style="80" customWidth="1"/>
    <x:col min="15" max="15" width="17.90625" style="80" customWidth="1"/>
    <x:col min="16" max="25" width="14.6328125" style="80" customWidth="1"/>
    <x:col min="26" max="26" width="9" style="5"/>
    <x:col min="27" max="30" width="9" style="10"/>
    <x:col min="31" max="47" width="9" style="4"/>
    <x:col min="48" max="16384" width="9" style="5"/>
  </x:cols>
  <x:sheetData>
    <x:row r="1" spans="1:47" ht="20.149999999999999" customHeight="1" x14ac:dyDescent="0.25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10"/>
    </x:row>
    <x:row r="2" spans="1:47" s="10" customFormat="1" ht="20.149999999999999" customHeight="1" x14ac:dyDescent="0.25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</x:row>
    <x:row r="3" spans="1:47" s="10" customFormat="1" ht="20.149999999999999" customHeight="1" x14ac:dyDescent="0.25">
      <x:c r="A3" s="54" t="s">
        <x:v>56</x:v>
      </x:c>
      <x:c r="B3" s="55">
        <x:v>1</x:v>
      </x:c>
      <x:c r="C3" s="55">
        <x:v>2</x:v>
      </x:c>
      <x:c r="D3" s="55">
        <x:v>3</x:v>
      </x:c>
      <x:c r="E3" s="55">
        <x:v>4</x:v>
      </x:c>
      <x:c r="F3" s="55">
        <x:v>5</x:v>
      </x:c>
      <x:c r="G3" s="55">
        <x:v>6</x:v>
      </x:c>
      <x:c r="H3" s="55">
        <x:v>7</x:v>
      </x:c>
      <x:c r="I3" s="55">
        <x:v>8</x:v>
      </x:c>
      <x:c r="J3" s="55">
        <x:v>9</x:v>
      </x:c>
      <x:c r="K3" s="55">
        <x:v>10</x:v>
      </x:c>
      <x:c r="L3" s="55">
        <x:v>11</x:v>
      </x:c>
      <x:c r="M3" s="55">
        <x:v>12</x:v>
      </x:c>
      <x:c r="N3" s="55">
        <x:v>13</x:v>
      </x:c>
      <x:c r="O3" s="55">
        <x:v>14</x:v>
      </x:c>
      <x:c r="P3" s="55">
        <x:v>15</x:v>
      </x:c>
      <x:c r="Q3" s="55">
        <x:v>16</x:v>
      </x:c>
      <x:c r="R3" s="55">
        <x:v>17</x:v>
      </x:c>
      <x:c r="S3" s="55">
        <x:v>18</x:v>
      </x:c>
      <x:c r="T3" s="55">
        <x:v>19</x:v>
      </x:c>
      <x:c r="U3" s="55">
        <x:v>20</x:v>
      </x:c>
      <x:c r="V3" s="55">
        <x:v>21</x:v>
      </x:c>
      <x:c r="W3" s="55">
        <x:v>22</x:v>
      </x:c>
      <x:c r="X3" s="55">
        <x:v>23</x:v>
      </x:c>
      <x:c r="Y3" s="55">
        <x:v>24</x:v>
      </x:c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</x:row>
    <x:row r="4" spans="1:47" s="10" customFormat="1" ht="20.149999999999999" customHeight="1" x14ac:dyDescent="0.25">
      <x:c r="A4" s="56" t="s">
        <x:v>12</x:v>
      </x:c>
      <x:c r="B4" s="55" t="s">
        <x:v>57</x:v>
      </x:c>
      <x:c r="C4" s="55" t="s">
        <x:v>58</x:v>
      </x:c>
      <x:c r="D4" s="155" t="s">
        <x:v>59</x:v>
      </x:c>
      <x:c r="E4" s="156"/>
      <x:c r="F4" s="156"/>
      <x:c r="G4" s="156"/>
      <x:c r="H4" s="156"/>
      <x:c r="I4" s="156"/>
      <x:c r="J4" s="156"/>
      <x:c r="K4" s="156"/>
      <x:c r="L4" s="157"/>
      <x:c r="M4" s="55" t="s">
        <x:v>60</x:v>
      </x:c>
      <x:c r="N4" s="55"/>
      <x:c r="O4" s="55" t="s">
        <x:v>182</x:v>
      </x:c>
      <x:c r="P4" s="155" t="s">
        <x:v>59</x:v>
      </x:c>
      <x:c r="Q4" s="156"/>
      <x:c r="R4" s="156"/>
      <x:c r="S4" s="156"/>
      <x:c r="T4" s="156"/>
      <x:c r="U4" s="156"/>
      <x:c r="V4" s="156"/>
      <x:c r="W4" s="156"/>
      <x:c r="X4" s="157"/>
      <x:c r="Y4" s="55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</x:row>
    <x:row r="5" spans="1:47" s="10" customFormat="1" ht="20.149999999999999" customHeight="1" x14ac:dyDescent="0.25">
      <x:c r="A5" s="56" t="s">
        <x:v>13</x:v>
      </x:c>
      <x:c r="B5" s="55" t="s">
        <x:v>57</x:v>
      </x:c>
      <x:c r="C5" s="55"/>
      <x:c r="D5" s="158"/>
      <x:c r="E5" s="159"/>
      <x:c r="F5" s="159"/>
      <x:c r="G5" s="159"/>
      <x:c r="H5" s="159"/>
      <x:c r="I5" s="159"/>
      <x:c r="J5" s="159"/>
      <x:c r="K5" s="159"/>
      <x:c r="L5" s="160"/>
      <x:c r="M5" s="55" t="s">
        <x:v>60</x:v>
      </x:c>
      <x:c r="N5" s="55"/>
      <x:c r="O5" s="55"/>
      <x:c r="P5" s="158"/>
      <x:c r="Q5" s="159"/>
      <x:c r="R5" s="159"/>
      <x:c r="S5" s="159"/>
      <x:c r="T5" s="159"/>
      <x:c r="U5" s="159"/>
      <x:c r="V5" s="159"/>
      <x:c r="W5" s="159"/>
      <x:c r="X5" s="160"/>
      <x:c r="Y5" s="55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</x:row>
    <x:row r="6" spans="1:47" s="10" customFormat="1" ht="20.149999999999999" customHeight="1" x14ac:dyDescent="0.25">
      <x:c r="A6" s="56" t="s">
        <x:v>14</x:v>
      </x:c>
      <x:c r="B6" s="55" t="s">
        <x:v>57</x:v>
      </x:c>
      <x:c r="C6" s="57" t="s">
        <x:v>70</x:v>
      </x:c>
      <x:c r="D6" s="161" t="s">
        <x:v>59</x:v>
      </x:c>
      <x:c r="E6" s="162"/>
      <x:c r="F6" s="162"/>
      <x:c r="G6" s="162"/>
      <x:c r="H6" s="162"/>
      <x:c r="I6" s="162"/>
      <x:c r="J6" s="162"/>
      <x:c r="K6" s="162"/>
      <x:c r="L6" s="163"/>
      <x:c r="M6" s="55" t="s">
        <x:v>60</x:v>
      </x:c>
      <x:c r="N6" s="55"/>
      <x:c r="O6" s="57" t="s">
        <x:v>183</x:v>
      </x:c>
      <x:c r="P6" s="161" t="s">
        <x:v>59</x:v>
      </x:c>
      <x:c r="Q6" s="162"/>
      <x:c r="R6" s="162"/>
      <x:c r="S6" s="162"/>
      <x:c r="T6" s="162"/>
      <x:c r="U6" s="162"/>
      <x:c r="V6" s="162"/>
      <x:c r="W6" s="162"/>
      <x:c r="X6" s="163"/>
      <x:c r="Y6" s="55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</x:row>
    <x:row r="7" spans="1:47" s="10" customFormat="1" ht="20.149999999999999" customHeight="1" x14ac:dyDescent="0.25">
      <x:c r="A7" s="56" t="s">
        <x:v>15</x:v>
      </x:c>
      <x:c r="B7" s="55" t="s">
        <x:v>57</x:v>
      </x:c>
      <x:c r="C7" s="57"/>
      <x:c r="D7" s="164"/>
      <x:c r="E7" s="165"/>
      <x:c r="F7" s="165"/>
      <x:c r="G7" s="165"/>
      <x:c r="H7" s="165"/>
      <x:c r="I7" s="165"/>
      <x:c r="J7" s="165"/>
      <x:c r="K7" s="165"/>
      <x:c r="L7" s="166"/>
      <x:c r="M7" s="55" t="s">
        <x:v>60</x:v>
      </x:c>
      <x:c r="N7" s="55"/>
      <x:c r="O7" s="57"/>
      <x:c r="P7" s="164"/>
      <x:c r="Q7" s="165"/>
      <x:c r="R7" s="165"/>
      <x:c r="S7" s="165"/>
      <x:c r="T7" s="165"/>
      <x:c r="U7" s="165"/>
      <x:c r="V7" s="165"/>
      <x:c r="W7" s="165"/>
      <x:c r="X7" s="166"/>
      <x:c r="Y7" s="55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</x:row>
    <x:row r="8" spans="1:47" s="10" customFormat="1" ht="20.149999999999999" customHeight="1" x14ac:dyDescent="0.25">
      <x:c r="A8" s="56" t="s">
        <x:v>16</x:v>
      </x:c>
      <x:c r="B8" s="55" t="s">
        <x:v>57</x:v>
      </x:c>
      <x:c r="C8" s="55" t="s">
        <x:v>71</x:v>
      </x:c>
      <x:c r="D8" s="155" t="s">
        <x:v>59</x:v>
      </x:c>
      <x:c r="E8" s="156"/>
      <x:c r="F8" s="156"/>
      <x:c r="G8" s="156"/>
      <x:c r="H8" s="156"/>
      <x:c r="I8" s="156"/>
      <x:c r="J8" s="156"/>
      <x:c r="K8" s="156"/>
      <x:c r="L8" s="157"/>
      <x:c r="M8" s="55" t="s">
        <x:v>60</x:v>
      </x:c>
      <x:c r="N8" s="55"/>
      <x:c r="O8" s="55"/>
      <x:c r="P8" s="155"/>
      <x:c r="Q8" s="156"/>
      <x:c r="R8" s="156"/>
      <x:c r="S8" s="156"/>
      <x:c r="T8" s="156"/>
      <x:c r="U8" s="156"/>
      <x:c r="V8" s="156"/>
      <x:c r="W8" s="156"/>
      <x:c r="X8" s="157"/>
      <x:c r="Y8" s="55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</x:row>
    <x:row r="9" spans="1:47" s="10" customFormat="1" ht="20.149999999999999" customHeight="1" x14ac:dyDescent="0.25">
      <x:c r="A9" s="56" t="s">
        <x:v>17</x:v>
      </x:c>
      <x:c r="B9" s="55" t="s">
        <x:v>57</x:v>
      </x:c>
      <x:c r="C9" s="55"/>
      <x:c r="D9" s="158"/>
      <x:c r="E9" s="159"/>
      <x:c r="F9" s="159"/>
      <x:c r="G9" s="159"/>
      <x:c r="H9" s="159"/>
      <x:c r="I9" s="159"/>
      <x:c r="J9" s="159"/>
      <x:c r="K9" s="159"/>
      <x:c r="L9" s="160"/>
      <x:c r="M9" s="55" t="s">
        <x:v>60</x:v>
      </x:c>
      <x:c r="N9" s="55"/>
      <x:c r="O9" s="55"/>
      <x:c r="P9" s="158"/>
      <x:c r="Q9" s="159"/>
      <x:c r="R9" s="159"/>
      <x:c r="S9" s="159"/>
      <x:c r="T9" s="159"/>
      <x:c r="U9" s="159"/>
      <x:c r="V9" s="159"/>
      <x:c r="W9" s="159"/>
      <x:c r="X9" s="160"/>
      <x:c r="Y9" s="55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</x:row>
    <x:row r="10" spans="1:47" s="10" customFormat="1" ht="20.149999999999999" customHeight="1" x14ac:dyDescent="0.25">
      <x:c r="A10" s="56" t="s">
        <x:v>18</x:v>
      </x:c>
      <x:c r="B10" s="55" t="s">
        <x:v>57</x:v>
      </x:c>
      <x:c r="C10" s="57" t="s">
        <x:v>72</x:v>
      </x:c>
      <x:c r="D10" s="161" t="s">
        <x:v>59</x:v>
      </x:c>
      <x:c r="E10" s="162"/>
      <x:c r="F10" s="162"/>
      <x:c r="G10" s="162"/>
      <x:c r="H10" s="162"/>
      <x:c r="I10" s="162"/>
      <x:c r="J10" s="162"/>
      <x:c r="K10" s="162"/>
      <x:c r="L10" s="163"/>
      <x:c r="M10" s="55" t="s">
        <x:v>60</x:v>
      </x:c>
      <x:c r="N10" s="55"/>
      <x:c r="O10" s="57"/>
      <x:c r="P10" s="161"/>
      <x:c r="Q10" s="162"/>
      <x:c r="R10" s="162"/>
      <x:c r="S10" s="162"/>
      <x:c r="T10" s="162"/>
      <x:c r="U10" s="162"/>
      <x:c r="V10" s="162"/>
      <x:c r="W10" s="162"/>
      <x:c r="X10" s="163"/>
      <x:c r="Y10" s="55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  <x:c r="AQ10" s="4"/>
      <x:c r="AR10" s="4"/>
      <x:c r="AS10" s="4"/>
      <x:c r="AT10" s="4"/>
      <x:c r="AU10" s="4"/>
    </x:row>
    <x:row r="11" spans="1:47" s="10" customFormat="1" ht="20.149999999999999" customHeight="1" x14ac:dyDescent="0.25">
      <x:c r="A11" s="56" t="s">
        <x:v>19</x:v>
      </x:c>
      <x:c r="B11" s="55" t="s">
        <x:v>57</x:v>
      </x:c>
      <x:c r="C11" s="57"/>
      <x:c r="D11" s="164"/>
      <x:c r="E11" s="165"/>
      <x:c r="F11" s="165"/>
      <x:c r="G11" s="165"/>
      <x:c r="H11" s="165"/>
      <x:c r="I11" s="165"/>
      <x:c r="J11" s="165"/>
      <x:c r="K11" s="165"/>
      <x:c r="L11" s="166"/>
      <x:c r="M11" s="55" t="s">
        <x:v>60</x:v>
      </x:c>
      <x:c r="N11" s="55"/>
      <x:c r="O11" s="57"/>
      <x:c r="P11" s="164"/>
      <x:c r="Q11" s="165"/>
      <x:c r="R11" s="165"/>
      <x:c r="S11" s="165"/>
      <x:c r="T11" s="165"/>
      <x:c r="U11" s="165"/>
      <x:c r="V11" s="165"/>
      <x:c r="W11" s="165"/>
      <x:c r="X11" s="166"/>
      <x:c r="Y11" s="55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</x:row>
    <x:row r="12" spans="1:47" s="10" customFormat="1" ht="20.149999999999999" customHeight="1" x14ac:dyDescent="0.25">
      <x:c r="A12" s="56" t="s">
        <x:v>20</x:v>
      </x:c>
      <x:c r="B12" s="55" t="s">
        <x:v>57</x:v>
      </x:c>
      <x:c r="C12" s="55" t="s">
        <x:v>109</x:v>
      </x:c>
      <x:c r="D12" s="155" t="s">
        <x:v>59</x:v>
      </x:c>
      <x:c r="E12" s="156"/>
      <x:c r="F12" s="156"/>
      <x:c r="G12" s="156"/>
      <x:c r="H12" s="156"/>
      <x:c r="I12" s="156"/>
      <x:c r="J12" s="156"/>
      <x:c r="K12" s="156"/>
      <x:c r="L12" s="157"/>
      <x:c r="M12" s="55" t="s">
        <x:v>60</x:v>
      </x:c>
      <x:c r="N12" s="55"/>
      <x:c r="O12" s="55"/>
      <x:c r="P12" s="155"/>
      <x:c r="Q12" s="156"/>
      <x:c r="R12" s="156"/>
      <x:c r="S12" s="156"/>
      <x:c r="T12" s="156"/>
      <x:c r="U12" s="156"/>
      <x:c r="V12" s="156"/>
      <x:c r="W12" s="156"/>
      <x:c r="X12" s="157"/>
      <x:c r="Y12" s="55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</x:row>
    <x:row r="13" spans="1:47" s="10" customFormat="1" ht="20.149999999999999" customHeight="1" x14ac:dyDescent="0.25">
      <x:c r="A13" s="56" t="s">
        <x:v>21</x:v>
      </x:c>
      <x:c r="B13" s="55" t="s">
        <x:v>57</x:v>
      </x:c>
      <x:c r="C13" s="55"/>
      <x:c r="D13" s="158"/>
      <x:c r="E13" s="159"/>
      <x:c r="F13" s="159"/>
      <x:c r="G13" s="159"/>
      <x:c r="H13" s="159"/>
      <x:c r="I13" s="159"/>
      <x:c r="J13" s="159"/>
      <x:c r="K13" s="159"/>
      <x:c r="L13" s="160"/>
      <x:c r="M13" s="55" t="s">
        <x:v>60</x:v>
      </x:c>
      <x:c r="N13" s="55"/>
      <x:c r="O13" s="55"/>
      <x:c r="P13" s="158"/>
      <x:c r="Q13" s="159"/>
      <x:c r="R13" s="159"/>
      <x:c r="S13" s="159"/>
      <x:c r="T13" s="159"/>
      <x:c r="U13" s="159"/>
      <x:c r="V13" s="159"/>
      <x:c r="W13" s="159"/>
      <x:c r="X13" s="160"/>
      <x:c r="Y13" s="55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</x:row>
    <x:row r="14" spans="1:47" s="10" customFormat="1" ht="20.149999999999999" customHeight="1" x14ac:dyDescent="0.25">
      <x:c r="A14" s="56" t="s">
        <x:v>22</x:v>
      </x:c>
      <x:c r="B14" s="55" t="s">
        <x:v>57</x:v>
      </x:c>
      <x:c r="C14" s="57" t="s">
        <x:v>110</x:v>
      </x:c>
      <x:c r="D14" s="161" t="s">
        <x:v>59</x:v>
      </x:c>
      <x:c r="E14" s="162"/>
      <x:c r="F14" s="162"/>
      <x:c r="G14" s="162"/>
      <x:c r="H14" s="162"/>
      <x:c r="I14" s="162"/>
      <x:c r="J14" s="162"/>
      <x:c r="K14" s="162"/>
      <x:c r="L14" s="163"/>
      <x:c r="M14" s="55" t="s">
        <x:v>60</x:v>
      </x:c>
      <x:c r="N14" s="55"/>
      <x:c r="O14" s="57"/>
      <x:c r="P14" s="161"/>
      <x:c r="Q14" s="162"/>
      <x:c r="R14" s="162"/>
      <x:c r="S14" s="162"/>
      <x:c r="T14" s="162"/>
      <x:c r="U14" s="162"/>
      <x:c r="V14" s="162"/>
      <x:c r="W14" s="162"/>
      <x:c r="X14" s="163"/>
      <x:c r="Y14" s="55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</x:row>
    <x:row r="15" spans="1:47" s="10" customFormat="1" ht="20.149999999999999" customHeight="1" x14ac:dyDescent="0.25">
      <x:c r="A15" s="56" t="s">
        <x:v>23</x:v>
      </x:c>
      <x:c r="B15" s="55" t="s">
        <x:v>57</x:v>
      </x:c>
      <x:c r="C15" s="57"/>
      <x:c r="D15" s="164"/>
      <x:c r="E15" s="165"/>
      <x:c r="F15" s="165"/>
      <x:c r="G15" s="165"/>
      <x:c r="H15" s="165"/>
      <x:c r="I15" s="165"/>
      <x:c r="J15" s="165"/>
      <x:c r="K15" s="165"/>
      <x:c r="L15" s="166"/>
      <x:c r="M15" s="55" t="s">
        <x:v>60</x:v>
      </x:c>
      <x:c r="N15" s="55"/>
      <x:c r="O15" s="57"/>
      <x:c r="P15" s="164"/>
      <x:c r="Q15" s="165"/>
      <x:c r="R15" s="165"/>
      <x:c r="S15" s="165"/>
      <x:c r="T15" s="165"/>
      <x:c r="U15" s="165"/>
      <x:c r="V15" s="165"/>
      <x:c r="W15" s="165"/>
      <x:c r="X15" s="166"/>
      <x:c r="Y15" s="55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</x:row>
    <x:row r="16" spans="1:47" s="10" customFormat="1" ht="20.149999999999999" customHeight="1" x14ac:dyDescent="0.25">
      <x:c r="A16" s="56" t="s">
        <x:v>61</x:v>
      </x:c>
      <x:c r="B16" s="55" t="s">
        <x:v>57</x:v>
      </x:c>
      <x:c r="C16" s="55" t="s">
        <x:v>111</x:v>
      </x:c>
      <x:c r="D16" s="155" t="s">
        <x:v>59</x:v>
      </x:c>
      <x:c r="E16" s="156"/>
      <x:c r="F16" s="156"/>
      <x:c r="G16" s="156"/>
      <x:c r="H16" s="156"/>
      <x:c r="I16" s="156"/>
      <x:c r="J16" s="156"/>
      <x:c r="K16" s="156"/>
      <x:c r="L16" s="157"/>
      <x:c r="M16" s="55" t="s">
        <x:v>60</x:v>
      </x:c>
      <x:c r="N16" s="55"/>
      <x:c r="O16" s="55"/>
      <x:c r="P16" s="155"/>
      <x:c r="Q16" s="156"/>
      <x:c r="R16" s="156"/>
      <x:c r="S16" s="156"/>
      <x:c r="T16" s="156"/>
      <x:c r="U16" s="156"/>
      <x:c r="V16" s="156"/>
      <x:c r="W16" s="156"/>
      <x:c r="X16" s="157"/>
      <x:c r="Y16" s="55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</x:row>
    <x:row r="17" spans="1:47" s="10" customFormat="1" ht="20.149999999999999" customHeight="1" x14ac:dyDescent="0.25">
      <x:c r="A17" s="56" t="s">
        <x:v>24</x:v>
      </x:c>
      <x:c r="B17" s="55" t="s">
        <x:v>57</x:v>
      </x:c>
      <x:c r="C17" s="55"/>
      <x:c r="D17" s="158"/>
      <x:c r="E17" s="159"/>
      <x:c r="F17" s="159"/>
      <x:c r="G17" s="159"/>
      <x:c r="H17" s="159"/>
      <x:c r="I17" s="159"/>
      <x:c r="J17" s="159"/>
      <x:c r="K17" s="159"/>
      <x:c r="L17" s="160"/>
      <x:c r="M17" s="55" t="s">
        <x:v>60</x:v>
      </x:c>
      <x:c r="N17" s="55"/>
      <x:c r="O17" s="55"/>
      <x:c r="P17" s="158"/>
      <x:c r="Q17" s="159"/>
      <x:c r="R17" s="159"/>
      <x:c r="S17" s="159"/>
      <x:c r="T17" s="159"/>
      <x:c r="U17" s="159"/>
      <x:c r="V17" s="159"/>
      <x:c r="W17" s="159"/>
      <x:c r="X17" s="160"/>
      <x:c r="Y17" s="55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</x:row>
    <x:row r="18" spans="1:47" s="10" customFormat="1" ht="20.149999999999999" customHeight="1" x14ac:dyDescent="0.25">
      <x:c r="A18" s="56" t="s">
        <x:v>25</x:v>
      </x:c>
      <x:c r="B18" s="55" t="s">
        <x:v>57</x:v>
      </x:c>
      <x:c r="C18" s="57" t="s">
        <x:v>112</x:v>
      </x:c>
      <x:c r="D18" s="161" t="s">
        <x:v>59</x:v>
      </x:c>
      <x:c r="E18" s="162"/>
      <x:c r="F18" s="162"/>
      <x:c r="G18" s="162"/>
      <x:c r="H18" s="162"/>
      <x:c r="I18" s="162"/>
      <x:c r="J18" s="162"/>
      <x:c r="K18" s="162"/>
      <x:c r="L18" s="163"/>
      <x:c r="M18" s="55" t="s">
        <x:v>60</x:v>
      </x:c>
      <x:c r="N18" s="55"/>
      <x:c r="O18" s="57"/>
      <x:c r="P18" s="161"/>
      <x:c r="Q18" s="162"/>
      <x:c r="R18" s="162"/>
      <x:c r="S18" s="162"/>
      <x:c r="T18" s="162"/>
      <x:c r="U18" s="162"/>
      <x:c r="V18" s="162"/>
      <x:c r="W18" s="162"/>
      <x:c r="X18" s="163"/>
      <x:c r="Y18" s="55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  <x:c r="AQ18" s="4"/>
      <x:c r="AR18" s="4"/>
      <x:c r="AS18" s="4"/>
      <x:c r="AT18" s="4"/>
      <x:c r="AU18" s="4"/>
    </x:row>
    <x:row r="19" spans="1:47" s="10" customFormat="1" ht="20.149999999999999" customHeight="1" x14ac:dyDescent="0.25">
      <x:c r="A19" s="56" t="s">
        <x:v>26</x:v>
      </x:c>
      <x:c r="B19" s="55" t="s">
        <x:v>57</x:v>
      </x:c>
      <x:c r="C19" s="57"/>
      <x:c r="D19" s="164"/>
      <x:c r="E19" s="165"/>
      <x:c r="F19" s="165"/>
      <x:c r="G19" s="165"/>
      <x:c r="H19" s="165"/>
      <x:c r="I19" s="165"/>
      <x:c r="J19" s="165"/>
      <x:c r="K19" s="165"/>
      <x:c r="L19" s="166"/>
      <x:c r="M19" s="55" t="s">
        <x:v>60</x:v>
      </x:c>
      <x:c r="N19" s="55"/>
      <x:c r="O19" s="57"/>
      <x:c r="P19" s="164"/>
      <x:c r="Q19" s="165"/>
      <x:c r="R19" s="165"/>
      <x:c r="S19" s="165"/>
      <x:c r="T19" s="165"/>
      <x:c r="U19" s="165"/>
      <x:c r="V19" s="165"/>
      <x:c r="W19" s="165"/>
      <x:c r="X19" s="166"/>
      <x:c r="Y19" s="55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</x:row>
    <x:row r="20" spans="1:47" s="10" customFormat="1" ht="20.149999999999999" customHeight="1" x14ac:dyDescent="0.25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</x:row>
    <x:row r="21" spans="1:47" s="10" customFormat="1" ht="20.149999999999999" customHeight="1" x14ac:dyDescent="0.25">
      <x:c r="A21" s="54" t="s">
        <x:v>27</x:v>
      </x:c>
      <x:c r="B21" s="58">
        <x:v>1</x:v>
      </x:c>
      <x:c r="C21" s="58">
        <x:v>2</x:v>
      </x:c>
      <x:c r="D21" s="58">
        <x:v>3</x:v>
      </x:c>
      <x:c r="E21" s="58">
        <x:v>4</x:v>
      </x:c>
      <x:c r="F21" s="58">
        <x:v>5</x:v>
      </x:c>
      <x:c r="G21" s="58">
        <x:v>6</x:v>
      </x:c>
      <x:c r="H21" s="58">
        <x:v>7</x:v>
      </x:c>
      <x:c r="I21" s="58">
        <x:v>8</x:v>
      </x:c>
      <x:c r="J21" s="58">
        <x:v>9</x:v>
      </x:c>
      <x:c r="K21" s="58">
        <x:v>10</x:v>
      </x:c>
      <x:c r="L21" s="58">
        <x:v>11</x:v>
      </x:c>
      <x:c r="M21" s="58">
        <x:v>12</x:v>
      </x:c>
      <x:c r="N21" s="58">
        <x:v>13</x:v>
      </x:c>
      <x:c r="O21" s="58">
        <x:v>14</x:v>
      </x:c>
      <x:c r="P21" s="58">
        <x:v>15</x:v>
      </x:c>
      <x:c r="Q21" s="58">
        <x:v>16</x:v>
      </x:c>
      <x:c r="R21" s="58">
        <x:v>17</x:v>
      </x:c>
      <x:c r="S21" s="58">
        <x:v>18</x:v>
      </x:c>
      <x:c r="T21" s="58">
        <x:v>19</x:v>
      </x:c>
      <x:c r="U21" s="58">
        <x:v>20</x:v>
      </x:c>
      <x:c r="V21" s="58">
        <x:v>21</x:v>
      </x:c>
      <x:c r="W21" s="58">
        <x:v>22</x:v>
      </x:c>
      <x:c r="X21" s="58">
        <x:v>23</x:v>
      </x:c>
      <x:c r="Y21" s="58">
        <x:v>24</x:v>
      </x:c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</x:row>
    <x:row r="22" spans="1:47" s="10" customFormat="1" ht="20.149999999999999" customHeight="1" x14ac:dyDescent="0.25">
      <x:c r="A22" s="59" t="s">
        <x:v>12</x:v>
      </x:c>
      <x:c r="B22" s="63">
        <x:v>2580</x:v>
      </x:c>
      <x:c r="C22" s="56">
        <x:v>2415</x:v>
      </x:c>
      <x:c r="D22" s="56">
        <x:v>2849</x:v>
      </x:c>
      <x:c r="E22" s="56">
        <x:v>2531</x:v>
      </x:c>
      <x:c r="F22" s="56">
        <x:v>3184</x:v>
      </x:c>
      <x:c r="G22" s="56">
        <x:v>4140</x:v>
      </x:c>
      <x:c r="H22" s="56">
        <x:v>6348</x:v>
      </x:c>
      <x:c r="I22" s="56">
        <x:v>6874</x:v>
      </x:c>
      <x:c r="J22" s="56">
        <x:v>7882</x:v>
      </x:c>
      <x:c r="K22" s="56">
        <x:v>7805</x:v>
      </x:c>
      <x:c r="L22" s="56">
        <x:v>8354</x:v>
      </x:c>
      <x:c r="M22" s="84">
        <x:v>8292</x:v>
      </x:c>
      <x:c r="N22" s="55"/>
      <x:c r="O22" s="56">
        <x:v>7270</x:v>
      </x:c>
      <x:c r="P22" s="56">
        <x:v>7509</x:v>
      </x:c>
      <x:c r="Q22" s="56">
        <x:v>7640</x:v>
      </x:c>
      <x:c r="R22" s="56">
        <x:v>7983</x:v>
      </x:c>
      <x:c r="S22" s="56">
        <x:v>8310</x:v>
      </x:c>
      <x:c r="T22" s="56">
        <x:v>8062</x:v>
      </x:c>
      <x:c r="U22" s="56">
        <x:v>8118</x:v>
      </x:c>
      <x:c r="V22" s="56">
        <x:v>7762</x:v>
      </x:c>
      <x:c r="W22" s="56">
        <x:v>7877</x:v>
      </x:c>
      <x:c r="X22" s="56">
        <x:v>8291</x:v>
      </x:c>
      <x:c r="Y22" s="56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</x:row>
    <x:row r="23" spans="1:47" s="10" customFormat="1" ht="20.149999999999999" customHeight="1" x14ac:dyDescent="0.25">
      <x:c r="A23" s="59" t="s">
        <x:v>13</x:v>
      </x:c>
      <x:c r="B23" s="63">
        <x:v>2291</x:v>
      </x:c>
      <x:c r="C23" s="56">
        <x:v>2440</x:v>
      </x:c>
      <x:c r="D23" s="56">
        <x:v>2512</x:v>
      </x:c>
      <x:c r="E23" s="56">
        <x:v>2580</x:v>
      </x:c>
      <x:c r="F23" s="56">
        <x:v>2995</x:v>
      </x:c>
      <x:c r="G23" s="56">
        <x:v>3797</x:v>
      </x:c>
      <x:c r="H23" s="56">
        <x:v>5957</x:v>
      </x:c>
      <x:c r="I23" s="56">
        <x:v>6618</x:v>
      </x:c>
      <x:c r="J23" s="56">
        <x:v>7461</x:v>
      </x:c>
      <x:c r="K23" s="56">
        <x:v>7485</x:v>
      </x:c>
      <x:c r="L23" s="56">
        <x:v>8081</x:v>
      </x:c>
      <x:c r="M23" s="84">
        <x:v>8151</x:v>
      </x:c>
      <x:c r="N23" s="55"/>
      <x:c r="O23" s="56">
        <x:v>7088</x:v>
      </x:c>
      <x:c r="P23" s="56">
        <x:v>7361</x:v>
      </x:c>
      <x:c r="Q23" s="56">
        <x:v>7470</x:v>
      </x:c>
      <x:c r="R23" s="56">
        <x:v>7930</x:v>
      </x:c>
      <x:c r="S23" s="56">
        <x:v>7960</x:v>
      </x:c>
      <x:c r="T23" s="56">
        <x:v>8356</x:v>
      </x:c>
      <x:c r="U23" s="56">
        <x:v>7556</x:v>
      </x:c>
      <x:c r="V23" s="56">
        <x:v>7837</x:v>
      </x:c>
      <x:c r="W23" s="56">
        <x:v>7906</x:v>
      </x:c>
      <x:c r="X23" s="56">
        <x:v>8040</x:v>
      </x:c>
      <x:c r="Y23" s="56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</x:row>
    <x:row r="24" spans="1:47" s="10" customFormat="1" ht="20.149999999999999" customHeight="1" x14ac:dyDescent="0.25">
      <x:c r="A24" s="59" t="s">
        <x:v>14</x:v>
      </x:c>
      <x:c r="B24" s="63">
        <x:v>2190</x:v>
      </x:c>
      <x:c r="C24" s="56">
        <x:v>2624</x:v>
      </x:c>
      <x:c r="D24" s="56">
        <x:v>2841</x:v>
      </x:c>
      <x:c r="E24" s="56">
        <x:v>3675</x:v>
      </x:c>
      <x:c r="F24" s="56">
        <x:v>4076</x:v>
      </x:c>
      <x:c r="G24" s="56">
        <x:v>6148</x:v>
      </x:c>
      <x:c r="H24" s="56">
        <x:v>7716</x:v>
      </x:c>
      <x:c r="I24" s="56">
        <x:v>7362</x:v>
      </x:c>
      <x:c r="J24" s="56">
        <x:v>6960</x:v>
      </x:c>
      <x:c r="K24" s="56">
        <x:v>8066</x:v>
      </x:c>
      <x:c r="L24" s="56">
        <x:v>7537</x:v>
      </x:c>
      <x:c r="M24" s="84">
        <x:v>8083</x:v>
      </x:c>
      <x:c r="N24" s="55"/>
      <x:c r="O24" s="56">
        <x:v>2868</x:v>
      </x:c>
      <x:c r="P24" s="56">
        <x:v>3297</x:v>
      </x:c>
      <x:c r="Q24" s="56">
        <x:v>4999</x:v>
      </x:c>
      <x:c r="R24" s="56">
        <x:v>4843</x:v>
      </x:c>
      <x:c r="S24" s="56">
        <x:v>6085</x:v>
      </x:c>
      <x:c r="T24" s="56">
        <x:v>6523</x:v>
      </x:c>
      <x:c r="U24" s="56">
        <x:v>6970</x:v>
      </x:c>
      <x:c r="V24" s="56">
        <x:v>6978</x:v>
      </x:c>
      <x:c r="W24" s="56">
        <x:v>7551</x:v>
      </x:c>
      <x:c r="X24" s="56">
        <x:v>7455</x:v>
      </x:c>
      <x:c r="Y24" s="56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</x:row>
    <x:row r="25" spans="1:47" s="10" customFormat="1" ht="20.149999999999999" customHeight="1" x14ac:dyDescent="0.25">
      <x:c r="A25" s="59" t="s">
        <x:v>15</x:v>
      </x:c>
      <x:c r="B25" s="63">
        <x:v>2289</x:v>
      </x:c>
      <x:c r="C25" s="56">
        <x:v>2671</x:v>
      </x:c>
      <x:c r="D25" s="56">
        <x:v>2927</x:v>
      </x:c>
      <x:c r="E25" s="56">
        <x:v>3703</x:v>
      </x:c>
      <x:c r="F25" s="56">
        <x:v>4554</x:v>
      </x:c>
      <x:c r="G25" s="56">
        <x:v>6247</x:v>
      </x:c>
      <x:c r="H25" s="56">
        <x:v>7536</x:v>
      </x:c>
      <x:c r="I25" s="56">
        <x:v>7521</x:v>
      </x:c>
      <x:c r="J25" s="56">
        <x:v>7550</x:v>
      </x:c>
      <x:c r="K25" s="56">
        <x:v>7919</x:v>
      </x:c>
      <x:c r="L25" s="56">
        <x:v>8286</x:v>
      </x:c>
      <x:c r="M25" s="84">
        <x:v>8103</x:v>
      </x:c>
      <x:c r="N25" s="55"/>
      <x:c r="O25" s="56">
        <x:v>2745</x:v>
      </x:c>
      <x:c r="P25" s="56">
        <x:v>3322</x:v>
      </x:c>
      <x:c r="Q25" s="56">
        <x:v>3717</x:v>
      </x:c>
      <x:c r="R25" s="56">
        <x:v>4799</x:v>
      </x:c>
      <x:c r="S25" s="56">
        <x:v>6002</x:v>
      </x:c>
      <x:c r="T25" s="56">
        <x:v>9427</x:v>
      </x:c>
      <x:c r="U25" s="56">
        <x:v>7302</x:v>
      </x:c>
      <x:c r="V25" s="56">
        <x:v>7555</x:v>
      </x:c>
      <x:c r="W25" s="56">
        <x:v>7203</x:v>
      </x:c>
      <x:c r="X25" s="56">
        <x:v>7243</x:v>
      </x:c>
      <x:c r="Y25" s="56"/>
      <x:c r="AE25" s="4"/>
      <x:c r="AF25" s="4"/>
      <x:c r="AG25" s="4"/>
      <x:c r="AH25" s="4"/>
      <x:c r="AI25" s="4"/>
      <x:c r="AJ25" s="4"/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</x:row>
    <x:row r="26" spans="1:47" s="10" customFormat="1" ht="20.149999999999999" customHeight="1" x14ac:dyDescent="0.25">
      <x:c r="A26" s="59" t="s">
        <x:v>16</x:v>
      </x:c>
      <x:c r="B26" s="63">
        <x:v>2220</x:v>
      </x:c>
      <x:c r="C26" s="56">
        <x:v>5769</x:v>
      </x:c>
      <x:c r="D26" s="56">
        <x:v>7236</x:v>
      </x:c>
      <x:c r="E26" s="56">
        <x:v>7964</x:v>
      </x:c>
      <x:c r="F26" s="56">
        <x:v>8364</x:v>
      </x:c>
      <x:c r="G26" s="56">
        <x:v>8362</x:v>
      </x:c>
      <x:c r="H26" s="56">
        <x:v>8144</x:v>
      </x:c>
      <x:c r="I26" s="56">
        <x:v>7787</x:v>
      </x:c>
      <x:c r="J26" s="56">
        <x:v>8140</x:v>
      </x:c>
      <x:c r="K26" s="56">
        <x:v>7837</x:v>
      </x:c>
      <x:c r="L26" s="56">
        <x:v>8328</x:v>
      </x:c>
      <x:c r="M26" s="84">
        <x:v>8384</x:v>
      </x:c>
      <x:c r="N26" s="55"/>
      <x:c r="O26" s="55"/>
      <x:c r="P26" s="55"/>
      <x:c r="Q26" s="55"/>
      <x:c r="R26" s="55"/>
      <x:c r="S26" s="55"/>
      <x:c r="T26" s="55"/>
      <x:c r="U26" s="55"/>
      <x:c r="V26" s="55"/>
      <x:c r="W26" s="55"/>
      <x:c r="X26" s="55"/>
      <x:c r="Y26" s="55"/>
      <x:c r="AE26" s="4"/>
      <x:c r="AF26" s="4"/>
      <x:c r="AG26" s="4"/>
      <x:c r="AH26" s="4"/>
      <x:c r="AI26" s="4"/>
      <x:c r="AJ26" s="4"/>
      <x:c r="AK26" s="4"/>
      <x:c r="AL26" s="4"/>
      <x:c r="AM26" s="4"/>
      <x:c r="AN26" s="4"/>
      <x:c r="AO26" s="4"/>
      <x:c r="AP26" s="4"/>
      <x:c r="AQ26" s="4"/>
      <x:c r="AR26" s="4"/>
      <x:c r="AS26" s="4"/>
      <x:c r="AT26" s="4"/>
      <x:c r="AU26" s="4"/>
    </x:row>
    <x:row r="27" spans="1:47" s="10" customFormat="1" ht="20.149999999999999" customHeight="1" x14ac:dyDescent="0.25">
      <x:c r="A27" s="59" t="s">
        <x:v>17</x:v>
      </x:c>
      <x:c r="B27" s="63">
        <x:v>2318</x:v>
      </x:c>
      <x:c r="C27" s="56">
        <x:v>6024</x:v>
      </x:c>
      <x:c r="D27" s="56">
        <x:v>7572</x:v>
      </x:c>
      <x:c r="E27" s="56">
        <x:v>7985</x:v>
      </x:c>
      <x:c r="F27" s="56">
        <x:v>8205</x:v>
      </x:c>
      <x:c r="G27" s="56">
        <x:v>8291</x:v>
      </x:c>
      <x:c r="H27" s="56">
        <x:v>9582</x:v>
      </x:c>
      <x:c r="I27" s="56">
        <x:v>7616</x:v>
      </x:c>
      <x:c r="J27" s="56">
        <x:v>7986</x:v>
      </x:c>
      <x:c r="K27" s="56">
        <x:v>8225</x:v>
      </x:c>
      <x:c r="L27" s="56">
        <x:v>8247</x:v>
      </x:c>
      <x:c r="M27" s="84">
        <x:v>8179</x:v>
      </x:c>
      <x:c r="N27" s="55"/>
      <x:c r="O27" s="55"/>
      <x:c r="P27" s="55"/>
      <x:c r="Q27" s="55"/>
      <x:c r="R27" s="55"/>
      <x:c r="S27" s="55"/>
      <x:c r="T27" s="55"/>
      <x:c r="U27" s="55"/>
      <x:c r="V27" s="55"/>
      <x:c r="W27" s="55"/>
      <x:c r="X27" s="55"/>
      <x:c r="Y27" s="55"/>
      <x:c r="AE27" s="4"/>
      <x:c r="AF27" s="4"/>
      <x:c r="AG27" s="4"/>
      <x:c r="AH27" s="4"/>
      <x:c r="AI27" s="4"/>
      <x:c r="AJ27" s="4"/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</x:row>
    <x:row r="28" spans="1:47" s="10" customFormat="1" ht="20.149999999999999" customHeight="1" x14ac:dyDescent="0.25">
      <x:c r="A28" s="59" t="s">
        <x:v>18</x:v>
      </x:c>
      <x:c r="B28" s="63">
        <x:v>2273</x:v>
      </x:c>
      <x:c r="C28" s="56">
        <x:v>6233</x:v>
      </x:c>
      <x:c r="D28" s="56">
        <x:v>6637</x:v>
      </x:c>
      <x:c r="E28" s="56">
        <x:v>5516</x:v>
      </x:c>
      <x:c r="F28" s="56">
        <x:v>8090</x:v>
      </x:c>
      <x:c r="G28" s="56">
        <x:v>8404</x:v>
      </x:c>
      <x:c r="H28" s="56">
        <x:v>7484</x:v>
      </x:c>
      <x:c r="I28" s="56">
        <x:v>8309</x:v>
      </x:c>
      <x:c r="J28" s="56">
        <x:v>7988</x:v>
      </x:c>
      <x:c r="K28" s="56">
        <x:v>7892</x:v>
      </x:c>
      <x:c r="L28" s="56">
        <x:v>7972</x:v>
      </x:c>
      <x:c r="M28" s="84">
        <x:v>7787</x:v>
      </x:c>
      <x:c r="N28" s="55"/>
      <x:c r="O28" s="55"/>
      <x:c r="P28" s="55"/>
      <x:c r="Q28" s="55"/>
      <x:c r="R28" s="55"/>
      <x:c r="S28" s="55"/>
      <x:c r="T28" s="55"/>
      <x:c r="U28" s="55"/>
      <x:c r="V28" s="55"/>
      <x:c r="W28" s="55"/>
      <x:c r="X28" s="55"/>
      <x:c r="Y28" s="55"/>
      <x:c r="AE28" s="4"/>
      <x:c r="AF28" s="4"/>
      <x:c r="AG28" s="4"/>
      <x:c r="AH28" s="4"/>
      <x:c r="AI28" s="4"/>
      <x:c r="AJ28" s="4"/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</x:row>
    <x:row r="29" spans="1:47" s="10" customFormat="1" ht="20.149999999999999" customHeight="1" x14ac:dyDescent="0.25">
      <x:c r="A29" s="59" t="s">
        <x:v>19</x:v>
      </x:c>
      <x:c r="B29" s="63">
        <x:v>2316</x:v>
      </x:c>
      <x:c r="C29" s="56">
        <x:v>5864</x:v>
      </x:c>
      <x:c r="D29" s="56">
        <x:v>6810</x:v>
      </x:c>
      <x:c r="E29" s="56">
        <x:v>8088</x:v>
      </x:c>
      <x:c r="F29" s="56">
        <x:v>7768</x:v>
      </x:c>
      <x:c r="G29" s="56">
        <x:v>8473</x:v>
      </x:c>
      <x:c r="H29" s="56">
        <x:v>7558</x:v>
      </x:c>
      <x:c r="I29" s="56">
        <x:v>7965</x:v>
      </x:c>
      <x:c r="J29" s="56">
        <x:v>7954</x:v>
      </x:c>
      <x:c r="K29" s="56">
        <x:v>7813</x:v>
      </x:c>
      <x:c r="L29" s="56">
        <x:v>8050</x:v>
      </x:c>
      <x:c r="M29" s="84">
        <x:v>8181</x:v>
      </x:c>
      <x:c r="N29" s="55"/>
      <x:c r="O29" s="55"/>
      <x:c r="P29" s="55"/>
      <x:c r="Q29" s="55"/>
      <x:c r="R29" s="55"/>
      <x:c r="S29" s="55"/>
      <x:c r="T29" s="55"/>
      <x:c r="U29" s="55"/>
      <x:c r="V29" s="55"/>
      <x:c r="W29" s="55"/>
      <x:c r="X29" s="55"/>
      <x:c r="Y29" s="55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</x:row>
    <x:row r="30" spans="1:47" s="10" customFormat="1" ht="20.149999999999999" customHeight="1" x14ac:dyDescent="0.25">
      <x:c r="A30" s="59" t="s">
        <x:v>20</x:v>
      </x:c>
      <x:c r="B30" s="63">
        <x:v>2345</x:v>
      </x:c>
      <x:c r="C30" s="56">
        <x:v>7347</x:v>
      </x:c>
      <x:c r="D30" s="56">
        <x:v>7463</x:v>
      </x:c>
      <x:c r="E30" s="56">
        <x:v>8451</x:v>
      </x:c>
      <x:c r="F30" s="56">
        <x:v>7991</x:v>
      </x:c>
      <x:c r="G30" s="56">
        <x:v>7807</x:v>
      </x:c>
      <x:c r="H30" s="56">
        <x:v>8076</x:v>
      </x:c>
      <x:c r="I30" s="56">
        <x:v>8097</x:v>
      </x:c>
      <x:c r="J30" s="56">
        <x:v>7804</x:v>
      </x:c>
      <x:c r="K30" s="56">
        <x:v>7964</x:v>
      </x:c>
      <x:c r="L30" s="56">
        <x:v>8005</x:v>
      </x:c>
      <x:c r="M30" s="84">
        <x:v>7947</x:v>
      </x:c>
      <x:c r="N30" s="55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5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</x:row>
    <x:row r="31" spans="1:47" s="10" customFormat="1" ht="20.149999999999999" customHeight="1" x14ac:dyDescent="0.25">
      <x:c r="A31" s="59" t="s">
        <x:v>21</x:v>
      </x:c>
      <x:c r="B31" s="63">
        <x:v>2261</x:v>
      </x:c>
      <x:c r="C31" s="56">
        <x:v>7393</x:v>
      </x:c>
      <x:c r="D31" s="56">
        <x:v>7095</x:v>
      </x:c>
      <x:c r="E31" s="56">
        <x:v>8182</x:v>
      </x:c>
      <x:c r="F31" s="56">
        <x:v>6958</x:v>
      </x:c>
      <x:c r="G31" s="56">
        <x:v>8049</x:v>
      </x:c>
      <x:c r="H31" s="56">
        <x:v>8933</x:v>
      </x:c>
      <x:c r="I31" s="56">
        <x:v>7953</x:v>
      </x:c>
      <x:c r="J31" s="56">
        <x:v>7440</x:v>
      </x:c>
      <x:c r="K31" s="56">
        <x:v>7909</x:v>
      </x:c>
      <x:c r="L31" s="56">
        <x:v>7508</x:v>
      </x:c>
      <x:c r="M31" s="84">
        <x:v>8228</x:v>
      </x:c>
      <x:c r="N31" s="55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5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</x:row>
    <x:row r="32" spans="1:47" s="10" customFormat="1" ht="20.149999999999999" customHeight="1" x14ac:dyDescent="0.25">
      <x:c r="A32" s="59" t="s">
        <x:v>22</x:v>
      </x:c>
      <x:c r="B32" s="63">
        <x:v>2492</x:v>
      </x:c>
      <x:c r="C32" s="56">
        <x:v>6058</x:v>
      </x:c>
      <x:c r="D32" s="56">
        <x:v>7408</x:v>
      </x:c>
      <x:c r="E32" s="56">
        <x:v>7783</x:v>
      </x:c>
      <x:c r="F32" s="56">
        <x:v>7330</x:v>
      </x:c>
      <x:c r="G32" s="56">
        <x:v>8098</x:v>
      </x:c>
      <x:c r="H32" s="56">
        <x:v>8653</x:v>
      </x:c>
      <x:c r="I32" s="56">
        <x:v>8578</x:v>
      </x:c>
      <x:c r="J32" s="56">
        <x:v>8207</x:v>
      </x:c>
      <x:c r="K32" s="56">
        <x:v>8365</x:v>
      </x:c>
      <x:c r="L32" s="56">
        <x:v>7969</x:v>
      </x:c>
      <x:c r="M32" s="84">
        <x:v>8207</x:v>
      </x:c>
      <x:c r="N32" s="55"/>
      <x:c r="O32" s="55"/>
      <x:c r="P32" s="55"/>
      <x:c r="Q32" s="55"/>
      <x:c r="R32" s="55"/>
      <x:c r="S32" s="55"/>
      <x:c r="T32" s="55"/>
      <x:c r="U32" s="55"/>
      <x:c r="V32" s="55"/>
      <x:c r="W32" s="55"/>
      <x:c r="X32" s="55"/>
      <x:c r="Y32" s="55"/>
      <x:c r="AE32" s="4"/>
      <x:c r="AF32" s="4"/>
      <x:c r="AG32" s="4"/>
      <x:c r="AH32" s="4"/>
      <x:c r="AI32" s="4"/>
      <x:c r="AJ32" s="4"/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</x:row>
    <x:row r="33" spans="1:47" s="10" customFormat="1" ht="20.149999999999999" customHeight="1" x14ac:dyDescent="0.25">
      <x:c r="A33" s="59" t="s">
        <x:v>23</x:v>
      </x:c>
      <x:c r="B33" s="63">
        <x:v>2436</x:v>
      </x:c>
      <x:c r="C33" s="56">
        <x:v>5638</x:v>
      </x:c>
      <x:c r="D33" s="56">
        <x:v>7053</x:v>
      </x:c>
      <x:c r="E33" s="56">
        <x:v>7534</x:v>
      </x:c>
      <x:c r="F33" s="56">
        <x:v>7398</x:v>
      </x:c>
      <x:c r="G33" s="56">
        <x:v>7854</x:v>
      </x:c>
      <x:c r="H33" s="56">
        <x:v>7584</x:v>
      </x:c>
      <x:c r="I33" s="56">
        <x:v>7200</x:v>
      </x:c>
      <x:c r="J33" s="56">
        <x:v>7875</x:v>
      </x:c>
      <x:c r="K33" s="56">
        <x:v>7851</x:v>
      </x:c>
      <x:c r="L33" s="56">
        <x:v>7918</x:v>
      </x:c>
      <x:c r="M33" s="84">
        <x:v>8215</x:v>
      </x:c>
      <x:c r="N33" s="55"/>
      <x:c r="O33" s="55"/>
      <x:c r="P33" s="55"/>
      <x:c r="Q33" s="55"/>
      <x:c r="R33" s="55"/>
      <x:c r="S33" s="55"/>
      <x:c r="T33" s="55"/>
      <x:c r="U33" s="55"/>
      <x:c r="V33" s="55"/>
      <x:c r="W33" s="55"/>
      <x:c r="X33" s="55"/>
      <x:c r="Y33" s="55"/>
      <x:c r="AE33" s="4"/>
      <x:c r="AF33" s="4"/>
      <x:c r="AG33" s="4"/>
      <x:c r="AH33" s="4"/>
      <x:c r="AI33" s="4"/>
      <x:c r="AJ33" s="4"/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</x:row>
    <x:row r="34" spans="1:47" s="10" customFormat="1" ht="20.149999999999999" customHeight="1" x14ac:dyDescent="0.25">
      <x:c r="A34" s="59" t="s">
        <x:v>61</x:v>
      </x:c>
      <x:c r="B34" s="63">
        <x:v>2458</x:v>
      </x:c>
      <x:c r="C34" s="56">
        <x:v>3013</x:v>
      </x:c>
      <x:c r="D34" s="56">
        <x:v>3453</x:v>
      </x:c>
      <x:c r="E34" s="56">
        <x:v>4165</x:v>
      </x:c>
      <x:c r="F34" s="56">
        <x:v>5290</x:v>
      </x:c>
      <x:c r="G34" s="56">
        <x:v>8078</x:v>
      </x:c>
      <x:c r="H34" s="56">
        <x:v>8025</x:v>
      </x:c>
      <x:c r="I34" s="56">
        <x:v>9339</x:v>
      </x:c>
      <x:c r="J34" s="56">
        <x:v>8104</x:v>
      </x:c>
      <x:c r="K34" s="56">
        <x:v>8329</x:v>
      </x:c>
      <x:c r="L34" s="56">
        <x:v>7545</x:v>
      </x:c>
      <x:c r="M34" s="84">
        <x:v>7858</x:v>
      </x:c>
      <x:c r="N34" s="55"/>
      <x:c r="O34" s="55"/>
      <x:c r="P34" s="55"/>
      <x:c r="Q34" s="55"/>
      <x:c r="R34" s="55"/>
      <x:c r="S34" s="55"/>
      <x:c r="T34" s="55"/>
      <x:c r="U34" s="55"/>
      <x:c r="V34" s="55"/>
      <x:c r="W34" s="55"/>
      <x:c r="X34" s="55"/>
      <x:c r="Y34" s="55"/>
      <x:c r="AE34" s="4"/>
      <x:c r="AF34" s="4"/>
      <x:c r="AG34" s="4"/>
      <x:c r="AH34" s="4"/>
      <x:c r="AI34" s="4"/>
      <x:c r="AJ34" s="4"/>
      <x:c r="AK34" s="4"/>
      <x:c r="AL34" s="4"/>
      <x:c r="AM34" s="4"/>
      <x:c r="AN34" s="4"/>
      <x:c r="AO34" s="4"/>
      <x:c r="AP34" s="4"/>
      <x:c r="AQ34" s="4"/>
      <x:c r="AR34" s="4"/>
      <x:c r="AS34" s="4"/>
      <x:c r="AT34" s="4"/>
      <x:c r="AU34" s="4"/>
    </x:row>
    <x:row r="35" spans="1:47" s="10" customFormat="1" ht="20.149999999999999" customHeight="1" x14ac:dyDescent="0.25">
      <x:c r="A35" s="59" t="s">
        <x:v>24</x:v>
      </x:c>
      <x:c r="B35" s="63">
        <x:v>2363</x:v>
      </x:c>
      <x:c r="C35" s="56">
        <x:v>3032</x:v>
      </x:c>
      <x:c r="D35" s="56">
        <x:v>3344</x:v>
      </x:c>
      <x:c r="E35" s="56">
        <x:v>4246</x:v>
      </x:c>
      <x:c r="F35" s="56">
        <x:v>5401</x:v>
      </x:c>
      <x:c r="G35" s="56">
        <x:v>6789</x:v>
      </x:c>
      <x:c r="H35" s="56">
        <x:v>8346</x:v>
      </x:c>
      <x:c r="I35" s="56">
        <x:v>8527</x:v>
      </x:c>
      <x:c r="J35" s="56">
        <x:v>7794</x:v>
      </x:c>
      <x:c r="K35" s="56">
        <x:v>8330</x:v>
      </x:c>
      <x:c r="L35" s="56">
        <x:v>7688</x:v>
      </x:c>
      <x:c r="M35" s="84">
        <x:v>8750</x:v>
      </x:c>
      <x:c r="N35" s="55"/>
      <x:c r="O35" s="55"/>
      <x:c r="P35" s="55"/>
      <x:c r="Q35" s="55"/>
      <x:c r="R35" s="55"/>
      <x:c r="S35" s="55"/>
      <x:c r="T35" s="55"/>
      <x:c r="U35" s="55"/>
      <x:c r="V35" s="55"/>
      <x:c r="W35" s="55"/>
      <x:c r="X35" s="55"/>
      <x:c r="Y35" s="55"/>
      <x:c r="AE35" s="4"/>
      <x:c r="AF35" s="4"/>
      <x:c r="AG35" s="4"/>
      <x:c r="AH35" s="4"/>
      <x:c r="AI35" s="4"/>
      <x:c r="AJ35" s="4"/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</x:row>
    <x:row r="36" spans="1:47" s="10" customFormat="1" ht="20.149999999999999" customHeight="1" x14ac:dyDescent="0.25">
      <x:c r="A36" s="59" t="s">
        <x:v>25</x:v>
      </x:c>
      <x:c r="B36" s="63">
        <x:v>2354</x:v>
      </x:c>
      <x:c r="C36" s="56">
        <x:v>6675</x:v>
      </x:c>
      <x:c r="D36" s="56">
        <x:v>7335</x:v>
      </x:c>
      <x:c r="E36" s="56">
        <x:v>7763</x:v>
      </x:c>
      <x:c r="F36" s="56">
        <x:v>7863</x:v>
      </x:c>
      <x:c r="G36" s="56">
        <x:v>8215</x:v>
      </x:c>
      <x:c r="H36" s="56">
        <x:v>8588</x:v>
      </x:c>
      <x:c r="I36" s="56">
        <x:v>7744</x:v>
      </x:c>
      <x:c r="J36" s="56">
        <x:v>8247</x:v>
      </x:c>
      <x:c r="K36" s="56">
        <x:v>7774</x:v>
      </x:c>
      <x:c r="L36" s="56">
        <x:v>7791</x:v>
      </x:c>
      <x:c r="M36" s="84">
        <x:v>8012</x:v>
      </x:c>
      <x:c r="N36" s="55"/>
      <x:c r="O36" s="55"/>
      <x:c r="P36" s="55"/>
      <x:c r="Q36" s="55"/>
      <x:c r="R36" s="55"/>
      <x:c r="S36" s="55"/>
      <x:c r="T36" s="55"/>
      <x:c r="U36" s="55"/>
      <x:c r="V36" s="55"/>
      <x:c r="W36" s="55"/>
      <x:c r="X36" s="55"/>
      <x:c r="Y36" s="55"/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</x:row>
    <x:row r="37" spans="1:47" s="10" customFormat="1" ht="20.149999999999999" customHeight="1" x14ac:dyDescent="0.25">
      <x:c r="A37" s="59" t="s">
        <x:v>26</x:v>
      </x:c>
      <x:c r="B37" s="63">
        <x:v>2257</x:v>
      </x:c>
      <x:c r="C37" s="56">
        <x:v>7559</x:v>
      </x:c>
      <x:c r="D37" s="56">
        <x:v>7885</x:v>
      </x:c>
      <x:c r="E37" s="56">
        <x:v>8249</x:v>
      </x:c>
      <x:c r="F37" s="56">
        <x:v>7670</x:v>
      </x:c>
      <x:c r="G37" s="56">
        <x:v>8398</x:v>
      </x:c>
      <x:c r="H37" s="56">
        <x:v>8125</x:v>
      </x:c>
      <x:c r="I37" s="56">
        <x:v>8793</x:v>
      </x:c>
      <x:c r="J37" s="56">
        <x:v>7627</x:v>
      </x:c>
      <x:c r="K37" s="56">
        <x:v>7943</x:v>
      </x:c>
      <x:c r="L37" s="56">
        <x:v>8600</x:v>
      </x:c>
      <x:c r="M37" s="84">
        <x:v>8538</x:v>
      </x:c>
      <x:c r="N37" s="55"/>
      <x:c r="O37" s="55"/>
      <x:c r="P37" s="55"/>
      <x:c r="Q37" s="55"/>
      <x:c r="R37" s="55"/>
      <x:c r="S37" s="55"/>
      <x:c r="T37" s="55"/>
      <x:c r="U37" s="55"/>
      <x:c r="V37" s="55"/>
      <x:c r="W37" s="55"/>
      <x:c r="X37" s="55"/>
      <x:c r="Y37" s="55"/>
      <x:c r="AE37" s="4"/>
      <x:c r="AF37" s="4"/>
      <x:c r="AG37" s="4"/>
      <x:c r="AH37" s="4"/>
      <x:c r="AI37" s="4"/>
      <x:c r="AJ37" s="4"/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</x:row>
    <x:row r="38" spans="1:47" s="10" customFormat="1" ht="20.149999999999999" customHeight="1" x14ac:dyDescent="0.3">
      <x:c r="A38" s="60"/>
      <x:c r="B38" s="61"/>
      <x:c r="C38" s="87" t="s">
        <x:v>30</x:v>
      </x:c>
      <x:c r="D38" s="87" t="s">
        <x:v>31</x:v>
      </x:c>
      <x:c r="E38" s="87" t="s">
        <x:v>32</x:v>
      </x:c>
      <x:c r="F38" s="87" t="s">
        <x:v>105</x:v>
      </x:c>
      <x:c r="G38" s="61"/>
      <x:c r="H38" s="61"/>
      <x:c r="I38" s="61"/>
      <x:c r="J38" s="61"/>
      <x:c r="K38" s="61"/>
      <x:c r="L38" s="61"/>
      <x:c r="M38" s="61"/>
      <x:c r="N38" s="62"/>
      <x:c r="O38" s="62"/>
      <x:c r="P38" s="62"/>
      <x:c r="Q38" s="62"/>
      <x:c r="R38" s="62"/>
      <x:c r="S38" s="61"/>
      <x:c r="T38" s="61"/>
      <x:c r="U38" s="61"/>
      <x:c r="V38" s="61"/>
      <x:c r="W38" s="53"/>
      <x:c r="X38" s="53"/>
      <x:c r="Y38" s="53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  <x:c r="AP38" s="4"/>
      <x:c r="AQ38" s="4"/>
      <x:c r="AR38" s="4"/>
    </x:row>
    <x:row r="39" spans="1:47" s="10" customFormat="1" ht="20.149999999999999" customHeight="1" x14ac:dyDescent="0.3">
      <x:c r="A39" s="63" t="s">
        <x:v>28</x:v>
      </x:c>
      <x:c r="B39" s="64">
        <x:f>AVERAGE(B22:B37)</x:f>
        <x:v>2340.1875</x:v>
      </x:c>
      <x:c r="C39" s="59">
        <x:f>STDEVP(B22:B37)</x:f>
        <x:v>101.60414530790563</x:v>
      </x:c>
      <x:c r="D39" s="65">
        <x:f>C39/B39</x:f>
        <x:v>4.3417095983935318E-2</x:v>
      </x:c>
      <x:c r="E39" s="66">
        <x:f>1-3*(C39+C40)/(B40-B39)</x:f>
        <x:v>0.82820012514971852</x:v>
      </x:c>
      <x:c r="F39" s="86">
        <x:f>B40/B39</x:f>
        <x:v>3.496381166039046</x:v>
      </x:c>
      <x:c r="G39" s="61"/>
      <x:c r="H39" s="61"/>
      <x:c r="I39" s="61"/>
      <x:c r="J39" s="61"/>
      <x:c r="K39" s="61"/>
      <x:c r="L39" s="61"/>
      <x:c r="M39" s="61"/>
      <x:c r="N39" s="62"/>
      <x:c r="O39" s="62"/>
      <x:c r="P39" s="62"/>
      <x:c r="Q39" s="62"/>
      <x:c r="R39" s="62"/>
      <x:c r="S39" s="61"/>
      <x:c r="T39" s="61"/>
      <x:c r="U39" s="61"/>
      <x:c r="V39" s="61"/>
      <x:c r="W39" s="53"/>
      <x:c r="X39" s="53"/>
      <x:c r="Y39" s="53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  <x:c r="AP39" s="4"/>
      <x:c r="AQ39" s="4"/>
      <x:c r="AR39" s="4"/>
    </x:row>
    <x:row r="40" spans="1:47" s="10" customFormat="1" ht="20.149999999999999" customHeight="1" x14ac:dyDescent="0.3">
      <x:c r="A40" s="67" t="s">
        <x:v>29</x:v>
      </x:c>
      <x:c r="B40" s="68">
        <x:f>AVERAGE(M22:M37)</x:f>
        <x:v>8182.1875</x:v>
      </x:c>
      <x:c r="C40" s="59">
        <x:f>STDEVP(M22:M37)</x:f>
        <x:v>232.94747765054251</x:v>
      </x:c>
      <x:c r="D40" s="65">
        <x:f>C40/B40</x:f>
        <x:v>2.8470073272036666E-2</x:v>
      </x:c>
      <x:c r="E40" s="61"/>
      <x:c r="F40" s="61"/>
      <x:c r="G40" s="61"/>
      <x:c r="H40" s="61"/>
      <x:c r="I40" s="61"/>
      <x:c r="J40" s="61"/>
      <x:c r="K40" s="61"/>
      <x:c r="L40" s="61"/>
      <x:c r="M40" s="61"/>
      <x:c r="N40" s="62"/>
      <x:c r="O40" s="62"/>
      <x:c r="P40" s="62"/>
      <x:c r="Q40" s="62"/>
      <x:c r="R40" s="62"/>
      <x:c r="S40" s="61"/>
      <x:c r="T40" s="61"/>
      <x:c r="U40" s="61"/>
      <x:c r="V40" s="61"/>
      <x:c r="W40" s="53"/>
      <x:c r="X40" s="53"/>
      <x:c r="Y40" s="53"/>
      <x:c r="AE40" s="4"/>
      <x:c r="AF40" s="4"/>
      <x:c r="AG40" s="4"/>
      <x:c r="AH40" s="4"/>
      <x:c r="AI40" s="4"/>
      <x:c r="AJ40" s="4"/>
      <x:c r="AK40" s="4"/>
      <x:c r="AL40" s="4"/>
      <x:c r="AM40" s="4"/>
      <x:c r="AN40" s="4"/>
      <x:c r="AO40" s="4"/>
      <x:c r="AP40" s="4"/>
      <x:c r="AQ40" s="4"/>
      <x:c r="AR40" s="4"/>
    </x:row>
    <x:row r="41" spans="1:47" s="10" customFormat="1" ht="20.149999999999999" customHeight="1" x14ac:dyDescent="0.25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AE41" s="4"/>
      <x:c r="AF41" s="4"/>
      <x:c r="AG41" s="4"/>
      <x:c r="AH41" s="4"/>
      <x:c r="AI41" s="4"/>
      <x:c r="AJ41" s="4"/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</x:row>
    <x:row r="42" spans="1:47" s="10" customFormat="1" ht="20.149999999999999" customHeight="1" x14ac:dyDescent="0.25">
      <x:c r="A42" s="54" t="s">
        <x:v>62</x:v>
      </x:c>
      <x:c r="B42" s="58">
        <x:v>1</x:v>
      </x:c>
      <x:c r="C42" s="58">
        <x:v>2</x:v>
      </x:c>
      <x:c r="D42" s="58">
        <x:v>3</x:v>
      </x:c>
      <x:c r="E42" s="58">
        <x:v>4</x:v>
      </x:c>
      <x:c r="F42" s="58">
        <x:v>5</x:v>
      </x:c>
      <x:c r="G42" s="58">
        <x:v>6</x:v>
      </x:c>
      <x:c r="H42" s="58">
        <x:v>7</x:v>
      </x:c>
      <x:c r="I42" s="58">
        <x:v>8</x:v>
      </x:c>
      <x:c r="J42" s="58">
        <x:v>9</x:v>
      </x:c>
      <x:c r="K42" s="58">
        <x:v>10</x:v>
      </x:c>
      <x:c r="L42" s="58">
        <x:v>11</x:v>
      </x:c>
      <x:c r="M42" s="58">
        <x:v>12</x:v>
      </x:c>
      <x:c r="N42" s="58">
        <x:v>13</x:v>
      </x:c>
      <x:c r="O42" s="58">
        <x:v>14</x:v>
      </x:c>
      <x:c r="P42" s="58">
        <x:v>15</x:v>
      </x:c>
      <x:c r="Q42" s="58">
        <x:v>16</x:v>
      </x:c>
      <x:c r="R42" s="58">
        <x:v>17</x:v>
      </x:c>
      <x:c r="S42" s="58">
        <x:v>18</x:v>
      </x:c>
      <x:c r="T42" s="58">
        <x:v>19</x:v>
      </x:c>
      <x:c r="U42" s="58">
        <x:v>20</x:v>
      </x:c>
      <x:c r="V42" s="58">
        <x:v>21</x:v>
      </x:c>
      <x:c r="W42" s="58">
        <x:v>22</x:v>
      </x:c>
      <x:c r="X42" s="58">
        <x:v>23</x:v>
      </x:c>
      <x:c r="Y42" s="58">
        <x:v>24</x:v>
      </x:c>
      <x:c r="AE42" s="4"/>
      <x:c r="AF42" s="4"/>
      <x:c r="AG42" s="4"/>
      <x:c r="AH42" s="4"/>
      <x:c r="AI42" s="4"/>
      <x:c r="AJ42" s="4"/>
      <x:c r="AK42" s="4"/>
      <x:c r="AL42" s="4"/>
      <x:c r="AM42" s="4"/>
      <x:c r="AN42" s="4"/>
      <x:c r="AO42" s="4"/>
      <x:c r="AP42" s="4"/>
      <x:c r="AQ42" s="4"/>
      <x:c r="AR42" s="4"/>
      <x:c r="AS42" s="4"/>
      <x:c r="AT42" s="4"/>
      <x:c r="AU42" s="4"/>
    </x:row>
    <x:row r="43" spans="1:47" s="10" customFormat="1" ht="20.149999999999999" customHeight="1" x14ac:dyDescent="0.25">
      <x:c r="A43" s="59" t="str">
        <x:f>'Assay summary'!C2</x:f>
        <x:v>HRO761</x:v>
      </x:c>
      <x:c r="B43" s="58"/>
      <x:c r="C43" s="66">
        <x:f>($B$40-C22)/($B$40-$B$39)*100</x:f>
        <x:v>98.719402601848685</x:v>
      </x:c>
      <x:c r="D43" s="66">
        <x:f t="shared" ref="D43:L43" si="0">($B$40-D22)/($B$40-$B$39)*100</x:f>
        <x:v>91.290439917836352</x:v>
      </x:c>
      <x:c r="E43" s="66">
        <x:f t="shared" si="0"/>
        <x:v>96.733781239301607</x:v>
      </x:c>
      <x:c r="F43" s="66">
        <x:f t="shared" si="0"/>
        <x:v>85.556102362204726</x:v>
      </x:c>
      <x:c r="G43" s="66">
        <x:f t="shared" si="0"/>
        <x:v>69.191843546730567</x:v>
      </x:c>
      <x:c r="H43" s="66">
        <x:f t="shared" si="0"/>
        <x:v>31.396567956179389</x:v>
      </x:c>
      <x:c r="I43" s="66">
        <x:f t="shared" si="0"/>
        <x:v>22.392802122560767</x:v>
      </x:c>
      <x:c r="J43" s="66">
        <x:f t="shared" si="0"/>
        <x:v>5.138437179048271</x:v>
      </x:c>
      <x:c r="K43" s="66">
        <x:f t="shared" si="0"/>
        <x:v>6.4564789455665865</x:v>
      </x:c>
      <x:c r="L43" s="66">
        <x:f t="shared" si="0"/>
        <x:v>-2.9409876754536119</x:v>
      </x:c>
      <x:c r="M43" s="66"/>
      <x:c r="N43" s="59" t="str">
        <x:f>'Assay summary'!C10</x:f>
        <x:v>HW350004P1</x:v>
      </x:c>
      <x:c r="O43" s="66">
        <x:f>($B$40-O22)/($B$40-$B$39)*100</x:f>
        <x:v>15.614301609038</x:v>
      </x:c>
      <x:c r="P43" s="66">
        <x:f t="shared" ref="P43:X43" si="1">($B$40-P22)/($B$40-$B$39)*100</x:f>
        <x:v>11.523236905169462</x:v>
      </x:c>
      <x:c r="Q43" s="66">
        <x:f t="shared" si="1"/>
        <x:v>9.2808541595344067</x:v>
      </x:c>
      <x:c r="R43" s="66">
        <x:f t="shared" si="1"/>
        <x:v>3.4095771995891817</x:v>
      </x:c>
      <x:c r="S43" s="66">
        <x:f t="shared" si="1"/>
        <x:v>-2.18782095172886</x:v>
      </x:c>
      <x:c r="T43" s="66">
        <x:f t="shared" si="1"/>
        <x:v>2.0573005819924681</x:v>
      </x:c>
      <x:c r="U43" s="66">
        <x:f t="shared" si="1"/>
        <x:v>1.0987247517973298</x:v>
      </x:c>
      <x:c r="V43" s="66">
        <x:f t="shared" si="1"/>
        <x:v>7.1925282437521405</x:v>
      </x:c>
      <x:c r="W43" s="66">
        <x:f t="shared" si="1"/>
        <x:v>5.2240243067442655</x:v>
      </x:c>
      <x:c r="X43" s="66">
        <x:f t="shared" si="1"/>
        <x:v>-1.862589866484081</x:v>
      </x:c>
      <x:c r="Y43" s="66"/>
      <x:c r="AE43" s="4"/>
      <x:c r="AF43" s="4"/>
      <x:c r="AG43" s="4"/>
      <x:c r="AH43" s="4"/>
      <x:c r="AI43" s="4"/>
      <x:c r="AJ43" s="4"/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</x:row>
    <x:row r="44" spans="1:47" s="10" customFormat="1" ht="20.149999999999999" customHeight="1" x14ac:dyDescent="0.25">
      <x:c r="A44" s="59"/>
      <x:c r="B44" s="58"/>
      <x:c r="C44" s="66">
        <x:f t="shared" ref="C44:L58" si="2">($B$40-C23)/($B$40-$B$39)*100</x:f>
        <x:v>98.291466963368705</x:v>
      </x:c>
      <x:c r="D44" s="66">
        <x:f t="shared" si="2"/>
        <x:v>97.059012324546387</x:v>
      </x:c>
      <x:c r="E44" s="66">
        <x:f t="shared" si="2"/>
        <x:v>95.895027387880859</x:v>
      </x:c>
      <x:c r="F44" s="66">
        <x:f t="shared" si="2"/>
        <x:v>88.79129578911332</x:v>
      </x:c>
      <x:c r="G44" s="66">
        <x:f t="shared" si="2"/>
        <x:v>75.063120506675801</x:v>
      </x:c>
      <x:c r="H44" s="66">
        <x:f t="shared" si="2"/>
        <x:v>38.08948134200616</x:v>
      </x:c>
      <x:c r="I44" s="66">
        <x:f t="shared" si="2"/>
        <x:v>26.774863060595688</x:v>
      </x:c>
      <x:c r="J44" s="66">
        <x:f t="shared" si="2"/>
        <x:v>12.344873331051009</x:v>
      </x:c>
      <x:c r="K44" s="66">
        <x:f t="shared" si="2"/>
        <x:v>11.934055118110235</x:v>
      </x:c>
      <x:c r="L44" s="66">
        <x:f t="shared" si="2"/>
        <x:v>1.7320694967476891</x:v>
      </x:c>
      <x:c r="M44" s="66"/>
      <x:c r="N44" s="59"/>
      <x:c r="O44" s="66">
        <x:f t="shared" ref="O44:X44" si="3">($B$40-O23)/($B$40-$B$39)*100</x:f>
        <x:v>18.729673057172203</x:v>
      </x:c>
      <x:c r="P44" s="66">
        <x:f t="shared" si="3"/>
        <x:v>14.056615884970899</x:v>
      </x:c>
      <x:c r="Q44" s="66">
        <x:f t="shared" si="3"/>
        <x:v>12.190816501198219</x:v>
      </x:c>
      <x:c r="R44" s="66">
        <x:f t="shared" si="3"/>
        <x:v>4.3168007531667243</x:v>
      </x:c>
      <x:c r="S44" s="66">
        <x:f t="shared" si="3"/>
        <x:v>3.8032779869907567</x:v>
      </x:c>
      <x:c r="T44" s="66">
        <x:f t="shared" si="3"/>
        <x:v>-2.9752225265320096</x:v>
      </x:c>
      <x:c r="U44" s="66">
        <x:f t="shared" si="3"/>
        <x:v>10.718717904827114</x:v>
      </x:c>
      <x:c r="V44" s="66">
        <x:f t="shared" si="3"/>
        <x:v>5.9087213283122217</x:v>
      </x:c>
      <x:c r="W44" s="66">
        <x:f t="shared" si="3"/>
        <x:v>4.7276189661074977</x:v>
      </x:c>
      <x:c r="X44" s="66">
        <x:f t="shared" si="3"/>
        <x:v>2.4338839438548443</x:v>
      </x:c>
      <x:c r="Y44" s="66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</x:row>
    <x:row r="45" spans="1:47" s="10" customFormat="1" ht="20.149999999999999" customHeight="1" x14ac:dyDescent="0.25">
      <x:c r="A45" s="59" t="str">
        <x:f>'Assay summary'!C3</x:f>
        <x:v>HW350003A</x:v>
      </x:c>
      <x:c r="B45" s="58"/>
      <x:c r="C45" s="66">
        <x:f t="shared" si="2"/>
        <x:v>95.141860664156113</x:v>
      </x:c>
      <x:c r="D45" s="66">
        <x:f t="shared" si="2"/>
        <x:v>91.427379322149946</x:v>
      </x:c>
      <x:c r="E45" s="66">
        <x:f t="shared" si="2"/>
        <x:v>77.151446422458065</x:v>
      </x:c>
      <x:c r="F45" s="66">
        <x:f t="shared" si="2"/>
        <x:v>70.287358781239305</x:v>
      </x:c>
      <x:c r="G45" s="66">
        <x:f t="shared" si="2"/>
        <x:v>34.820053064019177</x:v>
      </x:c>
      <x:c r="H45" s="66">
        <x:f t="shared" si="2"/>
        <x:v>7.9799298185552896</x:v>
      </x:c>
      <x:c r="I45" s="66">
        <x:f t="shared" si="2"/>
        <x:v>14.039498459431702</x:v>
      </x:c>
      <x:c r="J45" s="66">
        <x:f t="shared" si="2"/>
        <x:v>20.920703526189659</x:v>
      </x:c>
      <x:c r="K45" s="66">
        <x:f t="shared" si="2"/>
        <x:v>1.9888308798356729</x:v>
      </x:c>
      <x:c r="L45" s="66">
        <x:f t="shared" si="2"/>
        <x:v>11.043948990071893</x:v>
      </x:c>
      <x:c r="M45" s="66"/>
      <x:c r="N45" s="59" t="str">
        <x:f>'Assay summary'!C11</x:f>
        <x:v>HW350004P2</x:v>
      </x:c>
      <x:c r="O45" s="66">
        <x:f t="shared" ref="O45:X45" si="4">($B$40-O24)/($B$40-$B$39)*100</x:f>
        <x:v>90.965208832591586</x:v>
      </x:c>
      <x:c r="P45" s="66">
        <x:f t="shared" si="4"/>
        <x:v>83.621833276275254</x:v>
      </x:c>
      <x:c r="Q45" s="66">
        <x:f t="shared" si="4"/>
        <x:v>54.487975008558706</x:v>
      </x:c>
      <x:c r="R45" s="66">
        <x:f t="shared" si="4"/>
        <x:v>57.158293392673741</x:v>
      </x:c>
      <x:c r="S45" s="66">
        <x:f t="shared" si="4"/>
        <x:v>35.898450872988704</x:v>
      </x:c>
      <x:c r="T45" s="66">
        <x:f t="shared" si="4"/>
        <x:v>28.401018486819584</x:v>
      </x:c>
      <x:c r="U45" s="66">
        <x:f t="shared" si="4"/>
        <x:v>20.749529270797673</x:v>
      </x:c>
      <x:c r="V45" s="66">
        <x:f t="shared" si="4"/>
        <x:v>20.612589866484079</x:v>
      </x:c>
      <x:c r="W45" s="66">
        <x:f t="shared" si="4"/>
        <x:v>10.804305032523107</x:v>
      </x:c>
      <x:c r="X45" s="66">
        <x:f t="shared" si="4"/>
        <x:v>12.447577884286204</x:v>
      </x:c>
      <x:c r="Y45" s="66"/>
      <x:c r="AE45" s="4"/>
      <x:c r="AF45" s="4"/>
      <x:c r="AG45" s="4"/>
      <x:c r="AH45" s="4"/>
      <x:c r="AI45" s="4"/>
      <x:c r="AJ45" s="4"/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</x:row>
    <x:row r="46" spans="1:47" s="10" customFormat="1" ht="20.149999999999999" customHeight="1" x14ac:dyDescent="0.25">
      <x:c r="A46" s="59"/>
      <x:c r="B46" s="58"/>
      <x:c r="C46" s="66">
        <x:f t="shared" si="2"/>
        <x:v>94.337341663813774</x:v>
      </x:c>
      <x:c r="D46" s="66">
        <x:f t="shared" si="2"/>
        <x:v>89.955280725778834</x:v>
      </x:c>
      <x:c r="E46" s="66">
        <x:f t="shared" si="2"/>
        <x:v>76.672158507360493</x:v>
      </x:c>
      <x:c r="F46" s="66">
        <x:f t="shared" si="2"/>
        <x:v>62.105229373502226</x:v>
      </x:c>
      <x:c r="G46" s="66">
        <x:f t="shared" si="2"/>
        <x:v>33.125427935638477</x:v>
      </x:c>
      <x:c r="H46" s="66">
        <x:f t="shared" si="2"/>
        <x:v>11.061066415611092</x:v>
      </x:c>
      <x:c r="I46" s="66">
        <x:f t="shared" si="2"/>
        <x:v>11.317827798699076</x:v>
      </x:c>
      <x:c r="J46" s="66">
        <x:f t="shared" si="2"/>
        <x:v>10.821422458062308</x:v>
      </x:c>
      <x:c r="K46" s="66">
        <x:f t="shared" si="2"/>
        <x:v>4.5050924340979117</x:v>
      </x:c>
      <x:c r="L46" s="66">
        <x:f t="shared" si="2"/>
        <x:v>-1.7770027387880865</x:v>
      </x:c>
      <x:c r="M46" s="66"/>
      <x:c r="N46" s="59"/>
      <x:c r="O46" s="66">
        <x:f t="shared" ref="O46:X46" si="5">($B$40-O25)/($B$40-$B$39)*100</x:f>
        <x:v>93.070652173913047</x:v>
      </x:c>
      <x:c r="P46" s="66">
        <x:f t="shared" si="5"/>
        <x:v>83.193897637795274</x:v>
      </x:c>
      <x:c r="Q46" s="66">
        <x:f t="shared" si="5"/>
        <x:v>76.4325145498117</x:v>
      </x:c>
      <x:c r="R46" s="66">
        <x:f t="shared" si="5"/>
        <x:v>57.911460116398494</x:v>
      </x:c>
      <x:c r="S46" s="66">
        <x:f t="shared" si="5"/>
        <x:v>37.319197192742209</x:v>
      </x:c>
      <x:c r="T46" s="66">
        <x:f t="shared" si="5"/>
        <x:v>-21.307985279014037</x:v>
      </x:c>
      <x:c r="U46" s="66">
        <x:f t="shared" si="5"/>
        <x:v>15.066543991783634</x:v>
      </x:c>
      <x:c r="V46" s="66">
        <x:f t="shared" si="5"/>
        <x:v>10.735835330366312</x:v>
      </x:c>
      <x:c r="W46" s="66">
        <x:f t="shared" si="5"/>
        <x:v>16.761169120164325</x:v>
      </x:c>
      <x:c r="X46" s="66">
        <x:f t="shared" si="5"/>
        <x:v>16.076472098596369</x:v>
      </x:c>
      <x:c r="Y46" s="66"/>
      <x:c r="AE46" s="4"/>
      <x:c r="AF46" s="4"/>
      <x:c r="AG46" s="4"/>
      <x:c r="AH46" s="4"/>
      <x:c r="AI46" s="4"/>
      <x:c r="AJ46" s="4"/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</x:row>
    <x:row r="47" spans="1:47" s="10" customFormat="1" ht="20.149999999999999" customHeight="1" x14ac:dyDescent="0.25">
      <x:c r="A47" s="59" t="str">
        <x:f>'Assay summary'!C4</x:f>
        <x:v>HW350003B</x:v>
      </x:c>
      <x:c r="B47" s="58"/>
      <x:c r="C47" s="66">
        <x:f t="shared" si="2"/>
        <x:v>41.307557343375557</x:v>
      </x:c>
      <x:c r="D47" s="66">
        <x:f t="shared" si="2"/>
        <x:v>16.196294077370762</x:v>
      </x:c>
      <x:c r="E47" s="66">
        <x:f t="shared" si="2"/>
        <x:v>3.734808284833961</x:v>
      </x:c>
      <x:c r="F47" s="66">
        <x:f t="shared" si="2"/>
        <x:v>-3.1121619308456006</x:v>
      </x:c>
      <x:c r="G47" s="66">
        <x:f t="shared" si="2"/>
        <x:v>-3.0779270797672029</x:v>
      </x:c>
      <x:c r="H47" s="66">
        <x:f t="shared" si="2"/>
        <x:v>0.65367168777815809</x:v>
      </x:c>
      <x:c r="I47" s="66">
        <x:f t="shared" si="2"/>
        <x:v>6.764592605272167</x:v>
      </x:c>
      <x:c r="J47" s="66">
        <x:f t="shared" si="2"/>
        <x:v>0.7221413899349538</x:v>
      </x:c>
      <x:c r="K47" s="66">
        <x:f t="shared" si="2"/>
        <x:v>5.9087213283122217</x:v>
      </x:c>
      <x:c r="L47" s="66">
        <x:f t="shared" si="2"/>
        <x:v>-2.4959346114344401</x:v>
      </x:c>
      <x:c r="M47" s="66"/>
      <x:c r="N47" s="59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  <x:c r="Y47" s="66"/>
      <x:c r="AE47" s="4"/>
      <x:c r="AF47" s="4"/>
      <x:c r="AG47" s="4"/>
      <x:c r="AH47" s="4"/>
      <x:c r="AI47" s="4"/>
      <x:c r="AJ47" s="4"/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</x:row>
    <x:row r="48" spans="1:47" s="10" customFormat="1" ht="20.149999999999999" customHeight="1" x14ac:dyDescent="0.25">
      <x:c r="A48" s="59"/>
      <x:c r="B48" s="58"/>
      <x:c r="C48" s="66">
        <x:f t="shared" si="2"/>
        <x:v>36.942613830879836</x:v>
      </x:c>
      <x:c r="D48" s="66">
        <x:f t="shared" si="2"/>
        <x:v>10.444839096199932</x:v>
      </x:c>
      <x:c r="E48" s="66">
        <x:f t="shared" si="2"/>
        <x:v>3.3753423485107841</x:v>
      </x:c>
      <x:c r="F48" s="66">
        <x:f t="shared" si="2"/>
        <x:v>-0.39049127011297502</x:v>
      </x:c>
      <x:c r="G48" s="66">
        <x:f t="shared" si="2"/>
        <x:v>-1.862589866484081</x:v>
      </x:c>
      <x:c r="H48" s="66">
        <x:f t="shared" si="2"/>
        <x:v>-23.961186237589864</x:v>
      </x:c>
      <x:c r="I48" s="66">
        <x:f t="shared" si="2"/>
        <x:v>9.6916723724751801</x:v>
      </x:c>
      <x:c r="J48" s="66">
        <x:f t="shared" si="2"/>
        <x:v>3.3582249229715853</x:v>
      </x:c>
      <x:c r="K48" s="66">
        <x:f t="shared" si="2"/>
        <x:v>-0.73283978089695312</x:v>
      </x:c>
      <x:c r="L48" s="66">
        <x:f t="shared" si="2"/>
        <x:v>-1.1094231427593291</x:v>
      </x:c>
      <x:c r="M48" s="66"/>
      <x:c r="N48" s="59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  <x:c r="Y48" s="66"/>
      <x:c r="AE48" s="4"/>
      <x:c r="AF48" s="4"/>
      <x:c r="AG48" s="4"/>
      <x:c r="AH48" s="4"/>
      <x:c r="AI48" s="4"/>
      <x:c r="AJ48" s="4"/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</x:row>
    <x:row r="49" spans="1:47" s="10" customFormat="1" ht="20.149999999999999" customHeight="1" x14ac:dyDescent="0.25">
      <x:c r="A49" s="59" t="str">
        <x:f>'Assay summary'!C5</x:f>
        <x:v>HW356010</x:v>
      </x:c>
      <x:c r="B49" s="58"/>
      <x:c r="C49" s="66">
        <x:f t="shared" si="2"/>
        <x:v>33.365071893187263</x:v>
      </x:c>
      <x:c r="D49" s="66">
        <x:f t="shared" si="2"/>
        <x:v>26.449631975350908</x:v>
      </x:c>
      <x:c r="E49" s="66">
        <x:f t="shared" si="2"/>
        <x:v>45.638266004792875</x:v>
      </x:c>
      <x:c r="F49" s="66">
        <x:f t="shared" si="2"/>
        <x:v>1.5780126668948988</x:v>
      </x:c>
      <x:c r="G49" s="66">
        <x:f t="shared" si="2"/>
        <x:v>-3.7968589524135572</x:v>
      </x:c>
      <x:c r="H49" s="66">
        <x:f t="shared" si="2"/>
        <x:v>11.951172543649434</x:v>
      </x:c>
      <x:c r="I49" s="66">
        <x:f t="shared" si="2"/>
        <x:v>-2.1707035261896612</x:v>
      </x:c>
      <x:c r="J49" s="66">
        <x:f t="shared" si="2"/>
        <x:v>3.3239900718931876</x:v>
      </x:c>
      <x:c r="K49" s="66">
        <x:f t="shared" si="2"/>
        <x:v>4.967262923656282</x:v>
      </x:c>
      <x:c r="L49" s="66">
        <x:f t="shared" si="2"/>
        <x:v>3.5978688805203696</x:v>
      </x:c>
      <x:c r="M49" s="66"/>
      <x:c r="N49" s="59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  <x:c r="Y49" s="66"/>
      <x:c r="AE49" s="4"/>
      <x:c r="AF49" s="4"/>
      <x:c r="AG49" s="4"/>
      <x:c r="AH49" s="4"/>
      <x:c r="AI49" s="4"/>
      <x:c r="AJ49" s="4"/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</x:row>
    <x:row r="50" spans="1:47" s="10" customFormat="1" ht="20.149999999999999" customHeight="1" x14ac:dyDescent="0.25">
      <x:c r="A50" s="59"/>
      <x:c r="B50" s="58"/>
      <x:c r="C50" s="66">
        <x:f t="shared" si="2"/>
        <x:v>39.681401917151661</x:v>
      </x:c>
      <x:c r="D50" s="66">
        <x:f t="shared" si="2"/>
        <x:v>23.488317357069498</x:v>
      </x:c>
      <x:c r="E50" s="66">
        <x:f t="shared" si="2"/>
        <x:v>1.6122475179732969</x:v>
      </x:c>
      <x:c r="F50" s="66">
        <x:f t="shared" si="2"/>
        <x:v>7.0898236905169458</x:v>
      </x:c>
      <x:c r="G50" s="66">
        <x:f t="shared" si="2"/>
        <x:v>-4.9779613146182813</x:v>
      </x:c>
      <x:c r="H50" s="66">
        <x:f t="shared" si="2"/>
        <x:v>10.684483053748718</x:v>
      </x:c>
      <x:c r="I50" s="66">
        <x:f t="shared" si="2"/>
        <x:v>3.7176908592947622</x:v>
      </x:c>
      <x:c r="J50" s="66">
        <x:f t="shared" si="2"/>
        <x:v>3.9059825402259505</x:v>
      </x:c>
      <x:c r="K50" s="66">
        <x:f t="shared" si="2"/>
        <x:v>6.319539541252996</x:v>
      </x:c>
      <x:c r="L50" s="66">
        <x:f t="shared" si="2"/>
        <x:v>2.2627096884628548</x:v>
      </x:c>
      <x:c r="M50" s="66"/>
      <x:c r="N50" s="59"/>
      <x:c r="O50" s="66"/>
      <x:c r="P50" s="66"/>
      <x:c r="Q50" s="66"/>
      <x:c r="R50" s="66"/>
      <x:c r="S50" s="66"/>
      <x:c r="T50" s="66"/>
      <x:c r="U50" s="66"/>
      <x:c r="V50" s="66"/>
      <x:c r="W50" s="66"/>
      <x:c r="X50" s="66"/>
      <x:c r="Y50" s="66"/>
      <x:c r="AE50" s="4"/>
      <x:c r="AF50" s="4"/>
      <x:c r="AG50" s="4"/>
      <x:c r="AH50" s="4"/>
      <x:c r="AI50" s="4"/>
      <x:c r="AJ50" s="4"/>
      <x:c r="AK50" s="4"/>
      <x:c r="AL50" s="4"/>
      <x:c r="AM50" s="4"/>
      <x:c r="AN50" s="4"/>
      <x:c r="AO50" s="4"/>
      <x:c r="AP50" s="4"/>
      <x:c r="AQ50" s="4"/>
      <x:c r="AR50" s="4"/>
      <x:c r="AS50" s="4"/>
      <x:c r="AT50" s="4"/>
      <x:c r="AU50" s="4"/>
    </x:row>
    <x:row r="51" spans="1:47" s="10" customFormat="1" ht="20.149999999999999" customHeight="1" x14ac:dyDescent="0.25">
      <x:c r="A51" s="59" t="str">
        <x:f>'Assay summary'!C6</x:f>
        <x:v>HW356022</x:v>
      </x:c>
      <x:c r="B51" s="58"/>
      <x:c r="C51" s="66">
        <x:f t="shared" si="2"/>
        <x:v>14.296259842519685</x:v>
      </x:c>
      <x:c r="D51" s="66">
        <x:f t="shared" si="2"/>
        <x:v>12.310638479972612</x:v>
      </x:c>
      <x:c r="E51" s="66">
        <x:f t="shared" si="2"/>
        <x:v>-4.6013779527559056</x:v>
      </x:c>
      <x:c r="F51" s="66">
        <x:f t="shared" si="2"/>
        <x:v>3.2726377952755903</x:v>
      </x:c>
      <x:c r="G51" s="66">
        <x:f t="shared" si="2"/>
        <x:v>6.4222440944881889</x:v>
      </x:c>
      <x:c r="H51" s="66">
        <x:f t="shared" si="2"/>
        <x:v>1.8176566244436838</x:v>
      </x:c>
      <x:c r="I51" s="66">
        <x:f t="shared" si="2"/>
        <x:v>1.4581906881205067</x:v>
      </x:c>
      <x:c r="J51" s="66">
        <x:f t="shared" si="2"/>
        <x:v>6.4735963711057858</x:v>
      </x:c>
      <x:c r="K51" s="66">
        <x:f t="shared" si="2"/>
        <x:v>3.734808284833961</x:v>
      </x:c>
      <x:c r="L51" s="66">
        <x:f t="shared" si="2"/>
        <x:v>3.032993837726806</x:v>
      </x:c>
      <x:c r="M51" s="66"/>
      <x:c r="N51" s="59"/>
      <x:c r="O51" s="66"/>
      <x:c r="P51" s="66"/>
      <x:c r="Q51" s="66"/>
      <x:c r="R51" s="66"/>
      <x:c r="S51" s="66"/>
      <x:c r="T51" s="66"/>
      <x:c r="U51" s="66"/>
      <x:c r="V51" s="66"/>
      <x:c r="W51" s="66"/>
      <x:c r="X51" s="66"/>
      <x:c r="Y51" s="66"/>
      <x:c r="AE51" s="4"/>
      <x:c r="AF51" s="4"/>
      <x:c r="AG51" s="4"/>
      <x:c r="AH51" s="4"/>
      <x:c r="AI51" s="4"/>
      <x:c r="AJ51" s="4"/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</x:row>
    <x:row r="52" spans="1:47" s="10" customFormat="1" ht="20.149999999999999" customHeight="1" x14ac:dyDescent="0.25">
      <x:c r="A52" s="59"/>
      <x:c r="B52" s="58"/>
      <x:c r="C52" s="66">
        <x:f t="shared" si="2"/>
        <x:v>13.508858267716537</x:v>
      </x:c>
      <x:c r="D52" s="66">
        <x:f t="shared" si="2"/>
        <x:v>18.60985107839781</x:v>
      </x:c>
      <x:c r="E52" s="66">
        <x:f t="shared" si="2"/>
        <x:v>3.2095172885997949E-3</x:v>
      </x:c>
      <x:c r="F52" s="66">
        <x:f t="shared" si="2"/>
        <x:v>20.954938377268061</x:v>
      </x:c>
      <x:c r="G52" s="66">
        <x:f t="shared" si="2"/>
        <x:v>2.2798271140020541</x:v>
      </x:c>
      <x:c r="H52" s="66">
        <x:f t="shared" si="2"/>
        <x:v>-12.851977062649777</x:v>
      </x:c>
      <x:c r="I52" s="66">
        <x:f t="shared" si="2"/>
        <x:v>3.9230999657651493</x:v>
      </x:c>
      <x:c r="J52" s="66">
        <x:f t="shared" si="2"/>
        <x:v>12.704339267374188</x:v>
      </x:c>
      <x:c r="K52" s="66">
        <x:f t="shared" si="2"/>
        <x:v>4.6762666894899008</x:v>
      </x:c>
      <x:c r="L52" s="66">
        <x:f t="shared" si="2"/>
        <x:v>11.540354330708661</x:v>
      </x:c>
      <x:c r="M52" s="66"/>
      <x:c r="N52" s="59"/>
      <x:c r="O52" s="66"/>
      <x:c r="P52" s="66"/>
      <x:c r="Q52" s="66"/>
      <x:c r="R52" s="66"/>
      <x:c r="S52" s="66"/>
      <x:c r="T52" s="66"/>
      <x:c r="U52" s="66"/>
      <x:c r="V52" s="66"/>
      <x:c r="W52" s="66"/>
      <x:c r="X52" s="66"/>
      <x:c r="Y52" s="66"/>
      <x:c r="AE52" s="4"/>
      <x:c r="AF52" s="4"/>
      <x:c r="AG52" s="4"/>
      <x:c r="AH52" s="4"/>
      <x:c r="AI52" s="4"/>
      <x:c r="AJ52" s="4"/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</x:row>
    <x:row r="53" spans="1:47" s="10" customFormat="1" ht="20.149999999999999" customHeight="1" x14ac:dyDescent="0.25">
      <x:c r="A53" s="59" t="str">
        <x:f>'Assay summary'!C7</x:f>
        <x:v>HW356024B</x:v>
      </x:c>
      <x:c r="B53" s="58"/>
      <x:c r="C53" s="66">
        <x:f t="shared" si="2"/>
        <x:v>36.360621362547072</x:v>
      </x:c>
      <x:c r="D53" s="66">
        <x:f t="shared" si="2"/>
        <x:v>13.252096884628553</x:v>
      </x:c>
      <x:c r="E53" s="66">
        <x:f t="shared" si="2"/>
        <x:v>6.8330623074289623</x:v>
      </x:c>
      <x:c r="F53" s="66">
        <x:f t="shared" si="2"/>
        <x:v>14.587256076686067</x:v>
      </x:c>
      <x:c r="G53" s="66">
        <x:f t="shared" si="2"/>
        <x:v>1.4410732625813076</x:v>
      </x:c>
      <x:c r="H53" s="66">
        <x:f t="shared" si="2"/>
        <x:v>-8.0590979116740851</x:v>
      </x:c>
      <x:c r="I53" s="66">
        <x:f t="shared" si="2"/>
        <x:v>-6.7752909962341663</x:v>
      </x:c>
      <x:c r="J53" s="66">
        <x:f t="shared" si="2"/>
        <x:v>-0.42472612119137282</x:v>
      </x:c>
      <x:c r="K53" s="66">
        <x:f t="shared" si="2"/>
        <x:v>-3.1292793563847994</x:v>
      </x:c>
      <x:c r="L53" s="66">
        <x:f t="shared" si="2"/>
        <x:v>3.6492211571379665</x:v>
      </x:c>
      <x:c r="M53" s="66"/>
      <x:c r="N53" s="59"/>
      <x:c r="O53" s="66"/>
      <x:c r="P53" s="66"/>
      <x:c r="Q53" s="66"/>
      <x:c r="R53" s="66"/>
      <x:c r="S53" s="66"/>
      <x:c r="T53" s="66"/>
      <x:c r="U53" s="66"/>
      <x:c r="V53" s="66"/>
      <x:c r="W53" s="66"/>
      <x:c r="X53" s="66"/>
      <x:c r="Y53" s="66"/>
      <x:c r="AE53" s="4"/>
      <x:c r="AF53" s="4"/>
      <x:c r="AG53" s="4"/>
      <x:c r="AH53" s="4"/>
      <x:c r="AI53" s="4"/>
      <x:c r="AJ53" s="4"/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</x:row>
    <x:row r="54" spans="1:47" s="10" customFormat="1" ht="20.149999999999999" customHeight="1" x14ac:dyDescent="0.25">
      <x:c r="A54" s="59"/>
      <x:c r="B54" s="58"/>
      <x:c r="C54" s="66">
        <x:f t="shared" si="2"/>
        <x:v>43.549940089010612</x:v>
      </x:c>
      <x:c r="D54" s="66">
        <x:f t="shared" si="2"/>
        <x:v>19.328782951044161</x:v>
      </x:c>
      <x:c r="E54" s="66">
        <x:f t="shared" si="2"/>
        <x:v>11.095301266689491</x:v>
      </x:c>
      <x:c r="F54" s="66">
        <x:f t="shared" si="2"/>
        <x:v>13.423271140020541</x:v>
      </x:c>
      <x:c r="G54" s="66">
        <x:f t="shared" si="2"/>
        <x:v>5.6177250941458405</x:v>
      </x:c>
      <x:c r="H54" s="66">
        <x:f t="shared" si="2"/>
        <x:v>10.239429989729544</x:v>
      </x:c>
      <x:c r="I54" s="66">
        <x:f t="shared" si="2"/>
        <x:v>16.812521396781925</x:v>
      </x:c>
      <x:c r="J54" s="66">
        <x:f t="shared" si="2"/>
        <x:v>5.2582591578226641</x:v>
      </x:c>
      <x:c r="K54" s="66">
        <x:f t="shared" si="2"/>
        <x:v>5.6690773707634374</x:v>
      </x:c>
      <x:c r="L54" s="66">
        <x:f t="shared" si="2"/>
        <x:v>4.522209859637111</x:v>
      </x:c>
      <x:c r="M54" s="66"/>
      <x:c r="N54" s="59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  <x:c r="Y54" s="66"/>
      <x:c r="AE54" s="4"/>
      <x:c r="AF54" s="4"/>
      <x:c r="AG54" s="4"/>
      <x:c r="AH54" s="4"/>
      <x:c r="AI54" s="4"/>
      <x:c r="AJ54" s="4"/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</x:row>
    <x:row r="55" spans="1:47" s="10" customFormat="1" ht="20.149999999999999" customHeight="1" x14ac:dyDescent="0.25">
      <x:c r="A55" s="59" t="str">
        <x:f>'Assay summary'!C8</x:f>
        <x:v>HW356024A</x:v>
      </x:c>
      <x:c r="B55" s="58"/>
      <x:c r="C55" s="66">
        <x:f t="shared" si="2"/>
        <x:v>88.483182129407737</x:v>
      </x:c>
      <x:c r="D55" s="66">
        <x:f t="shared" si="2"/>
        <x:v>80.951514892160219</x:v>
      </x:c>
      <x:c r="E55" s="66">
        <x:f t="shared" si="2"/>
        <x:v>68.763907908250602</x:v>
      </x:c>
      <x:c r="F55" s="66">
        <x:f t="shared" si="2"/>
        <x:v>49.506804176651833</x:v>
      </x:c>
      <x:c r="G55" s="66">
        <x:f t="shared" si="2"/>
        <x:v>1.783421773365286</x:v>
      </x:c>
      <x:c r="H55" s="66">
        <x:f t="shared" si="2"/>
        <x:v>2.6906453269428279</x:v>
      </x:c>
      <x:c r="I55" s="66">
        <x:f t="shared" si="2"/>
        <x:v>-19.801651831564531</x:v>
      </x:c>
      <x:c r="J55" s="66">
        <x:f t="shared" si="2"/>
        <x:v>1.3383687093461143</x:v>
      </x:c>
      <x:c r="K55" s="66">
        <x:f t="shared" si="2"/>
        <x:v>-2.5130520369736389</x:v>
      </x:c>
      <x:c r="L55" s="66">
        <x:f t="shared" si="2"/>
        <x:v>10.907009585758303</x:v>
      </x:c>
      <x:c r="M55" s="66"/>
      <x:c r="N55" s="59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AE55" s="4"/>
      <x:c r="AF55" s="4"/>
      <x:c r="AG55" s="4"/>
      <x:c r="AH55" s="4"/>
      <x:c r="AI55" s="4"/>
      <x:c r="AJ55" s="4"/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</x:row>
    <x:row r="56" spans="1:47" s="10" customFormat="1" ht="20.149999999999999" customHeight="1" x14ac:dyDescent="0.25">
      <x:c r="A56" s="53"/>
      <x:c r="B56" s="58"/>
      <x:c r="C56" s="66">
        <x:f t="shared" si="2"/>
        <x:v>88.157951044162957</x:v>
      </x:c>
      <x:c r="D56" s="66">
        <x:f t="shared" si="2"/>
        <x:v>82.817314275932901</x:v>
      </x:c>
      <x:c r="E56" s="66">
        <x:f t="shared" si="2"/>
        <x:v>67.377396439575492</x:v>
      </x:c>
      <x:c r="F56" s="66">
        <x:f t="shared" si="2"/>
        <x:v>47.606769941800749</x:v>
      </x:c>
      <x:c r="G56" s="66">
        <x:f t="shared" si="2"/>
        <x:v>23.847783293392673</x:v>
      </x:c>
      <x:c r="H56" s="66">
        <x:f t="shared" si="2"/>
        <x:v>-2.8040482711400205</x:v>
      </x:c>
      <x:c r="I56" s="66">
        <x:f t="shared" si="2"/>
        <x:v>-5.9023022937350218</x:v>
      </x:c>
      <x:c r="J56" s="66">
        <x:f t="shared" si="2"/>
        <x:v>6.6447706264977739</x:v>
      </x:c>
      <x:c r="K56" s="66">
        <x:f t="shared" si="2"/>
        <x:v>-2.5301694625128377</x:v>
      </x:c>
      <x:c r="L56" s="66">
        <x:f t="shared" si="2"/>
        <x:v>8.4592177336528582</x:v>
      </x:c>
      <x:c r="M56" s="66"/>
      <x:c r="N56" s="59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AE56" s="4"/>
      <x:c r="AF56" s="4"/>
      <x:c r="AG56" s="4"/>
      <x:c r="AH56" s="4"/>
      <x:c r="AI56" s="4"/>
      <x:c r="AJ56" s="4"/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</x:row>
    <x:row r="57" spans="1:47" s="10" customFormat="1" ht="20.149999999999999" customHeight="1" x14ac:dyDescent="0.25">
      <x:c r="A57" s="59" t="str">
        <x:f>'Assay summary'!C9</x:f>
        <x:v>HW356024-BP</x:v>
      </x:c>
      <x:c r="B57" s="58"/>
      <x:c r="C57" s="66">
        <x:f t="shared" si="2"/>
        <x:v>25.79916980486135</x:v>
      </x:c>
      <x:c r="D57" s="66">
        <x:f t="shared" si="2"/>
        <x:v>14.501668948990071</x:v>
      </x:c>
      <x:c r="E57" s="66">
        <x:f t="shared" si="2"/>
        <x:v>7.1754108182129404</x:v>
      </x:c>
      <x:c r="F57" s="66">
        <x:f t="shared" si="2"/>
        <x:v>5.4636682642930507</x:v>
      </x:c>
      <x:c r="G57" s="66">
        <x:f t="shared" si="2"/>
        <x:v>-0.56166552550496407</x:v>
      </x:c>
      <x:c r="H57" s="66">
        <x:f t="shared" si="2"/>
        <x:v>-6.9464652516261545</x:v>
      </x:c>
      <x:c r="I57" s="66">
        <x:f t="shared" si="2"/>
        <x:v>7.5006419034577192</x:v>
      </x:c>
      <x:c r="J57" s="66">
        <x:f t="shared" si="2"/>
        <x:v>-1.1094231427593291</x:v>
      </x:c>
      <x:c r="K57" s="66">
        <x:f t="shared" si="2"/>
        <x:v>6.9871191372817529</x:v>
      </x:c>
      <x:c r="L57" s="66">
        <x:f t="shared" si="2"/>
        <x:v>6.6961229031153717</x:v>
      </x:c>
      <x:c r="M57" s="66"/>
      <x:c r="N57" s="59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AE57" s="4"/>
      <x:c r="AF57" s="4"/>
      <x:c r="AG57" s="4"/>
      <x:c r="AH57" s="4"/>
      <x:c r="AI57" s="4"/>
      <x:c r="AJ57" s="4"/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</x:row>
    <x:row r="58" spans="1:47" s="10" customFormat="1" ht="20.149999999999999" customHeight="1" x14ac:dyDescent="0.25">
      <x:c r="A58" s="59"/>
      <x:c r="B58" s="58"/>
      <x:c r="C58" s="66">
        <x:f t="shared" si="2"/>
        <x:v>10.667365628209517</x:v>
      </x:c>
      <x:c r="D58" s="66">
        <x:f t="shared" si="2"/>
        <x:v>5.087084902430675</x:v>
      </x:c>
      <x:c r="E58" s="66">
        <x:f t="shared" si="2"/>
        <x:v>-1.1436579938377269</x:v>
      </x:c>
      <x:c r="F58" s="66">
        <x:f t="shared" si="2"/>
        <x:v>8.7673313933584396</x:v>
      </x:c>
      <x:c r="G58" s="66">
        <x:f t="shared" si="2"/>
        <x:v>-3.6941543991783634</x:v>
      </x:c>
      <x:c r="H58" s="66">
        <x:f t="shared" si="2"/>
        <x:v>0.97890277302293738</x:v>
      </x:c>
      <x:c r="I58" s="66">
        <x:f t="shared" si="2"/>
        <x:v>-10.455537487161932</x:v>
      </x:c>
      <x:c r="J58" s="66">
        <x:f t="shared" si="2"/>
        <x:v>9.5033806915439918</x:v>
      </x:c>
      <x:c r="K58" s="66">
        <x:f t="shared" si="2"/>
        <x:v>4.0942742211571383</x:v>
      </x:c>
      <x:c r="L58" s="66">
        <x:f t="shared" si="2"/>
        <x:v>-7.151874358096542</x:v>
      </x:c>
      <x:c r="M58" s="66"/>
      <x:c r="N58" s="59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AE58" s="4"/>
      <x:c r="AF58" s="4"/>
      <x:c r="AG58" s="4"/>
      <x:c r="AH58" s="4"/>
      <x:c r="AI58" s="4"/>
      <x:c r="AJ58" s="4"/>
      <x:c r="AK58" s="4"/>
      <x:c r="AL58" s="4"/>
      <x:c r="AM58" s="4"/>
      <x:c r="AN58" s="4"/>
      <x:c r="AO58" s="4"/>
      <x:c r="AP58" s="4"/>
      <x:c r="AQ58" s="4"/>
      <x:c r="AR58" s="4"/>
      <x:c r="AS58" s="4"/>
      <x:c r="AT58" s="4"/>
      <x:c r="AU58" s="4"/>
    </x:row>
    <x:row r="59" spans="1:47" s="10" customFormat="1" ht="20.149999999999999" customHeight="1" x14ac:dyDescent="0.25">
      <x:c r="A59" s="60"/>
      <x:c r="B59" s="61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1"/>
      <x:c r="O59" s="61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  <x:c r="AA59" s="61"/>
      <x:c r="AE59" s="4"/>
      <x:c r="AF59" s="4"/>
      <x:c r="AG59" s="4"/>
      <x:c r="AH59" s="4"/>
      <x:c r="AI59" s="4"/>
      <x:c r="AJ59" s="4"/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</x:row>
    <x:row r="60" spans="1:47" s="10" customFormat="1" ht="20.149999999999999" customHeight="1" x14ac:dyDescent="0.25">
      <x:c r="A60" s="53"/>
      <x:c r="B60" s="152" t="str">
        <x:f>B61&amp;" in "&amp;'Assay summary'!$B$2</x:f>
        <x:v>HRO761 in WRN(517-1238) in FI assay_ATP preincubation</x:v>
      </x:c>
      <x:c r="C60" s="153"/>
      <x:c r="D60" s="153"/>
      <x:c r="E60" s="153"/>
      <x:c r="F60" s="154"/>
      <x:c r="G60" s="61"/>
      <x:c r="H60" s="61"/>
      <x:c r="I60" s="61"/>
      <x:c r="J60" s="61"/>
      <x:c r="K60" s="53"/>
      <x:c r="L60" s="53"/>
      <x:c r="M60" s="53"/>
      <x:c r="N60" s="53"/>
      <x:c r="O60" s="152" t="str">
        <x:f>O61&amp;" in "&amp;'Assay summary'!$B$2</x:f>
        <x:v>HW350004P1 in WRN(517-1238) in FI assay_ATP preincubation</x:v>
      </x:c>
      <x:c r="P60" s="153"/>
      <x:c r="Q60" s="153"/>
      <x:c r="R60" s="153"/>
      <x:c r="S60" s="154"/>
      <x:c r="T60" s="61"/>
      <x:c r="U60" s="61"/>
      <x:c r="V60" s="61"/>
      <x:c r="W60" s="61"/>
      <x:c r="X60" s="53"/>
      <x:c r="Y60" s="53"/>
      <x:c r="Z60" s="53"/>
      <x:c r="AA60" s="53"/>
      <x:c r="AE60" s="4"/>
      <x:c r="AF60" s="4"/>
      <x:c r="AG60" s="4"/>
      <x:c r="AH60" s="4"/>
      <x:c r="AI60" s="4"/>
      <x:c r="AJ60" s="4"/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</x:row>
    <x:row r="61" spans="1:47" s="10" customFormat="1" ht="20.149999999999999" customHeight="1" x14ac:dyDescent="0.25">
      <x:c r="A61" s="53"/>
      <x:c r="B61" s="70" t="str">
        <x:f>'Assay summary'!C2</x:f>
        <x:v>HRO761</x:v>
      </x:c>
      <x:c r="C61" s="71"/>
      <x:c r="D61" s="72" t="s">
        <x:v>33</x:v>
      </x:c>
      <x:c r="E61" s="72"/>
      <x:c r="F61" s="73"/>
      <x:c r="G61" s="61"/>
      <x:c r="H61" s="61"/>
      <x:c r="I61" s="61"/>
      <x:c r="J61" s="61"/>
      <x:c r="K61" s="53" t="e">
        <x:f ca="1">[1]!xf4_FitData("",[1]!xf4_SetModel("205"),[1]!xf4_SetParameters(0,FALSE,TRUE,100,FALSE,TRUE,1,FALSE,TRUE,0.1,FALSE,TRUE),[1]!xf4_SetData(B62,B63:B72,D61,E63:E72))</x:f>
        <x:v>#NAME?</x:v>
      </x:c>
      <x:c r="L61" s="53"/>
      <x:c r="M61" s="53"/>
      <x:c r="N61" s="53"/>
      <x:c r="O61" s="70" t="str">
        <x:f>'Assay summary'!C10</x:f>
        <x:v>HW350004P1</x:v>
      </x:c>
      <x:c r="P61" s="71"/>
      <x:c r="Q61" s="72" t="s">
        <x:v>33</x:v>
      </x:c>
      <x:c r="R61" s="72"/>
      <x:c r="S61" s="73"/>
      <x:c r="T61" s="61"/>
      <x:c r="U61" s="61"/>
      <x:c r="V61" s="61"/>
      <x:c r="W61" s="61"/>
      <x:c r="X61" s="53" t="e">
        <x:f ca="1">[1]!xf4_FitData("",[1]!xf4_SetModel("205"),[1]!xf4_SetParameters(0,FALSE,TRUE,100,FALSE,TRUE,1,FALSE,TRUE,0.1,FALSE,TRUE),[1]!xf4_SetData(O62,O63:O73,Q61,R63:R73))</x:f>
        <x:v>#NAME?</x:v>
      </x:c>
      <x:c r="Y61" s="53"/>
      <x:c r="Z61" s="53"/>
      <x:c r="AA61" s="53"/>
      <x:c r="AE61" s="4"/>
      <x:c r="AF61" s="4"/>
      <x:c r="AG61" s="4"/>
      <x:c r="AH61" s="4"/>
      <x:c r="AI61" s="4"/>
      <x:c r="AJ61" s="4"/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</x:row>
    <x:row r="62" spans="1:47" s="10" customFormat="1" ht="20.149999999999999" customHeight="1" x14ac:dyDescent="0.25">
      <x:c r="A62" s="53"/>
      <x:c r="B62" s="74" t="s">
        <x:v>39</x:v>
      </x:c>
      <x:c r="C62" s="75" t="s">
        <x:v>34</x:v>
      </x:c>
      <x:c r="D62" s="75" t="s">
        <x:v>35</x:v>
      </x:c>
      <x:c r="E62" s="75" t="s">
        <x:v>36</x:v>
      </x:c>
      <x:c r="F62" s="75" t="s">
        <x:v>30</x:v>
      </x:c>
      <x:c r="G62" s="74" t="s">
        <x:v>37</x:v>
      </x:c>
      <x:c r="H62" s="74" t="s">
        <x:v>97</x:v>
      </x:c>
      <x:c r="I62" s="74" t="s">
        <x:v>92</x:v>
      </x:c>
      <x:c r="J62" s="74" t="s">
        <x:v>38</x:v>
      </x:c>
      <x:c r="K62" s="53" t="e">
        <x:f ca="1">[1]!xf4_Chart2D([1]!xf_Init()&amp;[1]!xf_Title(B60)&amp;[1]!xf_LabelX([1]!xf4_XLabel(K61))&amp;[1]!xf_LabelY([1]!xf4_YLabel(K61))&amp;[1]!xf_ScaleX(FALSE,0.005,10000,,TRUE)&amp;[1]!xf_ScaleY(FALSE,-20,120,30,FALSE)&amp;[1]!xf_Header(K63),[1]!xf4_C2DFit(K61,F63:F73,F63:F73)&amp;[1]!xf4_C2DFitDetails(7,0,0.05,0,0.05)&amp;[1]!xf4_C2DFitPoints(101,,,,1,-1))</x:f>
        <x:v>#NAME?</x:v>
      </x:c>
      <x:c r="L62" s="53"/>
      <x:c r="M62" s="53"/>
      <x:c r="N62" s="53"/>
      <x:c r="O62" s="74" t="s">
        <x:v>39</x:v>
      </x:c>
      <x:c r="P62" s="75" t="s">
        <x:v>34</x:v>
      </x:c>
      <x:c r="Q62" s="75" t="s">
        <x:v>35</x:v>
      </x:c>
      <x:c r="R62" s="75" t="s">
        <x:v>36</x:v>
      </x:c>
      <x:c r="S62" s="75" t="s">
        <x:v>30</x:v>
      </x:c>
      <x:c r="T62" s="74" t="s">
        <x:v>37</x:v>
      </x:c>
      <x:c r="U62" s="74" t="s">
        <x:v>97</x:v>
      </x:c>
      <x:c r="V62" s="74" t="s">
        <x:v>92</x:v>
      </x:c>
      <x:c r="W62" s="74" t="s">
        <x:v>38</x:v>
      </x:c>
      <x:c r="X62" s="53" t="e">
        <x:f ca="1">[1]!xf4_Chart2D([1]!xf_Init()&amp;[1]!xf_Title(O60)&amp;[1]!xf_LabelX([1]!xf4_XLabel(X61))&amp;[1]!xf_LabelY([1]!xf4_YLabel(X61))&amp;[1]!xf_ScaleX(FALSE,0.05,100000,,TRUE)&amp;[1]!xf_ScaleY(FALSE,-20,120,30,FALSE)&amp;[1]!xf_Header(X63),[1]!xf4_C2DFit(X61,S63:S73,S63:S73)&amp;[1]!xf4_C2DFitDetails(7,0,0.05,0,0.05)&amp;[1]!xf4_C2DFitPoints(101,,,,1,-1))</x:f>
        <x:v>#NAME?</x:v>
      </x:c>
      <x:c r="Y62" s="53"/>
      <x:c r="Z62" s="53"/>
      <x:c r="AA62" s="53"/>
      <x:c r="AE62" s="4"/>
      <x:c r="AF62" s="4"/>
      <x:c r="AG62" s="4"/>
      <x:c r="AH62" s="4"/>
      <x:c r="AI62" s="4"/>
      <x:c r="AJ62" s="4"/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</x:row>
    <x:row r="63" spans="1:47" s="10" customFormat="1" ht="20.149999999999999" customHeight="1" x14ac:dyDescent="0.25">
      <x:c r="A63" s="53"/>
      <x:c r="B63" s="76">
        <x:f ca="1">OFFSET(INDEX('Assay protocol'!C:C,MATCH(B61,'Assay protocol'!C:C,0)),0,2)</x:f>
        <x:v>1000</x:v>
      </x:c>
      <x:c r="C63" s="66">
        <x:f ca="1">OFFSET(INDEX(A:A,MATCH(B61,A:A,0)),0,2)</x:f>
        <x:v>98.719402601848685</x:v>
      </x:c>
      <x:c r="D63" s="66">
        <x:f ca="1">OFFSET(INDEX(A:A,MATCH(B61,A:A,0)),1,2)</x:f>
        <x:v>98.291466963368705</x:v>
      </x:c>
      <x:c r="E63" s="66">
        <x:f ca="1">AVERAGE(C63:D63)</x:f>
        <x:v>98.505434782608688</x:v>
      </x:c>
      <x:c r="F63" s="66">
        <x:f ca="1">STDEV(C63:D63)</x:f>
        <x:v>0.30259619188058856</x:v>
      </x:c>
      <x:c r="G63" s="77">
        <x:v>4.0821618005488292</x:v>
      </x:c>
      <x:c r="H63" s="85">
        <x:v>98.215363957924609</x:v>
      </x:c>
      <x:c r="I63" s="77">
        <x:v>6.0871061917745619</x:v>
      </x:c>
      <x:c r="J63" s="77">
        <x:v>1.1153676150169702</x:v>
      </x:c>
      <x:c r="K63" s="53" t="str">
        <x:f ca="1">IF(I63&lt;B63,I62&amp;"="&amp;ROUND(I63,2)&amp;"nM",I62&amp;"&gt;"&amp;B63&amp;"nM")</x:f>
        <x:v>IC50=6.09nM</x:v>
      </x:c>
      <x:c r="L63" s="53"/>
      <x:c r="M63" s="53"/>
      <x:c r="N63" s="53"/>
      <x:c r="O63" s="76">
        <x:f ca="1">OFFSET(INDEX('Assay protocol'!C:C,MATCH(O61,'Assay protocol'!C:C,0)),0,2)</x:f>
        <x:v>10000</x:v>
      </x:c>
      <x:c r="P63" s="66">
        <x:f ca="1">OFFSET(INDEX(N:N,MATCH(O61,N:N,0)),0,1)</x:f>
        <x:v>15.614301609038</x:v>
      </x:c>
      <x:c r="Q63" s="66">
        <x:f ca="1">OFFSET(INDEX(N:N,MATCH(O61,N:N,0)),1,1)</x:f>
        <x:v>18.729673057172203</x:v>
      </x:c>
      <x:c r="R63" s="66">
        <x:f ca="1">AVERAGE(P63:Q63)</x:f>
        <x:v>17.171987333105101</x:v>
      </x:c>
      <x:c r="S63" s="66">
        <x:f ca="1">STDEV(P63:Q63)</x:f>
        <x:v>2.2029002768906496</x:v>
      </x:c>
      <x:c r="T63" s="77"/>
      <x:c r="U63" s="85"/>
      <x:c r="V63" s="59" t="s">
        <x:v>238</x:v>
      </x:c>
      <x:c r="W63" s="77"/>
      <x:c r="X63" s="53" t="str">
        <x:f ca="1">IF(V63&lt;O63,V62&amp;"="&amp;ROUND(V63,0)&amp;"nM",V62&amp;"&gt;"&amp;O63&amp;"nM")</x:f>
        <x:v>IC50&gt;10000nM</x:v>
      </x:c>
      <x:c r="Y63" s="53"/>
      <x:c r="Z63" s="53"/>
      <x:c r="AA63" s="53"/>
      <x:c r="AE63" s="4"/>
      <x:c r="AF63" s="4"/>
      <x:c r="AG63" s="4"/>
      <x:c r="AH63" s="4"/>
      <x:c r="AI63" s="4"/>
      <x:c r="AJ63" s="4"/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</x:row>
    <x:row r="64" spans="1:47" s="10" customFormat="1" ht="20.149999999999999" customHeight="1" x14ac:dyDescent="0.25">
      <x:c r="A64" s="53"/>
      <x:c r="B64" s="76">
        <x:f ca="1">B63/OFFSET(INDEX('Assay protocol'!C:C,MATCH(B61,'Assay protocol'!C:C,0)),0,3)</x:f>
        <x:v>333.33333333333331</x:v>
      </x:c>
      <x:c r="C64" s="66">
        <x:f ca="1">OFFSET(INDEX(A:A,MATCH(B61,A:A,0)),0,3)</x:f>
        <x:v>91.290439917836352</x:v>
      </x:c>
      <x:c r="D64" s="66">
        <x:f ca="1">OFFSET(INDEX(A:A,MATCH(B61,A:A,0)),1,3)</x:f>
        <x:v>97.059012324546387</x:v>
      </x:c>
      <x:c r="E64" s="66">
        <x:f ca="1">AVERAGE(C64:D64)</x:f>
        <x:v>94.17472612119137</x:v>
      </x:c>
      <x:c r="F64" s="66">
        <x:f t="shared" ref="F64:F72" ca="1" si="6">STDEV(C64:D64)</x:f>
        <x:v>4.0789966665502684</x:v>
      </x:c>
      <x:c r="G64" s="61"/>
      <x:c r="H64" s="61"/>
      <x:c r="I64" s="61"/>
      <x:c r="J64" s="61"/>
      <x:c r="K64" s="53"/>
      <x:c r="L64" s="53"/>
      <x:c r="M64" s="53"/>
      <x:c r="N64" s="53"/>
      <x:c r="O64" s="76">
        <x:f ca="1">O63/OFFSET(INDEX('Assay protocol'!C:C,MATCH(O61,'Assay protocol'!C:C,0)),0,3)</x:f>
        <x:v>3333.3333333333335</x:v>
      </x:c>
      <x:c r="P64" s="66">
        <x:f ca="1">OFFSET(INDEX(N:N,MATCH(O61,N:N,0)),0,2)</x:f>
        <x:v>11.523236905169462</x:v>
      </x:c>
      <x:c r="Q64" s="66">
        <x:f ca="1">OFFSET(INDEX(N:N,MATCH(O61,N:N,0)),1,2)</x:f>
        <x:v>14.056615884970899</x:v>
      </x:c>
      <x:c r="R64" s="66">
        <x:f ca="1">AVERAGE(P64:Q64)</x:f>
        <x:v>12.78992639507018</x:v>
      </x:c>
      <x:c r="S64" s="66">
        <x:f t="shared" ref="S64:S72" ca="1" si="7">STDEV(P64:Q64)</x:f>
        <x:v>1.7913694559330537</x:v>
      </x:c>
      <x:c r="T64" s="61"/>
      <x:c r="U64" s="61"/>
      <x:c r="V64" s="61"/>
      <x:c r="W64" s="61"/>
      <x:c r="X64" s="53"/>
      <x:c r="Y64" s="53"/>
      <x:c r="Z64" s="53"/>
      <x:c r="AA64" s="53"/>
      <x:c r="AE64" s="4"/>
      <x:c r="AF64" s="4"/>
      <x:c r="AG64" s="4"/>
      <x:c r="AH64" s="4"/>
      <x:c r="AI64" s="4"/>
      <x:c r="AJ64" s="4"/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</x:row>
    <x:row r="65" spans="1:47" s="10" customFormat="1" ht="20.149999999999999" customHeight="1" x14ac:dyDescent="0.25">
      <x:c r="A65" s="53"/>
      <x:c r="B65" s="76">
        <x:f ca="1">B64/OFFSET(INDEX('Assay protocol'!C:C,MATCH(B61,'Assay protocol'!C:C,0)),0,3)</x:f>
        <x:v>111.1111111111111</x:v>
      </x:c>
      <x:c r="C65" s="66">
        <x:f ca="1">OFFSET(INDEX(A:A,MATCH(B61,A:A,0)),0,4)</x:f>
        <x:v>96.733781239301607</x:v>
      </x:c>
      <x:c r="D65" s="66">
        <x:f ca="1">OFFSET(INDEX(A:A,MATCH(B61,A:A,0)),1,4)</x:f>
        <x:v>95.895027387880859</x:v>
      </x:c>
      <x:c r="E65" s="66">
        <x:f ca="1">AVERAGE(C65:D65)</x:f>
        <x:v>96.31440431359124</x:v>
      </x:c>
      <x:c r="F65" s="66">
        <x:f t="shared" ca="1" si="6"/>
        <x:v>0.5930885360859447</x:v>
      </x:c>
      <x:c r="G65" s="61"/>
      <x:c r="H65" s="61"/>
      <x:c r="I65" s="61"/>
      <x:c r="J65" s="61"/>
      <x:c r="K65" s="53"/>
      <x:c r="L65" s="53"/>
      <x:c r="M65" s="53"/>
      <x:c r="N65" s="53"/>
      <x:c r="O65" s="76">
        <x:f ca="1">O64/OFFSET(INDEX('Assay protocol'!C:C,MATCH(O61,'Assay protocol'!C:C,0)),0,3)</x:f>
        <x:v>1111.1111111111111</x:v>
      </x:c>
      <x:c r="P65" s="66">
        <x:f ca="1">OFFSET(INDEX(N:N,MATCH(O61,N:N,0)),0,3)</x:f>
        <x:v>9.2808541595344067</x:v>
      </x:c>
      <x:c r="Q65" s="66">
        <x:f ca="1">OFFSET(INDEX(N:N,MATCH(O61,N:N,0)),1,3)</x:f>
        <x:v>12.190816501198219</x:v>
      </x:c>
      <x:c r="R65" s="66">
        <x:f ca="1">AVERAGE(P65:Q65)</x:f>
        <x:v>10.735835330366314</x:v>
      </x:c>
      <x:c r="S65" s="66">
        <x:f t="shared" ca="1" si="7"/>
        <x:v>2.0576541047879555</x:v>
      </x:c>
      <x:c r="T65" s="61"/>
      <x:c r="U65" s="61"/>
      <x:c r="V65" s="61"/>
      <x:c r="W65" s="61"/>
      <x:c r="X65" s="53"/>
      <x:c r="Y65" s="53"/>
      <x:c r="Z65" s="53"/>
      <x:c r="AA65" s="53"/>
      <x:c r="AE65" s="4"/>
      <x:c r="AF65" s="4"/>
      <x:c r="AG65" s="4"/>
      <x:c r="AH65" s="4"/>
      <x:c r="AI65" s="4"/>
      <x:c r="AJ65" s="4"/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</x:row>
    <x:row r="66" spans="1:47" s="10" customFormat="1" ht="20.149999999999999" customHeight="1" x14ac:dyDescent="0.25">
      <x:c r="A66" s="53"/>
      <x:c r="B66" s="76">
        <x:f ca="1">B65/OFFSET(INDEX('Assay protocol'!C:C,MATCH(B61,'Assay protocol'!C:C,0)),0,3)</x:f>
        <x:v>37.037037037037031</x:v>
      </x:c>
      <x:c r="C66" s="66">
        <x:f ca="1">OFFSET(INDEX(A:A,MATCH(B61,A:A,0)),0,5)</x:f>
        <x:v>85.556102362204726</x:v>
      </x:c>
      <x:c r="D66" s="66">
        <x:f ca="1">OFFSET(INDEX(A:A,MATCH(B61,A:A,0)),1,5)</x:f>
        <x:v>88.79129578911332</x:v>
      </x:c>
      <x:c r="E66" s="66">
        <x:f ca="1">AVERAGE(C66:D66)</x:f>
        <x:v>87.173699075659016</x:v>
      </x:c>
      <x:c r="F66" s="66">
        <x:f t="shared" ca="1" si="6"/>
        <x:v>2.2876272106172122</x:v>
      </x:c>
      <x:c r="G66" s="61"/>
      <x:c r="H66" s="61"/>
      <x:c r="I66" s="61"/>
      <x:c r="J66" s="61"/>
      <x:c r="K66" s="53"/>
      <x:c r="L66" s="53"/>
      <x:c r="M66" s="53"/>
      <x:c r="N66" s="53"/>
      <x:c r="O66" s="76">
        <x:f ca="1">O65/OFFSET(INDEX('Assay protocol'!C:C,MATCH(O61,'Assay protocol'!C:C,0)),0,3)</x:f>
        <x:v>370.37037037037038</x:v>
      </x:c>
      <x:c r="P66" s="66">
        <x:f ca="1">OFFSET(INDEX(N:N,MATCH(O61,N:N,0)),0,4)</x:f>
        <x:v>3.4095771995891817</x:v>
      </x:c>
      <x:c r="Q66" s="66">
        <x:f ca="1">OFFSET(INDEX(N:N,MATCH(O61,N:N,0)),1,4)</x:f>
        <x:v>4.3168007531667243</x:v>
      </x:c>
      <x:c r="R66" s="66">
        <x:f ca="1">AVERAGE(P66:Q66)</x:f>
        <x:v>3.8631889763779528</x:v>
      </x:c>
      <x:c r="S66" s="66">
        <x:f t="shared" ca="1" si="7"/>
        <x:v>0.64150392678684098</x:v>
      </x:c>
      <x:c r="T66" s="61"/>
      <x:c r="U66" s="61"/>
      <x:c r="V66" s="61"/>
      <x:c r="W66" s="61"/>
      <x:c r="X66" s="53"/>
      <x:c r="Y66" s="53"/>
      <x:c r="Z66" s="53"/>
      <x:c r="AA66" s="53"/>
      <x:c r="AE66" s="4"/>
      <x:c r="AF66" s="4"/>
      <x:c r="AG66" s="4"/>
      <x:c r="AH66" s="4"/>
      <x:c r="AI66" s="4"/>
      <x:c r="AJ66" s="4"/>
      <x:c r="AK66" s="4"/>
      <x:c r="AL66" s="4"/>
      <x:c r="AM66" s="4"/>
      <x:c r="AN66" s="4"/>
      <x:c r="AO66" s="4"/>
      <x:c r="AP66" s="4"/>
      <x:c r="AQ66" s="4"/>
      <x:c r="AR66" s="4"/>
      <x:c r="AS66" s="4"/>
      <x:c r="AT66" s="4"/>
      <x:c r="AU66" s="4"/>
    </x:row>
    <x:row r="67" spans="1:47" s="10" customFormat="1" ht="20.149999999999999" customHeight="1" x14ac:dyDescent="0.25">
      <x:c r="A67" s="53"/>
      <x:c r="B67" s="76">
        <x:f ca="1">B66/OFFSET(INDEX('Assay protocol'!C:C,MATCH(B61,'Assay protocol'!C:C,0)),0,3)</x:f>
        <x:v>12.345679012345677</x:v>
      </x:c>
      <x:c r="C67" s="66">
        <x:f ca="1">OFFSET(INDEX(A:A,MATCH(B61,A:A,0)),0,6)</x:f>
        <x:v>69.191843546730567</x:v>
      </x:c>
      <x:c r="D67" s="66">
        <x:f ca="1">OFFSET(INDEX(A:A,MATCH(B61,A:A,0)),1,6)</x:f>
        <x:v>75.063120506675801</x:v>
      </x:c>
      <x:c r="E67" s="66">
        <x:f t="shared" ref="E67:E72" ca="1" si="8">AVERAGE(C67:D67)</x:f>
        <x:v>72.127482026703177</x:v>
      </x:c>
      <x:c r="F67" s="66">
        <x:f t="shared" ca="1" si="6"/>
        <x:v>4.1516197526016132</x:v>
      </x:c>
      <x:c r="G67" s="61"/>
      <x:c r="H67" s="61"/>
      <x:c r="I67" s="61"/>
      <x:c r="J67" s="61"/>
      <x:c r="K67" s="61"/>
      <x:c r="L67" s="61"/>
      <x:c r="M67" s="53"/>
      <x:c r="N67" s="53"/>
      <x:c r="O67" s="76">
        <x:f ca="1">O66/OFFSET(INDEX('Assay protocol'!C:C,MATCH(O61,'Assay protocol'!C:C,0)),0,3)</x:f>
        <x:v>123.4567901234568</x:v>
      </x:c>
      <x:c r="P67" s="66">
        <x:f ca="1">OFFSET(INDEX(N:N,MATCH(O61,N:N,0)),0,5)</x:f>
        <x:v>-2.18782095172886</x:v>
      </x:c>
      <x:c r="Q67" s="66">
        <x:f ca="1">OFFSET(INDEX(N:N,MATCH(O61,N:N,0)),1,5)</x:f>
        <x:v>3.8032779869907567</x:v>
      </x:c>
      <x:c r="R67" s="66">
        <x:f t="shared" ref="R67:R72" ca="1" si="9">AVERAGE(P67:Q67)</x:f>
        <x:v>0.80772851763094833</x:v>
      </x:c>
      <x:c r="S67" s="66">
        <x:f t="shared" ca="1" si="7"/>
        <x:v>4.2363466863281696</x:v>
      </x:c>
      <x:c r="T67" s="61"/>
      <x:c r="U67" s="61"/>
      <x:c r="V67" s="61"/>
      <x:c r="W67" s="61"/>
      <x:c r="X67" s="61"/>
      <x:c r="Y67" s="61"/>
      <x:c r="Z67" s="53"/>
      <x:c r="AA67" s="53"/>
      <x:c r="AE67" s="4"/>
      <x:c r="AF67" s="4"/>
      <x:c r="AG67" s="4"/>
      <x:c r="AH67" s="4"/>
      <x:c r="AI67" s="4"/>
      <x:c r="AJ67" s="4"/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</x:row>
    <x:row r="68" spans="1:47" s="10" customFormat="1" ht="20.149999999999999" customHeight="1" x14ac:dyDescent="0.25">
      <x:c r="A68" s="53"/>
      <x:c r="B68" s="76">
        <x:f ca="1">B67/OFFSET(INDEX('Assay protocol'!C:C,MATCH(B61,'Assay protocol'!C:C,0)),0,3)</x:f>
        <x:v>4.1152263374485587</x:v>
      </x:c>
      <x:c r="C68" s="66">
        <x:f ca="1">OFFSET(INDEX(A:A,MATCH(B61,A:A,0)),0,7)</x:f>
        <x:v>31.396567956179389</x:v>
      </x:c>
      <x:c r="D68" s="66">
        <x:f ca="1">OFFSET(INDEX(A:A,MATCH(B61,A:A,0)),1,7)</x:f>
        <x:v>38.08948134200616</x:v>
      </x:c>
      <x:c r="E68" s="66">
        <x:f t="shared" ca="1" si="8"/>
        <x:v>34.743024649092774</x:v>
      </x:c>
      <x:c r="F68" s="66">
        <x:f t="shared" ca="1" si="6"/>
        <x:v>4.7326044410123256</x:v>
      </x:c>
      <x:c r="G68" s="61"/>
      <x:c r="H68" s="61"/>
      <x:c r="I68" s="61"/>
      <x:c r="J68" s="61"/>
      <x:c r="K68" s="61"/>
      <x:c r="L68" s="61"/>
      <x:c r="M68" s="53"/>
      <x:c r="N68" s="53"/>
      <x:c r="O68" s="76">
        <x:f ca="1">O67/OFFSET(INDEX('Assay protocol'!C:C,MATCH(O61,'Assay protocol'!C:C,0)),0,3)</x:f>
        <x:v>41.152263374485599</x:v>
      </x:c>
      <x:c r="P68" s="66">
        <x:f ca="1">OFFSET(INDEX(N:N,MATCH(O61,N:N,0)),0,6)</x:f>
        <x:v>2.0573005819924681</x:v>
      </x:c>
      <x:c r="Q68" s="66">
        <x:f ca="1">OFFSET(INDEX(N:N,MATCH(O61,N:N,0)),1,6)</x:f>
        <x:v>-2.9752225265320096</x:v>
      </x:c>
      <x:c r="R68" s="66">
        <x:f t="shared" ca="1" si="9"/>
        <x:v>-0.45896097226977073</x:v>
      </x:c>
      <x:c r="S68" s="66">
        <x:f t="shared" ca="1" si="7"/>
        <x:v>3.5585312165156617</x:v>
      </x:c>
      <x:c r="T68" s="61"/>
      <x:c r="U68" s="61"/>
      <x:c r="V68" s="61"/>
      <x:c r="W68" s="61"/>
      <x:c r="X68" s="61"/>
      <x:c r="Y68" s="61"/>
      <x:c r="Z68" s="53"/>
      <x:c r="AA68" s="53"/>
      <x:c r="AE68" s="4"/>
      <x:c r="AF68" s="4"/>
      <x:c r="AG68" s="4"/>
      <x:c r="AH68" s="4"/>
      <x:c r="AI68" s="4"/>
      <x:c r="AJ68" s="4"/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</x:row>
    <x:row r="69" spans="1:47" s="10" customFormat="1" ht="20.149999999999999" customHeight="1" x14ac:dyDescent="0.25">
      <x:c r="A69" s="53"/>
      <x:c r="B69" s="76">
        <x:f ca="1">B68/OFFSET(INDEX('Assay protocol'!C:C,MATCH(B61,'Assay protocol'!C:C,0)),0,3)</x:f>
        <x:v>1.3717421124828528</x:v>
      </x:c>
      <x:c r="C69" s="66">
        <x:f ca="1">OFFSET(INDEX(A:A,MATCH(B61,A:A,0)),0,8)</x:f>
        <x:v>22.392802122560767</x:v>
      </x:c>
      <x:c r="D69" s="66">
        <x:f ca="1">OFFSET(INDEX(A:A,MATCH(B61,A:A,0)),1,8)</x:f>
        <x:v>26.774863060595688</x:v>
      </x:c>
      <x:c r="E69" s="66">
        <x:f t="shared" ca="1" si="8"/>
        <x:v>24.583832591578229</x:v>
      </x:c>
      <x:c r="F69" s="66">
        <x:f t="shared" ca="1" si="6"/>
        <x:v>3.0985850048571768</x:v>
      </x:c>
      <x:c r="G69" s="61"/>
      <x:c r="H69" s="61"/>
      <x:c r="I69" s="61"/>
      <x:c r="J69" s="61"/>
      <x:c r="K69" s="61"/>
      <x:c r="L69" s="61"/>
      <x:c r="M69" s="53"/>
      <x:c r="N69" s="53"/>
      <x:c r="O69" s="76">
        <x:f ca="1">O68/OFFSET(INDEX('Assay protocol'!C:C,MATCH(O61,'Assay protocol'!C:C,0)),0,3)</x:f>
        <x:v>13.717421124828533</x:v>
      </x:c>
      <x:c r="P69" s="66">
        <x:f ca="1">OFFSET(INDEX(N:N,MATCH(O61,N:N,0)),0,7)</x:f>
        <x:v>1.0987247517973298</x:v>
      </x:c>
      <x:c r="Q69" s="66">
        <x:f ca="1">OFFSET(INDEX(N:N,MATCH(O61,N:N,0)),1,7)</x:f>
        <x:v>10.718717904827114</x:v>
      </x:c>
      <x:c r="R69" s="66">
        <x:f t="shared" ca="1" si="9"/>
        <x:v>5.9087213283122217</x:v>
      </x:c>
      <x:c r="S69" s="66">
        <x:f t="shared" ca="1" si="7"/>
        <x:v>6.8023623934755175</x:v>
      </x:c>
      <x:c r="T69" s="61"/>
      <x:c r="U69" s="61"/>
      <x:c r="V69" s="61"/>
      <x:c r="W69" s="61"/>
      <x:c r="X69" s="61"/>
      <x:c r="Y69" s="61"/>
      <x:c r="Z69" s="53"/>
      <x:c r="AA69" s="53"/>
      <x:c r="AE69" s="4"/>
      <x:c r="AF69" s="4"/>
      <x:c r="AG69" s="4"/>
      <x:c r="AH69" s="4"/>
      <x:c r="AI69" s="4"/>
      <x:c r="AJ69" s="4"/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</x:row>
    <x:row r="70" spans="1:47" s="10" customFormat="1" ht="20.149999999999999" customHeight="1" x14ac:dyDescent="0.25">
      <x:c r="A70" s="53"/>
      <x:c r="B70" s="76">
        <x:f ca="1">B69/OFFSET(INDEX('Assay protocol'!C:C,MATCH(B61,'Assay protocol'!C:C,0)),0,3)</x:f>
        <x:v>0.45724737082761763</x:v>
      </x:c>
      <x:c r="C70" s="66">
        <x:f ca="1">OFFSET(INDEX(A:A,MATCH(B61,A:A,0)),0,9)</x:f>
        <x:v>5.138437179048271</x:v>
      </x:c>
      <x:c r="D70" s="66">
        <x:f ca="1">OFFSET(INDEX(A:A,MATCH(B61,A:A,0)),1,9)</x:f>
        <x:v>12.344873331051009</x:v>
      </x:c>
      <x:c r="E70" s="66">
        <x:f t="shared" ca="1" si="8"/>
        <x:v>8.7416552550496398</x:v>
      </x:c>
      <x:c r="F70" s="66">
        <x:f t="shared" ca="1" si="6"/>
        <x:v>5.095719871269023</x:v>
      </x:c>
      <x:c r="G70" s="61"/>
      <x:c r="H70" s="61"/>
      <x:c r="I70" s="61"/>
      <x:c r="J70" s="61"/>
      <x:c r="K70" s="53"/>
      <x:c r="L70" s="53"/>
      <x:c r="M70" s="53"/>
      <x:c r="N70" s="53"/>
      <x:c r="O70" s="76">
        <x:f ca="1">O69/OFFSET(INDEX('Assay protocol'!C:C,MATCH(O61,'Assay protocol'!C:C,0)),0,3)</x:f>
        <x:v>4.5724737082761777</x:v>
      </x:c>
      <x:c r="P70" s="66">
        <x:f ca="1">OFFSET(INDEX(N:N,MATCH(O61,N:N,0)),0,8)</x:f>
        <x:v>7.1925282437521405</x:v>
      </x:c>
      <x:c r="Q70" s="66">
        <x:f ca="1">OFFSET(INDEX(N:N,MATCH(O61,N:N,0)),1,8)</x:f>
        <x:v>5.9087213283122217</x:v>
      </x:c>
      <x:c r="R70" s="66">
        <x:f t="shared" ca="1" si="9"/>
        <x:v>6.5506247860321807</x:v>
      </x:c>
      <x:c r="S70" s="66">
        <x:f t="shared" ca="1" si="7"/>
        <x:v>0.90778857564175108</x:v>
      </x:c>
      <x:c r="T70" s="61"/>
      <x:c r="U70" s="61"/>
      <x:c r="V70" s="61"/>
      <x:c r="W70" s="61"/>
      <x:c r="X70" s="53"/>
      <x:c r="Y70" s="53"/>
      <x:c r="Z70" s="53"/>
      <x:c r="AA70" s="53"/>
      <x:c r="AE70" s="4"/>
      <x:c r="AF70" s="4"/>
      <x:c r="AG70" s="4"/>
      <x:c r="AH70" s="4"/>
      <x:c r="AI70" s="4"/>
      <x:c r="AJ70" s="4"/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</x:row>
    <x:row r="71" spans="1:47" s="10" customFormat="1" ht="20.149999999999999" customHeight="1" x14ac:dyDescent="0.25">
      <x:c r="A71" s="53"/>
      <x:c r="B71" s="76">
        <x:f ca="1">B70/OFFSET(INDEX('Assay protocol'!C:C,MATCH(B61,'Assay protocol'!C:C,0)),0,3)</x:f>
        <x:v>0.15241579027587254</x:v>
      </x:c>
      <x:c r="C71" s="66">
        <x:f ca="1">OFFSET(INDEX(A:A,MATCH(B61,A:A,0)),0,10)</x:f>
        <x:v>6.4564789455665865</x:v>
      </x:c>
      <x:c r="D71" s="66">
        <x:f ca="1">OFFSET(INDEX(A:A,MATCH(B61,A:A,0)),1,10)</x:f>
        <x:v>11.934055118110235</x:v>
      </x:c>
      <x:c r="E71" s="66">
        <x:f t="shared" ca="1" si="8"/>
        <x:v>9.1952670318384104</x:v>
      </x:c>
      <x:c r="F71" s="66">
        <x:f t="shared" ca="1" si="6"/>
        <x:v>3.8732312560714721</x:v>
      </x:c>
      <x:c r="G71" s="61"/>
      <x:c r="H71" s="61"/>
      <x:c r="I71" s="61"/>
      <x:c r="J71" s="61"/>
      <x:c r="K71" s="53"/>
      <x:c r="L71" s="53"/>
      <x:c r="M71" s="53"/>
      <x:c r="N71" s="53"/>
      <x:c r="O71" s="76">
        <x:f ca="1">O70/OFFSET(INDEX('Assay protocol'!C:C,MATCH(O61,'Assay protocol'!C:C,0)),0,3)</x:f>
        <x:v>1.524157902758726</x:v>
      </x:c>
      <x:c r="P71" s="66">
        <x:f ca="1">OFFSET(INDEX(N:N,MATCH(O61,N:N,0)),0,9)</x:f>
        <x:v>5.2240243067442655</x:v>
      </x:c>
      <x:c r="Q71" s="66">
        <x:f ca="1">OFFSET(INDEX(N:N,MATCH(O61,N:N,0)),1,9)</x:f>
        <x:v>4.7276189661074977</x:v>
      </x:c>
      <x:c r="R71" s="66">
        <x:f t="shared" ca="1" si="9"/>
        <x:v>4.9758216364258816</x:v>
      </x:c>
      <x:c r="S71" s="66">
        <x:f t="shared" ca="1" si="7"/>
        <x:v>0.35101158258147663</x:v>
      </x:c>
      <x:c r="T71" s="61"/>
      <x:c r="U71" s="61"/>
      <x:c r="V71" s="61"/>
      <x:c r="W71" s="61"/>
      <x:c r="X71" s="53"/>
      <x:c r="Y71" s="53"/>
      <x:c r="Z71" s="53"/>
      <x:c r="AA71" s="53"/>
      <x:c r="AE71" s="4"/>
      <x:c r="AF71" s="4"/>
      <x:c r="AG71" s="4"/>
      <x:c r="AH71" s="4"/>
      <x:c r="AI71" s="4"/>
      <x:c r="AJ71" s="4"/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</x:row>
    <x:row r="72" spans="1:47" s="10" customFormat="1" ht="20.149999999999999" customHeight="1" x14ac:dyDescent="0.25">
      <x:c r="A72" s="53"/>
      <x:c r="B72" s="76">
        <x:f ca="1">B71/OFFSET(INDEX('Assay protocol'!C:C,MATCH(B61,'Assay protocol'!C:C,0)),0,3)</x:f>
        <x:v>5.0805263425290847E-2</x:v>
      </x:c>
      <x:c r="C72" s="66">
        <x:f ca="1">OFFSET(INDEX(A:A,MATCH(B61,A:A,0)),0,11)</x:f>
        <x:v>-2.9409876754536119</x:v>
      </x:c>
      <x:c r="D72" s="66">
        <x:f ca="1">OFFSET(INDEX(A:A,MATCH(B61,A:A,0)),1,11)</x:f>
        <x:v>1.7320694967476891</x:v>
      </x:c>
      <x:c r="E72" s="66">
        <x:f t="shared" ca="1" si="8"/>
        <x:v>-0.60445908935296144</x:v>
      </x:c>
      <x:c r="F72" s="66">
        <x:f t="shared" ca="1" si="6"/>
        <x:v>3.3043504153359722</x:v>
      </x:c>
      <x:c r="G72" s="61"/>
      <x:c r="H72" s="61"/>
      <x:c r="I72" s="61"/>
      <x:c r="J72" s="61"/>
      <x:c r="K72" s="53"/>
      <x:c r="L72" s="53"/>
      <x:c r="M72" s="53"/>
      <x:c r="N72" s="53"/>
      <x:c r="O72" s="76">
        <x:f ca="1">O71/OFFSET(INDEX('Assay protocol'!C:C,MATCH(O61,'Assay protocol'!C:C,0)),0,3)</x:f>
        <x:v>0.5080526342529087</x:v>
      </x:c>
      <x:c r="P72" s="66">
        <x:f ca="1">OFFSET(INDEX(N:N,MATCH(O61,N:N,0)),0,10)</x:f>
        <x:v>-1.862589866484081</x:v>
      </x:c>
      <x:c r="Q72" s="66">
        <x:f ca="1">OFFSET(INDEX(N:N,MATCH(O61,N:N,0)),1,10)</x:f>
        <x:v>2.4338839438548443</x:v>
      </x:c>
      <x:c r="R72" s="66">
        <x:f t="shared" ca="1" si="9"/>
        <x:v>0.28564703868538166</x:v>
      </x:c>
      <x:c r="S72" s="66">
        <x:f t="shared" ca="1" si="7"/>
        <x:v>3.0380657664810586</x:v>
      </x:c>
      <x:c r="T72" s="61"/>
      <x:c r="U72" s="61"/>
      <x:c r="V72" s="61"/>
      <x:c r="W72" s="61"/>
      <x:c r="X72" s="53"/>
      <x:c r="Y72" s="53"/>
      <x:c r="Z72" s="53"/>
      <x:c r="AA72" s="53"/>
      <x:c r="AE72" s="4"/>
      <x:c r="AF72" s="4"/>
      <x:c r="AG72" s="4"/>
      <x:c r="AH72" s="4"/>
      <x:c r="AI72" s="4"/>
      <x:c r="AJ72" s="4"/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</x:row>
    <x:row r="73" spans="1:47" s="10" customFormat="1" ht="20.149999999999999" customHeight="1" x14ac:dyDescent="0.4">
      <x:c r="A73" s="53"/>
      <x:c r="B73" s="78"/>
      <x:c r="C73" s="78"/>
      <x:c r="D73" s="78"/>
      <x:c r="E73" s="78"/>
      <x:c r="F73" s="78"/>
      <x:c r="G73" s="61"/>
      <x:c r="H73" s="61"/>
      <x:c r="I73" s="61"/>
      <x:c r="J73" s="61"/>
      <x:c r="K73" s="53"/>
      <x:c r="L73" s="53"/>
      <x:c r="M73" s="53"/>
      <x:c r="N73" s="53"/>
      <x:c r="O73" s="78"/>
      <x:c r="P73" s="78"/>
      <x:c r="Q73" s="78"/>
      <x:c r="R73" s="78"/>
      <x:c r="S73" s="78"/>
      <x:c r="T73" s="61"/>
      <x:c r="U73" s="61"/>
      <x:c r="V73" s="61"/>
      <x:c r="W73" s="61"/>
      <x:c r="X73" s="53"/>
      <x:c r="Y73" s="53"/>
      <x:c r="Z73" s="53"/>
      <x:c r="AA73" s="53"/>
      <x:c r="AD73" s="61"/>
      <x:c r="AE73" s="4"/>
      <x:c r="AF73" s="4"/>
      <x:c r="AG73" s="4"/>
      <x:c r="AH73" s="4"/>
      <x:c r="AI73" s="4"/>
      <x:c r="AJ73" s="4"/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</x:row>
    <x:row r="74" spans="1:47" s="10" customFormat="1" ht="20.149999999999999" customHeight="1" x14ac:dyDescent="0.25">
      <x:c r="A74" s="53"/>
      <x:c r="B74" s="79"/>
      <x:c r="C74" s="61"/>
      <x:c r="D74" s="61"/>
      <x:c r="E74" s="61"/>
      <x:c r="F74" s="61"/>
      <x:c r="G74" s="61"/>
      <x:c r="H74" s="61"/>
      <x:c r="I74" s="61"/>
      <x:c r="J74" s="61"/>
      <x:c r="K74" s="53"/>
      <x:c r="L74" s="53"/>
      <x:c r="M74" s="53"/>
      <x:c r="N74" s="53"/>
      <x:c r="O74" s="61"/>
      <x:c r="AD74" s="61"/>
      <x:c r="AE74" s="4"/>
      <x:c r="AF74" s="4"/>
      <x:c r="AG74" s="4"/>
      <x:c r="AH74" s="4"/>
      <x:c r="AI74" s="4"/>
      <x:c r="AJ74" s="4"/>
      <x:c r="AK74" s="4"/>
      <x:c r="AL74" s="4"/>
      <x:c r="AM74" s="4"/>
      <x:c r="AN74" s="4"/>
      <x:c r="AO74" s="4"/>
      <x:c r="AP74" s="4"/>
      <x:c r="AQ74" s="4"/>
      <x:c r="AR74" s="4"/>
      <x:c r="AS74" s="4"/>
      <x:c r="AT74" s="4"/>
      <x:c r="AU74" s="4"/>
    </x:row>
    <x:row r="75" spans="1:47" s="10" customFormat="1" ht="20.149999999999999" customHeight="1" x14ac:dyDescent="0.25">
      <x:c r="A75" s="53"/>
      <x:c r="B75" s="152" t="str">
        <x:f>B76&amp;" in "&amp;'Assay summary'!$B$2</x:f>
        <x:v>HW350003A in WRN(517-1238) in FI assay_ATP preincubation</x:v>
      </x:c>
      <x:c r="C75" s="153"/>
      <x:c r="D75" s="153"/>
      <x:c r="E75" s="153"/>
      <x:c r="F75" s="154"/>
      <x:c r="G75" s="53"/>
      <x:c r="H75" s="53"/>
      <x:c r="I75" s="53"/>
      <x:c r="J75" s="53"/>
      <x:c r="K75" s="53"/>
      <x:c r="L75" s="53"/>
      <x:c r="M75" s="53"/>
      <x:c r="N75" s="53"/>
      <x:c r="O75" s="152" t="str">
        <x:f>O76&amp;" in "&amp;'Assay summary'!$B$2</x:f>
        <x:v>HW350004P2 in WRN(517-1238) in FI assay_ATP preincubation</x:v>
      </x:c>
      <x:c r="P75" s="153"/>
      <x:c r="Q75" s="153"/>
      <x:c r="R75" s="153"/>
      <x:c r="S75" s="154"/>
      <x:c r="T75" s="61"/>
      <x:c r="U75" s="61"/>
      <x:c r="V75" s="61"/>
      <x:c r="W75" s="61"/>
      <x:c r="X75" s="53"/>
      <x:c r="Y75" s="53"/>
      <x:c r="Z75" s="53"/>
      <x:c r="AA75" s="53"/>
      <x:c r="AE75" s="4"/>
      <x:c r="AF75" s="4"/>
      <x:c r="AG75" s="4"/>
      <x:c r="AH75" s="4"/>
      <x:c r="AI75" s="4"/>
      <x:c r="AJ75" s="4"/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</x:row>
    <x:row r="76" spans="1:47" s="10" customFormat="1" ht="20.149999999999999" customHeight="1" x14ac:dyDescent="0.25">
      <x:c r="A76" s="53"/>
      <x:c r="B76" s="70" t="str">
        <x:f>'Assay summary'!C3</x:f>
        <x:v>HW350003A</x:v>
      </x:c>
      <x:c r="C76" s="71"/>
      <x:c r="D76" s="72" t="s">
        <x:v>33</x:v>
      </x:c>
      <x:c r="E76" s="72"/>
      <x:c r="F76" s="73"/>
      <x:c r="G76" s="61"/>
      <x:c r="H76" s="61"/>
      <x:c r="I76" s="61"/>
      <x:c r="J76" s="61"/>
      <x:c r="K76" s="53" t="e">
        <x:f ca="1">[1]!xf4_FitData("",[1]!xf4_SetModel("205"),[1]!xf4_SetParameters(0,FALSE,TRUE,100,FALSE,TRUE,1,FALSE,TRUE,0.1,FALSE,TRUE),[1]!xf4_SetData(B77,B78:B88,D76,E78:E88))</x:f>
        <x:v>#NAME?</x:v>
      </x:c>
      <x:c r="L76" s="53"/>
      <x:c r="M76" s="53"/>
      <x:c r="N76" s="53"/>
      <x:c r="O76" s="70" t="str">
        <x:f>'Assay summary'!C11</x:f>
        <x:v>HW350004P2</x:v>
      </x:c>
      <x:c r="P76" s="71"/>
      <x:c r="Q76" s="72" t="s">
        <x:v>33</x:v>
      </x:c>
      <x:c r="R76" s="72"/>
      <x:c r="S76" s="73"/>
      <x:c r="T76" s="61"/>
      <x:c r="U76" s="61"/>
      <x:c r="V76" s="61"/>
      <x:c r="W76" s="61"/>
      <x:c r="X76" s="53" t="e">
        <x:f ca="1">[1]!xf4_FitData("",[1]!xf4_SetModel("205"),[1]!xf4_SetParameters(0,FALSE,TRUE,100,FALSE,TRUE,1,FALSE,TRUE,0.1,FALSE,TRUE),[1]!xf4_SetData(O77,O78:O88,Q76,R78:R88))</x:f>
        <x:v>#NAME?</x:v>
      </x:c>
      <x:c r="Y76" s="53"/>
      <x:c r="Z76" s="53"/>
      <x:c r="AA76" s="53"/>
      <x:c r="AE76" s="4"/>
      <x:c r="AF76" s="4"/>
      <x:c r="AG76" s="4"/>
      <x:c r="AH76" s="4"/>
      <x:c r="AI76" s="4"/>
      <x:c r="AJ76" s="4"/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</x:row>
    <x:row r="77" spans="1:47" s="10" customFormat="1" ht="20.149999999999999" customHeight="1" x14ac:dyDescent="0.25">
      <x:c r="A77" s="53"/>
      <x:c r="B77" s="74" t="s">
        <x:v>39</x:v>
      </x:c>
      <x:c r="C77" s="75" t="s">
        <x:v>34</x:v>
      </x:c>
      <x:c r="D77" s="75" t="s">
        <x:v>35</x:v>
      </x:c>
      <x:c r="E77" s="75" t="s">
        <x:v>36</x:v>
      </x:c>
      <x:c r="F77" s="75" t="s">
        <x:v>30</x:v>
      </x:c>
      <x:c r="G77" s="74" t="s">
        <x:v>37</x:v>
      </x:c>
      <x:c r="H77" s="74" t="s">
        <x:v>98</x:v>
      </x:c>
      <x:c r="I77" s="74" t="s">
        <x:v>92</x:v>
      </x:c>
      <x:c r="J77" s="74" t="s">
        <x:v>38</x:v>
      </x:c>
      <x:c r="K77" s="53" t="e">
        <x: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x:f>
        <x:v>#NAME?</x:v>
      </x:c>
      <x:c r="L77" s="53"/>
      <x:c r="M77" s="53"/>
      <x:c r="N77" s="53"/>
      <x:c r="O77" s="74" t="s">
        <x:v>39</x:v>
      </x:c>
      <x:c r="P77" s="75" t="s">
        <x:v>34</x:v>
      </x:c>
      <x:c r="Q77" s="75" t="s">
        <x:v>35</x:v>
      </x:c>
      <x:c r="R77" s="75" t="s">
        <x:v>36</x:v>
      </x:c>
      <x:c r="S77" s="75" t="s">
        <x:v>30</x:v>
      </x:c>
      <x:c r="T77" s="74" t="s">
        <x:v>37</x:v>
      </x:c>
      <x:c r="U77" s="74" t="s">
        <x:v>97</x:v>
      </x:c>
      <x:c r="V77" s="74" t="s">
        <x:v>92</x:v>
      </x:c>
      <x:c r="W77" s="74" t="s">
        <x:v>38</x:v>
      </x:c>
      <x:c r="X77" s="53" t="e">
        <x:f ca="1">[1]!xf4_Chart2D([1]!xf_Init()&amp;[1]!xf_Title(O75)&amp;[1]!xf_LabelX([1]!xf4_XLabel(X76))&amp;[1]!xf_LabelY([1]!xf4_YLabel(X76))&amp;[1]!xf_ScaleX(FALSE,0.05,100000,,TRUE)&amp;[1]!xf_ScaleY(FALSE,-20,120,30,FALSE)&amp;[1]!xf_Header(X78),[1]!xf4_C2DFit(X76,S78:S88,S78:S88)&amp;[1]!xf4_C2DFitDetails(7,0,0.05,0,0.05)&amp;[1]!xf4_C2DFitPoints(101,,,,1,-1))</x:f>
        <x:v>#NAME?</x:v>
      </x:c>
      <x:c r="Y77" s="53"/>
      <x:c r="Z77" s="53"/>
      <x:c r="AA77" s="53"/>
      <x:c r="AE77" s="4"/>
      <x:c r="AF77" s="4"/>
      <x:c r="AG77" s="4"/>
      <x:c r="AH77" s="4"/>
      <x:c r="AI77" s="4"/>
      <x:c r="AJ77" s="4"/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</x:row>
    <x:row r="78" spans="1:47" s="10" customFormat="1" ht="20.149999999999999" customHeight="1" x14ac:dyDescent="0.25">
      <x:c r="A78" s="53"/>
      <x:c r="B78" s="76">
        <x:f ca="1">OFFSET(INDEX('Assay protocol'!C:C,MATCH(B76,'Assay protocol'!C:C,0)),0,2)</x:f>
        <x:v>10000</x:v>
      </x:c>
      <x:c r="C78" s="66">
        <x:f ca="1">OFFSET(INDEX(A:A,MATCH(B76,A:A,0)),0,2)</x:f>
        <x:v>95.141860664156113</x:v>
      </x:c>
      <x:c r="D78" s="66">
        <x:f ca="1">OFFSET(INDEX(A:A,MATCH(B76,A:A,0)),1,2)</x:f>
        <x:v>94.337341663813774</x:v>
      </x:c>
      <x:c r="E78" s="66">
        <x:f ca="1">AVERAGE(C78:D78)</x:f>
        <x:v>94.739601163984943</x:v>
      </x:c>
      <x:c r="F78" s="66">
        <x:f ca="1">STDEV(C78:D78)</x:f>
        <x:v>0.56888084073548995</x:v>
      </x:c>
      <x:c r="G78" s="77">
        <x:v>7.2840281118351236</x:v>
      </x:c>
      <x:c r="H78" s="85">
        <x:v>92.820925095810523</x:v>
      </x:c>
      <x:c r="I78" s="59">
        <x:v>233.12992591464004</x:v>
      </x:c>
      <x:c r="J78" s="77">
        <x:v>1.2928607828820751</x:v>
      </x:c>
      <x:c r="K78" s="53" t="str">
        <x:f ca="1">IF(I78&lt;B78,I77&amp;"="&amp;ROUND(I78,0)&amp;"nM",I77&amp;"&gt;"&amp;B78&amp;"nM")</x:f>
        <x:v>IC50=233nM</x:v>
      </x:c>
      <x:c r="L78" s="53"/>
      <x:c r="M78" s="53"/>
      <x:c r="N78" s="53"/>
      <x:c r="O78" s="76">
        <x:f ca="1">OFFSET(INDEX('Assay protocol'!C:C,MATCH(O76,'Assay protocol'!C:C,0)),0,2)</x:f>
        <x:v>10000</x:v>
      </x:c>
      <x:c r="P78" s="66">
        <x:f ca="1">OFFSET(INDEX(N:N,MATCH(O76,N:N,0)),0,1)</x:f>
        <x:v>90.965208832591586</x:v>
      </x:c>
      <x:c r="Q78" s="66">
        <x:f ca="1">OFFSET(INDEX(N:N,MATCH(O76,N:N,0)),1,1)</x:f>
        <x:v>93.070652173913047</x:v>
      </x:c>
      <x:c r="R78" s="66">
        <x:f ca="1">AVERAGE(P78:Q78)</x:f>
        <x:v>92.017930503252316</x:v>
      </x:c>
      <x:c r="S78" s="66">
        <x:f ca="1">STDEV(P78:Q78)</x:f>
        <x:v>1.4887732640524678</x:v>
      </x:c>
      <x:c r="T78" s="85">
        <x:v>11.804632928523846</x:v>
      </x:c>
      <x:c r="U78" s="59">
        <x:v>103.01478676914191</x:v>
      </x:c>
      <x:c r="V78" s="59">
        <x:v>489.31692316847295</x:v>
      </x:c>
      <x:c r="W78" s="77">
        <x:v>0.64745260261613269</x:v>
      </x:c>
      <x:c r="X78" s="53" t="str">
        <x:f ca="1">IF(V78&lt;O78,V77&amp;"="&amp;ROUND(V78,0)&amp;"nM",V77&amp;"&gt;"&amp;O78&amp;"nM")</x:f>
        <x:v>IC50=489nM</x:v>
      </x:c>
      <x:c r="Y78" s="53"/>
      <x:c r="Z78" s="53"/>
      <x:c r="AA78" s="53"/>
      <x:c r="AE78" s="4"/>
      <x:c r="AF78" s="4"/>
      <x:c r="AG78" s="4"/>
      <x:c r="AH78" s="4"/>
      <x:c r="AI78" s="4"/>
      <x:c r="AJ78" s="4"/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</x:row>
    <x:row r="79" spans="1:47" s="10" customFormat="1" ht="20.149999999999999" customHeight="1" x14ac:dyDescent="0.25">
      <x:c r="A79" s="53"/>
      <x:c r="B79" s="76">
        <x:f ca="1">B78/OFFSET(INDEX('Assay protocol'!C:C,MATCH(B76,'Assay protocol'!C:C,0)),0,3)</x:f>
        <x:v>3333.3333333333335</x:v>
      </x:c>
      <x:c r="C79" s="66">
        <x:f ca="1">OFFSET(INDEX(A:A,MATCH(B76,A:A,0)),0,3)</x:f>
        <x:v>91.427379322149946</x:v>
      </x:c>
      <x:c r="D79" s="66">
        <x:f ca="1">OFFSET(INDEX(A:A,MATCH(B76,A:A,0)),1,3)</x:f>
        <x:v>89.955280725778834</x:v>
      </x:c>
      <x:c r="E79" s="66">
        <x:f ca="1">AVERAGE(C79:D79)</x:f>
        <x:v>90.691330023964383</x:v>
      </x:c>
      <x:c r="F79" s="66">
        <x:f t="shared" ref="F79:F87" ca="1" si="10">STDEV(C79:D79)</x:f>
        <x:v>1.0409309000692113</x:v>
      </x:c>
      <x:c r="G79" s="61"/>
      <x:c r="H79" s="61"/>
      <x:c r="I79" s="61"/>
      <x:c r="J79" s="61"/>
      <x:c r="K79" s="53"/>
      <x:c r="L79" s="53"/>
      <x:c r="M79" s="53"/>
      <x:c r="N79" s="53"/>
      <x:c r="O79" s="76">
        <x:f ca="1">O78/OFFSET(INDEX('Assay protocol'!C:C,MATCH(O76,'Assay protocol'!C:C,0)),0,3)</x:f>
        <x:v>3333.3333333333335</x:v>
      </x:c>
      <x:c r="P79" s="66">
        <x:f ca="1">OFFSET(INDEX(N:N,MATCH(O76,N:N,0)),0,2)</x:f>
        <x:v>83.621833276275254</x:v>
      </x:c>
      <x:c r="Q79" s="66">
        <x:f ca="1">OFFSET(INDEX(N:N,MATCH(O76,N:N,0)),1,2)</x:f>
        <x:v>83.193897637795274</x:v>
      </x:c>
      <x:c r="R79" s="66">
        <x:f ca="1">AVERAGE(P79:Q79)</x:f>
        <x:v>83.407865457035257</x:v>
      </x:c>
      <x:c r="S79" s="66">
        <x:f t="shared" ref="S79:S87" ca="1" si="11">STDEV(P79:Q79)</x:f>
        <x:v>0.30259619188058856</x:v>
      </x:c>
      <x:c r="T79" s="61"/>
      <x:c r="U79" s="61"/>
      <x:c r="V79" s="61"/>
      <x:c r="W79" s="61"/>
      <x:c r="X79" s="53"/>
      <x:c r="Y79" s="53"/>
      <x:c r="Z79" s="53"/>
      <x:c r="AA79" s="53"/>
      <x:c r="AE79" s="4"/>
      <x:c r="AF79" s="4"/>
      <x:c r="AG79" s="4"/>
      <x:c r="AH79" s="4"/>
      <x:c r="AI79" s="4"/>
      <x:c r="AJ79" s="4"/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</x:row>
    <x:row r="80" spans="1:47" s="10" customFormat="1" ht="20.149999999999999" customHeight="1" x14ac:dyDescent="0.25">
      <x:c r="A80" s="53"/>
      <x:c r="B80" s="76">
        <x:f ca="1">B79/OFFSET(INDEX('Assay protocol'!C:C,MATCH(B76,'Assay protocol'!C:C,0)),0,3)</x:f>
        <x:v>1111.1111111111111</x:v>
      </x:c>
      <x:c r="C80" s="66">
        <x:f ca="1">OFFSET(INDEX(A:A,MATCH(B76,A:A,0)),0,4)</x:f>
        <x:v>77.151446422458065</x:v>
      </x:c>
      <x:c r="D80" s="66">
        <x:f ca="1">OFFSET(INDEX(A:A,MATCH(B76,A:A,0)),1,4)</x:f>
        <x:v>76.672158507360493</x:v>
      </x:c>
      <x:c r="E80" s="66">
        <x:f ca="1">AVERAGE(C80:D80)</x:f>
        <x:v>76.911802464909272</x:v>
      </x:c>
      <x:c r="F80" s="66">
        <x:f t="shared" ca="1" si="10"/>
        <x:v>0.33890773490625553</x:v>
      </x:c>
      <x:c r="G80" s="61"/>
      <x:c r="H80" s="61"/>
      <x:c r="I80" s="61"/>
      <x:c r="J80" s="61"/>
      <x:c r="K80" s="53"/>
      <x:c r="L80" s="53"/>
      <x:c r="M80" s="53"/>
      <x:c r="N80" s="53"/>
      <x:c r="O80" s="76">
        <x:f ca="1">O79/OFFSET(INDEX('Assay protocol'!C:C,MATCH(O76,'Assay protocol'!C:C,0)),0,3)</x:f>
        <x:v>1111.1111111111111</x:v>
      </x:c>
      <x:c r="P80" s="66">
        <x:f ca="1">OFFSET(INDEX(N:N,MATCH(O76,N:N,0)),0,3)</x:f>
        <x:v>54.487975008558706</x:v>
      </x:c>
      <x:c r="Q80" s="66">
        <x:f ca="1">OFFSET(INDEX(N:N,MATCH(O76,N:N,0)),1,3)</x:f>
        <x:v>76.4325145498117</x:v>
      </x:c>
      <x:c r="R80" s="66">
        <x:f ca="1">AVERAGE(P80:Q80)</x:f>
        <x:v>65.460244779185203</x:v>
      </x:c>
      <x:c r="S80" s="66">
        <x:f t="shared" ca="1" si="11"/>
        <x:v>15.517132719636356</x:v>
      </x:c>
      <x:c r="T80" s="61"/>
      <x:c r="U80" s="61"/>
      <x:c r="V80" s="61"/>
      <x:c r="W80" s="61"/>
      <x:c r="X80" s="53"/>
      <x:c r="Y80" s="53"/>
      <x:c r="Z80" s="53"/>
      <x:c r="AA80" s="53"/>
      <x:c r="AE80" s="4"/>
      <x:c r="AF80" s="4"/>
      <x:c r="AG80" s="4"/>
      <x:c r="AH80" s="4"/>
      <x:c r="AI80" s="4"/>
      <x:c r="AJ80" s="4"/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</x:row>
    <x:row r="81" spans="1:47" s="10" customFormat="1" ht="20.149999999999999" customHeight="1" x14ac:dyDescent="0.25">
      <x:c r="A81" s="53"/>
      <x:c r="B81" s="76">
        <x:f ca="1">B80/OFFSET(INDEX('Assay protocol'!C:C,MATCH(B76,'Assay protocol'!C:C,0)),0,3)</x:f>
        <x:v>370.37037037037038</x:v>
      </x:c>
      <x:c r="C81" s="66">
        <x:f ca="1">OFFSET(INDEX(A:A,MATCH(B76,A:A,0)),0,5)</x:f>
        <x:v>70.287358781239305</x:v>
      </x:c>
      <x:c r="D81" s="66">
        <x:f ca="1">OFFSET(INDEX(A:A,MATCH(B76,A:A,0)),1,5)</x:f>
        <x:v>62.105229373502226</x:v>
      </x:c>
      <x:c r="E81" s="66">
        <x:f ca="1">AVERAGE(C81:D81)</x:f>
        <x:v>66.196294077370766</x:v>
      </x:c>
      <x:c r="F81" s="66">
        <x:f t="shared" ca="1" si="10"/>
        <x:v>5.7856391887567584</x:v>
      </x:c>
      <x:c r="G81" s="61"/>
      <x:c r="H81" s="61"/>
      <x:c r="I81" s="61"/>
      <x:c r="J81" s="61"/>
      <x:c r="K81" s="53"/>
      <x:c r="L81" s="53"/>
      <x:c r="M81" s="53"/>
      <x:c r="N81" s="53"/>
      <x:c r="O81" s="76">
        <x:f ca="1">O80/OFFSET(INDEX('Assay protocol'!C:C,MATCH(O76,'Assay protocol'!C:C,0)),0,3)</x:f>
        <x:v>370.37037037037038</x:v>
      </x:c>
      <x:c r="P81" s="66">
        <x:f ca="1">OFFSET(INDEX(N:N,MATCH(O76,N:N,0)),0,4)</x:f>
        <x:v>57.158293392673741</x:v>
      </x:c>
      <x:c r="Q81" s="66">
        <x:f ca="1">OFFSET(INDEX(N:N,MATCH(O76,N:N,0)),1,4)</x:f>
        <x:v>57.911460116398494</x:v>
      </x:c>
      <x:c r="R81" s="66">
        <x:f ca="1">AVERAGE(P81:Q81)</x:f>
        <x:v>57.534876754536114</x:v>
      </x:c>
      <x:c r="S81" s="66">
        <x:f t="shared" ca="1" si="11"/>
        <x:v>0.53256929770982797</x:v>
      </x:c>
      <x:c r="T81" s="61"/>
      <x:c r="U81" s="61"/>
      <x:c r="V81" s="61"/>
      <x:c r="W81" s="61"/>
      <x:c r="X81" s="53"/>
      <x:c r="Y81" s="53"/>
      <x:c r="Z81" s="53"/>
      <x:c r="AA81" s="53"/>
      <x:c r="AE81" s="4"/>
      <x:c r="AF81" s="4"/>
      <x:c r="AG81" s="4"/>
      <x:c r="AH81" s="4"/>
      <x:c r="AI81" s="4"/>
      <x:c r="AJ81" s="4"/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</x:row>
    <x:row r="82" spans="1:47" s="10" customFormat="1" ht="20.149999999999999" customHeight="1" x14ac:dyDescent="0.25">
      <x:c r="A82" s="53"/>
      <x:c r="B82" s="76">
        <x:f ca="1">B81/OFFSET(INDEX('Assay protocol'!C:C,MATCH(B76,'Assay protocol'!C:C,0)),0,3)</x:f>
        <x:v>123.4567901234568</x:v>
      </x:c>
      <x:c r="C82" s="66">
        <x:f ca="1">OFFSET(INDEX(A:A,MATCH(B76,A:A,0)),0,6)</x:f>
        <x:v>34.820053064019177</x:v>
      </x:c>
      <x:c r="D82" s="66">
        <x:f ca="1">OFFSET(INDEX(A:A,MATCH(B76,A:A,0)),1,6)</x:f>
        <x:v>33.125427935638477</x:v>
      </x:c>
      <x:c r="E82" s="66">
        <x:f t="shared" ref="E82:E87" ca="1" si="12">AVERAGE(C82:D82)</x:f>
        <x:v>33.972740499828831</x:v>
      </x:c>
      <x:c r="F82" s="66">
        <x:f t="shared" ca="1" si="10"/>
        <x:v>1.1982809198471167</x:v>
      </x:c>
      <x:c r="G82" s="61"/>
      <x:c r="H82" s="61"/>
      <x:c r="I82" s="53"/>
      <x:c r="J82" s="61"/>
      <x:c r="K82" s="53"/>
      <x:c r="L82" s="53"/>
      <x:c r="M82" s="53"/>
      <x:c r="N82" s="53"/>
      <x:c r="O82" s="76">
        <x:f ca="1">O81/OFFSET(INDEX('Assay protocol'!C:C,MATCH(O76,'Assay protocol'!C:C,0)),0,3)</x:f>
        <x:v>123.4567901234568</x:v>
      </x:c>
      <x:c r="P82" s="66">
        <x:f ca="1">OFFSET(INDEX(N:N,MATCH(O76,N:N,0)),0,5)</x:f>
        <x:v>35.898450872988704</x:v>
      </x:c>
      <x:c r="Q82" s="66">
        <x:f ca="1">OFFSET(INDEX(N:N,MATCH(O76,N:N,0)),1,5)</x:f>
        <x:v>37.319197192742209</x:v>
      </x:c>
      <x:c r="R82" s="66">
        <x:f t="shared" ref="R82:R87" ca="1" si="13">AVERAGE(P82:Q82)</x:f>
        <x:v>36.608824032865456</x:v>
      </x:c>
      <x:c r="S82" s="66">
        <x:f t="shared" ca="1" si="11"/>
        <x:v>1.0046193570435342</x:v>
      </x:c>
      <x:c r="T82" s="61"/>
      <x:c r="U82" s="61"/>
      <x:c r="V82" s="61"/>
      <x:c r="W82" s="61"/>
      <x:c r="X82" s="61"/>
      <x:c r="Y82" s="61"/>
      <x:c r="Z82" s="53"/>
      <x:c r="AA82" s="53"/>
      <x:c r="AE82" s="4"/>
      <x:c r="AF82" s="4"/>
      <x:c r="AG82" s="4"/>
      <x:c r="AH82" s="4"/>
      <x:c r="AI82" s="4"/>
      <x:c r="AJ82" s="4"/>
      <x:c r="AK82" s="4"/>
      <x:c r="AL82" s="4"/>
      <x:c r="AM82" s="4"/>
      <x:c r="AN82" s="4"/>
      <x:c r="AO82" s="4"/>
      <x:c r="AP82" s="4"/>
      <x:c r="AQ82" s="4"/>
      <x:c r="AR82" s="4"/>
      <x:c r="AS82" s="4"/>
      <x:c r="AT82" s="4"/>
      <x:c r="AU82" s="4"/>
    </x:row>
    <x:row r="83" spans="1:47" s="10" customFormat="1" ht="20.149999999999999" customHeight="1" x14ac:dyDescent="0.25">
      <x:c r="A83" s="53"/>
      <x:c r="B83" s="76">
        <x:f ca="1">B82/OFFSET(INDEX('Assay protocol'!C:C,MATCH(B76,'Assay protocol'!C:C,0)),0,3)</x:f>
        <x:v>41.152263374485599</x:v>
      </x:c>
      <x:c r="C83" s="66">
        <x:f ca="1">OFFSET(INDEX(A:A,MATCH(B76,A:A,0)),0,7)</x:f>
        <x:v>7.9799298185552896</x:v>
      </x:c>
      <x:c r="D83" s="66">
        <x:f ca="1">OFFSET(INDEX(A:A,MATCH(B76,A:A,0)),1,7)</x:f>
        <x:v>11.061066415611092</x:v>
      </x:c>
      <x:c r="E83" s="66">
        <x:f t="shared" ca="1" si="12"/>
        <x:v>9.520498117083191</x:v>
      </x:c>
      <x:c r="F83" s="66">
        <x:f t="shared" ca="1" si="10"/>
        <x:v>2.178692581540199</x:v>
      </x:c>
      <x:c r="G83" s="61"/>
      <x:c r="H83" s="61"/>
      <x:c r="I83" s="61"/>
      <x:c r="J83" s="61"/>
      <x:c r="K83" s="53"/>
      <x:c r="L83" s="53"/>
      <x:c r="M83" s="53"/>
      <x:c r="N83" s="53"/>
      <x:c r="O83" s="76">
        <x:f ca="1">O82/OFFSET(INDEX('Assay protocol'!C:C,MATCH(O76,'Assay protocol'!C:C,0)),0,3)</x:f>
        <x:v>41.152263374485599</x:v>
      </x:c>
      <x:c r="P83" s="66">
        <x:f ca="1">OFFSET(INDEX(N:N,MATCH(O76,N:N,0)),0,6)</x:f>
        <x:v>28.401018486819584</x:v>
      </x:c>
      <x:c r="Q83" s="142" t="s">
        <x:v>237</x:v>
      </x:c>
      <x:c r="R83" s="66">
        <x:f t="shared" ca="1" si="13"/>
        <x:v>28.401018486819584</x:v>
      </x:c>
      <x:c r="S83" s="66" t="e">
        <x:f t="shared" ca="1" si="11"/>
        <x:v>#DIV/0!</x:v>
      </x:c>
      <x:c r="T83" s="61"/>
      <x:c r="U83" s="61"/>
      <x:c r="V83" s="61"/>
      <x:c r="W83" s="61"/>
      <x:c r="X83" s="61"/>
      <x:c r="Y83" s="61"/>
      <x:c r="Z83" s="53"/>
      <x:c r="AA83" s="53"/>
      <x:c r="AE83" s="4"/>
      <x:c r="AF83" s="4"/>
      <x:c r="AG83" s="4"/>
      <x:c r="AH83" s="4"/>
      <x:c r="AI83" s="4"/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</x:row>
    <x:row r="84" spans="1:47" s="10" customFormat="1" ht="20.149999999999999" customHeight="1" x14ac:dyDescent="0.25">
      <x:c r="A84" s="53"/>
      <x:c r="B84" s="76">
        <x:f ca="1">B83/OFFSET(INDEX('Assay protocol'!C:C,MATCH(B76,'Assay protocol'!C:C,0)),0,3)</x:f>
        <x:v>13.717421124828533</x:v>
      </x:c>
      <x:c r="C84" s="66">
        <x:f ca="1">OFFSET(INDEX(A:A,MATCH(B76,A:A,0)),0,8)</x:f>
        <x:v>14.039498459431702</x:v>
      </x:c>
      <x:c r="D84" s="66">
        <x:f ca="1">OFFSET(INDEX(A:A,MATCH(B76,A:A,0)),1,8)</x:f>
        <x:v>11.317827798699076</x:v>
      </x:c>
      <x:c r="E84" s="66">
        <x:f t="shared" ca="1" si="12"/>
        <x:v>12.678663129065388</x:v>
      </x:c>
      <x:c r="F84" s="66">
        <x:f t="shared" ca="1" si="10"/>
        <x:v>1.924511780360523</x:v>
      </x:c>
      <x:c r="G84" s="61"/>
      <x:c r="H84" s="61"/>
      <x:c r="I84" s="61"/>
      <x:c r="J84" s="61"/>
      <x:c r="K84" s="53"/>
      <x:c r="L84" s="53"/>
      <x:c r="M84" s="53"/>
      <x:c r="N84" s="53"/>
      <x:c r="O84" s="76">
        <x:f ca="1">O83/OFFSET(INDEX('Assay protocol'!C:C,MATCH(O76,'Assay protocol'!C:C,0)),0,3)</x:f>
        <x:v>13.717421124828533</x:v>
      </x:c>
      <x:c r="P84" s="66">
        <x:f ca="1">OFFSET(INDEX(N:N,MATCH(O76,N:N,0)),0,7)</x:f>
        <x:v>20.749529270797673</x:v>
      </x:c>
      <x:c r="Q84" s="66">
        <x:f ca="1">OFFSET(INDEX(N:N,MATCH(O76,N:N,0)),1,7)</x:f>
        <x:v>15.066543991783634</x:v>
      </x:c>
      <x:c r="R84" s="66">
        <x:f t="shared" ca="1" si="13"/>
        <x:v>17.908036631290653</x:v>
      </x:c>
      <x:c r="S84" s="66">
        <x:f t="shared" ca="1" si="11"/>
        <x:v>4.018477428174168</x:v>
      </x:c>
      <x:c r="T84" s="61"/>
      <x:c r="U84" s="61"/>
      <x:c r="V84" s="61"/>
      <x:c r="W84" s="61"/>
      <x:c r="X84" s="61"/>
      <x:c r="Y84" s="61"/>
      <x:c r="Z84" s="53"/>
      <x:c r="AA84" s="53"/>
      <x:c r="AE84" s="4"/>
      <x:c r="AF84" s="4"/>
      <x:c r="AG84" s="4"/>
      <x:c r="AH84" s="4"/>
      <x:c r="AI84" s="4"/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</x:row>
    <x:row r="85" spans="1:47" s="10" customFormat="1" ht="20.149999999999999" customHeight="1" x14ac:dyDescent="0.25">
      <x:c r="A85" s="53"/>
      <x:c r="B85" s="76">
        <x:f ca="1">B84/OFFSET(INDEX('Assay protocol'!C:C,MATCH(B76,'Assay protocol'!C:C,0)),0,3)</x:f>
        <x:v>4.5724737082761777</x:v>
      </x:c>
      <x:c r="C85" s="66">
        <x:f ca="1">OFFSET(INDEX(A:A,MATCH(B76,A:A,0)),0,9)</x:f>
        <x:v>20.920703526189659</x:v>
      </x:c>
      <x:c r="D85" s="66">
        <x:f ca="1">OFFSET(INDEX(A:A,MATCH(B76,A:A,0)),1,9)</x:f>
        <x:v>10.821422458062308</x:v>
      </x:c>
      <x:c r="E85" s="66">
        <x:f t="shared" ca="1" si="12"/>
        <x:v>15.871062992125983</x:v>
      </x:c>
      <x:c r="F85" s="66">
        <x:f t="shared" ca="1" si="10"/>
        <x:v>7.1412701283817697</x:v>
      </x:c>
      <x:c r="G85" s="61"/>
      <x:c r="H85" s="61"/>
      <x:c r="I85" s="61"/>
      <x:c r="J85" s="61"/>
      <x:c r="K85" s="53"/>
      <x:c r="L85" s="53"/>
      <x:c r="M85" s="53"/>
      <x:c r="N85" s="53"/>
      <x:c r="O85" s="76">
        <x:f ca="1">O84/OFFSET(INDEX('Assay protocol'!C:C,MATCH(O76,'Assay protocol'!C:C,0)),0,3)</x:f>
        <x:v>4.5724737082761777</x:v>
      </x:c>
      <x:c r="P85" s="66">
        <x:f ca="1">OFFSET(INDEX(N:N,MATCH(O76,N:N,0)),0,8)</x:f>
        <x:v>20.612589866484079</x:v>
      </x:c>
      <x:c r="Q85" s="66">
        <x:f ca="1">OFFSET(INDEX(N:N,MATCH(O76,N:N,0)),1,8)</x:f>
        <x:v>10.735835330366312</x:v>
      </x:c>
      <x:c r="R85" s="66">
        <x:f t="shared" ca="1" si="13"/>
        <x:v>15.674212598425196</x:v>
      </x:c>
      <x:c r="S85" s="66">
        <x:f t="shared" ca="1" si="11"/>
        <x:v>6.983920108603864</x:v>
      </x:c>
      <x:c r="T85" s="61"/>
      <x:c r="U85" s="61"/>
      <x:c r="V85" s="61"/>
      <x:c r="W85" s="61"/>
      <x:c r="X85" s="53"/>
      <x:c r="Y85" s="53"/>
      <x:c r="Z85" s="53"/>
      <x:c r="AA85" s="53"/>
      <x:c r="AE85" s="4"/>
      <x:c r="AF85" s="4"/>
      <x:c r="AG85" s="4"/>
      <x:c r="AH85" s="4"/>
      <x:c r="AI85" s="4"/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</x:row>
    <x:row r="86" spans="1:47" s="10" customFormat="1" ht="20.149999999999999" customHeight="1" x14ac:dyDescent="0.25">
      <x:c r="A86" s="53"/>
      <x:c r="B86" s="76">
        <x:f ca="1">B85/OFFSET(INDEX('Assay protocol'!C:C,MATCH(B76,'Assay protocol'!C:C,0)),0,3)</x:f>
        <x:v>1.524157902758726</x:v>
      </x:c>
      <x:c r="C86" s="66">
        <x:f ca="1">OFFSET(INDEX(A:A,MATCH(B76,A:A,0)),0,10)</x:f>
        <x:v>1.9888308798356729</x:v>
      </x:c>
      <x:c r="D86" s="66">
        <x:f ca="1">OFFSET(INDEX(A:A,MATCH(B76,A:A,0)),1,10)</x:f>
        <x:v>4.5050924340979117</x:v>
      </x:c>
      <x:c r="E86" s="66">
        <x:f t="shared" ca="1" si="12"/>
        <x:v>3.2469616569667923</x:v>
      </x:c>
      <x:c r="F86" s="66">
        <x:f t="shared" ca="1" si="10"/>
        <x:v>1.7792656082578306</x:v>
      </x:c>
      <x:c r="G86" s="61"/>
      <x:c r="H86" s="61"/>
      <x:c r="I86" s="61"/>
      <x:c r="J86" s="61"/>
      <x:c r="K86" s="53"/>
      <x:c r="L86" s="53"/>
      <x:c r="M86" s="53"/>
      <x:c r="N86" s="53"/>
      <x:c r="O86" s="76">
        <x:f ca="1">O85/OFFSET(INDEX('Assay protocol'!C:C,MATCH(O76,'Assay protocol'!C:C,0)),0,3)</x:f>
        <x:v>1.524157902758726</x:v>
      </x:c>
      <x:c r="P86" s="66">
        <x:f ca="1">OFFSET(INDEX(N:N,MATCH(O76,N:N,0)),0,9)</x:f>
        <x:v>10.804305032523107</x:v>
      </x:c>
      <x:c r="Q86" s="66">
        <x:f ca="1">OFFSET(INDEX(N:N,MATCH(O76,N:N,0)),1,9)</x:f>
        <x:v>16.761169120164325</x:v>
      </x:c>
      <x:c r="R86" s="66">
        <x:f t="shared" ca="1" si="13"/>
        <x:v>13.782737076343716</x:v>
      </x:c>
      <x:c r="S86" s="66">
        <x:f t="shared" ca="1" si="11"/>
        <x:v>4.2121389909777243</x:v>
      </x:c>
      <x:c r="T86" s="61"/>
      <x:c r="U86" s="61"/>
      <x:c r="V86" s="61"/>
      <x:c r="W86" s="61"/>
      <x:c r="X86" s="53"/>
      <x:c r="Y86" s="53"/>
      <x:c r="Z86" s="53"/>
      <x:c r="AA86" s="53"/>
      <x:c r="AE86" s="4"/>
      <x:c r="AF86" s="4"/>
      <x:c r="AG86" s="4"/>
      <x:c r="AH86" s="4"/>
      <x:c r="AI86" s="4"/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</x:row>
    <x:row r="87" spans="1:47" s="10" customFormat="1" ht="20.149999999999999" customHeight="1" x14ac:dyDescent="0.25">
      <x:c r="A87" s="53"/>
      <x:c r="B87" s="76">
        <x:f ca="1">B86/OFFSET(INDEX('Assay protocol'!C:C,MATCH(B76,'Assay protocol'!C:C,0)),0,3)</x:f>
        <x:v>0.5080526342529087</x:v>
      </x:c>
      <x:c r="C87" s="66">
        <x:f ca="1">OFFSET(INDEX(A:A,MATCH(B76,A:A,0)),0,11)</x:f>
        <x:v>11.043948990071893</x:v>
      </x:c>
      <x:c r="D87" s="66">
        <x:f ca="1">OFFSET(INDEX(A:A,MATCH(B76,A:A,0)),1,11)</x:f>
        <x:v>-1.7770027387880865</x:v>
      </x:c>
      <x:c r="E87" s="66">
        <x:f t="shared" ca="1" si="12"/>
        <x:v>4.6334731256419035</x:v>
      </x:c>
      <x:c r="F87" s="66">
        <x:f t="shared" ca="1" si="10"/>
        <x:v>9.0657819087422826</x:v>
      </x:c>
      <x:c r="G87" s="61"/>
      <x:c r="H87" s="61"/>
      <x:c r="I87" s="61"/>
      <x:c r="J87" s="61"/>
      <x:c r="K87" s="53"/>
      <x:c r="L87" s="53"/>
      <x:c r="M87" s="53"/>
      <x:c r="N87" s="53"/>
      <x:c r="O87" s="76">
        <x:f ca="1">O86/OFFSET(INDEX('Assay protocol'!C:C,MATCH(O76,'Assay protocol'!C:C,0)),0,3)</x:f>
        <x:v>0.5080526342529087</x:v>
      </x:c>
      <x:c r="P87" s="66">
        <x:f ca="1">OFFSET(INDEX(N:N,MATCH(O76,N:N,0)),0,10)</x:f>
        <x:v>12.447577884286204</x:v>
      </x:c>
      <x:c r="Q87" s="66">
        <x:f ca="1">OFFSET(INDEX(N:N,MATCH(O76,N:N,0)),1,10)</x:f>
        <x:v>16.076472098596369</x:v>
      </x:c>
      <x:c r="R87" s="66">
        <x:f t="shared" ca="1" si="13"/>
        <x:v>14.262024991441287</x:v>
      </x:c>
      <x:c r="S87" s="66">
        <x:f t="shared" ca="1" si="11"/>
        <x:v>2.5660157071473417</x:v>
      </x:c>
      <x:c r="T87" s="61"/>
      <x:c r="U87" s="61"/>
      <x:c r="V87" s="61"/>
      <x:c r="W87" s="61"/>
      <x:c r="X87" s="53"/>
      <x:c r="Y87" s="53"/>
      <x:c r="Z87" s="53"/>
      <x:c r="AA87" s="53"/>
      <x:c r="AE87" s="4"/>
      <x:c r="AF87" s="4"/>
      <x:c r="AG87" s="4"/>
      <x:c r="AH87" s="4"/>
      <x:c r="AI87" s="4"/>
      <x:c r="AJ87" s="4"/>
      <x:c r="AK87" s="4"/>
      <x:c r="AL87" s="4"/>
      <x:c r="AM87" s="4"/>
      <x:c r="AN87" s="4"/>
      <x:c r="AO87" s="4"/>
      <x:c r="AP87" s="4"/>
      <x:c r="AQ87" s="4"/>
      <x:c r="AR87" s="4"/>
      <x:c r="AS87" s="4"/>
      <x:c r="AT87" s="4"/>
      <x:c r="AU87" s="4"/>
    </x:row>
    <x:row r="88" spans="1:47" s="10" customFormat="1" ht="20.149999999999999" customHeight="1" x14ac:dyDescent="0.4">
      <x:c r="A88" s="53"/>
      <x:c r="B88" s="78"/>
      <x:c r="C88" s="78"/>
      <x:c r="D88" s="78"/>
      <x:c r="E88" s="78"/>
      <x:c r="F88" s="78"/>
      <x:c r="G88" s="61"/>
      <x:c r="H88" s="61"/>
      <x:c r="I88" s="61"/>
      <x:c r="J88" s="61"/>
      <x:c r="K88" s="53"/>
      <x:c r="L88" s="53"/>
      <x:c r="M88" s="53"/>
      <x:c r="N88" s="53"/>
      <x:c r="O88" s="61"/>
      <x:c r="AD88" s="61"/>
      <x:c r="AE88" s="4"/>
      <x:c r="AF88" s="4"/>
      <x:c r="AG88" s="4"/>
      <x:c r="AH88" s="4"/>
      <x:c r="AI88" s="4"/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</x:row>
    <x:row r="89" spans="1:47" s="10" customFormat="1" ht="20.149999999999999" customHeight="1" x14ac:dyDescent="0.25">
      <x:c r="A89" s="53"/>
      <x:c r="B89" s="79"/>
      <x:c r="C89" s="61"/>
      <x:c r="D89" s="61"/>
      <x:c r="E89" s="61"/>
      <x:c r="F89" s="61"/>
      <x:c r="G89" s="61"/>
      <x:c r="H89" s="61"/>
      <x:c r="I89" s="61"/>
      <x:c r="J89" s="61"/>
      <x:c r="K89" s="53"/>
      <x:c r="L89" s="53"/>
      <x:c r="M89" s="53"/>
      <x:c r="N89" s="53"/>
      <x:c r="O89" s="61"/>
      <x:c r="AD89" s="61"/>
      <x:c r="AE89" s="4"/>
      <x:c r="AF89" s="4"/>
      <x:c r="AG89" s="4"/>
      <x:c r="AH89" s="4"/>
      <x:c r="AI89" s="4"/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</x:row>
    <x:row r="90" spans="1:47" s="10" customFormat="1" ht="20.149999999999999" customHeight="1" x14ac:dyDescent="0.25">
      <x:c r="A90" s="53"/>
      <x:c r="B90" s="152" t="str">
        <x:f>B91&amp;" in "&amp;'Assay summary'!$B$2</x:f>
        <x:v>HW350003B in WRN(517-1238) in FI assay_ATP preincubation</x:v>
      </x:c>
      <x:c r="C90" s="153"/>
      <x:c r="D90" s="153"/>
      <x:c r="E90" s="153"/>
      <x:c r="F90" s="154"/>
      <x:c r="G90" s="53"/>
      <x:c r="H90" s="53"/>
      <x:c r="I90" s="53"/>
      <x:c r="J90" s="53"/>
      <x:c r="K90" s="53"/>
      <x:c r="L90" s="53"/>
      <x:c r="M90" s="53"/>
      <x:c r="N90" s="53"/>
      <x:c r="O90" s="61"/>
      <x:c r="AE90" s="4"/>
      <x:c r="AF90" s="4"/>
      <x:c r="AG90" s="4"/>
      <x:c r="AH90" s="4"/>
      <x:c r="AI90" s="4"/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</x:row>
    <x:row r="91" spans="1:47" s="10" customFormat="1" ht="20.149999999999999" customHeight="1" x14ac:dyDescent="0.25">
      <x:c r="A91" s="53"/>
      <x:c r="B91" s="70" t="str">
        <x:f>'Assay summary'!C4</x:f>
        <x:v>HW350003B</x:v>
      </x:c>
      <x:c r="C91" s="71"/>
      <x:c r="D91" s="72" t="s">
        <x:v>33</x:v>
      </x:c>
      <x:c r="E91" s="72"/>
      <x:c r="F91" s="73"/>
      <x:c r="G91" s="61"/>
      <x:c r="H91" s="61"/>
      <x:c r="I91" s="61"/>
      <x:c r="J91" s="61"/>
      <x:c r="K91" s="53" t="e">
        <x:f ca="1">[1]!xf4_FitData("",[1]!xf4_SetModel("205"),[1]!xf4_SetParameters(0,FALSE,TRUE,100,FALSE,TRUE,1,FALSE,TRUE,0.1,FALSE,TRUE),[1]!xf4_SetData(B92,B93:B103,D91,E93:E103))</x:f>
        <x:v>#NAME?</x:v>
      </x:c>
      <x:c r="L91" s="53"/>
      <x:c r="M91" s="53"/>
      <x:c r="N91" s="53"/>
      <x:c r="O91" s="61"/>
      <x:c r="AE91" s="4"/>
      <x:c r="AF91" s="4"/>
      <x:c r="AG91" s="4"/>
      <x:c r="AH91" s="4"/>
      <x:c r="AI91" s="4"/>
      <x:c r="AJ91" s="4"/>
      <x:c r="AK91" s="4"/>
      <x:c r="AL91" s="4"/>
      <x:c r="AM91" s="4"/>
      <x:c r="AN91" s="4"/>
      <x:c r="AO91" s="4"/>
      <x:c r="AP91" s="4"/>
      <x:c r="AQ91" s="4"/>
      <x:c r="AR91" s="4"/>
      <x:c r="AS91" s="4"/>
      <x:c r="AT91" s="4"/>
      <x:c r="AU91" s="4"/>
    </x:row>
    <x:row r="92" spans="1:47" s="10" customFormat="1" ht="20.149999999999999" customHeight="1" x14ac:dyDescent="0.25">
      <x:c r="A92" s="53"/>
      <x:c r="B92" s="74" t="s">
        <x:v>39</x:v>
      </x:c>
      <x:c r="C92" s="75" t="s">
        <x:v>34</x:v>
      </x:c>
      <x:c r="D92" s="75" t="s">
        <x:v>35</x:v>
      </x:c>
      <x:c r="E92" s="75" t="s">
        <x:v>36</x:v>
      </x:c>
      <x:c r="F92" s="75" t="s">
        <x:v>30</x:v>
      </x:c>
      <x:c r="G92" s="74" t="s">
        <x:v>37</x:v>
      </x:c>
      <x:c r="H92" s="74" t="s">
        <x:v>98</x:v>
      </x:c>
      <x:c r="I92" s="74" t="s">
        <x:v>92</x:v>
      </x:c>
      <x:c r="J92" s="74" t="s">
        <x:v>38</x:v>
      </x:c>
      <x:c r="K92" s="53" t="e">
        <x: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x:f>
        <x:v>#NAME?</x:v>
      </x:c>
      <x:c r="L92" s="53"/>
      <x:c r="M92" s="53"/>
      <x:c r="N92" s="53"/>
      <x:c r="O92" s="61"/>
      <x:c r="AE92" s="4"/>
      <x:c r="AF92" s="4"/>
      <x:c r="AG92" s="4"/>
      <x:c r="AH92" s="4"/>
      <x:c r="AI92" s="4"/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</x:row>
    <x:row r="93" spans="1:47" s="10" customFormat="1" ht="20.149999999999999" customHeight="1" x14ac:dyDescent="0.25">
      <x:c r="A93" s="53"/>
      <x:c r="B93" s="76">
        <x:f ca="1">OFFSET(INDEX('Assay protocol'!C:C,MATCH(B91,'Assay protocol'!C:C,0)),0,2)</x:f>
        <x:v>10000</x:v>
      </x:c>
      <x:c r="C93" s="66">
        <x:f ca="1">OFFSET(INDEX(A:A,MATCH(B91,A:A,0)),0,2)</x:f>
        <x:v>41.307557343375557</x:v>
      </x:c>
      <x:c r="D93" s="66">
        <x:f ca="1">OFFSET(INDEX(A:A,MATCH(B91,A:A,0)),1,2)</x:f>
        <x:v>36.942613830879836</x:v>
      </x:c>
      <x:c r="E93" s="66">
        <x:f ca="1">AVERAGE(C93:D93)</x:f>
        <x:v>39.1250855871277</x:v>
      </x:c>
      <x:c r="F93" s="66">
        <x:f ca="1">STDEV(C93:D93)</x:f>
        <x:v>3.0864811571819519</x:v>
      </x:c>
      <x:c r="G93" s="77"/>
      <x:c r="H93" s="85"/>
      <x:c r="I93" s="59" t="s">
        <x:v>238</x:v>
      </x:c>
      <x:c r="J93" s="77"/>
      <x:c r="K93" s="53" t="str">
        <x:f ca="1">IF(I93&lt;B93,I92&amp;"="&amp;ROUND(I93,0)&amp;"nM",I92&amp;"&gt;"&amp;B93&amp;"nM")</x:f>
        <x:v>IC50&gt;10000nM</x:v>
      </x:c>
      <x:c r="L93" s="53"/>
      <x:c r="M93" s="53"/>
      <x:c r="N93" s="53"/>
      <x:c r="O93" s="61"/>
      <x:c r="AE93" s="4"/>
      <x:c r="AF93" s="4"/>
      <x:c r="AG93" s="4"/>
      <x:c r="AH93" s="4"/>
      <x:c r="AI93" s="4"/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</x:row>
    <x:row r="94" spans="1:47" s="10" customFormat="1" ht="20.149999999999999" customHeight="1" x14ac:dyDescent="0.25">
      <x:c r="A94" s="53"/>
      <x:c r="B94" s="76">
        <x:f ca="1">B93/OFFSET(INDEX('Assay protocol'!C:C,MATCH(B91,'Assay protocol'!C:C,0)),0,3)</x:f>
        <x:v>3333.3333333333335</x:v>
      </x:c>
      <x:c r="C94" s="66">
        <x:f ca="1">OFFSET(INDEX(A:A,MATCH(B91,A:A,0)),0,3)</x:f>
        <x:v>16.196294077370762</x:v>
      </x:c>
      <x:c r="D94" s="66">
        <x:f ca="1">OFFSET(INDEX(A:A,MATCH(B91,A:A,0)),1,3)</x:f>
        <x:v>10.444839096199932</x:v>
      </x:c>
      <x:c r="E94" s="66">
        <x:f ca="1">AVERAGE(C94:D94)</x:f>
        <x:v>13.320566586785347</x:v>
      </x:c>
      <x:c r="F94" s="66">
        <x:f t="shared" ref="F94:F102" ca="1" si="14">STDEV(C94:D94)</x:f>
        <x:v>4.0668928188750479</x:v>
      </x:c>
      <x:c r="G94" s="61"/>
      <x:c r="H94" s="61"/>
      <x:c r="I94" s="61"/>
      <x:c r="J94" s="61"/>
      <x:c r="K94" s="53"/>
      <x:c r="L94" s="53"/>
      <x:c r="M94" s="53"/>
      <x:c r="N94" s="53"/>
      <x:c r="O94" s="61"/>
      <x:c r="AE94" s="4"/>
      <x:c r="AF94" s="4"/>
      <x:c r="AG94" s="4"/>
      <x:c r="AH94" s="4"/>
      <x:c r="AI94" s="4"/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</x:row>
    <x:row r="95" spans="1:47" s="10" customFormat="1" ht="20.149999999999999" customHeight="1" x14ac:dyDescent="0.25">
      <x:c r="A95" s="53"/>
      <x:c r="B95" s="76">
        <x:f ca="1">B94/OFFSET(INDEX('Assay protocol'!C:C,MATCH(B91,'Assay protocol'!C:C,0)),0,3)</x:f>
        <x:v>1111.1111111111111</x:v>
      </x:c>
      <x:c r="C95" s="66">
        <x:f ca="1">OFFSET(INDEX(A:A,MATCH(B91,A:A,0)),0,4)</x:f>
        <x:v>3.734808284833961</x:v>
      </x:c>
      <x:c r="D95" s="66">
        <x:f ca="1">OFFSET(INDEX(A:A,MATCH(B91,A:A,0)),1,4)</x:f>
        <x:v>3.3753423485107841</x:v>
      </x:c>
      <x:c r="E95" s="66">
        <x:f ca="1">AVERAGE(C95:D95)</x:f>
        <x:v>3.5550753166723723</x:v>
      </x:c>
      <x:c r="F95" s="66">
        <x:f t="shared" ca="1" si="14"/>
        <x:v>0.25418080117969005</x:v>
      </x:c>
      <x:c r="G95" s="61"/>
      <x:c r="H95" s="61"/>
      <x:c r="I95" s="61"/>
      <x:c r="J95" s="61"/>
      <x:c r="K95" s="53"/>
      <x:c r="L95" s="53"/>
      <x:c r="M95" s="53"/>
      <x:c r="N95" s="53"/>
      <x:c r="O95" s="61"/>
      <x:c r="AE95" s="4"/>
      <x:c r="AF95" s="4"/>
      <x:c r="AG95" s="4"/>
      <x:c r="AH95" s="4"/>
      <x:c r="AI95" s="4"/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</x:row>
    <x:row r="96" spans="1:47" s="10" customFormat="1" ht="20.149999999999999" customHeight="1" x14ac:dyDescent="0.25">
      <x:c r="A96" s="53"/>
      <x:c r="B96" s="76">
        <x:f ca="1">B95/OFFSET(INDEX('Assay protocol'!C:C,MATCH(B91,'Assay protocol'!C:C,0)),0,3)</x:f>
        <x:v>370.37037037037038</x:v>
      </x:c>
      <x:c r="C96" s="66">
        <x:f ca="1">OFFSET(INDEX(A:A,MATCH(B91,A:A,0)),0,5)</x:f>
        <x:v>-3.1121619308456006</x:v>
      </x:c>
      <x:c r="D96" s="66">
        <x:f ca="1">OFFSET(INDEX(A:A,MATCH(B91,A:A,0)),1,5)</x:f>
        <x:v>-0.39049127011297502</x:v>
      </x:c>
      <x:c r="E96" s="66">
        <x:f ca="1">AVERAGE(C96:D96)</x:f>
        <x:v>-1.7513266004792878</x:v>
      </x:c>
      <x:c r="F96" s="66">
        <x:f t="shared" ca="1" si="14"/>
        <x:v>1.924511780360511</x:v>
      </x:c>
      <x:c r="G96" s="61"/>
      <x:c r="H96" s="61"/>
      <x:c r="I96" s="61"/>
      <x:c r="J96" s="61"/>
      <x:c r="K96" s="53"/>
      <x:c r="L96" s="53"/>
      <x:c r="M96" s="53"/>
      <x:c r="N96" s="53"/>
      <x:c r="O96" s="61"/>
      <x:c r="AE96" s="4"/>
      <x:c r="AF96" s="4"/>
      <x:c r="AG96" s="4"/>
      <x:c r="AH96" s="4"/>
      <x:c r="AI96" s="4"/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</x:row>
    <x:row r="97" spans="1:47" s="10" customFormat="1" ht="20.149999999999999" customHeight="1" x14ac:dyDescent="0.25">
      <x:c r="A97" s="53"/>
      <x:c r="B97" s="76">
        <x:f ca="1">B96/OFFSET(INDEX('Assay protocol'!C:C,MATCH(B91,'Assay protocol'!C:C,0)),0,3)</x:f>
        <x:v>123.4567901234568</x:v>
      </x:c>
      <x:c r="C97" s="66">
        <x:f ca="1">OFFSET(INDEX(A:A,MATCH(B91,A:A,0)),0,6)</x:f>
        <x:v>-3.0779270797672029</x:v>
      </x:c>
      <x:c r="D97" s="66">
        <x:f ca="1">OFFSET(INDEX(A:A,MATCH(B91,A:A,0)),1,6)</x:f>
        <x:v>-1.862589866484081</x:v>
      </x:c>
      <x:c r="E97" s="66">
        <x:f t="shared" ref="E97:E102" ca="1" si="15">AVERAGE(C97:D97)</x:f>
        <x:v>-2.4702584731256421</x:v>
      </x:c>
      <x:c r="F97" s="66">
        <x:f t="shared" ca="1" si="14"/>
        <x:v>0.85937318494085624</x:v>
      </x:c>
      <x:c r="G97" s="61"/>
      <x:c r="H97" s="61"/>
      <x:c r="I97" s="53"/>
      <x:c r="J97" s="61"/>
      <x:c r="K97" s="53"/>
      <x:c r="L97" s="53"/>
      <x:c r="M97" s="53"/>
      <x:c r="N97" s="53"/>
      <x:c r="O97" s="61"/>
      <x:c r="AE97" s="4"/>
      <x:c r="AF97" s="4"/>
      <x:c r="AG97" s="4"/>
      <x:c r="AH97" s="4"/>
      <x:c r="AI97" s="4"/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</x:row>
    <x:row r="98" spans="1:47" s="10" customFormat="1" ht="20.149999999999999" customHeight="1" x14ac:dyDescent="0.25">
      <x:c r="A98" s="53"/>
      <x:c r="B98" s="76">
        <x:f ca="1">B97/OFFSET(INDEX('Assay protocol'!C:C,MATCH(B91,'Assay protocol'!C:C,0)),0,3)</x:f>
        <x:v>41.152263374485599</x:v>
      </x:c>
      <x:c r="C98" s="66">
        <x:f ca="1">OFFSET(INDEX(A:A,MATCH(B91,A:A,0)),0,7)</x:f>
        <x:v>0.65367168777815809</x:v>
      </x:c>
      <x:c r="D98" s="142" t="s">
        <x:v>233</x:v>
      </x:c>
      <x:c r="E98" s="66">
        <x:f t="shared" ca="1" si="15"/>
        <x:v>0.65367168777815809</x:v>
      </x:c>
      <x:c r="F98" s="66" t="e">
        <x:f t="shared" ca="1" si="14"/>
        <x:v>#DIV/0!</x:v>
      </x:c>
      <x:c r="G98" s="61"/>
      <x:c r="H98" s="61"/>
      <x:c r="I98" s="61"/>
      <x:c r="J98" s="61"/>
      <x:c r="K98" s="53"/>
      <x:c r="L98" s="53"/>
      <x:c r="M98" s="53"/>
      <x:c r="N98" s="53"/>
      <x:c r="O98" s="61"/>
      <x:c r="AE98" s="4"/>
      <x:c r="AF98" s="4"/>
      <x:c r="AG98" s="4"/>
      <x:c r="AH98" s="4"/>
      <x:c r="AI98" s="4"/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</x:row>
    <x:row r="99" spans="1:47" s="10" customFormat="1" ht="20.149999999999999" customHeight="1" x14ac:dyDescent="0.25">
      <x:c r="A99" s="53"/>
      <x:c r="B99" s="76">
        <x:f ca="1">B98/OFFSET(INDEX('Assay protocol'!C:C,MATCH(B91,'Assay protocol'!C:C,0)),0,3)</x:f>
        <x:v>13.717421124828533</x:v>
      </x:c>
      <x:c r="C99" s="66">
        <x:f ca="1">OFFSET(INDEX(A:A,MATCH(B91,A:A,0)),0,8)</x:f>
        <x:v>6.764592605272167</x:v>
      </x:c>
      <x:c r="D99" s="66">
        <x:f ca="1">OFFSET(INDEX(A:A,MATCH(B91,A:A,0)),1,8)</x:f>
        <x:v>9.6916723724751801</x:v>
      </x:c>
      <x:c r="E99" s="66">
        <x:f t="shared" ca="1" si="15"/>
        <x:v>8.2281324888736727</x:v>
      </x:c>
      <x:c r="F99" s="66">
        <x:f t="shared" ca="1" si="14"/>
        <x:v>2.0697579524632008</x:v>
      </x:c>
      <x:c r="G99" s="61"/>
      <x:c r="H99" s="61"/>
      <x:c r="I99" s="61"/>
      <x:c r="J99" s="61"/>
      <x:c r="K99" s="53"/>
      <x:c r="L99" s="53"/>
      <x:c r="M99" s="53"/>
      <x:c r="N99" s="53"/>
      <x:c r="O99" s="61"/>
      <x:c r="AE99" s="4"/>
      <x:c r="AF99" s="4"/>
      <x:c r="AG99" s="4"/>
      <x:c r="AH99" s="4"/>
      <x:c r="AI99" s="4"/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</x:row>
    <x:row r="100" spans="1:47" s="10" customFormat="1" ht="20.149999999999999" customHeight="1" x14ac:dyDescent="0.25">
      <x:c r="A100" s="53"/>
      <x:c r="B100" s="76">
        <x:f ca="1">B99/OFFSET(INDEX('Assay protocol'!C:C,MATCH(B91,'Assay protocol'!C:C,0)),0,3)</x:f>
        <x:v>4.5724737082761777</x:v>
      </x:c>
      <x:c r="C100" s="66">
        <x:f ca="1">OFFSET(INDEX(A:A,MATCH(B91,A:A,0)),0,9)</x:f>
        <x:v>0.7221413899349538</x:v>
      </x:c>
      <x:c r="D100" s="66">
        <x:f ca="1">OFFSET(INDEX(A:A,MATCH(B91,A:A,0)),1,9)</x:f>
        <x:v>3.3582249229715853</x:v>
      </x:c>
      <x:c r="E100" s="66">
        <x:f t="shared" ca="1" si="15"/>
        <x:v>2.0401831564532698</x:v>
      </x:c>
      <x:c r="F100" s="66">
        <x:f t="shared" ca="1" si="14"/>
        <x:v>1.8639925419843937</x:v>
      </x:c>
      <x:c r="G100" s="61"/>
      <x:c r="H100" s="61"/>
      <x:c r="I100" s="61"/>
      <x:c r="J100" s="61"/>
      <x:c r="K100" s="53"/>
      <x:c r="L100" s="53"/>
      <x:c r="M100" s="53"/>
      <x:c r="N100" s="53"/>
      <x:c r="O100" s="61"/>
      <x:c r="AE100" s="4"/>
      <x:c r="AF100" s="4"/>
      <x:c r="AG100" s="4"/>
      <x:c r="AH100" s="4"/>
      <x:c r="AI100" s="4"/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</x:row>
    <x:row r="101" spans="1:47" s="10" customFormat="1" ht="20.149999999999999" customHeight="1" x14ac:dyDescent="0.25">
      <x:c r="A101" s="53"/>
      <x:c r="B101" s="76">
        <x:f ca="1">B100/OFFSET(INDEX('Assay protocol'!C:C,MATCH(B91,'Assay protocol'!C:C,0)),0,3)</x:f>
        <x:v>1.524157902758726</x:v>
      </x:c>
      <x:c r="C101" s="66">
        <x:f ca="1">OFFSET(INDEX(A:A,MATCH(B91,A:A,0)),0,10)</x:f>
        <x:v>5.9087213283122217</x:v>
      </x:c>
      <x:c r="D101" s="66">
        <x:f ca="1">OFFSET(INDEX(A:A,MATCH(B91,A:A,0)),1,10)</x:f>
        <x:v>-0.73283978089695312</x:v>
      </x:c>
      <x:c r="E101" s="66">
        <x:f t="shared" ca="1" si="15"/>
        <x:v>2.5879407737076345</x:v>
      </x:c>
      <x:c r="F101" s="66">
        <x:f t="shared" ca="1" si="14"/>
        <x:v>4.6962928979866563</x:v>
      </x:c>
      <x:c r="G101" s="61"/>
      <x:c r="H101" s="61"/>
      <x:c r="I101" s="61"/>
      <x:c r="J101" s="61"/>
      <x:c r="K101" s="53"/>
      <x:c r="L101" s="53"/>
      <x:c r="M101" s="53"/>
      <x:c r="N101" s="53"/>
      <x:c r="O101" s="61"/>
      <x:c r="AE101" s="4"/>
      <x:c r="AF101" s="4"/>
      <x:c r="AG101" s="4"/>
      <x:c r="AH101" s="4"/>
      <x:c r="AI101" s="4"/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</x:row>
    <x:row r="102" spans="1:47" s="10" customFormat="1" ht="20.149999999999999" customHeight="1" x14ac:dyDescent="0.25">
      <x:c r="A102" s="53"/>
      <x:c r="B102" s="76">
        <x:f ca="1">B101/OFFSET(INDEX('Assay protocol'!C:C,MATCH(B91,'Assay protocol'!C:C,0)),0,3)</x:f>
        <x:v>0.5080526342529087</x:v>
      </x:c>
      <x:c r="C102" s="66">
        <x:f ca="1">OFFSET(INDEX(A:A,MATCH(B91,A:A,0)),0,11)</x:f>
        <x:v>-2.4959346114344401</x:v>
      </x:c>
      <x:c r="D102" s="66">
        <x:f ca="1">OFFSET(INDEX(A:A,MATCH(B91,A:A,0)),1,11)</x:f>
        <x:v>-1.1094231427593291</x:v>
      </x:c>
      <x:c r="E102" s="66">
        <x:f t="shared" ca="1" si="15"/>
        <x:v>-1.8026788770968847</x:v>
      </x:c>
      <x:c r="F102" s="66">
        <x:f t="shared" ca="1" si="14"/>
        <x:v>0.98041166169309013</x:v>
      </x:c>
      <x:c r="G102" s="61"/>
      <x:c r="H102" s="61"/>
      <x:c r="I102" s="61"/>
      <x:c r="J102" s="61"/>
      <x:c r="K102" s="53"/>
      <x:c r="L102" s="53"/>
      <x:c r="M102" s="53"/>
      <x:c r="N102" s="53"/>
      <x:c r="O102" s="61"/>
      <x:c r="AE102" s="4"/>
      <x:c r="AF102" s="4"/>
      <x:c r="AG102" s="4"/>
      <x:c r="AH102" s="4"/>
      <x:c r="AI102" s="4"/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</x:row>
    <x:row r="103" spans="1:47" s="10" customFormat="1" ht="20.149999999999999" customHeight="1" x14ac:dyDescent="0.3">
      <x:c r="A103" s="62"/>
      <x:c r="B103" s="62"/>
      <x:c r="C103" s="62"/>
      <x:c r="D103" s="62"/>
      <x:c r="E103" s="62"/>
      <x:c r="F103" s="62"/>
      <x:c r="G103" s="62"/>
      <x:c r="H103" s="62"/>
      <x:c r="I103" s="61"/>
      <x:c r="J103" s="61"/>
      <x:c r="K103" s="53"/>
      <x:c r="L103" s="53"/>
      <x:c r="M103" s="53"/>
      <x:c r="N103" s="53"/>
      <x:c r="O103" s="61"/>
      <x:c r="AD103" s="61"/>
      <x:c r="AE103" s="4"/>
      <x:c r="AF103" s="4"/>
      <x:c r="AG103" s="4"/>
      <x:c r="AH103" s="4"/>
      <x:c r="AI103" s="4"/>
      <x:c r="AJ103" s="4"/>
      <x:c r="AK103" s="4"/>
      <x:c r="AL103" s="4"/>
      <x:c r="AM103" s="4"/>
      <x:c r="AN103" s="4"/>
      <x:c r="AO103" s="4"/>
      <x:c r="AP103" s="4"/>
      <x:c r="AQ103" s="4"/>
      <x:c r="AR103" s="4"/>
      <x:c r="AS103" s="4"/>
      <x:c r="AT103" s="4"/>
      <x:c r="AU103" s="4"/>
    </x:row>
    <x:row r="104" spans="1:47" s="10" customFormat="1" ht="20.149999999999999" customHeight="1" x14ac:dyDescent="0.25">
      <x:c r="A104" s="53"/>
      <x:c r="B104" s="79"/>
      <x:c r="C104" s="61"/>
      <x:c r="D104" s="61"/>
      <x:c r="E104" s="61"/>
      <x:c r="F104" s="61"/>
      <x:c r="G104" s="61"/>
      <x:c r="H104" s="61"/>
      <x:c r="I104" s="61"/>
      <x:c r="J104" s="61"/>
      <x:c r="K104" s="53"/>
      <x:c r="L104" s="53"/>
      <x:c r="M104" s="53"/>
      <x:c r="N104" s="53"/>
      <x:c r="O104" s="61"/>
      <x:c r="AD104" s="61"/>
      <x:c r="AE104" s="4"/>
      <x:c r="AF104" s="4"/>
      <x:c r="AG104" s="4"/>
      <x:c r="AH104" s="4"/>
      <x:c r="AI104" s="4"/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</x:row>
    <x:row r="105" spans="1:47" s="10" customFormat="1" ht="20.149999999999999" customHeight="1" x14ac:dyDescent="0.25">
      <x:c r="A105" s="53"/>
      <x:c r="B105" s="152" t="str">
        <x:f>B106&amp;" in "&amp;'Assay summary'!$B$2</x:f>
        <x:v>HW356010 in WRN(517-1238) in FI assay_ATP preincubation</x:v>
      </x:c>
      <x:c r="C105" s="153"/>
      <x:c r="D105" s="153"/>
      <x:c r="E105" s="153"/>
      <x:c r="F105" s="154"/>
      <x:c r="G105" s="53"/>
      <x:c r="H105" s="53"/>
      <x:c r="I105" s="53"/>
      <x:c r="J105" s="53"/>
      <x:c r="K105" s="53"/>
      <x:c r="L105" s="53"/>
      <x:c r="M105" s="53"/>
      <x:c r="N105" s="53"/>
      <x:c r="O105" s="61"/>
      <x:c r="AE105" s="4"/>
      <x:c r="AF105" s="4"/>
      <x:c r="AG105" s="4"/>
      <x:c r="AH105" s="4"/>
      <x:c r="AI105" s="4"/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</x:row>
    <x:row r="106" spans="1:47" s="10" customFormat="1" ht="20.149999999999999" customHeight="1" x14ac:dyDescent="0.25">
      <x:c r="A106" s="53"/>
      <x:c r="B106" s="70" t="str">
        <x:f>'Assay summary'!C5</x:f>
        <x:v>HW356010</x:v>
      </x:c>
      <x:c r="C106" s="71"/>
      <x:c r="D106" s="72" t="s">
        <x:v>33</x:v>
      </x:c>
      <x:c r="E106" s="72"/>
      <x:c r="F106" s="73"/>
      <x:c r="G106" s="61"/>
      <x:c r="H106" s="61"/>
      <x:c r="I106" s="61"/>
      <x:c r="J106" s="61"/>
      <x:c r="K106" s="53" t="e">
        <x:f ca="1">[1]!xf4_FitData("",[1]!xf4_SetModel("205"),[1]!xf4_SetParameters(0,FALSE,TRUE,100,FALSE,TRUE,1,FALSE,TRUE,0.1,FALSE,TRUE),[1]!xf4_SetData(B107,B108:B118,D106,E108:E118))</x:f>
        <x:v>#NAME?</x:v>
      </x:c>
      <x:c r="L106" s="53"/>
      <x:c r="M106" s="53"/>
      <x:c r="N106" s="53"/>
      <x:c r="O106" s="61"/>
      <x:c r="AE106" s="4"/>
      <x:c r="AF106" s="4"/>
      <x:c r="AG106" s="4"/>
      <x:c r="AH106" s="4"/>
      <x:c r="AI106" s="4"/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</x:row>
    <x:row r="107" spans="1:47" s="10" customFormat="1" ht="20.149999999999999" customHeight="1" x14ac:dyDescent="0.25">
      <x:c r="A107" s="53"/>
      <x:c r="B107" s="74" t="s">
        <x:v>39</x:v>
      </x:c>
      <x:c r="C107" s="75" t="s">
        <x:v>34</x:v>
      </x:c>
      <x:c r="D107" s="75" t="s">
        <x:v>35</x:v>
      </x:c>
      <x:c r="E107" s="75" t="s">
        <x:v>36</x:v>
      </x:c>
      <x:c r="F107" s="75" t="s">
        <x:v>30</x:v>
      </x:c>
      <x:c r="G107" s="74" t="s">
        <x:v>37</x:v>
      </x:c>
      <x:c r="H107" s="74" t="s">
        <x:v>98</x:v>
      </x:c>
      <x:c r="I107" s="74" t="s">
        <x:v>92</x:v>
      </x:c>
      <x:c r="J107" s="74" t="s">
        <x:v>38</x:v>
      </x:c>
      <x:c r="K107" s="53" t="e">
        <x: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x:f>
        <x:v>#NAME?</x:v>
      </x:c>
      <x:c r="L107" s="53"/>
      <x:c r="M107" s="53"/>
      <x:c r="N107" s="53"/>
      <x:c r="AE107" s="4"/>
      <x:c r="AF107" s="4"/>
      <x:c r="AG107" s="4"/>
      <x:c r="AH107" s="4"/>
      <x:c r="AI107" s="4"/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</x:row>
    <x:row r="108" spans="1:47" s="10" customFormat="1" ht="20.149999999999999" customHeight="1" x14ac:dyDescent="0.25">
      <x:c r="A108" s="53"/>
      <x:c r="B108" s="76">
        <x:f ca="1">OFFSET(INDEX('Assay protocol'!C:C,MATCH(B106,'Assay protocol'!C:C,0)),0,2)</x:f>
        <x:v>10000</x:v>
      </x:c>
      <x:c r="C108" s="66">
        <x:f ca="1">OFFSET(INDEX(A:A,MATCH(B106,A:A,0)),0,2)</x:f>
        <x:v>33.365071893187263</x:v>
      </x:c>
      <x:c r="D108" s="66">
        <x:f ca="1">OFFSET(INDEX(A:A,MATCH(B106,A:A,0)),1,2)</x:f>
        <x:v>39.681401917151661</x:v>
      </x:c>
      <x:c r="E108" s="66">
        <x:f ca="1">AVERAGE(C108:D108)</x:f>
        <x:v>36.523236905169462</x:v>
      </x:c>
      <x:c r="F108" s="66">
        <x:f ca="1">STDEV(C108:D108)</x:f>
        <x:v>4.4663197921574138</x:v>
      </x:c>
      <x:c r="G108" s="77"/>
      <x:c r="H108" s="85"/>
      <x:c r="I108" s="59" t="s">
        <x:v>238</x:v>
      </x:c>
      <x:c r="J108" s="77"/>
      <x:c r="K108" s="53" t="str">
        <x:f ca="1">IF(I108&lt;B108,I107&amp;"="&amp;ROUND(I108,0)&amp;"nM",I107&amp;"&gt;"&amp;B108&amp;"nM")</x:f>
        <x:v>IC50&gt;10000nM</x:v>
      </x:c>
      <x:c r="L108" s="53"/>
      <x:c r="M108" s="53"/>
      <x:c r="N108" s="53"/>
      <x:c r="AE108" s="4"/>
      <x:c r="AF108" s="4"/>
      <x:c r="AG108" s="4"/>
      <x:c r="AH108" s="4"/>
      <x:c r="AI108" s="4"/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</x:row>
    <x:row r="109" spans="1:47" s="10" customFormat="1" ht="20.149999999999999" customHeight="1" x14ac:dyDescent="0.25">
      <x:c r="A109" s="53"/>
      <x:c r="B109" s="76">
        <x:f ca="1">B108/OFFSET(INDEX('Assay protocol'!C:C,MATCH(B106,'Assay protocol'!C:C,0)),0,3)</x:f>
        <x:v>3333.3333333333335</x:v>
      </x:c>
      <x:c r="C109" s="66">
        <x:f ca="1">OFFSET(INDEX(A:A,MATCH(B106,A:A,0)),0,3)</x:f>
        <x:v>26.449631975350908</x:v>
      </x:c>
      <x:c r="D109" s="66">
        <x:f ca="1">OFFSET(INDEX(A:A,MATCH(B106,A:A,0)),1,3)</x:f>
        <x:v>23.488317357069498</x:v>
      </x:c>
      <x:c r="E109" s="66">
        <x:f ca="1">AVERAGE(C109:D109)</x:f>
        <x:v>24.968974666210201</x:v>
      </x:c>
      <x:c r="F109" s="66">
        <x:f t="shared" ref="F109:F117" ca="1" si="16">STDEV(C109:D109)</x:f>
        <x:v>2.0939656478136373</x:v>
      </x:c>
      <x:c r="G109" s="61"/>
      <x:c r="H109" s="61"/>
      <x:c r="I109" s="61"/>
      <x:c r="J109" s="61"/>
      <x:c r="K109" s="53"/>
      <x:c r="L109" s="53"/>
      <x:c r="M109" s="53"/>
      <x:c r="N109" s="53"/>
      <x:c r="AE109" s="4"/>
      <x:c r="AF109" s="4"/>
      <x:c r="AG109" s="4"/>
      <x:c r="AH109" s="4"/>
      <x:c r="AI109" s="4"/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</x:row>
    <x:row r="110" spans="1:47" s="10" customFormat="1" ht="20.149999999999999" customHeight="1" x14ac:dyDescent="0.25">
      <x:c r="A110" s="53"/>
      <x:c r="B110" s="76">
        <x:f ca="1">B109/OFFSET(INDEX('Assay protocol'!C:C,MATCH(B106,'Assay protocol'!C:C,0)),0,3)</x:f>
        <x:v>1111.1111111111111</x:v>
      </x:c>
      <x:c r="C110" s="142" t="s">
        <x:v>234</x:v>
      </x:c>
      <x:c r="D110" s="66">
        <x:f ca="1">OFFSET(INDEX(A:A,MATCH(B106,A:A,0)),1,4)</x:f>
        <x:v>1.6122475179732969</x:v>
      </x:c>
      <x:c r="E110" s="66">
        <x:f ca="1">AVERAGE(C110:D110)</x:f>
        <x:v>1.6122475179732969</x:v>
      </x:c>
      <x:c r="F110" s="66" t="e">
        <x:f t="shared" ca="1" si="16"/>
        <x:v>#DIV/0!</x:v>
      </x:c>
      <x:c r="G110" s="61"/>
      <x:c r="H110" s="61"/>
      <x:c r="I110" s="61"/>
      <x:c r="J110" s="61"/>
      <x:c r="K110" s="53"/>
      <x:c r="L110" s="53"/>
      <x:c r="M110" s="53"/>
      <x:c r="N110" s="53"/>
      <x:c r="AE110" s="4"/>
      <x:c r="AF110" s="4"/>
      <x:c r="AG110" s="4"/>
      <x:c r="AH110" s="4"/>
      <x:c r="AI110" s="4"/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</x:row>
    <x:row r="111" spans="1:47" s="10" customFormat="1" ht="20.149999999999999" customHeight="1" x14ac:dyDescent="0.25">
      <x:c r="A111" s="53"/>
      <x:c r="B111" s="76">
        <x:f ca="1">B110/OFFSET(INDEX('Assay protocol'!C:C,MATCH(B106,'Assay protocol'!C:C,0)),0,3)</x:f>
        <x:v>370.37037037037038</x:v>
      </x:c>
      <x:c r="C111" s="66">
        <x:f ca="1">OFFSET(INDEX(A:A,MATCH(B106,A:A,0)),0,5)</x:f>
        <x:v>1.5780126668948988</x:v>
      </x:c>
      <x:c r="D111" s="66">
        <x:f ca="1">OFFSET(INDEX(A:A,MATCH(B106,A:A,0)),1,5)</x:f>
        <x:v>7.0898236905169458</x:v>
      </x:c>
      <x:c r="E111" s="66">
        <x:f ca="1">AVERAGE(C111:D111)</x:f>
        <x:v>4.3339181787059227</x:v>
      </x:c>
      <x:c r="F111" s="66">
        <x:f t="shared" ca="1" si="16"/>
        <x:v>3.8974389514219148</x:v>
      </x:c>
      <x:c r="G111" s="61"/>
      <x:c r="H111" s="61"/>
      <x:c r="I111" s="61"/>
      <x:c r="J111" s="61"/>
      <x:c r="K111" s="53"/>
      <x:c r="L111" s="53"/>
      <x:c r="M111" s="53"/>
      <x:c r="N111" s="53"/>
      <x:c r="AE111" s="4"/>
      <x:c r="AF111" s="4"/>
      <x:c r="AG111" s="4"/>
      <x:c r="AH111" s="4"/>
      <x:c r="AI111" s="4"/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</x:row>
    <x:row r="112" spans="1:47" s="10" customFormat="1" ht="20.149999999999999" customHeight="1" x14ac:dyDescent="0.25">
      <x:c r="A112" s="53"/>
      <x:c r="B112" s="76">
        <x:f ca="1">B111/OFFSET(INDEX('Assay protocol'!C:C,MATCH(B106,'Assay protocol'!C:C,0)),0,3)</x:f>
        <x:v>123.4567901234568</x:v>
      </x:c>
      <x:c r="C112" s="66">
        <x:f ca="1">OFFSET(INDEX(A:A,MATCH(B106,A:A,0)),0,6)</x:f>
        <x:v>-3.7968589524135572</x:v>
      </x:c>
      <x:c r="D112" s="66">
        <x:f ca="1">OFFSET(INDEX(A:A,MATCH(B106,A:A,0)),1,6)</x:f>
        <x:v>-4.9779613146182813</x:v>
      </x:c>
      <x:c r="E112" s="66">
        <x:f t="shared" ref="E112:E117" ca="1" si="17">AVERAGE(C112:D112)</x:f>
        <x:v>-4.3874101335159192</x:v>
      </x:c>
      <x:c r="F112" s="66">
        <x:f t="shared" ca="1" si="16"/>
        <x:v>0.83516548959040959</x:v>
      </x:c>
      <x:c r="G112" s="61"/>
      <x:c r="H112" s="61"/>
      <x:c r="I112" s="53"/>
      <x:c r="J112" s="61"/>
      <x:c r="K112" s="53"/>
      <x:c r="L112" s="53"/>
      <x:c r="M112" s="53"/>
      <x:c r="N112" s="53"/>
      <x:c r="AE112" s="4"/>
      <x:c r="AF112" s="4"/>
      <x:c r="AG112" s="4"/>
      <x:c r="AH112" s="4"/>
      <x:c r="AI112" s="4"/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</x:row>
    <x:row r="113" spans="1:47" s="10" customFormat="1" ht="20.149999999999999" customHeight="1" x14ac:dyDescent="0.25">
      <x:c r="A113" s="53"/>
      <x:c r="B113" s="76">
        <x:f ca="1">B112/OFFSET(INDEX('Assay protocol'!C:C,MATCH(B106,'Assay protocol'!C:C,0)),0,3)</x:f>
        <x:v>41.152263374485599</x:v>
      </x:c>
      <x:c r="C113" s="66">
        <x:f ca="1">OFFSET(INDEX(A:A,MATCH(B106,A:A,0)),0,7)</x:f>
        <x:v>11.951172543649434</x:v>
      </x:c>
      <x:c r="D113" s="66">
        <x:f ca="1">OFFSET(INDEX(A:A,MATCH(B106,A:A,0)),1,7)</x:f>
        <x:v>10.684483053748718</x:v>
      </x:c>
      <x:c r="E113" s="66">
        <x:f t="shared" ca="1" si="17"/>
        <x:v>11.317827798699076</x:v>
      </x:c>
      <x:c r="F113" s="66">
        <x:f t="shared" ca="1" si="16"/>
        <x:v>0.89568472796652565</x:v>
      </x:c>
      <x:c r="G113" s="61"/>
      <x:c r="H113" s="61"/>
      <x:c r="I113" s="61"/>
      <x:c r="J113" s="61"/>
      <x:c r="K113" s="53"/>
      <x:c r="L113" s="53"/>
      <x:c r="M113" s="53"/>
      <x:c r="N113" s="53"/>
      <x:c r="AE113" s="4"/>
      <x:c r="AF113" s="4"/>
      <x:c r="AG113" s="4"/>
      <x:c r="AH113" s="4"/>
      <x:c r="AI113" s="4"/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</x:row>
    <x:row r="114" spans="1:47" s="10" customFormat="1" ht="20.149999999999999" customHeight="1" x14ac:dyDescent="0.25">
      <x:c r="A114" s="53"/>
      <x:c r="B114" s="76">
        <x:f ca="1">B113/OFFSET(INDEX('Assay protocol'!C:C,MATCH(B106,'Assay protocol'!C:C,0)),0,3)</x:f>
        <x:v>13.717421124828533</x:v>
      </x:c>
      <x:c r="C114" s="66">
        <x:f ca="1">OFFSET(INDEX(A:A,MATCH(B106,A:A,0)),0,8)</x:f>
        <x:v>-2.1707035261896612</x:v>
      </x:c>
      <x:c r="D114" s="66">
        <x:f ca="1">OFFSET(INDEX(A:A,MATCH(B106,A:A,0)),1,8)</x:f>
        <x:v>3.7176908592947622</x:v>
      </x:c>
      <x:c r="E114" s="66">
        <x:f t="shared" ca="1" si="17"/>
        <x:v>0.77349366655255047</x:v>
      </x:c>
      <x:c r="F114" s="66">
        <x:f t="shared" ca="1" si="16"/>
        <x:v>4.1637236002768292</x:v>
      </x:c>
      <x:c r="G114" s="61"/>
      <x:c r="H114" s="61"/>
      <x:c r="I114" s="61"/>
      <x:c r="J114" s="61"/>
      <x:c r="K114" s="53"/>
      <x:c r="L114" s="53"/>
      <x:c r="M114" s="53"/>
      <x:c r="N114" s="53"/>
      <x:c r="AE114" s="4"/>
      <x:c r="AF114" s="4"/>
      <x:c r="AG114" s="4"/>
      <x:c r="AH114" s="4"/>
      <x:c r="AI114" s="4"/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</x:row>
    <x:row r="115" spans="1:47" s="10" customFormat="1" ht="20.149999999999999" customHeight="1" x14ac:dyDescent="0.25">
      <x:c r="A115" s="53"/>
      <x:c r="B115" s="76">
        <x:f ca="1">B114/OFFSET(INDEX('Assay protocol'!C:C,MATCH(B106,'Assay protocol'!C:C,0)),0,3)</x:f>
        <x:v>4.5724737082761777</x:v>
      </x:c>
      <x:c r="C115" s="66">
        <x:f ca="1">OFFSET(INDEX(A:A,MATCH(B106,A:A,0)),0,9)</x:f>
        <x:v>3.3239900718931876</x:v>
      </x:c>
      <x:c r="D115" s="66">
        <x:f ca="1">OFFSET(INDEX(A:A,MATCH(B106,A:A,0)),1,9)</x:f>
        <x:v>3.9059825402259505</x:v>
      </x:c>
      <x:c r="E115" s="66">
        <x:f t="shared" ca="1" si="17"/>
        <x:v>3.6149863060595688</x:v>
      </x:c>
      <x:c r="F115" s="66">
        <x:f t="shared" ca="1" si="16"/>
        <x:v>0.41153082095759363</x:v>
      </x:c>
      <x:c r="G115" s="61"/>
      <x:c r="H115" s="61"/>
      <x:c r="I115" s="61"/>
      <x:c r="J115" s="61"/>
      <x:c r="K115" s="53"/>
      <x:c r="L115" s="53"/>
      <x:c r="M115" s="53"/>
      <x:c r="N115" s="53"/>
      <x:c r="AE115" s="4"/>
      <x:c r="AF115" s="4"/>
      <x:c r="AG115" s="4"/>
      <x:c r="AH115" s="4"/>
      <x:c r="AI115" s="4"/>
      <x:c r="AJ115" s="4"/>
      <x:c r="AK115" s="4"/>
      <x:c r="AL115" s="4"/>
      <x:c r="AM115" s="4"/>
      <x:c r="AN115" s="4"/>
      <x:c r="AO115" s="4"/>
      <x:c r="AP115" s="4"/>
      <x:c r="AQ115" s="4"/>
      <x:c r="AR115" s="4"/>
      <x:c r="AS115" s="4"/>
      <x:c r="AT115" s="4"/>
      <x:c r="AU115" s="4"/>
    </x:row>
    <x:row r="116" spans="1:47" s="10" customFormat="1" ht="20.149999999999999" customHeight="1" x14ac:dyDescent="0.25">
      <x:c r="A116" s="53"/>
      <x:c r="B116" s="76">
        <x:f ca="1">B115/OFFSET(INDEX('Assay protocol'!C:C,MATCH(B106,'Assay protocol'!C:C,0)),0,3)</x:f>
        <x:v>1.524157902758726</x:v>
      </x:c>
      <x:c r="C116" s="66">
        <x:f ca="1">OFFSET(INDEX(A:A,MATCH(B106,A:A,0)),0,10)</x:f>
        <x:v>4.967262923656282</x:v>
      </x:c>
      <x:c r="D116" s="66">
        <x:f ca="1">OFFSET(INDEX(A:A,MATCH(B106,A:A,0)),1,10)</x:f>
        <x:v>6.319539541252996</x:v>
      </x:c>
      <x:c r="E116" s="66">
        <x:f t="shared" ca="1" si="17"/>
        <x:v>5.6434012324546394</x:v>
      </x:c>
      <x:c r="F116" s="66">
        <x:f t="shared" ca="1" si="16"/>
        <x:v>0.9562039663426426</x:v>
      </x:c>
      <x:c r="G116" s="61"/>
      <x:c r="H116" s="61"/>
      <x:c r="I116" s="61"/>
      <x:c r="J116" s="61"/>
      <x:c r="K116" s="53"/>
      <x:c r="L116" s="53"/>
      <x:c r="M116" s="53"/>
      <x:c r="N116" s="53"/>
      <x:c r="AE116" s="4"/>
      <x:c r="AF116" s="4"/>
      <x:c r="AG116" s="4"/>
      <x:c r="AH116" s="4"/>
      <x:c r="AI116" s="4"/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</x:row>
    <x:row r="117" spans="1:47" s="10" customFormat="1" ht="20.149999999999999" customHeight="1" x14ac:dyDescent="0.25">
      <x:c r="A117" s="53"/>
      <x:c r="B117" s="76">
        <x:f ca="1">B116/OFFSET(INDEX('Assay protocol'!C:C,MATCH(B106,'Assay protocol'!C:C,0)),0,3)</x:f>
        <x:v>0.5080526342529087</x:v>
      </x:c>
      <x:c r="C117" s="66">
        <x:f ca="1">OFFSET(INDEX(A:A,MATCH(B106,A:A,0)),0,11)</x:f>
        <x:v>3.5978688805203696</x:v>
      </x:c>
      <x:c r="D117" s="66">
        <x:f ca="1">OFFSET(INDEX(A:A,MATCH(B106,A:A,0)),1,11)</x:f>
        <x:v>2.2627096884628548</x:v>
      </x:c>
      <x:c r="E117" s="66">
        <x:f t="shared" ca="1" si="17"/>
        <x:v>2.9302892844916122</x:v>
      </x:c>
      <x:c r="F117" s="66">
        <x:f t="shared" ca="1" si="16"/>
        <x:v>0.94410011866742194</x:v>
      </x:c>
      <x:c r="G117" s="61"/>
      <x:c r="H117" s="61"/>
      <x:c r="I117" s="61"/>
      <x:c r="J117" s="61"/>
      <x:c r="K117" s="53"/>
      <x:c r="L117" s="53"/>
      <x:c r="M117" s="53"/>
      <x:c r="N117" s="53"/>
      <x:c r="AE117" s="4"/>
      <x:c r="AF117" s="4"/>
      <x:c r="AG117" s="4"/>
      <x:c r="AH117" s="4"/>
      <x:c r="AI117" s="4"/>
      <x:c r="AJ117" s="4"/>
      <x:c r="AK117" s="4"/>
      <x:c r="AL117" s="4"/>
      <x:c r="AM117" s="4"/>
      <x:c r="AN117" s="4"/>
      <x:c r="AO117" s="4"/>
      <x:c r="AP117" s="4"/>
      <x:c r="AQ117" s="4"/>
      <x:c r="AR117" s="4"/>
      <x:c r="AS117" s="4"/>
      <x:c r="AT117" s="4"/>
      <x:c r="AU117" s="4"/>
    </x:row>
    <x:row r="118" spans="1:47" s="10" customFormat="1" ht="20.149999999999999" customHeight="1" x14ac:dyDescent="0.3">
      <x:c r="A118" s="62"/>
      <x:c r="B118" s="62"/>
      <x:c r="C118" s="62"/>
      <x:c r="D118" s="62"/>
      <x:c r="E118" s="62"/>
      <x:c r="F118" s="62"/>
      <x:c r="G118" s="62"/>
      <x:c r="H118" s="61"/>
      <x:c r="I118" s="61"/>
      <x:c r="J118" s="61"/>
      <x:c r="K118" s="53"/>
      <x:c r="L118" s="53"/>
      <x:c r="M118" s="53"/>
      <x:c r="N118" s="53"/>
      <x:c r="AD118" s="61"/>
      <x:c r="AE118" s="4"/>
      <x:c r="AF118" s="4"/>
      <x:c r="AG118" s="4"/>
      <x:c r="AH118" s="4"/>
      <x:c r="AI118" s="4"/>
      <x:c r="AJ118" s="4"/>
      <x:c r="AK118" s="4"/>
      <x:c r="AL118" s="4"/>
      <x:c r="AM118" s="4"/>
      <x:c r="AN118" s="4"/>
      <x:c r="AO118" s="4"/>
      <x:c r="AP118" s="4"/>
      <x:c r="AQ118" s="4"/>
      <x:c r="AR118" s="4"/>
      <x:c r="AS118" s="4"/>
      <x:c r="AT118" s="4"/>
      <x:c r="AU118" s="4"/>
    </x:row>
    <x:row r="119" spans="1:47" s="10" customFormat="1" ht="20.149999999999999" customHeight="1" x14ac:dyDescent="0.25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AD119" s="61"/>
      <x:c r="AE119" s="4"/>
      <x:c r="AF119" s="4"/>
      <x:c r="AG119" s="4"/>
      <x:c r="AH119" s="4"/>
      <x:c r="AI119" s="4"/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</x:row>
    <x:row r="120" spans="1:47" s="10" customFormat="1" ht="20.149999999999999" customHeight="1" x14ac:dyDescent="0.25">
      <x:c r="A120" s="53"/>
      <x:c r="B120" s="152" t="str">
        <x:f>B121&amp;" in "&amp;'Assay summary'!$B$2</x:f>
        <x:v>HW356022 in WRN(517-1238) in FI assay_ATP preincubation</x:v>
      </x:c>
      <x:c r="C120" s="153"/>
      <x:c r="D120" s="153"/>
      <x:c r="E120" s="153"/>
      <x:c r="F120" s="154"/>
      <x:c r="G120" s="53"/>
      <x:c r="H120" s="53"/>
      <x:c r="I120" s="53"/>
      <x:c r="J120" s="53"/>
      <x:c r="K120" s="53"/>
      <x:c r="L120" s="53"/>
      <x:c r="M120" s="53"/>
      <x:c r="N120" s="53"/>
      <x:c r="AE120" s="4"/>
      <x:c r="AF120" s="4"/>
      <x:c r="AG120" s="4"/>
      <x:c r="AH120" s="4"/>
      <x:c r="AI120" s="4"/>
      <x:c r="AJ120" s="4"/>
      <x:c r="AK120" s="4"/>
      <x:c r="AL120" s="4"/>
      <x:c r="AM120" s="4"/>
      <x:c r="AN120" s="4"/>
      <x:c r="AO120" s="4"/>
      <x:c r="AP120" s="4"/>
      <x:c r="AQ120" s="4"/>
      <x:c r="AR120" s="4"/>
      <x:c r="AS120" s="4"/>
      <x:c r="AT120" s="4"/>
      <x:c r="AU120" s="4"/>
    </x:row>
    <x:row r="121" spans="1:47" s="10" customFormat="1" ht="20.149999999999999" customHeight="1" x14ac:dyDescent="0.25">
      <x:c r="A121" s="53"/>
      <x:c r="B121" s="70" t="str">
        <x:f>'Assay summary'!C6</x:f>
        <x:v>HW356022</x:v>
      </x:c>
      <x:c r="C121" s="71"/>
      <x:c r="D121" s="72" t="s">
        <x:v>33</x:v>
      </x:c>
      <x:c r="E121" s="72"/>
      <x:c r="F121" s="73"/>
      <x:c r="G121" s="61"/>
      <x:c r="H121" s="61"/>
      <x:c r="I121" s="61"/>
      <x:c r="J121" s="61"/>
      <x:c r="K121" s="53" t="e">
        <x:f ca="1">[1]!xf4_FitData("",[1]!xf4_SetModel("205"),[1]!xf4_SetParameters(0,FALSE,TRUE,100,FALSE,TRUE,1,FALSE,TRUE,0.1,FALSE,TRUE),[1]!xf4_SetData(B122,B123:B133,D121,E123:E133))</x:f>
        <x:v>#NAME?</x:v>
      </x:c>
      <x:c r="L121" s="53"/>
      <x:c r="M121" s="53"/>
      <x:c r="N121" s="53"/>
      <x:c r="AE121" s="4"/>
      <x:c r="AF121" s="4"/>
      <x:c r="AG121" s="4"/>
      <x:c r="AH121" s="4"/>
      <x:c r="AI121" s="4"/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</x:row>
    <x:row r="122" spans="1:47" s="10" customFormat="1" ht="20.149999999999999" customHeight="1" x14ac:dyDescent="0.25">
      <x:c r="A122" s="53"/>
      <x:c r="B122" s="74" t="s">
        <x:v>39</x:v>
      </x:c>
      <x:c r="C122" s="75" t="s">
        <x:v>34</x:v>
      </x:c>
      <x:c r="D122" s="75" t="s">
        <x:v>35</x:v>
      </x:c>
      <x:c r="E122" s="75" t="s">
        <x:v>36</x:v>
      </x:c>
      <x:c r="F122" s="75" t="s">
        <x:v>30</x:v>
      </x:c>
      <x:c r="G122" s="74" t="s">
        <x:v>37</x:v>
      </x:c>
      <x:c r="H122" s="74" t="s">
        <x:v>98</x:v>
      </x:c>
      <x:c r="I122" s="74" t="s">
        <x:v>92</x:v>
      </x:c>
      <x:c r="J122" s="74" t="s">
        <x:v>38</x:v>
      </x:c>
      <x:c r="K122" s="53" t="e">
        <x: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x:f>
        <x:v>#NAME?</x:v>
      </x:c>
      <x:c r="L122" s="53"/>
      <x:c r="M122" s="53"/>
      <x:c r="N122" s="53"/>
      <x:c r="AE122" s="4"/>
      <x:c r="AF122" s="4"/>
      <x:c r="AG122" s="4"/>
      <x:c r="AH122" s="4"/>
      <x:c r="AI122" s="4"/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</x:row>
    <x:row r="123" spans="1:47" s="10" customFormat="1" ht="20.149999999999999" customHeight="1" x14ac:dyDescent="0.25">
      <x:c r="A123" s="53"/>
      <x:c r="B123" s="76">
        <x:f ca="1">OFFSET(INDEX('Assay protocol'!C:C,MATCH(B121,'Assay protocol'!C:C,0)),0,2)</x:f>
        <x:v>10000</x:v>
      </x:c>
      <x:c r="C123" s="66">
        <x:f ca="1">OFFSET(INDEX(A:A,MATCH(B121,A:A,0)),0,2)</x:f>
        <x:v>14.296259842519685</x:v>
      </x:c>
      <x:c r="D123" s="66">
        <x:f ca="1">OFFSET(INDEX(A:A,MATCH(B121,A:A,0)),1,2)</x:f>
        <x:v>13.508858267716537</x:v>
      </x:c>
      <x:c r="E123" s="66">
        <x:f ca="1">AVERAGE(C123:D123)</x:f>
        <x:v>13.902559055118111</x:v>
      </x:c>
      <x:c r="F123" s="66">
        <x:f ca="1">STDEV(C123:D123)</x:f>
        <x:v>0.55677699306027262</x:v>
      </x:c>
      <x:c r="G123" s="77"/>
      <x:c r="H123" s="85"/>
      <x:c r="I123" s="59" t="s">
        <x:v>238</x:v>
      </x:c>
      <x:c r="J123" s="77"/>
      <x:c r="K123" s="53" t="str">
        <x:f ca="1">IF(I123&lt;B123,I122&amp;"="&amp;ROUND(I123,2)&amp;"nM",I122&amp;"&gt;"&amp;B123&amp;"nM")</x:f>
        <x:v>IC50&gt;10000nM</x:v>
      </x:c>
      <x:c r="L123" s="53"/>
      <x:c r="M123" s="53"/>
      <x:c r="N123" s="53"/>
      <x:c r="AE123" s="4"/>
      <x:c r="AF123" s="4"/>
      <x:c r="AG123" s="4"/>
      <x:c r="AH123" s="4"/>
      <x:c r="AI123" s="4"/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</x:row>
    <x:row r="124" spans="1:47" s="10" customFormat="1" ht="20.149999999999999" customHeight="1" x14ac:dyDescent="0.25">
      <x:c r="A124" s="53"/>
      <x:c r="B124" s="76">
        <x:f ca="1">B123/OFFSET(INDEX('Assay protocol'!C:C,MATCH(B121,'Assay protocol'!C:C,0)),0,3)</x:f>
        <x:v>3333.3333333333335</x:v>
      </x:c>
      <x:c r="C124" s="66">
        <x:f ca="1">OFFSET(INDEX(A:A,MATCH(B121,A:A,0)),0,3)</x:f>
        <x:v>12.310638479972612</x:v>
      </x:c>
      <x:c r="D124" s="66">
        <x:f ca="1">OFFSET(INDEX(A:A,MATCH(B121,A:A,0)),1,3)</x:f>
        <x:v>18.60985107839781</x:v>
      </x:c>
      <x:c r="E124" s="66">
        <x:f ca="1">AVERAGE(C124:D124)</x:f>
        <x:v>15.46024477918521</x:v>
      </x:c>
      <x:c r="F124" s="66">
        <x:f t="shared" ref="F124:F132" ca="1" si="18">STDEV(C124:D124)</x:f>
        <x:v>4.4542159444821969</x:v>
      </x:c>
      <x:c r="G124" s="61"/>
      <x:c r="H124" s="61"/>
      <x:c r="I124" s="61"/>
      <x:c r="J124" s="61"/>
      <x:c r="K124" s="53"/>
      <x:c r="L124" s="53"/>
      <x:c r="M124" s="53"/>
      <x:c r="N124" s="53"/>
      <x:c r="AE124" s="4"/>
      <x:c r="AF124" s="4"/>
      <x:c r="AG124" s="4"/>
      <x:c r="AH124" s="4"/>
      <x:c r="AI124" s="4"/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</x:row>
    <x:row r="125" spans="1:47" s="10" customFormat="1" ht="20.149999999999999" customHeight="1" x14ac:dyDescent="0.25">
      <x:c r="A125" s="53"/>
      <x:c r="B125" s="76">
        <x:f ca="1">B124/OFFSET(INDEX('Assay protocol'!C:C,MATCH(B121,'Assay protocol'!C:C,0)),0,3)</x:f>
        <x:v>1111.1111111111111</x:v>
      </x:c>
      <x:c r="C125" s="66">
        <x:f ca="1">OFFSET(INDEX(A:A,MATCH(B121,A:A,0)),0,4)</x:f>
        <x:v>-4.6013779527559056</x:v>
      </x:c>
      <x:c r="D125" s="66">
        <x:f ca="1">OFFSET(INDEX(A:A,MATCH(B121,A:A,0)),1,4)</x:f>
        <x:v>3.2095172885997949E-3</x:v>
      </x:c>
      <x:c r="E125" s="66">
        <x:f ca="1">AVERAGE(C125:D125)</x:f>
        <x:v>-2.299084217733653</x:v>
      </x:c>
      <x:c r="F125" s="66">
        <x:f t="shared" ca="1" si="18"/>
        <x:v>3.255935024635078</x:v>
      </x:c>
      <x:c r="G125" s="61"/>
      <x:c r="H125" s="61"/>
      <x:c r="I125" s="61"/>
      <x:c r="J125" s="61"/>
      <x:c r="K125" s="53"/>
      <x:c r="L125" s="53"/>
      <x:c r="M125" s="53"/>
      <x:c r="N125" s="53"/>
      <x:c r="AE125" s="4"/>
      <x:c r="AF125" s="4"/>
      <x:c r="AG125" s="4"/>
      <x:c r="AH125" s="4"/>
      <x:c r="AI125" s="4"/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</x:row>
    <x:row r="126" spans="1:47" s="10" customFormat="1" ht="20.149999999999999" customHeight="1" x14ac:dyDescent="0.25">
      <x:c r="A126" s="53"/>
      <x:c r="B126" s="76">
        <x:f ca="1">B125/OFFSET(INDEX('Assay protocol'!C:C,MATCH(B121,'Assay protocol'!C:C,0)),0,3)</x:f>
        <x:v>370.37037037037038</x:v>
      </x:c>
      <x:c r="C126" s="66">
        <x:f ca="1">OFFSET(INDEX(A:A,MATCH(B121,A:A,0)),0,5)</x:f>
        <x:v>3.2726377952755903</x:v>
      </x:c>
      <x:c r="D126" s="66">
        <x:f ca="1">OFFSET(INDEX(A:A,MATCH(B121,A:A,0)),1,5)</x:f>
        <x:v>20.954938377268061</x:v>
      </x:c>
      <x:c r="E126" s="66">
        <x:f ca="1">AVERAGE(C126:D126)</x:f>
        <x:v>12.113788086271825</x:v>
      </x:c>
      <x:c r="F126" s="66">
        <x:f t="shared" ca="1" si="18"/>
        <x:v>12.503274648505711</x:v>
      </x:c>
      <x:c r="G126" s="61"/>
      <x:c r="H126" s="61"/>
      <x:c r="I126" s="61"/>
      <x:c r="J126" s="61"/>
      <x:c r="K126" s="53"/>
      <x:c r="L126" s="53"/>
      <x:c r="M126" s="53"/>
      <x:c r="N126" s="53"/>
      <x:c r="AE126" s="4"/>
      <x:c r="AF126" s="4"/>
      <x:c r="AG126" s="4"/>
      <x:c r="AH126" s="4"/>
      <x:c r="AI126" s="4"/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</x:row>
    <x:row r="127" spans="1:47" s="10" customFormat="1" ht="20.149999999999999" customHeight="1" x14ac:dyDescent="0.25">
      <x:c r="A127" s="53"/>
      <x:c r="B127" s="76">
        <x:f ca="1">B126/OFFSET(INDEX('Assay protocol'!C:C,MATCH(B121,'Assay protocol'!C:C,0)),0,3)</x:f>
        <x:v>123.4567901234568</x:v>
      </x:c>
      <x:c r="C127" s="66">
        <x:f ca="1">OFFSET(INDEX(A:A,MATCH(B121,A:A,0)),0,6)</x:f>
        <x:v>6.4222440944881889</x:v>
      </x:c>
      <x:c r="D127" s="66">
        <x:f ca="1">OFFSET(INDEX(A:A,MATCH(B121,A:A,0)),1,6)</x:f>
        <x:v>2.2798271140020541</x:v>
      </x:c>
      <x:c r="E127" s="66">
        <x:f t="shared" ref="E127:E132" ca="1" si="19">AVERAGE(C127:D127)</x:f>
        <x:v>4.351035604245121</x:v>
      </x:c>
      <x:c r="F127" s="66">
        <x:f t="shared" ca="1" si="18"/>
        <x:v>2.9291311374040498</x:v>
      </x:c>
      <x:c r="G127" s="61"/>
      <x:c r="H127" s="61"/>
      <x:c r="I127" s="53"/>
      <x:c r="J127" s="61"/>
      <x:c r="K127" s="53"/>
      <x:c r="L127" s="53"/>
      <x:c r="M127" s="53"/>
      <x:c r="N127" s="53"/>
      <x:c r="AE127" s="4"/>
      <x:c r="AF127" s="4"/>
      <x:c r="AG127" s="4"/>
      <x:c r="AH127" s="4"/>
      <x:c r="AI127" s="4"/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</x:row>
    <x:row r="128" spans="1:47" s="10" customFormat="1" ht="20.149999999999999" customHeight="1" x14ac:dyDescent="0.25">
      <x:c r="A128" s="53"/>
      <x:c r="B128" s="76">
        <x:f ca="1">B127/OFFSET(INDEX('Assay protocol'!C:C,MATCH(B121,'Assay protocol'!C:C,0)),0,3)</x:f>
        <x:v>41.152263374485599</x:v>
      </x:c>
      <x:c r="C128" s="66">
        <x:f ca="1">OFFSET(INDEX(A:A,MATCH(B121,A:A,0)),0,7)</x:f>
        <x:v>1.8176566244436838</x:v>
      </x:c>
      <x:c r="D128" s="66">
        <x:f ca="1">OFFSET(INDEX(A:A,MATCH(B121,A:A,0)),1,7)</x:f>
        <x:v>-12.851977062649777</x:v>
      </x:c>
      <x:c r="E128" s="66">
        <x:f t="shared" ca="1" si="19"/>
        <x:v>-5.5171602191030464</x:v>
      </x:c>
      <x:c r="F128" s="66">
        <x:f t="shared" ca="1" si="18"/>
        <x:v>10.372997457666402</x:v>
      </x:c>
      <x:c r="G128" s="61"/>
      <x:c r="H128" s="61"/>
      <x:c r="I128" s="61"/>
      <x:c r="J128" s="61"/>
      <x:c r="K128" s="53"/>
      <x:c r="L128" s="53"/>
      <x:c r="M128" s="53"/>
      <x:c r="N128" s="53"/>
      <x:c r="AE128" s="4"/>
      <x:c r="AF128" s="4"/>
      <x:c r="AG128" s="4"/>
      <x:c r="AH128" s="4"/>
      <x:c r="AI128" s="4"/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</x:row>
    <x:row r="129" spans="1:47" s="10" customFormat="1" ht="20.149999999999999" customHeight="1" x14ac:dyDescent="0.25">
      <x:c r="A129" s="53"/>
      <x:c r="B129" s="76">
        <x:f ca="1">B128/OFFSET(INDEX('Assay protocol'!C:C,MATCH(B121,'Assay protocol'!C:C,0)),0,3)</x:f>
        <x:v>13.717421124828533</x:v>
      </x:c>
      <x:c r="C129" s="66">
        <x:f ca="1">OFFSET(INDEX(A:A,MATCH(B121,A:A,0)),0,8)</x:f>
        <x:v>1.4581906881205067</x:v>
      </x:c>
      <x:c r="D129" s="66">
        <x:f ca="1">OFFSET(INDEX(A:A,MATCH(B121,A:A,0)),1,8)</x:f>
        <x:v>3.9230999657651493</x:v>
      </x:c>
      <x:c r="E129" s="66">
        <x:f t="shared" ca="1" si="19"/>
        <x:v>2.6906453269428279</x:v>
      </x:c>
      <x:c r="F129" s="66">
        <x:f t="shared" ca="1" si="18"/>
        <x:v>1.7429540652321613</x:v>
      </x:c>
      <x:c r="G129" s="61"/>
      <x:c r="H129" s="61"/>
      <x:c r="I129" s="61"/>
      <x:c r="J129" s="61"/>
      <x:c r="K129" s="53"/>
      <x:c r="L129" s="53"/>
      <x:c r="M129" s="53"/>
      <x:c r="N129" s="53"/>
      <x:c r="AE129" s="4"/>
      <x:c r="AF129" s="4"/>
      <x:c r="AG129" s="4"/>
      <x:c r="AH129" s="4"/>
      <x:c r="AI129" s="4"/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</x:row>
    <x:row r="130" spans="1:47" s="10" customFormat="1" ht="20.149999999999999" customHeight="1" x14ac:dyDescent="0.25">
      <x:c r="A130" s="53"/>
      <x:c r="B130" s="76">
        <x:f ca="1">B129/OFFSET(INDEX('Assay protocol'!C:C,MATCH(B121,'Assay protocol'!C:C,0)),0,3)</x:f>
        <x:v>4.5724737082761777</x:v>
      </x:c>
      <x:c r="C130" s="66">
        <x:f ca="1">OFFSET(INDEX(A:A,MATCH(B121,A:A,0)),0,9)</x:f>
        <x:v>6.4735963711057858</x:v>
      </x:c>
      <x:c r="D130" s="66">
        <x:f ca="1">OFFSET(INDEX(A:A,MATCH(B121,A:A,0)),1,9)</x:f>
        <x:v>12.704339267374188</x:v>
      </x:c>
      <x:c r="E130" s="66">
        <x:f t="shared" ca="1" si="19"/>
        <x:v>9.5889678192399863</x:v>
      </x:c>
      <x:c r="F130" s="66">
        <x:f t="shared" ca="1" si="18"/>
        <x:v>4.4058005537812956</x:v>
      </x:c>
      <x:c r="G130" s="61"/>
      <x:c r="H130" s="61"/>
      <x:c r="I130" s="61"/>
      <x:c r="J130" s="61"/>
      <x:c r="K130" s="53"/>
      <x:c r="L130" s="53"/>
      <x:c r="M130" s="53"/>
      <x:c r="N130" s="53"/>
      <x:c r="AE130" s="4"/>
      <x:c r="AF130" s="4"/>
      <x:c r="AG130" s="4"/>
      <x:c r="AH130" s="4"/>
      <x:c r="AI130" s="4"/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</x:row>
    <x:row r="131" spans="1:47" s="10" customFormat="1" ht="20.149999999999999" customHeight="1" x14ac:dyDescent="0.25">
      <x:c r="A131" s="53"/>
      <x:c r="B131" s="76">
        <x:f ca="1">B130/OFFSET(INDEX('Assay protocol'!C:C,MATCH(B121,'Assay protocol'!C:C,0)),0,3)</x:f>
        <x:v>1.524157902758726</x:v>
      </x:c>
      <x:c r="C131" s="66">
        <x:f ca="1">OFFSET(INDEX(A:A,MATCH(B121,A:A,0)),0,10)</x:f>
        <x:v>3.734808284833961</x:v>
      </x:c>
      <x:c r="D131" s="66">
        <x:f ca="1">OFFSET(INDEX(A:A,MATCH(B121,A:A,0)),1,10)</x:f>
        <x:v>4.6762666894899008</x:v>
      </x:c>
      <x:c r="E131" s="66">
        <x:f t="shared" ca="1" si="19"/>
        <x:v>4.2055374871619309</x:v>
      </x:c>
      <x:c r="F131" s="66">
        <x:f t="shared" ca="1" si="18"/>
        <x:v>0.66571162213728519</x:v>
      </x:c>
      <x:c r="G131" s="61"/>
      <x:c r="H131" s="61"/>
      <x:c r="I131" s="61"/>
      <x:c r="J131" s="61"/>
      <x:c r="K131" s="53"/>
      <x:c r="L131" s="53"/>
      <x:c r="M131" s="53"/>
      <x:c r="N131" s="53"/>
      <x:c r="AE131" s="4"/>
      <x:c r="AF131" s="4"/>
      <x:c r="AG131" s="4"/>
      <x:c r="AH131" s="4"/>
      <x:c r="AI131" s="4"/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</x:row>
    <x:row r="132" spans="1:47" s="10" customFormat="1" ht="20.149999999999999" customHeight="1" x14ac:dyDescent="0.25">
      <x:c r="A132" s="53"/>
      <x:c r="B132" s="76">
        <x:f ca="1">B131/OFFSET(INDEX('Assay protocol'!C:C,MATCH(B121,'Assay protocol'!C:C,0)),0,3)</x:f>
        <x:v>0.5080526342529087</x:v>
      </x:c>
      <x:c r="C132" s="66">
        <x:f ca="1">OFFSET(INDEX(A:A,MATCH(B121,A:A,0)),0,11)</x:f>
        <x:v>3.032993837726806</x:v>
      </x:c>
      <x:c r="D132" s="66">
        <x:f ca="1">OFFSET(INDEX(A:A,MATCH(B121,A:A,0)),1,11)</x:f>
        <x:v>11.540354330708661</x:v>
      </x:c>
      <x:c r="E132" s="66">
        <x:f t="shared" ca="1" si="19"/>
        <x:v>7.2866740842177338</x:v>
      </x:c>
      <x:c r="F132" s="66">
        <x:f t="shared" ca="1" si="18"/>
        <x:v>6.0156122945860009</x:v>
      </x:c>
      <x:c r="G132" s="61"/>
      <x:c r="H132" s="61"/>
      <x:c r="I132" s="61"/>
      <x:c r="J132" s="61"/>
      <x:c r="K132" s="53"/>
      <x:c r="L132" s="53"/>
      <x:c r="M132" s="53"/>
      <x:c r="N132" s="53"/>
      <x:c r="AE132" s="4"/>
      <x:c r="AF132" s="4"/>
      <x:c r="AG132" s="4"/>
      <x:c r="AH132" s="4"/>
      <x:c r="AI132" s="4"/>
      <x:c r="AJ132" s="4"/>
      <x:c r="AK132" s="4"/>
      <x:c r="AL132" s="4"/>
      <x:c r="AM132" s="4"/>
      <x:c r="AN132" s="4"/>
      <x:c r="AO132" s="4"/>
      <x:c r="AP132" s="4"/>
      <x:c r="AQ132" s="4"/>
      <x:c r="AR132" s="4"/>
      <x:c r="AS132" s="4"/>
      <x:c r="AT132" s="4"/>
      <x:c r="AU132" s="4"/>
    </x:row>
    <x:row r="133" spans="1:47" s="10" customFormat="1" ht="20.149999999999999" customHeight="1" x14ac:dyDescent="0.3">
      <x:c r="A133" s="62"/>
      <x:c r="B133" s="62"/>
      <x:c r="C133" s="62"/>
      <x:c r="D133" s="62"/>
      <x:c r="E133" s="62"/>
      <x:c r="F133" s="62"/>
      <x:c r="G133" s="62"/>
      <x:c r="H133" s="62"/>
      <x:c r="I133" s="61"/>
      <x:c r="J133" s="61"/>
      <x:c r="K133" s="53"/>
      <x:c r="L133" s="53"/>
      <x:c r="M133" s="53"/>
      <x:c r="N133" s="53"/>
      <x:c r="AD133" s="61"/>
      <x:c r="AE133" s="4"/>
      <x:c r="AF133" s="4"/>
      <x:c r="AG133" s="4"/>
      <x:c r="AH133" s="4"/>
      <x:c r="AI133" s="4"/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</x:row>
    <x:row r="134" spans="1:47" s="10" customFormat="1" ht="20.149999999999999" customHeight="1" x14ac:dyDescent="0.25">
      <x:c r="AD134" s="61"/>
      <x:c r="AE134" s="4"/>
      <x:c r="AF134" s="4"/>
      <x:c r="AG134" s="4"/>
      <x:c r="AH134" s="4"/>
      <x:c r="AI134" s="4"/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</x:row>
    <x:row r="135" spans="1:47" s="10" customFormat="1" ht="20.149999999999999" customHeight="1" x14ac:dyDescent="0.25">
      <x:c r="B135" s="152" t="str">
        <x:f>B136&amp;" in "&amp;'Assay summary'!$B$2</x:f>
        <x:v>HW356024B in WRN(517-1238) in FI assay_ATP preincubation</x:v>
      </x:c>
      <x:c r="C135" s="153"/>
      <x:c r="D135" s="153"/>
      <x:c r="E135" s="153"/>
      <x:c r="F135" s="154"/>
      <x:c r="G135" s="53"/>
      <x:c r="H135" s="53"/>
      <x:c r="I135" s="53"/>
      <x:c r="J135" s="53"/>
      <x:c r="K135" s="53"/>
      <x:c r="L135" s="53"/>
      <x:c r="M135" s="53"/>
      <x:c r="AE135" s="4"/>
      <x:c r="AF135" s="4"/>
      <x:c r="AG135" s="4"/>
      <x:c r="AH135" s="4"/>
      <x:c r="AI135" s="4"/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</x:row>
    <x:row r="136" spans="1:47" s="10" customFormat="1" ht="20.149999999999999" customHeight="1" x14ac:dyDescent="0.25">
      <x:c r="B136" s="70" t="str">
        <x:f>'Assay summary'!C7</x:f>
        <x:v>HW356024B</x:v>
      </x:c>
      <x:c r="C136" s="71"/>
      <x:c r="D136" s="72" t="s">
        <x:v>33</x:v>
      </x:c>
      <x:c r="E136" s="72"/>
      <x:c r="F136" s="73"/>
      <x:c r="G136" s="61"/>
      <x:c r="H136" s="61"/>
      <x:c r="I136" s="61"/>
      <x:c r="J136" s="61"/>
      <x:c r="K136" s="53" t="e">
        <x:f ca="1">[1]!xf4_FitData("",[1]!xf4_SetModel("205"),[1]!xf4_SetParameters(0,FALSE,TRUE,100,FALSE,TRUE,1,FALSE,TRUE,0.1,FALSE,TRUE),[1]!xf4_SetData(B137,B138:B148,D136,E138:E148))</x:f>
        <x:v>#NAME?</x:v>
      </x:c>
      <x:c r="L136" s="53"/>
      <x:c r="M136" s="53"/>
      <x:c r="AE136" s="4"/>
      <x:c r="AF136" s="4"/>
      <x:c r="AG136" s="4"/>
      <x:c r="AH136" s="4"/>
      <x:c r="AI136" s="4"/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</x:row>
    <x:row r="137" spans="1:47" s="10" customFormat="1" ht="20.149999999999999" customHeight="1" x14ac:dyDescent="0.25">
      <x:c r="B137" s="74" t="s">
        <x:v>39</x:v>
      </x:c>
      <x:c r="C137" s="75" t="s">
        <x:v>34</x:v>
      </x:c>
      <x:c r="D137" s="75" t="s">
        <x:v>35</x:v>
      </x:c>
      <x:c r="E137" s="75" t="s">
        <x:v>36</x:v>
      </x:c>
      <x:c r="F137" s="75" t="s">
        <x:v>30</x:v>
      </x:c>
      <x:c r="G137" s="74" t="s">
        <x:v>37</x:v>
      </x:c>
      <x:c r="H137" s="74" t="s">
        <x:v>98</x:v>
      </x:c>
      <x:c r="I137" s="74" t="s">
        <x:v>92</x:v>
      </x:c>
      <x:c r="J137" s="74" t="s">
        <x:v>38</x:v>
      </x:c>
      <x:c r="K137" s="53" t="e">
        <x: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x:f>
        <x:v>#NAME?</x:v>
      </x:c>
      <x:c r="L137" s="53"/>
      <x:c r="M137" s="53"/>
      <x:c r="AE137" s="4"/>
      <x:c r="AF137" s="4"/>
      <x:c r="AG137" s="4"/>
      <x:c r="AH137" s="4"/>
      <x:c r="AI137" s="4"/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</x:row>
    <x:row r="138" spans="1:47" s="10" customFormat="1" ht="20.149999999999999" customHeight="1" x14ac:dyDescent="0.25">
      <x:c r="B138" s="76">
        <x:f ca="1">OFFSET(INDEX('Assay protocol'!C:C,MATCH(B136,'Assay protocol'!C:C,0)),0,2)</x:f>
        <x:v>10000</x:v>
      </x:c>
      <x:c r="C138" s="66">
        <x:f ca="1">OFFSET(INDEX(A:A,MATCH(B136,A:A,0)),0,2)</x:f>
        <x:v>36.360621362547072</x:v>
      </x:c>
      <x:c r="D138" s="66">
        <x:f ca="1">OFFSET(INDEX(A:A,MATCH(B136,A:A,0)),1,2)</x:f>
        <x:v>43.549940089010612</x:v>
      </x:c>
      <x:c r="E138" s="66">
        <x:f ca="1">AVERAGE(C138:D138)</x:f>
        <x:v>39.955280725778842</x:v>
      </x:c>
      <x:c r="F138" s="66">
        <x:f ca="1">STDEV(C138:D138)</x:f>
        <x:v>5.0836160235938026</x:v>
      </x:c>
      <x:c r="G138" s="77"/>
      <x:c r="H138" s="85"/>
      <x:c r="I138" s="59" t="s">
        <x:v>238</x:v>
      </x:c>
      <x:c r="J138" s="77"/>
      <x:c r="K138" s="53" t="str">
        <x:f ca="1">IF(I138&lt;B138,I137&amp;"="&amp;ROUND(I138,2)&amp;"nM",I137&amp;"&gt;"&amp;B138&amp;"nM")</x:f>
        <x:v>IC50&gt;10000nM</x:v>
      </x:c>
      <x:c r="L138" s="53"/>
      <x:c r="M138" s="53"/>
      <x:c r="AE138" s="4"/>
      <x:c r="AF138" s="4"/>
      <x:c r="AG138" s="4"/>
      <x:c r="AH138" s="4"/>
      <x:c r="AI138" s="4"/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</x:row>
    <x:row r="139" spans="1:47" s="10" customFormat="1" ht="20.149999999999999" customHeight="1" x14ac:dyDescent="0.25">
      <x:c r="B139" s="76">
        <x:f ca="1">B138/OFFSET(INDEX('Assay protocol'!C:C,MATCH(B136,'Assay protocol'!C:C,0)),0,3)</x:f>
        <x:v>3333.3333333333335</x:v>
      </x:c>
      <x:c r="C139" s="66">
        <x:f ca="1">OFFSET(INDEX(A:A,MATCH(B136,A:A,0)),0,3)</x:f>
        <x:v>13.252096884628553</x:v>
      </x:c>
      <x:c r="D139" s="66">
        <x:f ca="1">OFFSET(INDEX(A:A,MATCH(B136,A:A,0)),1,3)</x:f>
        <x:v>19.328782951044161</x:v>
      </x:c>
      <x:c r="E139" s="66">
        <x:f ca="1">AVERAGE(C139:D139)</x:f>
        <x:v>16.290439917836359</x:v>
      </x:c>
      <x:c r="F139" s="66">
        <x:f t="shared" ref="F139:F147" ca="1" si="20">STDEV(C139:D139)</x:f>
        <x:v>4.2968659247042664</x:v>
      </x:c>
      <x:c r="G139" s="61"/>
      <x:c r="H139" s="61"/>
      <x:c r="I139" s="61"/>
      <x:c r="J139" s="61"/>
      <x:c r="K139" s="53"/>
      <x:c r="L139" s="53"/>
      <x:c r="M139" s="53"/>
      <x:c r="AE139" s="4"/>
      <x:c r="AF139" s="4"/>
      <x:c r="AG139" s="4"/>
      <x:c r="AH139" s="4"/>
      <x:c r="AI139" s="4"/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</x:row>
    <x:row r="140" spans="1:47" s="10" customFormat="1" ht="20.149999999999999" customHeight="1" x14ac:dyDescent="0.25">
      <x:c r="B140" s="76">
        <x:f ca="1">B139/OFFSET(INDEX('Assay protocol'!C:C,MATCH(B136,'Assay protocol'!C:C,0)),0,3)</x:f>
        <x:v>1111.1111111111111</x:v>
      </x:c>
      <x:c r="C140" s="66">
        <x:f ca="1">OFFSET(INDEX(A:A,MATCH(B136,A:A,0)),0,4)</x:f>
        <x:v>6.8330623074289623</x:v>
      </x:c>
      <x:c r="D140" s="66">
        <x:f ca="1">OFFSET(INDEX(A:A,MATCH(B136,A:A,0)),1,4)</x:f>
        <x:v>11.095301266689491</x:v>
      </x:c>
      <x:c r="E140" s="66">
        <x:f ca="1">AVERAGE(C140:D140)</x:f>
        <x:v>8.9641817870592266</x:v>
      </x:c>
      <x:c r="F140" s="66">
        <x:f t="shared" ca="1" si="20"/>
        <x:v>3.013858071130612</x:v>
      </x:c>
      <x:c r="G140" s="61"/>
      <x:c r="H140" s="61"/>
      <x:c r="I140" s="61"/>
      <x:c r="J140" s="61"/>
      <x:c r="K140" s="53"/>
      <x:c r="L140" s="53"/>
      <x:c r="M140" s="53"/>
      <x:c r="AE140" s="4"/>
      <x:c r="AF140" s="4"/>
      <x:c r="AG140" s="4"/>
      <x:c r="AH140" s="4"/>
      <x:c r="AI140" s="4"/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</x:row>
    <x:row r="141" spans="1:47" s="10" customFormat="1" ht="20.149999999999999" customHeight="1" x14ac:dyDescent="0.25">
      <x:c r="B141" s="76">
        <x:f ca="1">B140/OFFSET(INDEX('Assay protocol'!C:C,MATCH(B136,'Assay protocol'!C:C,0)),0,3)</x:f>
        <x:v>370.37037037037038</x:v>
      </x:c>
      <x:c r="C141" s="66">
        <x:f ca="1">OFFSET(INDEX(A:A,MATCH(B136,A:A,0)),0,5)</x:f>
        <x:v>14.587256076686067</x:v>
      </x:c>
      <x:c r="D141" s="66">
        <x:f ca="1">OFFSET(INDEX(A:A,MATCH(B136,A:A,0)),1,5)</x:f>
        <x:v>13.423271140020541</x:v>
      </x:c>
      <x:c r="E141" s="66">
        <x:f ca="1">AVERAGE(C141:D141)</x:f>
        <x:v>14.005263608353303</x:v>
      </x:c>
      <x:c r="F141" s="66">
        <x:f t="shared" ca="1" si="20"/>
        <x:v>0.82306164191518782</x:v>
      </x:c>
      <x:c r="G141" s="61"/>
      <x:c r="H141" s="61"/>
      <x:c r="I141" s="61"/>
      <x:c r="J141" s="61"/>
      <x:c r="K141" s="53"/>
      <x:c r="L141" s="53"/>
      <x:c r="M141" s="53"/>
      <x:c r="AE141" s="4"/>
      <x:c r="AF141" s="4"/>
      <x:c r="AG141" s="4"/>
      <x:c r="AH141" s="4"/>
      <x:c r="AI141" s="4"/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</x:row>
    <x:row r="142" spans="1:47" s="10" customFormat="1" ht="20.149999999999999" customHeight="1" x14ac:dyDescent="0.25">
      <x:c r="B142" s="76">
        <x:f ca="1">B141/OFFSET(INDEX('Assay protocol'!C:C,MATCH(B136,'Assay protocol'!C:C,0)),0,3)</x:f>
        <x:v>123.4567901234568</x:v>
      </x:c>
      <x:c r="C142" s="66">
        <x:f ca="1">OFFSET(INDEX(A:A,MATCH(B136,A:A,0)),0,6)</x:f>
        <x:v>1.4410732625813076</x:v>
      </x:c>
      <x:c r="D142" s="66">
        <x:f ca="1">OFFSET(INDEX(A:A,MATCH(B136,A:A,0)),1,6)</x:f>
        <x:v>5.6177250941458405</x:v>
      </x:c>
      <x:c r="E142" s="66">
        <x:f t="shared" ref="E142:E147" ca="1" si="21">AVERAGE(C142:D142)</x:f>
        <x:v>3.5293991783635743</x:v>
      </x:c>
      <x:c r="F142" s="66">
        <x:f t="shared" ca="1" si="20"/>
        <x:v>2.9533388327544947</x:v>
      </x:c>
      <x:c r="G142" s="61"/>
      <x:c r="H142" s="61"/>
      <x:c r="I142" s="53"/>
      <x:c r="J142" s="61"/>
      <x:c r="K142" s="53"/>
      <x:c r="L142" s="53"/>
      <x:c r="M142" s="53"/>
      <x:c r="AE142" s="4"/>
      <x:c r="AF142" s="4"/>
      <x:c r="AG142" s="4"/>
      <x:c r="AH142" s="4"/>
      <x:c r="AI142" s="4"/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</x:row>
    <x:row r="143" spans="1:47" s="10" customFormat="1" ht="20.149999999999999" customHeight="1" x14ac:dyDescent="0.25">
      <x:c r="B143" s="76">
        <x:f ca="1">B142/OFFSET(INDEX('Assay protocol'!C:C,MATCH(B136,'Assay protocol'!C:C,0)),0,3)</x:f>
        <x:v>41.152263374485599</x:v>
      </x:c>
      <x:c r="C143" s="66">
        <x:f ca="1">OFFSET(INDEX(A:A,MATCH(B136,A:A,0)),0,7)</x:f>
        <x:v>-8.0590979116740851</x:v>
      </x:c>
      <x:c r="D143" s="66">
        <x:f ca="1">OFFSET(INDEX(A:A,MATCH(B136,A:A,0)),1,7)</x:f>
        <x:v>10.239429989729544</x:v>
      </x:c>
      <x:c r="E143" s="66">
        <x:f t="shared" ca="1" si="21"/>
        <x:v>1.0901660390277295</x:v>
      </x:c>
      <x:c r="F143" s="66">
        <x:f t="shared" ca="1" si="20"/>
        <x:v>12.939013164813749</x:v>
      </x:c>
      <x:c r="G143" s="61"/>
      <x:c r="H143" s="61"/>
      <x:c r="I143" s="61"/>
      <x:c r="J143" s="61"/>
      <x:c r="K143" s="53"/>
      <x:c r="L143" s="53"/>
      <x:c r="M143" s="53"/>
      <x:c r="AE143" s="4"/>
      <x:c r="AF143" s="4"/>
      <x:c r="AG143" s="4"/>
      <x:c r="AH143" s="4"/>
      <x:c r="AI143" s="4"/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</x:row>
    <x:row r="144" spans="1:47" s="10" customFormat="1" ht="20.149999999999999" customHeight="1" x14ac:dyDescent="0.25">
      <x:c r="B144" s="76">
        <x:f ca="1">B143/OFFSET(INDEX('Assay protocol'!C:C,MATCH(B136,'Assay protocol'!C:C,0)),0,3)</x:f>
        <x:v>13.717421124828533</x:v>
      </x:c>
      <x:c r="C144" s="66">
        <x:f ca="1">OFFSET(INDEX(A:A,MATCH(B136,A:A,0)),0,8)</x:f>
        <x:v>-6.7752909962341663</x:v>
      </x:c>
      <x:c r="D144" s="66">
        <x:f ca="1">OFFSET(INDEX(A:A,MATCH(B136,A:A,0)),1,8)</x:f>
        <x:v>16.812521396781925</x:v>
      </x:c>
      <x:c r="E144" s="66">
        <x:f t="shared" ca="1" si="21"/>
        <x:v>5.0186152002738798</x:v>
      </x:c>
      <x:c r="F144" s="66">
        <x:f t="shared" ca="1" si="20"/>
        <x:v>16.679102096457765</x:v>
      </x:c>
      <x:c r="G144" s="61"/>
      <x:c r="H144" s="61"/>
      <x:c r="I144" s="61"/>
      <x:c r="J144" s="61"/>
      <x:c r="K144" s="53"/>
      <x:c r="L144" s="53"/>
      <x:c r="M144" s="53"/>
      <x:c r="AE144" s="4"/>
      <x:c r="AF144" s="4"/>
      <x:c r="AG144" s="4"/>
      <x:c r="AH144" s="4"/>
      <x:c r="AI144" s="4"/>
      <x:c r="AJ144" s="4"/>
      <x:c r="AK144" s="4"/>
      <x:c r="AL144" s="4"/>
      <x:c r="AM144" s="4"/>
      <x:c r="AN144" s="4"/>
      <x:c r="AO144" s="4"/>
      <x:c r="AP144" s="4"/>
      <x:c r="AQ144" s="4"/>
      <x:c r="AR144" s="4"/>
      <x:c r="AS144" s="4"/>
      <x:c r="AT144" s="4"/>
      <x:c r="AU144" s="4"/>
    </x:row>
    <x:row r="145" spans="1:47" s="10" customFormat="1" ht="20.149999999999999" customHeight="1" x14ac:dyDescent="0.25">
      <x:c r="B145" s="76">
        <x:f ca="1">B144/OFFSET(INDEX('Assay protocol'!C:C,MATCH(B136,'Assay protocol'!C:C,0)),0,3)</x:f>
        <x:v>4.5724737082761777</x:v>
      </x:c>
      <x:c r="C145" s="66">
        <x:f ca="1">OFFSET(INDEX(A:A,MATCH(B136,A:A,0)),0,9)</x:f>
        <x:v>-0.42472612119137282</x:v>
      </x:c>
      <x:c r="D145" s="66">
        <x:f ca="1">OFFSET(INDEX(A:A,MATCH(B136,A:A,0)),1,9)</x:f>
        <x:v>5.2582591578226641</x:v>
      </x:c>
      <x:c r="E145" s="66">
        <x:f t="shared" ca="1" si="21"/>
        <x:v>2.4167665183156455</x:v>
      </x:c>
      <x:c r="F145" s="66">
        <x:f t="shared" ca="1" si="20"/>
        <x:v>4.0184774281741493</x:v>
      </x:c>
      <x:c r="G145" s="61"/>
      <x:c r="H145" s="61"/>
      <x:c r="I145" s="61"/>
      <x:c r="J145" s="61"/>
      <x:c r="K145" s="53"/>
      <x:c r="L145" s="53"/>
      <x:c r="M145" s="53"/>
      <x:c r="AE145" s="4"/>
      <x:c r="AF145" s="4"/>
      <x:c r="AG145" s="4"/>
      <x:c r="AH145" s="4"/>
      <x:c r="AI145" s="4"/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</x:row>
    <x:row r="146" spans="1:47" s="10" customFormat="1" ht="20.149999999999999" customHeight="1" x14ac:dyDescent="0.25">
      <x:c r="B146" s="76">
        <x:f ca="1">B145/OFFSET(INDEX('Assay protocol'!C:C,MATCH(B136,'Assay protocol'!C:C,0)),0,3)</x:f>
        <x:v>1.524157902758726</x:v>
      </x:c>
      <x:c r="C146" s="66">
        <x:f ca="1">OFFSET(INDEX(A:A,MATCH(B136,A:A,0)),0,10)</x:f>
        <x:v>-3.1292793563847994</x:v>
      </x:c>
      <x:c r="D146" s="66">
        <x:f ca="1">OFFSET(INDEX(A:A,MATCH(B136,A:A,0)),1,10)</x:f>
        <x:v>5.6690773707634374</x:v>
      </x:c>
      <x:c r="E146" s="66">
        <x:f t="shared" ca="1" si="21"/>
        <x:v>1.269899007189319</x:v>
      </x:c>
      <x:c r="F146" s="66">
        <x:f t="shared" ca="1" si="20"/>
        <x:v>6.2213777050647971</x:v>
      </x:c>
      <x:c r="G146" s="61"/>
      <x:c r="H146" s="61"/>
      <x:c r="I146" s="61"/>
      <x:c r="J146" s="61"/>
      <x:c r="K146" s="53"/>
      <x:c r="L146" s="53"/>
      <x:c r="M146" s="53"/>
      <x:c r="AE146" s="4"/>
      <x:c r="AF146" s="4"/>
      <x:c r="AG146" s="4"/>
      <x:c r="AH146" s="4"/>
      <x:c r="AI146" s="4"/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</x:row>
    <x:row r="147" spans="1:47" s="10" customFormat="1" ht="20.149999999999999" customHeight="1" x14ac:dyDescent="0.25">
      <x:c r="B147" s="76">
        <x:f ca="1">B146/OFFSET(INDEX('Assay protocol'!C:C,MATCH(B136,'Assay protocol'!C:C,0)),0,3)</x:f>
        <x:v>0.5080526342529087</x:v>
      </x:c>
      <x:c r="C147" s="66">
        <x:f ca="1">OFFSET(INDEX(A:A,MATCH(B136,A:A,0)),0,11)</x:f>
        <x:v>3.6492211571379665</x:v>
      </x:c>
      <x:c r="D147" s="66">
        <x:f ca="1">OFFSET(INDEX(A:A,MATCH(B136,A:A,0)),1,11)</x:f>
        <x:v>4.522209859637111</x:v>
      </x:c>
      <x:c r="E147" s="66">
        <x:f t="shared" ca="1" si="21"/>
        <x:v>4.0857155083875387</x:v>
      </x:c>
      <x:c r="F147" s="66">
        <x:f t="shared" ca="1" si="20"/>
        <x:v>0.61729623143639134</x:v>
      </x:c>
      <x:c r="G147" s="61"/>
      <x:c r="H147" s="61"/>
      <x:c r="I147" s="61"/>
      <x:c r="J147" s="61"/>
      <x:c r="K147" s="53"/>
      <x:c r="L147" s="53"/>
      <x:c r="M147" s="53"/>
      <x:c r="AE147" s="4"/>
      <x:c r="AF147" s="4"/>
      <x:c r="AG147" s="4"/>
      <x:c r="AH147" s="4"/>
      <x:c r="AI147" s="4"/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</x:row>
    <x:row r="148" spans="1:47" s="10" customFormat="1" ht="20.149999999999999" customHeight="1" x14ac:dyDescent="0.25">
      <x:c r="AD148" s="61"/>
      <x:c r="AE148" s="4"/>
      <x:c r="AF148" s="4"/>
      <x:c r="AG148" s="4"/>
      <x:c r="AH148" s="4"/>
      <x:c r="AI148" s="4"/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</x:row>
    <x:row r="149" spans="1:47" s="10" customFormat="1" ht="20.149999999999999" customHeight="1" x14ac:dyDescent="0.25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AE149" s="4"/>
      <x:c r="AF149" s="4"/>
      <x:c r="AG149" s="4"/>
      <x:c r="AH149" s="4"/>
      <x:c r="AI149" s="4"/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</x:row>
    <x:row r="150" spans="1:47" s="10" customFormat="1" ht="20.149999999999999" customHeight="1" x14ac:dyDescent="0.25">
      <x:c r="A150" s="53"/>
      <x:c r="B150" s="152" t="str">
        <x:f>B151&amp;" in "&amp;'Assay summary'!$B$2</x:f>
        <x:v>HW356024A in WRN(517-1238) in FI assay_ATP preincubation</x:v>
      </x:c>
      <x:c r="C150" s="153"/>
      <x:c r="D150" s="153"/>
      <x:c r="E150" s="153"/>
      <x:c r="F150" s="154"/>
      <x:c r="G150" s="53"/>
      <x:c r="H150" s="53"/>
      <x:c r="I150" s="53"/>
      <x:c r="J150" s="53"/>
      <x:c r="K150" s="53"/>
      <x:c r="L150" s="53"/>
      <x:c r="M150" s="53"/>
      <x:c r="N150" s="53"/>
      <x:c r="AE150" s="4"/>
      <x:c r="AF150" s="4"/>
      <x:c r="AG150" s="4"/>
      <x:c r="AH150" s="4"/>
      <x:c r="AI150" s="4"/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</x:row>
    <x:row r="151" spans="1:47" s="10" customFormat="1" ht="20.149999999999999" customHeight="1" x14ac:dyDescent="0.25">
      <x:c r="A151" s="53"/>
      <x:c r="B151" s="70" t="str">
        <x:f>'Assay summary'!C8</x:f>
        <x:v>HW356024A</x:v>
      </x:c>
      <x:c r="C151" s="71"/>
      <x:c r="D151" s="72" t="s">
        <x:v>33</x:v>
      </x:c>
      <x:c r="E151" s="72"/>
      <x:c r="F151" s="73"/>
      <x:c r="G151" s="61"/>
      <x:c r="H151" s="61"/>
      <x:c r="I151" s="61"/>
      <x:c r="J151" s="61"/>
      <x:c r="K151" s="53" t="e">
        <x:f ca="1">[1]!xf4_FitData("",[1]!xf4_SetModel("205"),[1]!xf4_SetParameters(0,FALSE,TRUE,100,FALSE,TRUE,1,FALSE,TRUE,0.1,FALSE,TRUE),[1]!xf4_SetData(B152,B153:B163,D151,E153:E163))</x:f>
        <x:v>#NAME?</x:v>
      </x:c>
      <x:c r="L151" s="53"/>
      <x:c r="M151" s="53"/>
      <x:c r="N151" s="53"/>
      <x:c r="AE151" s="4"/>
      <x:c r="AF151" s="4"/>
      <x:c r="AG151" s="4"/>
      <x:c r="AH151" s="4"/>
      <x:c r="AI151" s="4"/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</x:row>
    <x:row r="152" spans="1:47" s="10" customFormat="1" ht="20.149999999999999" customHeight="1" x14ac:dyDescent="0.25">
      <x:c r="A152" s="53"/>
      <x:c r="B152" s="74" t="s">
        <x:v>39</x:v>
      </x:c>
      <x:c r="C152" s="75" t="s">
        <x:v>34</x:v>
      </x:c>
      <x:c r="D152" s="75" t="s">
        <x:v>35</x:v>
      </x:c>
      <x:c r="E152" s="75" t="s">
        <x:v>36</x:v>
      </x:c>
      <x:c r="F152" s="75" t="s">
        <x:v>30</x:v>
      </x:c>
      <x:c r="G152" s="74" t="s">
        <x:v>37</x:v>
      </x:c>
      <x:c r="H152" s="74" t="s">
        <x:v>98</x:v>
      </x:c>
      <x:c r="I152" s="74" t="s">
        <x:v>92</x:v>
      </x:c>
      <x:c r="J152" s="74" t="s">
        <x:v>38</x:v>
      </x:c>
      <x:c r="K152" s="53" t="e">
        <x:f ca="1">[1]!xf4_Chart2D([1]!xf_Init()&amp;[1]!xf_Title(B150)&amp;[1]!xf_LabelX([1]!xf4_XLabel(K151))&amp;[1]!xf_LabelY([1]!xf4_YLabel(K151))&amp;[1]!xf_ScaleX(FALSE,0.05,100000,,TRUE)&amp;[1]!xf_ScaleY(FALSE,-20,120,30,FALSE)&amp;[1]!xf_Header(K153),[1]!xf4_C2DFit(K151,F153:F163,F153:F163)&amp;[1]!xf4_C2DFitDetails(7,0,0.05,0,0.05)&amp;[1]!xf4_C2DFitPoints(101,,,,1,-1))</x:f>
        <x:v>#NAME?</x:v>
      </x:c>
      <x:c r="L152" s="53"/>
      <x:c r="M152" s="53"/>
      <x:c r="N152" s="53"/>
      <x:c r="AE152" s="4"/>
      <x:c r="AF152" s="4"/>
      <x:c r="AG152" s="4"/>
      <x:c r="AH152" s="4"/>
      <x:c r="AI152" s="4"/>
      <x:c r="AJ152" s="4"/>
      <x:c r="AK152" s="4"/>
      <x:c r="AL152" s="4"/>
      <x:c r="AM152" s="4"/>
      <x:c r="AN152" s="4"/>
      <x:c r="AO152" s="4"/>
      <x:c r="AP152" s="4"/>
      <x:c r="AQ152" s="4"/>
      <x:c r="AR152" s="4"/>
      <x:c r="AS152" s="4"/>
      <x:c r="AT152" s="4"/>
      <x:c r="AU152" s="4"/>
    </x:row>
    <x:row r="153" spans="1:47" s="10" customFormat="1" ht="20.149999999999999" customHeight="1" x14ac:dyDescent="0.25">
      <x:c r="A153" s="53"/>
      <x:c r="B153" s="76">
        <x:f ca="1">OFFSET(INDEX('Assay protocol'!C:C,MATCH(B151,'Assay protocol'!C:C,0)),0,2)</x:f>
        <x:v>10000</x:v>
      </x:c>
      <x:c r="C153" s="66">
        <x:f ca="1">OFFSET(INDEX(A:A,MATCH(B151,A:A,0)),0,2)</x:f>
        <x:v>88.483182129407737</x:v>
      </x:c>
      <x:c r="D153" s="66">
        <x:f ca="1">OFFSET(INDEX(A:A,MATCH(B151,A:A,0)),1,2)</x:f>
        <x:v>88.157951044162957</x:v>
      </x:c>
      <x:c r="E153" s="66">
        <x:f ca="1">AVERAGE(C153:D153)</x:f>
        <x:v>88.320566586785347</x:v>
      </x:c>
      <x:c r="F153" s="66">
        <x:f ca="1">STDEV(C153:D153)</x:f>
        <x:v>0.22997310582924446</x:v>
      </x:c>
      <x:c r="G153" s="77">
        <x:v>0.11009396475468324</x:v>
      </x:c>
      <x:c r="H153" s="85">
        <x:v>87.021658078662199</x:v>
      </x:c>
      <x:c r="I153" s="59">
        <x:v>325.60952071037275</x:v>
      </x:c>
      <x:c r="J153" s="77">
        <x:v>1.2524367271479593</x:v>
      </x:c>
      <x:c r="K153" s="53" t="str">
        <x:f ca="1">IF(I153&lt;B153,I152&amp;"="&amp;ROUND(I153,0)&amp;"nM",I152&amp;"&gt;"&amp;B153&amp;"nM")</x:f>
        <x:v>IC50=326nM</x:v>
      </x:c>
      <x:c r="L153" s="53"/>
      <x:c r="M153" s="53"/>
      <x:c r="N153" s="53"/>
      <x:c r="AE153" s="4"/>
      <x:c r="AF153" s="4"/>
      <x:c r="AG153" s="4"/>
      <x:c r="AH153" s="4"/>
      <x:c r="AI153" s="4"/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</x:row>
    <x:row r="154" spans="1:47" s="10" customFormat="1" ht="20.149999999999999" customHeight="1" x14ac:dyDescent="0.25">
      <x:c r="A154" s="53"/>
      <x:c r="B154" s="76">
        <x:f ca="1">B153/OFFSET(INDEX('Assay protocol'!C:C,MATCH(B151,'Assay protocol'!C:C,0)),0,3)</x:f>
        <x:v>3333.3333333333335</x:v>
      </x:c>
      <x:c r="C154" s="66">
        <x:f ca="1">OFFSET(INDEX(A:A,MATCH(B151,A:A,0)),0,3)</x:f>
        <x:v>80.951514892160219</x:v>
      </x:c>
      <x:c r="D154" s="66">
        <x:f ca="1">OFFSET(INDEX(A:A,MATCH(B151,A:A,0)),1,3)</x:f>
        <x:v>82.817314275932901</x:v>
      </x:c>
      <x:c r="E154" s="66">
        <x:f ca="1">AVERAGE(C154:D154)</x:f>
        <x:v>81.884414584046567</x:v>
      </x:c>
      <x:c r="F154" s="66">
        <x:f t="shared" ref="F154:F162" ca="1" si="22">STDEV(C154:D154)</x:f>
        <x:v>1.3193193965993451</x:v>
      </x:c>
      <x:c r="G154" s="61"/>
      <x:c r="H154" s="61"/>
      <x:c r="I154" s="61"/>
      <x:c r="J154" s="61"/>
      <x:c r="K154" s="53"/>
      <x:c r="L154" s="53"/>
      <x:c r="M154" s="53"/>
      <x:c r="N154" s="53"/>
      <x:c r="AE154" s="4"/>
      <x:c r="AF154" s="4"/>
      <x:c r="AG154" s="4"/>
      <x:c r="AH154" s="4"/>
      <x:c r="AI154" s="4"/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</x:row>
    <x:row r="155" spans="1:47" s="10" customFormat="1" ht="20.149999999999999" customHeight="1" x14ac:dyDescent="0.25">
      <x:c r="A155" s="53"/>
      <x:c r="B155" s="76">
        <x:f ca="1">B154/OFFSET(INDEX('Assay protocol'!C:C,MATCH(B151,'Assay protocol'!C:C,0)),0,3)</x:f>
        <x:v>1111.1111111111111</x:v>
      </x:c>
      <x:c r="C155" s="66">
        <x:f ca="1">OFFSET(INDEX(A:A,MATCH(B151,A:A,0)),0,4)</x:f>
        <x:v>68.763907908250602</x:v>
      </x:c>
      <x:c r="D155" s="66">
        <x:f ca="1">OFFSET(INDEX(A:A,MATCH(B151,A:A,0)),1,4)</x:f>
        <x:v>67.377396439575492</x:v>
      </x:c>
      <x:c r="E155" s="66">
        <x:f ca="1">AVERAGE(C155:D155)</x:f>
        <x:v>68.070652173913047</x:v>
      </x:c>
      <x:c r="F155" s="66">
        <x:f t="shared" ca="1" si="22"/>
        <x:v>0.98041166169308958</x:v>
      </x:c>
      <x:c r="G155" s="61"/>
      <x:c r="H155" s="61"/>
      <x:c r="I155" s="61"/>
      <x:c r="J155" s="61"/>
      <x:c r="K155" s="53"/>
      <x:c r="L155" s="53"/>
      <x:c r="M155" s="53"/>
      <x:c r="N155" s="53"/>
      <x:c r="AE155" s="4"/>
      <x:c r="AF155" s="4"/>
      <x:c r="AG155" s="4"/>
      <x:c r="AH155" s="4"/>
      <x:c r="AI155" s="4"/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</x:row>
    <x:row r="156" spans="1:47" s="10" customFormat="1" ht="20.149999999999999" customHeight="1" x14ac:dyDescent="0.25">
      <x:c r="A156" s="53"/>
      <x:c r="B156" s="76">
        <x:f ca="1">B155/OFFSET(INDEX('Assay protocol'!C:C,MATCH(B151,'Assay protocol'!C:C,0)),0,3)</x:f>
        <x:v>370.37037037037038</x:v>
      </x:c>
      <x:c r="C156" s="66">
        <x:f ca="1">OFFSET(INDEX(A:A,MATCH(B151,A:A,0)),0,5)</x:f>
        <x:v>49.506804176651833</x:v>
      </x:c>
      <x:c r="D156" s="66">
        <x:f ca="1">OFFSET(INDEX(A:A,MATCH(B151,A:A,0)),1,5)</x:f>
        <x:v>47.606769941800749</x:v>
      </x:c>
      <x:c r="E156" s="66">
        <x:f ca="1">AVERAGE(C156:D156)</x:f>
        <x:v>48.556787059226295</x:v>
      </x:c>
      <x:c r="F156" s="66">
        <x:f t="shared" ca="1" si="22"/>
        <x:v>1.3435270919497948</x:v>
      </x:c>
      <x:c r="G156" s="61"/>
      <x:c r="H156" s="61"/>
      <x:c r="I156" s="61"/>
      <x:c r="J156" s="61"/>
      <x:c r="K156" s="53"/>
      <x:c r="L156" s="53"/>
      <x:c r="M156" s="53"/>
      <x:c r="N156" s="53"/>
      <x:c r="AE156" s="4"/>
      <x:c r="AF156" s="4"/>
      <x:c r="AG156" s="4"/>
      <x:c r="AH156" s="4"/>
      <x:c r="AI156" s="4"/>
      <x:c r="AJ156" s="4"/>
      <x:c r="AK156" s="4"/>
      <x:c r="AL156" s="4"/>
      <x:c r="AM156" s="4"/>
      <x:c r="AN156" s="4"/>
      <x:c r="AO156" s="4"/>
      <x:c r="AP156" s="4"/>
      <x:c r="AQ156" s="4"/>
      <x:c r="AR156" s="4"/>
      <x:c r="AS156" s="4"/>
      <x:c r="AT156" s="4"/>
      <x:c r="AU156" s="4"/>
    </x:row>
    <x:row r="157" spans="1:47" s="10" customFormat="1" ht="20.149999999999999" customHeight="1" x14ac:dyDescent="0.25">
      <x:c r="A157" s="53"/>
      <x:c r="B157" s="76">
        <x:f ca="1">B156/OFFSET(INDEX('Assay protocol'!C:C,MATCH(B151,'Assay protocol'!C:C,0)),0,3)</x:f>
        <x:v>123.4567901234568</x:v>
      </x:c>
      <x:c r="C157" s="142" t="s">
        <x:v>235</x:v>
      </x:c>
      <x:c r="D157" s="66">
        <x:f ca="1">OFFSET(INDEX(A:A,MATCH(B151,A:A,0)),1,6)</x:f>
        <x:v>23.847783293392673</x:v>
      </x:c>
      <x:c r="E157" s="66">
        <x:f t="shared" ref="E157:E162" ca="1" si="23">AVERAGE(C157:D157)</x:f>
        <x:v>23.847783293392673</x:v>
      </x:c>
      <x:c r="F157" s="66" t="e">
        <x:f t="shared" ca="1" si="22"/>
        <x:v>#DIV/0!</x:v>
      </x:c>
      <x:c r="G157" s="61"/>
      <x:c r="H157" s="61"/>
      <x:c r="I157" s="53"/>
      <x:c r="J157" s="61"/>
      <x:c r="K157" s="53"/>
      <x:c r="L157" s="53"/>
      <x:c r="M157" s="53"/>
      <x:c r="N157" s="53"/>
      <x:c r="AE157" s="4"/>
      <x:c r="AF157" s="4"/>
      <x:c r="AG157" s="4"/>
      <x:c r="AH157" s="4"/>
      <x:c r="AI157" s="4"/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</x:row>
    <x:row r="158" spans="1:47" s="10" customFormat="1" ht="20.149999999999999" customHeight="1" x14ac:dyDescent="0.25">
      <x:c r="A158" s="53"/>
      <x:c r="B158" s="76">
        <x:f ca="1">B157/OFFSET(INDEX('Assay protocol'!C:C,MATCH(B151,'Assay protocol'!C:C,0)),0,3)</x:f>
        <x:v>41.152263374485599</x:v>
      </x:c>
      <x:c r="C158" s="66">
        <x:f ca="1">OFFSET(INDEX(A:A,MATCH(B151,A:A,0)),0,7)</x:f>
        <x:v>2.6906453269428279</x:v>
      </x:c>
      <x:c r="D158" s="66">
        <x:f ca="1">OFFSET(INDEX(A:A,MATCH(B151,A:A,0)),1,7)</x:f>
        <x:v>-2.8040482711400205</x:v>
      </x:c>
      <x:c r="E158" s="66">
        <x:f t="shared" ca="1" si="23"/>
        <x:v>-5.6701472098596328E-2</x:v>
      </x:c>
      <x:c r="F158" s="66">
        <x:f t="shared" ca="1" si="22"/>
        <x:v>3.8853351037466921</x:v>
      </x:c>
      <x:c r="G158" s="61"/>
      <x:c r="H158" s="61"/>
      <x:c r="I158" s="61"/>
      <x:c r="J158" s="61"/>
      <x:c r="K158" s="53"/>
      <x:c r="L158" s="53"/>
      <x:c r="M158" s="53"/>
      <x:c r="N158" s="53"/>
      <x:c r="AE158" s="4"/>
      <x:c r="AF158" s="4"/>
      <x:c r="AG158" s="4"/>
      <x:c r="AH158" s="4"/>
      <x:c r="AI158" s="4"/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</x:row>
    <x:row r="159" spans="1:47" s="10" customFormat="1" ht="20.149999999999999" customHeight="1" x14ac:dyDescent="0.25">
      <x:c r="A159" s="53"/>
      <x:c r="B159" s="76">
        <x:f ca="1">B158/OFFSET(INDEX('Assay protocol'!C:C,MATCH(B151,'Assay protocol'!C:C,0)),0,3)</x:f>
        <x:v>13.717421124828533</x:v>
      </x:c>
      <x:c r="C159" s="142" t="s">
        <x:v>236</x:v>
      </x:c>
      <x:c r="D159" s="66">
        <x:f ca="1">OFFSET(INDEX(A:A,MATCH(B151,A:A,0)),1,8)</x:f>
        <x:v>-5.9023022937350218</x:v>
      </x:c>
      <x:c r="E159" s="66">
        <x:f t="shared" ca="1" si="23"/>
        <x:v>-5.9023022937350218</x:v>
      </x:c>
      <x:c r="F159" s="66" t="e">
        <x:f t="shared" ca="1" si="22"/>
        <x:v>#DIV/0!</x:v>
      </x:c>
      <x:c r="G159" s="61"/>
      <x:c r="H159" s="61"/>
      <x:c r="I159" s="61"/>
      <x:c r="J159" s="61"/>
      <x:c r="K159" s="53"/>
      <x:c r="L159" s="53"/>
      <x:c r="M159" s="53"/>
      <x:c r="N159" s="53"/>
      <x:c r="AE159" s="4"/>
      <x:c r="AF159" s="4"/>
      <x:c r="AG159" s="4"/>
      <x:c r="AH159" s="4"/>
      <x:c r="AI159" s="4"/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</x:row>
    <x:row r="160" spans="1:47" ht="20.149999999999999" customHeight="1" x14ac:dyDescent="0.25">
      <x:c r="A160" s="53"/>
      <x:c r="B160" s="76">
        <x:f ca="1">B159/OFFSET(INDEX('Assay protocol'!C:C,MATCH(B151,'Assay protocol'!C:C,0)),0,3)</x:f>
        <x:v>4.5724737082761777</x:v>
      </x:c>
      <x:c r="C160" s="66">
        <x:f ca="1">OFFSET(INDEX(A:A,MATCH(B151,A:A,0)),0,9)</x:f>
        <x:v>1.3383687093461143</x:v>
      </x:c>
      <x:c r="D160" s="66">
        <x:f ca="1">OFFSET(INDEX(A:A,MATCH(B151,A:A,0)),1,9)</x:f>
        <x:v>6.6447706264977739</x:v>
      </x:c>
      <x:c r="E160" s="66">
        <x:f t="shared" ca="1" si="23"/>
        <x:v>3.9915696679219441</x:v>
      </x:c>
      <x:c r="F160" s="66">
        <x:f t="shared" ca="1" si="22"/>
        <x:v>3.7521927793192353</x:v>
      </x:c>
      <x:c r="G160" s="61"/>
      <x:c r="H160" s="61"/>
      <x:c r="I160" s="61"/>
      <x:c r="J160" s="61"/>
      <x:c r="K160" s="53"/>
      <x:c r="L160" s="53"/>
      <x:c r="M160" s="53"/>
      <x:c r="N160" s="53"/>
      <x:c r="O160" s="10"/>
      <x:c r="P160" s="10"/>
      <x:c r="Q160" s="10"/>
      <x:c r="R160" s="10"/>
      <x:c r="S160" s="10"/>
      <x:c r="T160" s="10"/>
      <x:c r="U160" s="10"/>
      <x:c r="V160" s="10"/>
      <x:c r="W160" s="10"/>
      <x:c r="X160" s="10"/>
      <x:c r="Y160" s="10"/>
      <x:c r="Z160" s="10"/>
    </x:row>
    <x:row r="161" spans="1:26" ht="20.149999999999999" customHeight="1" x14ac:dyDescent="0.25">
      <x:c r="A161" s="53"/>
      <x:c r="B161" s="76">
        <x:f ca="1">B160/OFFSET(INDEX('Assay protocol'!C:C,MATCH(B151,'Assay protocol'!C:C,0)),0,3)</x:f>
        <x:v>1.524157902758726</x:v>
      </x:c>
      <x:c r="C161" s="66">
        <x:f ca="1">OFFSET(INDEX(A:A,MATCH(B151,A:A,0)),0,10)</x:f>
        <x:v>-2.5130520369736389</x:v>
      </x:c>
      <x:c r="D161" s="66">
        <x:f ca="1">OFFSET(INDEX(A:A,MATCH(B151,A:A,0)),1,10)</x:f>
        <x:v>-2.5301694625128377</x:v>
      </x:c>
      <x:c r="E161" s="66">
        <x:f t="shared" ca="1" si="23"/>
        <x:v>-2.5216107497432381</x:v>
      </x:c>
      <x:c r="F161" s="66">
        <x:f t="shared" ca="1" si="22"/>
        <x:v>1.2103847675223278E-2</x:v>
      </x:c>
      <x:c r="G161" s="61"/>
      <x:c r="H161" s="61"/>
      <x:c r="I161" s="61"/>
      <x:c r="J161" s="61"/>
      <x:c r="K161" s="53"/>
      <x:c r="L161" s="53"/>
      <x:c r="M161" s="53"/>
      <x:c r="N161" s="53"/>
      <x:c r="O161" s="10"/>
      <x:c r="P161" s="10"/>
      <x:c r="Q161" s="10"/>
      <x:c r="R161" s="10"/>
      <x:c r="S161" s="10"/>
      <x:c r="T161" s="10"/>
      <x:c r="U161" s="10"/>
      <x:c r="V161" s="10"/>
      <x:c r="W161" s="10"/>
      <x:c r="X161" s="10"/>
      <x:c r="Y161" s="10"/>
      <x:c r="Z161" s="10"/>
    </x:row>
    <x:row r="162" spans="1:26" ht="20.149999999999999" customHeight="1" x14ac:dyDescent="0.25">
      <x:c r="A162" s="53"/>
      <x:c r="B162" s="76">
        <x:f ca="1">B161/OFFSET(INDEX('Assay protocol'!C:C,MATCH(B151,'Assay protocol'!C:C,0)),0,3)</x:f>
        <x:v>0.5080526342529087</x:v>
      </x:c>
      <x:c r="C162" s="66">
        <x:f ca="1">OFFSET(INDEX(A:A,MATCH(B151,A:A,0)),0,11)</x:f>
        <x:v>10.907009585758303</x:v>
      </x:c>
      <x:c r="D162" s="66">
        <x:f ca="1">OFFSET(INDEX(A:A,MATCH(B151,A:A,0)),1,11)</x:f>
        <x:v>8.4592177336528582</x:v>
      </x:c>
      <x:c r="E162" s="66">
        <x:f t="shared" ca="1" si="23"/>
        <x:v>9.6831136597055796</x:v>
      </x:c>
      <x:c r="F162" s="66">
        <x:f t="shared" ca="1" si="22"/>
        <x:v>1.7308502175569496</x:v>
      </x:c>
      <x:c r="G162" s="61"/>
      <x:c r="H162" s="61"/>
      <x:c r="I162" s="61"/>
      <x:c r="J162" s="61"/>
      <x:c r="K162" s="53"/>
      <x:c r="L162" s="53"/>
      <x:c r="M162" s="53"/>
      <x:c r="N162" s="53"/>
      <x:c r="O162" s="10"/>
      <x:c r="P162" s="10"/>
      <x:c r="Q162" s="10"/>
      <x:c r="R162" s="10"/>
      <x:c r="S162" s="10"/>
      <x:c r="T162" s="10"/>
      <x:c r="U162" s="10"/>
      <x:c r="V162" s="10"/>
      <x:c r="W162" s="10"/>
      <x:c r="X162" s="10"/>
      <x:c r="Y162" s="10"/>
      <x:c r="Z162" s="10"/>
    </x:row>
    <x:row r="163" spans="1:26" ht="20.149999999999999" customHeight="1" x14ac:dyDescent="0.25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10"/>
      <x:c r="P163" s="10"/>
      <x:c r="Q163" s="10"/>
      <x:c r="R163" s="10"/>
      <x:c r="S163" s="10"/>
      <x:c r="T163" s="10"/>
      <x:c r="U163" s="10"/>
      <x:c r="V163" s="10"/>
      <x:c r="W163" s="10"/>
      <x:c r="X163" s="10"/>
      <x:c r="Y163" s="10"/>
      <x:c r="Z163" s="10"/>
    </x:row>
    <x:row r="164" spans="1:26" ht="20.149999999999999" customHeight="1" x14ac:dyDescent="0.25">
      <x:c r="A164" s="53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53"/>
      <x:c r="M164" s="53"/>
      <x:c r="N164" s="53"/>
      <x:c r="O164" s="10"/>
      <x:c r="P164" s="10"/>
      <x:c r="Q164" s="10"/>
      <x:c r="R164" s="10"/>
      <x:c r="S164" s="10"/>
      <x:c r="T164" s="10"/>
      <x:c r="U164" s="10"/>
      <x:c r="V164" s="10"/>
      <x:c r="W164" s="10"/>
      <x:c r="X164" s="10"/>
      <x:c r="Y164" s="10"/>
      <x:c r="Z164" s="10"/>
    </x:row>
    <x:row r="165" spans="1:26" ht="20.149999999999999" customHeight="1" x14ac:dyDescent="0.25">
      <x:c r="A165" s="53"/>
      <x:c r="B165" s="152" t="str">
        <x:f>B166&amp;" in "&amp;'Assay summary'!$B$2</x:f>
        <x:v>HW356024-BP in WRN(517-1238) in FI assay_ATP preincubation</x:v>
      </x:c>
      <x:c r="C165" s="153"/>
      <x:c r="D165" s="153"/>
      <x:c r="E165" s="153"/>
      <x:c r="F165" s="154"/>
      <x:c r="G165" s="53"/>
      <x:c r="H165" s="53"/>
      <x:c r="I165" s="53"/>
      <x:c r="J165" s="53"/>
      <x:c r="K165" s="53"/>
      <x:c r="L165" s="53"/>
      <x:c r="M165" s="53"/>
      <x:c r="N165" s="53"/>
      <x:c r="O165" s="10"/>
      <x:c r="P165" s="10"/>
      <x:c r="Q165" s="10"/>
      <x:c r="R165" s="10"/>
      <x:c r="S165" s="10"/>
      <x:c r="T165" s="10"/>
      <x:c r="U165" s="10"/>
      <x:c r="V165" s="10"/>
      <x:c r="W165" s="10"/>
      <x:c r="X165" s="10"/>
      <x:c r="Y165" s="10"/>
      <x:c r="Z165" s="10"/>
    </x:row>
    <x:row r="166" spans="1:26" ht="20.149999999999999" customHeight="1" x14ac:dyDescent="0.25">
      <x:c r="A166" s="53"/>
      <x:c r="B166" s="70" t="str">
        <x:f>'Assay summary'!C9</x:f>
        <x:v>HW356024-BP</x:v>
      </x:c>
      <x:c r="C166" s="71"/>
      <x:c r="D166" s="72" t="s">
        <x:v>33</x:v>
      </x:c>
      <x:c r="E166" s="72"/>
      <x:c r="F166" s="73"/>
      <x:c r="G166" s="61"/>
      <x:c r="H166" s="61"/>
      <x:c r="I166" s="61"/>
      <x:c r="J166" s="61"/>
      <x:c r="K166" s="53" t="e">
        <x:f ca="1">[1]!xf4_FitData("",[1]!xf4_SetModel("205"),[1]!xf4_SetParameters(0,FALSE,TRUE,100,FALSE,TRUE,1,FALSE,TRUE,0.1,FALSE,TRUE),[1]!xf4_SetData(B167,B168:B178,D166,E168:E178))</x:f>
        <x:v>#NAME?</x:v>
      </x:c>
      <x:c r="L166" s="53"/>
      <x:c r="M166" s="53"/>
      <x:c r="N166" s="53"/>
      <x:c r="O166" s="10"/>
      <x:c r="P166" s="10"/>
      <x:c r="Q166" s="10"/>
      <x:c r="R166" s="10"/>
      <x:c r="S166" s="10"/>
      <x:c r="T166" s="10"/>
      <x:c r="U166" s="10"/>
      <x:c r="V166" s="10"/>
      <x:c r="W166" s="10"/>
      <x:c r="X166" s="10"/>
      <x:c r="Y166" s="10"/>
      <x:c r="Z166" s="10"/>
    </x:row>
    <x:row r="167" spans="1:26" ht="20.149999999999999" customHeight="1" x14ac:dyDescent="0.25">
      <x:c r="A167" s="53"/>
      <x:c r="B167" s="74" t="s">
        <x:v>39</x:v>
      </x:c>
      <x:c r="C167" s="75" t="s">
        <x:v>34</x:v>
      </x:c>
      <x:c r="D167" s="75" t="s">
        <x:v>35</x:v>
      </x:c>
      <x:c r="E167" s="75" t="s">
        <x:v>36</x:v>
      </x:c>
      <x:c r="F167" s="75" t="s">
        <x:v>30</x:v>
      </x:c>
      <x:c r="G167" s="74" t="s">
        <x:v>37</x:v>
      </x:c>
      <x:c r="H167" s="74" t="s">
        <x:v>98</x:v>
      </x:c>
      <x:c r="I167" s="74" t="s">
        <x:v>92</x:v>
      </x:c>
      <x:c r="J167" s="74" t="s">
        <x:v>38</x:v>
      </x:c>
      <x:c r="K167" s="53" t="e">
        <x:f ca="1">[1]!xf4_Chart2D([1]!xf_Init()&amp;[1]!xf_Title(B165)&amp;[1]!xf_LabelX([1]!xf4_XLabel(K166))&amp;[1]!xf_LabelY([1]!xf4_YLabel(K166))&amp;[1]!xf_ScaleX(FALSE,0.05,100000,,TRUE)&amp;[1]!xf_ScaleY(FALSE,-20,120,30,FALSE)&amp;[1]!xf_Header(K168),[1]!xf4_C2DFit(K166,F168:F178,F168:F178)&amp;[1]!xf4_C2DFitDetails(7,0,0.05,0,0.05)&amp;[1]!xf4_C2DFitPoints(101,,,,1,-1))</x:f>
        <x:v>#NAME?</x:v>
      </x:c>
      <x:c r="L167" s="53"/>
      <x:c r="M167" s="53"/>
      <x:c r="N167" s="53"/>
      <x:c r="O167" s="10"/>
      <x:c r="P167" s="10"/>
      <x:c r="Q167" s="10"/>
      <x:c r="R167" s="10"/>
      <x:c r="S167" s="10"/>
      <x:c r="T167" s="10"/>
      <x:c r="U167" s="10"/>
      <x:c r="V167" s="10"/>
      <x:c r="W167" s="10"/>
      <x:c r="X167" s="10"/>
      <x:c r="Y167" s="10"/>
      <x:c r="Z167" s="10"/>
    </x:row>
    <x:row r="168" spans="1:26" ht="20.149999999999999" customHeight="1" x14ac:dyDescent="0.25">
      <x:c r="A168" s="53"/>
      <x:c r="B168" s="76">
        <x:f ca="1">OFFSET(INDEX('Assay protocol'!C:C,MATCH(B166,'Assay protocol'!C:C,0)),0,2)</x:f>
        <x:v>10000</x:v>
      </x:c>
      <x:c r="C168" s="66">
        <x:f ca="1">OFFSET(INDEX(A:A,MATCH(B166,A:A,0)),0,2)</x:f>
        <x:v>25.79916980486135</x:v>
      </x:c>
      <x:c r="D168" s="66">
        <x:f ca="1">OFFSET(INDEX(A:A,MATCH(B166,A:A,0)),1,2)</x:f>
        <x:v>10.667365628209517</x:v>
      </x:c>
      <x:c r="E168" s="66">
        <x:f ca="1">AVERAGE(C168:D168)</x:f>
        <x:v>18.233267716535433</x:v>
      </x:c>
      <x:c r="F168" s="66">
        <x:f ca="1">STDEV(C168:D168)</x:f>
        <x:v>10.699801344897432</x:v>
      </x:c>
      <x:c r="G168" s="77"/>
      <x:c r="H168" s="85"/>
      <x:c r="I168" s="59" t="s">
        <x:v>238</x:v>
      </x:c>
      <x:c r="J168" s="77"/>
      <x:c r="K168" s="53" t="str">
        <x:f ca="1">IF(I168&lt;B168,I167&amp;"="&amp;ROUND(I168,0)&amp;"nM",I167&amp;"&gt;"&amp;B168&amp;"nM")</x:f>
        <x:v>IC50&gt;10000nM</x:v>
      </x:c>
      <x:c r="L168" s="53"/>
      <x:c r="M168" s="53"/>
      <x:c r="N168" s="53"/>
      <x:c r="O168" s="10"/>
      <x:c r="P168" s="10"/>
      <x:c r="Q168" s="10"/>
      <x:c r="R168" s="10"/>
      <x:c r="S168" s="10"/>
      <x:c r="T168" s="10"/>
      <x:c r="U168" s="10"/>
      <x:c r="V168" s="10"/>
      <x:c r="W168" s="10"/>
      <x:c r="X168" s="10"/>
      <x:c r="Y168" s="10"/>
      <x:c r="Z168" s="10"/>
    </x:row>
    <x:row r="169" spans="1:26" ht="20.149999999999999" customHeight="1" x14ac:dyDescent="0.25">
      <x:c r="A169" s="53"/>
      <x:c r="B169" s="76">
        <x:f ca="1">B168/OFFSET(INDEX('Assay protocol'!C:C,MATCH(B166,'Assay protocol'!C:C,0)),0,3)</x:f>
        <x:v>3333.3333333333335</x:v>
      </x:c>
      <x:c r="C169" s="66">
        <x:f ca="1">OFFSET(INDEX(A:A,MATCH(B166,A:A,0)),0,3)</x:f>
        <x:v>14.501668948990071</x:v>
      </x:c>
      <x:c r="D169" s="66">
        <x:f ca="1">OFFSET(INDEX(A:A,MATCH(B166,A:A,0)),1,3)</x:f>
        <x:v>5.087084902430675</x:v>
      </x:c>
      <x:c r="E169" s="66">
        <x:f ca="1">AVERAGE(C169:D169)</x:f>
        <x:v>9.7943769257103739</x:v>
      </x:c>
      <x:c r="F169" s="66">
        <x:f t="shared" ref="F169:F177" ca="1" si="24">STDEV(C169:D169)</x:f>
        <x:v>6.6571162213728323</x:v>
      </x:c>
      <x:c r="G169" s="61"/>
      <x:c r="H169" s="61"/>
      <x:c r="I169" s="61"/>
      <x:c r="J169" s="61"/>
      <x:c r="K169" s="53"/>
      <x:c r="L169" s="53"/>
      <x:c r="M169" s="53"/>
      <x:c r="N169" s="53"/>
      <x:c r="O169" s="10"/>
      <x:c r="P169" s="10"/>
      <x:c r="Q169" s="10"/>
      <x:c r="R169" s="10"/>
      <x:c r="S169" s="10"/>
      <x:c r="T169" s="10"/>
      <x:c r="U169" s="10"/>
      <x:c r="V169" s="10"/>
      <x:c r="W169" s="10"/>
      <x:c r="X169" s="10"/>
      <x:c r="Y169" s="10"/>
      <x:c r="Z169" s="10"/>
    </x:row>
    <x:row r="170" spans="1:26" ht="20.149999999999999" customHeight="1" x14ac:dyDescent="0.25">
      <x:c r="A170" s="53"/>
      <x:c r="B170" s="76">
        <x:f ca="1">B169/OFFSET(INDEX('Assay protocol'!C:C,MATCH(B166,'Assay protocol'!C:C,0)),0,3)</x:f>
        <x:v>1111.1111111111111</x:v>
      </x:c>
      <x:c r="C170" s="66">
        <x:f ca="1">OFFSET(INDEX(A:A,MATCH(B166,A:A,0)),0,4)</x:f>
        <x:v>7.1754108182129404</x:v>
      </x:c>
      <x:c r="D170" s="66">
        <x:f ca="1">OFFSET(INDEX(A:A,MATCH(B166,A:A,0)),1,4)</x:f>
        <x:v>-1.1436579938377269</x:v>
      </x:c>
      <x:c r="E170" s="66">
        <x:f ca="1">AVERAGE(C170:D170)</x:f>
        <x:v>3.0158764121876067</x:v>
      </x:c>
      <x:c r="F170" s="66">
        <x:f t="shared" ca="1" si="24"/>
        <x:v>5.8824699701585432</x:v>
      </x:c>
      <x:c r="G170" s="61"/>
      <x:c r="H170" s="61"/>
      <x:c r="I170" s="61"/>
      <x:c r="J170" s="61"/>
      <x:c r="K170" s="53"/>
      <x:c r="L170" s="53"/>
      <x:c r="M170" s="53"/>
      <x:c r="N170" s="53"/>
      <x:c r="O170" s="10"/>
      <x:c r="P170" s="10"/>
      <x:c r="Q170" s="10"/>
      <x:c r="R170" s="10"/>
      <x:c r="S170" s="10"/>
      <x:c r="T170" s="10"/>
      <x:c r="U170" s="10"/>
      <x:c r="V170" s="10"/>
      <x:c r="W170" s="10"/>
      <x:c r="X170" s="10"/>
      <x:c r="Y170" s="10"/>
      <x:c r="Z170" s="10"/>
    </x:row>
    <x:row r="171" spans="1:26" ht="20.149999999999999" customHeight="1" x14ac:dyDescent="0.25">
      <x:c r="A171" s="53"/>
      <x:c r="B171" s="76">
        <x:f ca="1">B170/OFFSET(INDEX('Assay protocol'!C:C,MATCH(B166,'Assay protocol'!C:C,0)),0,3)</x:f>
        <x:v>370.37037037037038</x:v>
      </x:c>
      <x:c r="C171" s="66">
        <x:f ca="1">OFFSET(INDEX(A:A,MATCH(B166,A:A,0)),0,5)</x:f>
        <x:v>5.4636682642930507</x:v>
      </x:c>
      <x:c r="D171" s="66">
        <x:f ca="1">OFFSET(INDEX(A:A,MATCH(B166,A:A,0)),1,5)</x:f>
        <x:v>8.7673313933584396</x:v>
      </x:c>
      <x:c r="E171" s="66">
        <x:f ca="1">AVERAGE(C171:D171)</x:f>
        <x:v>7.1154998288257456</x:v>
      </x:c>
      <x:c r="F171" s="66">
        <x:f t="shared" ca="1" si="24"/>
        <x:v>2.336042601318101</x:v>
      </x:c>
      <x:c r="G171" s="61"/>
      <x:c r="H171" s="61"/>
      <x:c r="I171" s="61"/>
      <x:c r="J171" s="61"/>
      <x:c r="K171" s="53"/>
      <x:c r="L171" s="53"/>
      <x:c r="M171" s="53"/>
      <x:c r="N171" s="53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</x:row>
    <x:row r="172" spans="1:26" ht="20.149999999999999" customHeight="1" x14ac:dyDescent="0.25">
      <x:c r="A172" s="53"/>
      <x:c r="B172" s="76">
        <x:f ca="1">B171/OFFSET(INDEX('Assay protocol'!C:C,MATCH(B166,'Assay protocol'!C:C,0)),0,3)</x:f>
        <x:v>123.4567901234568</x:v>
      </x:c>
      <x:c r="C172" s="66">
        <x:f ca="1">OFFSET(INDEX(A:A,MATCH(B166,A:A,0)),0,6)</x:f>
        <x:v>-0.56166552550496407</x:v>
      </x:c>
      <x:c r="D172" s="66">
        <x:f ca="1">OFFSET(INDEX(A:A,MATCH(B166,A:A,0)),1,6)</x:f>
        <x:v>-3.6941543991783634</x:v>
      </x:c>
      <x:c r="E172" s="66">
        <x:f t="shared" ref="E172:E177" ca="1" si="25">AVERAGE(C172:D172)</x:f>
        <x:v>-2.127909962341664</x:v>
      </x:c>
      <x:c r="F172" s="66">
        <x:f t="shared" ca="1" si="24"/>
        <x:v>2.2150041245658709</x:v>
      </x:c>
      <x:c r="G172" s="61"/>
      <x:c r="H172" s="61"/>
      <x:c r="I172" s="53"/>
      <x:c r="J172" s="61"/>
      <x:c r="K172" s="53"/>
      <x:c r="L172" s="53"/>
      <x:c r="M172" s="53"/>
      <x:c r="N172" s="53"/>
      <x:c r="O172" s="10"/>
      <x:c r="P172" s="10"/>
      <x:c r="Q172" s="10"/>
      <x:c r="R172" s="10"/>
      <x:c r="S172" s="10"/>
      <x:c r="T172" s="10"/>
      <x:c r="U172" s="10"/>
      <x:c r="V172" s="10"/>
      <x:c r="W172" s="10"/>
      <x:c r="X172" s="10"/>
      <x:c r="Y172" s="10"/>
      <x:c r="Z172" s="10"/>
    </x:row>
    <x:row r="173" spans="1:26" ht="20.149999999999999" customHeight="1" x14ac:dyDescent="0.25">
      <x:c r="A173" s="53"/>
      <x:c r="B173" s="76">
        <x:f ca="1">B172/OFFSET(INDEX('Assay protocol'!C:C,MATCH(B166,'Assay protocol'!C:C,0)),0,3)</x:f>
        <x:v>41.152263374485599</x:v>
      </x:c>
      <x:c r="C173" s="66">
        <x:f ca="1">OFFSET(INDEX(A:A,MATCH(B166,A:A,0)),0,7)</x:f>
        <x:v>-6.9464652516261545</x:v>
      </x:c>
      <x:c r="D173" s="66">
        <x:f ca="1">OFFSET(INDEX(A:A,MATCH(B166,A:A,0)),1,7)</x:f>
        <x:v>0.97890277302293738</x:v>
      </x:c>
      <x:c r="E173" s="66">
        <x:f t="shared" ca="1" si="25"/>
        <x:v>-2.9837812393016083</x:v>
      </x:c>
      <x:c r="F173" s="66">
        <x:f t="shared" ca="1" si="24"/>
        <x:v>5.6040814736284057</x:v>
      </x:c>
      <x:c r="G173" s="61"/>
      <x:c r="H173" s="61"/>
      <x:c r="I173" s="61"/>
      <x:c r="J173" s="61"/>
      <x:c r="K173" s="53"/>
      <x:c r="L173" s="53"/>
      <x:c r="M173" s="53"/>
      <x:c r="N173" s="53"/>
      <x:c r="O173" s="10"/>
      <x:c r="P173" s="10"/>
      <x:c r="Q173" s="10"/>
      <x:c r="R173" s="10"/>
      <x:c r="S173" s="10"/>
      <x:c r="T173" s="10"/>
      <x:c r="U173" s="10"/>
      <x:c r="V173" s="10"/>
      <x:c r="W173" s="10"/>
      <x:c r="X173" s="10"/>
      <x:c r="Y173" s="10"/>
      <x:c r="Z173" s="10"/>
    </x:row>
    <x:row r="174" spans="1:26" ht="20.149999999999999" customHeight="1" x14ac:dyDescent="0.25">
      <x:c r="A174" s="53"/>
      <x:c r="B174" s="76">
        <x:f ca="1">B173/OFFSET(INDEX('Assay protocol'!C:C,MATCH(B166,'Assay protocol'!C:C,0)),0,3)</x:f>
        <x:v>13.717421124828533</x:v>
      </x:c>
      <x:c r="C174" s="66">
        <x:f ca="1">OFFSET(INDEX(A:A,MATCH(B166,A:A,0)),0,8)</x:f>
        <x:v>7.5006419034577192</x:v>
      </x:c>
      <x:c r="D174" s="66">
        <x:f ca="1">OFFSET(INDEX(A:A,MATCH(B166,A:A,0)),1,8)</x:f>
        <x:v>-10.455537487161932</x:v>
      </x:c>
      <x:c r="E174" s="66">
        <x:f t="shared" ca="1" si="25"/>
        <x:v>-1.4774477918521063</x:v>
      </x:c>
      <x:c r="F174" s="66">
        <x:f t="shared" ca="1" si="24"/>
        <x:v>12.696936211309284</x:v>
      </x:c>
      <x:c r="G174" s="61"/>
      <x:c r="H174" s="61"/>
      <x:c r="I174" s="61"/>
      <x:c r="J174" s="61"/>
      <x:c r="K174" s="53"/>
      <x:c r="L174" s="53"/>
      <x:c r="M174" s="53"/>
      <x:c r="N174" s="53"/>
      <x:c r="O174" s="10"/>
      <x:c r="P174" s="10"/>
      <x:c r="Q174" s="10"/>
      <x:c r="R174" s="10"/>
      <x:c r="S174" s="10"/>
      <x:c r="T174" s="10"/>
      <x:c r="U174" s="10"/>
      <x:c r="V174" s="10"/>
      <x:c r="W174" s="10"/>
      <x:c r="X174" s="10"/>
      <x:c r="Y174" s="10"/>
      <x:c r="Z174" s="10"/>
    </x:row>
    <x:row r="175" spans="1:26" ht="20.149999999999999" customHeight="1" x14ac:dyDescent="0.25">
      <x:c r="A175" s="53"/>
      <x:c r="B175" s="76">
        <x:f ca="1">B174/OFFSET(INDEX('Assay protocol'!C:C,MATCH(B166,'Assay protocol'!C:C,0)),0,3)</x:f>
        <x:v>4.5724737082761777</x:v>
      </x:c>
      <x:c r="C175" s="66">
        <x:f ca="1">OFFSET(INDEX(A:A,MATCH(B166,A:A,0)),0,9)</x:f>
        <x:v>-1.1094231427593291</x:v>
      </x:c>
      <x:c r="D175" s="66">
        <x:f ca="1">OFFSET(INDEX(A:A,MATCH(B166,A:A,0)),1,9)</x:f>
        <x:v>9.5033806915439918</x:v>
      </x:c>
      <x:c r="E175" s="66">
        <x:f t="shared" ca="1" si="25"/>
        <x:v>4.1969787743923312</x:v>
      </x:c>
      <x:c r="F175" s="66">
        <x:f t="shared" ca="1" si="24"/>
        <x:v>7.5043855586384698</x:v>
      </x:c>
      <x:c r="G175" s="61"/>
      <x:c r="H175" s="61"/>
      <x:c r="I175" s="61"/>
      <x:c r="J175" s="61"/>
      <x:c r="K175" s="53"/>
      <x:c r="L175" s="53"/>
      <x:c r="M175" s="53"/>
      <x:c r="N175" s="53"/>
      <x:c r="O175" s="10"/>
      <x:c r="P175" s="10"/>
      <x:c r="Q175" s="10"/>
      <x:c r="R175" s="10"/>
      <x:c r="S175" s="10"/>
      <x:c r="T175" s="10"/>
      <x:c r="U175" s="10"/>
      <x:c r="V175" s="10"/>
      <x:c r="W175" s="10"/>
      <x:c r="X175" s="10"/>
      <x:c r="Y175" s="10"/>
      <x:c r="Z175" s="10"/>
    </x:row>
    <x:row r="176" spans="1:26" ht="20.149999999999999" customHeight="1" x14ac:dyDescent="0.25">
      <x:c r="A176" s="53"/>
      <x:c r="B176" s="76">
        <x:f ca="1">B175/OFFSET(INDEX('Assay protocol'!C:C,MATCH(B166,'Assay protocol'!C:C,0)),0,3)</x:f>
        <x:v>1.524157902758726</x:v>
      </x:c>
      <x:c r="C176" s="66">
        <x:f ca="1">OFFSET(INDEX(A:A,MATCH(B166,A:A,0)),0,10)</x:f>
        <x:v>6.9871191372817529</x:v>
      </x:c>
      <x:c r="D176" s="66" t="s">
        <x:v>176</x:v>
      </x:c>
      <x:c r="E176" s="66">
        <x:f t="shared" ca="1" si="25"/>
        <x:v>6.9871191372817529</x:v>
      </x:c>
      <x:c r="F176" s="66" t="e">
        <x:f t="shared" ca="1" si="24"/>
        <x:v>#DIV/0!</x:v>
      </x:c>
      <x:c r="G176" s="61"/>
      <x:c r="H176" s="61"/>
      <x:c r="I176" s="61"/>
      <x:c r="J176" s="61"/>
      <x:c r="K176" s="53"/>
      <x:c r="L176" s="53"/>
      <x:c r="M176" s="53"/>
      <x:c r="N176" s="53"/>
      <x:c r="O176" s="10"/>
      <x:c r="P176" s="10"/>
      <x:c r="Q176" s="10"/>
      <x:c r="R176" s="10"/>
      <x:c r="S176" s="10"/>
      <x:c r="T176" s="10"/>
      <x:c r="U176" s="10"/>
      <x:c r="V176" s="10"/>
      <x:c r="W176" s="10"/>
      <x:c r="X176" s="10"/>
      <x:c r="Y176" s="10"/>
      <x:c r="Z176" s="10"/>
    </x:row>
    <x:row r="177" spans="1:26" ht="20.149999999999999" customHeight="1" x14ac:dyDescent="0.25">
      <x:c r="A177" s="53"/>
      <x:c r="B177" s="76">
        <x:f ca="1">B176/OFFSET(INDEX('Assay protocol'!C:C,MATCH(B166,'Assay protocol'!C:C,0)),0,3)</x:f>
        <x:v>0.5080526342529087</x:v>
      </x:c>
      <x:c r="C177" s="66">
        <x:f ca="1">OFFSET(INDEX(A:A,MATCH(B166,A:A,0)),0,11)</x:f>
        <x:v>6.6961229031153717</x:v>
      </x:c>
      <x:c r="D177" s="66">
        <x:f ca="1">OFFSET(INDEX(A:A,MATCH(B166,A:A,0)),1,11)</x:f>
        <x:v>-7.151874358096542</x:v>
      </x:c>
      <x:c r="E177" s="66">
        <x:f t="shared" ca="1" si="25"/>
        <x:v>-0.22787572749058516</x:v>
      </x:c>
      <x:c r="F177" s="66">
        <x:f t="shared" ca="1" si="24"/>
        <x:v>9.7920127692556829</x:v>
      </x:c>
      <x:c r="G177" s="61"/>
      <x:c r="H177" s="61"/>
      <x:c r="I177" s="61"/>
      <x:c r="J177" s="61"/>
      <x:c r="K177" s="53"/>
      <x:c r="L177" s="53"/>
      <x:c r="M177" s="53"/>
      <x:c r="N177" s="53"/>
      <x:c r="O177" s="10"/>
      <x:c r="P177" s="10"/>
      <x:c r="Q177" s="10"/>
      <x:c r="R177" s="10"/>
      <x:c r="S177" s="10"/>
      <x:c r="T177" s="10"/>
      <x:c r="U177" s="10"/>
      <x:c r="V177" s="10"/>
      <x:c r="W177" s="10"/>
      <x:c r="X177" s="10"/>
      <x:c r="Y177" s="10"/>
      <x:c r="Z177" s="10"/>
    </x:row>
    <x:row r="178" spans="1:26" ht="20.149999999999999" customHeight="1" x14ac:dyDescent="0.25">
      <x:c r="A178" s="53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53"/>
      <x:c r="M178" s="53"/>
      <x:c r="N178" s="53"/>
      <x:c r="O178" s="10"/>
      <x:c r="P178" s="10"/>
      <x:c r="Q178" s="10"/>
      <x:c r="R178" s="10"/>
      <x:c r="S178" s="10"/>
      <x:c r="T178" s="10"/>
      <x:c r="U178" s="10"/>
      <x:c r="V178" s="10"/>
      <x:c r="W178" s="10"/>
      <x:c r="X178" s="10"/>
      <x:c r="Y178" s="10"/>
      <x:c r="Z178" s="10"/>
    </x:row>
    <x:row r="179" spans="1:26" ht="20.149999999999999" customHeight="1" x14ac:dyDescent="0.25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10"/>
      <x:c r="P179" s="10"/>
      <x:c r="Q179" s="10"/>
      <x:c r="R179" s="10"/>
      <x:c r="S179" s="10"/>
      <x:c r="T179" s="10"/>
      <x:c r="U179" s="10"/>
      <x:c r="V179" s="10"/>
      <x:c r="W179" s="10"/>
      <x:c r="X179" s="10"/>
      <x:c r="Y179" s="10"/>
      <x:c r="Z179" s="10"/>
    </x:row>
    <x:row r="180" spans="1:26" ht="20.149999999999999" customHeight="1" x14ac:dyDescent="0.25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10"/>
      <x:c r="P180" s="10"/>
      <x:c r="Q180" s="10"/>
      <x:c r="R180" s="10"/>
      <x:c r="S180" s="10"/>
      <x:c r="T180" s="10"/>
      <x:c r="U180" s="10"/>
      <x:c r="V180" s="10"/>
      <x:c r="W180" s="10"/>
      <x:c r="X180" s="10"/>
      <x:c r="Y180" s="10"/>
      <x:c r="Z180" s="10"/>
    </x:row>
    <x:row r="181" spans="1:26" ht="20.149999999999999" customHeight="1" x14ac:dyDescent="0.25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10"/>
      <x:c r="P181" s="10"/>
      <x:c r="Q181" s="10"/>
      <x:c r="R181" s="10"/>
      <x:c r="S181" s="10"/>
      <x:c r="T181" s="10"/>
      <x:c r="U181" s="10"/>
      <x:c r="V181" s="10"/>
      <x:c r="W181" s="10"/>
      <x:c r="X181" s="10"/>
      <x:c r="Y181" s="10"/>
      <x:c r="Z181" s="10"/>
    </x:row>
    <x:row r="182" spans="1:26" ht="20.149999999999999" customHeight="1" x14ac:dyDescent="0.25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10"/>
      <x:c r="P182" s="10"/>
      <x:c r="Q182" s="10"/>
      <x:c r="R182" s="10"/>
      <x:c r="S182" s="10"/>
      <x:c r="T182" s="10"/>
      <x:c r="U182" s="10"/>
      <x:c r="V182" s="10"/>
      <x:c r="W182" s="10"/>
      <x:c r="X182" s="10"/>
      <x:c r="Y182" s="10"/>
      <x:c r="Z182" s="10"/>
    </x:row>
    <x:row r="183" spans="1:26" ht="20.149999999999999" customHeight="1" x14ac:dyDescent="0.25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10"/>
      <x:c r="P183" s="10"/>
      <x:c r="Q183" s="10"/>
      <x:c r="R183" s="10"/>
      <x:c r="S183" s="10"/>
      <x:c r="T183" s="10"/>
      <x:c r="U183" s="10"/>
      <x:c r="V183" s="10"/>
      <x:c r="W183" s="10"/>
      <x:c r="X183" s="10"/>
      <x:c r="Y183" s="10"/>
      <x:c r="Z183" s="10"/>
    </x:row>
    <x:row r="184" spans="1:26" ht="20.149999999999999" customHeight="1" x14ac:dyDescent="0.25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10"/>
      <x:c r="P184" s="10"/>
      <x:c r="Q184" s="10"/>
      <x:c r="R184" s="10"/>
      <x:c r="S184" s="10"/>
      <x:c r="T184" s="10"/>
      <x:c r="U184" s="10"/>
      <x:c r="V184" s="10"/>
      <x:c r="W184" s="10"/>
      <x:c r="X184" s="10"/>
      <x:c r="Y184" s="10"/>
      <x:c r="Z184" s="10"/>
    </x:row>
    <x:row r="185" spans="1:26" ht="20.149999999999999" customHeight="1" x14ac:dyDescent="0.2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10"/>
      <x:c r="P185" s="10"/>
      <x:c r="Q185" s="10"/>
      <x:c r="R185" s="10"/>
      <x:c r="S185" s="10"/>
      <x:c r="T185" s="10"/>
      <x:c r="U185" s="10"/>
      <x:c r="V185" s="10"/>
      <x:c r="W185" s="10"/>
      <x:c r="X185" s="10"/>
      <x:c r="Y185" s="10"/>
      <x:c r="Z185" s="10"/>
    </x:row>
    <x:row r="186" spans="1:26" ht="20.149999999999999" customHeight="1" x14ac:dyDescent="0.25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10"/>
      <x:c r="P186" s="10"/>
      <x:c r="Q186" s="10"/>
      <x:c r="R186" s="10"/>
      <x:c r="S186" s="10"/>
      <x:c r="T186" s="10"/>
      <x:c r="U186" s="10"/>
      <x:c r="V186" s="10"/>
      <x:c r="W186" s="10"/>
      <x:c r="X186" s="10"/>
      <x:c r="Y186" s="10"/>
      <x:c r="Z186" s="10"/>
    </x:row>
    <x:row r="187" spans="1:26" ht="20.149999999999999" customHeight="1" x14ac:dyDescent="0.25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10"/>
      <x:c r="P187" s="10"/>
      <x:c r="Q187" s="10"/>
      <x:c r="R187" s="10"/>
      <x:c r="S187" s="10"/>
      <x:c r="T187" s="10"/>
      <x:c r="U187" s="10"/>
      <x:c r="V187" s="10"/>
      <x:c r="W187" s="10"/>
      <x:c r="X187" s="10"/>
      <x:c r="Y187" s="10"/>
      <x:c r="Z187" s="10"/>
    </x:row>
    <x:row r="188" spans="1:26" ht="20.149999999999999" customHeight="1" x14ac:dyDescent="0.25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10"/>
      <x:c r="P188" s="10"/>
      <x:c r="Q188" s="10"/>
      <x:c r="R188" s="10"/>
      <x:c r="S188" s="10"/>
      <x:c r="T188" s="10"/>
      <x:c r="U188" s="10"/>
      <x:c r="V188" s="10"/>
      <x:c r="W188" s="10"/>
      <x:c r="X188" s="10"/>
      <x:c r="Y188" s="10"/>
      <x:c r="Z188" s="10"/>
    </x:row>
    <x:row r="189" spans="1:26" ht="20.149999999999999" customHeight="1" x14ac:dyDescent="0.25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10"/>
      <x:c r="P189" s="10"/>
      <x:c r="Q189" s="10"/>
      <x:c r="R189" s="10"/>
      <x:c r="S189" s="10"/>
      <x:c r="T189" s="10"/>
      <x:c r="U189" s="10"/>
      <x:c r="V189" s="10"/>
      <x:c r="W189" s="10"/>
      <x:c r="X189" s="10"/>
      <x:c r="Y189" s="10"/>
      <x:c r="Z189" s="10"/>
    </x:row>
    <x:row r="190" spans="1:26" ht="20.149999999999999" customHeight="1" x14ac:dyDescent="0.25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10"/>
      <x:c r="P190" s="10"/>
      <x:c r="Q190" s="10"/>
      <x:c r="R190" s="10"/>
      <x:c r="S190" s="10"/>
      <x:c r="T190" s="10"/>
      <x:c r="U190" s="10"/>
      <x:c r="V190" s="10"/>
      <x:c r="W190" s="10"/>
      <x:c r="X190" s="10"/>
      <x:c r="Y190" s="10"/>
      <x:c r="Z190" s="10"/>
    </x:row>
    <x:row r="191" spans="1:26" ht="20.149999999999999" customHeight="1" x14ac:dyDescent="0.25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10"/>
      <x:c r="P191" s="10"/>
      <x:c r="Q191" s="10"/>
      <x:c r="R191" s="10"/>
      <x:c r="S191" s="10"/>
      <x:c r="T191" s="10"/>
      <x:c r="U191" s="10"/>
      <x:c r="V191" s="10"/>
      <x:c r="W191" s="10"/>
      <x:c r="X191" s="10"/>
      <x:c r="Y191" s="10"/>
      <x:c r="Z191" s="10"/>
    </x:row>
    <x:row r="192" spans="1:26" ht="20.149999999999999" customHeight="1" x14ac:dyDescent="0.25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10"/>
      <x:c r="P192" s="10"/>
      <x:c r="Q192" s="10"/>
      <x:c r="R192" s="10"/>
      <x:c r="S192" s="10"/>
      <x:c r="T192" s="10"/>
      <x:c r="U192" s="10"/>
      <x:c r="V192" s="10"/>
      <x:c r="W192" s="10"/>
      <x:c r="X192" s="10"/>
      <x:c r="Y192" s="10"/>
      <x:c r="Z192" s="10"/>
    </x:row>
    <x:row r="193" spans="1:15" ht="20.149999999999999" customHeight="1" x14ac:dyDescent="0.25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</x:row>
    <x:row r="194" spans="1:15" ht="20.149999999999999" customHeight="1" x14ac:dyDescent="0.25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</x:row>
    <x:row r="195" spans="1:15" ht="20.149999999999999" customHeight="1" x14ac:dyDescent="0.2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</x:row>
    <x:row r="196" spans="1:15" ht="20.149999999999999" customHeight="1" x14ac:dyDescent="0.25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</x:row>
    <x:row r="197" spans="1:15" ht="20.149999999999999" customHeight="1" x14ac:dyDescent="0.25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</x:row>
    <x:row r="198" spans="1:15" ht="20.149999999999999" customHeight="1" x14ac:dyDescent="0.25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</x:row>
    <x:row r="199" spans="1:15" ht="20.149999999999999" customHeight="1" x14ac:dyDescent="0.25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</x:row>
    <x:row r="200" spans="1:15" ht="20.149999999999999" customHeight="1" x14ac:dyDescent="0.25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</x:row>
    <x:row r="201" spans="1:15" ht="20.149999999999999" customHeight="1" x14ac:dyDescent="0.25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</x:row>
    <x:row r="202" spans="1:15" ht="20.149999999999999" customHeight="1" x14ac:dyDescent="0.25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</x:row>
  </x:sheetData>
  <x:mergeCells count="26">
    <x:mergeCell ref="D10:L11"/>
    <x:mergeCell ref="P10:X11"/>
    <x:mergeCell ref="D12:L13"/>
    <x:mergeCell ref="P12:X13"/>
    <x:mergeCell ref="D14:L15"/>
    <x:mergeCell ref="P14:X15"/>
    <x:mergeCell ref="D4:L5"/>
    <x:mergeCell ref="P4:X5"/>
    <x:mergeCell ref="D6:L7"/>
    <x:mergeCell ref="P6:X7"/>
    <x:mergeCell ref="D8:L9"/>
    <x:mergeCell ref="P8:X9"/>
    <x:mergeCell ref="B150:F150"/>
    <x:mergeCell ref="B165:F165"/>
    <x:mergeCell ref="D16:L17"/>
    <x:mergeCell ref="P16:X17"/>
    <x:mergeCell ref="D18:L19"/>
    <x:mergeCell ref="P18:X19"/>
    <x:mergeCell ref="B60:F60"/>
    <x:mergeCell ref="B75:F75"/>
    <x:mergeCell ref="B90:F90"/>
    <x:mergeCell ref="B105:F105"/>
    <x:mergeCell ref="B120:F120"/>
    <x:mergeCell ref="B135:F135"/>
    <x:mergeCell ref="O60:S60"/>
    <x:mergeCell ref="O75:S75"/>
  </x:mergeCells>
  <x:phoneticPr fontId="3" type="noConversion"/>
  <x:conditionalFormatting sqref="B63:B72">
    <x:cfRule type="colorScale" priority="8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78:B87">
    <x:cfRule type="colorScale" priority="80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93:B102">
    <x:cfRule type="colorScale" priority="78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08:B117">
    <x:cfRule type="colorScale" priority="7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23:B132">
    <x:cfRule type="colorScale" priority="7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38:B147">
    <x:cfRule type="colorScale" priority="17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53:B162">
    <x:cfRule type="colorScale" priority="16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68:B177">
    <x:cfRule type="colorScale" priority="1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O63:O72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O78:O8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pageSetup paperSize="9" orientation="portrait" r:id="rId1"/>
  <x:drawing r:id="rId2"/>
  <x:legacyDrawing r:id="rId3"/>
  <x:picture r:id="rId28"/>
  <x:oleObjects>
    <mc:AlternateContent xmlns:mc="http://schemas.openxmlformats.org/markup-compatibility/2006">
      <mc:Choice Requires="x14">
        <x:oleObject progId="IDBS_XLfitContainer.XFCObjectRepository" shapeId="12118" r:id="rId5">
          <x:objectPr defaultSize="0" r:id="rId6">
            <x:anchor moveWithCells="1">
              <x:from>
                <xdr:col>8</xdr:col>
                <xdr:colOff>0</xdr:colOff>
                <xdr:row>65</xdr:row>
                <xdr:rowOff>0</xdr:rowOff>
              </x:from>
              <x:to>
                <xdr:col>9</xdr:col>
                <xdr:colOff>717550</xdr:colOff>
                <xdr:row>72</xdr:row>
                <xdr:rowOff>95250</xdr:rowOff>
              </x:to>
            </x:anchor>
          </x:objectPr>
        </x:oleObject>
      </mc:Choice>
      <mc:Fallback>
        <x:oleObject progId="IDBS_XLfitContainer.XFCObjectRepository" shapeId="12118" r:id="rId5"/>
      </mc:Fallback>
    </mc:AlternateContent>
    <mc:AlternateContent xmlns:mc="http://schemas.openxmlformats.org/markup-compatibility/2006">
      <mc:Choice Requires="x14">
        <x:oleObject progId="IDBS_MathIQ.Chart2DObj" shapeId="12119" r:id="rId7">
          <x:objectPr locked="0" defaultSize="0" autoLine="0" r:id="rId8">
            <x:anchor moveWithCells="1">
              <x:from>
                <xdr:col>10</xdr:col>
                <xdr:colOff>0</xdr:colOff>
                <xdr:row>59</xdr:row>
                <xdr:rowOff>95250</xdr:rowOff>
              </x:from>
              <x:to>
                <xdr:col>13</xdr:col>
                <xdr:colOff>469900</xdr:colOff>
                <xdr:row>69</xdr:row>
                <xdr:rowOff>165100</xdr:rowOff>
              </x:to>
            </x:anchor>
          </x:objectPr>
        </x:oleObject>
      </mc:Choice>
      <mc:Fallback>
        <x:oleObject progId="IDBS_MathIQ.Chart2DObj" shapeId="12119" r:id="rId7"/>
      </mc:Fallback>
    </mc:AlternateContent>
    <mc:AlternateContent xmlns:mc="http://schemas.openxmlformats.org/markup-compatibility/2006">
      <mc:Choice Requires="x14">
        <x:oleObject progId="IDBS_MathIQ.Chart2DObj" shapeId="12120" r:id="rId9">
          <x:objectPr locked="0" defaultSize="0" autoLine="0" r:id="rId10">
            <x:anchor moveWithCells="1">
              <x:from>
                <xdr:col>23</xdr:col>
                <xdr:colOff>0</xdr:colOff>
                <xdr:row>59</xdr:row>
                <xdr:rowOff>107950</xdr:rowOff>
              </x:from>
              <x:to>
                <xdr:col>27</xdr:col>
                <xdr:colOff>209550</xdr:colOff>
                <xdr:row>69</xdr:row>
                <xdr:rowOff>171450</xdr:rowOff>
              </x:to>
            </x:anchor>
          </x:objectPr>
        </x:oleObject>
      </mc:Choice>
      <mc:Fallback>
        <x:oleObject progId="IDBS_MathIQ.Chart2DObj" shapeId="12120" r:id="rId9"/>
      </mc:Fallback>
    </mc:AlternateContent>
    <mc:AlternateContent xmlns:mc="http://schemas.openxmlformats.org/markup-compatibility/2006">
      <mc:Choice Requires="x14">
        <x:oleObject progId="IDBS_MathIQ.Chart2DObj" shapeId="12121" r:id="rId11">
          <x:objectPr locked="0" defaultSize="0" autoLine="0" r:id="rId12">
            <x:anchor moveWithCells="1">
              <x:from>
                <xdr:col>10</xdr:col>
                <xdr:colOff>0</xdr:colOff>
                <xdr:row>74</xdr:row>
                <xdr:rowOff>88900</xdr:rowOff>
              </x:from>
              <x:to>
                <xdr:col>13</xdr:col>
                <xdr:colOff>469900</xdr:colOff>
                <xdr:row>84</xdr:row>
                <xdr:rowOff>152400</xdr:rowOff>
              </x:to>
            </x:anchor>
          </x:objectPr>
        </x:oleObject>
      </mc:Choice>
      <mc:Fallback>
        <x:oleObject progId="IDBS_MathIQ.Chart2DObj" shapeId="12121" r:id="rId11"/>
      </mc:Fallback>
    </mc:AlternateContent>
    <mc:AlternateContent xmlns:mc="http://schemas.openxmlformats.org/markup-compatibility/2006">
      <mc:Choice Requires="x14">
        <x:oleObject progId="IDBS_MathIQ.Chart2DObj" shapeId="12122" r:id="rId13">
          <x:objectPr locked="0" defaultSize="0" autoLine="0" r:id="rId14">
            <x:anchor moveWithCells="1">
              <x:from>
                <xdr:col>23</xdr:col>
                <xdr:colOff>31750</xdr:colOff>
                <xdr:row>74</xdr:row>
                <xdr:rowOff>95250</xdr:rowOff>
              </x:from>
              <x:to>
                <xdr:col>27</xdr:col>
                <xdr:colOff>241300</xdr:colOff>
                <xdr:row>84</xdr:row>
                <xdr:rowOff>165100</xdr:rowOff>
              </x:to>
            </x:anchor>
          </x:objectPr>
        </x:oleObject>
      </mc:Choice>
      <mc:Fallback>
        <x:oleObject progId="IDBS_MathIQ.Chart2DObj" shapeId="12122" r:id="rId13"/>
      </mc:Fallback>
    </mc:AlternateContent>
    <mc:AlternateContent xmlns:mc="http://schemas.openxmlformats.org/markup-compatibility/2006">
      <mc:Choice Requires="x14">
        <x:oleObject progId="IDBS_MathIQ.Chart2DObj" shapeId="12123" r:id="rId15">
          <x:objectPr locked="0" defaultSize="0" autoLine="0" r:id="rId16">
            <x:anchor moveWithCells="1">
              <x:from>
                <xdr:col>10</xdr:col>
                <xdr:colOff>31750</xdr:colOff>
                <xdr:row>89</xdr:row>
                <xdr:rowOff>88900</xdr:rowOff>
              </x:from>
              <x:to>
                <xdr:col>13</xdr:col>
                <xdr:colOff>495300</xdr:colOff>
                <xdr:row>99</xdr:row>
                <xdr:rowOff>152400</xdr:rowOff>
              </x:to>
            </x:anchor>
          </x:objectPr>
        </x:oleObject>
      </mc:Choice>
      <mc:Fallback>
        <x:oleObject progId="IDBS_MathIQ.Chart2DObj" shapeId="12123" r:id="rId15"/>
      </mc:Fallback>
    </mc:AlternateContent>
    <mc:AlternateContent xmlns:mc="http://schemas.openxmlformats.org/markup-compatibility/2006">
      <mc:Choice Requires="x14">
        <x:oleObject progId="IDBS_MathIQ.Chart2DObj" shapeId="12124" r:id="rId17">
          <x:objectPr locked="0" defaultSize="0" autoLine="0" r:id="rId18">
            <x:anchor moveWithCells="1">
              <x:from>
                <xdr:col>10</xdr:col>
                <xdr:colOff>0</xdr:colOff>
                <xdr:row>104</xdr:row>
                <xdr:rowOff>184150</xdr:rowOff>
              </x:from>
              <x:to>
                <xdr:col>13</xdr:col>
                <xdr:colOff>469900</xdr:colOff>
                <xdr:row>115</xdr:row>
                <xdr:rowOff>0</xdr:rowOff>
              </x:to>
            </x:anchor>
          </x:objectPr>
        </x:oleObject>
      </mc:Choice>
      <mc:Fallback>
        <x:oleObject progId="IDBS_MathIQ.Chart2DObj" shapeId="12124" r:id="rId17"/>
      </mc:Fallback>
    </mc:AlternateContent>
    <mc:AlternateContent xmlns:mc="http://schemas.openxmlformats.org/markup-compatibility/2006">
      <mc:Choice Requires="x14">
        <x:oleObject progId="IDBS_MathIQ.Chart2DObj" shapeId="12125" r:id="rId19">
          <x:objectPr locked="0" defaultSize="0" autoLine="0" r:id="rId20">
            <x:anchor moveWithCells="1">
              <x:from>
                <xdr:col>10</xdr:col>
                <xdr:colOff>0</xdr:colOff>
                <xdr:row>119</xdr:row>
                <xdr:rowOff>152400</xdr:rowOff>
              </x:from>
              <x:to>
                <xdr:col>13</xdr:col>
                <xdr:colOff>469900</xdr:colOff>
                <xdr:row>129</xdr:row>
                <xdr:rowOff>222250</xdr:rowOff>
              </x:to>
            </x:anchor>
          </x:objectPr>
        </x:oleObject>
      </mc:Choice>
      <mc:Fallback>
        <x:oleObject progId="IDBS_MathIQ.Chart2DObj" shapeId="12125" r:id="rId19"/>
      </mc:Fallback>
    </mc:AlternateContent>
    <mc:AlternateContent xmlns:mc="http://schemas.openxmlformats.org/markup-compatibility/2006">
      <mc:Choice Requires="x14">
        <x:oleObject progId="IDBS_MathIQ.Chart2DObj" shapeId="12126" r:id="rId21">
          <x:objectPr locked="0" defaultSize="0" autoLine="0" r:id="rId22">
            <x:anchor moveWithCells="1">
              <x:from>
                <xdr:col>10</xdr:col>
                <xdr:colOff>12700</xdr:colOff>
                <xdr:row>134</xdr:row>
                <xdr:rowOff>107950</xdr:rowOff>
              </x:from>
              <x:to>
                <xdr:col>13</xdr:col>
                <xdr:colOff>476250</xdr:colOff>
                <xdr:row>144</xdr:row>
                <xdr:rowOff>171450</xdr:rowOff>
              </x:to>
            </x:anchor>
          </x:objectPr>
        </x:oleObject>
      </mc:Choice>
      <mc:Fallback>
        <x:oleObject progId="IDBS_MathIQ.Chart2DObj" shapeId="12126" r:id="rId21"/>
      </mc:Fallback>
    </mc:AlternateContent>
    <mc:AlternateContent xmlns:mc="http://schemas.openxmlformats.org/markup-compatibility/2006">
      <mc:Choice Requires="x14">
        <x:oleObject progId="IDBS_MathIQ.Chart2DObj" shapeId="12127" r:id="rId23">
          <x:objectPr locked="0" defaultSize="0" autoLine="0" r:id="rId24">
            <x:anchor moveWithCells="1">
              <x:from>
                <xdr:col>10</xdr:col>
                <xdr:colOff>0</xdr:colOff>
                <xdr:row>149</xdr:row>
                <xdr:rowOff>203200</xdr:rowOff>
              </x:from>
              <x:to>
                <xdr:col>13</xdr:col>
                <xdr:colOff>469900</xdr:colOff>
                <xdr:row>160</xdr:row>
                <xdr:rowOff>31750</xdr:rowOff>
              </x:to>
            </x:anchor>
          </x:objectPr>
        </x:oleObject>
      </mc:Choice>
      <mc:Fallback>
        <x:oleObject progId="IDBS_MathIQ.Chart2DObj" shapeId="12127" r:id="rId23"/>
      </mc:Fallback>
    </mc:AlternateContent>
    <mc:AlternateContent xmlns:mc="http://schemas.openxmlformats.org/markup-compatibility/2006">
      <mc:Choice Requires="x14">
        <x:oleObject progId="IDBS_MathIQ.Chart2DObj" shapeId="12128" r:id="rId25">
          <x:objectPr locked="0" defaultSize="0" autoLine="0" r:id="rId26">
            <x:anchor moveWithCells="1">
              <x:from>
                <xdr:col>10</xdr:col>
                <xdr:colOff>12700</xdr:colOff>
                <xdr:row>163</xdr:row>
                <xdr:rowOff>165100</xdr:rowOff>
              </x:from>
              <x:to>
                <xdr:col>13</xdr:col>
                <xdr:colOff>476250</xdr:colOff>
                <xdr:row>173</xdr:row>
                <xdr:rowOff>228600</xdr:rowOff>
              </x:to>
            </x:anchor>
          </x:objectPr>
        </x:oleObject>
      </mc:Choice>
      <mc:Fallback>
        <x:oleObject progId="IDBS_MathIQ.Chart2DObj" shapeId="12128" r:id="rId25"/>
      </mc:Fallback>
    </mc:AlternateContent>
  </x:oleObjects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mlns="http://schemas.openxmlformats.org/spreadsheetml/2006/main" mc:Ignorable="x14ac xr xr2 xr3" xr:uid="{93BCD394-9502-4165-AEFA-28BE312AAFB6}">
  <x:dimension ref="A3:G21"/>
  <x:sheetViews>
    <x:sheetView topLeftCell="A4" workbookViewId="0">
      <x:selection activeCell="E15" sqref="E15:G16"/>
    </x:sheetView>
  </x:sheetViews>
  <x:sheetFormatPr defaultRowHeight="14" x14ac:dyDescent="0.25"/>
  <x:cols>
    <x:col min="1" max="1" width="20.90625" customWidth="1"/>
    <x:col min="2" max="2" width="31.36328125" customWidth="1"/>
    <x:col min="3" max="3" width="20.453125" customWidth="1"/>
    <x:col min="4" max="4" width="15" customWidth="1"/>
    <x:col min="5" max="5" width="30" customWidth="1"/>
    <x:col min="6" max="6" width="10.6328125" customWidth="1"/>
    <x:col min="7" max="7" width="10.90625" customWidth="1"/>
  </x:cols>
  <x:sheetData>
    <x:row r="3" spans="1:7" ht="21" x14ac:dyDescent="0.25">
      <x:c r="A3" s="111"/>
      <x:c r="B3" s="112"/>
      <x:c r="C3" s="170" t="s">
        <x:v>194</x:v>
      </x:c>
      <x:c r="D3" s="170"/>
      <x:c r="E3" s="171"/>
    </x:row>
    <x:row r="4" spans="1:7" x14ac:dyDescent="0.25">
      <x:c r="A4" s="113"/>
      <x:c r="B4" s="114"/>
      <x:c r="C4" s="114"/>
      <x:c r="D4" s="172"/>
      <x:c r="E4" s="173"/>
    </x:row>
    <x:row r="5" spans="1:7" ht="24.5" thickBot="1" x14ac:dyDescent="0.3">
      <x:c r="A5" s="115"/>
      <x:c r="B5" s="116"/>
      <x:c r="C5" s="117" t="s">
        <x:v>195</x:v>
      </x:c>
      <x:c r="D5" s="118" t="s">
        <x:v>196</x:v>
      </x:c>
      <x:c r="E5" s="119"/>
    </x:row>
    <x:row r="6" spans="1:7" x14ac:dyDescent="0.25">
      <x:c r="A6" s="174"/>
      <x:c r="B6" s="175"/>
      <x:c r="C6" s="175"/>
      <x:c r="D6" s="120"/>
      <x:c r="E6" s="121"/>
    </x:row>
    <x:row r="7" spans="1:7" ht="15.5" x14ac:dyDescent="0.25">
      <x:c r="A7" s="176" t="s">
        <x:v>197</x:v>
      </x:c>
      <x:c r="B7" s="176"/>
      <x:c r="C7" s="176"/>
      <x:c r="D7" s="177"/>
      <x:c r="E7" s="177"/>
    </x:row>
    <x:row r="8" spans="1:7" ht="26" x14ac:dyDescent="0.25">
      <x:c r="A8" s="122" t="s">
        <x:v>198</x:v>
      </x:c>
      <x:c r="B8" s="122" t="s">
        <x:v>199</x:v>
      </x:c>
      <x:c r="C8" s="123" t="s">
        <x:v>200</x:v>
      </x:c>
      <x:c r="D8" s="124" t="s">
        <x:v>201</x:v>
      </x:c>
      <x:c r="E8" s="124" t="s">
        <x:v>202</x:v>
      </x:c>
      <x:c r="F8" s="124" t="s">
        <x:v>221</x:v>
      </x:c>
      <x:c r="G8" s="124" t="s">
        <x:v>222</x:v>
      </x:c>
    </x:row>
    <x:row r="9" spans="1:7" s="129" customFormat="1" x14ac:dyDescent="0.25">
      <x:c r="A9" s="125" t="s">
        <x:v>184</x:v>
      </x:c>
      <x:c r="B9" s="126">
        <x:v>20240522</x:v>
      </x:c>
      <x:c r="C9" s="127" t="s">
        <x:v>203</x:v>
      </x:c>
      <x:c r="D9" s="128">
        <x:v>0.95050000000000001</x:v>
      </x:c>
      <x:c r="E9" s="125" t="s">
        <x:v>204</x:v>
      </x:c>
      <x:c r="F9" s="140" t="s">
        <x:v>223</x:v>
      </x:c>
      <x:c r="G9" s="141" t="s">
        <x:v>225</x:v>
      </x:c>
    </x:row>
    <x:row r="10" spans="1:7" x14ac:dyDescent="0.25">
      <x:c r="A10" s="125" t="s">
        <x:v>185</x:v>
      </x:c>
      <x:c r="B10" s="126" t="s">
        <x:v>205</x:v>
      </x:c>
      <x:c r="C10" s="130" t="s">
        <x:v>206</x:v>
      </x:c>
      <x:c r="D10" s="128">
        <x:v>0.99790000000000001</x:v>
      </x:c>
      <x:c r="E10" s="125" t="s">
        <x:v>207</x:v>
      </x:c>
      <x:c r="F10" s="140" t="s">
        <x:v>223</x:v>
      </x:c>
      <x:c r="G10" s="141" t="s">
        <x:v>226</x:v>
      </x:c>
    </x:row>
    <x:row r="11" spans="1:7" x14ac:dyDescent="0.25">
      <x:c r="A11" s="125" t="s">
        <x:v>186</x:v>
      </x:c>
      <x:c r="B11" s="126" t="s">
        <x:v>208</x:v>
      </x:c>
      <x:c r="C11" s="130" t="s">
        <x:v>209</x:v>
      </x:c>
      <x:c r="D11" s="128">
        <x:v>0.997</x:v>
      </x:c>
      <x:c r="E11" s="125" t="s">
        <x:v>210</x:v>
      </x:c>
      <x:c r="F11" s="140" t="s">
        <x:v>223</x:v>
      </x:c>
      <x:c r="G11" s="141" t="s">
        <x:v>227</x:v>
      </x:c>
    </x:row>
    <x:row r="12" spans="1:7" x14ac:dyDescent="0.25">
      <x:c r="A12" s="125" t="s">
        <x:v>187</x:v>
      </x:c>
      <x:c r="B12" s="126">
        <x:v>20240531</x:v>
      </x:c>
      <x:c r="C12" s="131" t="s">
        <x:v>211</x:v>
      </x:c>
      <x:c r="D12" s="128">
        <x:v>0.88719999999999999</x:v>
      </x:c>
      <x:c r="E12" s="125" t="s">
        <x:v>212</x:v>
      </x:c>
      <x:c r="F12" s="140" t="s">
        <x:v>223</x:v>
      </x:c>
      <x:c r="G12" s="141" t="s">
        <x:v>228</x:v>
      </x:c>
    </x:row>
    <x:row r="13" spans="1:7" x14ac:dyDescent="0.25">
      <x:c r="A13" s="125" t="s">
        <x:v>188</x:v>
      </x:c>
      <x:c r="B13" s="126">
        <x:v>20240531</x:v>
      </x:c>
      <x:c r="C13" s="131" t="s">
        <x:v>211</x:v>
      </x:c>
      <x:c r="D13" s="128">
        <x:v>0.95479999999999998</x:v>
      </x:c>
      <x:c r="E13" s="125" t="s">
        <x:v>213</x:v>
      </x:c>
      <x:c r="F13" s="140" t="s">
        <x:v>223</x:v>
      </x:c>
      <x:c r="G13" s="141" t="s">
        <x:v>229</x:v>
      </x:c>
    </x:row>
    <x:row r="14" spans="1:7" x14ac:dyDescent="0.25">
      <x:c r="A14" s="125" t="s">
        <x:v>189</x:v>
      </x:c>
      <x:c r="B14" s="126">
        <x:v>20240531</x:v>
      </x:c>
      <x:c r="C14" s="131" t="s">
        <x:v>211</x:v>
      </x:c>
      <x:c r="D14" s="128">
        <x:v>0.93820000000000003</x:v>
      </x:c>
      <x:c r="E14" s="125" t="s">
        <x:v>214</x:v>
      </x:c>
      <x:c r="F14" s="140" t="s">
        <x:v>223</x:v>
      </x:c>
      <x:c r="G14" s="141" t="s">
        <x:v>230</x:v>
      </x:c>
    </x:row>
    <x:row r="15" spans="1:7" x14ac:dyDescent="0.25">
      <x:c r="A15" s="125" t="s">
        <x:v>190</x:v>
      </x:c>
      <x:c r="B15" s="126" t="s">
        <x:v>215</x:v>
      </x:c>
      <x:c r="C15" s="130" t="s">
        <x:v>216</x:v>
      </x:c>
      <x:c r="D15" s="128">
        <x:v>0.99099999999999999</x:v>
      </x:c>
      <x:c r="E15" s="125" t="s">
        <x:v>217</x:v>
      </x:c>
      <x:c r="F15" s="140" t="s">
        <x:v>224</x:v>
      </x:c>
      <x:c r="G15" s="141" t="s">
        <x:v>231</x:v>
      </x:c>
    </x:row>
    <x:row r="16" spans="1:7" x14ac:dyDescent="0.25">
      <x:c r="A16" s="125" t="s">
        <x:v>191</x:v>
      </x:c>
      <x:c r="B16" s="132" t="s">
        <x:v>218</x:v>
      </x:c>
      <x:c r="C16" s="130" t="s">
        <x:v>216</x:v>
      </x:c>
      <x:c r="D16" s="128">
        <x:v>1</x:v>
      </x:c>
      <x:c r="E16" s="125" t="s">
        <x:v>219</x:v>
      </x:c>
      <x:c r="F16" s="140" t="s">
        <x:v>223</x:v>
      </x:c>
      <x:c r="G16" s="141" t="s">
        <x:v>232</x:v>
      </x:c>
    </x:row>
    <x:row r="17" spans="1:5" x14ac:dyDescent="0.25">
      <x:c r="A17" s="132" t="str">
        <x:f>IF(ISERROR(VLOOKUP(#REF!,$N$5:$V$46,3,0)),"-",VLOOKUP(#REF!,$N$5:$V$46,3,0))</x:f>
        <x:v>-</x:v>
      </x:c>
      <x:c r="B17" s="132" t="str">
        <x:f>IF(ISERROR(VLOOKUP(#REF!,$N$5:$V$46,4,0)),"-",VLOOKUP(#REF!,$N$5:$V$46,4,0))</x:f>
        <x:v>-</x:v>
      </x:c>
      <x:c r="C17" s="132" t="str">
        <x:f>IF(ISERROR(VLOOKUP(#REF!,$N$5:$V$46,5,0)),"-",VLOOKUP(#REF!,$N$5:$V$46,5,0))</x:f>
        <x:v>-</x:v>
      </x:c>
      <x:c r="D17" s="133"/>
      <x:c r="E17" s="133"/>
    </x:row>
    <x:row r="18" spans="1:5" ht="15" x14ac:dyDescent="0.25">
      <x:c r="A18" s="178"/>
      <x:c r="B18" s="179"/>
      <x:c r="C18" s="179"/>
      <x:c r="D18" s="179"/>
      <x:c r="E18" s="180"/>
    </x:row>
    <x:row r="19" spans="1:5" ht="15.5" x14ac:dyDescent="0.25">
      <x:c r="A19" s="167"/>
      <x:c r="B19" s="168"/>
      <x:c r="C19" s="168"/>
      <x:c r="D19" s="168"/>
      <x:c r="E19" s="169"/>
    </x:row>
    <x:row r="20" spans="1:5" ht="14.5" thickBot="1" x14ac:dyDescent="0.3">
      <x:c r="A20" s="113"/>
      <x:c r="B20" s="134" t="s">
        <x:v>220</x:v>
      </x:c>
      <x:c r="C20" s="135"/>
      <x:c r="D20" s="136"/>
      <x:c r="E20" s="121"/>
    </x:row>
    <x:row r="21" spans="1:5" x14ac:dyDescent="0.25">
      <x:c r="A21" s="137"/>
      <x:c r="B21" s="138"/>
      <x:c r="C21" s="138"/>
      <x:c r="D21" s="138"/>
      <x:c r="E21" s="139"/>
    </x:row>
  </x:sheetData>
  <x:protectedRanges>
    <x:protectedRange algorithmName="SHA-512" hashValue="YAPCBpMfNj1lVuAZLhz1T+lpfxbDMuhG5ejUCrk1HziMXgo3AaCpRTXYj0eq7dnZK7vTWO/Aa8VAdQA0Fdy/2g==" saltValue="gWgY4cub5eff8hIJHSdbqA==" spinCount="100000" sqref="A3:C8 D3:E7 A10:B21 C17:E21 D8:G8" name="送样单_8"/>
    <x:protectedRange algorithmName="SHA-512" hashValue="YAPCBpMfNj1lVuAZLhz1T+lpfxbDMuhG5ejUCrk1HziMXgo3AaCpRTXYj0eq7dnZK7vTWO/Aa8VAdQA0Fdy/2g==" saltValue="gWgY4cub5eff8hIJHSdbqA==" spinCount="100000" sqref="A9:B9" name="送样单_1"/>
  </x:protectedRanges>
  <x:mergeCells count="6">
    <x:mergeCell ref="A19:E19"/>
    <x:mergeCell ref="C3:E3"/>
    <x:mergeCell ref="D4:E4"/>
    <x:mergeCell ref="A6:C6"/>
    <x:mergeCell ref="A7:E7"/>
    <x:mergeCell ref="A18:E18"/>
  </x:mergeCells>
  <x:phoneticPr fontId="3" type="noConversion"/>
  <x:pageMargins left="0.7" right="0.7" top="0.75" bottom="0.75" header="0.3" footer="0.3"/>
  <x:pageSetup paperSize="9" orientation="portrait" r:id="rId1"/>
  <x:drawing r:id="rId2"/>
  <x:picture r:id="rId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Signature</vt:lpstr>
      <vt:lpstr>Assay summary</vt:lpstr>
      <vt:lpstr>Assay protocol</vt:lpstr>
      <vt:lpstr>Raw data analysis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2024-06-08T02:18:01Z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[DocID]=B12A10D0-F251-4AEA-AB4E-84501D67D42B</vt:lpwstr>
  </op:property>
  <op:property fmtid="{D5CDD505-2E9C-101B-9397-08002B2CF9AE}" pid="3" name="_WMTAG">
    <vt:lpwstr>wmexist=0,1,2,3,4,5</vt:lpwstr>
  </op:property>
</op:Properties>
</file>