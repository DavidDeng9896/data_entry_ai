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codeName="ThisWorkbook" defaultThemeVersion="124226"/>
  <xr:revisionPtr revIDLastSave="0" documentId="13_ncr:1_{2EA67603-6FE4-4438-AFB7-75A6903498A9}" xr6:coauthVersionLast="47" xr6:coauthVersionMax="47" xr10:uidLastSave="{00000000-0000-0000-0000-000000000000}"/>
  <bookViews>
    <workbookView xWindow="-98" yWindow="-98" windowWidth="21795" windowHeight="12975" tabRatio="814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Raw data" sheetId="7" r:id="rId5"/>
    <sheet name="Compound informa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4" l="1"/>
  <c r="O43" i="4" l="1"/>
  <c r="D43" i="4"/>
  <c r="E43" i="4"/>
  <c r="F43" i="4"/>
  <c r="G43" i="4"/>
  <c r="H43" i="4"/>
  <c r="I43" i="4"/>
  <c r="J43" i="4"/>
  <c r="K43" i="4"/>
  <c r="L43" i="4"/>
  <c r="D44" i="4"/>
  <c r="E44" i="4"/>
  <c r="F44" i="4"/>
  <c r="G44" i="4"/>
  <c r="H44" i="4"/>
  <c r="I44" i="4"/>
  <c r="J44" i="4"/>
  <c r="K44" i="4"/>
  <c r="L44" i="4"/>
  <c r="D45" i="4"/>
  <c r="E45" i="4"/>
  <c r="F45" i="4"/>
  <c r="G45" i="4"/>
  <c r="H45" i="4"/>
  <c r="I45" i="4"/>
  <c r="J45" i="4"/>
  <c r="K45" i="4"/>
  <c r="L45" i="4"/>
  <c r="D46" i="4"/>
  <c r="E46" i="4"/>
  <c r="F46" i="4"/>
  <c r="G46" i="4"/>
  <c r="H46" i="4"/>
  <c r="I46" i="4"/>
  <c r="J46" i="4"/>
  <c r="K46" i="4"/>
  <c r="L46" i="4"/>
  <c r="D47" i="4"/>
  <c r="E47" i="4"/>
  <c r="F47" i="4"/>
  <c r="G47" i="4"/>
  <c r="H47" i="4"/>
  <c r="I47" i="4"/>
  <c r="J47" i="4"/>
  <c r="K47" i="4"/>
  <c r="L47" i="4"/>
  <c r="D48" i="4"/>
  <c r="E48" i="4"/>
  <c r="F48" i="4"/>
  <c r="G48" i="4"/>
  <c r="H48" i="4"/>
  <c r="I48" i="4"/>
  <c r="J48" i="4"/>
  <c r="K48" i="4"/>
  <c r="L48" i="4"/>
  <c r="D49" i="4"/>
  <c r="E49" i="4"/>
  <c r="F49" i="4"/>
  <c r="G49" i="4"/>
  <c r="H49" i="4"/>
  <c r="I49" i="4"/>
  <c r="J49" i="4"/>
  <c r="K49" i="4"/>
  <c r="L49" i="4"/>
  <c r="D50" i="4"/>
  <c r="E50" i="4"/>
  <c r="F50" i="4"/>
  <c r="G50" i="4"/>
  <c r="H50" i="4"/>
  <c r="I50" i="4"/>
  <c r="J50" i="4"/>
  <c r="K50" i="4"/>
  <c r="L50" i="4"/>
  <c r="D51" i="4"/>
  <c r="E51" i="4"/>
  <c r="F51" i="4"/>
  <c r="G51" i="4"/>
  <c r="H51" i="4"/>
  <c r="I51" i="4"/>
  <c r="J51" i="4"/>
  <c r="K51" i="4"/>
  <c r="L51" i="4"/>
  <c r="D52" i="4"/>
  <c r="E52" i="4"/>
  <c r="F52" i="4"/>
  <c r="G52" i="4"/>
  <c r="H52" i="4"/>
  <c r="I52" i="4"/>
  <c r="J52" i="4"/>
  <c r="K52" i="4"/>
  <c r="L52" i="4"/>
  <c r="D53" i="4"/>
  <c r="E53" i="4"/>
  <c r="F53" i="4"/>
  <c r="G53" i="4"/>
  <c r="H53" i="4"/>
  <c r="I53" i="4"/>
  <c r="J53" i="4"/>
  <c r="K53" i="4"/>
  <c r="L53" i="4"/>
  <c r="D54" i="4"/>
  <c r="E54" i="4"/>
  <c r="F54" i="4"/>
  <c r="G54" i="4"/>
  <c r="H54" i="4"/>
  <c r="I54" i="4"/>
  <c r="J54" i="4"/>
  <c r="K54" i="4"/>
  <c r="L54" i="4"/>
  <c r="D55" i="4"/>
  <c r="E55" i="4"/>
  <c r="F55" i="4"/>
  <c r="G55" i="4"/>
  <c r="H55" i="4"/>
  <c r="I55" i="4"/>
  <c r="J55" i="4"/>
  <c r="K55" i="4"/>
  <c r="L55" i="4"/>
  <c r="D56" i="4"/>
  <c r="E56" i="4"/>
  <c r="F56" i="4"/>
  <c r="G56" i="4"/>
  <c r="H56" i="4"/>
  <c r="I56" i="4"/>
  <c r="J56" i="4"/>
  <c r="K56" i="4"/>
  <c r="L56" i="4"/>
  <c r="D57" i="4"/>
  <c r="E57" i="4"/>
  <c r="F57" i="4"/>
  <c r="G57" i="4"/>
  <c r="H57" i="4"/>
  <c r="I57" i="4"/>
  <c r="J57" i="4"/>
  <c r="K57" i="4"/>
  <c r="L57" i="4"/>
  <c r="D58" i="4"/>
  <c r="E58" i="4"/>
  <c r="F58" i="4"/>
  <c r="G58" i="4"/>
  <c r="H58" i="4"/>
  <c r="I58" i="4"/>
  <c r="J58" i="4"/>
  <c r="K58" i="4"/>
  <c r="L58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43" i="4"/>
  <c r="B40" i="4"/>
  <c r="C40" i="4"/>
  <c r="C39" i="4"/>
  <c r="O62" i="4"/>
  <c r="P64" i="4" s="1"/>
  <c r="X44" i="4"/>
  <c r="W44" i="4"/>
  <c r="V44" i="4"/>
  <c r="U44" i="4"/>
  <c r="T44" i="4"/>
  <c r="S44" i="4"/>
  <c r="R44" i="4"/>
  <c r="Q44" i="4"/>
  <c r="P44" i="4"/>
  <c r="O44" i="4"/>
  <c r="X43" i="4"/>
  <c r="W43" i="4"/>
  <c r="V43" i="4"/>
  <c r="U43" i="4"/>
  <c r="T43" i="4"/>
  <c r="S43" i="4"/>
  <c r="R43" i="4"/>
  <c r="Q43" i="4"/>
  <c r="P43" i="4"/>
  <c r="N43" i="4"/>
  <c r="A57" i="4"/>
  <c r="A55" i="4"/>
  <c r="A53" i="4"/>
  <c r="A51" i="4"/>
  <c r="A49" i="4"/>
  <c r="A47" i="4"/>
  <c r="A45" i="4"/>
  <c r="B166" i="4"/>
  <c r="B151" i="4"/>
  <c r="B136" i="4"/>
  <c r="B121" i="4"/>
  <c r="B106" i="4"/>
  <c r="B91" i="4"/>
  <c r="B76" i="4"/>
  <c r="C3" i="2"/>
  <c r="C4" i="2"/>
  <c r="C5" i="2"/>
  <c r="C6" i="2"/>
  <c r="C7" i="2"/>
  <c r="C8" i="2"/>
  <c r="C9" i="2"/>
  <c r="C10" i="2"/>
  <c r="P6" i="6"/>
  <c r="P7" i="6"/>
  <c r="P8" i="6"/>
  <c r="P9" i="6"/>
  <c r="P10" i="6"/>
  <c r="P11" i="6"/>
  <c r="P12" i="6"/>
  <c r="P5" i="6"/>
  <c r="P67" i="4" l="1"/>
  <c r="Q71" i="4"/>
  <c r="P72" i="4"/>
  <c r="P73" i="4"/>
  <c r="O64" i="4"/>
  <c r="O65" i="4" s="1"/>
  <c r="O66" i="4" s="1"/>
  <c r="O67" i="4" s="1"/>
  <c r="O68" i="4" s="1"/>
  <c r="O69" i="4" s="1"/>
  <c r="O70" i="4" s="1"/>
  <c r="O71" i="4" s="1"/>
  <c r="O72" i="4" s="1"/>
  <c r="O73" i="4" s="1"/>
  <c r="Q64" i="4"/>
  <c r="Q65" i="4"/>
  <c r="Q66" i="4"/>
  <c r="P65" i="4"/>
  <c r="Q67" i="4"/>
  <c r="P66" i="4"/>
  <c r="Q68" i="4"/>
  <c r="Q69" i="4"/>
  <c r="P68" i="4"/>
  <c r="Q70" i="4"/>
  <c r="P70" i="4"/>
  <c r="Q72" i="4"/>
  <c r="P69" i="4"/>
  <c r="P71" i="4"/>
  <c r="Q73" i="4"/>
  <c r="O61" i="4"/>
  <c r="B168" i="4"/>
  <c r="B169" i="4" s="1"/>
  <c r="B170" i="4" s="1"/>
  <c r="B171" i="4" s="1"/>
  <c r="B172" i="4" s="1"/>
  <c r="B173" i="4" s="1"/>
  <c r="B174" i="4" s="1"/>
  <c r="B175" i="4" s="1"/>
  <c r="B176" i="4" s="1"/>
  <c r="B177" i="4" s="1"/>
  <c r="B165" i="4"/>
  <c r="B153" i="4"/>
  <c r="B154" i="4" s="1"/>
  <c r="B155" i="4" s="1"/>
  <c r="B156" i="4" s="1"/>
  <c r="B157" i="4" s="1"/>
  <c r="B158" i="4" s="1"/>
  <c r="B159" i="4" s="1"/>
  <c r="B160" i="4" s="1"/>
  <c r="B161" i="4" s="1"/>
  <c r="B162" i="4" s="1"/>
  <c r="B150" i="4"/>
  <c r="B135" i="4"/>
  <c r="S64" i="4" l="1"/>
  <c r="R64" i="4"/>
  <c r="B138" i="4"/>
  <c r="B139" i="4" s="1"/>
  <c r="B140" i="4" s="1"/>
  <c r="B141" i="4" s="1"/>
  <c r="B142" i="4" s="1"/>
  <c r="B143" i="4" s="1"/>
  <c r="B144" i="4" s="1"/>
  <c r="B145" i="4" s="1"/>
  <c r="B146" i="4" s="1"/>
  <c r="B147" i="4" s="1"/>
  <c r="E39" i="4" l="1"/>
  <c r="D40" i="4"/>
  <c r="F39" i="4"/>
  <c r="C63" i="4"/>
  <c r="D39" i="4"/>
  <c r="C2" i="2" l="1"/>
  <c r="B61" i="4" s="1"/>
  <c r="B60" i="4" s="1"/>
  <c r="A43" i="4" l="1"/>
  <c r="C71" i="4" l="1"/>
  <c r="D67" i="4"/>
  <c r="D65" i="4"/>
  <c r="C67" i="4"/>
  <c r="D72" i="4"/>
  <c r="D63" i="4"/>
  <c r="C68" i="4"/>
  <c r="C66" i="4"/>
  <c r="C72" i="4"/>
  <c r="C69" i="4"/>
  <c r="D71" i="4"/>
  <c r="D66" i="4"/>
  <c r="D64" i="4"/>
  <c r="C70" i="4"/>
  <c r="C64" i="4"/>
  <c r="D70" i="4"/>
  <c r="D69" i="4"/>
  <c r="C65" i="4"/>
  <c r="D68" i="4"/>
  <c r="B63" i="4"/>
  <c r="E68" i="4" l="1"/>
  <c r="E72" i="4"/>
  <c r="B64" i="4"/>
  <c r="E63" i="4" l="1"/>
  <c r="F63" i="4"/>
  <c r="B105" i="4" l="1"/>
  <c r="B120" i="4"/>
  <c r="B90" i="4"/>
  <c r="B75" i="4"/>
  <c r="B78" i="4"/>
  <c r="B79" i="4" s="1"/>
  <c r="B80" i="4" s="1"/>
  <c r="B81" i="4" s="1"/>
  <c r="B82" i="4" s="1"/>
  <c r="B83" i="4" s="1"/>
  <c r="B84" i="4" s="1"/>
  <c r="B85" i="4" s="1"/>
  <c r="B86" i="4" s="1"/>
  <c r="B87" i="4" s="1"/>
  <c r="B93" i="4"/>
  <c r="B94" i="4" s="1"/>
  <c r="B95" i="4" s="1"/>
  <c r="B96" i="4" s="1"/>
  <c r="B97" i="4" s="1"/>
  <c r="B98" i="4" s="1"/>
  <c r="B99" i="4" s="1"/>
  <c r="B100" i="4" s="1"/>
  <c r="B101" i="4" s="1"/>
  <c r="B102" i="4" s="1"/>
  <c r="B108" i="4"/>
  <c r="B109" i="4" s="1"/>
  <c r="B110" i="4" s="1"/>
  <c r="B111" i="4" s="1"/>
  <c r="B112" i="4" s="1"/>
  <c r="B113" i="4" s="1"/>
  <c r="B114" i="4" s="1"/>
  <c r="B115" i="4" s="1"/>
  <c r="B116" i="4" s="1"/>
  <c r="B117" i="4" s="1"/>
  <c r="B123" i="4"/>
  <c r="B124" i="4" l="1"/>
  <c r="B125" i="4" s="1"/>
  <c r="B126" i="4" s="1"/>
  <c r="B127" i="4" s="1"/>
  <c r="B128" i="4" s="1"/>
  <c r="B129" i="4" s="1"/>
  <c r="B130" i="4" s="1"/>
  <c r="B131" i="4" s="1"/>
  <c r="B132" i="4" s="1"/>
  <c r="E66" i="4"/>
  <c r="F66" i="4"/>
  <c r="D157" i="4" l="1"/>
  <c r="C171" i="4"/>
  <c r="D172" i="4"/>
  <c r="D177" i="4"/>
  <c r="D175" i="4"/>
  <c r="D161" i="4"/>
  <c r="D162" i="4"/>
  <c r="C159" i="4"/>
  <c r="D156" i="4"/>
  <c r="D168" i="4"/>
  <c r="C170" i="4"/>
  <c r="D153" i="4"/>
  <c r="D154" i="4"/>
  <c r="C154" i="4"/>
  <c r="D174" i="4"/>
  <c r="D173" i="4"/>
  <c r="D169" i="4"/>
  <c r="C162" i="4"/>
  <c r="C177" i="4"/>
  <c r="C155" i="4"/>
  <c r="C156" i="4"/>
  <c r="D155" i="4"/>
  <c r="C153" i="4"/>
  <c r="D176" i="4"/>
  <c r="C157" i="4"/>
  <c r="C176" i="4"/>
  <c r="D159" i="4"/>
  <c r="D158" i="4"/>
  <c r="C174" i="4"/>
  <c r="C173" i="4"/>
  <c r="C160" i="4"/>
  <c r="C168" i="4"/>
  <c r="C161" i="4"/>
  <c r="C158" i="4"/>
  <c r="D171" i="4"/>
  <c r="C169" i="4"/>
  <c r="D170" i="4"/>
  <c r="D160" i="4"/>
  <c r="C172" i="4"/>
  <c r="C175" i="4"/>
  <c r="C147" i="4"/>
  <c r="D143" i="4"/>
  <c r="C143" i="4"/>
  <c r="D117" i="4"/>
  <c r="C113" i="4"/>
  <c r="D111" i="4"/>
  <c r="D115" i="4"/>
  <c r="C117" i="4"/>
  <c r="D109" i="4"/>
  <c r="D113" i="4"/>
  <c r="C115" i="4"/>
  <c r="C111" i="4"/>
  <c r="C109" i="4"/>
  <c r="D116" i="4"/>
  <c r="C114" i="4"/>
  <c r="D110" i="4"/>
  <c r="C108" i="4"/>
  <c r="D108" i="4"/>
  <c r="D112" i="4"/>
  <c r="C112" i="4"/>
  <c r="C116" i="4"/>
  <c r="C110" i="4"/>
  <c r="D114" i="4"/>
  <c r="D145" i="4"/>
  <c r="C140" i="4"/>
  <c r="C142" i="4"/>
  <c r="D147" i="4"/>
  <c r="C141" i="4"/>
  <c r="C138" i="4"/>
  <c r="D139" i="4"/>
  <c r="D140" i="4"/>
  <c r="D141" i="4"/>
  <c r="D144" i="4"/>
  <c r="D142" i="4"/>
  <c r="C144" i="4"/>
  <c r="C139" i="4"/>
  <c r="C145" i="4"/>
  <c r="C146" i="4"/>
  <c r="D138" i="4"/>
  <c r="D146" i="4"/>
  <c r="C95" i="4"/>
  <c r="D128" i="4"/>
  <c r="D85" i="4"/>
  <c r="D82" i="4"/>
  <c r="D125" i="4"/>
  <c r="D131" i="4"/>
  <c r="D100" i="4"/>
  <c r="D102" i="4"/>
  <c r="C80" i="4"/>
  <c r="D87" i="4"/>
  <c r="C129" i="4"/>
  <c r="C126" i="4"/>
  <c r="C97" i="4"/>
  <c r="D96" i="4"/>
  <c r="C86" i="4"/>
  <c r="D84" i="4"/>
  <c r="D132" i="4"/>
  <c r="D126" i="4"/>
  <c r="C94" i="4"/>
  <c r="D98" i="4"/>
  <c r="D81" i="4"/>
  <c r="C81" i="4"/>
  <c r="D123" i="4"/>
  <c r="D127" i="4"/>
  <c r="C85" i="4"/>
  <c r="C83" i="4"/>
  <c r="C127" i="4"/>
  <c r="C102" i="4"/>
  <c r="C100" i="4"/>
  <c r="D130" i="4"/>
  <c r="C93" i="4"/>
  <c r="D83" i="4"/>
  <c r="D86" i="4"/>
  <c r="C101" i="4"/>
  <c r="C79" i="4"/>
  <c r="C78" i="4"/>
  <c r="D101" i="4"/>
  <c r="C82" i="4"/>
  <c r="C87" i="4"/>
  <c r="C124" i="4"/>
  <c r="D93" i="4"/>
  <c r="C96" i="4"/>
  <c r="D97" i="4"/>
  <c r="D79" i="4"/>
  <c r="C132" i="4"/>
  <c r="C131" i="4"/>
  <c r="C98" i="4"/>
  <c r="C84" i="4"/>
  <c r="C123" i="4"/>
  <c r="D124" i="4"/>
  <c r="D94" i="4"/>
  <c r="C128" i="4"/>
  <c r="C99" i="4"/>
  <c r="D78" i="4"/>
  <c r="C130" i="4"/>
  <c r="C125" i="4"/>
  <c r="D95" i="4"/>
  <c r="D129" i="4"/>
  <c r="D99" i="4"/>
  <c r="D80" i="4"/>
  <c r="B65" i="4"/>
  <c r="F169" i="4" l="1"/>
  <c r="E169" i="4"/>
  <c r="F153" i="4"/>
  <c r="E153" i="4"/>
  <c r="F170" i="4"/>
  <c r="E170" i="4"/>
  <c r="E161" i="4"/>
  <c r="F161" i="4"/>
  <c r="F156" i="4"/>
  <c r="E156" i="4"/>
  <c r="F168" i="4"/>
  <c r="E168" i="4"/>
  <c r="E155" i="4"/>
  <c r="F155" i="4"/>
  <c r="F159" i="4"/>
  <c r="E159" i="4"/>
  <c r="F160" i="4"/>
  <c r="E160" i="4"/>
  <c r="F177" i="4"/>
  <c r="E177" i="4"/>
  <c r="F158" i="4"/>
  <c r="E158" i="4"/>
  <c r="F173" i="4"/>
  <c r="E173" i="4"/>
  <c r="E162" i="4"/>
  <c r="F162" i="4"/>
  <c r="F175" i="4"/>
  <c r="E175" i="4"/>
  <c r="E174" i="4"/>
  <c r="F174" i="4"/>
  <c r="E172" i="4"/>
  <c r="F172" i="4"/>
  <c r="E176" i="4"/>
  <c r="F176" i="4"/>
  <c r="E154" i="4"/>
  <c r="F154" i="4"/>
  <c r="F171" i="4"/>
  <c r="E171" i="4"/>
  <c r="E157" i="4"/>
  <c r="F157" i="4"/>
  <c r="E131" i="4"/>
  <c r="E124" i="4"/>
  <c r="E100" i="4"/>
  <c r="E146" i="4"/>
  <c r="E139" i="4"/>
  <c r="F138" i="4"/>
  <c r="E138" i="4"/>
  <c r="F147" i="4"/>
  <c r="E147" i="4"/>
  <c r="F141" i="4"/>
  <c r="E141" i="4"/>
  <c r="F146" i="4"/>
  <c r="E143" i="4"/>
  <c r="F143" i="4"/>
  <c r="F145" i="4"/>
  <c r="E145" i="4"/>
  <c r="F139" i="4"/>
  <c r="F142" i="4"/>
  <c r="E142" i="4"/>
  <c r="F144" i="4"/>
  <c r="E144" i="4"/>
  <c r="E140" i="4"/>
  <c r="F140" i="4"/>
  <c r="E115" i="4"/>
  <c r="E80" i="4"/>
  <c r="E110" i="4"/>
  <c r="F87" i="4"/>
  <c r="E87" i="4"/>
  <c r="E86" i="4"/>
  <c r="F86" i="4"/>
  <c r="E96" i="4"/>
  <c r="F96" i="4"/>
  <c r="F84" i="4"/>
  <c r="E84" i="4"/>
  <c r="F101" i="4"/>
  <c r="E101" i="4"/>
  <c r="F82" i="4"/>
  <c r="E82" i="4"/>
  <c r="E98" i="4"/>
  <c r="F98" i="4"/>
  <c r="E78" i="4"/>
  <c r="F78" i="4"/>
  <c r="F102" i="4"/>
  <c r="E102" i="4"/>
  <c r="E79" i="4"/>
  <c r="F79" i="4"/>
  <c r="F97" i="4"/>
  <c r="E97" i="4"/>
  <c r="F83" i="4"/>
  <c r="E83" i="4"/>
  <c r="F100" i="4"/>
  <c r="E85" i="4"/>
  <c r="F85" i="4"/>
  <c r="F80" i="4"/>
  <c r="F94" i="4"/>
  <c r="E94" i="4"/>
  <c r="E99" i="4"/>
  <c r="F99" i="4"/>
  <c r="F93" i="4"/>
  <c r="E93" i="4"/>
  <c r="F81" i="4"/>
  <c r="E81" i="4"/>
  <c r="E95" i="4"/>
  <c r="F95" i="4"/>
  <c r="E114" i="4"/>
  <c r="F114" i="4"/>
  <c r="E125" i="4"/>
  <c r="F125" i="4"/>
  <c r="F110" i="4"/>
  <c r="E109" i="4"/>
  <c r="F109" i="4"/>
  <c r="E112" i="4"/>
  <c r="F112" i="4"/>
  <c r="F108" i="4"/>
  <c r="E108" i="4"/>
  <c r="F131" i="4"/>
  <c r="F129" i="4"/>
  <c r="E129" i="4"/>
  <c r="F128" i="4"/>
  <c r="E128" i="4"/>
  <c r="F113" i="4"/>
  <c r="E113" i="4"/>
  <c r="F132" i="4"/>
  <c r="E132" i="4"/>
  <c r="F130" i="4"/>
  <c r="E130" i="4"/>
  <c r="E117" i="4"/>
  <c r="F117" i="4"/>
  <c r="F115" i="4"/>
  <c r="F123" i="4"/>
  <c r="E123" i="4"/>
  <c r="E127" i="4"/>
  <c r="F127" i="4"/>
  <c r="F116" i="4"/>
  <c r="E116" i="4"/>
  <c r="F126" i="4"/>
  <c r="E126" i="4"/>
  <c r="F111" i="4"/>
  <c r="E111" i="4"/>
  <c r="F124" i="4"/>
  <c r="F72" i="4"/>
  <c r="E67" i="4"/>
  <c r="F67" i="4"/>
  <c r="E69" i="4"/>
  <c r="F69" i="4"/>
  <c r="E65" i="4"/>
  <c r="F65" i="4"/>
  <c r="F68" i="4"/>
  <c r="E70" i="4"/>
  <c r="F70" i="4"/>
  <c r="E71" i="4"/>
  <c r="F71" i="4"/>
  <c r="F64" i="4"/>
  <c r="E64" i="4"/>
  <c r="B66" i="4"/>
  <c r="B67" i="4" s="1"/>
  <c r="B68" i="4" s="1"/>
  <c r="B69" i="4" s="1"/>
  <c r="B70" i="4" s="1"/>
  <c r="B71" i="4" s="1"/>
  <c r="B72" i="4" s="1"/>
  <c r="K76" i="4"/>
  <c r="K106" i="4"/>
  <c r="K151" i="4"/>
  <c r="K91" i="4"/>
  <c r="K61" i="4"/>
  <c r="K136" i="4"/>
  <c r="K121" i="4"/>
  <c r="K166" i="4"/>
  <c r="K168" i="4" l="1"/>
  <c r="K153" i="4"/>
  <c r="K138" i="4"/>
  <c r="G8" i="2"/>
  <c r="D7" i="2"/>
  <c r="D8" i="2"/>
  <c r="E9" i="2"/>
  <c r="F8" i="2"/>
  <c r="E8" i="2"/>
  <c r="D9" i="2"/>
  <c r="G9" i="2"/>
  <c r="F7" i="2"/>
  <c r="E7" i="2"/>
  <c r="F9" i="2"/>
  <c r="G7" i="2"/>
  <c r="K152" i="4"/>
  <c r="K137" i="4"/>
  <c r="K167" i="4"/>
  <c r="K78" i="4" l="1"/>
  <c r="D4" i="2"/>
  <c r="G5" i="2"/>
  <c r="D5" i="2"/>
  <c r="G4" i="2"/>
  <c r="D6" i="2"/>
  <c r="E3" i="2"/>
  <c r="F5" i="2"/>
  <c r="F6" i="2"/>
  <c r="G3" i="2"/>
  <c r="E6" i="2"/>
  <c r="F3" i="2"/>
  <c r="E5" i="2"/>
  <c r="G6" i="2"/>
  <c r="D3" i="2"/>
  <c r="F4" i="2"/>
  <c r="E4" i="2"/>
  <c r="K108" i="4"/>
  <c r="K63" i="4"/>
  <c r="K123" i="4"/>
  <c r="K93" i="4"/>
  <c r="K107" i="4"/>
  <c r="K62" i="4"/>
  <c r="K92" i="4"/>
  <c r="K77" i="4"/>
  <c r="K122" i="4"/>
  <c r="G2" i="2" l="1"/>
  <c r="D2" i="2"/>
  <c r="F2" i="2"/>
  <c r="E2" i="2"/>
  <c r="S65" i="4" l="1"/>
  <c r="R65" i="4"/>
  <c r="R66" i="4"/>
  <c r="S66" i="4"/>
  <c r="S70" i="4"/>
  <c r="S72" i="4"/>
  <c r="S69" i="4"/>
  <c r="R67" i="4"/>
  <c r="S68" i="4"/>
  <c r="R71" i="4"/>
  <c r="S73" i="4"/>
  <c r="S71" i="4" l="1"/>
  <c r="R72" i="4"/>
  <c r="R73" i="4"/>
  <c r="R68" i="4"/>
  <c r="R70" i="4"/>
  <c r="S67" i="4"/>
  <c r="R69" i="4"/>
  <c r="X62" i="4"/>
  <c r="G10" i="2" l="1"/>
  <c r="F10" i="2"/>
  <c r="E10" i="2"/>
  <c r="D10" i="2"/>
  <c r="X64" i="4"/>
  <c r="X6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X62" authorId="0" shapeId="0" xr:uid="{60F12FD0-5F95-4FF3-8303-FA69A574C172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X63" authorId="0" shapeId="0" xr:uid="{F16B8432-DAC7-448C-80B1-CE9908ED41DA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6EDF2EC9-FF55-4EA8-830D-215FB67C5089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FD6AC8B0-D8D8-45F3-A46E-B649A4B88BA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36" authorId="0" shapeId="0" xr:uid="{A5F10A6C-4073-4CF1-AE01-25921DEE5404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37" authorId="0" shapeId="0" xr:uid="{A4EC4447-756C-46D7-86AE-2DF3170B297E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51" authorId="0" shapeId="0" xr:uid="{48D0277B-F17E-461B-8DF3-9458C5E47719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52" authorId="0" shapeId="0" xr:uid="{90DA6CE9-7639-4B4D-BABE-5016CCD6DC75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66" authorId="0" shapeId="0" xr:uid="{DC3EB991-15DE-455E-9E65-E8CFDF369F7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67" authorId="0" shapeId="0" xr:uid="{657CF098-F544-4702-8540-188E6DDB88CE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<sst xmlns="http://schemas.openxmlformats.org/spreadsheetml/2006/main" count="436" uniqueCount="256">
  <si>
    <t>Reference</t>
    <phoneticPr fontId="8" type="noConversion"/>
  </si>
  <si>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</si>
  <si>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</si>
  <si>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</si>
  <si>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</si>
  <si>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</si>
  <si>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</si>
  <si>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</si>
  <si>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</si>
  <si>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</si>
  <si>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</si>
  <si>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</si>
  <si>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</si>
  <si>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</si>
  <si>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</si>
  <si>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</si>
  <si>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</si>
  <si>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</si>
  <si>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</si>
  <si>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</si>
  <si>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</si>
  <si>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</si>
  <si>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</si>
  <si>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</si>
  <si>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</si>
  <si>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</si>
  <si>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</si>
  <si>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</si>
  <si>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</si>
  <si>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</si>
  <si>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</si>
  <si>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</si>
  <si>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</si>
  <si>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</si>
  <si>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</si>
  <si>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</si>
  <si>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</si>
  <si>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</si>
  <si>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</si>
  <si>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</si>
  <si>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</si>
  <si>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</si>
  <si>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</si>
  <si>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</si>
  <si>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</si>
  <si>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</si>
  <si>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</si>
  <si>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</si>
  <si>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</si>
  <si>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</si>
  <si>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</si>
  <si>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10 points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</si>
  <si>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</si>
  <si>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</si>
  <si>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</si>
  <si>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</si>
  <si>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</si>
  <si>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</si>
  <si>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</si>
  <si>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</si>
  <si>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</si>
  <si>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</si>
  <si>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</si>
  <si>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</si>
  <si>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</si>
  <si>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</si>
  <si>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</si>
  <si>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</si>
  <si>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</si>
  <si>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Samples Receive Date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</si>
  <si>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</si>
  <si>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</si>
  <si>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</si>
  <si>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</si>
  <si>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</si>
  <si>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</si>
  <si>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Qiang Xia</t>
    <phoneticPr fontId="51" type="noConversion"/>
  </si>
  <si>
    <t>Centrifuge</t>
  </si>
  <si>
    <t>Microplate Reader</t>
  </si>
  <si>
    <t>Work Conc.</t>
    <phoneticPr fontId="5" type="noConversion"/>
  </si>
  <si>
    <t>Compounds ID</t>
    <phoneticPr fontId="5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</si>
  <si>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</si>
  <si>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</si>
  <si>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</si>
  <si>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</si>
  <si>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</si>
  <si>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</si>
  <si>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</si>
  <si>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</si>
  <si>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</si>
  <si>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</si>
  <si>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</si>
  <si>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</si>
  <si>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</si>
  <si>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</si>
  <si>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Assay date</t>
    <phoneticPr fontId="8" type="noConversion"/>
  </si>
  <si>
    <t>384-well plate</t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</si>
  <si>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</si>
  <si>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</si>
  <si>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</si>
  <si>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</si>
  <si>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</si>
  <si>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</si>
  <si>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</si>
  <si>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</si>
  <si>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</si>
  <si>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</si>
  <si>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</si>
  <si>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</si>
  <si>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</si>
  <si>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</si>
  <si>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</si>
  <si>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</si>
  <si>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</si>
  <si>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</si>
  <si>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</si>
  <si>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</si>
  <si>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</si>
  <si>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SOP-BA-1240</t>
    <phoneticPr fontId="3" type="noConversion"/>
  </si>
  <si>
    <t xml:space="preserve"> capture DNA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</si>
  <si>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</si>
  <si>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</si>
  <si>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</si>
  <si>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</si>
  <si>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</si>
  <si>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</si>
  <si>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</si>
  <si>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</si>
  <si>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</si>
  <si>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</si>
  <si>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</si>
  <si>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</si>
  <si>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</si>
  <si>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</si>
  <si>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</si>
  <si>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</si>
  <si>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</si>
  <si>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</si>
  <si>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Add 60 μL compounds to 384-well dilution plate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</si>
  <si>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</si>
  <si>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</si>
  <si>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</si>
  <si>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</si>
  <si>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</si>
  <si>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</si>
  <si>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</si>
  <si>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</si>
  <si>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</si>
  <si>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</si>
  <si>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High Control</t>
    <phoneticPr fontId="3" type="noConversion"/>
  </si>
  <si>
    <t>ICE Bioscience InC.</t>
    <phoneticPr fontId="51" type="noConversion"/>
  </si>
  <si>
    <t>Cmpd-4</t>
  </si>
  <si>
    <t>湖北生物医药产业技术研究院有限公司</t>
    <phoneticPr fontId="3" type="noConversion"/>
  </si>
  <si>
    <r>
      <t>All test compounds are provided by</t>
    </r>
    <r>
      <rPr>
        <sz val="12"/>
        <color theme="1"/>
        <rFont val="微软雅黑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</si>
  <si>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t>HW350003A</t>
  </si>
  <si>
    <t>ICE-WDU-114</t>
    <phoneticPr fontId="5" type="noConversion"/>
  </si>
  <si>
    <t>ICE-WDU-113</t>
    <phoneticPr fontId="5" type="noConversion"/>
  </si>
  <si>
    <t>HW356009-P1</t>
  </si>
  <si>
    <t>Cmpd-5</t>
  </si>
  <si>
    <r>
      <t>Percent inhibition(% inh) for compound well = 100*(ave Raw data</t>
    </r>
    <r>
      <rPr>
        <vertAlign val="subscript"/>
        <sz val="11"/>
        <rFont val="Times New Roman"/>
        <family val="1"/>
      </rPr>
      <t>High control</t>
    </r>
    <r>
      <rPr>
        <sz val="12"/>
        <rFont val="Times New Roman"/>
        <family val="1"/>
      </rPr>
      <t xml:space="preserve"> - Raw data</t>
    </r>
    <r>
      <rPr>
        <vertAlign val="subscript"/>
        <sz val="12"/>
        <rFont val="Times New Roman"/>
        <family val="1"/>
      </rPr>
      <t>cpd well</t>
    </r>
    <r>
      <rPr>
        <sz val="12"/>
        <rFont val="Times New Roman"/>
        <family val="1"/>
      </rPr>
      <t>)/(ave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 xml:space="preserve"> - 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</si>
  <si>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r>
      <t>S/B =ave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 xml:space="preserve">, </t>
    </r>
    <phoneticPr fontId="5" type="noConversion"/>
  </si>
  <si>
    <r>
      <t>CV%(Low control)=100* (SD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</si>
  <si>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r>
      <t>CV%(High control)=100*( SD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)</t>
    </r>
    <phoneticPr fontId="5" type="noConversion"/>
  </si>
  <si>
    <r>
      <t>Z’=1-3*(SD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+ SD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)/(ave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- 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</si>
  <si>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t>Comment</t>
    <phoneticPr fontId="8" type="noConversion"/>
  </si>
  <si>
    <t>Compound state</t>
  </si>
  <si>
    <t>clear</t>
  </si>
  <si>
    <t>Xuewei Wang</t>
    <phoneticPr fontId="3" type="noConversion"/>
  </si>
  <si>
    <t>Dilute compounds 1:3 in succession in DMSO for each column for 10 pts (refer to dilution plate map)</t>
    <phoneticPr fontId="5" type="noConversion"/>
  </si>
  <si>
    <t>Assay robustness check with Low control and High control data:</t>
    <phoneticPr fontId="5" type="noConversion"/>
  </si>
  <si>
    <t>WRN(517-1238) FI assay_ATP preincubation</t>
    <phoneticPr fontId="3" type="noConversion"/>
  </si>
  <si>
    <t>RFP-2025032402</t>
    <phoneticPr fontId="3" type="noConversion"/>
  </si>
  <si>
    <t>Jingxue Shi</t>
    <phoneticPr fontId="3" type="noConversion"/>
  </si>
  <si>
    <t>2024/3/25</t>
    <phoneticPr fontId="3" type="noConversion"/>
  </si>
  <si>
    <r>
      <rPr>
        <sz val="9"/>
        <color theme="1" tint="0.34998626667073579"/>
        <rFont val="楷体"/>
        <family val="3"/>
        <charset val="134"/>
      </rPr>
      <t>北京爱思益普生物科技股份有限公司</t>
    </r>
    <r>
      <rPr>
        <sz val="9"/>
        <color theme="1" tint="0.34998626667073579"/>
        <rFont val="Times New Roman"/>
        <family val="1"/>
      </rPr>
      <t xml:space="preserve">                             
ICE Bioscience Inc.                                                                                                                                                                                                                                                                                                           NRF001V1.0</t>
    </r>
  </si>
  <si>
    <r>
      <rPr>
        <b/>
        <sz val="12"/>
        <color theme="1"/>
        <rFont val="宋体"/>
        <family val="3"/>
        <charset val="134"/>
      </rPr>
      <t>化合物信息单</t>
    </r>
    <r>
      <rPr>
        <b/>
        <sz val="12"/>
        <color theme="1"/>
        <rFont val="Times New Roman"/>
        <family val="1"/>
      </rPr>
      <t xml:space="preserve">
Compound Information Sheet</t>
    </r>
  </si>
  <si>
    <r>
      <rPr>
        <b/>
        <sz val="11"/>
        <color theme="1"/>
        <rFont val="宋体"/>
        <family val="3"/>
        <charset val="134"/>
      </rPr>
      <t>专题编号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 xml:space="preserve">        Study No.</t>
    </r>
    <r>
      <rPr>
        <b/>
        <sz val="11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</si>
  <si>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委托方</t>
    </r>
    <r>
      <rPr>
        <b/>
        <sz val="11"/>
        <color theme="1"/>
        <rFont val="Times New Roman"/>
        <family val="1"/>
      </rPr>
      <t xml:space="preserve">         </t>
    </r>
    <r>
      <rPr>
        <b/>
        <sz val="11"/>
        <color theme="1"/>
        <rFont val="宋体"/>
        <family val="3"/>
        <charset val="134"/>
      </rPr>
      <t>S</t>
    </r>
    <r>
      <rPr>
        <b/>
        <sz val="11"/>
        <color theme="1"/>
        <rFont val="Times New Roman"/>
        <family val="1"/>
      </rPr>
      <t>ponsor</t>
    </r>
    <r>
      <rPr>
        <b/>
        <sz val="11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</si>
  <si>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是否申报</t>
    </r>
    <r>
      <rPr>
        <b/>
        <sz val="11"/>
        <color theme="1"/>
        <rFont val="Times New Roman"/>
        <family val="1"/>
      </rPr>
      <t xml:space="preserve">   Application or not</t>
    </r>
    <r>
      <rPr>
        <b/>
        <sz val="11"/>
        <color rgb="FFFF0000"/>
        <rFont val="Times New Roman"/>
        <family val="1"/>
      </rPr>
      <t>*</t>
    </r>
  </si>
  <si>
    <t>否</t>
  </si>
  <si>
    <r>
      <rPr>
        <b/>
        <sz val="11"/>
        <color theme="1"/>
        <rFont val="宋体"/>
        <family val="3"/>
        <charset val="134"/>
      </rPr>
      <t>名称</t>
    </r>
    <r>
      <rPr>
        <b/>
        <sz val="11"/>
        <color theme="1"/>
        <rFont val="Times New Roman"/>
        <family val="1"/>
      </rPr>
      <t xml:space="preserve">        </t>
    </r>
    <r>
      <rPr>
        <b/>
        <sz val="9"/>
        <color theme="1"/>
        <rFont val="Times New Roman"/>
        <family val="1"/>
      </rPr>
      <t xml:space="preserve">         </t>
    </r>
    <r>
      <rPr>
        <b/>
        <sz val="9"/>
        <color theme="1"/>
        <rFont val="宋体"/>
        <family val="3"/>
        <charset val="134"/>
      </rPr>
      <t>N</t>
    </r>
    <r>
      <rPr>
        <b/>
        <sz val="9"/>
        <color theme="1"/>
        <rFont val="Times New Roman"/>
        <family val="1"/>
      </rPr>
      <t>ame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</si>
  <si>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质量</t>
    </r>
    <r>
      <rPr>
        <b/>
        <sz val="9"/>
        <color theme="1"/>
        <rFont val="Times New Roman"/>
        <family val="1"/>
      </rPr>
      <t>(mg)</t>
    </r>
    <r>
      <rPr>
        <b/>
        <sz val="11"/>
        <color theme="1"/>
        <rFont val="Times New Roman"/>
        <family val="1"/>
      </rPr>
      <t xml:space="preserve">/    </t>
    </r>
    <r>
      <rPr>
        <b/>
        <sz val="11"/>
        <color theme="1"/>
        <rFont val="宋体"/>
        <family val="3"/>
        <charset val="134"/>
      </rPr>
      <t>体积</t>
    </r>
    <r>
      <rPr>
        <b/>
        <sz val="9"/>
        <color theme="1"/>
        <rFont val="Times New Roman"/>
        <family val="1"/>
      </rPr>
      <t>(µL)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</si>
  <si>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分子量</t>
    </r>
    <r>
      <rPr>
        <b/>
        <sz val="9"/>
        <color theme="1"/>
        <rFont val="Times New Roman"/>
        <family val="1"/>
      </rPr>
      <t>MW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</si>
  <si>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纯度</t>
    </r>
    <r>
      <rPr>
        <b/>
        <sz val="11"/>
        <color theme="1"/>
        <rFont val="Times New Roman"/>
        <family val="1"/>
      </rPr>
      <t xml:space="preserve">   </t>
    </r>
    <r>
      <rPr>
        <b/>
        <sz val="9"/>
        <color theme="1"/>
        <rFont val="Times New Roman"/>
        <family val="1"/>
      </rPr>
      <t>Purity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</si>
  <si>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批号</t>
    </r>
    <r>
      <rPr>
        <b/>
        <sz val="11"/>
        <color theme="1"/>
        <rFont val="Times New Roman"/>
        <family val="1"/>
      </rPr>
      <t xml:space="preserve">        </t>
    </r>
    <r>
      <rPr>
        <b/>
        <sz val="9"/>
        <color theme="1"/>
        <rFont val="Times New Roman"/>
        <family val="1"/>
      </rPr>
      <t>Batch No.</t>
    </r>
  </si>
  <si>
    <r>
      <rPr>
        <b/>
        <sz val="11"/>
        <color theme="1"/>
        <rFont val="宋体"/>
        <family val="3"/>
        <charset val="134"/>
      </rPr>
      <t xml:space="preserve">溶媒
</t>
    </r>
    <r>
      <rPr>
        <b/>
        <sz val="9"/>
        <color theme="1"/>
        <rFont val="Times New Roman"/>
        <family val="1"/>
      </rPr>
      <t>Solvent</t>
    </r>
  </si>
  <si>
    <r>
      <rPr>
        <b/>
        <sz val="11"/>
        <color theme="1"/>
        <rFont val="宋体"/>
        <family val="3"/>
        <charset val="134"/>
      </rPr>
      <t>保存条件</t>
    </r>
    <r>
      <rPr>
        <b/>
        <sz val="9"/>
        <color theme="1"/>
        <rFont val="Times New Roman"/>
        <family val="1"/>
      </rPr>
      <t>Storage Condition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</si>
  <si>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样品性状</t>
    </r>
    <r>
      <rPr>
        <b/>
        <sz val="9"/>
        <color theme="1"/>
        <rFont val="Times New Roman"/>
        <family val="1"/>
      </rPr>
      <t>Characters</t>
    </r>
  </si>
  <si>
    <r>
      <rPr>
        <b/>
        <sz val="11"/>
        <color theme="1"/>
        <rFont val="宋体"/>
        <family val="3"/>
        <charset val="134"/>
      </rPr>
      <t>样品性质</t>
    </r>
    <r>
      <rPr>
        <b/>
        <sz val="9"/>
        <color theme="1"/>
        <rFont val="Times New Roman"/>
        <family val="1"/>
      </rPr>
      <t>Compound Property</t>
    </r>
  </si>
  <si>
    <r>
      <rPr>
        <b/>
        <sz val="11"/>
        <color theme="1"/>
        <rFont val="宋体"/>
        <family val="3"/>
        <charset val="134"/>
      </rPr>
      <t>有效期</t>
    </r>
    <r>
      <rPr>
        <b/>
        <sz val="11"/>
        <color theme="1"/>
        <rFont val="Times New Roman"/>
        <family val="1"/>
      </rPr>
      <t xml:space="preserve">    </t>
    </r>
    <r>
      <rPr>
        <b/>
        <sz val="9"/>
        <color theme="1"/>
        <rFont val="Times New Roman"/>
        <family val="1"/>
      </rPr>
      <t>Exp. Date</t>
    </r>
  </si>
  <si>
    <r>
      <rPr>
        <b/>
        <sz val="11"/>
        <color theme="1"/>
        <rFont val="宋体"/>
        <family val="3"/>
        <charset val="134"/>
      </rPr>
      <t>检测靶点</t>
    </r>
    <r>
      <rPr>
        <b/>
        <sz val="11"/>
        <color theme="1"/>
        <rFont val="Times New Roman"/>
        <family val="1"/>
      </rPr>
      <t xml:space="preserve">  </t>
    </r>
    <r>
      <rPr>
        <b/>
        <sz val="9"/>
        <color theme="1"/>
        <rFont val="Times New Roman"/>
        <family val="1"/>
      </rPr>
      <t>Test Targets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</si>
  <si>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重复例数</t>
    </r>
    <r>
      <rPr>
        <b/>
        <sz val="8"/>
        <color theme="1"/>
        <rFont val="Times New Roman"/>
        <family val="1"/>
      </rPr>
      <t>Test Repetition</t>
    </r>
    <r>
      <rPr>
        <b/>
        <sz val="8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</si>
  <si>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检测浓度</t>
    </r>
    <r>
      <rPr>
        <b/>
        <sz val="11"/>
        <color theme="1"/>
        <rFont val="Times New Roman"/>
        <family val="1"/>
      </rPr>
      <t xml:space="preserve">     </t>
    </r>
    <r>
      <rPr>
        <b/>
        <sz val="9"/>
        <color theme="1"/>
        <rFont val="Times New Roman"/>
        <family val="1"/>
      </rPr>
      <t>Test Concentration</t>
    </r>
    <r>
      <rPr>
        <b/>
        <sz val="9"/>
        <color rgb="FFFF0000"/>
        <rFont val="Times New Roman"/>
        <family val="1"/>
      </rPr>
      <t>*</t>
    </r>
  </si>
  <si>
    <r>
      <rPr>
        <b/>
        <sz val="11"/>
        <color theme="1"/>
        <rFont val="宋体"/>
        <family val="3"/>
        <charset val="134"/>
      </rPr>
      <t>备注</t>
    </r>
    <r>
      <rPr>
        <b/>
        <sz val="11"/>
        <color theme="1"/>
        <rFont val="Times New Roman"/>
        <family val="1"/>
      </rPr>
      <t xml:space="preserve">  </t>
    </r>
    <r>
      <rPr>
        <b/>
        <sz val="9"/>
        <color theme="1"/>
        <rFont val="Times New Roman"/>
        <family val="1"/>
      </rPr>
      <t>Comment</t>
    </r>
  </si>
  <si>
    <r>
      <rPr>
        <b/>
        <sz val="11"/>
        <color theme="1"/>
        <rFont val="宋体"/>
        <family val="3"/>
        <charset val="134"/>
      </rPr>
      <t>储液浓度</t>
    </r>
    <r>
      <rPr>
        <b/>
        <sz val="9"/>
        <color theme="1"/>
        <rFont val="Times New Roman"/>
        <family val="1"/>
      </rPr>
      <t xml:space="preserve"> Storage Concentration</t>
    </r>
  </si>
  <si>
    <t>HW356057</t>
  </si>
  <si>
    <t>2.36</t>
  </si>
  <si>
    <t>HWH817-LHX-35-143</t>
  </si>
  <si>
    <t>HW356054</t>
  </si>
  <si>
    <t>2.58</t>
  </si>
  <si>
    <t>HWH817-XQ-35-6054</t>
  </si>
  <si>
    <t>HW356060</t>
  </si>
  <si>
    <t>2.65</t>
  </si>
  <si>
    <t>HWH817-YBC-035-4-38-1</t>
  </si>
  <si>
    <t>HW356064</t>
  </si>
  <si>
    <t>2.41</t>
  </si>
  <si>
    <t>HWH817-XQ-35-6064</t>
  </si>
  <si>
    <t>HW356071</t>
  </si>
  <si>
    <t>2.61</t>
  </si>
  <si>
    <t>HWH817-LHX-35-0311</t>
  </si>
  <si>
    <t>2.43</t>
  </si>
  <si>
    <t>HWH817-YBC-035-4-54-2</t>
  </si>
  <si>
    <t>HW356016</t>
  </si>
  <si>
    <t>2.22</t>
  </si>
  <si>
    <t>HWH817-XQ-35-6016</t>
  </si>
  <si>
    <t>HW356070</t>
  </si>
  <si>
    <t>2.62</t>
  </si>
  <si>
    <t>HWH817-LHX-35-0310</t>
  </si>
  <si>
    <t xml:space="preserve">接受人/日期
Recipient/Date </t>
  </si>
  <si>
    <t xml:space="preserve">检查人/日期
Checker/Date </t>
  </si>
  <si>
    <r>
      <rPr>
        <b/>
        <sz val="10"/>
        <color rgb="FFFF0000"/>
        <rFont val="宋体"/>
        <family val="3"/>
        <charset val="134"/>
      </rPr>
      <t xml:space="preserve">注：
</t>
    </r>
    <r>
      <rPr>
        <sz val="10"/>
        <color theme="1"/>
        <rFont val="Times New Roman"/>
        <family val="1"/>
      </rPr>
      <t>1.</t>
    </r>
    <r>
      <rPr>
        <sz val="10"/>
        <color rgb="FFFF0000"/>
        <rFont val="Times New Roman"/>
        <family val="1"/>
      </rPr>
      <t>*</t>
    </r>
    <r>
      <rPr>
        <sz val="10"/>
        <color theme="1"/>
        <rFont val="宋体"/>
        <family val="3"/>
        <charset val="134"/>
      </rPr>
      <t>号为必填内容</t>
    </r>
    <r>
      <rPr>
        <sz val="10"/>
        <color theme="1"/>
        <rFont val="Times New Roman"/>
        <family val="1"/>
      </rPr>
      <t>/</t>
    </r>
    <r>
      <rPr>
        <sz val="10"/>
        <color rgb="FFFF0000"/>
        <rFont val="Times New Roman"/>
        <family val="1"/>
      </rPr>
      <t>*</t>
    </r>
    <r>
      <rPr>
        <sz val="10"/>
        <color theme="1"/>
        <rFont val="Times New Roman"/>
        <family val="1"/>
      </rPr>
      <t xml:space="preserve"> is required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溶媒默认</t>
    </r>
    <r>
      <rPr>
        <sz val="10"/>
        <color theme="1"/>
        <rFont val="Times New Roman"/>
        <family val="1"/>
      </rPr>
      <t>DMSO/The solvent defaults to DMSO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3.</t>
    </r>
    <r>
      <rPr>
        <sz val="10"/>
        <color theme="1"/>
        <rFont val="宋体"/>
        <family val="3"/>
        <charset val="134"/>
      </rPr>
      <t>保存条件默认粉末类</t>
    </r>
    <r>
      <rPr>
        <sz val="10"/>
        <color theme="1"/>
        <rFont val="Times New Roman"/>
        <family val="1"/>
      </rPr>
      <t>2~8</t>
    </r>
    <r>
      <rPr>
        <sz val="10"/>
        <color theme="1"/>
        <rFont val="Segoe UI Symbol"/>
        <family val="2"/>
      </rPr>
      <t>℃</t>
    </r>
    <r>
      <rPr>
        <sz val="10"/>
        <color theme="1"/>
        <rFont val="宋体"/>
        <family val="3"/>
        <charset val="134"/>
      </rPr>
      <t>，溶液类</t>
    </r>
    <r>
      <rPr>
        <sz val="10"/>
        <color theme="1"/>
        <rFont val="Times New Roman"/>
        <family val="1"/>
      </rPr>
      <t>-25~-15</t>
    </r>
    <r>
      <rPr>
        <sz val="10"/>
        <color theme="1"/>
        <rFont val="Segoe UI Symbol"/>
        <family val="2"/>
      </rPr>
      <t>℃</t>
    </r>
    <r>
      <rPr>
        <sz val="10"/>
        <color theme="1"/>
        <rFont val="宋体"/>
        <family val="3"/>
        <charset val="134"/>
      </rPr>
      <t>存储</t>
    </r>
    <r>
      <rPr>
        <sz val="10"/>
        <color theme="1"/>
        <rFont val="Times New Roman"/>
        <family val="1"/>
      </rPr>
      <t>/The storage condition defaults to 2~8</t>
    </r>
    <r>
      <rPr>
        <sz val="10"/>
        <color theme="1"/>
        <rFont val="Segoe UI Symbol"/>
        <family val="2"/>
      </rPr>
      <t>℃</t>
    </r>
    <r>
      <rPr>
        <sz val="10"/>
        <color theme="1"/>
        <rFont val="Times New Roman"/>
        <family val="1"/>
      </rPr>
      <t xml:space="preserve"> for powder and -25~-15</t>
    </r>
    <r>
      <rPr>
        <sz val="10"/>
        <color theme="1"/>
        <rFont val="Segoe UI Symbol"/>
        <family val="2"/>
      </rPr>
      <t>℃</t>
    </r>
    <r>
      <rPr>
        <sz val="10"/>
        <color theme="1"/>
        <rFont val="Times New Roman"/>
        <family val="1"/>
      </rPr>
      <t xml:space="preserve"> for solution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 xml:space="preserve">
4.</t>
    </r>
    <r>
      <rPr>
        <sz val="10"/>
        <color theme="1"/>
        <rFont val="宋体"/>
        <family val="3"/>
        <charset val="134"/>
      </rPr>
      <t>样品性质请填写：小分子、肽类、蛋白类、大分子、混合物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提取物或其他类型，如不填，默认小分子</t>
    </r>
    <r>
      <rPr>
        <sz val="10"/>
        <color theme="1"/>
        <rFont val="Times New Roman"/>
        <family val="1"/>
      </rPr>
      <t>Sample Property: small molecule, peptide, protein, macromolecule, mixture/extract or other type. If don't fill in, it will be small molecule by default.</t>
    </r>
    <phoneticPr fontId="3" type="noConversion"/>
  </si>
  <si>
    <r>
      <rPr>
        <b/>
        <sz val="11"/>
        <color theme="1"/>
        <rFont val="宋体"/>
        <family val="3"/>
        <charset val="134"/>
      </rPr>
      <t>溶剂使用量</t>
    </r>
    <r>
      <rPr>
        <b/>
        <sz val="9"/>
        <color theme="1"/>
        <rFont val="Times New Roman"/>
        <family val="1"/>
      </rPr>
      <t>Solvent                   μL</t>
    </r>
    <phoneticPr fontId="3" type="noConversion"/>
  </si>
  <si>
    <t xml:space="preserve">  </t>
    <phoneticPr fontId="3" type="noConversion"/>
  </si>
  <si>
    <t>20 mM</t>
    <phoneticPr fontId="3" type="noConversion"/>
  </si>
  <si>
    <r>
      <t>Data exported from BMG as an Excel file is uploaded into D:\B01Y202202-115\IBC\E3\WXW\</t>
    </r>
    <r>
      <rPr>
        <sz val="12"/>
        <color theme="1"/>
        <rFont val="宋体"/>
        <family val="1"/>
        <charset val="134"/>
      </rPr>
      <t>湖北生物</t>
    </r>
    <r>
      <rPr>
        <sz val="12"/>
        <color theme="1"/>
        <rFont val="Times New Roman"/>
        <family val="1"/>
      </rPr>
      <t>\WRN\20250325\RFP-2025032402</t>
    </r>
    <phoneticPr fontId="51" type="noConversion"/>
  </si>
  <si>
    <t>Cmpd-6</t>
  </si>
  <si>
    <t>Cmpd-7</t>
    <phoneticPr fontId="3" type="noConversion"/>
  </si>
  <si>
    <t>Cmpd-8</t>
    <phoneticPr fontId="3" type="noConversion"/>
  </si>
  <si>
    <t>AVE</t>
    <phoneticPr fontId="3" type="noConversion"/>
  </si>
  <si>
    <t>User: Enzyme-LT</t>
  </si>
  <si>
    <t>Path: C:\Program Files (x86)\BMG\CLARIOstar\Enzyme-LT\Data</t>
  </si>
  <si>
    <t>Test ID: 11395</t>
  </si>
  <si>
    <t>Test Name: wrn fi</t>
  </si>
  <si>
    <t>Date: 2025/3/25</t>
  </si>
  <si>
    <t>Time: 15:57:15</t>
  </si>
  <si>
    <t>Fluorescence (FI)</t>
  </si>
  <si>
    <t>Raw Data (620-15/685-20)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</si>
  <si>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</si>
  <si>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</si>
  <si>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</si>
  <si>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</si>
  <si>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</si>
  <si>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</si>
  <si>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</si>
  <si>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</si>
  <si>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</si>
  <si>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</si>
  <si>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</si>
  <si>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</si>
  <si>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</si>
  <si>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</si>
  <si>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</si>
  <si>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</si>
  <si>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  <phoneticPr fontId="5" type="noConversion"/>
  </si>
  <si>
    <t>Ref</t>
    <phoneticPr fontId="3" type="noConversion"/>
  </si>
  <si>
    <t>Top fixed to 100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</si>
</sst>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  <numFmt numFmtId="182" formatCode="0.00_);[Red]\(0.00\)"/>
    <numFmt numFmtId="183" formatCode="0.00000_ "/>
    <numFmt numFmtId="184" formatCode="0.0%"/>
  </numFmts>
  <fonts count="11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b/>
      <sz val="12"/>
      <color theme="1"/>
      <name val="宋体"/>
      <family val="3"/>
      <charset val="134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sz val="9"/>
      <color theme="1"/>
      <name val="宋体"/>
      <family val="3"/>
      <charset val="134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3"/>
    </font>
    <font>
      <sz val="12"/>
      <color theme="1"/>
      <name val="微软雅黑"/>
      <family val="3"/>
      <charset val="134"/>
    </font>
    <font>
      <sz val="12"/>
      <color theme="1"/>
      <name val="宋体"/>
      <family val="1"/>
      <charset val="134"/>
    </font>
    <font>
      <vertAlign val="subscript"/>
      <sz val="11"/>
      <name val="Times New Roman"/>
      <family val="1"/>
    </font>
    <font>
      <sz val="9"/>
      <color theme="1" tint="0.34998626667073579"/>
      <name val="Times New Roman"/>
      <family val="1"/>
    </font>
    <font>
      <sz val="9"/>
      <color theme="1" tint="0.34998626667073579"/>
      <name val="楷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8"/>
      <color rgb="FFFF0000"/>
      <name val="Times New Roman"/>
      <family val="1"/>
    </font>
    <font>
      <sz val="11"/>
      <color theme="1"/>
      <name val="微软雅黑"/>
      <family val="2"/>
      <charset val="134"/>
    </font>
    <font>
      <sz val="11"/>
      <color rgb="FF000000"/>
      <name val="Times New Roman"/>
      <family val="1"/>
      <charset val="134"/>
    </font>
    <font>
      <sz val="11"/>
      <color rgb="FF000000"/>
      <name val="Times New Roman"/>
      <family val="1"/>
    </font>
    <font>
      <sz val="10"/>
      <color theme="1"/>
      <name val="Times New Roman"/>
      <family val="1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Segoe UI Symbol"/>
      <family val="2"/>
    </font>
    <font>
      <b/>
      <sz val="11"/>
      <color theme="1"/>
      <name val="Times New Roman"/>
      <family val="3"/>
      <charset val="134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181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5" fillId="37" borderId="0" xfId="0" applyFont="1" applyFill="1" applyAlignment="1">
      <alignment vertical="center"/>
    </xf>
    <xf numFmtId="0" fontId="86" fillId="39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" fontId="85" fillId="0" borderId="1" xfId="0" applyNumberFormat="1" applyFont="1" applyBorder="1" applyAlignment="1">
      <alignment horizontal="center" vertical="center"/>
    </xf>
    <xf numFmtId="0" fontId="85" fillId="40" borderId="1" xfId="0" applyFont="1" applyFill="1" applyBorder="1" applyAlignment="1">
      <alignment horizontal="center" vertical="center"/>
    </xf>
    <xf numFmtId="0" fontId="85" fillId="37" borderId="1" xfId="0" applyFont="1" applyFill="1" applyBorder="1" applyAlignment="1">
      <alignment horizontal="center" vertical="center"/>
    </xf>
    <xf numFmtId="1" fontId="85" fillId="37" borderId="1" xfId="0" applyNumberFormat="1" applyFont="1" applyFill="1" applyBorder="1" applyAlignment="1">
      <alignment horizontal="center" vertical="center"/>
    </xf>
    <xf numFmtId="1" fontId="85" fillId="37" borderId="0" xfId="0" applyNumberFormat="1" applyFont="1" applyFill="1" applyAlignment="1">
      <alignment horizontal="center" vertical="center"/>
    </xf>
    <xf numFmtId="0" fontId="85" fillId="37" borderId="0" xfId="0" applyFont="1" applyFill="1" applyAlignment="1">
      <alignment horizontal="center" vertical="center"/>
    </xf>
    <xf numFmtId="0" fontId="87" fillId="37" borderId="0" xfId="0" applyFont="1" applyFill="1"/>
    <xf numFmtId="1" fontId="85" fillId="43" borderId="1" xfId="0" applyNumberFormat="1" applyFont="1" applyFill="1" applyBorder="1" applyAlignment="1">
      <alignment horizontal="center" vertical="center"/>
    </xf>
    <xf numFmtId="177" fontId="85" fillId="43" borderId="1" xfId="0" applyNumberFormat="1" applyFont="1" applyFill="1" applyBorder="1" applyAlignment="1">
      <alignment horizontal="center" vertical="center"/>
    </xf>
    <xf numFmtId="9" fontId="85" fillId="37" borderId="1" xfId="35895" applyFont="1" applyFill="1" applyBorder="1" applyAlignment="1">
      <alignment horizontal="center" vertical="center"/>
    </xf>
    <xf numFmtId="179" fontId="85" fillId="37" borderId="1" xfId="0" applyNumberFormat="1" applyFont="1" applyFill="1" applyBorder="1" applyAlignment="1">
      <alignment horizontal="center" vertical="center"/>
    </xf>
    <xf numFmtId="1" fontId="85" fillId="42" borderId="1" xfId="0" applyNumberFormat="1" applyFont="1" applyFill="1" applyBorder="1" applyAlignment="1">
      <alignment horizontal="center" vertical="center"/>
    </xf>
    <xf numFmtId="177" fontId="85" fillId="42" borderId="1" xfId="0" applyNumberFormat="1" applyFont="1" applyFill="1" applyBorder="1" applyAlignment="1">
      <alignment horizontal="center" vertical="center"/>
    </xf>
    <xf numFmtId="179" fontId="85" fillId="37" borderId="0" xfId="0" applyNumberFormat="1" applyFont="1" applyFill="1" applyAlignment="1">
      <alignment horizontal="center" vertical="center"/>
    </xf>
    <xf numFmtId="1" fontId="85" fillId="39" borderId="1" xfId="0" applyNumberFormat="1" applyFont="1" applyFill="1" applyBorder="1" applyAlignment="1">
      <alignment horizontal="center" vertical="center"/>
    </xf>
    <xf numFmtId="0" fontId="85" fillId="39" borderId="3" xfId="0" applyFont="1" applyFill="1" applyBorder="1" applyAlignment="1">
      <alignment vertical="center"/>
    </xf>
    <xf numFmtId="0" fontId="85" fillId="39" borderId="5" xfId="0" applyFont="1" applyFill="1" applyBorder="1" applyAlignment="1">
      <alignment vertical="center"/>
    </xf>
    <xf numFmtId="0" fontId="85" fillId="39" borderId="4" xfId="0" applyFont="1" applyFill="1" applyBorder="1" applyAlignment="1">
      <alignment vertical="center"/>
    </xf>
    <xf numFmtId="0" fontId="85" fillId="39" borderId="1" xfId="0" applyFont="1" applyFill="1" applyBorder="1" applyAlignment="1">
      <alignment horizontal="center" vertical="center"/>
    </xf>
    <xf numFmtId="0" fontId="85" fillId="39" borderId="2" xfId="0" applyFont="1" applyFill="1" applyBorder="1" applyAlignment="1">
      <alignment horizontal="center" vertical="center"/>
    </xf>
    <xf numFmtId="178" fontId="85" fillId="40" borderId="1" xfId="0" applyNumberFormat="1" applyFont="1" applyFill="1" applyBorder="1" applyAlignment="1">
      <alignment horizontal="center" vertical="center"/>
    </xf>
    <xf numFmtId="2" fontId="85" fillId="37" borderId="1" xfId="0" applyNumberFormat="1" applyFont="1" applyFill="1" applyBorder="1" applyAlignment="1">
      <alignment horizontal="center" vertical="center"/>
    </xf>
    <xf numFmtId="0" fontId="85" fillId="37" borderId="0" xfId="0" applyFont="1" applyFill="1"/>
    <xf numFmtId="178" fontId="85" fillId="37" borderId="0" xfId="0" applyNumberFormat="1" applyFont="1" applyFill="1" applyAlignment="1">
      <alignment horizontal="center" vertical="center"/>
    </xf>
    <xf numFmtId="0" fontId="85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5" fillId="41" borderId="1" xfId="0" applyNumberFormat="1" applyFont="1" applyFill="1" applyBorder="1" applyAlignment="1">
      <alignment horizontal="center" vertical="center"/>
    </xf>
    <xf numFmtId="181" fontId="85" fillId="37" borderId="1" xfId="0" applyNumberFormat="1" applyFont="1" applyFill="1" applyBorder="1" applyAlignment="1">
      <alignment horizontal="center" vertical="center"/>
    </xf>
    <xf numFmtId="181" fontId="85" fillId="37" borderId="22" xfId="0" applyNumberFormat="1" applyFont="1" applyFill="1" applyBorder="1" applyAlignment="1">
      <alignment horizontal="center" vertical="center"/>
    </xf>
    <xf numFmtId="0" fontId="85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90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91" fillId="62" borderId="5" xfId="0" applyFont="1" applyFill="1" applyBorder="1" applyAlignment="1">
      <alignment horizontal="center" vertical="center"/>
    </xf>
    <xf numFmtId="0" fontId="73" fillId="37" borderId="23" xfId="3" applyFont="1" applyFill="1" applyBorder="1" applyAlignment="1">
      <alignment horizontal="center" vertical="center"/>
    </xf>
    <xf numFmtId="0" fontId="54" fillId="0" borderId="23" xfId="5" applyFont="1" applyBorder="1" applyAlignment="1">
      <alignment horizontal="center" vertical="center" wrapText="1"/>
    </xf>
    <xf numFmtId="0" fontId="94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3" xfId="25" applyFont="1" applyFill="1" applyBorder="1" applyAlignment="1">
      <alignment horizontal="center" vertical="center" wrapText="1"/>
    </xf>
    <xf numFmtId="0" fontId="69" fillId="0" borderId="23" xfId="25" applyFont="1" applyBorder="1" applyAlignment="1">
      <alignment horizontal="center" vertical="center" wrapText="1"/>
    </xf>
    <xf numFmtId="0" fontId="74" fillId="0" borderId="24" xfId="3" applyFont="1" applyBorder="1" applyAlignment="1">
      <alignment horizontal="center" vertical="center"/>
    </xf>
    <xf numFmtId="0" fontId="54" fillId="0" borderId="24" xfId="4" applyFont="1" applyBorder="1" applyAlignment="1">
      <alignment horizontal="center" vertical="center"/>
    </xf>
    <xf numFmtId="0" fontId="54" fillId="0" borderId="24" xfId="4" applyFont="1" applyBorder="1" applyAlignment="1">
      <alignment horizontal="center" vertical="center" wrapText="1"/>
    </xf>
    <xf numFmtId="49" fontId="85" fillId="37" borderId="1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37" borderId="28" xfId="2" applyFill="1" applyBorder="1" applyAlignment="1" applyProtection="1">
      <alignment horizontal="center" vertical="center"/>
      <protection locked="0"/>
    </xf>
    <xf numFmtId="10" fontId="0" fillId="0" borderId="28" xfId="0" applyNumberForma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70" fillId="37" borderId="28" xfId="2" applyFont="1" applyFill="1" applyBorder="1" applyAlignment="1" applyProtection="1">
      <alignment horizontal="center" vertical="center"/>
      <protection locked="0"/>
    </xf>
    <xf numFmtId="1" fontId="75" fillId="0" borderId="28" xfId="4" applyNumberFormat="1" applyFont="1" applyBorder="1" applyAlignment="1">
      <alignment horizontal="center" vertical="center"/>
    </xf>
    <xf numFmtId="2" fontId="75" fillId="0" borderId="28" xfId="4" applyNumberFormat="1" applyFont="1" applyBorder="1" applyAlignment="1">
      <alignment horizontal="center" vertical="center"/>
    </xf>
    <xf numFmtId="181" fontId="75" fillId="0" borderId="28" xfId="4" applyNumberFormat="1" applyFont="1" applyBorder="1" applyAlignment="1">
      <alignment horizontal="center" vertical="center"/>
    </xf>
    <xf numFmtId="1" fontId="74" fillId="0" borderId="28" xfId="4" applyNumberFormat="1" applyFont="1" applyBorder="1" applyAlignment="1">
      <alignment horizontal="center" vertical="center"/>
    </xf>
    <xf numFmtId="181" fontId="69" fillId="0" borderId="28" xfId="4" applyNumberFormat="1" applyFont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181" fontId="74" fillId="0" borderId="28" xfId="4" applyNumberFormat="1" applyFont="1" applyBorder="1" applyAlignment="1">
      <alignment horizontal="center" vertical="center"/>
    </xf>
    <xf numFmtId="0" fontId="54" fillId="0" borderId="28" xfId="4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101" fillId="63" borderId="28" xfId="0" applyFont="1" applyFill="1" applyBorder="1" applyAlignment="1">
      <alignment horizontal="center" vertical="center" wrapText="1"/>
    </xf>
    <xf numFmtId="0" fontId="102" fillId="0" borderId="28" xfId="0" applyFont="1" applyBorder="1" applyAlignment="1">
      <alignment horizontal="center" vertical="center"/>
    </xf>
    <xf numFmtId="0" fontId="102" fillId="63" borderId="2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2" fontId="70" fillId="37" borderId="28" xfId="0" applyNumberFormat="1" applyFont="1" applyFill="1" applyBorder="1" applyAlignment="1">
      <alignment horizontal="center" vertical="center"/>
    </xf>
    <xf numFmtId="183" fontId="106" fillId="37" borderId="28" xfId="1575" applyNumberFormat="1" applyFont="1" applyFill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>
      <alignment horizontal="center" vertical="center" wrapText="1"/>
    </xf>
    <xf numFmtId="0" fontId="107" fillId="37" borderId="28" xfId="1575" applyFont="1" applyFill="1" applyBorder="1" applyAlignment="1" applyProtection="1">
      <alignment horizontal="center" vertical="center" wrapText="1"/>
      <protection locked="0"/>
    </xf>
    <xf numFmtId="0" fontId="70" fillId="37" borderId="28" xfId="0" applyFont="1" applyFill="1" applyBorder="1" applyAlignment="1">
      <alignment horizontal="center" vertical="center"/>
    </xf>
    <xf numFmtId="49" fontId="70" fillId="37" borderId="28" xfId="2" applyNumberFormat="1" applyFont="1" applyFill="1" applyBorder="1" applyAlignment="1" applyProtection="1">
      <alignment horizontal="center" vertical="center"/>
      <protection locked="0"/>
    </xf>
    <xf numFmtId="184" fontId="70" fillId="37" borderId="28" xfId="2" applyNumberFormat="1" applyFont="1" applyFill="1" applyBorder="1" applyAlignment="1" applyProtection="1">
      <alignment horizontal="center" vertical="center" wrapText="1"/>
      <protection locked="0"/>
    </xf>
    <xf numFmtId="0" fontId="108" fillId="64" borderId="28" xfId="0" applyFont="1" applyFill="1" applyBorder="1" applyAlignment="1">
      <alignment horizontal="center" vertical="center"/>
    </xf>
    <xf numFmtId="10" fontId="108" fillId="64" borderId="28" xfId="0" applyNumberFormat="1" applyFont="1" applyFill="1" applyBorder="1" applyAlignment="1">
      <alignment horizontal="center" vertical="center" wrapText="1"/>
    </xf>
    <xf numFmtId="0" fontId="114" fillId="63" borderId="28" xfId="0" applyFont="1" applyFill="1" applyBorder="1" applyAlignment="1">
      <alignment horizontal="center" vertical="center" wrapText="1"/>
    </xf>
    <xf numFmtId="1" fontId="0" fillId="0" borderId="28" xfId="0" applyNumberFormat="1" applyBorder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5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77" fillId="35" borderId="0" xfId="27" applyFont="1" applyFill="1" applyAlignment="1">
      <alignment horizontal="center" vertical="center"/>
    </xf>
    <xf numFmtId="49" fontId="75" fillId="0" borderId="26" xfId="4" applyNumberFormat="1" applyFont="1" applyBorder="1" applyAlignment="1">
      <alignment horizontal="center" vertical="center"/>
    </xf>
    <xf numFmtId="49" fontId="75" fillId="0" borderId="28" xfId="4" applyNumberFormat="1" applyFont="1" applyBorder="1" applyAlignment="1">
      <alignment horizontal="center" vertical="center"/>
    </xf>
    <xf numFmtId="2" fontId="75" fillId="0" borderId="27" xfId="4" applyNumberFormat="1" applyFont="1" applyBorder="1" applyAlignment="1">
      <alignment horizontal="center" vertical="center" wrapText="1"/>
    </xf>
    <xf numFmtId="2" fontId="75" fillId="0" borderId="29" xfId="4" applyNumberFormat="1" applyFont="1" applyBorder="1" applyAlignment="1">
      <alignment horizontal="center" vertical="center" wrapText="1"/>
    </xf>
    <xf numFmtId="2" fontId="75" fillId="37" borderId="25" xfId="4" applyNumberFormat="1" applyFont="1" applyFill="1" applyBorder="1" applyAlignment="1">
      <alignment horizontal="center" vertical="center"/>
    </xf>
    <xf numFmtId="2" fontId="75" fillId="37" borderId="30" xfId="4" applyNumberFormat="1" applyFont="1" applyFill="1" applyBorder="1" applyAlignment="1">
      <alignment horizontal="center" vertical="center"/>
    </xf>
    <xf numFmtId="2" fontId="75" fillId="0" borderId="26" xfId="4" applyNumberFormat="1" applyFont="1" applyBorder="1" applyAlignment="1">
      <alignment horizontal="center" vertical="center"/>
    </xf>
    <xf numFmtId="2" fontId="75" fillId="0" borderId="28" xfId="4" applyNumberFormat="1" applyFont="1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0" fontId="85" fillId="0" borderId="16" xfId="0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5" fillId="0" borderId="19" xfId="0" applyFont="1" applyBorder="1" applyAlignment="1">
      <alignment horizontal="center" vertical="center"/>
    </xf>
    <xf numFmtId="0" fontId="85" fillId="0" borderId="15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0" fontId="85" fillId="40" borderId="16" xfId="0" applyFont="1" applyFill="1" applyBorder="1" applyAlignment="1">
      <alignment horizontal="center" vertical="center"/>
    </xf>
    <xf numFmtId="0" fontId="85" fillId="40" borderId="17" xfId="0" applyFont="1" applyFill="1" applyBorder="1" applyAlignment="1">
      <alignment horizontal="center" vertical="center"/>
    </xf>
    <xf numFmtId="0" fontId="85" fillId="40" borderId="18" xfId="0" applyFont="1" applyFill="1" applyBorder="1" applyAlignment="1">
      <alignment horizontal="center" vertical="center"/>
    </xf>
    <xf numFmtId="0" fontId="85" fillId="40" borderId="19" xfId="0" applyFont="1" applyFill="1" applyBorder="1" applyAlignment="1">
      <alignment horizontal="center" vertical="center"/>
    </xf>
    <xf numFmtId="0" fontId="85" fillId="40" borderId="15" xfId="0" applyFont="1" applyFill="1" applyBorder="1" applyAlignment="1">
      <alignment horizontal="center" vertical="center"/>
    </xf>
    <xf numFmtId="0" fontId="85" fillId="40" borderId="20" xfId="0" applyFont="1" applyFill="1" applyBorder="1" applyAlignment="1">
      <alignment horizontal="center" vertical="center"/>
    </xf>
    <xf numFmtId="0" fontId="101" fillId="63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109" fillId="0" borderId="28" xfId="0" applyFont="1" applyBorder="1" applyAlignment="1">
      <alignment horizontal="left" vertical="center" wrapText="1"/>
    </xf>
    <xf numFmtId="0" fontId="84" fillId="0" borderId="28" xfId="0" applyFont="1" applyBorder="1" applyAlignment="1">
      <alignment horizontal="left" vertical="center" wrapText="1"/>
    </xf>
    <xf numFmtId="0" fontId="99" fillId="0" borderId="28" xfId="0" applyFont="1" applyBorder="1" applyAlignment="1">
      <alignment horizontal="center" vertical="center" wrapText="1"/>
    </xf>
    <xf numFmtId="0" fontId="81" fillId="0" borderId="28" xfId="0" applyFont="1" applyBorder="1" applyAlignment="1">
      <alignment horizontal="center" vertical="center" wrapText="1"/>
    </xf>
    <xf numFmtId="0" fontId="81" fillId="0" borderId="28" xfId="0" applyFont="1" applyBorder="1" applyAlignment="1">
      <alignment horizontal="center" vertical="center"/>
    </xf>
    <xf numFmtId="0" fontId="102" fillId="0" borderId="28" xfId="0" applyFont="1" applyBorder="1" applyAlignment="1">
      <alignment horizontal="center" vertical="center"/>
    </xf>
    <xf numFmtId="0" fontId="102" fillId="63" borderId="28" xfId="0" applyFont="1" applyFill="1" applyBorder="1" applyAlignment="1">
      <alignment horizontal="center" vertical="center" wrapText="1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61</xdr:row>
          <xdr:rowOff>0</xdr:rowOff>
        </xdr:from>
        <xdr:to>
          <xdr:col>24</xdr:col>
          <xdr:colOff>785813</xdr:colOff>
          <xdr:row>68</xdr:row>
          <xdr:rowOff>61913</xdr:rowOff>
        </xdr:to>
        <xdr:sp macro="" textlink="">
          <xdr:nvSpPr>
            <xdr:cNvPr id="11606" name="XLfitRepository" hidden="1">
              <a:extLst>
                <a:ext uri="{63B3BB69-23CF-44E3-9099-C40C66FF867C}">
                  <a14:compatExt spid="_x0000_s11606"/>
                </a:ext>
                <a:ext uri="{FF2B5EF4-FFF2-40B4-BE49-F238E27FC236}">
                  <a16:creationId xmlns:a16="http://schemas.microsoft.com/office/drawing/2014/main" id="{00000000-0008-0000-0300-00005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58</xdr:row>
          <xdr:rowOff>171450</xdr:rowOff>
        </xdr:from>
        <xdr:to>
          <xdr:col>13</xdr:col>
          <xdr:colOff>566738</xdr:colOff>
          <xdr:row>68</xdr:row>
          <xdr:rowOff>190500</xdr:rowOff>
        </xdr:to>
        <xdr:sp macro="" textlink="">
          <xdr:nvSpPr>
            <xdr:cNvPr id="11607" name="XLfitChart2D K62" hidden="1">
              <a:extLst>
                <a:ext uri="{63B3BB69-23CF-44E3-9099-C40C66FF867C}">
                  <a14:compatExt spid="_x0000_s11607"/>
                </a:ext>
                <a:ext uri="{FF2B5EF4-FFF2-40B4-BE49-F238E27FC236}">
                  <a16:creationId xmlns:a16="http://schemas.microsoft.com/office/drawing/2014/main" id="{00000000-0008-0000-0300-00005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7144</xdr:colOff>
          <xdr:row>60</xdr:row>
          <xdr:rowOff>147640</xdr:rowOff>
        </xdr:from>
        <xdr:to>
          <xdr:col>27</xdr:col>
          <xdr:colOff>445294</xdr:colOff>
          <xdr:row>70</xdr:row>
          <xdr:rowOff>166690</xdr:rowOff>
        </xdr:to>
        <xdr:sp macro="" textlink="">
          <xdr:nvSpPr>
            <xdr:cNvPr id="11608" name="XLfitChart2D X63" hidden="1">
              <a:extLst>
                <a:ext uri="{63B3BB69-23CF-44E3-9099-C40C66FF867C}">
                  <a14:compatExt spid="_x0000_s11608"/>
                </a:ext>
                <a:ext uri="{FF2B5EF4-FFF2-40B4-BE49-F238E27FC236}">
                  <a16:creationId xmlns:a16="http://schemas.microsoft.com/office/drawing/2014/main" id="{00000000-0008-0000-0300-00005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73</xdr:row>
          <xdr:rowOff>242888</xdr:rowOff>
        </xdr:from>
        <xdr:to>
          <xdr:col>13</xdr:col>
          <xdr:colOff>566738</xdr:colOff>
          <xdr:row>84</xdr:row>
          <xdr:rowOff>11908</xdr:rowOff>
        </xdr:to>
        <xdr:sp macro="" textlink="">
          <xdr:nvSpPr>
            <xdr:cNvPr id="11609" name="XLfitChart2D K77" hidden="1">
              <a:extLst>
                <a:ext uri="{63B3BB69-23CF-44E3-9099-C40C66FF867C}">
                  <a14:compatExt spid="_x0000_s11609"/>
                </a:ext>
                <a:ext uri="{FF2B5EF4-FFF2-40B4-BE49-F238E27FC236}">
                  <a16:creationId xmlns:a16="http://schemas.microsoft.com/office/drawing/2014/main" id="{00000000-0008-0000-0300-00005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54769</xdr:colOff>
          <xdr:row>88</xdr:row>
          <xdr:rowOff>219075</xdr:rowOff>
        </xdr:from>
        <xdr:to>
          <xdr:col>13</xdr:col>
          <xdr:colOff>602457</xdr:colOff>
          <xdr:row>98</xdr:row>
          <xdr:rowOff>238125</xdr:rowOff>
        </xdr:to>
        <xdr:sp macro="" textlink="">
          <xdr:nvSpPr>
            <xdr:cNvPr id="11610" name="XLfitChart2D K92" hidden="1">
              <a:extLst>
                <a:ext uri="{63B3BB69-23CF-44E3-9099-C40C66FF867C}">
                  <a14:compatExt spid="_x0000_s11610"/>
                </a:ext>
                <a:ext uri="{FF2B5EF4-FFF2-40B4-BE49-F238E27FC236}">
                  <a16:creationId xmlns:a16="http://schemas.microsoft.com/office/drawing/2014/main" id="{00000000-0008-0000-0300-00005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103</xdr:row>
          <xdr:rowOff>171450</xdr:rowOff>
        </xdr:from>
        <xdr:to>
          <xdr:col>13</xdr:col>
          <xdr:colOff>566738</xdr:colOff>
          <xdr:row>113</xdr:row>
          <xdr:rowOff>190500</xdr:rowOff>
        </xdr:to>
        <xdr:sp macro="" textlink="">
          <xdr:nvSpPr>
            <xdr:cNvPr id="11611" name="XLfitChart2D K107" hidden="1">
              <a:extLst>
                <a:ext uri="{63B3BB69-23CF-44E3-9099-C40C66FF867C}">
                  <a14:compatExt spid="_x0000_s11611"/>
                </a:ext>
                <a:ext uri="{FF2B5EF4-FFF2-40B4-BE49-F238E27FC236}">
                  <a16:creationId xmlns:a16="http://schemas.microsoft.com/office/drawing/2014/main" id="{00000000-0008-0000-0300-00005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118</xdr:row>
          <xdr:rowOff>171450</xdr:rowOff>
        </xdr:from>
        <xdr:to>
          <xdr:col>13</xdr:col>
          <xdr:colOff>566738</xdr:colOff>
          <xdr:row>128</xdr:row>
          <xdr:rowOff>190500</xdr:rowOff>
        </xdr:to>
        <xdr:sp macro="" textlink="">
          <xdr:nvSpPr>
            <xdr:cNvPr id="11612" name="XLfitChart2D K122" hidden="1">
              <a:extLst>
                <a:ext uri="{63B3BB69-23CF-44E3-9099-C40C66FF867C}">
                  <a14:compatExt spid="_x0000_s11612"/>
                </a:ext>
                <a:ext uri="{FF2B5EF4-FFF2-40B4-BE49-F238E27FC236}">
                  <a16:creationId xmlns:a16="http://schemas.microsoft.com/office/drawing/2014/main" id="{00000000-0008-0000-0300-00005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133</xdr:row>
          <xdr:rowOff>171450</xdr:rowOff>
        </xdr:from>
        <xdr:to>
          <xdr:col>13</xdr:col>
          <xdr:colOff>566738</xdr:colOff>
          <xdr:row>143</xdr:row>
          <xdr:rowOff>190500</xdr:rowOff>
        </xdr:to>
        <xdr:sp macro="" textlink="">
          <xdr:nvSpPr>
            <xdr:cNvPr id="11613" name="XLfitChart2D K137" hidden="1">
              <a:extLst>
                <a:ext uri="{63B3BB69-23CF-44E3-9099-C40C66FF867C}">
                  <a14:compatExt spid="_x0000_s11613"/>
                </a:ext>
                <a:ext uri="{FF2B5EF4-FFF2-40B4-BE49-F238E27FC236}">
                  <a16:creationId xmlns:a16="http://schemas.microsoft.com/office/drawing/2014/main" id="{00000000-0008-0000-0300-00005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148</xdr:row>
          <xdr:rowOff>171450</xdr:rowOff>
        </xdr:from>
        <xdr:to>
          <xdr:col>13</xdr:col>
          <xdr:colOff>566738</xdr:colOff>
          <xdr:row>158</xdr:row>
          <xdr:rowOff>190500</xdr:rowOff>
        </xdr:to>
        <xdr:sp macro="" textlink="">
          <xdr:nvSpPr>
            <xdr:cNvPr id="11614" name="XLfitChart2D K152" hidden="1">
              <a:extLst>
                <a:ext uri="{63B3BB69-23CF-44E3-9099-C40C66FF867C}">
                  <a14:compatExt spid="_x0000_s11614"/>
                </a:ext>
                <a:ext uri="{FF2B5EF4-FFF2-40B4-BE49-F238E27FC236}">
                  <a16:creationId xmlns:a16="http://schemas.microsoft.com/office/drawing/2014/main" id="{00000000-0008-0000-0300-00005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30956</xdr:colOff>
          <xdr:row>164</xdr:row>
          <xdr:rowOff>135731</xdr:rowOff>
        </xdr:from>
        <xdr:to>
          <xdr:col>13</xdr:col>
          <xdr:colOff>578644</xdr:colOff>
          <xdr:row>174</xdr:row>
          <xdr:rowOff>154781</xdr:rowOff>
        </xdr:to>
        <xdr:sp macro="" textlink="">
          <xdr:nvSpPr>
            <xdr:cNvPr id="11615" name="XLfitChart2D K167" hidden="1">
              <a:extLst>
                <a:ext uri="{63B3BB69-23CF-44E3-9099-C40C66FF867C}">
                  <a14:compatExt spid="_x0000_s11615"/>
                </a:ext>
                <a:ext uri="{FF2B5EF4-FFF2-40B4-BE49-F238E27FC236}">
                  <a16:creationId xmlns:a16="http://schemas.microsoft.com/office/drawing/2014/main" id="{00000000-0008-0000-0300-00005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116417</xdr:colOff>
      <xdr:row>0</xdr:row>
      <xdr:rowOff>0</xdr:rowOff>
    </xdr:from>
    <xdr:to>
      <xdr:col>0</xdr:col>
      <xdr:colOff>2033588</xdr:colOff>
      <xdr:row>0</xdr:row>
      <xdr:rowOff>514350</xdr:rowOff>
    </xdr:to>
    <xdr:pic>
      <xdr:nvPicPr>
        <xdr:cNvPr id="2" name="图片 1" descr="C:\Users\xiewenqi\AppData\Local\Temp\WeChat Files\70f8437287612bb276e9f6753caab37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6417" y="0"/>
          <a:ext cx="1979083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XLfit4.xla" TargetMode="External"/><Relationship Id="rId1" Type="http://schemas.microsoft.com/office/2006/relationships/xlExternalLinkPath/xlLibrary" Target="XLfit4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oleObject" Target="../embeddings/oleObject5.bin"/><Relationship Id="rId18" Type="http://schemas.openxmlformats.org/officeDocument/2006/relationships/image" Target="../media/image9.emf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oleObject9.bin"/><Relationship Id="rId7" Type="http://schemas.openxmlformats.org/officeDocument/2006/relationships/oleObject" Target="../embeddings/oleObject2.bin"/><Relationship Id="rId12" Type="http://schemas.openxmlformats.org/officeDocument/2006/relationships/image" Target="../media/image6.emf"/><Relationship Id="rId17" Type="http://schemas.openxmlformats.org/officeDocument/2006/relationships/oleObject" Target="../embeddings/oleObject7.bin"/><Relationship Id="rId25" Type="http://schemas.openxmlformats.org/officeDocument/2006/relationships/comments" Target="../comments1.xml"/><Relationship Id="rId2" Type="http://schemas.openxmlformats.org/officeDocument/2006/relationships/drawing" Target="../drawings/drawing2.xml"/><Relationship Id="rId16" Type="http://schemas.openxmlformats.org/officeDocument/2006/relationships/image" Target="../media/image8.emf"/><Relationship Id="rId20" Type="http://schemas.openxmlformats.org/officeDocument/2006/relationships/image" Target="../media/image10.emf"/><Relationship Id="rId1" Type="http://schemas.openxmlformats.org/officeDocument/2006/relationships/printerSettings" Target="../printerSettings/printerSettings4.bin"/><Relationship Id="rId6" Type="http://schemas.openxmlformats.org/officeDocument/2006/relationships/image" Target="../media/image3.emf"/><Relationship Id="rId11" Type="http://schemas.openxmlformats.org/officeDocument/2006/relationships/oleObject" Target="../embeddings/oleObject4.bin"/><Relationship Id="rId24" Type="http://schemas.openxmlformats.org/officeDocument/2006/relationships/image" Target="../media/image12.emf"/><Relationship Id="rId5" Type="http://schemas.openxmlformats.org/officeDocument/2006/relationships/oleObject" Target="../embeddings/oleObject1.bin"/><Relationship Id="rId15" Type="http://schemas.openxmlformats.org/officeDocument/2006/relationships/oleObject" Target="../embeddings/oleObject6.bin"/><Relationship Id="rId23" Type="http://schemas.openxmlformats.org/officeDocument/2006/relationships/oleObject" Target="../embeddings/oleObject10.bin"/><Relationship Id="rId10" Type="http://schemas.openxmlformats.org/officeDocument/2006/relationships/image" Target="../media/image5.emf"/><Relationship Id="rId19" Type="http://schemas.openxmlformats.org/officeDocument/2006/relationships/oleObject" Target="../embeddings/oleObject8.bin"/><Relationship Id="rId4" Type="http://schemas.openxmlformats.org/officeDocument/2006/relationships/image" Target="../media/image1.png"/><Relationship Id="rId9" Type="http://schemas.openxmlformats.org/officeDocument/2006/relationships/oleObject" Target="../embeddings/oleObject3.bin"/><Relationship Id="rId14" Type="http://schemas.openxmlformats.org/officeDocument/2006/relationships/image" Target="../media/image7.emf"/><Relationship Id="rId22" Type="http://schemas.openxmlformats.org/officeDocument/2006/relationships/image" Target="../media/image11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X1151"/>
  <sheetViews>
    <sheetView tabSelected="1" workbookViewId="0">
      <selection activeCell="C1" sqref="C1"/>
    </sheetView>
  </sheetViews>
  <sheetFormatPr defaultColWidth="9" defaultRowHeight="15.4" x14ac:dyDescent="0.3"/>
  <cols>
    <col min="1" max="1" width="7.73046875" style="18" customWidth="1"/>
    <col min="2" max="2" width="22.59765625" style="26" customWidth="1"/>
    <col min="3" max="3" width="31.73046875" style="26" customWidth="1"/>
    <col min="4" max="4" width="29.46484375" style="26" customWidth="1"/>
    <col min="5" max="5" width="36.86328125" style="34" customWidth="1"/>
    <col min="6" max="6" width="37" style="34" customWidth="1"/>
    <col min="7" max="23" width="7.86328125" style="34" customWidth="1"/>
    <col min="24" max="24" width="7.86328125" style="19" customWidth="1"/>
    <col min="25" max="16384" width="9" style="20"/>
  </cols>
  <sheetData>
    <row r="4" spans="1:24" s="32" customFormat="1" ht="25.15" x14ac:dyDescent="0.3">
      <c r="A4" s="29"/>
      <c r="B4" s="147" t="s">
        <v>64</v>
      </c>
      <c r="C4" s="147"/>
      <c r="D4" s="147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4" x14ac:dyDescent="0.3">
      <c r="A5" s="26"/>
      <c r="B5" s="27"/>
      <c r="E5" s="33"/>
      <c r="F5" s="33"/>
      <c r="G5" s="33"/>
      <c r="H5" s="33"/>
    </row>
    <row r="6" spans="1:24" ht="15.6" customHeight="1" x14ac:dyDescent="0.3">
      <c r="A6" s="26"/>
      <c r="B6" s="27"/>
      <c r="E6" s="33"/>
      <c r="F6" s="33"/>
      <c r="G6" s="33"/>
      <c r="H6" s="33"/>
    </row>
    <row r="7" spans="1:24" ht="15.6" customHeight="1" x14ac:dyDescent="0.3"/>
    <row r="8" spans="1:24" s="22" customFormat="1" ht="15.6" customHeight="1" x14ac:dyDescent="0.3">
      <c r="A8" s="25"/>
      <c r="B8" s="35" t="s">
        <v>65</v>
      </c>
      <c r="C8" s="36" t="s">
        <v>116</v>
      </c>
      <c r="D8" s="18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21"/>
    </row>
    <row r="9" spans="1:24" s="22" customFormat="1" ht="15.6" customHeight="1" x14ac:dyDescent="0.3">
      <c r="A9" s="25"/>
      <c r="B9" s="35" t="s">
        <v>66</v>
      </c>
      <c r="C9" s="38" t="s">
        <v>117</v>
      </c>
      <c r="D9" s="25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21"/>
    </row>
    <row r="10" spans="1:24" s="22" customFormat="1" ht="15.6" customHeight="1" x14ac:dyDescent="0.3">
      <c r="A10" s="25"/>
      <c r="B10" s="39" t="s">
        <v>67</v>
      </c>
      <c r="C10" s="88" t="s">
        <v>171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21"/>
    </row>
    <row r="11" spans="1:24" s="22" customFormat="1" ht="15.6" customHeight="1" x14ac:dyDescent="0.3">
      <c r="A11" s="25"/>
      <c r="B11" s="39"/>
      <c r="C11" s="95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21"/>
    </row>
    <row r="12" spans="1:24" s="22" customFormat="1" ht="15.6" customHeight="1" x14ac:dyDescent="0.3">
      <c r="A12" s="25"/>
      <c r="B12" s="39" t="s">
        <v>68</v>
      </c>
      <c r="C12" s="41" t="s">
        <v>97</v>
      </c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21"/>
    </row>
    <row r="13" spans="1:24" s="22" customFormat="1" ht="15.6" customHeight="1" x14ac:dyDescent="0.3">
      <c r="A13" s="25"/>
      <c r="B13" s="39" t="s">
        <v>69</v>
      </c>
      <c r="C13" s="89">
        <v>45741</v>
      </c>
      <c r="D13" s="42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21"/>
    </row>
    <row r="14" spans="1:24" s="22" customFormat="1" ht="15.6" customHeight="1" x14ac:dyDescent="0.3">
      <c r="A14" s="25"/>
      <c r="B14" s="39" t="s">
        <v>70</v>
      </c>
      <c r="C14" s="89">
        <v>45741</v>
      </c>
      <c r="D14" s="42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21"/>
    </row>
    <row r="15" spans="1:24" s="22" customFormat="1" ht="15.6" customHeight="1" x14ac:dyDescent="0.3">
      <c r="A15" s="25"/>
      <c r="B15" s="39" t="s">
        <v>71</v>
      </c>
      <c r="C15" s="89">
        <v>45741</v>
      </c>
      <c r="D15" s="4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21"/>
    </row>
    <row r="16" spans="1:24" s="22" customFormat="1" ht="15.6" customHeight="1" x14ac:dyDescent="0.3">
      <c r="A16" s="25"/>
      <c r="B16" s="39"/>
      <c r="C16" s="41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21"/>
    </row>
    <row r="17" spans="1:24" s="22" customFormat="1" ht="15.6" customHeight="1" x14ac:dyDescent="0.3">
      <c r="A17" s="25"/>
      <c r="B17" s="39" t="s">
        <v>72</v>
      </c>
      <c r="C17" s="81" t="s">
        <v>167</v>
      </c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21"/>
    </row>
    <row r="18" spans="1:24" s="22" customFormat="1" ht="15.6" customHeight="1" x14ac:dyDescent="0.3">
      <c r="A18" s="25"/>
      <c r="B18" s="39" t="s">
        <v>73</v>
      </c>
      <c r="C18" s="81" t="s">
        <v>167</v>
      </c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21"/>
    </row>
    <row r="19" spans="1:24" s="22" customFormat="1" ht="15.6" customHeight="1" x14ac:dyDescent="0.3">
      <c r="A19" s="25"/>
      <c r="B19" s="39" t="s">
        <v>74</v>
      </c>
      <c r="C19" s="81" t="s">
        <v>172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21"/>
    </row>
    <row r="20" spans="1:24" s="22" customFormat="1" ht="15.6" customHeight="1" x14ac:dyDescent="0.3">
      <c r="A20" s="25"/>
      <c r="B20" s="39" t="s">
        <v>75</v>
      </c>
      <c r="C20" s="40" t="s">
        <v>76</v>
      </c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21"/>
    </row>
    <row r="21" spans="1:24" s="22" customFormat="1" ht="15.6" customHeight="1" x14ac:dyDescent="0.3">
      <c r="A21" s="25"/>
      <c r="B21" s="39"/>
      <c r="C21" s="41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21"/>
    </row>
    <row r="22" spans="1:24" s="22" customFormat="1" ht="15.6" customHeight="1" x14ac:dyDescent="0.3">
      <c r="A22" s="38"/>
      <c r="B22" s="39"/>
      <c r="C22" s="41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21"/>
    </row>
    <row r="23" spans="1:24" s="22" customFormat="1" ht="15.6" customHeight="1" x14ac:dyDescent="0.3">
      <c r="A23" s="25"/>
      <c r="B23" s="25"/>
      <c r="C23" s="41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21"/>
    </row>
    <row r="24" spans="1:24" s="22" customFormat="1" ht="15.6" customHeight="1" x14ac:dyDescent="0.3">
      <c r="A24" s="25"/>
      <c r="B24" s="39" t="s">
        <v>43</v>
      </c>
      <c r="C24" s="90" t="s">
        <v>152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21"/>
    </row>
    <row r="25" spans="1:24" s="22" customFormat="1" ht="15.6" customHeight="1" x14ac:dyDescent="0.3">
      <c r="A25" s="25"/>
      <c r="B25" s="39"/>
      <c r="C25" s="25"/>
      <c r="D25" s="25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21"/>
    </row>
    <row r="26" spans="1:24" s="22" customFormat="1" ht="15.6" customHeight="1" x14ac:dyDescent="0.3">
      <c r="A26" s="39"/>
      <c r="B26" s="39" t="s">
        <v>44</v>
      </c>
      <c r="C26" s="40" t="s">
        <v>150</v>
      </c>
      <c r="D26" s="4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21"/>
    </row>
    <row r="27" spans="1:24" s="22" customFormat="1" ht="15.6" customHeight="1" x14ac:dyDescent="0.3">
      <c r="A27" s="25"/>
      <c r="B27" s="25"/>
      <c r="C27" s="25"/>
      <c r="D27" s="25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21"/>
    </row>
    <row r="28" spans="1:24" s="22" customFormat="1" ht="15.6" customHeight="1" x14ac:dyDescent="0.3">
      <c r="A28" s="25"/>
      <c r="B28" s="28"/>
      <c r="C28" s="28"/>
      <c r="D28" s="2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21"/>
    </row>
    <row r="29" spans="1:24" s="22" customFormat="1" ht="15.6" customHeight="1" x14ac:dyDescent="0.3">
      <c r="A29" s="25"/>
      <c r="B29" s="28"/>
      <c r="C29" s="28"/>
      <c r="D29" s="2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21"/>
    </row>
    <row r="30" spans="1:24" s="22" customFormat="1" ht="15.6" customHeight="1" x14ac:dyDescent="0.3">
      <c r="A30" s="25"/>
      <c r="B30" s="28"/>
      <c r="C30" s="28"/>
      <c r="D30" s="2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1"/>
    </row>
    <row r="31" spans="1:24" s="22" customFormat="1" ht="15.6" customHeight="1" x14ac:dyDescent="0.3">
      <c r="A31" s="25"/>
      <c r="B31" s="28"/>
      <c r="C31" s="28"/>
      <c r="D31" s="2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21"/>
    </row>
    <row r="32" spans="1:24" s="37" customFormat="1" x14ac:dyDescent="0.3">
      <c r="B32" s="43"/>
      <c r="C32" s="43"/>
      <c r="D32" s="43"/>
    </row>
    <row r="33" spans="2:4" s="37" customFormat="1" x14ac:dyDescent="0.3">
      <c r="B33" s="43"/>
      <c r="C33" s="43"/>
      <c r="D33" s="43"/>
    </row>
    <row r="34" spans="2:4" s="37" customFormat="1" x14ac:dyDescent="0.3">
      <c r="B34" s="43"/>
      <c r="C34" s="43"/>
      <c r="D34" s="43"/>
    </row>
    <row r="35" spans="2:4" s="37" customFormat="1" x14ac:dyDescent="0.3">
      <c r="B35" s="43"/>
      <c r="C35" s="43"/>
      <c r="D35" s="43"/>
    </row>
    <row r="36" spans="2:4" s="37" customFormat="1" x14ac:dyDescent="0.3">
      <c r="B36" s="43"/>
      <c r="C36" s="43"/>
      <c r="D36" s="43"/>
    </row>
    <row r="37" spans="2:4" s="37" customFormat="1" x14ac:dyDescent="0.3">
      <c r="B37" s="43"/>
      <c r="C37" s="43"/>
      <c r="D37" s="43"/>
    </row>
    <row r="38" spans="2:4" s="37" customFormat="1" x14ac:dyDescent="0.3">
      <c r="B38" s="43"/>
      <c r="C38" s="43"/>
      <c r="D38" s="43"/>
    </row>
    <row r="39" spans="2:4" s="37" customFormat="1" x14ac:dyDescent="0.3">
      <c r="B39" s="43"/>
      <c r="C39" s="43"/>
      <c r="D39" s="43"/>
    </row>
    <row r="40" spans="2:4" s="37" customFormat="1" x14ac:dyDescent="0.3">
      <c r="B40" s="43"/>
      <c r="C40" s="43"/>
      <c r="D40" s="43"/>
    </row>
    <row r="41" spans="2:4" s="37" customFormat="1" x14ac:dyDescent="0.3">
      <c r="B41" s="43"/>
      <c r="C41" s="43"/>
      <c r="D41" s="43"/>
    </row>
    <row r="42" spans="2:4" s="37" customFormat="1" x14ac:dyDescent="0.3">
      <c r="B42" s="43"/>
      <c r="C42" s="43"/>
      <c r="D42" s="43"/>
    </row>
    <row r="43" spans="2:4" s="37" customFormat="1" x14ac:dyDescent="0.3">
      <c r="B43" s="43"/>
      <c r="C43" s="43"/>
      <c r="D43" s="43"/>
    </row>
    <row r="44" spans="2:4" s="37" customFormat="1" x14ac:dyDescent="0.3">
      <c r="B44" s="43"/>
      <c r="C44" s="43"/>
      <c r="D44" s="43"/>
    </row>
    <row r="45" spans="2:4" s="37" customFormat="1" x14ac:dyDescent="0.3">
      <c r="B45" s="43"/>
      <c r="C45" s="43"/>
      <c r="D45" s="43"/>
    </row>
    <row r="46" spans="2:4" s="37" customFormat="1" x14ac:dyDescent="0.3">
      <c r="B46" s="43"/>
      <c r="C46" s="43"/>
      <c r="D46" s="43"/>
    </row>
    <row r="47" spans="2:4" s="37" customFormat="1" x14ac:dyDescent="0.3">
      <c r="B47" s="43"/>
      <c r="C47" s="43"/>
      <c r="D47" s="43"/>
    </row>
    <row r="48" spans="2:4" s="34" customFormat="1" ht="13.9" x14ac:dyDescent="0.3"/>
    <row r="49" s="34" customFormat="1" ht="13.9" x14ac:dyDescent="0.3"/>
    <row r="50" s="34" customFormat="1" ht="13.9" x14ac:dyDescent="0.3"/>
    <row r="51" s="34" customFormat="1" ht="13.9" x14ac:dyDescent="0.3"/>
    <row r="52" s="34" customFormat="1" ht="13.9" x14ac:dyDescent="0.3"/>
    <row r="53" s="34" customFormat="1" ht="13.9" x14ac:dyDescent="0.3"/>
    <row r="54" s="34" customFormat="1" ht="13.9" x14ac:dyDescent="0.3"/>
    <row r="55" s="34" customFormat="1" ht="13.9" x14ac:dyDescent="0.3"/>
    <row r="56" s="34" customFormat="1" ht="13.9" x14ac:dyDescent="0.3"/>
    <row r="57" s="34" customFormat="1" ht="13.9" x14ac:dyDescent="0.3"/>
    <row r="58" s="34" customFormat="1" ht="13.9" x14ac:dyDescent="0.3"/>
    <row r="59" s="34" customFormat="1" ht="13.9" x14ac:dyDescent="0.3"/>
    <row r="60" s="34" customFormat="1" ht="13.9" x14ac:dyDescent="0.3"/>
    <row r="61" s="34" customFormat="1" ht="13.9" x14ac:dyDescent="0.3"/>
    <row r="62" s="34" customFormat="1" ht="13.9" x14ac:dyDescent="0.3"/>
    <row r="63" s="34" customFormat="1" ht="13.9" x14ac:dyDescent="0.3"/>
    <row r="64" s="34" customFormat="1" ht="13.9" x14ac:dyDescent="0.3"/>
    <row r="65" s="34" customFormat="1" ht="13.9" x14ac:dyDescent="0.3"/>
    <row r="66" s="34" customFormat="1" ht="13.9" x14ac:dyDescent="0.3"/>
    <row r="67" s="34" customFormat="1" ht="13.9" x14ac:dyDescent="0.3"/>
    <row r="68" s="34" customFormat="1" ht="13.9" x14ac:dyDescent="0.3"/>
    <row r="69" s="34" customFormat="1" ht="13.9" x14ac:dyDescent="0.3"/>
    <row r="70" s="34" customFormat="1" ht="13.9" x14ac:dyDescent="0.3"/>
    <row r="71" s="34" customFormat="1" ht="13.9" x14ac:dyDescent="0.3"/>
    <row r="72" s="34" customFormat="1" ht="13.9" x14ac:dyDescent="0.3"/>
    <row r="73" s="34" customFormat="1" ht="13.9" x14ac:dyDescent="0.3"/>
    <row r="74" s="34" customFormat="1" ht="13.9" x14ac:dyDescent="0.3"/>
    <row r="75" s="34" customFormat="1" ht="13.9" x14ac:dyDescent="0.3"/>
    <row r="76" s="34" customFormat="1" ht="13.9" x14ac:dyDescent="0.3"/>
    <row r="77" s="34" customFormat="1" ht="13.9" x14ac:dyDescent="0.3"/>
    <row r="78" s="34" customFormat="1" ht="13.9" x14ac:dyDescent="0.3"/>
    <row r="79" s="34" customFormat="1" ht="13.9" x14ac:dyDescent="0.3"/>
    <row r="80" s="34" customFormat="1" ht="13.9" x14ac:dyDescent="0.3"/>
    <row r="81" s="34" customFormat="1" ht="13.9" x14ac:dyDescent="0.3"/>
    <row r="82" s="34" customFormat="1" ht="13.9" x14ac:dyDescent="0.3"/>
    <row r="83" s="34" customFormat="1" ht="13.9" x14ac:dyDescent="0.3"/>
    <row r="84" s="34" customFormat="1" ht="13.9" x14ac:dyDescent="0.3"/>
    <row r="85" s="34" customFormat="1" ht="13.9" x14ac:dyDescent="0.3"/>
    <row r="86" s="34" customFormat="1" ht="13.9" x14ac:dyDescent="0.3"/>
    <row r="87" s="34" customFormat="1" ht="13.9" x14ac:dyDescent="0.3"/>
    <row r="88" s="34" customFormat="1" ht="13.9" x14ac:dyDescent="0.3"/>
    <row r="89" s="34" customFormat="1" ht="13.9" x14ac:dyDescent="0.3"/>
    <row r="90" s="34" customFormat="1" ht="13.9" x14ac:dyDescent="0.3"/>
    <row r="91" s="34" customFormat="1" ht="13.9" x14ac:dyDescent="0.3"/>
    <row r="92" s="34" customFormat="1" ht="13.9" x14ac:dyDescent="0.3"/>
    <row r="93" s="34" customFormat="1" ht="13.9" x14ac:dyDescent="0.3"/>
    <row r="94" s="34" customFormat="1" ht="13.9" x14ac:dyDescent="0.3"/>
    <row r="95" s="34" customFormat="1" ht="13.9" x14ac:dyDescent="0.3"/>
    <row r="96" s="34" customFormat="1" ht="13.9" x14ac:dyDescent="0.3"/>
    <row r="97" s="34" customFormat="1" ht="13.9" x14ac:dyDescent="0.3"/>
    <row r="98" s="34" customFormat="1" ht="13.9" x14ac:dyDescent="0.3"/>
    <row r="99" s="34" customFormat="1" ht="13.9" x14ac:dyDescent="0.3"/>
    <row r="100" s="34" customFormat="1" ht="13.9" x14ac:dyDescent="0.3"/>
    <row r="101" s="34" customFormat="1" ht="13.9" x14ac:dyDescent="0.3"/>
    <row r="102" s="34" customFormat="1" ht="13.9" x14ac:dyDescent="0.3"/>
    <row r="103" s="34" customFormat="1" ht="13.9" x14ac:dyDescent="0.3"/>
    <row r="104" s="34" customFormat="1" ht="13.9" x14ac:dyDescent="0.3"/>
    <row r="105" s="34" customFormat="1" ht="13.9" x14ac:dyDescent="0.3"/>
    <row r="106" s="34" customFormat="1" ht="13.9" x14ac:dyDescent="0.3"/>
    <row r="107" s="34" customFormat="1" ht="13.9" x14ac:dyDescent="0.3"/>
    <row r="108" s="34" customFormat="1" ht="13.9" x14ac:dyDescent="0.3"/>
    <row r="109" s="34" customFormat="1" ht="13.9" x14ac:dyDescent="0.3"/>
    <row r="110" s="34" customFormat="1" ht="13.9" x14ac:dyDescent="0.3"/>
    <row r="111" s="34" customFormat="1" ht="13.9" x14ac:dyDescent="0.3"/>
    <row r="112" s="34" customFormat="1" ht="13.9" x14ac:dyDescent="0.3"/>
    <row r="113" s="34" customFormat="1" ht="13.9" x14ac:dyDescent="0.3"/>
    <row r="114" s="34" customFormat="1" ht="13.9" x14ac:dyDescent="0.3"/>
    <row r="115" s="34" customFormat="1" ht="13.9" x14ac:dyDescent="0.3"/>
    <row r="116" s="34" customFormat="1" ht="13.9" x14ac:dyDescent="0.3"/>
    <row r="117" s="34" customFormat="1" ht="13.9" x14ac:dyDescent="0.3"/>
    <row r="118" s="34" customFormat="1" ht="13.9" x14ac:dyDescent="0.3"/>
    <row r="119" s="34" customFormat="1" ht="13.9" x14ac:dyDescent="0.3"/>
    <row r="120" s="34" customFormat="1" ht="13.9" x14ac:dyDescent="0.3"/>
    <row r="121" s="34" customFormat="1" ht="13.9" x14ac:dyDescent="0.3"/>
    <row r="122" s="34" customFormat="1" ht="13.9" x14ac:dyDescent="0.3"/>
    <row r="123" s="34" customFormat="1" ht="13.9" x14ac:dyDescent="0.3"/>
    <row r="124" s="34" customFormat="1" ht="13.9" x14ac:dyDescent="0.3"/>
    <row r="125" s="34" customFormat="1" ht="13.9" x14ac:dyDescent="0.3"/>
    <row r="126" s="34" customFormat="1" ht="13.9" x14ac:dyDescent="0.3"/>
    <row r="127" s="34" customFormat="1" ht="13.9" x14ac:dyDescent="0.3"/>
    <row r="128" s="34" customFormat="1" ht="13.9" x14ac:dyDescent="0.3"/>
    <row r="129" s="34" customFormat="1" ht="13.9" x14ac:dyDescent="0.3"/>
    <row r="130" s="34" customFormat="1" ht="13.9" x14ac:dyDescent="0.3"/>
    <row r="131" s="34" customFormat="1" ht="13.9" x14ac:dyDescent="0.3"/>
    <row r="132" s="34" customFormat="1" ht="13.9" x14ac:dyDescent="0.3"/>
    <row r="133" s="34" customFormat="1" ht="13.9" x14ac:dyDescent="0.3"/>
    <row r="134" s="34" customFormat="1" ht="13.9" x14ac:dyDescent="0.3"/>
    <row r="135" s="34" customFormat="1" ht="13.9" x14ac:dyDescent="0.3"/>
    <row r="136" s="34" customFormat="1" ht="13.9" x14ac:dyDescent="0.3"/>
    <row r="137" s="34" customFormat="1" ht="13.9" x14ac:dyDescent="0.3"/>
    <row r="138" s="34" customFormat="1" ht="13.9" x14ac:dyDescent="0.3"/>
    <row r="139" s="34" customFormat="1" ht="13.9" x14ac:dyDescent="0.3"/>
    <row r="140" s="34" customFormat="1" ht="13.9" x14ac:dyDescent="0.3"/>
    <row r="141" s="34" customFormat="1" ht="13.9" x14ac:dyDescent="0.3"/>
    <row r="142" s="34" customFormat="1" ht="13.9" x14ac:dyDescent="0.3"/>
    <row r="143" s="34" customFormat="1" ht="13.9" x14ac:dyDescent="0.3"/>
    <row r="144" s="34" customFormat="1" ht="13.9" x14ac:dyDescent="0.3"/>
    <row r="145" s="34" customFormat="1" ht="13.9" x14ac:dyDescent="0.3"/>
    <row r="146" s="34" customFormat="1" ht="13.9" x14ac:dyDescent="0.3"/>
    <row r="147" s="34" customFormat="1" ht="13.9" x14ac:dyDescent="0.3"/>
    <row r="148" s="34" customFormat="1" ht="13.9" x14ac:dyDescent="0.3"/>
    <row r="149" s="34" customFormat="1" ht="13.9" x14ac:dyDescent="0.3"/>
    <row r="150" s="34" customFormat="1" ht="13.9" x14ac:dyDescent="0.3"/>
    <row r="151" s="34" customFormat="1" ht="13.9" x14ac:dyDescent="0.3"/>
    <row r="152" s="34" customFormat="1" ht="13.9" x14ac:dyDescent="0.3"/>
    <row r="153" s="34" customFormat="1" ht="13.9" x14ac:dyDescent="0.3"/>
    <row r="154" s="34" customFormat="1" ht="13.9" x14ac:dyDescent="0.3"/>
    <row r="155" s="34" customFormat="1" ht="13.9" x14ac:dyDescent="0.3"/>
    <row r="156" s="34" customFormat="1" ht="13.9" x14ac:dyDescent="0.3"/>
    <row r="157" s="34" customFormat="1" ht="13.9" x14ac:dyDescent="0.3"/>
    <row r="158" s="34" customFormat="1" ht="13.9" x14ac:dyDescent="0.3"/>
    <row r="159" s="34" customFormat="1" ht="13.9" x14ac:dyDescent="0.3"/>
    <row r="160" s="34" customFormat="1" ht="13.9" x14ac:dyDescent="0.3"/>
    <row r="161" s="34" customFormat="1" ht="13.9" x14ac:dyDescent="0.3"/>
    <row r="162" s="34" customFormat="1" ht="13.9" x14ac:dyDescent="0.3"/>
    <row r="163" s="34" customFormat="1" ht="13.9" x14ac:dyDescent="0.3"/>
    <row r="164" s="34" customFormat="1" ht="13.9" x14ac:dyDescent="0.3"/>
    <row r="165" s="34" customFormat="1" ht="13.9" x14ac:dyDescent="0.3"/>
    <row r="166" s="34" customFormat="1" ht="13.9" x14ac:dyDescent="0.3"/>
    <row r="167" s="34" customFormat="1" ht="13.9" x14ac:dyDescent="0.3"/>
    <row r="168" s="34" customFormat="1" ht="13.9" x14ac:dyDescent="0.3"/>
    <row r="169" s="34" customFormat="1" ht="13.9" x14ac:dyDescent="0.3"/>
    <row r="170" s="34" customFormat="1" ht="13.9" x14ac:dyDescent="0.3"/>
    <row r="171" s="34" customFormat="1" ht="13.9" x14ac:dyDescent="0.3"/>
    <row r="172" s="34" customFormat="1" ht="13.9" x14ac:dyDescent="0.3"/>
    <row r="173" s="34" customFormat="1" ht="13.9" x14ac:dyDescent="0.3"/>
    <row r="174" s="34" customFormat="1" ht="13.9" x14ac:dyDescent="0.3"/>
    <row r="175" s="34" customFormat="1" ht="13.9" x14ac:dyDescent="0.3"/>
    <row r="176" s="34" customFormat="1" ht="13.9" x14ac:dyDescent="0.3"/>
    <row r="177" s="34" customFormat="1" ht="13.9" x14ac:dyDescent="0.3"/>
    <row r="178" s="34" customFormat="1" ht="13.9" x14ac:dyDescent="0.3"/>
    <row r="179" s="34" customFormat="1" ht="13.9" x14ac:dyDescent="0.3"/>
    <row r="180" s="34" customFormat="1" ht="13.9" x14ac:dyDescent="0.3"/>
    <row r="181" s="34" customFormat="1" ht="13.9" x14ac:dyDescent="0.3"/>
    <row r="182" s="34" customFormat="1" ht="13.9" x14ac:dyDescent="0.3"/>
    <row r="183" s="34" customFormat="1" ht="13.9" x14ac:dyDescent="0.3"/>
    <row r="184" s="34" customFormat="1" ht="13.9" x14ac:dyDescent="0.3"/>
    <row r="185" s="34" customFormat="1" ht="13.9" x14ac:dyDescent="0.3"/>
    <row r="186" s="34" customFormat="1" ht="13.9" x14ac:dyDescent="0.3"/>
    <row r="187" s="34" customFormat="1" ht="13.9" x14ac:dyDescent="0.3"/>
    <row r="188" s="34" customFormat="1" ht="13.9" x14ac:dyDescent="0.3"/>
    <row r="189" s="34" customFormat="1" ht="13.9" x14ac:dyDescent="0.3"/>
    <row r="190" s="34" customFormat="1" ht="13.9" x14ac:dyDescent="0.3"/>
    <row r="191" s="34" customFormat="1" ht="13.9" x14ac:dyDescent="0.3"/>
    <row r="192" s="34" customFormat="1" ht="13.9" x14ac:dyDescent="0.3"/>
    <row r="193" s="34" customFormat="1" ht="13.9" x14ac:dyDescent="0.3"/>
    <row r="194" s="34" customFormat="1" ht="13.9" x14ac:dyDescent="0.3"/>
    <row r="195" s="34" customFormat="1" ht="13.9" x14ac:dyDescent="0.3"/>
    <row r="196" s="34" customFormat="1" ht="13.9" x14ac:dyDescent="0.3"/>
    <row r="197" s="34" customFormat="1" ht="13.9" x14ac:dyDescent="0.3"/>
    <row r="198" s="34" customFormat="1" ht="13.9" x14ac:dyDescent="0.3"/>
    <row r="199" s="34" customFormat="1" ht="13.9" x14ac:dyDescent="0.3"/>
    <row r="200" s="34" customFormat="1" ht="13.9" x14ac:dyDescent="0.3"/>
    <row r="201" s="34" customFormat="1" ht="13.9" x14ac:dyDescent="0.3"/>
    <row r="202" s="34" customFormat="1" ht="13.9" x14ac:dyDescent="0.3"/>
    <row r="203" s="34" customFormat="1" ht="13.9" x14ac:dyDescent="0.3"/>
    <row r="204" s="34" customFormat="1" ht="13.9" x14ac:dyDescent="0.3"/>
    <row r="205" s="34" customFormat="1" ht="13.9" x14ac:dyDescent="0.3"/>
    <row r="206" s="34" customFormat="1" ht="13.9" x14ac:dyDescent="0.3"/>
    <row r="207" s="34" customFormat="1" ht="13.9" x14ac:dyDescent="0.3"/>
    <row r="208" s="34" customFormat="1" ht="13.9" x14ac:dyDescent="0.3"/>
    <row r="209" s="34" customFormat="1" ht="13.9" x14ac:dyDescent="0.3"/>
    <row r="210" s="34" customFormat="1" ht="13.9" x14ac:dyDescent="0.3"/>
    <row r="211" s="34" customFormat="1" ht="13.9" x14ac:dyDescent="0.3"/>
    <row r="212" s="34" customFormat="1" ht="13.9" x14ac:dyDescent="0.3"/>
    <row r="213" s="34" customFormat="1" ht="13.9" x14ac:dyDescent="0.3"/>
    <row r="214" s="34" customFormat="1" ht="13.9" x14ac:dyDescent="0.3"/>
    <row r="215" s="34" customFormat="1" ht="13.9" x14ac:dyDescent="0.3"/>
    <row r="216" s="34" customFormat="1" ht="13.9" x14ac:dyDescent="0.3"/>
    <row r="217" s="34" customFormat="1" ht="13.9" x14ac:dyDescent="0.3"/>
    <row r="218" s="34" customFormat="1" ht="13.9" x14ac:dyDescent="0.3"/>
    <row r="219" s="34" customFormat="1" ht="13.9" x14ac:dyDescent="0.3"/>
    <row r="220" s="34" customFormat="1" ht="13.9" x14ac:dyDescent="0.3"/>
    <row r="221" s="34" customFormat="1" ht="13.9" x14ac:dyDescent="0.3"/>
    <row r="222" s="34" customFormat="1" ht="13.9" x14ac:dyDescent="0.3"/>
    <row r="223" s="34" customFormat="1" ht="13.9" x14ac:dyDescent="0.3"/>
    <row r="224" s="34" customFormat="1" ht="13.9" x14ac:dyDescent="0.3"/>
    <row r="225" s="34" customFormat="1" ht="13.9" x14ac:dyDescent="0.3"/>
    <row r="226" s="34" customFormat="1" ht="13.9" x14ac:dyDescent="0.3"/>
    <row r="227" s="34" customFormat="1" ht="13.9" x14ac:dyDescent="0.3"/>
    <row r="228" s="34" customFormat="1" ht="13.9" x14ac:dyDescent="0.3"/>
    <row r="229" s="34" customFormat="1" ht="13.9" x14ac:dyDescent="0.3"/>
    <row r="230" s="34" customFormat="1" ht="13.9" x14ac:dyDescent="0.3"/>
    <row r="231" s="34" customFormat="1" ht="13.9" x14ac:dyDescent="0.3"/>
    <row r="232" s="34" customFormat="1" ht="13.9" x14ac:dyDescent="0.3"/>
    <row r="233" s="34" customFormat="1" ht="13.9" x14ac:dyDescent="0.3"/>
    <row r="234" s="34" customFormat="1" ht="13.9" x14ac:dyDescent="0.3"/>
    <row r="235" s="34" customFormat="1" ht="13.9" x14ac:dyDescent="0.3"/>
    <row r="236" s="34" customFormat="1" ht="13.9" x14ac:dyDescent="0.3"/>
    <row r="237" s="34" customFormat="1" ht="13.9" x14ac:dyDescent="0.3"/>
    <row r="238" s="34" customFormat="1" ht="13.9" x14ac:dyDescent="0.3"/>
    <row r="239" s="34" customFormat="1" ht="13.9" x14ac:dyDescent="0.3"/>
    <row r="240" s="34" customFormat="1" ht="13.9" x14ac:dyDescent="0.3"/>
    <row r="241" s="34" customFormat="1" ht="13.9" x14ac:dyDescent="0.3"/>
    <row r="242" s="34" customFormat="1" ht="13.9" x14ac:dyDescent="0.3"/>
    <row r="243" s="34" customFormat="1" ht="13.9" x14ac:dyDescent="0.3"/>
    <row r="244" s="34" customFormat="1" ht="13.9" x14ac:dyDescent="0.3"/>
    <row r="245" s="34" customFormat="1" ht="13.9" x14ac:dyDescent="0.3"/>
    <row r="246" s="34" customFormat="1" ht="13.9" x14ac:dyDescent="0.3"/>
    <row r="247" s="34" customFormat="1" ht="13.9" x14ac:dyDescent="0.3"/>
    <row r="248" s="34" customFormat="1" ht="13.9" x14ac:dyDescent="0.3"/>
    <row r="249" s="34" customFormat="1" ht="13.9" x14ac:dyDescent="0.3"/>
    <row r="250" s="34" customFormat="1" ht="13.9" x14ac:dyDescent="0.3"/>
    <row r="251" s="34" customFormat="1" ht="13.9" x14ac:dyDescent="0.3"/>
    <row r="252" s="34" customFormat="1" ht="13.9" x14ac:dyDescent="0.3"/>
    <row r="253" s="34" customFormat="1" ht="13.9" x14ac:dyDescent="0.3"/>
    <row r="254" s="34" customFormat="1" ht="13.9" x14ac:dyDescent="0.3"/>
    <row r="255" s="34" customFormat="1" ht="13.9" x14ac:dyDescent="0.3"/>
    <row r="256" s="34" customFormat="1" ht="13.9" x14ac:dyDescent="0.3"/>
    <row r="257" s="34" customFormat="1" ht="13.9" x14ac:dyDescent="0.3"/>
    <row r="258" s="34" customFormat="1" ht="13.9" x14ac:dyDescent="0.3"/>
    <row r="259" s="34" customFormat="1" ht="13.9" x14ac:dyDescent="0.3"/>
    <row r="260" s="34" customFormat="1" ht="13.9" x14ac:dyDescent="0.3"/>
    <row r="261" s="34" customFormat="1" ht="13.9" x14ac:dyDescent="0.3"/>
    <row r="262" s="34" customFormat="1" ht="13.9" x14ac:dyDescent="0.3"/>
    <row r="263" s="34" customFormat="1" ht="13.9" x14ac:dyDescent="0.3"/>
    <row r="264" s="34" customFormat="1" ht="13.9" x14ac:dyDescent="0.3"/>
    <row r="265" s="34" customFormat="1" ht="13.9" x14ac:dyDescent="0.3"/>
    <row r="266" s="34" customFormat="1" ht="13.9" x14ac:dyDescent="0.3"/>
    <row r="267" s="34" customFormat="1" ht="13.9" x14ac:dyDescent="0.3"/>
    <row r="268" s="34" customFormat="1" ht="13.9" x14ac:dyDescent="0.3"/>
    <row r="269" s="34" customFormat="1" ht="13.9" x14ac:dyDescent="0.3"/>
    <row r="270" s="34" customFormat="1" ht="13.9" x14ac:dyDescent="0.3"/>
    <row r="271" s="34" customFormat="1" ht="13.9" x14ac:dyDescent="0.3"/>
    <row r="272" s="34" customFormat="1" ht="13.9" x14ac:dyDescent="0.3"/>
    <row r="273" s="34" customFormat="1" ht="13.9" x14ac:dyDescent="0.3"/>
    <row r="274" s="34" customFormat="1" ht="13.9" x14ac:dyDescent="0.3"/>
    <row r="275" s="34" customFormat="1" ht="13.9" x14ac:dyDescent="0.3"/>
    <row r="276" s="34" customFormat="1" ht="13.9" x14ac:dyDescent="0.3"/>
    <row r="277" s="34" customFormat="1" ht="13.9" x14ac:dyDescent="0.3"/>
    <row r="278" s="34" customFormat="1" ht="13.9" x14ac:dyDescent="0.3"/>
    <row r="279" s="34" customFormat="1" ht="13.9" x14ac:dyDescent="0.3"/>
    <row r="280" s="34" customFormat="1" ht="13.9" x14ac:dyDescent="0.3"/>
    <row r="281" s="34" customFormat="1" ht="13.9" x14ac:dyDescent="0.3"/>
    <row r="282" s="34" customFormat="1" ht="13.9" x14ac:dyDescent="0.3"/>
    <row r="283" s="34" customFormat="1" ht="13.9" x14ac:dyDescent="0.3"/>
    <row r="284" s="34" customFormat="1" ht="13.9" x14ac:dyDescent="0.3"/>
    <row r="285" s="34" customFormat="1" ht="13.9" x14ac:dyDescent="0.3"/>
    <row r="286" s="34" customFormat="1" ht="13.9" x14ac:dyDescent="0.3"/>
    <row r="287" s="34" customFormat="1" ht="13.9" x14ac:dyDescent="0.3"/>
    <row r="288" s="34" customFormat="1" ht="13.9" x14ac:dyDescent="0.3"/>
    <row r="289" s="34" customFormat="1" ht="13.9" x14ac:dyDescent="0.3"/>
    <row r="290" s="34" customFormat="1" ht="13.9" x14ac:dyDescent="0.3"/>
    <row r="291" s="34" customFormat="1" ht="13.9" x14ac:dyDescent="0.3"/>
    <row r="292" s="34" customFormat="1" ht="13.9" x14ac:dyDescent="0.3"/>
    <row r="293" s="34" customFormat="1" ht="13.9" x14ac:dyDescent="0.3"/>
    <row r="294" s="34" customFormat="1" ht="13.9" x14ac:dyDescent="0.3"/>
    <row r="295" s="34" customFormat="1" ht="13.9" x14ac:dyDescent="0.3"/>
    <row r="296" s="34" customFormat="1" ht="13.9" x14ac:dyDescent="0.3"/>
    <row r="297" s="34" customFormat="1" ht="13.9" x14ac:dyDescent="0.3"/>
    <row r="298" s="34" customFormat="1" ht="13.9" x14ac:dyDescent="0.3"/>
    <row r="299" s="34" customFormat="1" ht="13.9" x14ac:dyDescent="0.3"/>
    <row r="300" s="34" customFormat="1" ht="13.9" x14ac:dyDescent="0.3"/>
    <row r="301" s="34" customFormat="1" ht="13.9" x14ac:dyDescent="0.3"/>
    <row r="302" s="34" customFormat="1" ht="13.9" x14ac:dyDescent="0.3"/>
    <row r="303" s="34" customFormat="1" ht="13.9" x14ac:dyDescent="0.3"/>
    <row r="304" s="34" customFormat="1" ht="13.9" x14ac:dyDescent="0.3"/>
    <row r="305" spans="1:24" s="34" customFormat="1" ht="13.9" x14ac:dyDescent="0.3"/>
    <row r="306" spans="1:24" s="34" customFormat="1" ht="13.9" x14ac:dyDescent="0.3"/>
    <row r="307" spans="1:24" s="34" customFormat="1" ht="13.9" x14ac:dyDescent="0.3"/>
    <row r="308" spans="1:24" s="34" customFormat="1" ht="13.9" x14ac:dyDescent="0.3"/>
    <row r="309" spans="1:24" s="34" customFormat="1" ht="13.9" x14ac:dyDescent="0.3"/>
    <row r="310" spans="1:24" s="34" customFormat="1" ht="13.9" x14ac:dyDescent="0.3"/>
    <row r="311" spans="1:24" s="34" customFormat="1" ht="13.9" x14ac:dyDescent="0.3"/>
    <row r="312" spans="1:24" s="34" customFormat="1" ht="13.9" x14ac:dyDescent="0.3"/>
    <row r="313" spans="1:24" s="34" customFormat="1" ht="13.9" x14ac:dyDescent="0.3"/>
    <row r="314" spans="1:24" s="34" customFormat="1" ht="13.9" x14ac:dyDescent="0.3"/>
    <row r="315" spans="1:24" s="34" customFormat="1" ht="13.9" x14ac:dyDescent="0.3"/>
    <row r="316" spans="1:24" s="34" customFormat="1" ht="13.9" x14ac:dyDescent="0.3"/>
    <row r="317" spans="1:24" s="34" customFormat="1" ht="13.9" x14ac:dyDescent="0.3"/>
    <row r="318" spans="1:24" s="34" customFormat="1" ht="13.9" x14ac:dyDescent="0.3"/>
    <row r="319" spans="1:24" ht="13.9" x14ac:dyDescent="0.3">
      <c r="A319" s="19"/>
      <c r="B319" s="19"/>
      <c r="C319" s="19"/>
      <c r="D319" s="19"/>
      <c r="X319" s="20"/>
    </row>
    <row r="320" spans="1:24" ht="13.9" x14ac:dyDescent="0.3">
      <c r="A320" s="19"/>
      <c r="B320" s="19"/>
      <c r="C320" s="19"/>
      <c r="D320" s="19"/>
      <c r="X320" s="20"/>
    </row>
    <row r="321" spans="1:24" ht="13.9" x14ac:dyDescent="0.3">
      <c r="A321" s="19"/>
      <c r="B321" s="19"/>
      <c r="C321" s="19"/>
      <c r="D321" s="19"/>
      <c r="X321" s="20"/>
    </row>
    <row r="322" spans="1:24" ht="13.9" x14ac:dyDescent="0.3">
      <c r="A322" s="19"/>
      <c r="B322" s="19"/>
      <c r="C322" s="19"/>
      <c r="D322" s="19"/>
      <c r="X322" s="20"/>
    </row>
    <row r="323" spans="1:24" ht="13.9" x14ac:dyDescent="0.3">
      <c r="A323" s="19"/>
      <c r="B323" s="19"/>
      <c r="C323" s="19"/>
      <c r="D323" s="19"/>
      <c r="X323" s="20"/>
    </row>
    <row r="324" spans="1:24" ht="13.9" x14ac:dyDescent="0.3">
      <c r="A324" s="19"/>
      <c r="B324" s="19"/>
      <c r="C324" s="19"/>
      <c r="D324" s="19"/>
      <c r="X324" s="20"/>
    </row>
    <row r="325" spans="1:24" ht="13.9" x14ac:dyDescent="0.3">
      <c r="A325" s="19"/>
      <c r="B325" s="19"/>
      <c r="C325" s="19"/>
      <c r="D325" s="19"/>
      <c r="X325" s="20"/>
    </row>
    <row r="326" spans="1:24" ht="13.9" x14ac:dyDescent="0.3">
      <c r="A326" s="19"/>
      <c r="B326" s="19"/>
      <c r="C326" s="19"/>
      <c r="D326" s="19"/>
      <c r="X326" s="20"/>
    </row>
    <row r="327" spans="1:24" ht="13.9" x14ac:dyDescent="0.3">
      <c r="A327" s="19"/>
      <c r="B327" s="19"/>
      <c r="C327" s="19"/>
      <c r="D327" s="19"/>
      <c r="X327" s="20"/>
    </row>
    <row r="328" spans="1:24" ht="13.9" x14ac:dyDescent="0.3">
      <c r="A328" s="19"/>
      <c r="B328" s="19"/>
      <c r="C328" s="19"/>
      <c r="D328" s="19"/>
      <c r="X328" s="20"/>
    </row>
    <row r="329" spans="1:24" ht="13.9" x14ac:dyDescent="0.3">
      <c r="A329" s="19"/>
      <c r="B329" s="19"/>
      <c r="C329" s="19"/>
      <c r="D329" s="19"/>
      <c r="X329" s="20"/>
    </row>
    <row r="330" spans="1:24" ht="13.9" x14ac:dyDescent="0.3">
      <c r="A330" s="19"/>
      <c r="B330" s="19"/>
      <c r="C330" s="19"/>
      <c r="D330" s="19"/>
      <c r="X330" s="20"/>
    </row>
    <row r="331" spans="1:24" ht="13.9" x14ac:dyDescent="0.3">
      <c r="A331" s="19"/>
      <c r="B331" s="19"/>
      <c r="C331" s="19"/>
      <c r="D331" s="19"/>
      <c r="X331" s="20"/>
    </row>
    <row r="332" spans="1:24" ht="13.9" x14ac:dyDescent="0.3">
      <c r="A332" s="19"/>
      <c r="B332" s="19"/>
      <c r="C332" s="19"/>
      <c r="D332" s="19"/>
      <c r="X332" s="20"/>
    </row>
    <row r="333" spans="1:24" ht="13.9" x14ac:dyDescent="0.3">
      <c r="A333" s="19"/>
      <c r="B333" s="19"/>
      <c r="C333" s="19"/>
      <c r="D333" s="19"/>
      <c r="X333" s="20"/>
    </row>
    <row r="334" spans="1:24" ht="13.9" x14ac:dyDescent="0.3">
      <c r="A334" s="19"/>
      <c r="B334" s="19"/>
      <c r="C334" s="19"/>
      <c r="D334" s="19"/>
      <c r="X334" s="20"/>
    </row>
    <row r="335" spans="1:24" ht="13.9" x14ac:dyDescent="0.3">
      <c r="A335" s="19"/>
      <c r="B335" s="19"/>
      <c r="C335" s="19"/>
      <c r="D335" s="19"/>
      <c r="X335" s="20"/>
    </row>
    <row r="336" spans="1:24" ht="13.9" x14ac:dyDescent="0.3">
      <c r="A336" s="19"/>
      <c r="B336" s="19"/>
      <c r="C336" s="19"/>
      <c r="D336" s="19"/>
      <c r="X336" s="20"/>
    </row>
    <row r="337" spans="1:24" ht="13.9" x14ac:dyDescent="0.3">
      <c r="A337" s="19"/>
      <c r="B337" s="19"/>
      <c r="C337" s="19"/>
      <c r="D337" s="19"/>
      <c r="X337" s="20"/>
    </row>
    <row r="338" spans="1:24" ht="13.9" x14ac:dyDescent="0.3">
      <c r="A338" s="19"/>
      <c r="B338" s="19"/>
      <c r="C338" s="19"/>
      <c r="D338" s="19"/>
      <c r="X338" s="20"/>
    </row>
    <row r="339" spans="1:24" ht="13.9" x14ac:dyDescent="0.3">
      <c r="A339" s="19"/>
      <c r="B339" s="19"/>
      <c r="C339" s="19"/>
      <c r="D339" s="19"/>
      <c r="X339" s="20"/>
    </row>
    <row r="340" spans="1:24" ht="13.9" x14ac:dyDescent="0.3">
      <c r="A340" s="19"/>
      <c r="B340" s="19"/>
      <c r="C340" s="19"/>
      <c r="D340" s="19"/>
      <c r="X340" s="20"/>
    </row>
    <row r="341" spans="1:24" ht="13.9" x14ac:dyDescent="0.3">
      <c r="A341" s="19"/>
      <c r="B341" s="19"/>
      <c r="C341" s="19"/>
      <c r="D341" s="19"/>
      <c r="X341" s="20"/>
    </row>
    <row r="342" spans="1:24" ht="13.9" x14ac:dyDescent="0.3">
      <c r="A342" s="19"/>
      <c r="B342" s="19"/>
      <c r="C342" s="19"/>
      <c r="D342" s="19"/>
      <c r="X342" s="20"/>
    </row>
    <row r="343" spans="1:24" ht="13.9" x14ac:dyDescent="0.3">
      <c r="A343" s="19"/>
      <c r="B343" s="19"/>
      <c r="C343" s="19"/>
      <c r="D343" s="19"/>
      <c r="X343" s="20"/>
    </row>
    <row r="344" spans="1:24" ht="13.9" x14ac:dyDescent="0.3">
      <c r="A344" s="19"/>
      <c r="B344" s="19"/>
      <c r="C344" s="19"/>
      <c r="D344" s="19"/>
      <c r="X344" s="20"/>
    </row>
    <row r="345" spans="1:24" ht="13.9" x14ac:dyDescent="0.3">
      <c r="A345" s="19"/>
      <c r="B345" s="19"/>
      <c r="C345" s="19"/>
      <c r="D345" s="19"/>
      <c r="X345" s="20"/>
    </row>
    <row r="346" spans="1:24" ht="13.9" x14ac:dyDescent="0.3">
      <c r="A346" s="19"/>
      <c r="B346" s="19"/>
      <c r="C346" s="19"/>
      <c r="D346" s="19"/>
      <c r="X346" s="20"/>
    </row>
    <row r="347" spans="1:24" ht="13.9" x14ac:dyDescent="0.3">
      <c r="A347" s="19"/>
      <c r="B347" s="19"/>
      <c r="C347" s="19"/>
      <c r="D347" s="19"/>
      <c r="X347" s="20"/>
    </row>
    <row r="348" spans="1:24" ht="13.9" x14ac:dyDescent="0.3">
      <c r="A348" s="19"/>
      <c r="B348" s="19"/>
      <c r="C348" s="19"/>
      <c r="D348" s="19"/>
      <c r="X348" s="20"/>
    </row>
    <row r="349" spans="1:24" ht="13.9" x14ac:dyDescent="0.3">
      <c r="A349" s="19"/>
      <c r="B349" s="19"/>
      <c r="C349" s="19"/>
      <c r="D349" s="19"/>
      <c r="X349" s="20"/>
    </row>
    <row r="350" spans="1:24" ht="13.9" x14ac:dyDescent="0.3">
      <c r="A350" s="19"/>
      <c r="B350" s="19"/>
      <c r="C350" s="19"/>
      <c r="D350" s="19"/>
      <c r="X350" s="20"/>
    </row>
    <row r="351" spans="1:24" ht="13.9" x14ac:dyDescent="0.3">
      <c r="A351" s="19"/>
      <c r="B351" s="19"/>
      <c r="C351" s="19"/>
      <c r="D351" s="19"/>
      <c r="X351" s="20"/>
    </row>
    <row r="352" spans="1:24" ht="13.9" x14ac:dyDescent="0.3">
      <c r="A352" s="19"/>
      <c r="B352" s="19"/>
      <c r="C352" s="19"/>
      <c r="D352" s="19"/>
      <c r="X352" s="20"/>
    </row>
    <row r="353" spans="1:24" ht="13.9" x14ac:dyDescent="0.3">
      <c r="A353" s="19"/>
      <c r="B353" s="19"/>
      <c r="C353" s="19"/>
      <c r="D353" s="19"/>
      <c r="X353" s="20"/>
    </row>
    <row r="354" spans="1:24" ht="13.9" x14ac:dyDescent="0.3">
      <c r="A354" s="19"/>
      <c r="B354" s="19"/>
      <c r="C354" s="19"/>
      <c r="D354" s="19"/>
      <c r="X354" s="20"/>
    </row>
    <row r="355" spans="1:24" ht="13.9" x14ac:dyDescent="0.3">
      <c r="A355" s="19"/>
      <c r="B355" s="19"/>
      <c r="C355" s="19"/>
      <c r="D355" s="19"/>
      <c r="X355" s="20"/>
    </row>
    <row r="356" spans="1:24" ht="13.9" x14ac:dyDescent="0.3">
      <c r="A356" s="19"/>
      <c r="B356" s="19"/>
      <c r="C356" s="19"/>
      <c r="D356" s="19"/>
      <c r="X356" s="20"/>
    </row>
    <row r="357" spans="1:24" ht="13.9" x14ac:dyDescent="0.3">
      <c r="A357" s="19"/>
      <c r="B357" s="19"/>
      <c r="C357" s="19"/>
      <c r="D357" s="19"/>
      <c r="X357" s="20"/>
    </row>
    <row r="358" spans="1:24" ht="13.9" x14ac:dyDescent="0.3">
      <c r="A358" s="19"/>
      <c r="B358" s="19"/>
      <c r="C358" s="19"/>
      <c r="D358" s="19"/>
      <c r="X358" s="20"/>
    </row>
    <row r="359" spans="1:24" ht="13.9" x14ac:dyDescent="0.3">
      <c r="A359" s="19"/>
      <c r="B359" s="19"/>
      <c r="C359" s="19"/>
      <c r="D359" s="19"/>
      <c r="X359" s="20"/>
    </row>
    <row r="360" spans="1:24" ht="13.9" x14ac:dyDescent="0.3">
      <c r="A360" s="19"/>
      <c r="B360" s="19"/>
      <c r="C360" s="19"/>
      <c r="D360" s="19"/>
      <c r="X360" s="20"/>
    </row>
    <row r="361" spans="1:24" ht="13.9" x14ac:dyDescent="0.3">
      <c r="A361" s="19"/>
      <c r="B361" s="19"/>
      <c r="C361" s="19"/>
      <c r="D361" s="19"/>
      <c r="X361" s="20"/>
    </row>
    <row r="362" spans="1:24" ht="13.9" x14ac:dyDescent="0.3">
      <c r="A362" s="19"/>
      <c r="B362" s="19"/>
      <c r="C362" s="19"/>
      <c r="D362" s="19"/>
      <c r="X362" s="20"/>
    </row>
    <row r="363" spans="1:24" ht="13.9" x14ac:dyDescent="0.3">
      <c r="A363" s="19"/>
      <c r="B363" s="19"/>
      <c r="C363" s="19"/>
      <c r="D363" s="19"/>
      <c r="X363" s="20"/>
    </row>
    <row r="364" spans="1:24" ht="13.9" x14ac:dyDescent="0.3">
      <c r="A364" s="19"/>
      <c r="B364" s="19"/>
      <c r="C364" s="19"/>
      <c r="D364" s="19"/>
      <c r="X364" s="20"/>
    </row>
    <row r="365" spans="1:24" ht="13.9" x14ac:dyDescent="0.3">
      <c r="A365" s="19"/>
      <c r="B365" s="19"/>
      <c r="C365" s="19"/>
      <c r="D365" s="19"/>
      <c r="X365" s="20"/>
    </row>
    <row r="366" spans="1:24" ht="13.9" x14ac:dyDescent="0.3">
      <c r="A366" s="19"/>
      <c r="B366" s="19"/>
      <c r="C366" s="19"/>
      <c r="D366" s="19"/>
      <c r="X366" s="20"/>
    </row>
    <row r="367" spans="1:24" ht="13.9" x14ac:dyDescent="0.3">
      <c r="A367" s="19"/>
      <c r="B367" s="19"/>
      <c r="C367" s="19"/>
      <c r="D367" s="19"/>
      <c r="X367" s="20"/>
    </row>
    <row r="368" spans="1:24" ht="13.9" x14ac:dyDescent="0.3">
      <c r="A368" s="19"/>
      <c r="B368" s="19"/>
      <c r="C368" s="19"/>
      <c r="D368" s="19"/>
      <c r="X368" s="20"/>
    </row>
    <row r="369" spans="1:24" ht="13.9" x14ac:dyDescent="0.3">
      <c r="A369" s="19"/>
      <c r="B369" s="19"/>
      <c r="C369" s="19"/>
      <c r="D369" s="19"/>
      <c r="X369" s="20"/>
    </row>
    <row r="370" spans="1:24" ht="13.9" x14ac:dyDescent="0.3">
      <c r="A370" s="19"/>
      <c r="B370" s="19"/>
      <c r="C370" s="19"/>
      <c r="D370" s="19"/>
      <c r="X370" s="20"/>
    </row>
    <row r="371" spans="1:24" ht="13.9" x14ac:dyDescent="0.3">
      <c r="A371" s="19"/>
      <c r="B371" s="19"/>
      <c r="C371" s="19"/>
      <c r="D371" s="19"/>
      <c r="X371" s="20"/>
    </row>
    <row r="372" spans="1:24" ht="13.9" x14ac:dyDescent="0.3">
      <c r="A372" s="19"/>
      <c r="B372" s="19"/>
      <c r="C372" s="19"/>
      <c r="D372" s="19"/>
      <c r="X372" s="20"/>
    </row>
    <row r="373" spans="1:24" ht="13.9" x14ac:dyDescent="0.3">
      <c r="A373" s="19"/>
      <c r="B373" s="19"/>
      <c r="C373" s="19"/>
      <c r="D373" s="19"/>
      <c r="X373" s="20"/>
    </row>
    <row r="374" spans="1:24" ht="13.9" x14ac:dyDescent="0.3">
      <c r="A374" s="19"/>
      <c r="B374" s="19"/>
      <c r="C374" s="19"/>
      <c r="D374" s="19"/>
      <c r="X374" s="20"/>
    </row>
    <row r="375" spans="1:24" ht="13.9" x14ac:dyDescent="0.3">
      <c r="A375" s="19"/>
      <c r="B375" s="19"/>
      <c r="C375" s="19"/>
      <c r="D375" s="19"/>
      <c r="X375" s="20"/>
    </row>
    <row r="376" spans="1:24" ht="13.9" x14ac:dyDescent="0.3">
      <c r="A376" s="19"/>
      <c r="B376" s="19"/>
      <c r="C376" s="19"/>
      <c r="D376" s="19"/>
      <c r="X376" s="20"/>
    </row>
    <row r="377" spans="1:24" ht="13.9" x14ac:dyDescent="0.3">
      <c r="A377" s="19"/>
      <c r="B377" s="19"/>
      <c r="C377" s="19"/>
      <c r="D377" s="19"/>
      <c r="X377" s="20"/>
    </row>
    <row r="378" spans="1:24" ht="13.9" x14ac:dyDescent="0.3">
      <c r="A378" s="19"/>
      <c r="B378" s="19"/>
      <c r="C378" s="19"/>
      <c r="D378" s="19"/>
      <c r="X378" s="20"/>
    </row>
    <row r="379" spans="1:24" ht="13.9" x14ac:dyDescent="0.3">
      <c r="A379" s="19"/>
      <c r="B379" s="19"/>
      <c r="C379" s="19"/>
      <c r="D379" s="19"/>
      <c r="X379" s="20"/>
    </row>
    <row r="380" spans="1:24" ht="13.9" x14ac:dyDescent="0.3">
      <c r="A380" s="19"/>
      <c r="B380" s="19"/>
      <c r="C380" s="19"/>
      <c r="D380" s="19"/>
      <c r="X380" s="20"/>
    </row>
    <row r="381" spans="1:24" ht="13.9" x14ac:dyDescent="0.3">
      <c r="A381" s="19"/>
      <c r="B381" s="19"/>
      <c r="C381" s="19"/>
      <c r="D381" s="19"/>
      <c r="X381" s="20"/>
    </row>
    <row r="382" spans="1:24" ht="13.9" x14ac:dyDescent="0.3">
      <c r="A382" s="19"/>
      <c r="B382" s="19"/>
      <c r="C382" s="19"/>
      <c r="D382" s="19"/>
      <c r="X382" s="20"/>
    </row>
    <row r="383" spans="1:24" ht="13.9" x14ac:dyDescent="0.3">
      <c r="A383" s="19"/>
      <c r="B383" s="19"/>
      <c r="C383" s="19"/>
      <c r="D383" s="19"/>
      <c r="X383" s="20"/>
    </row>
    <row r="384" spans="1:24" ht="13.9" x14ac:dyDescent="0.3">
      <c r="A384" s="19"/>
      <c r="B384" s="19"/>
      <c r="C384" s="19"/>
      <c r="D384" s="19"/>
      <c r="X384" s="20"/>
    </row>
    <row r="385" spans="1:24" ht="13.9" x14ac:dyDescent="0.3">
      <c r="A385" s="19"/>
      <c r="B385" s="19"/>
      <c r="C385" s="19"/>
      <c r="D385" s="19"/>
      <c r="X385" s="20"/>
    </row>
    <row r="386" spans="1:24" ht="13.9" x14ac:dyDescent="0.3">
      <c r="A386" s="19"/>
      <c r="B386" s="19"/>
      <c r="C386" s="19"/>
      <c r="D386" s="19"/>
      <c r="X386" s="20"/>
    </row>
    <row r="387" spans="1:24" ht="13.9" x14ac:dyDescent="0.3">
      <c r="A387" s="19"/>
      <c r="B387" s="19"/>
      <c r="C387" s="19"/>
      <c r="D387" s="19"/>
      <c r="X387" s="20"/>
    </row>
    <row r="388" spans="1:24" ht="13.9" x14ac:dyDescent="0.3">
      <c r="A388" s="19"/>
      <c r="B388" s="19"/>
      <c r="C388" s="19"/>
      <c r="D388" s="19"/>
      <c r="X388" s="20"/>
    </row>
    <row r="389" spans="1:24" ht="13.9" x14ac:dyDescent="0.3">
      <c r="A389" s="19"/>
      <c r="B389" s="19"/>
      <c r="C389" s="19"/>
      <c r="D389" s="19"/>
      <c r="X389" s="20"/>
    </row>
    <row r="390" spans="1:24" ht="13.9" x14ac:dyDescent="0.3">
      <c r="A390" s="19"/>
      <c r="B390" s="19"/>
      <c r="C390" s="19"/>
      <c r="D390" s="19"/>
      <c r="X390" s="20"/>
    </row>
    <row r="391" spans="1:24" ht="13.9" x14ac:dyDescent="0.3">
      <c r="A391" s="19"/>
      <c r="B391" s="19"/>
      <c r="C391" s="19"/>
      <c r="D391" s="19"/>
      <c r="X391" s="20"/>
    </row>
    <row r="392" spans="1:24" ht="13.9" x14ac:dyDescent="0.3">
      <c r="A392" s="19"/>
      <c r="B392" s="19"/>
      <c r="C392" s="19"/>
      <c r="D392" s="19"/>
      <c r="X392" s="20"/>
    </row>
    <row r="393" spans="1:24" ht="13.9" x14ac:dyDescent="0.3">
      <c r="A393" s="19"/>
      <c r="B393" s="19"/>
      <c r="C393" s="19"/>
      <c r="D393" s="19"/>
      <c r="X393" s="20"/>
    </row>
    <row r="394" spans="1:24" ht="13.9" x14ac:dyDescent="0.3">
      <c r="A394" s="19"/>
      <c r="B394" s="19"/>
      <c r="C394" s="19"/>
      <c r="D394" s="19"/>
      <c r="X394" s="20"/>
    </row>
    <row r="395" spans="1:24" ht="13.9" x14ac:dyDescent="0.3">
      <c r="A395" s="19"/>
      <c r="B395" s="19"/>
      <c r="C395" s="19"/>
      <c r="D395" s="19"/>
      <c r="X395" s="20"/>
    </row>
    <row r="396" spans="1:24" ht="13.9" x14ac:dyDescent="0.3">
      <c r="A396" s="19"/>
      <c r="B396" s="19"/>
      <c r="C396" s="19"/>
      <c r="D396" s="19"/>
      <c r="X396" s="20"/>
    </row>
    <row r="397" spans="1:24" ht="13.9" x14ac:dyDescent="0.3">
      <c r="A397" s="19"/>
      <c r="B397" s="19"/>
      <c r="C397" s="19"/>
      <c r="D397" s="19"/>
      <c r="X397" s="20"/>
    </row>
    <row r="398" spans="1:24" ht="13.9" x14ac:dyDescent="0.3">
      <c r="A398" s="19"/>
      <c r="B398" s="19"/>
      <c r="C398" s="19"/>
      <c r="D398" s="19"/>
      <c r="X398" s="20"/>
    </row>
    <row r="399" spans="1:24" ht="13.9" x14ac:dyDescent="0.3">
      <c r="A399" s="19"/>
      <c r="B399" s="19"/>
      <c r="C399" s="19"/>
      <c r="D399" s="19"/>
      <c r="X399" s="20"/>
    </row>
    <row r="400" spans="1:24" ht="13.9" x14ac:dyDescent="0.3">
      <c r="A400" s="19"/>
      <c r="B400" s="19"/>
      <c r="C400" s="19"/>
      <c r="D400" s="19"/>
      <c r="X400" s="20"/>
    </row>
    <row r="401" spans="1:24" ht="13.9" x14ac:dyDescent="0.3">
      <c r="A401" s="19"/>
      <c r="B401" s="19"/>
      <c r="C401" s="19"/>
      <c r="D401" s="19"/>
      <c r="X401" s="20"/>
    </row>
    <row r="402" spans="1:24" ht="13.9" x14ac:dyDescent="0.3">
      <c r="A402" s="19"/>
      <c r="B402" s="19"/>
      <c r="C402" s="19"/>
      <c r="D402" s="19"/>
      <c r="X402" s="20"/>
    </row>
    <row r="403" spans="1:24" ht="13.9" x14ac:dyDescent="0.3">
      <c r="A403" s="19"/>
      <c r="B403" s="19"/>
      <c r="C403" s="19"/>
      <c r="D403" s="19"/>
      <c r="X403" s="20"/>
    </row>
    <row r="404" spans="1:24" ht="13.9" x14ac:dyDescent="0.3">
      <c r="A404" s="19"/>
      <c r="B404" s="19"/>
      <c r="C404" s="19"/>
      <c r="D404" s="19"/>
      <c r="X404" s="20"/>
    </row>
    <row r="405" spans="1:24" ht="13.9" x14ac:dyDescent="0.3">
      <c r="A405" s="19"/>
      <c r="B405" s="19"/>
      <c r="C405" s="19"/>
      <c r="D405" s="19"/>
      <c r="X405" s="20"/>
    </row>
    <row r="406" spans="1:24" ht="13.9" x14ac:dyDescent="0.3">
      <c r="A406" s="19"/>
      <c r="B406" s="19"/>
      <c r="C406" s="19"/>
      <c r="D406" s="19"/>
      <c r="X406" s="20"/>
    </row>
    <row r="407" spans="1:24" ht="13.9" x14ac:dyDescent="0.3">
      <c r="A407" s="19"/>
      <c r="B407" s="19"/>
      <c r="C407" s="19"/>
      <c r="D407" s="19"/>
      <c r="X407" s="20"/>
    </row>
    <row r="408" spans="1:24" ht="13.9" x14ac:dyDescent="0.3">
      <c r="A408" s="19"/>
      <c r="B408" s="19"/>
      <c r="C408" s="19"/>
      <c r="D408" s="19"/>
      <c r="X408" s="20"/>
    </row>
    <row r="409" spans="1:24" ht="13.9" x14ac:dyDescent="0.3">
      <c r="A409" s="19"/>
      <c r="B409" s="19"/>
      <c r="C409" s="19"/>
      <c r="D409" s="19"/>
      <c r="X409" s="20"/>
    </row>
    <row r="410" spans="1:24" ht="13.9" x14ac:dyDescent="0.3">
      <c r="A410" s="19"/>
      <c r="B410" s="19"/>
      <c r="C410" s="19"/>
      <c r="D410" s="19"/>
      <c r="X410" s="20"/>
    </row>
    <row r="411" spans="1:24" ht="13.9" x14ac:dyDescent="0.3">
      <c r="A411" s="19"/>
      <c r="B411" s="19"/>
      <c r="C411" s="19"/>
      <c r="D411" s="19"/>
      <c r="X411" s="20"/>
    </row>
    <row r="412" spans="1:24" ht="13.9" x14ac:dyDescent="0.3">
      <c r="A412" s="19"/>
      <c r="B412" s="19"/>
      <c r="C412" s="19"/>
      <c r="D412" s="19"/>
      <c r="X412" s="20"/>
    </row>
    <row r="413" spans="1:24" ht="13.9" x14ac:dyDescent="0.3">
      <c r="A413" s="19"/>
      <c r="B413" s="19"/>
      <c r="C413" s="19"/>
      <c r="D413" s="19"/>
      <c r="X413" s="20"/>
    </row>
    <row r="414" spans="1:24" ht="13.9" x14ac:dyDescent="0.3">
      <c r="A414" s="19"/>
      <c r="B414" s="19"/>
      <c r="C414" s="19"/>
      <c r="D414" s="19"/>
      <c r="X414" s="20"/>
    </row>
    <row r="415" spans="1:24" ht="13.9" x14ac:dyDescent="0.3">
      <c r="A415" s="19"/>
      <c r="B415" s="19"/>
      <c r="C415" s="19"/>
      <c r="D415" s="19"/>
      <c r="X415" s="20"/>
    </row>
    <row r="416" spans="1:24" ht="13.9" x14ac:dyDescent="0.3">
      <c r="A416" s="19"/>
      <c r="B416" s="19"/>
      <c r="C416" s="19"/>
      <c r="D416" s="19"/>
      <c r="X416" s="20"/>
    </row>
    <row r="417" spans="1:24" ht="13.9" x14ac:dyDescent="0.3">
      <c r="A417" s="19"/>
      <c r="B417" s="19"/>
      <c r="C417" s="19"/>
      <c r="D417" s="19"/>
      <c r="X417" s="20"/>
    </row>
    <row r="418" spans="1:24" ht="13.9" x14ac:dyDescent="0.3">
      <c r="A418" s="19"/>
      <c r="B418" s="19"/>
      <c r="C418" s="19"/>
      <c r="D418" s="19"/>
      <c r="X418" s="20"/>
    </row>
    <row r="419" spans="1:24" ht="13.9" x14ac:dyDescent="0.3">
      <c r="A419" s="19"/>
      <c r="B419" s="19"/>
      <c r="C419" s="19"/>
      <c r="D419" s="19"/>
      <c r="X419" s="20"/>
    </row>
    <row r="420" spans="1:24" ht="13.9" x14ac:dyDescent="0.3">
      <c r="A420" s="19"/>
      <c r="B420" s="19"/>
      <c r="C420" s="19"/>
      <c r="D420" s="19"/>
      <c r="X420" s="20"/>
    </row>
    <row r="421" spans="1:24" ht="13.9" x14ac:dyDescent="0.3">
      <c r="A421" s="19"/>
      <c r="B421" s="19"/>
      <c r="C421" s="19"/>
      <c r="D421" s="19"/>
      <c r="X421" s="20"/>
    </row>
    <row r="422" spans="1:24" ht="13.9" x14ac:dyDescent="0.3">
      <c r="A422" s="19"/>
      <c r="B422" s="19"/>
      <c r="C422" s="19"/>
      <c r="D422" s="19"/>
      <c r="X422" s="20"/>
    </row>
    <row r="423" spans="1:24" ht="13.9" x14ac:dyDescent="0.3">
      <c r="A423" s="19"/>
      <c r="B423" s="19"/>
      <c r="C423" s="19"/>
      <c r="D423" s="19"/>
      <c r="X423" s="20"/>
    </row>
    <row r="424" spans="1:24" ht="13.9" x14ac:dyDescent="0.3">
      <c r="A424" s="19"/>
      <c r="B424" s="19"/>
      <c r="C424" s="19"/>
      <c r="D424" s="19"/>
      <c r="X424" s="20"/>
    </row>
    <row r="425" spans="1:24" ht="13.9" x14ac:dyDescent="0.3">
      <c r="A425" s="19"/>
      <c r="B425" s="19"/>
      <c r="C425" s="19"/>
      <c r="D425" s="19"/>
      <c r="X425" s="20"/>
    </row>
    <row r="426" spans="1:24" ht="13.9" x14ac:dyDescent="0.3">
      <c r="A426" s="19"/>
      <c r="B426" s="19"/>
      <c r="C426" s="19"/>
      <c r="D426" s="19"/>
      <c r="X426" s="20"/>
    </row>
    <row r="427" spans="1:24" ht="13.9" x14ac:dyDescent="0.3">
      <c r="A427" s="19"/>
      <c r="B427" s="19"/>
      <c r="C427" s="19"/>
      <c r="D427" s="19"/>
      <c r="X427" s="20"/>
    </row>
    <row r="428" spans="1:24" ht="13.9" x14ac:dyDescent="0.3">
      <c r="A428" s="19"/>
      <c r="B428" s="19"/>
      <c r="C428" s="19"/>
      <c r="D428" s="19"/>
      <c r="X428" s="20"/>
    </row>
    <row r="429" spans="1:24" ht="13.9" x14ac:dyDescent="0.3">
      <c r="A429" s="19"/>
      <c r="B429" s="19"/>
      <c r="C429" s="19"/>
      <c r="D429" s="19"/>
      <c r="X429" s="20"/>
    </row>
    <row r="430" spans="1:24" ht="13.9" x14ac:dyDescent="0.3">
      <c r="A430" s="19"/>
      <c r="B430" s="19"/>
      <c r="C430" s="19"/>
      <c r="D430" s="19"/>
      <c r="X430" s="20"/>
    </row>
    <row r="431" spans="1:24" ht="13.9" x14ac:dyDescent="0.3">
      <c r="A431" s="19"/>
      <c r="B431" s="19"/>
      <c r="C431" s="19"/>
      <c r="D431" s="19"/>
      <c r="X431" s="20"/>
    </row>
    <row r="432" spans="1:24" ht="13.9" x14ac:dyDescent="0.3">
      <c r="A432" s="19"/>
      <c r="B432" s="19"/>
      <c r="C432" s="19"/>
      <c r="D432" s="19"/>
      <c r="X432" s="20"/>
    </row>
    <row r="433" spans="1:24" ht="13.9" x14ac:dyDescent="0.3">
      <c r="A433" s="19"/>
      <c r="B433" s="19"/>
      <c r="C433" s="19"/>
      <c r="D433" s="19"/>
      <c r="X433" s="20"/>
    </row>
    <row r="434" spans="1:24" ht="13.9" x14ac:dyDescent="0.3">
      <c r="A434" s="19"/>
      <c r="B434" s="19"/>
      <c r="C434" s="19"/>
      <c r="D434" s="19"/>
      <c r="X434" s="20"/>
    </row>
    <row r="435" spans="1:24" ht="13.9" x14ac:dyDescent="0.3">
      <c r="A435" s="19"/>
      <c r="B435" s="19"/>
      <c r="C435" s="19"/>
      <c r="D435" s="19"/>
      <c r="X435" s="20"/>
    </row>
    <row r="436" spans="1:24" ht="13.9" x14ac:dyDescent="0.3">
      <c r="A436" s="19"/>
      <c r="B436" s="19"/>
      <c r="C436" s="19"/>
      <c r="D436" s="19"/>
      <c r="X436" s="20"/>
    </row>
    <row r="437" spans="1:24" ht="13.9" x14ac:dyDescent="0.3">
      <c r="A437" s="19"/>
      <c r="B437" s="19"/>
      <c r="C437" s="19"/>
      <c r="D437" s="19"/>
      <c r="X437" s="20"/>
    </row>
    <row r="438" spans="1:24" ht="13.9" x14ac:dyDescent="0.3">
      <c r="A438" s="19"/>
      <c r="B438" s="19"/>
      <c r="C438" s="19"/>
      <c r="D438" s="19"/>
      <c r="X438" s="20"/>
    </row>
    <row r="439" spans="1:24" ht="13.9" x14ac:dyDescent="0.3">
      <c r="A439" s="19"/>
      <c r="B439" s="19"/>
      <c r="C439" s="19"/>
      <c r="D439" s="19"/>
      <c r="X439" s="20"/>
    </row>
    <row r="440" spans="1:24" ht="13.9" x14ac:dyDescent="0.3">
      <c r="A440" s="19"/>
      <c r="B440" s="19"/>
      <c r="C440" s="19"/>
      <c r="D440" s="19"/>
      <c r="X440" s="20"/>
    </row>
    <row r="441" spans="1:24" ht="13.9" x14ac:dyDescent="0.3">
      <c r="A441" s="19"/>
      <c r="B441" s="19"/>
      <c r="C441" s="19"/>
      <c r="D441" s="19"/>
      <c r="X441" s="20"/>
    </row>
    <row r="442" spans="1:24" ht="13.9" x14ac:dyDescent="0.3">
      <c r="A442" s="19"/>
      <c r="B442" s="19"/>
      <c r="C442" s="19"/>
      <c r="D442" s="19"/>
      <c r="X442" s="20"/>
    </row>
    <row r="443" spans="1:24" ht="13.9" x14ac:dyDescent="0.3">
      <c r="A443" s="19"/>
      <c r="B443" s="19"/>
      <c r="C443" s="19"/>
      <c r="D443" s="19"/>
      <c r="X443" s="20"/>
    </row>
    <row r="444" spans="1:24" ht="13.9" x14ac:dyDescent="0.3">
      <c r="A444" s="19"/>
      <c r="B444" s="19"/>
      <c r="C444" s="19"/>
      <c r="D444" s="19"/>
      <c r="X444" s="20"/>
    </row>
    <row r="445" spans="1:24" ht="13.9" x14ac:dyDescent="0.3">
      <c r="A445" s="19"/>
      <c r="B445" s="19"/>
      <c r="C445" s="19"/>
      <c r="D445" s="19"/>
      <c r="X445" s="20"/>
    </row>
    <row r="446" spans="1:24" ht="13.9" x14ac:dyDescent="0.3">
      <c r="A446" s="19"/>
      <c r="B446" s="19"/>
      <c r="C446" s="19"/>
      <c r="D446" s="19"/>
      <c r="X446" s="20"/>
    </row>
    <row r="447" spans="1:24" ht="13.9" x14ac:dyDescent="0.3">
      <c r="A447" s="19"/>
      <c r="B447" s="19"/>
      <c r="C447" s="19"/>
      <c r="D447" s="19"/>
      <c r="X447" s="20"/>
    </row>
    <row r="448" spans="1:24" ht="13.9" x14ac:dyDescent="0.3">
      <c r="A448" s="19"/>
      <c r="B448" s="19"/>
      <c r="C448" s="19"/>
      <c r="D448" s="19"/>
      <c r="X448" s="20"/>
    </row>
    <row r="449" spans="1:24" ht="13.9" x14ac:dyDescent="0.3">
      <c r="A449" s="19"/>
      <c r="B449" s="19"/>
      <c r="C449" s="19"/>
      <c r="D449" s="19"/>
      <c r="X449" s="20"/>
    </row>
    <row r="450" spans="1:24" ht="13.9" x14ac:dyDescent="0.3">
      <c r="A450" s="19"/>
      <c r="B450" s="19"/>
      <c r="C450" s="19"/>
      <c r="D450" s="19"/>
      <c r="X450" s="20"/>
    </row>
    <row r="451" spans="1:24" ht="13.9" x14ac:dyDescent="0.3">
      <c r="A451" s="19"/>
      <c r="B451" s="19"/>
      <c r="C451" s="19"/>
      <c r="D451" s="19"/>
      <c r="X451" s="20"/>
    </row>
    <row r="452" spans="1:24" ht="13.9" x14ac:dyDescent="0.3">
      <c r="A452" s="19"/>
      <c r="B452" s="19"/>
      <c r="C452" s="19"/>
      <c r="D452" s="19"/>
      <c r="X452" s="20"/>
    </row>
    <row r="453" spans="1:24" ht="13.9" x14ac:dyDescent="0.3">
      <c r="A453" s="19"/>
      <c r="B453" s="19"/>
      <c r="C453" s="19"/>
      <c r="D453" s="19"/>
      <c r="X453" s="20"/>
    </row>
    <row r="454" spans="1:24" ht="13.9" x14ac:dyDescent="0.3">
      <c r="A454" s="19"/>
      <c r="B454" s="19"/>
      <c r="C454" s="19"/>
      <c r="D454" s="19"/>
      <c r="X454" s="20"/>
    </row>
    <row r="455" spans="1:24" ht="13.9" x14ac:dyDescent="0.3">
      <c r="A455" s="19"/>
      <c r="B455" s="19"/>
      <c r="C455" s="19"/>
      <c r="D455" s="19"/>
      <c r="X455" s="20"/>
    </row>
    <row r="456" spans="1:24" ht="13.9" x14ac:dyDescent="0.3">
      <c r="A456" s="19"/>
      <c r="B456" s="19"/>
      <c r="C456" s="19"/>
      <c r="D456" s="19"/>
      <c r="X456" s="20"/>
    </row>
    <row r="457" spans="1:24" ht="13.9" x14ac:dyDescent="0.3">
      <c r="A457" s="19"/>
      <c r="B457" s="19"/>
      <c r="C457" s="19"/>
      <c r="D457" s="19"/>
      <c r="X457" s="20"/>
    </row>
    <row r="458" spans="1:24" ht="13.9" x14ac:dyDescent="0.3">
      <c r="A458" s="19"/>
      <c r="B458" s="19"/>
      <c r="C458" s="19"/>
      <c r="D458" s="19"/>
      <c r="X458" s="20"/>
    </row>
    <row r="459" spans="1:24" ht="13.9" x14ac:dyDescent="0.3">
      <c r="A459" s="19"/>
      <c r="B459" s="19"/>
      <c r="C459" s="19"/>
      <c r="D459" s="19"/>
      <c r="X459" s="20"/>
    </row>
    <row r="460" spans="1:24" ht="13.9" x14ac:dyDescent="0.3">
      <c r="A460" s="19"/>
      <c r="B460" s="19"/>
      <c r="C460" s="19"/>
      <c r="D460" s="19"/>
      <c r="X460" s="20"/>
    </row>
    <row r="461" spans="1:24" ht="13.9" x14ac:dyDescent="0.3">
      <c r="A461" s="19"/>
      <c r="B461" s="19"/>
      <c r="C461" s="19"/>
      <c r="D461" s="19"/>
      <c r="X461" s="20"/>
    </row>
    <row r="462" spans="1:24" ht="13.9" x14ac:dyDescent="0.3">
      <c r="A462" s="19"/>
      <c r="B462" s="19"/>
      <c r="C462" s="19"/>
      <c r="D462" s="19"/>
      <c r="X462" s="20"/>
    </row>
    <row r="463" spans="1:24" ht="13.9" x14ac:dyDescent="0.3">
      <c r="A463" s="19"/>
      <c r="B463" s="19"/>
      <c r="C463" s="19"/>
      <c r="D463" s="19"/>
      <c r="X463" s="20"/>
    </row>
    <row r="464" spans="1:24" ht="13.9" x14ac:dyDescent="0.3">
      <c r="A464" s="19"/>
      <c r="B464" s="19"/>
      <c r="C464" s="19"/>
      <c r="D464" s="19"/>
      <c r="X464" s="20"/>
    </row>
    <row r="465" spans="1:24" ht="13.9" x14ac:dyDescent="0.3">
      <c r="A465" s="19"/>
      <c r="B465" s="19"/>
      <c r="C465" s="19"/>
      <c r="D465" s="19"/>
      <c r="X465" s="20"/>
    </row>
    <row r="466" spans="1:24" ht="13.9" x14ac:dyDescent="0.3">
      <c r="A466" s="19"/>
      <c r="B466" s="19"/>
      <c r="C466" s="19"/>
      <c r="D466" s="19"/>
      <c r="X466" s="20"/>
    </row>
    <row r="467" spans="1:24" ht="13.9" x14ac:dyDescent="0.3">
      <c r="A467" s="19"/>
      <c r="B467" s="19"/>
      <c r="C467" s="19"/>
      <c r="D467" s="19"/>
      <c r="X467" s="20"/>
    </row>
    <row r="468" spans="1:24" ht="13.9" x14ac:dyDescent="0.3">
      <c r="A468" s="19"/>
      <c r="B468" s="19"/>
      <c r="C468" s="19"/>
      <c r="D468" s="19"/>
      <c r="X468" s="20"/>
    </row>
    <row r="469" spans="1:24" ht="13.9" x14ac:dyDescent="0.3">
      <c r="A469" s="19"/>
      <c r="B469" s="19"/>
      <c r="C469" s="19"/>
      <c r="D469" s="19"/>
      <c r="X469" s="20"/>
    </row>
    <row r="470" spans="1:24" ht="13.9" x14ac:dyDescent="0.3">
      <c r="A470" s="19"/>
      <c r="B470" s="19"/>
      <c r="C470" s="19"/>
      <c r="D470" s="19"/>
      <c r="X470" s="20"/>
    </row>
    <row r="471" spans="1:24" ht="13.9" x14ac:dyDescent="0.3">
      <c r="A471" s="19"/>
      <c r="B471" s="19"/>
      <c r="C471" s="19"/>
      <c r="D471" s="19"/>
      <c r="X471" s="20"/>
    </row>
    <row r="472" spans="1:24" ht="13.9" x14ac:dyDescent="0.3">
      <c r="A472" s="19"/>
      <c r="B472" s="19"/>
      <c r="C472" s="19"/>
      <c r="D472" s="19"/>
      <c r="X472" s="20"/>
    </row>
    <row r="473" spans="1:24" ht="13.9" x14ac:dyDescent="0.3">
      <c r="A473" s="19"/>
      <c r="B473" s="19"/>
      <c r="C473" s="19"/>
      <c r="D473" s="19"/>
      <c r="X473" s="20"/>
    </row>
    <row r="474" spans="1:24" ht="13.9" x14ac:dyDescent="0.3">
      <c r="A474" s="19"/>
      <c r="B474" s="19"/>
      <c r="C474" s="19"/>
      <c r="D474" s="19"/>
      <c r="X474" s="20"/>
    </row>
    <row r="475" spans="1:24" ht="13.9" x14ac:dyDescent="0.3">
      <c r="A475" s="19"/>
      <c r="B475" s="19"/>
      <c r="C475" s="19"/>
      <c r="D475" s="19"/>
      <c r="X475" s="20"/>
    </row>
    <row r="476" spans="1:24" ht="13.9" x14ac:dyDescent="0.3">
      <c r="A476" s="19"/>
      <c r="B476" s="19"/>
      <c r="C476" s="19"/>
      <c r="D476" s="19"/>
      <c r="X476" s="20"/>
    </row>
    <row r="477" spans="1:24" ht="13.9" x14ac:dyDescent="0.3">
      <c r="A477" s="19"/>
      <c r="B477" s="19"/>
      <c r="C477" s="19"/>
      <c r="D477" s="19"/>
      <c r="X477" s="20"/>
    </row>
    <row r="478" spans="1:24" ht="13.9" x14ac:dyDescent="0.3">
      <c r="A478" s="19"/>
      <c r="B478" s="19"/>
      <c r="C478" s="19"/>
      <c r="D478" s="19"/>
      <c r="X478" s="20"/>
    </row>
    <row r="479" spans="1:24" ht="13.9" x14ac:dyDescent="0.3">
      <c r="A479" s="19"/>
      <c r="B479" s="19"/>
      <c r="C479" s="19"/>
      <c r="D479" s="19"/>
      <c r="X479" s="20"/>
    </row>
    <row r="480" spans="1:24" ht="13.9" x14ac:dyDescent="0.3">
      <c r="A480" s="19"/>
      <c r="B480" s="19"/>
      <c r="C480" s="19"/>
      <c r="D480" s="19"/>
      <c r="X480" s="20"/>
    </row>
    <row r="481" spans="1:24" ht="13.9" x14ac:dyDescent="0.3">
      <c r="A481" s="19"/>
      <c r="B481" s="19"/>
      <c r="C481" s="19"/>
      <c r="D481" s="19"/>
      <c r="X481" s="20"/>
    </row>
    <row r="482" spans="1:24" ht="13.9" x14ac:dyDescent="0.3">
      <c r="A482" s="19"/>
      <c r="B482" s="19"/>
      <c r="C482" s="19"/>
      <c r="D482" s="19"/>
      <c r="X482" s="20"/>
    </row>
    <row r="483" spans="1:24" ht="13.9" x14ac:dyDescent="0.3">
      <c r="A483" s="19"/>
      <c r="B483" s="19"/>
      <c r="C483" s="19"/>
      <c r="D483" s="19"/>
      <c r="X483" s="20"/>
    </row>
    <row r="484" spans="1:24" ht="13.9" x14ac:dyDescent="0.3">
      <c r="A484" s="19"/>
      <c r="B484" s="19"/>
      <c r="C484" s="19"/>
      <c r="D484" s="19"/>
      <c r="X484" s="20"/>
    </row>
    <row r="485" spans="1:24" ht="13.9" x14ac:dyDescent="0.3">
      <c r="A485" s="19"/>
      <c r="B485" s="19"/>
      <c r="C485" s="19"/>
      <c r="D485" s="19"/>
      <c r="X485" s="20"/>
    </row>
    <row r="486" spans="1:24" ht="13.9" x14ac:dyDescent="0.3">
      <c r="A486" s="19"/>
      <c r="B486" s="19"/>
      <c r="C486" s="19"/>
      <c r="D486" s="19"/>
      <c r="X486" s="20"/>
    </row>
    <row r="487" spans="1:24" ht="13.9" x14ac:dyDescent="0.3">
      <c r="A487" s="19"/>
      <c r="B487" s="19"/>
      <c r="C487" s="19"/>
      <c r="D487" s="19"/>
      <c r="X487" s="20"/>
    </row>
    <row r="488" spans="1:24" ht="13.9" x14ac:dyDescent="0.3">
      <c r="A488" s="19"/>
      <c r="B488" s="19"/>
      <c r="C488" s="19"/>
      <c r="D488" s="19"/>
      <c r="X488" s="20"/>
    </row>
    <row r="489" spans="1:24" ht="13.9" x14ac:dyDescent="0.3">
      <c r="A489" s="19"/>
      <c r="B489" s="19"/>
      <c r="C489" s="19"/>
      <c r="D489" s="19"/>
      <c r="X489" s="20"/>
    </row>
    <row r="490" spans="1:24" ht="13.9" x14ac:dyDescent="0.3">
      <c r="A490" s="19"/>
      <c r="B490" s="19"/>
      <c r="C490" s="19"/>
      <c r="D490" s="19"/>
      <c r="X490" s="20"/>
    </row>
    <row r="491" spans="1:24" ht="13.9" x14ac:dyDescent="0.3">
      <c r="A491" s="19"/>
      <c r="B491" s="19"/>
      <c r="C491" s="19"/>
      <c r="D491" s="19"/>
      <c r="X491" s="20"/>
    </row>
    <row r="492" spans="1:24" ht="13.9" x14ac:dyDescent="0.3">
      <c r="A492" s="19"/>
      <c r="B492" s="19"/>
      <c r="C492" s="19"/>
      <c r="D492" s="19"/>
      <c r="X492" s="20"/>
    </row>
    <row r="493" spans="1:24" ht="13.9" x14ac:dyDescent="0.3">
      <c r="A493" s="19"/>
      <c r="B493" s="19"/>
      <c r="C493" s="19"/>
      <c r="D493" s="19"/>
      <c r="X493" s="20"/>
    </row>
    <row r="494" spans="1:24" ht="13.9" x14ac:dyDescent="0.3">
      <c r="A494" s="19"/>
      <c r="B494" s="19"/>
      <c r="C494" s="19"/>
      <c r="D494" s="19"/>
      <c r="X494" s="20"/>
    </row>
    <row r="495" spans="1:24" ht="13.9" x14ac:dyDescent="0.3">
      <c r="A495" s="19"/>
      <c r="B495" s="19"/>
      <c r="C495" s="19"/>
      <c r="D495" s="19"/>
      <c r="X495" s="20"/>
    </row>
    <row r="496" spans="1:24" ht="13.9" x14ac:dyDescent="0.3">
      <c r="A496" s="19"/>
      <c r="B496" s="19"/>
      <c r="C496" s="19"/>
      <c r="D496" s="19"/>
      <c r="X496" s="20"/>
    </row>
    <row r="497" spans="1:24" ht="13.9" x14ac:dyDescent="0.3">
      <c r="A497" s="19"/>
      <c r="B497" s="19"/>
      <c r="C497" s="19"/>
      <c r="D497" s="19"/>
      <c r="X497" s="20"/>
    </row>
    <row r="498" spans="1:24" ht="13.9" x14ac:dyDescent="0.3">
      <c r="A498" s="19"/>
      <c r="B498" s="19"/>
      <c r="C498" s="19"/>
      <c r="D498" s="19"/>
      <c r="X498" s="20"/>
    </row>
    <row r="499" spans="1:24" ht="13.9" x14ac:dyDescent="0.3">
      <c r="A499" s="19"/>
      <c r="B499" s="19"/>
      <c r="C499" s="19"/>
      <c r="D499" s="19"/>
      <c r="X499" s="20"/>
    </row>
    <row r="500" spans="1:24" ht="13.9" x14ac:dyDescent="0.3">
      <c r="A500" s="19"/>
      <c r="B500" s="19"/>
      <c r="C500" s="19"/>
      <c r="D500" s="19"/>
      <c r="X500" s="20"/>
    </row>
    <row r="501" spans="1:24" ht="13.9" x14ac:dyDescent="0.3">
      <c r="A501" s="19"/>
      <c r="B501" s="19"/>
      <c r="C501" s="19"/>
      <c r="D501" s="19"/>
      <c r="X501" s="20"/>
    </row>
    <row r="502" spans="1:24" ht="13.9" x14ac:dyDescent="0.3">
      <c r="A502" s="19"/>
      <c r="B502" s="19"/>
      <c r="C502" s="19"/>
      <c r="D502" s="19"/>
      <c r="X502" s="20"/>
    </row>
    <row r="503" spans="1:24" ht="13.9" x14ac:dyDescent="0.3">
      <c r="A503" s="19"/>
      <c r="B503" s="19"/>
      <c r="C503" s="19"/>
      <c r="D503" s="19"/>
      <c r="X503" s="20"/>
    </row>
    <row r="504" spans="1:24" ht="13.9" x14ac:dyDescent="0.3">
      <c r="A504" s="19"/>
      <c r="B504" s="19"/>
      <c r="C504" s="19"/>
      <c r="D504" s="19"/>
      <c r="X504" s="20"/>
    </row>
    <row r="505" spans="1:24" ht="13.9" x14ac:dyDescent="0.3">
      <c r="A505" s="19"/>
      <c r="B505" s="19"/>
      <c r="C505" s="19"/>
      <c r="D505" s="19"/>
      <c r="X505" s="20"/>
    </row>
    <row r="506" spans="1:24" ht="13.9" x14ac:dyDescent="0.3">
      <c r="A506" s="19"/>
      <c r="B506" s="19"/>
      <c r="C506" s="19"/>
      <c r="D506" s="19"/>
      <c r="X506" s="20"/>
    </row>
    <row r="507" spans="1:24" ht="13.9" x14ac:dyDescent="0.3">
      <c r="A507" s="19"/>
      <c r="B507" s="19"/>
      <c r="C507" s="19"/>
      <c r="D507" s="19"/>
      <c r="X507" s="20"/>
    </row>
    <row r="508" spans="1:24" ht="13.9" x14ac:dyDescent="0.3">
      <c r="A508" s="19"/>
      <c r="B508" s="19"/>
      <c r="C508" s="19"/>
      <c r="D508" s="19"/>
      <c r="X508" s="20"/>
    </row>
    <row r="509" spans="1:24" ht="13.9" x14ac:dyDescent="0.3">
      <c r="A509" s="19"/>
      <c r="B509" s="19"/>
      <c r="C509" s="19"/>
      <c r="D509" s="19"/>
      <c r="X509" s="20"/>
    </row>
    <row r="510" spans="1:24" ht="13.9" x14ac:dyDescent="0.3">
      <c r="A510" s="19"/>
      <c r="B510" s="19"/>
      <c r="C510" s="19"/>
      <c r="D510" s="19"/>
      <c r="X510" s="20"/>
    </row>
    <row r="511" spans="1:24" ht="13.9" x14ac:dyDescent="0.3">
      <c r="A511" s="19"/>
      <c r="B511" s="19"/>
      <c r="C511" s="19"/>
      <c r="D511" s="19"/>
      <c r="X511" s="20"/>
    </row>
    <row r="512" spans="1:24" ht="13.9" x14ac:dyDescent="0.3">
      <c r="A512" s="19"/>
      <c r="B512" s="19"/>
      <c r="C512" s="19"/>
      <c r="D512" s="19"/>
      <c r="X512" s="20"/>
    </row>
    <row r="513" spans="1:24" ht="13.9" x14ac:dyDescent="0.3">
      <c r="A513" s="19"/>
      <c r="B513" s="19"/>
      <c r="C513" s="19"/>
      <c r="D513" s="19"/>
      <c r="X513" s="20"/>
    </row>
    <row r="514" spans="1:24" ht="13.9" x14ac:dyDescent="0.3">
      <c r="A514" s="19"/>
      <c r="B514" s="19"/>
      <c r="C514" s="19"/>
      <c r="D514" s="19"/>
      <c r="X514" s="20"/>
    </row>
    <row r="515" spans="1:24" ht="13.9" x14ac:dyDescent="0.3">
      <c r="A515" s="19"/>
      <c r="B515" s="19"/>
      <c r="C515" s="19"/>
      <c r="D515" s="19"/>
      <c r="X515" s="20"/>
    </row>
    <row r="516" spans="1:24" ht="13.9" x14ac:dyDescent="0.3">
      <c r="A516" s="19"/>
      <c r="B516" s="19"/>
      <c r="C516" s="19"/>
      <c r="D516" s="19"/>
      <c r="X516" s="20"/>
    </row>
    <row r="517" spans="1:24" ht="13.9" x14ac:dyDescent="0.3">
      <c r="A517" s="19"/>
      <c r="B517" s="19"/>
      <c r="C517" s="19"/>
      <c r="D517" s="19"/>
      <c r="X517" s="20"/>
    </row>
    <row r="518" spans="1:24" ht="13.9" x14ac:dyDescent="0.3">
      <c r="A518" s="19"/>
      <c r="B518" s="19"/>
      <c r="C518" s="19"/>
      <c r="D518" s="19"/>
      <c r="X518" s="20"/>
    </row>
    <row r="519" spans="1:24" ht="13.9" x14ac:dyDescent="0.3">
      <c r="A519" s="19"/>
      <c r="B519" s="19"/>
      <c r="C519" s="19"/>
      <c r="D519" s="19"/>
      <c r="X519" s="20"/>
    </row>
    <row r="520" spans="1:24" ht="13.9" x14ac:dyDescent="0.3">
      <c r="A520" s="19"/>
      <c r="B520" s="19"/>
      <c r="C520" s="19"/>
      <c r="D520" s="19"/>
      <c r="X520" s="20"/>
    </row>
    <row r="521" spans="1:24" ht="13.9" x14ac:dyDescent="0.3">
      <c r="A521" s="19"/>
      <c r="B521" s="19"/>
      <c r="C521" s="19"/>
      <c r="D521" s="19"/>
      <c r="X521" s="20"/>
    </row>
    <row r="522" spans="1:24" ht="13.9" x14ac:dyDescent="0.3">
      <c r="A522" s="19"/>
      <c r="B522" s="19"/>
      <c r="C522" s="19"/>
      <c r="D522" s="19"/>
      <c r="X522" s="20"/>
    </row>
    <row r="523" spans="1:24" ht="13.9" x14ac:dyDescent="0.3">
      <c r="A523" s="19"/>
      <c r="B523" s="19"/>
      <c r="C523" s="19"/>
      <c r="D523" s="19"/>
      <c r="X523" s="20"/>
    </row>
    <row r="524" spans="1:24" ht="13.9" x14ac:dyDescent="0.3">
      <c r="A524" s="19"/>
      <c r="B524" s="19"/>
      <c r="C524" s="19"/>
      <c r="D524" s="19"/>
      <c r="X524" s="20"/>
    </row>
    <row r="525" spans="1:24" ht="13.9" x14ac:dyDescent="0.3">
      <c r="A525" s="19"/>
      <c r="B525" s="19"/>
      <c r="C525" s="19"/>
      <c r="D525" s="19"/>
      <c r="X525" s="20"/>
    </row>
    <row r="526" spans="1:24" ht="13.9" x14ac:dyDescent="0.3">
      <c r="A526" s="19"/>
      <c r="B526" s="19"/>
      <c r="C526" s="19"/>
      <c r="D526" s="19"/>
      <c r="X526" s="20"/>
    </row>
    <row r="527" spans="1:24" ht="13.9" x14ac:dyDescent="0.3">
      <c r="A527" s="19"/>
      <c r="B527" s="19"/>
      <c r="C527" s="19"/>
      <c r="D527" s="19"/>
      <c r="X527" s="20"/>
    </row>
    <row r="528" spans="1:24" ht="13.9" x14ac:dyDescent="0.3">
      <c r="A528" s="19"/>
      <c r="B528" s="19"/>
      <c r="C528" s="19"/>
      <c r="D528" s="19"/>
      <c r="X528" s="20"/>
    </row>
    <row r="529" spans="1:24" ht="13.9" x14ac:dyDescent="0.3">
      <c r="A529" s="19"/>
      <c r="B529" s="19"/>
      <c r="C529" s="19"/>
      <c r="D529" s="19"/>
      <c r="X529" s="20"/>
    </row>
    <row r="530" spans="1:24" ht="13.9" x14ac:dyDescent="0.3">
      <c r="A530" s="19"/>
      <c r="B530" s="19"/>
      <c r="C530" s="19"/>
      <c r="D530" s="19"/>
      <c r="X530" s="20"/>
    </row>
    <row r="531" spans="1:24" ht="13.9" x14ac:dyDescent="0.3">
      <c r="A531" s="19"/>
      <c r="B531" s="19"/>
      <c r="C531" s="19"/>
      <c r="D531" s="19"/>
      <c r="X531" s="20"/>
    </row>
    <row r="532" spans="1:24" ht="13.9" x14ac:dyDescent="0.3">
      <c r="A532" s="19"/>
      <c r="B532" s="19"/>
      <c r="C532" s="19"/>
      <c r="D532" s="19"/>
      <c r="X532" s="20"/>
    </row>
    <row r="533" spans="1:24" ht="13.9" x14ac:dyDescent="0.3">
      <c r="A533" s="19"/>
      <c r="B533" s="19"/>
      <c r="C533" s="19"/>
      <c r="D533" s="19"/>
      <c r="X533" s="20"/>
    </row>
    <row r="534" spans="1:24" ht="13.9" x14ac:dyDescent="0.3">
      <c r="A534" s="19"/>
      <c r="B534" s="19"/>
      <c r="C534" s="19"/>
      <c r="D534" s="19"/>
      <c r="X534" s="20"/>
    </row>
    <row r="535" spans="1:24" ht="13.9" x14ac:dyDescent="0.3">
      <c r="A535" s="19"/>
      <c r="B535" s="19"/>
      <c r="C535" s="19"/>
      <c r="D535" s="19"/>
      <c r="X535" s="20"/>
    </row>
    <row r="536" spans="1:24" ht="13.9" x14ac:dyDescent="0.3">
      <c r="A536" s="19"/>
      <c r="B536" s="19"/>
      <c r="C536" s="19"/>
      <c r="D536" s="19"/>
      <c r="X536" s="20"/>
    </row>
    <row r="537" spans="1:24" ht="13.9" x14ac:dyDescent="0.3">
      <c r="A537" s="19"/>
      <c r="B537" s="19"/>
      <c r="C537" s="19"/>
      <c r="D537" s="19"/>
      <c r="X537" s="20"/>
    </row>
    <row r="538" spans="1:24" ht="13.9" x14ac:dyDescent="0.3">
      <c r="A538" s="19"/>
      <c r="B538" s="19"/>
      <c r="C538" s="19"/>
      <c r="D538" s="19"/>
      <c r="X538" s="20"/>
    </row>
    <row r="539" spans="1:24" ht="13.9" x14ac:dyDescent="0.3">
      <c r="A539" s="19"/>
      <c r="B539" s="19"/>
      <c r="C539" s="19"/>
      <c r="D539" s="19"/>
      <c r="X539" s="20"/>
    </row>
    <row r="540" spans="1:24" ht="13.9" x14ac:dyDescent="0.3">
      <c r="A540" s="19"/>
      <c r="B540" s="19"/>
      <c r="C540" s="19"/>
      <c r="D540" s="19"/>
      <c r="X540" s="20"/>
    </row>
    <row r="541" spans="1:24" ht="13.9" x14ac:dyDescent="0.3">
      <c r="A541" s="19"/>
      <c r="B541" s="19"/>
      <c r="C541" s="19"/>
      <c r="D541" s="19"/>
      <c r="X541" s="20"/>
    </row>
    <row r="542" spans="1:24" ht="13.9" x14ac:dyDescent="0.3">
      <c r="A542" s="19"/>
      <c r="B542" s="19"/>
      <c r="C542" s="19"/>
      <c r="D542" s="19"/>
      <c r="X542" s="20"/>
    </row>
    <row r="543" spans="1:24" ht="13.9" x14ac:dyDescent="0.3">
      <c r="A543" s="19"/>
      <c r="B543" s="19"/>
      <c r="C543" s="19"/>
      <c r="D543" s="19"/>
      <c r="X543" s="20"/>
    </row>
    <row r="544" spans="1:24" ht="13.9" x14ac:dyDescent="0.3">
      <c r="A544" s="19"/>
      <c r="B544" s="19"/>
      <c r="C544" s="19"/>
      <c r="D544" s="19"/>
      <c r="X544" s="20"/>
    </row>
    <row r="545" spans="1:24" ht="13.9" x14ac:dyDescent="0.3">
      <c r="A545" s="19"/>
      <c r="B545" s="19"/>
      <c r="C545" s="19"/>
      <c r="D545" s="19"/>
      <c r="X545" s="20"/>
    </row>
    <row r="546" spans="1:24" ht="13.9" x14ac:dyDescent="0.3">
      <c r="A546" s="19"/>
      <c r="B546" s="19"/>
      <c r="C546" s="19"/>
      <c r="D546" s="19"/>
      <c r="X546" s="20"/>
    </row>
    <row r="547" spans="1:24" ht="13.9" x14ac:dyDescent="0.3">
      <c r="A547" s="19"/>
      <c r="B547" s="19"/>
      <c r="C547" s="19"/>
      <c r="D547" s="19"/>
      <c r="X547" s="20"/>
    </row>
    <row r="548" spans="1:24" ht="13.9" x14ac:dyDescent="0.3">
      <c r="A548" s="19"/>
      <c r="B548" s="19"/>
      <c r="C548" s="19"/>
      <c r="D548" s="19"/>
      <c r="X548" s="20"/>
    </row>
    <row r="549" spans="1:24" ht="13.9" x14ac:dyDescent="0.3">
      <c r="A549" s="19"/>
      <c r="B549" s="19"/>
      <c r="C549" s="19"/>
      <c r="D549" s="19"/>
      <c r="X549" s="20"/>
    </row>
    <row r="550" spans="1:24" ht="13.9" x14ac:dyDescent="0.3">
      <c r="A550" s="19"/>
      <c r="B550" s="19"/>
      <c r="C550" s="19"/>
      <c r="D550" s="19"/>
      <c r="X550" s="20"/>
    </row>
    <row r="551" spans="1:24" ht="13.9" x14ac:dyDescent="0.3">
      <c r="A551" s="19"/>
      <c r="B551" s="19"/>
      <c r="C551" s="19"/>
      <c r="D551" s="19"/>
      <c r="X551" s="20"/>
    </row>
    <row r="552" spans="1:24" ht="13.9" x14ac:dyDescent="0.3">
      <c r="A552" s="19"/>
      <c r="B552" s="19"/>
      <c r="C552" s="19"/>
      <c r="D552" s="19"/>
      <c r="X552" s="20"/>
    </row>
    <row r="553" spans="1:24" ht="13.9" x14ac:dyDescent="0.3">
      <c r="A553" s="19"/>
      <c r="B553" s="19"/>
      <c r="C553" s="19"/>
      <c r="D553" s="19"/>
      <c r="X553" s="20"/>
    </row>
    <row r="554" spans="1:24" ht="13.9" x14ac:dyDescent="0.3">
      <c r="A554" s="19"/>
      <c r="B554" s="19"/>
      <c r="C554" s="19"/>
      <c r="D554" s="19"/>
      <c r="X554" s="20"/>
    </row>
    <row r="555" spans="1:24" ht="13.9" x14ac:dyDescent="0.3">
      <c r="A555" s="19"/>
      <c r="B555" s="19"/>
      <c r="C555" s="19"/>
      <c r="D555" s="19"/>
      <c r="X555" s="20"/>
    </row>
    <row r="556" spans="1:24" ht="13.9" x14ac:dyDescent="0.3">
      <c r="A556" s="19"/>
      <c r="B556" s="19"/>
      <c r="C556" s="19"/>
      <c r="D556" s="19"/>
      <c r="X556" s="20"/>
    </row>
    <row r="557" spans="1:24" ht="13.9" x14ac:dyDescent="0.3">
      <c r="A557" s="19"/>
      <c r="B557" s="19"/>
      <c r="C557" s="19"/>
      <c r="D557" s="19"/>
      <c r="X557" s="20"/>
    </row>
    <row r="558" spans="1:24" ht="13.9" x14ac:dyDescent="0.3">
      <c r="A558" s="19"/>
      <c r="B558" s="19"/>
      <c r="C558" s="19"/>
      <c r="D558" s="19"/>
      <c r="X558" s="20"/>
    </row>
    <row r="559" spans="1:24" ht="13.9" x14ac:dyDescent="0.3">
      <c r="A559" s="19"/>
      <c r="B559" s="19"/>
      <c r="C559" s="19"/>
      <c r="D559" s="19"/>
      <c r="X559" s="20"/>
    </row>
    <row r="560" spans="1:24" ht="13.9" x14ac:dyDescent="0.3">
      <c r="A560" s="19"/>
      <c r="B560" s="19"/>
      <c r="C560" s="19"/>
      <c r="D560" s="19"/>
      <c r="X560" s="20"/>
    </row>
    <row r="561" spans="1:24" ht="13.9" x14ac:dyDescent="0.3">
      <c r="A561" s="19"/>
      <c r="B561" s="19"/>
      <c r="C561" s="19"/>
      <c r="D561" s="19"/>
      <c r="X561" s="20"/>
    </row>
    <row r="562" spans="1:24" ht="13.9" x14ac:dyDescent="0.3">
      <c r="A562" s="19"/>
      <c r="B562" s="19"/>
      <c r="C562" s="19"/>
      <c r="D562" s="19"/>
      <c r="X562" s="20"/>
    </row>
    <row r="563" spans="1:24" ht="13.9" x14ac:dyDescent="0.3">
      <c r="A563" s="19"/>
      <c r="B563" s="19"/>
      <c r="C563" s="19"/>
      <c r="D563" s="19"/>
      <c r="X563" s="20"/>
    </row>
    <row r="564" spans="1:24" ht="13.9" x14ac:dyDescent="0.3">
      <c r="A564" s="19"/>
      <c r="B564" s="19"/>
      <c r="C564" s="19"/>
      <c r="D564" s="19"/>
      <c r="X564" s="20"/>
    </row>
    <row r="565" spans="1:24" ht="13.9" x14ac:dyDescent="0.3">
      <c r="A565" s="19"/>
      <c r="B565" s="19"/>
      <c r="C565" s="19"/>
      <c r="D565" s="19"/>
      <c r="X565" s="20"/>
    </row>
    <row r="566" spans="1:24" ht="13.9" x14ac:dyDescent="0.3">
      <c r="A566" s="19"/>
      <c r="B566" s="19"/>
      <c r="C566" s="19"/>
      <c r="D566" s="19"/>
      <c r="X566" s="20"/>
    </row>
    <row r="567" spans="1:24" ht="13.9" x14ac:dyDescent="0.3">
      <c r="A567" s="19"/>
      <c r="B567" s="19"/>
      <c r="C567" s="19"/>
      <c r="D567" s="19"/>
      <c r="X567" s="20"/>
    </row>
    <row r="568" spans="1:24" ht="13.9" x14ac:dyDescent="0.3">
      <c r="A568" s="19"/>
      <c r="B568" s="19"/>
      <c r="C568" s="19"/>
      <c r="D568" s="19"/>
      <c r="X568" s="20"/>
    </row>
    <row r="569" spans="1:24" ht="13.9" x14ac:dyDescent="0.3">
      <c r="A569" s="19"/>
      <c r="B569" s="19"/>
      <c r="C569" s="19"/>
      <c r="D569" s="19"/>
      <c r="X569" s="20"/>
    </row>
    <row r="570" spans="1:24" ht="13.9" x14ac:dyDescent="0.3">
      <c r="A570" s="19"/>
      <c r="B570" s="19"/>
      <c r="C570" s="19"/>
      <c r="D570" s="19"/>
      <c r="X570" s="20"/>
    </row>
    <row r="571" spans="1:24" ht="13.9" x14ac:dyDescent="0.3">
      <c r="A571" s="19"/>
      <c r="B571" s="19"/>
      <c r="C571" s="19"/>
      <c r="D571" s="19"/>
      <c r="X571" s="20"/>
    </row>
    <row r="572" spans="1:24" ht="13.9" x14ac:dyDescent="0.3">
      <c r="A572" s="19"/>
      <c r="B572" s="19"/>
      <c r="C572" s="19"/>
      <c r="D572" s="19"/>
      <c r="X572" s="20"/>
    </row>
    <row r="573" spans="1:24" ht="13.9" x14ac:dyDescent="0.3">
      <c r="A573" s="19"/>
      <c r="B573" s="19"/>
      <c r="C573" s="19"/>
      <c r="D573" s="19"/>
      <c r="X573" s="20"/>
    </row>
    <row r="574" spans="1:24" ht="13.9" x14ac:dyDescent="0.3">
      <c r="A574" s="19"/>
      <c r="B574" s="19"/>
      <c r="C574" s="19"/>
      <c r="D574" s="19"/>
      <c r="X574" s="20"/>
    </row>
    <row r="575" spans="1:24" ht="13.9" x14ac:dyDescent="0.3">
      <c r="A575" s="19"/>
      <c r="B575" s="19"/>
      <c r="C575" s="19"/>
      <c r="D575" s="19"/>
      <c r="X575" s="20"/>
    </row>
    <row r="576" spans="1:24" ht="13.9" x14ac:dyDescent="0.3">
      <c r="A576" s="19"/>
      <c r="B576" s="19"/>
      <c r="C576" s="19"/>
      <c r="D576" s="19"/>
      <c r="X576" s="20"/>
    </row>
    <row r="577" spans="1:24" ht="13.9" x14ac:dyDescent="0.3">
      <c r="A577" s="19"/>
      <c r="B577" s="19"/>
      <c r="C577" s="19"/>
      <c r="D577" s="19"/>
      <c r="X577" s="20"/>
    </row>
    <row r="578" spans="1:24" ht="13.9" x14ac:dyDescent="0.3">
      <c r="A578" s="19"/>
      <c r="B578" s="19"/>
      <c r="C578" s="19"/>
      <c r="D578" s="19"/>
      <c r="X578" s="20"/>
    </row>
    <row r="579" spans="1:24" ht="13.9" x14ac:dyDescent="0.3">
      <c r="A579" s="19"/>
      <c r="B579" s="19"/>
      <c r="C579" s="19"/>
      <c r="D579" s="19"/>
      <c r="X579" s="20"/>
    </row>
    <row r="580" spans="1:24" ht="13.9" x14ac:dyDescent="0.3">
      <c r="A580" s="19"/>
      <c r="B580" s="19"/>
      <c r="C580" s="19"/>
      <c r="D580" s="19"/>
      <c r="X580" s="20"/>
    </row>
    <row r="581" spans="1:24" ht="13.9" x14ac:dyDescent="0.3">
      <c r="A581" s="19"/>
      <c r="B581" s="19"/>
      <c r="C581" s="19"/>
      <c r="D581" s="19"/>
      <c r="X581" s="20"/>
    </row>
    <row r="582" spans="1:24" ht="13.9" x14ac:dyDescent="0.3">
      <c r="A582" s="19"/>
      <c r="B582" s="19"/>
      <c r="C582" s="19"/>
      <c r="D582" s="19"/>
      <c r="X582" s="20"/>
    </row>
    <row r="583" spans="1:24" ht="13.9" x14ac:dyDescent="0.3">
      <c r="A583" s="19"/>
      <c r="B583" s="19"/>
      <c r="C583" s="19"/>
      <c r="D583" s="19"/>
      <c r="X583" s="20"/>
    </row>
    <row r="584" spans="1:24" ht="13.9" x14ac:dyDescent="0.3">
      <c r="A584" s="19"/>
      <c r="B584" s="19"/>
      <c r="C584" s="19"/>
      <c r="D584" s="19"/>
      <c r="X584" s="20"/>
    </row>
    <row r="585" spans="1:24" ht="13.9" x14ac:dyDescent="0.3">
      <c r="A585" s="19"/>
      <c r="B585" s="19"/>
      <c r="C585" s="19"/>
      <c r="D585" s="19"/>
      <c r="X585" s="20"/>
    </row>
    <row r="586" spans="1:24" ht="13.9" x14ac:dyDescent="0.3">
      <c r="A586" s="19"/>
      <c r="B586" s="19"/>
      <c r="C586" s="19"/>
      <c r="D586" s="19"/>
      <c r="X586" s="20"/>
    </row>
    <row r="587" spans="1:24" ht="13.9" x14ac:dyDescent="0.3">
      <c r="A587" s="19"/>
      <c r="B587" s="19"/>
      <c r="C587" s="19"/>
      <c r="D587" s="19"/>
      <c r="X587" s="20"/>
    </row>
    <row r="588" spans="1:24" ht="13.9" x14ac:dyDescent="0.3">
      <c r="A588" s="19"/>
      <c r="B588" s="19"/>
      <c r="C588" s="19"/>
      <c r="D588" s="19"/>
      <c r="X588" s="20"/>
    </row>
    <row r="589" spans="1:24" ht="13.9" x14ac:dyDescent="0.3">
      <c r="A589" s="19"/>
      <c r="B589" s="19"/>
      <c r="C589" s="19"/>
      <c r="D589" s="19"/>
      <c r="X589" s="20"/>
    </row>
    <row r="590" spans="1:24" ht="13.9" x14ac:dyDescent="0.3">
      <c r="A590" s="19"/>
      <c r="B590" s="19"/>
      <c r="C590" s="19"/>
      <c r="D590" s="19"/>
      <c r="X590" s="20"/>
    </row>
    <row r="591" spans="1:24" ht="13.9" x14ac:dyDescent="0.3">
      <c r="A591" s="19"/>
      <c r="B591" s="19"/>
      <c r="C591" s="19"/>
      <c r="D591" s="19"/>
      <c r="X591" s="20"/>
    </row>
    <row r="592" spans="1:24" ht="13.9" x14ac:dyDescent="0.3">
      <c r="A592" s="19"/>
      <c r="B592" s="19"/>
      <c r="C592" s="19"/>
      <c r="D592" s="19"/>
      <c r="X592" s="20"/>
    </row>
    <row r="593" spans="1:24" ht="13.9" x14ac:dyDescent="0.3">
      <c r="A593" s="19"/>
      <c r="B593" s="19"/>
      <c r="C593" s="19"/>
      <c r="D593" s="19"/>
      <c r="X593" s="20"/>
    </row>
    <row r="594" spans="1:24" ht="13.9" x14ac:dyDescent="0.3">
      <c r="A594" s="19"/>
      <c r="B594" s="19"/>
      <c r="C594" s="19"/>
      <c r="D594" s="19"/>
      <c r="X594" s="20"/>
    </row>
    <row r="595" spans="1:24" ht="13.9" x14ac:dyDescent="0.3">
      <c r="A595" s="19"/>
      <c r="B595" s="19"/>
      <c r="C595" s="19"/>
      <c r="D595" s="19"/>
      <c r="X595" s="20"/>
    </row>
    <row r="596" spans="1:24" ht="13.9" x14ac:dyDescent="0.3">
      <c r="A596" s="19"/>
      <c r="B596" s="19"/>
      <c r="C596" s="19"/>
      <c r="D596" s="19"/>
      <c r="X596" s="20"/>
    </row>
    <row r="597" spans="1:24" ht="13.9" x14ac:dyDescent="0.3">
      <c r="A597" s="19"/>
      <c r="B597" s="19"/>
      <c r="C597" s="19"/>
      <c r="D597" s="19"/>
      <c r="X597" s="20"/>
    </row>
    <row r="598" spans="1:24" ht="13.9" x14ac:dyDescent="0.3">
      <c r="A598" s="19"/>
      <c r="B598" s="19"/>
      <c r="C598" s="19"/>
      <c r="D598" s="19"/>
      <c r="X598" s="20"/>
    </row>
    <row r="599" spans="1:24" ht="13.9" x14ac:dyDescent="0.3">
      <c r="A599" s="19"/>
      <c r="B599" s="19"/>
      <c r="C599" s="19"/>
      <c r="D599" s="19"/>
      <c r="X599" s="20"/>
    </row>
    <row r="600" spans="1:24" ht="13.9" x14ac:dyDescent="0.3">
      <c r="A600" s="19"/>
      <c r="B600" s="19"/>
      <c r="C600" s="19"/>
      <c r="D600" s="19"/>
      <c r="X600" s="20"/>
    </row>
    <row r="601" spans="1:24" ht="13.9" x14ac:dyDescent="0.3">
      <c r="A601" s="19"/>
      <c r="B601" s="19"/>
      <c r="C601" s="19"/>
      <c r="D601" s="19"/>
      <c r="X601" s="20"/>
    </row>
    <row r="602" spans="1:24" ht="13.9" x14ac:dyDescent="0.3">
      <c r="A602" s="19"/>
      <c r="B602" s="19"/>
      <c r="C602" s="19"/>
      <c r="D602" s="19"/>
      <c r="X602" s="20"/>
    </row>
    <row r="603" spans="1:24" ht="13.9" x14ac:dyDescent="0.3">
      <c r="A603" s="19"/>
      <c r="B603" s="19"/>
      <c r="C603" s="19"/>
      <c r="D603" s="19"/>
      <c r="X603" s="20"/>
    </row>
    <row r="604" spans="1:24" ht="13.9" x14ac:dyDescent="0.3">
      <c r="A604" s="19"/>
      <c r="B604" s="19"/>
      <c r="C604" s="19"/>
      <c r="D604" s="19"/>
      <c r="X604" s="20"/>
    </row>
    <row r="605" spans="1:24" ht="13.9" x14ac:dyDescent="0.3">
      <c r="A605" s="19"/>
      <c r="B605" s="19"/>
      <c r="C605" s="19"/>
      <c r="D605" s="19"/>
      <c r="X605" s="20"/>
    </row>
    <row r="606" spans="1:24" ht="13.9" x14ac:dyDescent="0.3">
      <c r="A606" s="19"/>
      <c r="B606" s="19"/>
      <c r="C606" s="19"/>
      <c r="D606" s="19"/>
      <c r="X606" s="20"/>
    </row>
    <row r="607" spans="1:24" ht="13.9" x14ac:dyDescent="0.3">
      <c r="A607" s="19"/>
      <c r="B607" s="19"/>
      <c r="C607" s="19"/>
      <c r="D607" s="19"/>
      <c r="X607" s="20"/>
    </row>
    <row r="608" spans="1:24" ht="13.9" x14ac:dyDescent="0.3">
      <c r="A608" s="19"/>
      <c r="B608" s="19"/>
      <c r="C608" s="19"/>
      <c r="D608" s="19"/>
      <c r="X608" s="20"/>
    </row>
    <row r="609" spans="1:24" ht="13.9" x14ac:dyDescent="0.3">
      <c r="A609" s="19"/>
      <c r="B609" s="19"/>
      <c r="C609" s="19"/>
      <c r="D609" s="19"/>
      <c r="X609" s="20"/>
    </row>
    <row r="610" spans="1:24" ht="13.9" x14ac:dyDescent="0.3">
      <c r="A610" s="19"/>
      <c r="B610" s="19"/>
      <c r="C610" s="19"/>
      <c r="D610" s="19"/>
      <c r="X610" s="20"/>
    </row>
    <row r="611" spans="1:24" ht="13.9" x14ac:dyDescent="0.3">
      <c r="A611" s="19"/>
      <c r="B611" s="19"/>
      <c r="C611" s="19"/>
      <c r="D611" s="19"/>
      <c r="X611" s="20"/>
    </row>
    <row r="612" spans="1:24" ht="13.9" x14ac:dyDescent="0.3">
      <c r="A612" s="19"/>
      <c r="B612" s="19"/>
      <c r="C612" s="19"/>
      <c r="D612" s="19"/>
      <c r="X612" s="20"/>
    </row>
    <row r="613" spans="1:24" ht="13.9" x14ac:dyDescent="0.3">
      <c r="A613" s="19"/>
      <c r="B613" s="19"/>
      <c r="C613" s="19"/>
      <c r="D613" s="19"/>
      <c r="X613" s="20"/>
    </row>
    <row r="614" spans="1:24" ht="13.9" x14ac:dyDescent="0.3">
      <c r="A614" s="19"/>
      <c r="B614" s="19"/>
      <c r="C614" s="19"/>
      <c r="D614" s="19"/>
      <c r="X614" s="20"/>
    </row>
    <row r="615" spans="1:24" ht="13.9" x14ac:dyDescent="0.3">
      <c r="A615" s="19"/>
      <c r="B615" s="19"/>
      <c r="C615" s="19"/>
      <c r="D615" s="19"/>
      <c r="X615" s="20"/>
    </row>
    <row r="616" spans="1:24" ht="13.9" x14ac:dyDescent="0.3">
      <c r="A616" s="19"/>
      <c r="B616" s="19"/>
      <c r="C616" s="19"/>
      <c r="D616" s="19"/>
      <c r="X616" s="20"/>
    </row>
    <row r="617" spans="1:24" ht="13.9" x14ac:dyDescent="0.3">
      <c r="A617" s="19"/>
      <c r="B617" s="19"/>
      <c r="C617" s="19"/>
      <c r="D617" s="19"/>
      <c r="X617" s="20"/>
    </row>
    <row r="618" spans="1:24" ht="13.9" x14ac:dyDescent="0.3">
      <c r="A618" s="19"/>
      <c r="B618" s="19"/>
      <c r="C618" s="19"/>
      <c r="D618" s="19"/>
      <c r="X618" s="20"/>
    </row>
    <row r="619" spans="1:24" ht="13.9" x14ac:dyDescent="0.3">
      <c r="A619" s="19"/>
      <c r="B619" s="19"/>
      <c r="C619" s="19"/>
      <c r="D619" s="19"/>
      <c r="X619" s="20"/>
    </row>
    <row r="620" spans="1:24" ht="13.9" x14ac:dyDescent="0.3">
      <c r="A620" s="19"/>
      <c r="B620" s="19"/>
      <c r="C620" s="19"/>
      <c r="D620" s="19"/>
      <c r="X620" s="20"/>
    </row>
    <row r="621" spans="1:24" ht="13.9" x14ac:dyDescent="0.3">
      <c r="A621" s="19"/>
      <c r="B621" s="19"/>
      <c r="C621" s="19"/>
      <c r="D621" s="19"/>
      <c r="X621" s="20"/>
    </row>
    <row r="622" spans="1:24" ht="13.9" x14ac:dyDescent="0.3">
      <c r="A622" s="19"/>
      <c r="B622" s="19"/>
      <c r="C622" s="19"/>
      <c r="D622" s="19"/>
      <c r="X622" s="20"/>
    </row>
    <row r="623" spans="1:24" ht="13.9" x14ac:dyDescent="0.3">
      <c r="A623" s="19"/>
      <c r="B623" s="19"/>
      <c r="C623" s="19"/>
      <c r="D623" s="19"/>
      <c r="X623" s="20"/>
    </row>
    <row r="624" spans="1:24" ht="13.9" x14ac:dyDescent="0.3">
      <c r="A624" s="19"/>
      <c r="B624" s="19"/>
      <c r="C624" s="19"/>
      <c r="D624" s="19"/>
      <c r="X624" s="20"/>
    </row>
    <row r="625" spans="1:24" ht="13.9" x14ac:dyDescent="0.3">
      <c r="A625" s="19"/>
      <c r="B625" s="19"/>
      <c r="C625" s="19"/>
      <c r="D625" s="19"/>
      <c r="X625" s="20"/>
    </row>
    <row r="626" spans="1:24" ht="13.9" x14ac:dyDescent="0.3">
      <c r="A626" s="19"/>
      <c r="B626" s="19"/>
      <c r="C626" s="19"/>
      <c r="D626" s="19"/>
      <c r="X626" s="20"/>
    </row>
    <row r="627" spans="1:24" ht="13.9" x14ac:dyDescent="0.3">
      <c r="A627" s="19"/>
      <c r="B627" s="19"/>
      <c r="C627" s="19"/>
      <c r="D627" s="19"/>
      <c r="X627" s="20"/>
    </row>
    <row r="628" spans="1:24" ht="13.9" x14ac:dyDescent="0.3">
      <c r="A628" s="19"/>
      <c r="B628" s="19"/>
      <c r="C628" s="19"/>
      <c r="D628" s="19"/>
      <c r="X628" s="20"/>
    </row>
    <row r="629" spans="1:24" ht="13.9" x14ac:dyDescent="0.3">
      <c r="A629" s="19"/>
      <c r="B629" s="19"/>
      <c r="C629" s="19"/>
      <c r="D629" s="19"/>
      <c r="X629" s="20"/>
    </row>
    <row r="630" spans="1:24" ht="13.9" x14ac:dyDescent="0.3">
      <c r="A630" s="19"/>
      <c r="B630" s="19"/>
      <c r="C630" s="19"/>
      <c r="D630" s="19"/>
      <c r="X630" s="20"/>
    </row>
    <row r="631" spans="1:24" ht="13.9" x14ac:dyDescent="0.3">
      <c r="A631" s="19"/>
      <c r="B631" s="19"/>
      <c r="C631" s="19"/>
      <c r="D631" s="19"/>
      <c r="X631" s="20"/>
    </row>
    <row r="632" spans="1:24" ht="13.9" x14ac:dyDescent="0.3">
      <c r="A632" s="19"/>
      <c r="B632" s="19"/>
      <c r="C632" s="19"/>
      <c r="D632" s="19"/>
      <c r="X632" s="20"/>
    </row>
    <row r="633" spans="1:24" ht="13.9" x14ac:dyDescent="0.3">
      <c r="A633" s="19"/>
      <c r="B633" s="19"/>
      <c r="C633" s="19"/>
      <c r="D633" s="19"/>
      <c r="X633" s="20"/>
    </row>
    <row r="634" spans="1:24" ht="13.9" x14ac:dyDescent="0.3">
      <c r="A634" s="19"/>
      <c r="B634" s="19"/>
      <c r="C634" s="19"/>
      <c r="D634" s="19"/>
      <c r="X634" s="20"/>
    </row>
    <row r="635" spans="1:24" ht="13.9" x14ac:dyDescent="0.3">
      <c r="A635" s="19"/>
      <c r="B635" s="19"/>
      <c r="C635" s="19"/>
      <c r="D635" s="19"/>
      <c r="X635" s="20"/>
    </row>
    <row r="636" spans="1:24" ht="13.9" x14ac:dyDescent="0.3">
      <c r="A636" s="19"/>
      <c r="B636" s="19"/>
      <c r="C636" s="19"/>
      <c r="D636" s="19"/>
      <c r="X636" s="20"/>
    </row>
    <row r="637" spans="1:24" ht="13.9" x14ac:dyDescent="0.3">
      <c r="A637" s="19"/>
      <c r="B637" s="19"/>
      <c r="C637" s="19"/>
      <c r="D637" s="19"/>
      <c r="X637" s="20"/>
    </row>
    <row r="638" spans="1:24" ht="13.9" x14ac:dyDescent="0.3">
      <c r="A638" s="19"/>
      <c r="B638" s="19"/>
      <c r="C638" s="19"/>
      <c r="D638" s="19"/>
      <c r="X638" s="20"/>
    </row>
    <row r="639" spans="1:24" ht="13.9" x14ac:dyDescent="0.3">
      <c r="A639" s="19"/>
      <c r="B639" s="19"/>
      <c r="C639" s="19"/>
      <c r="D639" s="19"/>
      <c r="X639" s="20"/>
    </row>
    <row r="640" spans="1:24" ht="13.9" x14ac:dyDescent="0.3">
      <c r="A640" s="19"/>
      <c r="B640" s="19"/>
      <c r="C640" s="19"/>
      <c r="D640" s="19"/>
      <c r="X640" s="20"/>
    </row>
    <row r="641" spans="1:24" ht="13.9" x14ac:dyDescent="0.3">
      <c r="A641" s="19"/>
      <c r="B641" s="19"/>
      <c r="C641" s="19"/>
      <c r="D641" s="19"/>
      <c r="X641" s="20"/>
    </row>
    <row r="642" spans="1:24" ht="13.9" x14ac:dyDescent="0.3">
      <c r="A642" s="19"/>
      <c r="B642" s="19"/>
      <c r="C642" s="19"/>
      <c r="D642" s="19"/>
      <c r="X642" s="20"/>
    </row>
    <row r="643" spans="1:24" ht="13.9" x14ac:dyDescent="0.3">
      <c r="A643" s="19"/>
      <c r="B643" s="19"/>
      <c r="C643" s="19"/>
      <c r="D643" s="19"/>
      <c r="X643" s="20"/>
    </row>
    <row r="644" spans="1:24" ht="13.9" x14ac:dyDescent="0.3">
      <c r="A644" s="19"/>
      <c r="B644" s="19"/>
      <c r="C644" s="19"/>
      <c r="D644" s="19"/>
      <c r="X644" s="20"/>
    </row>
    <row r="645" spans="1:24" ht="13.9" x14ac:dyDescent="0.3">
      <c r="A645" s="19"/>
      <c r="B645" s="19"/>
      <c r="C645" s="19"/>
      <c r="D645" s="19"/>
      <c r="X645" s="20"/>
    </row>
    <row r="646" spans="1:24" ht="13.9" x14ac:dyDescent="0.3">
      <c r="A646" s="19"/>
      <c r="B646" s="19"/>
      <c r="C646" s="19"/>
      <c r="D646" s="19"/>
      <c r="X646" s="20"/>
    </row>
    <row r="647" spans="1:24" ht="13.9" x14ac:dyDescent="0.3">
      <c r="A647" s="19"/>
      <c r="B647" s="19"/>
      <c r="C647" s="19"/>
      <c r="D647" s="19"/>
      <c r="X647" s="20"/>
    </row>
    <row r="648" spans="1:24" ht="13.9" x14ac:dyDescent="0.3">
      <c r="A648" s="19"/>
      <c r="B648" s="19"/>
      <c r="C648" s="19"/>
      <c r="D648" s="19"/>
      <c r="X648" s="20"/>
    </row>
    <row r="649" spans="1:24" ht="13.9" x14ac:dyDescent="0.3">
      <c r="A649" s="19"/>
      <c r="B649" s="19"/>
      <c r="C649" s="19"/>
      <c r="D649" s="19"/>
      <c r="X649" s="20"/>
    </row>
    <row r="650" spans="1:24" ht="13.9" x14ac:dyDescent="0.3">
      <c r="A650" s="19"/>
      <c r="B650" s="19"/>
      <c r="C650" s="19"/>
      <c r="D650" s="19"/>
      <c r="X650" s="20"/>
    </row>
    <row r="651" spans="1:24" ht="13.9" x14ac:dyDescent="0.3">
      <c r="A651" s="19"/>
      <c r="B651" s="19"/>
      <c r="C651" s="19"/>
      <c r="D651" s="19"/>
      <c r="X651" s="20"/>
    </row>
    <row r="652" spans="1:24" ht="13.9" x14ac:dyDescent="0.3">
      <c r="A652" s="19"/>
      <c r="B652" s="19"/>
      <c r="C652" s="19"/>
      <c r="D652" s="19"/>
      <c r="X652" s="20"/>
    </row>
    <row r="653" spans="1:24" ht="13.9" x14ac:dyDescent="0.3">
      <c r="A653" s="19"/>
      <c r="B653" s="19"/>
      <c r="C653" s="19"/>
      <c r="D653" s="19"/>
      <c r="X653" s="20"/>
    </row>
    <row r="654" spans="1:24" ht="13.9" x14ac:dyDescent="0.3">
      <c r="A654" s="19"/>
      <c r="B654" s="19"/>
      <c r="C654" s="19"/>
      <c r="D654" s="19"/>
      <c r="X654" s="20"/>
    </row>
    <row r="655" spans="1:24" ht="13.9" x14ac:dyDescent="0.3">
      <c r="A655" s="19"/>
      <c r="B655" s="19"/>
      <c r="C655" s="19"/>
      <c r="D655" s="19"/>
      <c r="X655" s="20"/>
    </row>
    <row r="656" spans="1:24" ht="13.9" x14ac:dyDescent="0.3">
      <c r="A656" s="19"/>
      <c r="B656" s="19"/>
      <c r="C656" s="19"/>
      <c r="D656" s="19"/>
      <c r="X656" s="20"/>
    </row>
    <row r="657" spans="1:24" ht="13.9" x14ac:dyDescent="0.3">
      <c r="A657" s="19"/>
      <c r="B657" s="19"/>
      <c r="C657" s="19"/>
      <c r="D657" s="19"/>
      <c r="X657" s="20"/>
    </row>
    <row r="658" spans="1:24" ht="13.9" x14ac:dyDescent="0.3">
      <c r="A658" s="19"/>
      <c r="B658" s="19"/>
      <c r="C658" s="19"/>
      <c r="D658" s="19"/>
      <c r="X658" s="20"/>
    </row>
    <row r="659" spans="1:24" ht="13.9" x14ac:dyDescent="0.3">
      <c r="A659" s="19"/>
      <c r="B659" s="19"/>
      <c r="C659" s="19"/>
      <c r="D659" s="19"/>
      <c r="X659" s="20"/>
    </row>
    <row r="660" spans="1:24" ht="13.9" x14ac:dyDescent="0.3">
      <c r="A660" s="19"/>
      <c r="B660" s="19"/>
      <c r="C660" s="19"/>
      <c r="D660" s="19"/>
      <c r="X660" s="20"/>
    </row>
    <row r="661" spans="1:24" ht="13.9" x14ac:dyDescent="0.3">
      <c r="A661" s="19"/>
      <c r="B661" s="19"/>
      <c r="C661" s="19"/>
      <c r="D661" s="19"/>
      <c r="X661" s="20"/>
    </row>
    <row r="662" spans="1:24" ht="13.9" x14ac:dyDescent="0.3">
      <c r="A662" s="19"/>
      <c r="B662" s="19"/>
      <c r="C662" s="19"/>
      <c r="D662" s="19"/>
      <c r="X662" s="20"/>
    </row>
    <row r="663" spans="1:24" ht="13.9" x14ac:dyDescent="0.3">
      <c r="A663" s="19"/>
      <c r="B663" s="19"/>
      <c r="C663" s="19"/>
      <c r="D663" s="19"/>
      <c r="X663" s="20"/>
    </row>
    <row r="664" spans="1:24" ht="13.9" x14ac:dyDescent="0.3">
      <c r="A664" s="19"/>
      <c r="B664" s="19"/>
      <c r="C664" s="19"/>
      <c r="D664" s="19"/>
      <c r="X664" s="20"/>
    </row>
    <row r="665" spans="1:24" ht="13.9" x14ac:dyDescent="0.3">
      <c r="A665" s="19"/>
      <c r="B665" s="19"/>
      <c r="C665" s="19"/>
      <c r="D665" s="19"/>
      <c r="X665" s="20"/>
    </row>
    <row r="666" spans="1:24" ht="13.9" x14ac:dyDescent="0.3">
      <c r="A666" s="19"/>
      <c r="B666" s="19"/>
      <c r="C666" s="19"/>
      <c r="D666" s="19"/>
      <c r="X666" s="20"/>
    </row>
    <row r="667" spans="1:24" ht="13.9" x14ac:dyDescent="0.3">
      <c r="A667" s="19"/>
      <c r="B667" s="19"/>
      <c r="C667" s="19"/>
      <c r="D667" s="19"/>
      <c r="X667" s="20"/>
    </row>
    <row r="668" spans="1:24" ht="13.9" x14ac:dyDescent="0.3">
      <c r="A668" s="19"/>
      <c r="B668" s="19"/>
      <c r="C668" s="19"/>
      <c r="D668" s="19"/>
      <c r="X668" s="20"/>
    </row>
    <row r="669" spans="1:24" ht="13.9" x14ac:dyDescent="0.3">
      <c r="A669" s="19"/>
      <c r="B669" s="19"/>
      <c r="C669" s="19"/>
      <c r="D669" s="19"/>
      <c r="X669" s="20"/>
    </row>
    <row r="670" spans="1:24" ht="13.9" x14ac:dyDescent="0.3">
      <c r="A670" s="19"/>
      <c r="B670" s="19"/>
      <c r="C670" s="19"/>
      <c r="D670" s="19"/>
      <c r="X670" s="20"/>
    </row>
    <row r="671" spans="1:24" ht="13.9" x14ac:dyDescent="0.3">
      <c r="A671" s="19"/>
      <c r="B671" s="19"/>
      <c r="C671" s="19"/>
      <c r="D671" s="19"/>
      <c r="X671" s="20"/>
    </row>
    <row r="672" spans="1:24" ht="13.9" x14ac:dyDescent="0.3">
      <c r="A672" s="19"/>
      <c r="B672" s="19"/>
      <c r="C672" s="19"/>
      <c r="D672" s="19"/>
      <c r="X672" s="20"/>
    </row>
    <row r="673" spans="1:24" ht="13.9" x14ac:dyDescent="0.3">
      <c r="A673" s="19"/>
      <c r="B673" s="19"/>
      <c r="C673" s="19"/>
      <c r="D673" s="19"/>
      <c r="X673" s="20"/>
    </row>
    <row r="674" spans="1:24" ht="13.9" x14ac:dyDescent="0.3">
      <c r="A674" s="19"/>
      <c r="B674" s="19"/>
      <c r="C674" s="19"/>
      <c r="D674" s="19"/>
      <c r="X674" s="20"/>
    </row>
    <row r="675" spans="1:24" ht="13.9" x14ac:dyDescent="0.3">
      <c r="A675" s="19"/>
      <c r="B675" s="19"/>
      <c r="C675" s="19"/>
      <c r="D675" s="19"/>
      <c r="X675" s="20"/>
    </row>
    <row r="676" spans="1:24" ht="13.9" x14ac:dyDescent="0.3">
      <c r="A676" s="19"/>
      <c r="B676" s="19"/>
      <c r="C676" s="19"/>
      <c r="D676" s="19"/>
      <c r="X676" s="20"/>
    </row>
    <row r="677" spans="1:24" ht="13.9" x14ac:dyDescent="0.3">
      <c r="A677" s="19"/>
      <c r="B677" s="19"/>
      <c r="C677" s="19"/>
      <c r="D677" s="19"/>
      <c r="X677" s="20"/>
    </row>
    <row r="678" spans="1:24" ht="13.9" x14ac:dyDescent="0.3">
      <c r="A678" s="19"/>
      <c r="B678" s="19"/>
      <c r="C678" s="19"/>
      <c r="D678" s="19"/>
      <c r="X678" s="20"/>
    </row>
    <row r="679" spans="1:24" ht="13.9" x14ac:dyDescent="0.3">
      <c r="A679" s="19"/>
      <c r="B679" s="19"/>
      <c r="C679" s="19"/>
      <c r="D679" s="19"/>
      <c r="X679" s="20"/>
    </row>
    <row r="680" spans="1:24" ht="13.9" x14ac:dyDescent="0.3">
      <c r="A680" s="19"/>
      <c r="B680" s="19"/>
      <c r="C680" s="19"/>
      <c r="D680" s="19"/>
      <c r="X680" s="20"/>
    </row>
    <row r="681" spans="1:24" ht="13.9" x14ac:dyDescent="0.3">
      <c r="A681" s="19"/>
      <c r="B681" s="19"/>
      <c r="C681" s="19"/>
      <c r="D681" s="19"/>
      <c r="X681" s="20"/>
    </row>
    <row r="682" spans="1:24" ht="13.9" x14ac:dyDescent="0.3">
      <c r="A682" s="19"/>
      <c r="B682" s="19"/>
      <c r="C682" s="19"/>
      <c r="D682" s="19"/>
      <c r="X682" s="20"/>
    </row>
    <row r="683" spans="1:24" ht="13.9" x14ac:dyDescent="0.3">
      <c r="A683" s="19"/>
      <c r="B683" s="19"/>
      <c r="C683" s="19"/>
      <c r="D683" s="19"/>
      <c r="X683" s="20"/>
    </row>
    <row r="684" spans="1:24" ht="13.9" x14ac:dyDescent="0.3">
      <c r="A684" s="19"/>
      <c r="B684" s="19"/>
      <c r="C684" s="19"/>
      <c r="D684" s="19"/>
      <c r="X684" s="20"/>
    </row>
    <row r="685" spans="1:24" ht="13.9" x14ac:dyDescent="0.3">
      <c r="A685" s="19"/>
      <c r="B685" s="19"/>
      <c r="C685" s="19"/>
      <c r="D685" s="19"/>
      <c r="X685" s="20"/>
    </row>
    <row r="686" spans="1:24" ht="13.9" x14ac:dyDescent="0.3">
      <c r="A686" s="19"/>
      <c r="B686" s="19"/>
      <c r="C686" s="19"/>
      <c r="D686" s="19"/>
      <c r="X686" s="20"/>
    </row>
    <row r="687" spans="1:24" ht="13.9" x14ac:dyDescent="0.3">
      <c r="A687" s="19"/>
      <c r="B687" s="19"/>
      <c r="C687" s="19"/>
      <c r="D687" s="19"/>
      <c r="X687" s="20"/>
    </row>
    <row r="688" spans="1:24" ht="13.9" x14ac:dyDescent="0.3">
      <c r="A688" s="19"/>
      <c r="B688" s="19"/>
      <c r="C688" s="19"/>
      <c r="D688" s="19"/>
      <c r="X688" s="20"/>
    </row>
    <row r="689" spans="1:24" ht="13.9" x14ac:dyDescent="0.3">
      <c r="A689" s="19"/>
      <c r="B689" s="19"/>
      <c r="C689" s="19"/>
      <c r="D689" s="19"/>
      <c r="X689" s="20"/>
    </row>
    <row r="690" spans="1:24" ht="13.9" x14ac:dyDescent="0.3">
      <c r="A690" s="19"/>
      <c r="B690" s="19"/>
      <c r="C690" s="19"/>
      <c r="D690" s="19"/>
      <c r="X690" s="20"/>
    </row>
    <row r="691" spans="1:24" ht="13.9" x14ac:dyDescent="0.3">
      <c r="A691" s="19"/>
      <c r="B691" s="19"/>
      <c r="C691" s="19"/>
      <c r="D691" s="19"/>
      <c r="X691" s="20"/>
    </row>
    <row r="692" spans="1:24" ht="13.9" x14ac:dyDescent="0.3">
      <c r="A692" s="19"/>
      <c r="B692" s="19"/>
      <c r="C692" s="19"/>
      <c r="D692" s="19"/>
      <c r="X692" s="20"/>
    </row>
    <row r="693" spans="1:24" ht="13.9" x14ac:dyDescent="0.3">
      <c r="A693" s="19"/>
      <c r="B693" s="19"/>
      <c r="C693" s="19"/>
      <c r="D693" s="19"/>
      <c r="X693" s="20"/>
    </row>
    <row r="694" spans="1:24" ht="13.9" x14ac:dyDescent="0.3">
      <c r="A694" s="19"/>
      <c r="B694" s="19"/>
      <c r="C694" s="19"/>
      <c r="D694" s="19"/>
      <c r="X694" s="20"/>
    </row>
    <row r="695" spans="1:24" ht="13.9" x14ac:dyDescent="0.3">
      <c r="A695" s="19"/>
      <c r="B695" s="19"/>
      <c r="C695" s="19"/>
      <c r="D695" s="19"/>
      <c r="X695" s="20"/>
    </row>
    <row r="696" spans="1:24" ht="13.9" x14ac:dyDescent="0.3">
      <c r="A696" s="19"/>
      <c r="B696" s="19"/>
      <c r="C696" s="19"/>
      <c r="D696" s="19"/>
      <c r="X696" s="20"/>
    </row>
    <row r="697" spans="1:24" ht="13.9" x14ac:dyDescent="0.3">
      <c r="A697" s="19"/>
      <c r="B697" s="19"/>
      <c r="C697" s="19"/>
      <c r="D697" s="19"/>
      <c r="X697" s="20"/>
    </row>
    <row r="698" spans="1:24" ht="13.9" x14ac:dyDescent="0.3">
      <c r="A698" s="19"/>
      <c r="B698" s="19"/>
      <c r="C698" s="19"/>
      <c r="D698" s="19"/>
      <c r="X698" s="20"/>
    </row>
    <row r="699" spans="1:24" ht="13.9" x14ac:dyDescent="0.3">
      <c r="A699" s="19"/>
      <c r="B699" s="19"/>
      <c r="C699" s="19"/>
      <c r="D699" s="19"/>
      <c r="X699" s="20"/>
    </row>
    <row r="700" spans="1:24" ht="13.9" x14ac:dyDescent="0.3">
      <c r="A700" s="19"/>
      <c r="B700" s="19"/>
      <c r="C700" s="19"/>
      <c r="D700" s="19"/>
      <c r="X700" s="20"/>
    </row>
    <row r="701" spans="1:24" ht="13.9" x14ac:dyDescent="0.3">
      <c r="A701" s="19"/>
      <c r="B701" s="19"/>
      <c r="C701" s="19"/>
      <c r="D701" s="19"/>
      <c r="X701" s="20"/>
    </row>
    <row r="702" spans="1:24" ht="13.9" x14ac:dyDescent="0.3">
      <c r="A702" s="19"/>
      <c r="B702" s="19"/>
      <c r="C702" s="19"/>
      <c r="D702" s="19"/>
      <c r="X702" s="20"/>
    </row>
    <row r="703" spans="1:24" ht="13.9" x14ac:dyDescent="0.3">
      <c r="A703" s="19"/>
      <c r="B703" s="19"/>
      <c r="C703" s="19"/>
      <c r="D703" s="19"/>
      <c r="X703" s="20"/>
    </row>
    <row r="704" spans="1:24" ht="13.9" x14ac:dyDescent="0.3">
      <c r="A704" s="19"/>
      <c r="B704" s="19"/>
      <c r="C704" s="19"/>
      <c r="D704" s="19"/>
      <c r="X704" s="20"/>
    </row>
    <row r="705" spans="1:24" ht="13.9" x14ac:dyDescent="0.3">
      <c r="A705" s="19"/>
      <c r="B705" s="19"/>
      <c r="C705" s="19"/>
      <c r="D705" s="19"/>
      <c r="X705" s="20"/>
    </row>
    <row r="706" spans="1:24" ht="13.9" x14ac:dyDescent="0.3">
      <c r="A706" s="19"/>
      <c r="B706" s="19"/>
      <c r="C706" s="19"/>
      <c r="D706" s="19"/>
      <c r="X706" s="20"/>
    </row>
    <row r="707" spans="1:24" ht="13.9" x14ac:dyDescent="0.3">
      <c r="A707" s="19"/>
      <c r="B707" s="19"/>
      <c r="C707" s="19"/>
      <c r="D707" s="19"/>
      <c r="X707" s="20"/>
    </row>
    <row r="708" spans="1:24" ht="13.9" x14ac:dyDescent="0.3">
      <c r="A708" s="19"/>
      <c r="B708" s="19"/>
      <c r="C708" s="19"/>
      <c r="D708" s="19"/>
      <c r="X708" s="20"/>
    </row>
    <row r="709" spans="1:24" ht="13.9" x14ac:dyDescent="0.3">
      <c r="A709" s="19"/>
      <c r="B709" s="19"/>
      <c r="C709" s="19"/>
      <c r="D709" s="19"/>
      <c r="X709" s="20"/>
    </row>
    <row r="710" spans="1:24" ht="13.9" x14ac:dyDescent="0.3">
      <c r="A710" s="19"/>
      <c r="B710" s="19"/>
      <c r="C710" s="19"/>
      <c r="D710" s="19"/>
      <c r="X710" s="20"/>
    </row>
    <row r="711" spans="1:24" ht="13.9" x14ac:dyDescent="0.3">
      <c r="A711" s="19"/>
      <c r="B711" s="19"/>
      <c r="C711" s="19"/>
      <c r="D711" s="19"/>
      <c r="X711" s="20"/>
    </row>
    <row r="712" spans="1:24" ht="13.9" x14ac:dyDescent="0.3">
      <c r="A712" s="19"/>
      <c r="B712" s="19"/>
      <c r="C712" s="19"/>
      <c r="D712" s="19"/>
      <c r="X712" s="20"/>
    </row>
    <row r="713" spans="1:24" ht="13.9" x14ac:dyDescent="0.3">
      <c r="A713" s="19"/>
      <c r="B713" s="19"/>
      <c r="C713" s="19"/>
      <c r="D713" s="19"/>
      <c r="X713" s="20"/>
    </row>
    <row r="714" spans="1:24" ht="13.9" x14ac:dyDescent="0.3">
      <c r="A714" s="19"/>
      <c r="B714" s="19"/>
      <c r="C714" s="19"/>
      <c r="D714" s="19"/>
      <c r="X714" s="20"/>
    </row>
    <row r="715" spans="1:24" ht="13.9" x14ac:dyDescent="0.3">
      <c r="A715" s="19"/>
      <c r="B715" s="19"/>
      <c r="C715" s="19"/>
      <c r="D715" s="19"/>
      <c r="X715" s="20"/>
    </row>
    <row r="716" spans="1:24" ht="13.9" x14ac:dyDescent="0.3">
      <c r="A716" s="19"/>
      <c r="B716" s="19"/>
      <c r="C716" s="19"/>
      <c r="D716" s="19"/>
      <c r="X716" s="20"/>
    </row>
    <row r="717" spans="1:24" ht="13.9" x14ac:dyDescent="0.3">
      <c r="A717" s="19"/>
      <c r="B717" s="19"/>
      <c r="C717" s="19"/>
      <c r="D717" s="19"/>
      <c r="X717" s="20"/>
    </row>
    <row r="718" spans="1:24" ht="13.9" x14ac:dyDescent="0.3">
      <c r="A718" s="19"/>
      <c r="B718" s="19"/>
      <c r="C718" s="19"/>
      <c r="D718" s="19"/>
      <c r="X718" s="20"/>
    </row>
    <row r="719" spans="1:24" ht="13.9" x14ac:dyDescent="0.3">
      <c r="A719" s="19"/>
      <c r="B719" s="19"/>
      <c r="C719" s="19"/>
      <c r="D719" s="19"/>
      <c r="X719" s="20"/>
    </row>
    <row r="720" spans="1:24" ht="13.9" x14ac:dyDescent="0.3">
      <c r="A720" s="19"/>
      <c r="B720" s="19"/>
      <c r="C720" s="19"/>
      <c r="D720" s="19"/>
      <c r="X720" s="20"/>
    </row>
    <row r="721" spans="1:24" ht="13.9" x14ac:dyDescent="0.3">
      <c r="A721" s="19"/>
      <c r="B721" s="19"/>
      <c r="C721" s="19"/>
      <c r="D721" s="19"/>
      <c r="X721" s="20"/>
    </row>
    <row r="722" spans="1:24" ht="13.9" x14ac:dyDescent="0.3">
      <c r="A722" s="19"/>
      <c r="B722" s="19"/>
      <c r="C722" s="19"/>
      <c r="D722" s="19"/>
      <c r="X722" s="20"/>
    </row>
    <row r="723" spans="1:24" ht="13.9" x14ac:dyDescent="0.3">
      <c r="A723" s="19"/>
      <c r="B723" s="19"/>
      <c r="C723" s="19"/>
      <c r="D723" s="19"/>
      <c r="X723" s="20"/>
    </row>
    <row r="724" spans="1:24" ht="13.9" x14ac:dyDescent="0.3">
      <c r="A724" s="19"/>
      <c r="B724" s="19"/>
      <c r="C724" s="19"/>
      <c r="D724" s="19"/>
      <c r="X724" s="20"/>
    </row>
    <row r="725" spans="1:24" ht="13.9" x14ac:dyDescent="0.3">
      <c r="A725" s="19"/>
      <c r="B725" s="19"/>
      <c r="C725" s="19"/>
      <c r="D725" s="19"/>
      <c r="X725" s="20"/>
    </row>
    <row r="726" spans="1:24" ht="13.9" x14ac:dyDescent="0.3">
      <c r="A726" s="19"/>
      <c r="B726" s="19"/>
      <c r="C726" s="19"/>
      <c r="D726" s="19"/>
      <c r="X726" s="20"/>
    </row>
    <row r="727" spans="1:24" ht="13.9" x14ac:dyDescent="0.3">
      <c r="A727" s="19"/>
      <c r="B727" s="19"/>
      <c r="C727" s="19"/>
      <c r="D727" s="19"/>
      <c r="X727" s="20"/>
    </row>
    <row r="728" spans="1:24" ht="13.9" x14ac:dyDescent="0.3">
      <c r="A728" s="19"/>
      <c r="B728" s="19"/>
      <c r="C728" s="19"/>
      <c r="D728" s="19"/>
      <c r="X728" s="20"/>
    </row>
    <row r="729" spans="1:24" ht="13.9" x14ac:dyDescent="0.3">
      <c r="A729" s="19"/>
      <c r="B729" s="19"/>
      <c r="C729" s="19"/>
      <c r="D729" s="19"/>
      <c r="X729" s="20"/>
    </row>
    <row r="730" spans="1:24" ht="13.9" x14ac:dyDescent="0.3">
      <c r="A730" s="19"/>
      <c r="B730" s="19"/>
      <c r="C730" s="19"/>
      <c r="D730" s="19"/>
      <c r="X730" s="20"/>
    </row>
    <row r="731" spans="1:24" ht="13.9" x14ac:dyDescent="0.3">
      <c r="A731" s="19"/>
      <c r="B731" s="19"/>
      <c r="C731" s="19"/>
      <c r="D731" s="19"/>
      <c r="X731" s="20"/>
    </row>
    <row r="732" spans="1:24" ht="13.9" x14ac:dyDescent="0.3">
      <c r="A732" s="19"/>
      <c r="B732" s="19"/>
      <c r="C732" s="19"/>
      <c r="D732" s="19"/>
      <c r="X732" s="20"/>
    </row>
    <row r="733" spans="1:24" ht="13.9" x14ac:dyDescent="0.3">
      <c r="A733" s="19"/>
      <c r="B733" s="19"/>
      <c r="C733" s="19"/>
      <c r="D733" s="19"/>
      <c r="X733" s="20"/>
    </row>
    <row r="734" spans="1:24" ht="13.9" x14ac:dyDescent="0.3">
      <c r="A734" s="19"/>
      <c r="B734" s="19"/>
      <c r="C734" s="19"/>
      <c r="D734" s="19"/>
      <c r="X734" s="20"/>
    </row>
    <row r="735" spans="1:24" ht="13.9" x14ac:dyDescent="0.3">
      <c r="A735" s="19"/>
      <c r="B735" s="19"/>
      <c r="C735" s="19"/>
      <c r="D735" s="19"/>
      <c r="X735" s="20"/>
    </row>
    <row r="736" spans="1:24" ht="13.9" x14ac:dyDescent="0.3">
      <c r="A736" s="19"/>
      <c r="B736" s="19"/>
      <c r="C736" s="19"/>
      <c r="D736" s="19"/>
      <c r="X736" s="20"/>
    </row>
    <row r="737" spans="1:24" ht="13.9" x14ac:dyDescent="0.3">
      <c r="A737" s="19"/>
      <c r="B737" s="19"/>
      <c r="C737" s="19"/>
      <c r="D737" s="19"/>
      <c r="X737" s="20"/>
    </row>
    <row r="738" spans="1:24" ht="13.9" x14ac:dyDescent="0.3">
      <c r="A738" s="19"/>
      <c r="B738" s="19"/>
      <c r="C738" s="19"/>
      <c r="D738" s="19"/>
      <c r="X738" s="20"/>
    </row>
    <row r="739" spans="1:24" ht="13.9" x14ac:dyDescent="0.3">
      <c r="A739" s="19"/>
      <c r="B739" s="19"/>
      <c r="C739" s="19"/>
      <c r="D739" s="19"/>
      <c r="X739" s="20"/>
    </row>
    <row r="740" spans="1:24" ht="13.9" x14ac:dyDescent="0.3">
      <c r="A740" s="19"/>
      <c r="B740" s="19"/>
      <c r="C740" s="19"/>
      <c r="D740" s="19"/>
      <c r="X740" s="20"/>
    </row>
    <row r="741" spans="1:24" ht="13.9" x14ac:dyDescent="0.3">
      <c r="A741" s="19"/>
      <c r="B741" s="19"/>
      <c r="C741" s="19"/>
      <c r="D741" s="19"/>
      <c r="X741" s="20"/>
    </row>
    <row r="742" spans="1:24" ht="13.9" x14ac:dyDescent="0.3">
      <c r="A742" s="19"/>
      <c r="B742" s="19"/>
      <c r="C742" s="19"/>
      <c r="D742" s="19"/>
      <c r="X742" s="20"/>
    </row>
    <row r="743" spans="1:24" ht="13.9" x14ac:dyDescent="0.3">
      <c r="A743" s="19"/>
      <c r="B743" s="19"/>
      <c r="C743" s="19"/>
      <c r="D743" s="19"/>
      <c r="X743" s="20"/>
    </row>
    <row r="744" spans="1:24" ht="13.9" x14ac:dyDescent="0.3">
      <c r="A744" s="19"/>
      <c r="B744" s="19"/>
      <c r="C744" s="19"/>
      <c r="D744" s="19"/>
      <c r="X744" s="20"/>
    </row>
    <row r="745" spans="1:24" ht="13.9" x14ac:dyDescent="0.3">
      <c r="A745" s="19"/>
      <c r="B745" s="19"/>
      <c r="C745" s="19"/>
      <c r="D745" s="19"/>
      <c r="X745" s="20"/>
    </row>
    <row r="746" spans="1:24" ht="13.9" x14ac:dyDescent="0.3">
      <c r="A746" s="19"/>
      <c r="B746" s="19"/>
      <c r="C746" s="19"/>
      <c r="D746" s="19"/>
      <c r="X746" s="20"/>
    </row>
    <row r="747" spans="1:24" ht="13.9" x14ac:dyDescent="0.3">
      <c r="A747" s="19"/>
      <c r="B747" s="19"/>
      <c r="C747" s="19"/>
      <c r="D747" s="19"/>
      <c r="X747" s="20"/>
    </row>
    <row r="748" spans="1:24" ht="13.9" x14ac:dyDescent="0.3">
      <c r="A748" s="19"/>
      <c r="B748" s="19"/>
      <c r="C748" s="19"/>
      <c r="D748" s="19"/>
      <c r="X748" s="20"/>
    </row>
    <row r="749" spans="1:24" ht="13.9" x14ac:dyDescent="0.3">
      <c r="A749" s="19"/>
      <c r="B749" s="19"/>
      <c r="C749" s="19"/>
      <c r="D749" s="19"/>
      <c r="X749" s="20"/>
    </row>
    <row r="750" spans="1:24" ht="13.9" x14ac:dyDescent="0.3">
      <c r="A750" s="19"/>
      <c r="B750" s="19"/>
      <c r="C750" s="19"/>
      <c r="D750" s="19"/>
      <c r="X750" s="20"/>
    </row>
    <row r="751" spans="1:24" ht="13.9" x14ac:dyDescent="0.3">
      <c r="A751" s="19"/>
      <c r="B751" s="19"/>
      <c r="C751" s="19"/>
      <c r="D751" s="19"/>
      <c r="X751" s="20"/>
    </row>
    <row r="752" spans="1:24" ht="13.9" x14ac:dyDescent="0.3">
      <c r="A752" s="19"/>
      <c r="B752" s="19"/>
      <c r="C752" s="19"/>
      <c r="D752" s="19"/>
      <c r="X752" s="20"/>
    </row>
    <row r="753" spans="1:24" ht="13.9" x14ac:dyDescent="0.3">
      <c r="A753" s="19"/>
      <c r="B753" s="19"/>
      <c r="C753" s="19"/>
      <c r="D753" s="19"/>
      <c r="X753" s="20"/>
    </row>
    <row r="754" spans="1:24" ht="13.9" x14ac:dyDescent="0.3">
      <c r="A754" s="19"/>
      <c r="B754" s="19"/>
      <c r="C754" s="19"/>
      <c r="D754" s="19"/>
      <c r="X754" s="20"/>
    </row>
    <row r="755" spans="1:24" ht="13.9" x14ac:dyDescent="0.3">
      <c r="A755" s="19"/>
      <c r="B755" s="19"/>
      <c r="C755" s="19"/>
      <c r="D755" s="19"/>
      <c r="X755" s="20"/>
    </row>
    <row r="756" spans="1:24" ht="13.9" x14ac:dyDescent="0.3">
      <c r="A756" s="19"/>
      <c r="B756" s="19"/>
      <c r="C756" s="19"/>
      <c r="D756" s="19"/>
      <c r="X756" s="20"/>
    </row>
    <row r="757" spans="1:24" ht="13.9" x14ac:dyDescent="0.3">
      <c r="A757" s="19"/>
      <c r="B757" s="19"/>
      <c r="C757" s="19"/>
      <c r="D757" s="19"/>
      <c r="X757" s="20"/>
    </row>
    <row r="758" spans="1:24" ht="13.9" x14ac:dyDescent="0.3">
      <c r="A758" s="19"/>
      <c r="B758" s="19"/>
      <c r="C758" s="19"/>
      <c r="D758" s="19"/>
      <c r="X758" s="20"/>
    </row>
    <row r="759" spans="1:24" ht="13.9" x14ac:dyDescent="0.3">
      <c r="A759" s="19"/>
      <c r="B759" s="19"/>
      <c r="C759" s="19"/>
      <c r="D759" s="19"/>
      <c r="X759" s="20"/>
    </row>
    <row r="760" spans="1:24" ht="13.9" x14ac:dyDescent="0.3">
      <c r="A760" s="19"/>
      <c r="B760" s="19"/>
      <c r="C760" s="19"/>
      <c r="D760" s="19"/>
      <c r="X760" s="20"/>
    </row>
    <row r="761" spans="1:24" ht="13.9" x14ac:dyDescent="0.3">
      <c r="A761" s="19"/>
      <c r="B761" s="19"/>
      <c r="C761" s="19"/>
      <c r="D761" s="19"/>
      <c r="X761" s="20"/>
    </row>
    <row r="762" spans="1:24" ht="13.9" x14ac:dyDescent="0.3">
      <c r="A762" s="19"/>
      <c r="B762" s="19"/>
      <c r="C762" s="19"/>
      <c r="D762" s="19"/>
      <c r="X762" s="20"/>
    </row>
    <row r="763" spans="1:24" ht="13.9" x14ac:dyDescent="0.3">
      <c r="A763" s="19"/>
      <c r="B763" s="19"/>
      <c r="C763" s="19"/>
      <c r="D763" s="19"/>
      <c r="X763" s="20"/>
    </row>
    <row r="764" spans="1:24" ht="13.9" x14ac:dyDescent="0.3">
      <c r="A764" s="19"/>
      <c r="B764" s="19"/>
      <c r="C764" s="19"/>
      <c r="D764" s="19"/>
      <c r="X764" s="20"/>
    </row>
    <row r="765" spans="1:24" ht="13.9" x14ac:dyDescent="0.3">
      <c r="A765" s="19"/>
      <c r="B765" s="19"/>
      <c r="C765" s="19"/>
      <c r="D765" s="19"/>
      <c r="X765" s="20"/>
    </row>
    <row r="766" spans="1:24" ht="13.9" x14ac:dyDescent="0.3">
      <c r="A766" s="19"/>
      <c r="B766" s="19"/>
      <c r="C766" s="19"/>
      <c r="D766" s="19"/>
      <c r="X766" s="20"/>
    </row>
    <row r="767" spans="1:24" ht="13.9" x14ac:dyDescent="0.3">
      <c r="A767" s="19"/>
      <c r="B767" s="19"/>
      <c r="C767" s="19"/>
      <c r="D767" s="19"/>
      <c r="X767" s="20"/>
    </row>
    <row r="768" spans="1:24" ht="13.9" x14ac:dyDescent="0.3">
      <c r="A768" s="19"/>
      <c r="B768" s="19"/>
      <c r="C768" s="19"/>
      <c r="D768" s="19"/>
      <c r="X768" s="20"/>
    </row>
    <row r="769" spans="1:24" ht="13.9" x14ac:dyDescent="0.3">
      <c r="A769" s="19"/>
      <c r="B769" s="19"/>
      <c r="C769" s="19"/>
      <c r="D769" s="19"/>
      <c r="X769" s="20"/>
    </row>
    <row r="770" spans="1:24" ht="13.9" x14ac:dyDescent="0.3">
      <c r="A770" s="19"/>
      <c r="B770" s="19"/>
      <c r="C770" s="19"/>
      <c r="D770" s="19"/>
      <c r="X770" s="20"/>
    </row>
    <row r="771" spans="1:24" ht="13.9" x14ac:dyDescent="0.3">
      <c r="A771" s="19"/>
      <c r="B771" s="19"/>
      <c r="C771" s="19"/>
      <c r="D771" s="19"/>
      <c r="X771" s="20"/>
    </row>
    <row r="772" spans="1:24" ht="13.9" x14ac:dyDescent="0.3">
      <c r="A772" s="19"/>
      <c r="B772" s="19"/>
      <c r="C772" s="19"/>
      <c r="D772" s="19"/>
      <c r="X772" s="20"/>
    </row>
    <row r="773" spans="1:24" ht="13.9" x14ac:dyDescent="0.3">
      <c r="A773" s="19"/>
      <c r="B773" s="19"/>
      <c r="C773" s="19"/>
      <c r="D773" s="19"/>
      <c r="X773" s="20"/>
    </row>
    <row r="774" spans="1:24" ht="13.9" x14ac:dyDescent="0.3">
      <c r="A774" s="19"/>
      <c r="B774" s="19"/>
      <c r="C774" s="19"/>
      <c r="D774" s="19"/>
      <c r="X774" s="20"/>
    </row>
    <row r="775" spans="1:24" ht="13.9" x14ac:dyDescent="0.3">
      <c r="A775" s="19"/>
      <c r="B775" s="19"/>
      <c r="C775" s="19"/>
      <c r="D775" s="19"/>
      <c r="X775" s="20"/>
    </row>
    <row r="776" spans="1:24" ht="13.9" x14ac:dyDescent="0.3">
      <c r="A776" s="19"/>
      <c r="B776" s="19"/>
      <c r="C776" s="19"/>
      <c r="D776" s="19"/>
      <c r="X776" s="20"/>
    </row>
    <row r="777" spans="1:24" ht="13.9" x14ac:dyDescent="0.3">
      <c r="A777" s="19"/>
      <c r="B777" s="19"/>
      <c r="C777" s="19"/>
      <c r="D777" s="19"/>
      <c r="X777" s="20"/>
    </row>
    <row r="778" spans="1:24" ht="13.9" x14ac:dyDescent="0.3">
      <c r="A778" s="19"/>
      <c r="B778" s="19"/>
      <c r="C778" s="19"/>
      <c r="D778" s="19"/>
      <c r="X778" s="20"/>
    </row>
    <row r="779" spans="1:24" ht="13.9" x14ac:dyDescent="0.3">
      <c r="A779" s="19"/>
      <c r="B779" s="19"/>
      <c r="C779" s="19"/>
      <c r="D779" s="19"/>
      <c r="X779" s="20"/>
    </row>
    <row r="780" spans="1:24" ht="13.9" x14ac:dyDescent="0.3">
      <c r="A780" s="19"/>
      <c r="B780" s="19"/>
      <c r="C780" s="19"/>
      <c r="D780" s="19"/>
      <c r="X780" s="20"/>
    </row>
    <row r="781" spans="1:24" ht="13.9" x14ac:dyDescent="0.3">
      <c r="A781" s="19"/>
      <c r="B781" s="19"/>
      <c r="C781" s="19"/>
      <c r="D781" s="19"/>
      <c r="X781" s="20"/>
    </row>
    <row r="782" spans="1:24" ht="13.9" x14ac:dyDescent="0.3">
      <c r="A782" s="19"/>
      <c r="B782" s="19"/>
      <c r="C782" s="19"/>
      <c r="D782" s="19"/>
      <c r="X782" s="20"/>
    </row>
    <row r="783" spans="1:24" ht="13.9" x14ac:dyDescent="0.3">
      <c r="A783" s="19"/>
      <c r="B783" s="19"/>
      <c r="C783" s="19"/>
      <c r="D783" s="19"/>
      <c r="X783" s="20"/>
    </row>
    <row r="784" spans="1:24" ht="13.9" x14ac:dyDescent="0.3">
      <c r="A784" s="19"/>
      <c r="B784" s="19"/>
      <c r="C784" s="19"/>
      <c r="D784" s="19"/>
      <c r="X784" s="20"/>
    </row>
    <row r="785" spans="1:24" ht="13.9" x14ac:dyDescent="0.3">
      <c r="A785" s="19"/>
      <c r="B785" s="19"/>
      <c r="C785" s="19"/>
      <c r="D785" s="19"/>
      <c r="X785" s="20"/>
    </row>
    <row r="786" spans="1:24" ht="13.9" x14ac:dyDescent="0.3">
      <c r="A786" s="19"/>
      <c r="B786" s="19"/>
      <c r="C786" s="19"/>
      <c r="D786" s="19"/>
      <c r="X786" s="20"/>
    </row>
    <row r="787" spans="1:24" ht="13.9" x14ac:dyDescent="0.3">
      <c r="A787" s="19"/>
      <c r="B787" s="19"/>
      <c r="C787" s="19"/>
      <c r="D787" s="19"/>
      <c r="X787" s="20"/>
    </row>
    <row r="788" spans="1:24" ht="13.9" x14ac:dyDescent="0.3">
      <c r="A788" s="19"/>
      <c r="B788" s="19"/>
      <c r="C788" s="19"/>
      <c r="D788" s="19"/>
      <c r="X788" s="20"/>
    </row>
    <row r="789" spans="1:24" ht="13.9" x14ac:dyDescent="0.3">
      <c r="A789" s="19"/>
      <c r="B789" s="19"/>
      <c r="C789" s="19"/>
      <c r="D789" s="19"/>
      <c r="X789" s="20"/>
    </row>
    <row r="790" spans="1:24" ht="13.9" x14ac:dyDescent="0.3">
      <c r="A790" s="19"/>
      <c r="B790" s="19"/>
      <c r="C790" s="19"/>
      <c r="D790" s="19"/>
      <c r="X790" s="20"/>
    </row>
    <row r="791" spans="1:24" ht="13.9" x14ac:dyDescent="0.3">
      <c r="A791" s="19"/>
      <c r="B791" s="19"/>
      <c r="C791" s="19"/>
      <c r="D791" s="19"/>
      <c r="X791" s="20"/>
    </row>
    <row r="792" spans="1:24" ht="13.9" x14ac:dyDescent="0.3">
      <c r="A792" s="19"/>
      <c r="B792" s="19"/>
      <c r="C792" s="19"/>
      <c r="D792" s="19"/>
      <c r="X792" s="20"/>
    </row>
    <row r="793" spans="1:24" ht="13.9" x14ac:dyDescent="0.3">
      <c r="A793" s="19"/>
      <c r="B793" s="19"/>
      <c r="C793" s="19"/>
      <c r="D793" s="19"/>
      <c r="X793" s="20"/>
    </row>
    <row r="794" spans="1:24" ht="13.9" x14ac:dyDescent="0.3">
      <c r="A794" s="19"/>
      <c r="B794" s="19"/>
      <c r="C794" s="19"/>
      <c r="D794" s="19"/>
      <c r="X794" s="20"/>
    </row>
    <row r="795" spans="1:24" ht="13.9" x14ac:dyDescent="0.3">
      <c r="A795" s="19"/>
      <c r="B795" s="19"/>
      <c r="C795" s="19"/>
      <c r="D795" s="19"/>
      <c r="X795" s="20"/>
    </row>
    <row r="796" spans="1:24" ht="13.9" x14ac:dyDescent="0.3">
      <c r="A796" s="19"/>
      <c r="B796" s="19"/>
      <c r="C796" s="19"/>
      <c r="D796" s="19"/>
      <c r="X796" s="20"/>
    </row>
    <row r="797" spans="1:24" ht="13.9" x14ac:dyDescent="0.3">
      <c r="A797" s="19"/>
      <c r="B797" s="19"/>
      <c r="C797" s="19"/>
      <c r="D797" s="19"/>
      <c r="X797" s="20"/>
    </row>
    <row r="798" spans="1:24" ht="13.9" x14ac:dyDescent="0.3">
      <c r="A798" s="19"/>
      <c r="B798" s="19"/>
      <c r="C798" s="19"/>
      <c r="D798" s="19"/>
      <c r="X798" s="20"/>
    </row>
    <row r="799" spans="1:24" ht="13.9" x14ac:dyDescent="0.3">
      <c r="A799" s="19"/>
      <c r="B799" s="19"/>
      <c r="C799" s="19"/>
      <c r="D799" s="19"/>
      <c r="X799" s="20"/>
    </row>
    <row r="800" spans="1:24" ht="13.9" x14ac:dyDescent="0.3">
      <c r="A800" s="19"/>
      <c r="B800" s="19"/>
      <c r="C800" s="19"/>
      <c r="D800" s="19"/>
      <c r="X800" s="20"/>
    </row>
    <row r="801" spans="1:24" ht="13.9" x14ac:dyDescent="0.3">
      <c r="A801" s="19"/>
      <c r="B801" s="19"/>
      <c r="C801" s="19"/>
      <c r="D801" s="19"/>
      <c r="X801" s="20"/>
    </row>
    <row r="802" spans="1:24" ht="13.9" x14ac:dyDescent="0.3">
      <c r="A802" s="19"/>
      <c r="B802" s="19"/>
      <c r="C802" s="19"/>
      <c r="D802" s="19"/>
      <c r="X802" s="20"/>
    </row>
    <row r="803" spans="1:24" ht="13.9" x14ac:dyDescent="0.3">
      <c r="A803" s="19"/>
      <c r="B803" s="19"/>
      <c r="C803" s="19"/>
      <c r="D803" s="19"/>
      <c r="X803" s="20"/>
    </row>
    <row r="804" spans="1:24" ht="13.9" x14ac:dyDescent="0.3">
      <c r="A804" s="19"/>
      <c r="B804" s="19"/>
      <c r="C804" s="19"/>
      <c r="D804" s="19"/>
      <c r="X804" s="20"/>
    </row>
    <row r="805" spans="1:24" ht="13.9" x14ac:dyDescent="0.3">
      <c r="A805" s="19"/>
      <c r="B805" s="19"/>
      <c r="C805" s="19"/>
      <c r="D805" s="19"/>
      <c r="X805" s="20"/>
    </row>
    <row r="806" spans="1:24" ht="13.9" x14ac:dyDescent="0.3">
      <c r="A806" s="19"/>
      <c r="B806" s="19"/>
      <c r="C806" s="19"/>
      <c r="D806" s="19"/>
      <c r="X806" s="20"/>
    </row>
    <row r="807" spans="1:24" ht="13.9" x14ac:dyDescent="0.3">
      <c r="A807" s="19"/>
      <c r="B807" s="19"/>
      <c r="C807" s="19"/>
      <c r="D807" s="19"/>
      <c r="X807" s="20"/>
    </row>
    <row r="808" spans="1:24" ht="13.9" x14ac:dyDescent="0.3">
      <c r="A808" s="19"/>
      <c r="B808" s="19"/>
      <c r="C808" s="19"/>
      <c r="D808" s="19"/>
      <c r="X808" s="20"/>
    </row>
    <row r="809" spans="1:24" ht="13.9" x14ac:dyDescent="0.3">
      <c r="A809" s="19"/>
      <c r="B809" s="19"/>
      <c r="C809" s="19"/>
      <c r="D809" s="19"/>
      <c r="X809" s="20"/>
    </row>
    <row r="810" spans="1:24" ht="13.9" x14ac:dyDescent="0.3">
      <c r="A810" s="19"/>
      <c r="B810" s="19"/>
      <c r="C810" s="19"/>
      <c r="D810" s="19"/>
      <c r="X810" s="20"/>
    </row>
    <row r="811" spans="1:24" ht="13.9" x14ac:dyDescent="0.3">
      <c r="A811" s="19"/>
      <c r="B811" s="19"/>
      <c r="C811" s="19"/>
      <c r="D811" s="19"/>
      <c r="X811" s="20"/>
    </row>
    <row r="812" spans="1:24" ht="13.9" x14ac:dyDescent="0.3">
      <c r="A812" s="19"/>
      <c r="B812" s="19"/>
      <c r="C812" s="19"/>
      <c r="D812" s="19"/>
      <c r="X812" s="20"/>
    </row>
    <row r="813" spans="1:24" ht="13.9" x14ac:dyDescent="0.3">
      <c r="A813" s="19"/>
      <c r="B813" s="19"/>
      <c r="C813" s="19"/>
      <c r="D813" s="19"/>
      <c r="X813" s="20"/>
    </row>
    <row r="814" spans="1:24" ht="13.9" x14ac:dyDescent="0.3">
      <c r="A814" s="19"/>
      <c r="B814" s="19"/>
      <c r="C814" s="19"/>
      <c r="D814" s="19"/>
      <c r="X814" s="20"/>
    </row>
    <row r="815" spans="1:24" ht="13.9" x14ac:dyDescent="0.3">
      <c r="A815" s="19"/>
      <c r="B815" s="19"/>
      <c r="C815" s="19"/>
      <c r="D815" s="19"/>
      <c r="X815" s="20"/>
    </row>
    <row r="816" spans="1:24" ht="13.9" x14ac:dyDescent="0.3">
      <c r="A816" s="19"/>
      <c r="B816" s="19"/>
      <c r="C816" s="19"/>
      <c r="D816" s="19"/>
      <c r="X816" s="20"/>
    </row>
    <row r="817" spans="1:24" ht="13.9" x14ac:dyDescent="0.3">
      <c r="A817" s="19"/>
      <c r="B817" s="19"/>
      <c r="C817" s="19"/>
      <c r="D817" s="19"/>
      <c r="X817" s="20"/>
    </row>
    <row r="818" spans="1:24" ht="13.9" x14ac:dyDescent="0.3">
      <c r="A818" s="19"/>
      <c r="B818" s="19"/>
      <c r="C818" s="19"/>
      <c r="D818" s="19"/>
      <c r="X818" s="20"/>
    </row>
    <row r="819" spans="1:24" ht="13.9" x14ac:dyDescent="0.3">
      <c r="A819" s="19"/>
      <c r="B819" s="19"/>
      <c r="C819" s="19"/>
      <c r="D819" s="19"/>
      <c r="X819" s="20"/>
    </row>
    <row r="820" spans="1:24" ht="13.9" x14ac:dyDescent="0.3">
      <c r="A820" s="19"/>
      <c r="B820" s="19"/>
      <c r="C820" s="19"/>
      <c r="D820" s="19"/>
      <c r="X820" s="20"/>
    </row>
    <row r="821" spans="1:24" ht="13.9" x14ac:dyDescent="0.3">
      <c r="A821" s="19"/>
      <c r="B821" s="19"/>
      <c r="C821" s="19"/>
      <c r="D821" s="19"/>
      <c r="X821" s="20"/>
    </row>
    <row r="822" spans="1:24" ht="13.9" x14ac:dyDescent="0.3">
      <c r="A822" s="19"/>
      <c r="B822" s="19"/>
      <c r="C822" s="19"/>
      <c r="D822" s="19"/>
      <c r="X822" s="20"/>
    </row>
    <row r="823" spans="1:24" ht="13.9" x14ac:dyDescent="0.3">
      <c r="A823" s="19"/>
      <c r="B823" s="19"/>
      <c r="C823" s="19"/>
      <c r="D823" s="19"/>
      <c r="X823" s="20"/>
    </row>
    <row r="824" spans="1:24" ht="13.9" x14ac:dyDescent="0.3">
      <c r="A824" s="19"/>
      <c r="B824" s="19"/>
      <c r="C824" s="19"/>
      <c r="D824" s="19"/>
      <c r="X824" s="20"/>
    </row>
    <row r="825" spans="1:24" ht="13.9" x14ac:dyDescent="0.3">
      <c r="A825" s="19"/>
      <c r="B825" s="19"/>
      <c r="C825" s="19"/>
      <c r="D825" s="19"/>
      <c r="X825" s="20"/>
    </row>
    <row r="826" spans="1:24" ht="13.9" x14ac:dyDescent="0.3">
      <c r="A826" s="19"/>
      <c r="B826" s="19"/>
      <c r="C826" s="19"/>
      <c r="D826" s="19"/>
      <c r="X826" s="20"/>
    </row>
    <row r="827" spans="1:24" ht="13.9" x14ac:dyDescent="0.3">
      <c r="A827" s="19"/>
      <c r="B827" s="19"/>
      <c r="C827" s="19"/>
      <c r="D827" s="19"/>
      <c r="X827" s="20"/>
    </row>
    <row r="828" spans="1:24" ht="13.9" x14ac:dyDescent="0.3">
      <c r="A828" s="19"/>
      <c r="B828" s="19"/>
      <c r="C828" s="19"/>
      <c r="D828" s="19"/>
      <c r="X828" s="20"/>
    </row>
    <row r="829" spans="1:24" ht="13.9" x14ac:dyDescent="0.3">
      <c r="A829" s="19"/>
      <c r="B829" s="19"/>
      <c r="C829" s="19"/>
      <c r="D829" s="19"/>
      <c r="X829" s="20"/>
    </row>
    <row r="830" spans="1:24" ht="13.9" x14ac:dyDescent="0.3">
      <c r="A830" s="19"/>
      <c r="B830" s="19"/>
      <c r="C830" s="19"/>
      <c r="D830" s="19"/>
      <c r="X830" s="20"/>
    </row>
    <row r="831" spans="1:24" ht="13.9" x14ac:dyDescent="0.3">
      <c r="A831" s="19"/>
      <c r="B831" s="19"/>
      <c r="C831" s="19"/>
      <c r="D831" s="19"/>
      <c r="X831" s="20"/>
    </row>
    <row r="832" spans="1:24" ht="13.9" x14ac:dyDescent="0.3">
      <c r="A832" s="19"/>
      <c r="B832" s="19"/>
      <c r="C832" s="19"/>
      <c r="D832" s="19"/>
      <c r="X832" s="20"/>
    </row>
    <row r="833" spans="1:24" ht="13.9" x14ac:dyDescent="0.3">
      <c r="A833" s="19"/>
      <c r="B833" s="19"/>
      <c r="C833" s="19"/>
      <c r="D833" s="19"/>
      <c r="X833" s="20"/>
    </row>
    <row r="834" spans="1:24" ht="13.9" x14ac:dyDescent="0.3">
      <c r="A834" s="19"/>
      <c r="B834" s="19"/>
      <c r="C834" s="19"/>
      <c r="D834" s="19"/>
      <c r="X834" s="20"/>
    </row>
    <row r="835" spans="1:24" ht="13.9" x14ac:dyDescent="0.3">
      <c r="A835" s="19"/>
      <c r="B835" s="19"/>
      <c r="C835" s="19"/>
      <c r="D835" s="19"/>
      <c r="X835" s="20"/>
    </row>
    <row r="836" spans="1:24" ht="13.9" x14ac:dyDescent="0.3">
      <c r="A836" s="19"/>
      <c r="B836" s="19"/>
      <c r="C836" s="19"/>
      <c r="D836" s="19"/>
      <c r="X836" s="20"/>
    </row>
    <row r="837" spans="1:24" ht="13.9" x14ac:dyDescent="0.3">
      <c r="A837" s="19"/>
      <c r="B837" s="19"/>
      <c r="C837" s="19"/>
      <c r="D837" s="19"/>
      <c r="X837" s="20"/>
    </row>
    <row r="838" spans="1:24" ht="13.9" x14ac:dyDescent="0.3">
      <c r="A838" s="19"/>
      <c r="B838" s="19"/>
      <c r="C838" s="19"/>
      <c r="D838" s="19"/>
      <c r="X838" s="20"/>
    </row>
    <row r="839" spans="1:24" ht="13.9" x14ac:dyDescent="0.3">
      <c r="A839" s="19"/>
      <c r="B839" s="19"/>
      <c r="C839" s="19"/>
      <c r="D839" s="19"/>
      <c r="X839" s="20"/>
    </row>
    <row r="840" spans="1:24" ht="13.9" x14ac:dyDescent="0.3">
      <c r="A840" s="19"/>
      <c r="B840" s="19"/>
      <c r="C840" s="19"/>
      <c r="D840" s="19"/>
      <c r="X840" s="20"/>
    </row>
    <row r="841" spans="1:24" ht="13.9" x14ac:dyDescent="0.3">
      <c r="A841" s="19"/>
      <c r="B841" s="19"/>
      <c r="C841" s="19"/>
      <c r="D841" s="19"/>
      <c r="X841" s="20"/>
    </row>
    <row r="842" spans="1:24" ht="13.9" x14ac:dyDescent="0.3">
      <c r="A842" s="19"/>
      <c r="B842" s="19"/>
      <c r="C842" s="19"/>
      <c r="D842" s="19"/>
      <c r="X842" s="20"/>
    </row>
    <row r="843" spans="1:24" ht="13.9" x14ac:dyDescent="0.3">
      <c r="A843" s="19"/>
      <c r="B843" s="19"/>
      <c r="C843" s="19"/>
      <c r="D843" s="19"/>
      <c r="X843" s="20"/>
    </row>
    <row r="844" spans="1:24" ht="13.9" x14ac:dyDescent="0.3">
      <c r="A844" s="19"/>
      <c r="B844" s="19"/>
      <c r="C844" s="19"/>
      <c r="D844" s="19"/>
      <c r="X844" s="20"/>
    </row>
    <row r="845" spans="1:24" ht="13.9" x14ac:dyDescent="0.3">
      <c r="A845" s="19"/>
      <c r="B845" s="19"/>
      <c r="C845" s="19"/>
      <c r="D845" s="19"/>
      <c r="X845" s="20"/>
    </row>
    <row r="846" spans="1:24" ht="13.9" x14ac:dyDescent="0.3">
      <c r="A846" s="19"/>
      <c r="B846" s="19"/>
      <c r="C846" s="19"/>
      <c r="D846" s="19"/>
      <c r="X846" s="20"/>
    </row>
    <row r="847" spans="1:24" ht="13.9" x14ac:dyDescent="0.3">
      <c r="A847" s="19"/>
      <c r="B847" s="19"/>
      <c r="C847" s="19"/>
      <c r="D847" s="19"/>
      <c r="X847" s="20"/>
    </row>
    <row r="848" spans="1:24" ht="13.9" x14ac:dyDescent="0.3">
      <c r="A848" s="19"/>
      <c r="B848" s="19"/>
      <c r="C848" s="19"/>
      <c r="D848" s="19"/>
      <c r="X848" s="20"/>
    </row>
    <row r="849" spans="1:24" ht="13.9" x14ac:dyDescent="0.3">
      <c r="A849" s="19"/>
      <c r="B849" s="19"/>
      <c r="C849" s="19"/>
      <c r="D849" s="19"/>
      <c r="X849" s="20"/>
    </row>
    <row r="850" spans="1:24" ht="13.9" x14ac:dyDescent="0.3">
      <c r="A850" s="19"/>
      <c r="B850" s="19"/>
      <c r="C850" s="19"/>
      <c r="D850" s="19"/>
      <c r="X850" s="20"/>
    </row>
    <row r="851" spans="1:24" ht="13.9" x14ac:dyDescent="0.3">
      <c r="A851" s="19"/>
      <c r="B851" s="19"/>
      <c r="C851" s="19"/>
      <c r="D851" s="19"/>
      <c r="X851" s="20"/>
    </row>
    <row r="852" spans="1:24" ht="13.9" x14ac:dyDescent="0.3">
      <c r="A852" s="19"/>
      <c r="B852" s="19"/>
      <c r="C852" s="19"/>
      <c r="D852" s="19"/>
      <c r="X852" s="20"/>
    </row>
    <row r="853" spans="1:24" ht="13.9" x14ac:dyDescent="0.3">
      <c r="A853" s="19"/>
      <c r="B853" s="19"/>
      <c r="C853" s="19"/>
      <c r="D853" s="19"/>
      <c r="X853" s="20"/>
    </row>
    <row r="854" spans="1:24" ht="13.9" x14ac:dyDescent="0.3">
      <c r="A854" s="19"/>
      <c r="B854" s="19"/>
      <c r="C854" s="19"/>
      <c r="D854" s="19"/>
      <c r="X854" s="20"/>
    </row>
    <row r="855" spans="1:24" ht="13.9" x14ac:dyDescent="0.3">
      <c r="A855" s="19"/>
      <c r="B855" s="19"/>
      <c r="C855" s="19"/>
      <c r="D855" s="19"/>
      <c r="X855" s="20"/>
    </row>
    <row r="856" spans="1:24" ht="13.9" x14ac:dyDescent="0.3">
      <c r="A856" s="19"/>
      <c r="B856" s="19"/>
      <c r="C856" s="19"/>
      <c r="D856" s="19"/>
      <c r="X856" s="20"/>
    </row>
    <row r="857" spans="1:24" ht="13.9" x14ac:dyDescent="0.3">
      <c r="A857" s="19"/>
      <c r="B857" s="19"/>
      <c r="C857" s="19"/>
      <c r="D857" s="19"/>
      <c r="X857" s="20"/>
    </row>
    <row r="858" spans="1:24" ht="13.9" x14ac:dyDescent="0.3">
      <c r="A858" s="19"/>
      <c r="B858" s="19"/>
      <c r="C858" s="19"/>
      <c r="D858" s="19"/>
      <c r="X858" s="20"/>
    </row>
    <row r="859" spans="1:24" ht="13.9" x14ac:dyDescent="0.3">
      <c r="A859" s="19"/>
      <c r="B859" s="19"/>
      <c r="C859" s="19"/>
      <c r="D859" s="19"/>
      <c r="X859" s="20"/>
    </row>
    <row r="860" spans="1:24" ht="13.9" x14ac:dyDescent="0.3">
      <c r="A860" s="19"/>
      <c r="B860" s="19"/>
      <c r="C860" s="19"/>
      <c r="D860" s="19"/>
      <c r="X860" s="20"/>
    </row>
    <row r="861" spans="1:24" ht="13.9" x14ac:dyDescent="0.3">
      <c r="A861" s="19"/>
      <c r="B861" s="19"/>
      <c r="C861" s="19"/>
      <c r="D861" s="19"/>
      <c r="X861" s="20"/>
    </row>
    <row r="862" spans="1:24" ht="13.9" x14ac:dyDescent="0.3">
      <c r="A862" s="19"/>
      <c r="B862" s="19"/>
      <c r="C862" s="19"/>
      <c r="D862" s="19"/>
      <c r="X862" s="20"/>
    </row>
    <row r="863" spans="1:24" ht="13.9" x14ac:dyDescent="0.3">
      <c r="A863" s="19"/>
      <c r="B863" s="19"/>
      <c r="C863" s="19"/>
      <c r="D863" s="19"/>
      <c r="X863" s="20"/>
    </row>
    <row r="864" spans="1:24" ht="13.9" x14ac:dyDescent="0.3">
      <c r="A864" s="19"/>
      <c r="B864" s="19"/>
      <c r="C864" s="19"/>
      <c r="D864" s="19"/>
      <c r="X864" s="20"/>
    </row>
    <row r="865" spans="1:24" ht="13.9" x14ac:dyDescent="0.3">
      <c r="A865" s="19"/>
      <c r="B865" s="19"/>
      <c r="C865" s="19"/>
      <c r="D865" s="19"/>
      <c r="X865" s="20"/>
    </row>
    <row r="866" spans="1:24" ht="13.9" x14ac:dyDescent="0.3">
      <c r="A866" s="19"/>
      <c r="B866" s="19"/>
      <c r="C866" s="19"/>
      <c r="D866" s="19"/>
      <c r="X866" s="20"/>
    </row>
    <row r="867" spans="1:24" ht="13.9" x14ac:dyDescent="0.3">
      <c r="A867" s="19"/>
      <c r="B867" s="19"/>
      <c r="C867" s="19"/>
      <c r="D867" s="19"/>
      <c r="X867" s="20"/>
    </row>
    <row r="868" spans="1:24" ht="13.9" x14ac:dyDescent="0.3">
      <c r="A868" s="19"/>
      <c r="B868" s="19"/>
      <c r="C868" s="19"/>
      <c r="D868" s="19"/>
      <c r="X868" s="20"/>
    </row>
    <row r="869" spans="1:24" ht="13.9" x14ac:dyDescent="0.3">
      <c r="A869" s="19"/>
      <c r="B869" s="19"/>
      <c r="C869" s="19"/>
      <c r="D869" s="19"/>
      <c r="X869" s="20"/>
    </row>
    <row r="870" spans="1:24" ht="13.9" x14ac:dyDescent="0.3">
      <c r="A870" s="19"/>
      <c r="B870" s="19"/>
      <c r="C870" s="19"/>
      <c r="D870" s="19"/>
      <c r="X870" s="20"/>
    </row>
    <row r="871" spans="1:24" ht="13.9" x14ac:dyDescent="0.3">
      <c r="A871" s="19"/>
      <c r="B871" s="19"/>
      <c r="C871" s="19"/>
      <c r="D871" s="19"/>
      <c r="X871" s="20"/>
    </row>
    <row r="872" spans="1:24" ht="13.9" x14ac:dyDescent="0.3">
      <c r="A872" s="19"/>
      <c r="B872" s="19"/>
      <c r="C872" s="19"/>
      <c r="D872" s="19"/>
      <c r="X872" s="20"/>
    </row>
    <row r="873" spans="1:24" ht="13.9" x14ac:dyDescent="0.3">
      <c r="A873" s="19"/>
      <c r="B873" s="19"/>
      <c r="C873" s="19"/>
      <c r="D873" s="19"/>
      <c r="X873" s="20"/>
    </row>
    <row r="874" spans="1:24" ht="13.9" x14ac:dyDescent="0.3">
      <c r="A874" s="19"/>
      <c r="B874" s="19"/>
      <c r="C874" s="19"/>
      <c r="D874" s="19"/>
      <c r="X874" s="20"/>
    </row>
    <row r="875" spans="1:24" ht="13.9" x14ac:dyDescent="0.3">
      <c r="A875" s="19"/>
      <c r="B875" s="19"/>
      <c r="C875" s="19"/>
      <c r="D875" s="19"/>
      <c r="X875" s="20"/>
    </row>
    <row r="876" spans="1:24" ht="13.9" x14ac:dyDescent="0.3">
      <c r="A876" s="19"/>
      <c r="B876" s="19"/>
      <c r="C876" s="19"/>
      <c r="D876" s="19"/>
      <c r="X876" s="20"/>
    </row>
    <row r="877" spans="1:24" ht="13.9" x14ac:dyDescent="0.3">
      <c r="A877" s="19"/>
      <c r="B877" s="19"/>
      <c r="C877" s="19"/>
      <c r="D877" s="19"/>
      <c r="X877" s="20"/>
    </row>
    <row r="878" spans="1:24" ht="13.9" x14ac:dyDescent="0.3">
      <c r="A878" s="19"/>
      <c r="B878" s="19"/>
      <c r="C878" s="19"/>
      <c r="D878" s="19"/>
      <c r="X878" s="20"/>
    </row>
    <row r="879" spans="1:24" ht="13.9" x14ac:dyDescent="0.3">
      <c r="A879" s="19"/>
      <c r="B879" s="19"/>
      <c r="C879" s="19"/>
      <c r="D879" s="19"/>
      <c r="X879" s="20"/>
    </row>
    <row r="880" spans="1:24" ht="13.9" x14ac:dyDescent="0.3">
      <c r="A880" s="19"/>
      <c r="B880" s="19"/>
      <c r="C880" s="19"/>
      <c r="D880" s="19"/>
      <c r="X880" s="20"/>
    </row>
    <row r="881" spans="1:24" ht="13.9" x14ac:dyDescent="0.3">
      <c r="A881" s="19"/>
      <c r="B881" s="19"/>
      <c r="C881" s="19"/>
      <c r="D881" s="19"/>
      <c r="X881" s="20"/>
    </row>
    <row r="882" spans="1:24" ht="13.9" x14ac:dyDescent="0.3">
      <c r="A882" s="19"/>
      <c r="B882" s="19"/>
      <c r="C882" s="19"/>
      <c r="D882" s="19"/>
      <c r="X882" s="20"/>
    </row>
    <row r="883" spans="1:24" ht="13.9" x14ac:dyDescent="0.3">
      <c r="A883" s="19"/>
      <c r="B883" s="19"/>
      <c r="C883" s="19"/>
      <c r="D883" s="19"/>
      <c r="X883" s="20"/>
    </row>
    <row r="884" spans="1:24" ht="13.9" x14ac:dyDescent="0.3">
      <c r="A884" s="19"/>
      <c r="B884" s="19"/>
      <c r="C884" s="19"/>
      <c r="D884" s="19"/>
      <c r="X884" s="20"/>
    </row>
    <row r="885" spans="1:24" ht="13.9" x14ac:dyDescent="0.3">
      <c r="A885" s="19"/>
      <c r="B885" s="19"/>
      <c r="C885" s="19"/>
      <c r="D885" s="19"/>
      <c r="X885" s="20"/>
    </row>
    <row r="886" spans="1:24" ht="13.9" x14ac:dyDescent="0.3">
      <c r="A886" s="19"/>
      <c r="B886" s="19"/>
      <c r="C886" s="19"/>
      <c r="D886" s="19"/>
      <c r="X886" s="20"/>
    </row>
    <row r="887" spans="1:24" ht="13.9" x14ac:dyDescent="0.3">
      <c r="A887" s="19"/>
      <c r="B887" s="19"/>
      <c r="C887" s="19"/>
      <c r="D887" s="19"/>
      <c r="X887" s="20"/>
    </row>
    <row r="888" spans="1:24" ht="13.9" x14ac:dyDescent="0.3">
      <c r="A888" s="19"/>
      <c r="B888" s="19"/>
      <c r="C888" s="19"/>
      <c r="D888" s="19"/>
      <c r="X888" s="20"/>
    </row>
    <row r="889" spans="1:24" ht="13.9" x14ac:dyDescent="0.3">
      <c r="A889" s="19"/>
      <c r="B889" s="19"/>
      <c r="C889" s="19"/>
      <c r="D889" s="19"/>
      <c r="X889" s="20"/>
    </row>
    <row r="890" spans="1:24" ht="13.9" x14ac:dyDescent="0.3">
      <c r="A890" s="19"/>
      <c r="B890" s="19"/>
      <c r="C890" s="19"/>
      <c r="D890" s="19"/>
      <c r="X890" s="20"/>
    </row>
    <row r="891" spans="1:24" ht="13.9" x14ac:dyDescent="0.3">
      <c r="A891" s="19"/>
      <c r="B891" s="19"/>
      <c r="C891" s="19"/>
      <c r="D891" s="19"/>
      <c r="X891" s="20"/>
    </row>
    <row r="892" spans="1:24" ht="13.9" x14ac:dyDescent="0.3">
      <c r="A892" s="19"/>
      <c r="B892" s="19"/>
      <c r="C892" s="19"/>
      <c r="D892" s="19"/>
      <c r="X892" s="20"/>
    </row>
    <row r="893" spans="1:24" ht="13.9" x14ac:dyDescent="0.3">
      <c r="A893" s="19"/>
      <c r="B893" s="19"/>
      <c r="C893" s="19"/>
      <c r="D893" s="19"/>
      <c r="X893" s="20"/>
    </row>
    <row r="894" spans="1:24" ht="13.9" x14ac:dyDescent="0.3">
      <c r="A894" s="19"/>
      <c r="B894" s="19"/>
      <c r="C894" s="19"/>
      <c r="D894" s="19"/>
      <c r="X894" s="20"/>
    </row>
    <row r="895" spans="1:24" ht="13.9" x14ac:dyDescent="0.3">
      <c r="A895" s="19"/>
      <c r="B895" s="19"/>
      <c r="C895" s="19"/>
      <c r="D895" s="19"/>
      <c r="X895" s="20"/>
    </row>
    <row r="896" spans="1:24" ht="13.9" x14ac:dyDescent="0.3">
      <c r="A896" s="19"/>
      <c r="B896" s="19"/>
      <c r="C896" s="19"/>
      <c r="D896" s="19"/>
      <c r="X896" s="20"/>
    </row>
    <row r="897" spans="1:24" ht="13.9" x14ac:dyDescent="0.3">
      <c r="A897" s="19"/>
      <c r="B897" s="19"/>
      <c r="C897" s="19"/>
      <c r="D897" s="19"/>
      <c r="X897" s="20"/>
    </row>
    <row r="898" spans="1:24" ht="13.9" x14ac:dyDescent="0.3">
      <c r="A898" s="19"/>
      <c r="B898" s="19"/>
      <c r="C898" s="19"/>
      <c r="D898" s="19"/>
      <c r="X898" s="20"/>
    </row>
    <row r="899" spans="1:24" ht="13.9" x14ac:dyDescent="0.3">
      <c r="A899" s="19"/>
      <c r="B899" s="19"/>
      <c r="C899" s="19"/>
      <c r="D899" s="19"/>
      <c r="X899" s="20"/>
    </row>
    <row r="900" spans="1:24" ht="13.9" x14ac:dyDescent="0.3">
      <c r="A900" s="19"/>
      <c r="B900" s="19"/>
      <c r="C900" s="19"/>
      <c r="D900" s="19"/>
      <c r="X900" s="20"/>
    </row>
    <row r="901" spans="1:24" ht="13.9" x14ac:dyDescent="0.3">
      <c r="A901" s="19"/>
      <c r="B901" s="19"/>
      <c r="C901" s="19"/>
      <c r="D901" s="19"/>
      <c r="X901" s="20"/>
    </row>
    <row r="902" spans="1:24" ht="13.9" x14ac:dyDescent="0.3">
      <c r="A902" s="19"/>
      <c r="B902" s="19"/>
      <c r="C902" s="19"/>
      <c r="D902" s="19"/>
      <c r="X902" s="20"/>
    </row>
    <row r="903" spans="1:24" ht="13.9" x14ac:dyDescent="0.3">
      <c r="A903" s="19"/>
      <c r="B903" s="19"/>
      <c r="C903" s="19"/>
      <c r="D903" s="19"/>
      <c r="X903" s="20"/>
    </row>
    <row r="904" spans="1:24" ht="13.9" x14ac:dyDescent="0.3">
      <c r="A904" s="19"/>
      <c r="B904" s="19"/>
      <c r="C904" s="19"/>
      <c r="D904" s="19"/>
      <c r="X904" s="20"/>
    </row>
    <row r="905" spans="1:24" ht="13.9" x14ac:dyDescent="0.3">
      <c r="A905" s="19"/>
      <c r="B905" s="19"/>
      <c r="C905" s="19"/>
      <c r="D905" s="19"/>
      <c r="X905" s="20"/>
    </row>
    <row r="906" spans="1:24" ht="13.9" x14ac:dyDescent="0.3">
      <c r="A906" s="19"/>
      <c r="B906" s="19"/>
      <c r="C906" s="19"/>
      <c r="D906" s="19"/>
      <c r="X906" s="20"/>
    </row>
    <row r="907" spans="1:24" ht="13.9" x14ac:dyDescent="0.3">
      <c r="A907" s="19"/>
      <c r="B907" s="19"/>
      <c r="C907" s="19"/>
      <c r="D907" s="19"/>
      <c r="X907" s="20"/>
    </row>
    <row r="908" spans="1:24" ht="13.9" x14ac:dyDescent="0.3">
      <c r="A908" s="19"/>
      <c r="B908" s="19"/>
      <c r="C908" s="19"/>
      <c r="D908" s="19"/>
      <c r="X908" s="20"/>
    </row>
    <row r="909" spans="1:24" ht="13.9" x14ac:dyDescent="0.3">
      <c r="A909" s="19"/>
      <c r="B909" s="19"/>
      <c r="C909" s="19"/>
      <c r="D909" s="19"/>
      <c r="X909" s="20"/>
    </row>
    <row r="910" spans="1:24" ht="13.9" x14ac:dyDescent="0.3">
      <c r="A910" s="19"/>
      <c r="B910" s="19"/>
      <c r="C910" s="19"/>
      <c r="D910" s="19"/>
      <c r="X910" s="20"/>
    </row>
    <row r="911" spans="1:24" ht="13.9" x14ac:dyDescent="0.3">
      <c r="A911" s="19"/>
      <c r="B911" s="19"/>
      <c r="C911" s="19"/>
      <c r="D911" s="19"/>
      <c r="X911" s="20"/>
    </row>
    <row r="912" spans="1:24" ht="13.9" x14ac:dyDescent="0.3">
      <c r="A912" s="19"/>
      <c r="B912" s="19"/>
      <c r="C912" s="19"/>
      <c r="D912" s="19"/>
      <c r="X912" s="20"/>
    </row>
    <row r="913" spans="1:24" ht="13.9" x14ac:dyDescent="0.3">
      <c r="A913" s="19"/>
      <c r="B913" s="19"/>
      <c r="C913" s="19"/>
      <c r="D913" s="19"/>
      <c r="X913" s="20"/>
    </row>
    <row r="914" spans="1:24" ht="13.9" x14ac:dyDescent="0.3">
      <c r="A914" s="19"/>
      <c r="B914" s="19"/>
      <c r="C914" s="19"/>
      <c r="D914" s="19"/>
      <c r="X914" s="20"/>
    </row>
    <row r="915" spans="1:24" ht="13.9" x14ac:dyDescent="0.3">
      <c r="A915" s="19"/>
      <c r="B915" s="19"/>
      <c r="C915" s="19"/>
      <c r="D915" s="19"/>
      <c r="X915" s="20"/>
    </row>
    <row r="916" spans="1:24" ht="13.9" x14ac:dyDescent="0.3">
      <c r="A916" s="19"/>
      <c r="B916" s="19"/>
      <c r="C916" s="19"/>
      <c r="D916" s="19"/>
      <c r="X916" s="20"/>
    </row>
    <row r="917" spans="1:24" ht="13.9" x14ac:dyDescent="0.3">
      <c r="A917" s="19"/>
      <c r="B917" s="19"/>
      <c r="C917" s="19"/>
      <c r="D917" s="19"/>
      <c r="X917" s="20"/>
    </row>
    <row r="918" spans="1:24" ht="13.9" x14ac:dyDescent="0.3">
      <c r="A918" s="19"/>
      <c r="B918" s="19"/>
      <c r="C918" s="19"/>
      <c r="D918" s="19"/>
      <c r="X918" s="20"/>
    </row>
    <row r="919" spans="1:24" ht="13.9" x14ac:dyDescent="0.3">
      <c r="A919" s="19"/>
      <c r="B919" s="19"/>
      <c r="C919" s="19"/>
      <c r="D919" s="19"/>
      <c r="X919" s="20"/>
    </row>
    <row r="920" spans="1:24" ht="13.9" x14ac:dyDescent="0.3">
      <c r="A920" s="19"/>
      <c r="B920" s="19"/>
      <c r="C920" s="19"/>
      <c r="D920" s="19"/>
      <c r="X920" s="20"/>
    </row>
    <row r="921" spans="1:24" ht="13.9" x14ac:dyDescent="0.3">
      <c r="A921" s="19"/>
      <c r="B921" s="19"/>
      <c r="C921" s="19"/>
      <c r="D921" s="19"/>
      <c r="X921" s="20"/>
    </row>
    <row r="922" spans="1:24" ht="13.9" x14ac:dyDescent="0.3">
      <c r="A922" s="19"/>
      <c r="B922" s="19"/>
      <c r="C922" s="19"/>
      <c r="D922" s="19"/>
      <c r="X922" s="20"/>
    </row>
    <row r="923" spans="1:24" ht="13.9" x14ac:dyDescent="0.3">
      <c r="A923" s="19"/>
      <c r="B923" s="19"/>
      <c r="C923" s="19"/>
      <c r="D923" s="19"/>
      <c r="X923" s="20"/>
    </row>
    <row r="924" spans="1:24" ht="13.9" x14ac:dyDescent="0.3">
      <c r="A924" s="19"/>
      <c r="B924" s="19"/>
      <c r="C924" s="19"/>
      <c r="D924" s="19"/>
      <c r="X924" s="20"/>
    </row>
    <row r="925" spans="1:24" ht="13.9" x14ac:dyDescent="0.3">
      <c r="A925" s="19"/>
      <c r="B925" s="19"/>
      <c r="C925" s="19"/>
      <c r="D925" s="19"/>
      <c r="X925" s="20"/>
    </row>
    <row r="926" spans="1:24" ht="13.9" x14ac:dyDescent="0.3">
      <c r="A926" s="19"/>
      <c r="B926" s="19"/>
      <c r="C926" s="19"/>
      <c r="D926" s="19"/>
      <c r="X926" s="20"/>
    </row>
    <row r="927" spans="1:24" ht="13.9" x14ac:dyDescent="0.3">
      <c r="A927" s="19"/>
      <c r="B927" s="19"/>
      <c r="C927" s="19"/>
      <c r="D927" s="19"/>
      <c r="X927" s="20"/>
    </row>
    <row r="928" spans="1:24" ht="13.9" x14ac:dyDescent="0.3">
      <c r="A928" s="19"/>
      <c r="B928" s="19"/>
      <c r="C928" s="19"/>
      <c r="D928" s="19"/>
      <c r="X928" s="20"/>
    </row>
    <row r="929" spans="1:24" ht="13.9" x14ac:dyDescent="0.3">
      <c r="A929" s="19"/>
      <c r="B929" s="19"/>
      <c r="C929" s="19"/>
      <c r="D929" s="19"/>
      <c r="X929" s="20"/>
    </row>
    <row r="930" spans="1:24" ht="13.9" x14ac:dyDescent="0.3">
      <c r="A930" s="19"/>
      <c r="B930" s="19"/>
      <c r="C930" s="19"/>
      <c r="D930" s="19"/>
      <c r="X930" s="20"/>
    </row>
    <row r="931" spans="1:24" ht="13.9" x14ac:dyDescent="0.3">
      <c r="A931" s="19"/>
      <c r="B931" s="19"/>
      <c r="C931" s="19"/>
      <c r="D931" s="19"/>
      <c r="X931" s="20"/>
    </row>
    <row r="932" spans="1:24" ht="13.9" x14ac:dyDescent="0.3">
      <c r="A932" s="19"/>
      <c r="B932" s="19"/>
      <c r="C932" s="19"/>
      <c r="D932" s="19"/>
      <c r="X932" s="20"/>
    </row>
    <row r="933" spans="1:24" ht="13.9" x14ac:dyDescent="0.3">
      <c r="A933" s="19"/>
      <c r="B933" s="19"/>
      <c r="C933" s="19"/>
      <c r="D933" s="19"/>
      <c r="X933" s="20"/>
    </row>
    <row r="934" spans="1:24" ht="13.9" x14ac:dyDescent="0.3">
      <c r="A934" s="19"/>
      <c r="B934" s="19"/>
      <c r="C934" s="19"/>
      <c r="D934" s="19"/>
      <c r="X934" s="20"/>
    </row>
    <row r="935" spans="1:24" ht="13.9" x14ac:dyDescent="0.3">
      <c r="A935" s="19"/>
      <c r="B935" s="19"/>
      <c r="C935" s="19"/>
      <c r="D935" s="19"/>
      <c r="X935" s="20"/>
    </row>
    <row r="936" spans="1:24" ht="13.9" x14ac:dyDescent="0.3">
      <c r="A936" s="19"/>
      <c r="B936" s="19"/>
      <c r="C936" s="19"/>
      <c r="D936" s="19"/>
      <c r="X936" s="20"/>
    </row>
    <row r="937" spans="1:24" ht="13.9" x14ac:dyDescent="0.3">
      <c r="A937" s="19"/>
      <c r="B937" s="19"/>
      <c r="C937" s="19"/>
      <c r="D937" s="19"/>
      <c r="X937" s="20"/>
    </row>
    <row r="938" spans="1:24" ht="13.9" x14ac:dyDescent="0.3">
      <c r="A938" s="19"/>
      <c r="B938" s="19"/>
      <c r="C938" s="19"/>
      <c r="D938" s="19"/>
      <c r="X938" s="20"/>
    </row>
    <row r="939" spans="1:24" ht="13.9" x14ac:dyDescent="0.3">
      <c r="A939" s="19"/>
      <c r="B939" s="19"/>
      <c r="C939" s="19"/>
      <c r="D939" s="19"/>
      <c r="X939" s="20"/>
    </row>
    <row r="940" spans="1:24" ht="13.9" x14ac:dyDescent="0.3">
      <c r="A940" s="19"/>
      <c r="B940" s="19"/>
      <c r="C940" s="19"/>
      <c r="D940" s="19"/>
      <c r="X940" s="20"/>
    </row>
    <row r="941" spans="1:24" ht="13.9" x14ac:dyDescent="0.3">
      <c r="A941" s="19"/>
      <c r="B941" s="19"/>
      <c r="C941" s="19"/>
      <c r="D941" s="19"/>
      <c r="X941" s="20"/>
    </row>
    <row r="942" spans="1:24" ht="13.9" x14ac:dyDescent="0.3">
      <c r="A942" s="19"/>
      <c r="B942" s="19"/>
      <c r="C942" s="19"/>
      <c r="D942" s="19"/>
      <c r="X942" s="20"/>
    </row>
    <row r="943" spans="1:24" ht="13.9" x14ac:dyDescent="0.3">
      <c r="A943" s="19"/>
      <c r="B943" s="19"/>
      <c r="C943" s="19"/>
      <c r="D943" s="19"/>
      <c r="X943" s="20"/>
    </row>
    <row r="944" spans="1:24" ht="13.9" x14ac:dyDescent="0.3">
      <c r="A944" s="19"/>
      <c r="B944" s="19"/>
      <c r="C944" s="19"/>
      <c r="D944" s="19"/>
      <c r="X944" s="20"/>
    </row>
    <row r="945" spans="1:24" ht="13.9" x14ac:dyDescent="0.3">
      <c r="A945" s="19"/>
      <c r="B945" s="19"/>
      <c r="C945" s="19"/>
      <c r="D945" s="19"/>
      <c r="X945" s="20"/>
    </row>
    <row r="946" spans="1:24" ht="13.9" x14ac:dyDescent="0.3">
      <c r="A946" s="19"/>
      <c r="B946" s="19"/>
      <c r="C946" s="19"/>
      <c r="D946" s="19"/>
      <c r="X946" s="20"/>
    </row>
    <row r="947" spans="1:24" ht="13.9" x14ac:dyDescent="0.3">
      <c r="A947" s="19"/>
      <c r="B947" s="19"/>
      <c r="C947" s="19"/>
      <c r="D947" s="19"/>
      <c r="X947" s="20"/>
    </row>
    <row r="948" spans="1:24" ht="13.9" x14ac:dyDescent="0.3">
      <c r="A948" s="19"/>
      <c r="B948" s="19"/>
      <c r="C948" s="19"/>
      <c r="D948" s="19"/>
      <c r="X948" s="20"/>
    </row>
    <row r="949" spans="1:24" ht="13.9" x14ac:dyDescent="0.3">
      <c r="A949" s="19"/>
      <c r="B949" s="19"/>
      <c r="C949" s="19"/>
      <c r="D949" s="19"/>
      <c r="X949" s="20"/>
    </row>
    <row r="950" spans="1:24" ht="13.9" x14ac:dyDescent="0.3">
      <c r="A950" s="19"/>
      <c r="B950" s="19"/>
      <c r="C950" s="19"/>
      <c r="D950" s="19"/>
      <c r="X950" s="20"/>
    </row>
    <row r="951" spans="1:24" ht="13.9" x14ac:dyDescent="0.3">
      <c r="A951" s="19"/>
      <c r="B951" s="19"/>
      <c r="C951" s="19"/>
      <c r="D951" s="19"/>
      <c r="X951" s="20"/>
    </row>
    <row r="952" spans="1:24" ht="13.9" x14ac:dyDescent="0.3">
      <c r="A952" s="19"/>
      <c r="B952" s="19"/>
      <c r="C952" s="19"/>
      <c r="D952" s="19"/>
      <c r="X952" s="20"/>
    </row>
    <row r="953" spans="1:24" ht="13.9" x14ac:dyDescent="0.3">
      <c r="A953" s="19"/>
      <c r="B953" s="19"/>
      <c r="C953" s="19"/>
      <c r="D953" s="19"/>
      <c r="X953" s="20"/>
    </row>
    <row r="954" spans="1:24" ht="13.9" x14ac:dyDescent="0.3">
      <c r="A954" s="19"/>
      <c r="B954" s="19"/>
      <c r="C954" s="19"/>
      <c r="D954" s="19"/>
      <c r="X954" s="20"/>
    </row>
    <row r="955" spans="1:24" ht="13.9" x14ac:dyDescent="0.3">
      <c r="A955" s="19"/>
      <c r="B955" s="19"/>
      <c r="C955" s="19"/>
      <c r="D955" s="19"/>
      <c r="X955" s="20"/>
    </row>
    <row r="956" spans="1:24" ht="13.9" x14ac:dyDescent="0.3">
      <c r="A956" s="19"/>
      <c r="B956" s="19"/>
      <c r="C956" s="19"/>
      <c r="D956" s="19"/>
      <c r="X956" s="20"/>
    </row>
    <row r="957" spans="1:24" ht="13.9" x14ac:dyDescent="0.3">
      <c r="A957" s="19"/>
      <c r="B957" s="19"/>
      <c r="C957" s="19"/>
      <c r="D957" s="19"/>
      <c r="X957" s="20"/>
    </row>
    <row r="958" spans="1:24" ht="13.9" x14ac:dyDescent="0.3">
      <c r="A958" s="19"/>
      <c r="B958" s="19"/>
      <c r="C958" s="19"/>
      <c r="D958" s="19"/>
      <c r="X958" s="20"/>
    </row>
    <row r="959" spans="1:24" ht="13.9" x14ac:dyDescent="0.3">
      <c r="A959" s="19"/>
      <c r="B959" s="19"/>
      <c r="C959" s="19"/>
      <c r="D959" s="19"/>
      <c r="X959" s="20"/>
    </row>
    <row r="960" spans="1:24" ht="13.9" x14ac:dyDescent="0.3">
      <c r="A960" s="19"/>
      <c r="B960" s="19"/>
      <c r="C960" s="19"/>
      <c r="D960" s="19"/>
      <c r="X960" s="20"/>
    </row>
    <row r="961" spans="1:24" ht="13.9" x14ac:dyDescent="0.3">
      <c r="A961" s="19"/>
      <c r="B961" s="19"/>
      <c r="C961" s="19"/>
      <c r="D961" s="19"/>
      <c r="X961" s="20"/>
    </row>
    <row r="962" spans="1:24" ht="13.9" x14ac:dyDescent="0.3">
      <c r="A962" s="19"/>
      <c r="B962" s="19"/>
      <c r="C962" s="19"/>
      <c r="D962" s="19"/>
      <c r="X962" s="20"/>
    </row>
    <row r="963" spans="1:24" ht="13.9" x14ac:dyDescent="0.3">
      <c r="A963" s="19"/>
      <c r="B963" s="19"/>
      <c r="C963" s="19"/>
      <c r="D963" s="19"/>
      <c r="X963" s="20"/>
    </row>
    <row r="964" spans="1:24" ht="13.9" x14ac:dyDescent="0.3">
      <c r="A964" s="19"/>
      <c r="B964" s="19"/>
      <c r="C964" s="19"/>
      <c r="D964" s="19"/>
      <c r="X964" s="20"/>
    </row>
    <row r="965" spans="1:24" ht="13.9" x14ac:dyDescent="0.3">
      <c r="A965" s="19"/>
      <c r="B965" s="19"/>
      <c r="C965" s="19"/>
      <c r="D965" s="19"/>
      <c r="X965" s="20"/>
    </row>
    <row r="966" spans="1:24" ht="13.9" x14ac:dyDescent="0.3">
      <c r="A966" s="19"/>
      <c r="B966" s="19"/>
      <c r="C966" s="19"/>
      <c r="D966" s="19"/>
      <c r="X966" s="20"/>
    </row>
    <row r="967" spans="1:24" ht="13.9" x14ac:dyDescent="0.3">
      <c r="A967" s="19"/>
      <c r="B967" s="19"/>
      <c r="C967" s="19"/>
      <c r="D967" s="19"/>
      <c r="X967" s="20"/>
    </row>
    <row r="968" spans="1:24" ht="13.9" x14ac:dyDescent="0.3">
      <c r="A968" s="19"/>
      <c r="B968" s="19"/>
      <c r="C968" s="19"/>
      <c r="D968" s="19"/>
      <c r="X968" s="20"/>
    </row>
    <row r="969" spans="1:24" ht="13.9" x14ac:dyDescent="0.3">
      <c r="A969" s="19"/>
      <c r="B969" s="19"/>
      <c r="C969" s="19"/>
      <c r="D969" s="19"/>
      <c r="X969" s="20"/>
    </row>
    <row r="970" spans="1:24" ht="13.9" x14ac:dyDescent="0.3">
      <c r="A970" s="19"/>
      <c r="B970" s="19"/>
      <c r="C970" s="19"/>
      <c r="D970" s="19"/>
      <c r="X970" s="20"/>
    </row>
    <row r="971" spans="1:24" ht="13.9" x14ac:dyDescent="0.3">
      <c r="A971" s="19"/>
      <c r="B971" s="19"/>
      <c r="C971" s="19"/>
      <c r="D971" s="19"/>
      <c r="X971" s="20"/>
    </row>
    <row r="972" spans="1:24" ht="13.9" x14ac:dyDescent="0.3">
      <c r="A972" s="19"/>
      <c r="B972" s="19"/>
      <c r="C972" s="19"/>
      <c r="D972" s="19"/>
      <c r="X972" s="20"/>
    </row>
    <row r="973" spans="1:24" ht="13.9" x14ac:dyDescent="0.3">
      <c r="A973" s="19"/>
      <c r="B973" s="19"/>
      <c r="C973" s="19"/>
      <c r="D973" s="19"/>
      <c r="X973" s="20"/>
    </row>
    <row r="974" spans="1:24" ht="13.9" x14ac:dyDescent="0.3">
      <c r="A974" s="19"/>
      <c r="B974" s="19"/>
      <c r="C974" s="19"/>
      <c r="D974" s="19"/>
      <c r="X974" s="20"/>
    </row>
    <row r="975" spans="1:24" ht="13.9" x14ac:dyDescent="0.3">
      <c r="A975" s="19"/>
      <c r="B975" s="19"/>
      <c r="C975" s="19"/>
      <c r="D975" s="19"/>
      <c r="X975" s="20"/>
    </row>
    <row r="976" spans="1:24" ht="13.9" x14ac:dyDescent="0.3">
      <c r="A976" s="19"/>
      <c r="B976" s="19"/>
      <c r="C976" s="19"/>
      <c r="D976" s="19"/>
      <c r="X976" s="20"/>
    </row>
    <row r="977" spans="1:24" ht="13.9" x14ac:dyDescent="0.3">
      <c r="A977" s="19"/>
      <c r="B977" s="19"/>
      <c r="C977" s="19"/>
      <c r="D977" s="19"/>
      <c r="X977" s="20"/>
    </row>
    <row r="978" spans="1:24" ht="13.9" x14ac:dyDescent="0.3">
      <c r="A978" s="19"/>
      <c r="B978" s="19"/>
      <c r="C978" s="19"/>
      <c r="D978" s="19"/>
      <c r="X978" s="20"/>
    </row>
    <row r="979" spans="1:24" ht="13.9" x14ac:dyDescent="0.3">
      <c r="A979" s="19"/>
      <c r="B979" s="19"/>
      <c r="C979" s="19"/>
      <c r="D979" s="19"/>
      <c r="X979" s="20"/>
    </row>
    <row r="980" spans="1:24" ht="13.9" x14ac:dyDescent="0.3">
      <c r="A980" s="19"/>
      <c r="B980" s="19"/>
      <c r="C980" s="19"/>
      <c r="D980" s="19"/>
      <c r="X980" s="20"/>
    </row>
    <row r="981" spans="1:24" ht="13.9" x14ac:dyDescent="0.3">
      <c r="A981" s="19"/>
      <c r="B981" s="19"/>
      <c r="C981" s="19"/>
      <c r="D981" s="19"/>
      <c r="X981" s="20"/>
    </row>
    <row r="982" spans="1:24" ht="13.9" x14ac:dyDescent="0.3">
      <c r="A982" s="19"/>
      <c r="B982" s="19"/>
      <c r="C982" s="19"/>
      <c r="D982" s="19"/>
      <c r="X982" s="20"/>
    </row>
    <row r="983" spans="1:24" ht="13.9" x14ac:dyDescent="0.3">
      <c r="A983" s="19"/>
      <c r="B983" s="19"/>
      <c r="C983" s="19"/>
      <c r="D983" s="19"/>
      <c r="X983" s="20"/>
    </row>
    <row r="984" spans="1:24" ht="13.9" x14ac:dyDescent="0.3">
      <c r="A984" s="19"/>
      <c r="B984" s="19"/>
      <c r="C984" s="19"/>
      <c r="D984" s="19"/>
      <c r="X984" s="20"/>
    </row>
    <row r="985" spans="1:24" ht="13.9" x14ac:dyDescent="0.3">
      <c r="A985" s="19"/>
      <c r="B985" s="19"/>
      <c r="C985" s="19"/>
      <c r="D985" s="19"/>
      <c r="X985" s="20"/>
    </row>
    <row r="986" spans="1:24" ht="13.9" x14ac:dyDescent="0.3">
      <c r="A986" s="19"/>
      <c r="B986" s="19"/>
      <c r="C986" s="19"/>
      <c r="D986" s="19"/>
      <c r="X986" s="20"/>
    </row>
    <row r="987" spans="1:24" ht="13.9" x14ac:dyDescent="0.3">
      <c r="A987" s="19"/>
      <c r="B987" s="19"/>
      <c r="C987" s="19"/>
      <c r="D987" s="19"/>
      <c r="X987" s="20"/>
    </row>
    <row r="988" spans="1:24" ht="13.9" x14ac:dyDescent="0.3">
      <c r="A988" s="19"/>
      <c r="B988" s="19"/>
      <c r="C988" s="19"/>
      <c r="D988" s="19"/>
      <c r="X988" s="20"/>
    </row>
    <row r="989" spans="1:24" ht="13.9" x14ac:dyDescent="0.3">
      <c r="A989" s="19"/>
      <c r="B989" s="19"/>
      <c r="C989" s="19"/>
      <c r="D989" s="19"/>
      <c r="X989" s="20"/>
    </row>
    <row r="990" spans="1:24" ht="13.9" x14ac:dyDescent="0.3">
      <c r="A990" s="19"/>
      <c r="B990" s="19"/>
      <c r="C990" s="19"/>
      <c r="D990" s="19"/>
      <c r="X990" s="20"/>
    </row>
    <row r="991" spans="1:24" ht="13.9" x14ac:dyDescent="0.3">
      <c r="A991" s="19"/>
      <c r="B991" s="19"/>
      <c r="C991" s="19"/>
      <c r="D991" s="19"/>
      <c r="X991" s="20"/>
    </row>
    <row r="992" spans="1:24" ht="13.9" x14ac:dyDescent="0.3">
      <c r="A992" s="19"/>
      <c r="B992" s="19"/>
      <c r="C992" s="19"/>
      <c r="D992" s="19"/>
      <c r="X992" s="20"/>
    </row>
    <row r="993" spans="1:24" ht="13.9" x14ac:dyDescent="0.3">
      <c r="A993" s="19"/>
      <c r="B993" s="19"/>
      <c r="C993" s="19"/>
      <c r="D993" s="19"/>
      <c r="X993" s="20"/>
    </row>
    <row r="994" spans="1:24" ht="13.9" x14ac:dyDescent="0.3">
      <c r="A994" s="19"/>
      <c r="B994" s="19"/>
      <c r="C994" s="19"/>
      <c r="D994" s="19"/>
      <c r="X994" s="20"/>
    </row>
    <row r="995" spans="1:24" ht="13.9" x14ac:dyDescent="0.3">
      <c r="A995" s="19"/>
      <c r="B995" s="19"/>
      <c r="C995" s="19"/>
      <c r="D995" s="19"/>
      <c r="X995" s="20"/>
    </row>
    <row r="996" spans="1:24" ht="13.9" x14ac:dyDescent="0.3">
      <c r="A996" s="19"/>
      <c r="B996" s="19"/>
      <c r="C996" s="19"/>
      <c r="D996" s="19"/>
      <c r="X996" s="20"/>
    </row>
    <row r="997" spans="1:24" ht="13.9" x14ac:dyDescent="0.3">
      <c r="A997" s="19"/>
      <c r="B997" s="19"/>
      <c r="C997" s="19"/>
      <c r="D997" s="19"/>
      <c r="X997" s="20"/>
    </row>
    <row r="998" spans="1:24" ht="13.9" x14ac:dyDescent="0.3">
      <c r="A998" s="19"/>
      <c r="B998" s="19"/>
      <c r="C998" s="19"/>
      <c r="D998" s="19"/>
      <c r="X998" s="20"/>
    </row>
    <row r="999" spans="1:24" ht="13.9" x14ac:dyDescent="0.3">
      <c r="A999" s="19"/>
      <c r="B999" s="19"/>
      <c r="C999" s="19"/>
      <c r="D999" s="19"/>
      <c r="X999" s="20"/>
    </row>
    <row r="1000" spans="1:24" ht="13.9" x14ac:dyDescent="0.3">
      <c r="A1000" s="19"/>
      <c r="B1000" s="19"/>
      <c r="C1000" s="19"/>
      <c r="D1000" s="19"/>
      <c r="X1000" s="20"/>
    </row>
    <row r="1001" spans="1:24" ht="13.9" x14ac:dyDescent="0.3">
      <c r="A1001" s="19"/>
      <c r="B1001" s="19"/>
      <c r="C1001" s="19"/>
      <c r="D1001" s="19"/>
      <c r="X1001" s="20"/>
    </row>
    <row r="1002" spans="1:24" ht="13.9" x14ac:dyDescent="0.3">
      <c r="A1002" s="19"/>
      <c r="B1002" s="19"/>
      <c r="C1002" s="19"/>
      <c r="D1002" s="19"/>
      <c r="X1002" s="20"/>
    </row>
    <row r="1003" spans="1:24" ht="13.9" x14ac:dyDescent="0.3">
      <c r="A1003" s="19"/>
      <c r="B1003" s="19"/>
      <c r="C1003" s="19"/>
      <c r="D1003" s="19"/>
      <c r="X1003" s="20"/>
    </row>
    <row r="1004" spans="1:24" ht="13.9" x14ac:dyDescent="0.3">
      <c r="A1004" s="19"/>
      <c r="B1004" s="19"/>
      <c r="C1004" s="19"/>
      <c r="D1004" s="19"/>
      <c r="X1004" s="20"/>
    </row>
    <row r="1005" spans="1:24" ht="13.9" x14ac:dyDescent="0.3">
      <c r="A1005" s="19"/>
      <c r="B1005" s="19"/>
      <c r="C1005" s="19"/>
      <c r="D1005" s="19"/>
      <c r="X1005" s="20"/>
    </row>
    <row r="1006" spans="1:24" ht="13.9" x14ac:dyDescent="0.3">
      <c r="A1006" s="19"/>
      <c r="B1006" s="19"/>
      <c r="C1006" s="19"/>
      <c r="D1006" s="19"/>
      <c r="X1006" s="20"/>
    </row>
    <row r="1007" spans="1:24" ht="13.9" x14ac:dyDescent="0.3">
      <c r="A1007" s="19"/>
      <c r="B1007" s="19"/>
      <c r="C1007" s="19"/>
      <c r="D1007" s="19"/>
      <c r="X1007" s="20"/>
    </row>
    <row r="1008" spans="1:24" ht="13.9" x14ac:dyDescent="0.3">
      <c r="A1008" s="19"/>
      <c r="B1008" s="19"/>
      <c r="C1008" s="19"/>
      <c r="D1008" s="19"/>
      <c r="X1008" s="20"/>
    </row>
    <row r="1009" spans="1:24" ht="13.9" x14ac:dyDescent="0.3">
      <c r="A1009" s="19"/>
      <c r="B1009" s="19"/>
      <c r="C1009" s="19"/>
      <c r="D1009" s="19"/>
      <c r="X1009" s="20"/>
    </row>
    <row r="1010" spans="1:24" ht="13.9" x14ac:dyDescent="0.3">
      <c r="A1010" s="19"/>
      <c r="B1010" s="19"/>
      <c r="C1010" s="19"/>
      <c r="D1010" s="19"/>
      <c r="X1010" s="20"/>
    </row>
    <row r="1011" spans="1:24" ht="13.9" x14ac:dyDescent="0.3">
      <c r="A1011" s="19"/>
      <c r="B1011" s="19"/>
      <c r="C1011" s="19"/>
      <c r="D1011" s="19"/>
      <c r="X1011" s="20"/>
    </row>
    <row r="1012" spans="1:24" ht="13.9" x14ac:dyDescent="0.3">
      <c r="A1012" s="19"/>
      <c r="B1012" s="19"/>
      <c r="C1012" s="19"/>
      <c r="D1012" s="19"/>
      <c r="X1012" s="20"/>
    </row>
    <row r="1013" spans="1:24" ht="13.9" x14ac:dyDescent="0.3">
      <c r="A1013" s="19"/>
      <c r="B1013" s="19"/>
      <c r="C1013" s="19"/>
      <c r="D1013" s="19"/>
      <c r="X1013" s="20"/>
    </row>
    <row r="1014" spans="1:24" ht="13.9" x14ac:dyDescent="0.3">
      <c r="A1014" s="19"/>
      <c r="B1014" s="19"/>
      <c r="C1014" s="19"/>
      <c r="D1014" s="19"/>
      <c r="X1014" s="20"/>
    </row>
    <row r="1015" spans="1:24" ht="13.9" x14ac:dyDescent="0.3">
      <c r="A1015" s="19"/>
      <c r="B1015" s="19"/>
      <c r="C1015" s="19"/>
      <c r="D1015" s="19"/>
      <c r="X1015" s="20"/>
    </row>
    <row r="1016" spans="1:24" ht="13.9" x14ac:dyDescent="0.3">
      <c r="A1016" s="19"/>
      <c r="B1016" s="19"/>
      <c r="C1016" s="19"/>
      <c r="D1016" s="19"/>
      <c r="X1016" s="20"/>
    </row>
    <row r="1017" spans="1:24" ht="13.9" x14ac:dyDescent="0.3">
      <c r="A1017" s="19"/>
      <c r="B1017" s="19"/>
      <c r="C1017" s="19"/>
      <c r="D1017" s="19"/>
      <c r="X1017" s="20"/>
    </row>
    <row r="1018" spans="1:24" ht="13.9" x14ac:dyDescent="0.3">
      <c r="A1018" s="19"/>
      <c r="B1018" s="19"/>
      <c r="C1018" s="19"/>
      <c r="D1018" s="19"/>
      <c r="X1018" s="20"/>
    </row>
    <row r="1019" spans="1:24" ht="13.9" x14ac:dyDescent="0.3">
      <c r="A1019" s="19"/>
      <c r="B1019" s="19"/>
      <c r="C1019" s="19"/>
      <c r="D1019" s="19"/>
      <c r="X1019" s="20"/>
    </row>
    <row r="1020" spans="1:24" ht="13.9" x14ac:dyDescent="0.3">
      <c r="A1020" s="19"/>
      <c r="B1020" s="19"/>
      <c r="C1020" s="19"/>
      <c r="D1020" s="19"/>
      <c r="X1020" s="20"/>
    </row>
    <row r="1021" spans="1:24" ht="13.9" x14ac:dyDescent="0.3">
      <c r="A1021" s="19"/>
      <c r="B1021" s="19"/>
      <c r="C1021" s="19"/>
      <c r="D1021" s="19"/>
      <c r="X1021" s="20"/>
    </row>
    <row r="1022" spans="1:24" ht="13.9" x14ac:dyDescent="0.3">
      <c r="A1022" s="19"/>
      <c r="B1022" s="19"/>
      <c r="C1022" s="19"/>
      <c r="D1022" s="19"/>
      <c r="X1022" s="20"/>
    </row>
    <row r="1023" spans="1:24" ht="13.9" x14ac:dyDescent="0.3">
      <c r="A1023" s="19"/>
      <c r="B1023" s="19"/>
      <c r="C1023" s="19"/>
      <c r="D1023" s="19"/>
      <c r="X1023" s="20"/>
    </row>
    <row r="1024" spans="1:24" ht="13.9" x14ac:dyDescent="0.3">
      <c r="A1024" s="19"/>
      <c r="B1024" s="19"/>
      <c r="C1024" s="19"/>
      <c r="D1024" s="19"/>
      <c r="X1024" s="20"/>
    </row>
    <row r="1025" spans="1:24" ht="13.9" x14ac:dyDescent="0.3">
      <c r="A1025" s="19"/>
      <c r="B1025" s="19"/>
      <c r="C1025" s="19"/>
      <c r="D1025" s="19"/>
      <c r="X1025" s="20"/>
    </row>
    <row r="1026" spans="1:24" ht="13.9" x14ac:dyDescent="0.3">
      <c r="A1026" s="19"/>
      <c r="B1026" s="19"/>
      <c r="C1026" s="19"/>
      <c r="D1026" s="19"/>
      <c r="X1026" s="20"/>
    </row>
    <row r="1027" spans="1:24" ht="13.9" x14ac:dyDescent="0.3">
      <c r="A1027" s="19"/>
      <c r="B1027" s="19"/>
      <c r="C1027" s="19"/>
      <c r="D1027" s="19"/>
      <c r="X1027" s="20"/>
    </row>
    <row r="1028" spans="1:24" ht="13.9" x14ac:dyDescent="0.3">
      <c r="A1028" s="19"/>
      <c r="B1028" s="19"/>
      <c r="C1028" s="19"/>
      <c r="D1028" s="19"/>
      <c r="X1028" s="20"/>
    </row>
    <row r="1029" spans="1:24" ht="13.9" x14ac:dyDescent="0.3">
      <c r="A1029" s="19"/>
      <c r="B1029" s="19"/>
      <c r="C1029" s="19"/>
      <c r="D1029" s="19"/>
      <c r="X1029" s="20"/>
    </row>
    <row r="1030" spans="1:24" ht="13.9" x14ac:dyDescent="0.3">
      <c r="A1030" s="19"/>
      <c r="B1030" s="19"/>
      <c r="C1030" s="19"/>
      <c r="D1030" s="19"/>
      <c r="X1030" s="20"/>
    </row>
    <row r="1031" spans="1:24" ht="13.9" x14ac:dyDescent="0.3">
      <c r="A1031" s="19"/>
      <c r="B1031" s="19"/>
      <c r="C1031" s="19"/>
      <c r="D1031" s="19"/>
      <c r="X1031" s="20"/>
    </row>
    <row r="1032" spans="1:24" ht="13.9" x14ac:dyDescent="0.3">
      <c r="A1032" s="19"/>
      <c r="B1032" s="19"/>
      <c r="C1032" s="19"/>
      <c r="D1032" s="19"/>
      <c r="X1032" s="20"/>
    </row>
    <row r="1033" spans="1:24" ht="13.9" x14ac:dyDescent="0.3">
      <c r="A1033" s="19"/>
      <c r="B1033" s="19"/>
      <c r="C1033" s="19"/>
      <c r="D1033" s="19"/>
      <c r="X1033" s="20"/>
    </row>
    <row r="1034" spans="1:24" ht="13.9" x14ac:dyDescent="0.3">
      <c r="A1034" s="19"/>
      <c r="B1034" s="19"/>
      <c r="C1034" s="19"/>
      <c r="D1034" s="19"/>
      <c r="X1034" s="20"/>
    </row>
    <row r="1035" spans="1:24" ht="13.9" x14ac:dyDescent="0.3">
      <c r="A1035" s="19"/>
      <c r="B1035" s="19"/>
      <c r="C1035" s="19"/>
      <c r="D1035" s="19"/>
      <c r="X1035" s="20"/>
    </row>
    <row r="1036" spans="1:24" ht="13.9" x14ac:dyDescent="0.3">
      <c r="A1036" s="19"/>
      <c r="B1036" s="19"/>
      <c r="C1036" s="19"/>
      <c r="D1036" s="19"/>
      <c r="X1036" s="20"/>
    </row>
    <row r="1037" spans="1:24" ht="13.9" x14ac:dyDescent="0.3">
      <c r="A1037" s="19"/>
      <c r="B1037" s="19"/>
      <c r="C1037" s="19"/>
      <c r="D1037" s="19"/>
      <c r="X1037" s="20"/>
    </row>
    <row r="1038" spans="1:24" ht="13.9" x14ac:dyDescent="0.3">
      <c r="A1038" s="19"/>
      <c r="B1038" s="19"/>
      <c r="C1038" s="19"/>
      <c r="D1038" s="19"/>
      <c r="X1038" s="20"/>
    </row>
    <row r="1039" spans="1:24" ht="13.9" x14ac:dyDescent="0.3">
      <c r="A1039" s="19"/>
      <c r="B1039" s="19"/>
      <c r="C1039" s="19"/>
      <c r="D1039" s="19"/>
      <c r="X1039" s="20"/>
    </row>
    <row r="1040" spans="1:24" ht="13.9" x14ac:dyDescent="0.3">
      <c r="A1040" s="19"/>
      <c r="B1040" s="19"/>
      <c r="C1040" s="19"/>
      <c r="D1040" s="19"/>
      <c r="X1040" s="20"/>
    </row>
    <row r="1041" spans="1:24" ht="13.9" x14ac:dyDescent="0.3">
      <c r="A1041" s="19"/>
      <c r="B1041" s="19"/>
      <c r="C1041" s="19"/>
      <c r="D1041" s="19"/>
      <c r="X1041" s="20"/>
    </row>
    <row r="1042" spans="1:24" ht="13.9" x14ac:dyDescent="0.3">
      <c r="A1042" s="19"/>
      <c r="B1042" s="19"/>
      <c r="C1042" s="19"/>
      <c r="D1042" s="19"/>
      <c r="X1042" s="20"/>
    </row>
    <row r="1043" spans="1:24" ht="13.9" x14ac:dyDescent="0.3">
      <c r="A1043" s="19"/>
      <c r="B1043" s="19"/>
      <c r="C1043" s="19"/>
      <c r="D1043" s="19"/>
      <c r="X1043" s="20"/>
    </row>
    <row r="1044" spans="1:24" ht="13.9" x14ac:dyDescent="0.3">
      <c r="A1044" s="19"/>
      <c r="B1044" s="19"/>
      <c r="C1044" s="19"/>
      <c r="D1044" s="19"/>
      <c r="X1044" s="20"/>
    </row>
    <row r="1045" spans="1:24" ht="13.9" x14ac:dyDescent="0.3">
      <c r="A1045" s="19"/>
      <c r="B1045" s="19"/>
      <c r="C1045" s="19"/>
      <c r="D1045" s="19"/>
      <c r="X1045" s="20"/>
    </row>
    <row r="1046" spans="1:24" ht="13.9" x14ac:dyDescent="0.3">
      <c r="A1046" s="19"/>
      <c r="B1046" s="19"/>
      <c r="C1046" s="19"/>
      <c r="D1046" s="19"/>
      <c r="X1046" s="20"/>
    </row>
    <row r="1047" spans="1:24" ht="13.9" x14ac:dyDescent="0.3">
      <c r="A1047" s="19"/>
      <c r="B1047" s="19"/>
      <c r="C1047" s="19"/>
      <c r="D1047" s="19"/>
      <c r="X1047" s="20"/>
    </row>
    <row r="1048" spans="1:24" ht="13.9" x14ac:dyDescent="0.3">
      <c r="A1048" s="19"/>
      <c r="B1048" s="19"/>
      <c r="C1048" s="19"/>
      <c r="D1048" s="19"/>
      <c r="X1048" s="20"/>
    </row>
    <row r="1049" spans="1:24" ht="13.9" x14ac:dyDescent="0.3">
      <c r="A1049" s="19"/>
      <c r="B1049" s="19"/>
      <c r="C1049" s="19"/>
      <c r="D1049" s="19"/>
      <c r="X1049" s="20"/>
    </row>
    <row r="1050" spans="1:24" ht="13.9" x14ac:dyDescent="0.3">
      <c r="A1050" s="19"/>
      <c r="B1050" s="19"/>
      <c r="C1050" s="19"/>
      <c r="D1050" s="19"/>
      <c r="X1050" s="20"/>
    </row>
    <row r="1051" spans="1:24" ht="13.9" x14ac:dyDescent="0.3">
      <c r="A1051" s="19"/>
      <c r="B1051" s="19"/>
      <c r="C1051" s="19"/>
      <c r="D1051" s="19"/>
      <c r="X1051" s="20"/>
    </row>
    <row r="1052" spans="1:24" ht="13.9" x14ac:dyDescent="0.3">
      <c r="A1052" s="19"/>
      <c r="B1052" s="19"/>
      <c r="C1052" s="19"/>
      <c r="D1052" s="19"/>
      <c r="X1052" s="20"/>
    </row>
    <row r="1053" spans="1:24" ht="13.9" x14ac:dyDescent="0.3">
      <c r="A1053" s="19"/>
      <c r="B1053" s="19"/>
      <c r="C1053" s="19"/>
      <c r="D1053" s="19"/>
      <c r="X1053" s="20"/>
    </row>
    <row r="1054" spans="1:24" ht="13.9" x14ac:dyDescent="0.3">
      <c r="A1054" s="19"/>
      <c r="B1054" s="19"/>
      <c r="C1054" s="19"/>
      <c r="D1054" s="19"/>
      <c r="X1054" s="20"/>
    </row>
    <row r="1055" spans="1:24" ht="13.9" x14ac:dyDescent="0.3">
      <c r="A1055" s="19"/>
      <c r="B1055" s="19"/>
      <c r="C1055" s="19"/>
      <c r="D1055" s="19"/>
      <c r="X1055" s="20"/>
    </row>
    <row r="1056" spans="1:24" ht="13.9" x14ac:dyDescent="0.3">
      <c r="A1056" s="19"/>
      <c r="B1056" s="19"/>
      <c r="C1056" s="19"/>
      <c r="D1056" s="19"/>
      <c r="X1056" s="20"/>
    </row>
    <row r="1057" spans="1:24" ht="13.9" x14ac:dyDescent="0.3">
      <c r="A1057" s="19"/>
      <c r="B1057" s="19"/>
      <c r="C1057" s="19"/>
      <c r="D1057" s="19"/>
      <c r="X1057" s="20"/>
    </row>
    <row r="1058" spans="1:24" ht="13.9" x14ac:dyDescent="0.3">
      <c r="A1058" s="19"/>
      <c r="B1058" s="19"/>
      <c r="C1058" s="19"/>
      <c r="D1058" s="19"/>
      <c r="X1058" s="20"/>
    </row>
    <row r="1059" spans="1:24" ht="13.9" x14ac:dyDescent="0.3">
      <c r="A1059" s="19"/>
      <c r="B1059" s="19"/>
      <c r="C1059" s="19"/>
      <c r="D1059" s="19"/>
      <c r="X1059" s="20"/>
    </row>
    <row r="1060" spans="1:24" ht="13.9" x14ac:dyDescent="0.3">
      <c r="A1060" s="19"/>
      <c r="B1060" s="19"/>
      <c r="C1060" s="19"/>
      <c r="D1060" s="19"/>
      <c r="X1060" s="20"/>
    </row>
    <row r="1061" spans="1:24" ht="13.9" x14ac:dyDescent="0.3">
      <c r="A1061" s="19"/>
      <c r="B1061" s="19"/>
      <c r="C1061" s="19"/>
      <c r="D1061" s="19"/>
      <c r="X1061" s="20"/>
    </row>
    <row r="1062" spans="1:24" ht="13.9" x14ac:dyDescent="0.3">
      <c r="A1062" s="19"/>
      <c r="B1062" s="19"/>
      <c r="C1062" s="19"/>
      <c r="D1062" s="19"/>
      <c r="X1062" s="20"/>
    </row>
    <row r="1063" spans="1:24" ht="13.9" x14ac:dyDescent="0.3">
      <c r="A1063" s="19"/>
      <c r="B1063" s="19"/>
      <c r="C1063" s="19"/>
      <c r="D1063" s="19"/>
      <c r="X1063" s="20"/>
    </row>
    <row r="1064" spans="1:24" ht="13.9" x14ac:dyDescent="0.3">
      <c r="A1064" s="19"/>
      <c r="B1064" s="19"/>
      <c r="C1064" s="19"/>
      <c r="D1064" s="19"/>
      <c r="X1064" s="20"/>
    </row>
    <row r="1065" spans="1:24" ht="13.9" x14ac:dyDescent="0.3">
      <c r="A1065" s="19"/>
      <c r="B1065" s="19"/>
      <c r="C1065" s="19"/>
      <c r="D1065" s="19"/>
      <c r="X1065" s="20"/>
    </row>
    <row r="1066" spans="1:24" ht="13.9" x14ac:dyDescent="0.3">
      <c r="A1066" s="19"/>
      <c r="B1066" s="19"/>
      <c r="C1066" s="19"/>
      <c r="D1066" s="19"/>
      <c r="X1066" s="20"/>
    </row>
    <row r="1067" spans="1:24" ht="13.9" x14ac:dyDescent="0.3">
      <c r="A1067" s="19"/>
      <c r="B1067" s="19"/>
      <c r="C1067" s="19"/>
      <c r="D1067" s="19"/>
      <c r="X1067" s="20"/>
    </row>
    <row r="1068" spans="1:24" ht="13.9" x14ac:dyDescent="0.3">
      <c r="A1068" s="19"/>
      <c r="B1068" s="19"/>
      <c r="C1068" s="19"/>
      <c r="D1068" s="19"/>
      <c r="X1068" s="20"/>
    </row>
    <row r="1069" spans="1:24" ht="13.9" x14ac:dyDescent="0.3">
      <c r="A1069" s="19"/>
      <c r="B1069" s="19"/>
      <c r="C1069" s="19"/>
      <c r="D1069" s="19"/>
      <c r="X1069" s="20"/>
    </row>
    <row r="1070" spans="1:24" ht="13.9" x14ac:dyDescent="0.3">
      <c r="A1070" s="19"/>
      <c r="B1070" s="19"/>
      <c r="C1070" s="19"/>
      <c r="D1070" s="19"/>
      <c r="X1070" s="20"/>
    </row>
    <row r="1071" spans="1:24" ht="13.9" x14ac:dyDescent="0.3">
      <c r="A1071" s="19"/>
      <c r="B1071" s="19"/>
      <c r="C1071" s="19"/>
      <c r="D1071" s="19"/>
      <c r="X1071" s="20"/>
    </row>
    <row r="1072" spans="1:24" ht="13.9" x14ac:dyDescent="0.3">
      <c r="A1072" s="19"/>
      <c r="B1072" s="19"/>
      <c r="C1072" s="19"/>
      <c r="D1072" s="19"/>
      <c r="X1072" s="20"/>
    </row>
    <row r="1073" spans="1:24" ht="13.9" x14ac:dyDescent="0.3">
      <c r="A1073" s="19"/>
      <c r="B1073" s="19"/>
      <c r="C1073" s="19"/>
      <c r="D1073" s="19"/>
      <c r="X1073" s="20"/>
    </row>
    <row r="1074" spans="1:24" ht="13.9" x14ac:dyDescent="0.3">
      <c r="A1074" s="19"/>
      <c r="B1074" s="19"/>
      <c r="C1074" s="19"/>
      <c r="D1074" s="19"/>
      <c r="X1074" s="20"/>
    </row>
    <row r="1075" spans="1:24" ht="13.9" x14ac:dyDescent="0.3">
      <c r="A1075" s="19"/>
      <c r="B1075" s="19"/>
      <c r="C1075" s="19"/>
      <c r="D1075" s="19"/>
      <c r="X1075" s="20"/>
    </row>
    <row r="1076" spans="1:24" ht="13.9" x14ac:dyDescent="0.3">
      <c r="A1076" s="19"/>
      <c r="B1076" s="19"/>
      <c r="C1076" s="19"/>
      <c r="D1076" s="19"/>
      <c r="X1076" s="20"/>
    </row>
    <row r="1077" spans="1:24" ht="13.9" x14ac:dyDescent="0.3">
      <c r="A1077" s="19"/>
      <c r="B1077" s="19"/>
      <c r="C1077" s="19"/>
      <c r="D1077" s="19"/>
      <c r="X1077" s="20"/>
    </row>
    <row r="1078" spans="1:24" ht="13.9" x14ac:dyDescent="0.3">
      <c r="A1078" s="19"/>
      <c r="B1078" s="19"/>
      <c r="C1078" s="19"/>
      <c r="D1078" s="19"/>
      <c r="X1078" s="20"/>
    </row>
    <row r="1079" spans="1:24" ht="13.9" x14ac:dyDescent="0.3">
      <c r="A1079" s="19"/>
      <c r="B1079" s="19"/>
      <c r="C1079" s="19"/>
      <c r="D1079" s="19"/>
      <c r="X1079" s="20"/>
    </row>
    <row r="1080" spans="1:24" ht="13.9" x14ac:dyDescent="0.3">
      <c r="A1080" s="19"/>
      <c r="B1080" s="19"/>
      <c r="C1080" s="19"/>
      <c r="D1080" s="19"/>
      <c r="X1080" s="20"/>
    </row>
    <row r="1081" spans="1:24" ht="13.9" x14ac:dyDescent="0.3">
      <c r="A1081" s="19"/>
      <c r="B1081" s="19"/>
      <c r="C1081" s="19"/>
      <c r="D1081" s="19"/>
      <c r="X1081" s="20"/>
    </row>
    <row r="1082" spans="1:24" ht="13.9" x14ac:dyDescent="0.3">
      <c r="A1082" s="19"/>
      <c r="B1082" s="19"/>
      <c r="C1082" s="19"/>
      <c r="D1082" s="19"/>
      <c r="X1082" s="20"/>
    </row>
    <row r="1083" spans="1:24" ht="13.9" x14ac:dyDescent="0.3">
      <c r="A1083" s="19"/>
      <c r="B1083" s="19"/>
      <c r="C1083" s="19"/>
      <c r="D1083" s="19"/>
      <c r="X1083" s="20"/>
    </row>
    <row r="1084" spans="1:24" ht="13.9" x14ac:dyDescent="0.3">
      <c r="A1084" s="19"/>
      <c r="B1084" s="19"/>
      <c r="C1084" s="19"/>
      <c r="D1084" s="19"/>
      <c r="X1084" s="20"/>
    </row>
    <row r="1085" spans="1:24" ht="13.9" x14ac:dyDescent="0.3">
      <c r="A1085" s="19"/>
      <c r="B1085" s="19"/>
      <c r="C1085" s="19"/>
      <c r="D1085" s="19"/>
      <c r="X1085" s="20"/>
    </row>
    <row r="1086" spans="1:24" ht="13.9" x14ac:dyDescent="0.3">
      <c r="A1086" s="19"/>
      <c r="B1086" s="19"/>
      <c r="C1086" s="19"/>
      <c r="D1086" s="19"/>
      <c r="X1086" s="20"/>
    </row>
    <row r="1087" spans="1:24" ht="13.9" x14ac:dyDescent="0.3">
      <c r="A1087" s="19"/>
      <c r="B1087" s="19"/>
      <c r="C1087" s="19"/>
      <c r="D1087" s="19"/>
      <c r="X1087" s="20"/>
    </row>
    <row r="1088" spans="1:24" ht="13.9" x14ac:dyDescent="0.3">
      <c r="A1088" s="19"/>
      <c r="B1088" s="19"/>
      <c r="C1088" s="19"/>
      <c r="D1088" s="19"/>
      <c r="X1088" s="20"/>
    </row>
    <row r="1089" spans="1:24" ht="13.9" x14ac:dyDescent="0.3">
      <c r="A1089" s="19"/>
      <c r="B1089" s="19"/>
      <c r="C1089" s="19"/>
      <c r="D1089" s="19"/>
      <c r="X1089" s="20"/>
    </row>
    <row r="1090" spans="1:24" ht="13.9" x14ac:dyDescent="0.3">
      <c r="A1090" s="19"/>
      <c r="B1090" s="19"/>
      <c r="C1090" s="19"/>
      <c r="D1090" s="19"/>
      <c r="X1090" s="20"/>
    </row>
    <row r="1091" spans="1:24" ht="13.9" x14ac:dyDescent="0.3">
      <c r="A1091" s="19"/>
      <c r="B1091" s="19"/>
      <c r="C1091" s="19"/>
      <c r="D1091" s="19"/>
      <c r="X1091" s="20"/>
    </row>
    <row r="1092" spans="1:24" ht="13.9" x14ac:dyDescent="0.3">
      <c r="A1092" s="19"/>
      <c r="B1092" s="19"/>
      <c r="C1092" s="19"/>
      <c r="D1092" s="19"/>
      <c r="X1092" s="20"/>
    </row>
    <row r="1093" spans="1:24" ht="13.9" x14ac:dyDescent="0.3">
      <c r="A1093" s="19"/>
      <c r="B1093" s="19"/>
      <c r="C1093" s="19"/>
      <c r="D1093" s="19"/>
      <c r="X1093" s="20"/>
    </row>
    <row r="1094" spans="1:24" ht="13.9" x14ac:dyDescent="0.3">
      <c r="A1094" s="19"/>
      <c r="B1094" s="19"/>
      <c r="C1094" s="19"/>
      <c r="D1094" s="19"/>
      <c r="X1094" s="20"/>
    </row>
    <row r="1095" spans="1:24" ht="13.9" x14ac:dyDescent="0.3">
      <c r="A1095" s="19"/>
      <c r="B1095" s="19"/>
      <c r="C1095" s="19"/>
      <c r="D1095" s="19"/>
      <c r="X1095" s="20"/>
    </row>
    <row r="1096" spans="1:24" ht="13.9" x14ac:dyDescent="0.3">
      <c r="A1096" s="19"/>
      <c r="B1096" s="19"/>
      <c r="C1096" s="19"/>
      <c r="D1096" s="19"/>
      <c r="X1096" s="20"/>
    </row>
    <row r="1097" spans="1:24" ht="13.9" x14ac:dyDescent="0.3">
      <c r="A1097" s="19"/>
      <c r="B1097" s="19"/>
      <c r="C1097" s="19"/>
      <c r="D1097" s="19"/>
      <c r="X1097" s="20"/>
    </row>
    <row r="1098" spans="1:24" ht="13.9" x14ac:dyDescent="0.3">
      <c r="A1098" s="19"/>
      <c r="B1098" s="19"/>
      <c r="C1098" s="19"/>
      <c r="D1098" s="19"/>
      <c r="X1098" s="20"/>
    </row>
    <row r="1099" spans="1:24" ht="13.9" x14ac:dyDescent="0.3">
      <c r="A1099" s="19"/>
      <c r="B1099" s="19"/>
      <c r="C1099" s="19"/>
      <c r="D1099" s="19"/>
      <c r="X1099" s="20"/>
    </row>
    <row r="1100" spans="1:24" ht="13.9" x14ac:dyDescent="0.3">
      <c r="A1100" s="19"/>
      <c r="B1100" s="19"/>
      <c r="C1100" s="19"/>
      <c r="D1100" s="19"/>
      <c r="X1100" s="20"/>
    </row>
    <row r="1101" spans="1:24" ht="13.9" x14ac:dyDescent="0.3">
      <c r="A1101" s="19"/>
      <c r="B1101" s="19"/>
      <c r="C1101" s="19"/>
      <c r="D1101" s="19"/>
      <c r="X1101" s="20"/>
    </row>
    <row r="1102" spans="1:24" ht="13.9" x14ac:dyDescent="0.3">
      <c r="A1102" s="19"/>
      <c r="B1102" s="19"/>
      <c r="C1102" s="19"/>
      <c r="D1102" s="19"/>
      <c r="X1102" s="20"/>
    </row>
    <row r="1103" spans="1:24" ht="13.9" x14ac:dyDescent="0.3">
      <c r="A1103" s="19"/>
      <c r="B1103" s="19"/>
      <c r="C1103" s="19"/>
      <c r="D1103" s="19"/>
      <c r="X1103" s="20"/>
    </row>
    <row r="1104" spans="1:24" ht="13.9" x14ac:dyDescent="0.3">
      <c r="A1104" s="19"/>
      <c r="B1104" s="19"/>
      <c r="C1104" s="19"/>
      <c r="D1104" s="19"/>
      <c r="X1104" s="20"/>
    </row>
    <row r="1105" spans="1:24" ht="13.9" x14ac:dyDescent="0.3">
      <c r="A1105" s="19"/>
      <c r="B1105" s="19"/>
      <c r="C1105" s="19"/>
      <c r="D1105" s="19"/>
      <c r="X1105" s="20"/>
    </row>
    <row r="1106" spans="1:24" ht="13.9" x14ac:dyDescent="0.3">
      <c r="A1106" s="19"/>
      <c r="B1106" s="19"/>
      <c r="C1106" s="19"/>
      <c r="D1106" s="19"/>
      <c r="X1106" s="20"/>
    </row>
    <row r="1107" spans="1:24" ht="13.9" x14ac:dyDescent="0.3">
      <c r="A1107" s="19"/>
      <c r="B1107" s="19"/>
      <c r="C1107" s="19"/>
      <c r="D1107" s="19"/>
      <c r="X1107" s="20"/>
    </row>
    <row r="1108" spans="1:24" ht="13.9" x14ac:dyDescent="0.3">
      <c r="A1108" s="19"/>
      <c r="B1108" s="19"/>
      <c r="C1108" s="19"/>
      <c r="D1108" s="19"/>
      <c r="X1108" s="20"/>
    </row>
    <row r="1109" spans="1:24" ht="13.9" x14ac:dyDescent="0.3">
      <c r="A1109" s="19"/>
      <c r="B1109" s="19"/>
      <c r="C1109" s="19"/>
      <c r="D1109" s="19"/>
      <c r="X1109" s="20"/>
    </row>
    <row r="1110" spans="1:24" ht="13.9" x14ac:dyDescent="0.3">
      <c r="A1110" s="19"/>
      <c r="B1110" s="19"/>
      <c r="C1110" s="19"/>
      <c r="D1110" s="19"/>
      <c r="X1110" s="20"/>
    </row>
    <row r="1111" spans="1:24" ht="13.9" x14ac:dyDescent="0.3">
      <c r="A1111" s="19"/>
      <c r="B1111" s="19"/>
      <c r="C1111" s="19"/>
      <c r="D1111" s="19"/>
      <c r="X1111" s="20"/>
    </row>
    <row r="1112" spans="1:24" ht="13.9" x14ac:dyDescent="0.3">
      <c r="A1112" s="19"/>
      <c r="B1112" s="19"/>
      <c r="C1112" s="19"/>
      <c r="D1112" s="19"/>
      <c r="X1112" s="20"/>
    </row>
    <row r="1113" spans="1:24" ht="13.9" x14ac:dyDescent="0.3">
      <c r="A1113" s="19"/>
      <c r="B1113" s="19"/>
      <c r="C1113" s="19"/>
      <c r="D1113" s="19"/>
      <c r="X1113" s="20"/>
    </row>
    <row r="1114" spans="1:24" ht="13.9" x14ac:dyDescent="0.3">
      <c r="A1114" s="19"/>
      <c r="B1114" s="19"/>
      <c r="C1114" s="19"/>
      <c r="D1114" s="19"/>
      <c r="X1114" s="20"/>
    </row>
    <row r="1115" spans="1:24" ht="13.9" x14ac:dyDescent="0.3">
      <c r="A1115" s="19"/>
      <c r="B1115" s="19"/>
      <c r="C1115" s="19"/>
      <c r="D1115" s="19"/>
      <c r="X1115" s="20"/>
    </row>
    <row r="1116" spans="1:24" ht="13.9" x14ac:dyDescent="0.3">
      <c r="A1116" s="19"/>
      <c r="B1116" s="19"/>
      <c r="C1116" s="19"/>
      <c r="D1116" s="19"/>
      <c r="X1116" s="20"/>
    </row>
    <row r="1117" spans="1:24" ht="13.9" x14ac:dyDescent="0.3">
      <c r="A1117" s="19"/>
      <c r="B1117" s="19"/>
      <c r="C1117" s="19"/>
      <c r="D1117" s="19"/>
      <c r="X1117" s="20"/>
    </row>
    <row r="1118" spans="1:24" ht="13.9" x14ac:dyDescent="0.3">
      <c r="A1118" s="19"/>
      <c r="B1118" s="19"/>
      <c r="C1118" s="19"/>
      <c r="D1118" s="19"/>
      <c r="X1118" s="20"/>
    </row>
    <row r="1119" spans="1:24" ht="13.9" x14ac:dyDescent="0.3">
      <c r="A1119" s="19"/>
      <c r="B1119" s="19"/>
      <c r="C1119" s="19"/>
      <c r="D1119" s="19"/>
      <c r="X1119" s="20"/>
    </row>
    <row r="1120" spans="1:24" ht="13.9" x14ac:dyDescent="0.3">
      <c r="A1120" s="19"/>
      <c r="B1120" s="19"/>
      <c r="C1120" s="19"/>
      <c r="D1120" s="19"/>
      <c r="X1120" s="20"/>
    </row>
    <row r="1121" spans="1:24" ht="13.9" x14ac:dyDescent="0.3">
      <c r="A1121" s="19"/>
      <c r="B1121" s="19"/>
      <c r="C1121" s="19"/>
      <c r="D1121" s="19"/>
      <c r="X1121" s="20"/>
    </row>
    <row r="1122" spans="1:24" ht="13.9" x14ac:dyDescent="0.3">
      <c r="A1122" s="19"/>
      <c r="B1122" s="19"/>
      <c r="C1122" s="19"/>
      <c r="D1122" s="19"/>
      <c r="X1122" s="20"/>
    </row>
    <row r="1123" spans="1:24" ht="13.9" x14ac:dyDescent="0.3">
      <c r="A1123" s="19"/>
      <c r="B1123" s="19"/>
      <c r="C1123" s="19"/>
      <c r="D1123" s="19"/>
      <c r="X1123" s="20"/>
    </row>
    <row r="1124" spans="1:24" ht="13.9" x14ac:dyDescent="0.3">
      <c r="A1124" s="19"/>
      <c r="B1124" s="19"/>
      <c r="C1124" s="19"/>
      <c r="D1124" s="19"/>
      <c r="X1124" s="20"/>
    </row>
    <row r="1125" spans="1:24" ht="13.9" x14ac:dyDescent="0.3">
      <c r="A1125" s="19"/>
      <c r="B1125" s="19"/>
      <c r="C1125" s="19"/>
      <c r="D1125" s="19"/>
      <c r="X1125" s="20"/>
    </row>
    <row r="1126" spans="1:24" ht="13.9" x14ac:dyDescent="0.3">
      <c r="A1126" s="19"/>
      <c r="B1126" s="19"/>
      <c r="C1126" s="19"/>
      <c r="D1126" s="19"/>
      <c r="X1126" s="20"/>
    </row>
    <row r="1127" spans="1:24" ht="13.9" x14ac:dyDescent="0.3">
      <c r="A1127" s="19"/>
      <c r="B1127" s="19"/>
      <c r="C1127" s="19"/>
      <c r="D1127" s="19"/>
      <c r="X1127" s="20"/>
    </row>
    <row r="1128" spans="1:24" ht="13.9" x14ac:dyDescent="0.3">
      <c r="A1128" s="19"/>
      <c r="B1128" s="19"/>
      <c r="C1128" s="19"/>
      <c r="D1128" s="19"/>
      <c r="X1128" s="20"/>
    </row>
    <row r="1129" spans="1:24" ht="13.9" x14ac:dyDescent="0.3">
      <c r="A1129" s="19"/>
      <c r="B1129" s="19"/>
      <c r="C1129" s="19"/>
      <c r="D1129" s="19"/>
      <c r="X1129" s="20"/>
    </row>
    <row r="1130" spans="1:24" ht="13.9" x14ac:dyDescent="0.3">
      <c r="A1130" s="19"/>
      <c r="B1130" s="19"/>
      <c r="C1130" s="19"/>
      <c r="D1130" s="19"/>
      <c r="X1130" s="20"/>
    </row>
    <row r="1131" spans="1:24" ht="13.9" x14ac:dyDescent="0.3">
      <c r="A1131" s="19"/>
      <c r="B1131" s="19"/>
      <c r="C1131" s="19"/>
      <c r="D1131" s="19"/>
      <c r="X1131" s="20"/>
    </row>
    <row r="1132" spans="1:24" ht="13.9" x14ac:dyDescent="0.3">
      <c r="A1132" s="19"/>
      <c r="B1132" s="19"/>
      <c r="C1132" s="19"/>
      <c r="D1132" s="19"/>
      <c r="X1132" s="20"/>
    </row>
    <row r="1133" spans="1:24" ht="13.9" x14ac:dyDescent="0.3">
      <c r="A1133" s="19"/>
      <c r="B1133" s="19"/>
      <c r="C1133" s="19"/>
      <c r="D1133" s="19"/>
      <c r="X1133" s="20"/>
    </row>
    <row r="1134" spans="1:24" ht="13.9" x14ac:dyDescent="0.3">
      <c r="A1134" s="19"/>
      <c r="B1134" s="19"/>
      <c r="C1134" s="19"/>
      <c r="D1134" s="19"/>
      <c r="X1134" s="20"/>
    </row>
    <row r="1135" spans="1:24" ht="13.9" x14ac:dyDescent="0.3">
      <c r="A1135" s="19"/>
      <c r="B1135" s="19"/>
      <c r="C1135" s="19"/>
      <c r="D1135" s="19"/>
      <c r="X1135" s="20"/>
    </row>
    <row r="1136" spans="1:24" ht="13.9" x14ac:dyDescent="0.3">
      <c r="A1136" s="19"/>
      <c r="B1136" s="19"/>
      <c r="C1136" s="19"/>
      <c r="D1136" s="19"/>
      <c r="X1136" s="20"/>
    </row>
    <row r="1137" spans="1:24" ht="13.9" x14ac:dyDescent="0.3">
      <c r="A1137" s="19"/>
      <c r="B1137" s="19"/>
      <c r="C1137" s="19"/>
      <c r="D1137" s="19"/>
      <c r="X1137" s="20"/>
    </row>
    <row r="1138" spans="1:24" ht="13.9" x14ac:dyDescent="0.3">
      <c r="A1138" s="19"/>
      <c r="B1138" s="19"/>
      <c r="C1138" s="19"/>
      <c r="D1138" s="19"/>
      <c r="X1138" s="20"/>
    </row>
    <row r="1139" spans="1:24" ht="13.9" x14ac:dyDescent="0.3">
      <c r="A1139" s="19"/>
      <c r="B1139" s="19"/>
      <c r="C1139" s="19"/>
      <c r="D1139" s="19"/>
      <c r="X1139" s="20"/>
    </row>
    <row r="1140" spans="1:24" ht="13.9" x14ac:dyDescent="0.3">
      <c r="A1140" s="19"/>
      <c r="B1140" s="19"/>
      <c r="C1140" s="19"/>
      <c r="D1140" s="19"/>
      <c r="X1140" s="20"/>
    </row>
    <row r="1141" spans="1:24" ht="13.9" x14ac:dyDescent="0.3">
      <c r="A1141" s="19"/>
      <c r="B1141" s="19"/>
      <c r="C1141" s="19"/>
      <c r="D1141" s="19"/>
      <c r="X1141" s="20"/>
    </row>
    <row r="1142" spans="1:24" ht="13.9" x14ac:dyDescent="0.3">
      <c r="A1142" s="19"/>
      <c r="B1142" s="19"/>
      <c r="C1142" s="19"/>
      <c r="D1142" s="19"/>
      <c r="X1142" s="20"/>
    </row>
    <row r="1143" spans="1:24" ht="13.9" x14ac:dyDescent="0.3">
      <c r="A1143" s="19"/>
      <c r="B1143" s="19"/>
      <c r="C1143" s="19"/>
      <c r="D1143" s="19"/>
      <c r="X1143" s="20"/>
    </row>
    <row r="1144" spans="1:24" ht="13.9" x14ac:dyDescent="0.3">
      <c r="A1144" s="19"/>
      <c r="B1144" s="19"/>
      <c r="C1144" s="19"/>
      <c r="D1144" s="19"/>
      <c r="X1144" s="20"/>
    </row>
    <row r="1145" spans="1:24" ht="13.9" x14ac:dyDescent="0.3">
      <c r="A1145" s="19"/>
      <c r="B1145" s="19"/>
      <c r="C1145" s="19"/>
      <c r="D1145" s="19"/>
      <c r="X1145" s="20"/>
    </row>
    <row r="1146" spans="1:24" ht="13.9" x14ac:dyDescent="0.3">
      <c r="A1146" s="19"/>
      <c r="B1146" s="19"/>
      <c r="C1146" s="19"/>
      <c r="D1146" s="19"/>
      <c r="X1146" s="20"/>
    </row>
    <row r="1147" spans="1:24" ht="13.9" x14ac:dyDescent="0.3">
      <c r="A1147" s="19"/>
      <c r="B1147" s="19"/>
      <c r="C1147" s="19"/>
      <c r="D1147" s="19"/>
      <c r="X1147" s="20"/>
    </row>
    <row r="1148" spans="1:24" ht="13.9" x14ac:dyDescent="0.3">
      <c r="A1148" s="19"/>
      <c r="B1148" s="19"/>
      <c r="C1148" s="19"/>
      <c r="D1148" s="19"/>
      <c r="X1148" s="20"/>
    </row>
    <row r="1149" spans="1:24" ht="13.9" x14ac:dyDescent="0.3">
      <c r="A1149" s="19"/>
      <c r="B1149" s="19"/>
      <c r="C1149" s="19"/>
      <c r="D1149" s="19"/>
      <c r="X1149" s="20"/>
    </row>
    <row r="1150" spans="1:24" ht="13.9" x14ac:dyDescent="0.3">
      <c r="A1150" s="19"/>
      <c r="B1150" s="19"/>
      <c r="C1150" s="19"/>
      <c r="D1150" s="19"/>
      <c r="X1150" s="20"/>
    </row>
    <row r="1151" spans="1:24" ht="13.9" x14ac:dyDescent="0.3">
      <c r="A1151" s="19"/>
      <c r="B1151" s="19"/>
      <c r="C1151" s="19"/>
      <c r="D1151" s="19"/>
      <c r="X1151" s="20"/>
    </row>
  </sheetData>
  <mergeCells count="1">
    <mergeCell ref="B4:D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517"/>
  <sheetViews>
    <sheetView zoomScale="110" zoomScaleNormal="110" workbookViewId="0"/>
  </sheetViews>
  <sheetFormatPr defaultRowHeight="15.4" x14ac:dyDescent="0.3"/>
  <cols>
    <col min="1" max="1" width="11" style="24" bestFit="1" customWidth="1"/>
    <col min="2" max="2" width="24.265625" style="24" customWidth="1"/>
    <col min="3" max="3" width="22.1328125" style="24" customWidth="1"/>
    <col min="4" max="4" width="8.86328125" style="24" customWidth="1"/>
    <col min="5" max="5" width="9.265625" style="24" customWidth="1"/>
    <col min="6" max="6" width="11.1328125" style="24" customWidth="1"/>
    <col min="7" max="7" width="12.265625" style="24" customWidth="1"/>
    <col min="8" max="8" width="20.06640625" style="24" customWidth="1"/>
    <col min="9" max="9" width="18.1328125" style="24" customWidth="1"/>
    <col min="10" max="10" width="17.59765625" style="24" customWidth="1"/>
    <col min="11" max="11" width="14.265625" style="24" customWidth="1"/>
    <col min="12" max="36" width="9" style="23"/>
    <col min="37" max="253" width="9" style="24"/>
    <col min="254" max="254" width="12.1328125" style="24" bestFit="1" customWidth="1"/>
    <col min="255" max="255" width="12" style="24" customWidth="1"/>
    <col min="256" max="256" width="21.265625" style="24" bestFit="1" customWidth="1"/>
    <col min="257" max="257" width="9.1328125" style="24" bestFit="1" customWidth="1"/>
    <col min="258" max="258" width="11.3984375" style="24" customWidth="1"/>
    <col min="259" max="259" width="12.265625" style="24" customWidth="1"/>
    <col min="260" max="260" width="13.1328125" style="24" customWidth="1"/>
    <col min="261" max="261" width="38.1328125" style="24" customWidth="1"/>
    <col min="262" max="262" width="19.265625" style="24" bestFit="1" customWidth="1"/>
    <col min="263" max="263" width="11.59765625" style="24" customWidth="1"/>
    <col min="264" max="264" width="9.86328125" style="24" customWidth="1"/>
    <col min="265" max="265" width="11.3984375" style="24" customWidth="1"/>
    <col min="266" max="509" width="9" style="24"/>
    <col min="510" max="510" width="12.1328125" style="24" bestFit="1" customWidth="1"/>
    <col min="511" max="511" width="12" style="24" customWidth="1"/>
    <col min="512" max="512" width="21.265625" style="24" bestFit="1" customWidth="1"/>
    <col min="513" max="513" width="9.1328125" style="24" bestFit="1" customWidth="1"/>
    <col min="514" max="514" width="11.3984375" style="24" customWidth="1"/>
    <col min="515" max="515" width="12.265625" style="24" customWidth="1"/>
    <col min="516" max="516" width="13.1328125" style="24" customWidth="1"/>
    <col min="517" max="517" width="38.1328125" style="24" customWidth="1"/>
    <col min="518" max="518" width="19.265625" style="24" bestFit="1" customWidth="1"/>
    <col min="519" max="519" width="11.59765625" style="24" customWidth="1"/>
    <col min="520" max="520" width="9.86328125" style="24" customWidth="1"/>
    <col min="521" max="521" width="11.3984375" style="24" customWidth="1"/>
    <col min="522" max="765" width="9" style="24"/>
    <col min="766" max="766" width="12.1328125" style="24" bestFit="1" customWidth="1"/>
    <col min="767" max="767" width="12" style="24" customWidth="1"/>
    <col min="768" max="768" width="21.265625" style="24" bestFit="1" customWidth="1"/>
    <col min="769" max="769" width="9.1328125" style="24" bestFit="1" customWidth="1"/>
    <col min="770" max="770" width="11.3984375" style="24" customWidth="1"/>
    <col min="771" max="771" width="12.265625" style="24" customWidth="1"/>
    <col min="772" max="772" width="13.1328125" style="24" customWidth="1"/>
    <col min="773" max="773" width="38.1328125" style="24" customWidth="1"/>
    <col min="774" max="774" width="19.265625" style="24" bestFit="1" customWidth="1"/>
    <col min="775" max="775" width="11.59765625" style="24" customWidth="1"/>
    <col min="776" max="776" width="9.86328125" style="24" customWidth="1"/>
    <col min="777" max="777" width="11.3984375" style="24" customWidth="1"/>
    <col min="778" max="1021" width="9" style="24"/>
    <col min="1022" max="1022" width="12.1328125" style="24" bestFit="1" customWidth="1"/>
    <col min="1023" max="1023" width="12" style="24" customWidth="1"/>
    <col min="1024" max="1024" width="21.265625" style="24" bestFit="1" customWidth="1"/>
    <col min="1025" max="1025" width="9.1328125" style="24" bestFit="1" customWidth="1"/>
    <col min="1026" max="1026" width="11.3984375" style="24" customWidth="1"/>
    <col min="1027" max="1027" width="12.265625" style="24" customWidth="1"/>
    <col min="1028" max="1028" width="13.1328125" style="24" customWidth="1"/>
    <col min="1029" max="1029" width="38.1328125" style="24" customWidth="1"/>
    <col min="1030" max="1030" width="19.265625" style="24" bestFit="1" customWidth="1"/>
    <col min="1031" max="1031" width="11.59765625" style="24" customWidth="1"/>
    <col min="1032" max="1032" width="9.86328125" style="24" customWidth="1"/>
    <col min="1033" max="1033" width="11.3984375" style="24" customWidth="1"/>
    <col min="1034" max="1277" width="9" style="24"/>
    <col min="1278" max="1278" width="12.1328125" style="24" bestFit="1" customWidth="1"/>
    <col min="1279" max="1279" width="12" style="24" customWidth="1"/>
    <col min="1280" max="1280" width="21.265625" style="24" bestFit="1" customWidth="1"/>
    <col min="1281" max="1281" width="9.1328125" style="24" bestFit="1" customWidth="1"/>
    <col min="1282" max="1282" width="11.3984375" style="24" customWidth="1"/>
    <col min="1283" max="1283" width="12.265625" style="24" customWidth="1"/>
    <col min="1284" max="1284" width="13.1328125" style="24" customWidth="1"/>
    <col min="1285" max="1285" width="38.1328125" style="24" customWidth="1"/>
    <col min="1286" max="1286" width="19.265625" style="24" bestFit="1" customWidth="1"/>
    <col min="1287" max="1287" width="11.59765625" style="24" customWidth="1"/>
    <col min="1288" max="1288" width="9.86328125" style="24" customWidth="1"/>
    <col min="1289" max="1289" width="11.3984375" style="24" customWidth="1"/>
    <col min="1290" max="1533" width="9" style="24"/>
    <col min="1534" max="1534" width="12.1328125" style="24" bestFit="1" customWidth="1"/>
    <col min="1535" max="1535" width="12" style="24" customWidth="1"/>
    <col min="1536" max="1536" width="21.265625" style="24" bestFit="1" customWidth="1"/>
    <col min="1537" max="1537" width="9.1328125" style="24" bestFit="1" customWidth="1"/>
    <col min="1538" max="1538" width="11.3984375" style="24" customWidth="1"/>
    <col min="1539" max="1539" width="12.265625" style="24" customWidth="1"/>
    <col min="1540" max="1540" width="13.1328125" style="24" customWidth="1"/>
    <col min="1541" max="1541" width="38.1328125" style="24" customWidth="1"/>
    <col min="1542" max="1542" width="19.265625" style="24" bestFit="1" customWidth="1"/>
    <col min="1543" max="1543" width="11.59765625" style="24" customWidth="1"/>
    <col min="1544" max="1544" width="9.86328125" style="24" customWidth="1"/>
    <col min="1545" max="1545" width="11.3984375" style="24" customWidth="1"/>
    <col min="1546" max="1789" width="9" style="24"/>
    <col min="1790" max="1790" width="12.1328125" style="24" bestFit="1" customWidth="1"/>
    <col min="1791" max="1791" width="12" style="24" customWidth="1"/>
    <col min="1792" max="1792" width="21.265625" style="24" bestFit="1" customWidth="1"/>
    <col min="1793" max="1793" width="9.1328125" style="24" bestFit="1" customWidth="1"/>
    <col min="1794" max="1794" width="11.3984375" style="24" customWidth="1"/>
    <col min="1795" max="1795" width="12.265625" style="24" customWidth="1"/>
    <col min="1796" max="1796" width="13.1328125" style="24" customWidth="1"/>
    <col min="1797" max="1797" width="38.1328125" style="24" customWidth="1"/>
    <col min="1798" max="1798" width="19.265625" style="24" bestFit="1" customWidth="1"/>
    <col min="1799" max="1799" width="11.59765625" style="24" customWidth="1"/>
    <col min="1800" max="1800" width="9.86328125" style="24" customWidth="1"/>
    <col min="1801" max="1801" width="11.3984375" style="24" customWidth="1"/>
    <col min="1802" max="2045" width="9" style="24"/>
    <col min="2046" max="2046" width="12.1328125" style="24" bestFit="1" customWidth="1"/>
    <col min="2047" max="2047" width="12" style="24" customWidth="1"/>
    <col min="2048" max="2048" width="21.265625" style="24" bestFit="1" customWidth="1"/>
    <col min="2049" max="2049" width="9.1328125" style="24" bestFit="1" customWidth="1"/>
    <col min="2050" max="2050" width="11.3984375" style="24" customWidth="1"/>
    <col min="2051" max="2051" width="12.265625" style="24" customWidth="1"/>
    <col min="2052" max="2052" width="13.1328125" style="24" customWidth="1"/>
    <col min="2053" max="2053" width="38.1328125" style="24" customWidth="1"/>
    <col min="2054" max="2054" width="19.265625" style="24" bestFit="1" customWidth="1"/>
    <col min="2055" max="2055" width="11.59765625" style="24" customWidth="1"/>
    <col min="2056" max="2056" width="9.86328125" style="24" customWidth="1"/>
    <col min="2057" max="2057" width="11.3984375" style="24" customWidth="1"/>
    <col min="2058" max="2301" width="9" style="24"/>
    <col min="2302" max="2302" width="12.1328125" style="24" bestFit="1" customWidth="1"/>
    <col min="2303" max="2303" width="12" style="24" customWidth="1"/>
    <col min="2304" max="2304" width="21.265625" style="24" bestFit="1" customWidth="1"/>
    <col min="2305" max="2305" width="9.1328125" style="24" bestFit="1" customWidth="1"/>
    <col min="2306" max="2306" width="11.3984375" style="24" customWidth="1"/>
    <col min="2307" max="2307" width="12.265625" style="24" customWidth="1"/>
    <col min="2308" max="2308" width="13.1328125" style="24" customWidth="1"/>
    <col min="2309" max="2309" width="38.1328125" style="24" customWidth="1"/>
    <col min="2310" max="2310" width="19.265625" style="24" bestFit="1" customWidth="1"/>
    <col min="2311" max="2311" width="11.59765625" style="24" customWidth="1"/>
    <col min="2312" max="2312" width="9.86328125" style="24" customWidth="1"/>
    <col min="2313" max="2313" width="11.3984375" style="24" customWidth="1"/>
    <col min="2314" max="2557" width="9" style="24"/>
    <col min="2558" max="2558" width="12.1328125" style="24" bestFit="1" customWidth="1"/>
    <col min="2559" max="2559" width="12" style="24" customWidth="1"/>
    <col min="2560" max="2560" width="21.265625" style="24" bestFit="1" customWidth="1"/>
    <col min="2561" max="2561" width="9.1328125" style="24" bestFit="1" customWidth="1"/>
    <col min="2562" max="2562" width="11.3984375" style="24" customWidth="1"/>
    <col min="2563" max="2563" width="12.265625" style="24" customWidth="1"/>
    <col min="2564" max="2564" width="13.1328125" style="24" customWidth="1"/>
    <col min="2565" max="2565" width="38.1328125" style="24" customWidth="1"/>
    <col min="2566" max="2566" width="19.265625" style="24" bestFit="1" customWidth="1"/>
    <col min="2567" max="2567" width="11.59765625" style="24" customWidth="1"/>
    <col min="2568" max="2568" width="9.86328125" style="24" customWidth="1"/>
    <col min="2569" max="2569" width="11.3984375" style="24" customWidth="1"/>
    <col min="2570" max="2813" width="9" style="24"/>
    <col min="2814" max="2814" width="12.1328125" style="24" bestFit="1" customWidth="1"/>
    <col min="2815" max="2815" width="12" style="24" customWidth="1"/>
    <col min="2816" max="2816" width="21.265625" style="24" bestFit="1" customWidth="1"/>
    <col min="2817" max="2817" width="9.1328125" style="24" bestFit="1" customWidth="1"/>
    <col min="2818" max="2818" width="11.3984375" style="24" customWidth="1"/>
    <col min="2819" max="2819" width="12.265625" style="24" customWidth="1"/>
    <col min="2820" max="2820" width="13.1328125" style="24" customWidth="1"/>
    <col min="2821" max="2821" width="38.1328125" style="24" customWidth="1"/>
    <col min="2822" max="2822" width="19.265625" style="24" bestFit="1" customWidth="1"/>
    <col min="2823" max="2823" width="11.59765625" style="24" customWidth="1"/>
    <col min="2824" max="2824" width="9.86328125" style="24" customWidth="1"/>
    <col min="2825" max="2825" width="11.3984375" style="24" customWidth="1"/>
    <col min="2826" max="3069" width="9" style="24"/>
    <col min="3070" max="3070" width="12.1328125" style="24" bestFit="1" customWidth="1"/>
    <col min="3071" max="3071" width="12" style="24" customWidth="1"/>
    <col min="3072" max="3072" width="21.265625" style="24" bestFit="1" customWidth="1"/>
    <col min="3073" max="3073" width="9.1328125" style="24" bestFit="1" customWidth="1"/>
    <col min="3074" max="3074" width="11.3984375" style="24" customWidth="1"/>
    <col min="3075" max="3075" width="12.265625" style="24" customWidth="1"/>
    <col min="3076" max="3076" width="13.1328125" style="24" customWidth="1"/>
    <col min="3077" max="3077" width="38.1328125" style="24" customWidth="1"/>
    <col min="3078" max="3078" width="19.265625" style="24" bestFit="1" customWidth="1"/>
    <col min="3079" max="3079" width="11.59765625" style="24" customWidth="1"/>
    <col min="3080" max="3080" width="9.86328125" style="24" customWidth="1"/>
    <col min="3081" max="3081" width="11.3984375" style="24" customWidth="1"/>
    <col min="3082" max="3325" width="9" style="24"/>
    <col min="3326" max="3326" width="12.1328125" style="24" bestFit="1" customWidth="1"/>
    <col min="3327" max="3327" width="12" style="24" customWidth="1"/>
    <col min="3328" max="3328" width="21.265625" style="24" bestFit="1" customWidth="1"/>
    <col min="3329" max="3329" width="9.1328125" style="24" bestFit="1" customWidth="1"/>
    <col min="3330" max="3330" width="11.3984375" style="24" customWidth="1"/>
    <col min="3331" max="3331" width="12.265625" style="24" customWidth="1"/>
    <col min="3332" max="3332" width="13.1328125" style="24" customWidth="1"/>
    <col min="3333" max="3333" width="38.1328125" style="24" customWidth="1"/>
    <col min="3334" max="3334" width="19.265625" style="24" bestFit="1" customWidth="1"/>
    <col min="3335" max="3335" width="11.59765625" style="24" customWidth="1"/>
    <col min="3336" max="3336" width="9.86328125" style="24" customWidth="1"/>
    <col min="3337" max="3337" width="11.3984375" style="24" customWidth="1"/>
    <col min="3338" max="3581" width="9" style="24"/>
    <col min="3582" max="3582" width="12.1328125" style="24" bestFit="1" customWidth="1"/>
    <col min="3583" max="3583" width="12" style="24" customWidth="1"/>
    <col min="3584" max="3584" width="21.265625" style="24" bestFit="1" customWidth="1"/>
    <col min="3585" max="3585" width="9.1328125" style="24" bestFit="1" customWidth="1"/>
    <col min="3586" max="3586" width="11.3984375" style="24" customWidth="1"/>
    <col min="3587" max="3587" width="12.265625" style="24" customWidth="1"/>
    <col min="3588" max="3588" width="13.1328125" style="24" customWidth="1"/>
    <col min="3589" max="3589" width="38.1328125" style="24" customWidth="1"/>
    <col min="3590" max="3590" width="19.265625" style="24" bestFit="1" customWidth="1"/>
    <col min="3591" max="3591" width="11.59765625" style="24" customWidth="1"/>
    <col min="3592" max="3592" width="9.86328125" style="24" customWidth="1"/>
    <col min="3593" max="3593" width="11.3984375" style="24" customWidth="1"/>
    <col min="3594" max="3837" width="9" style="24"/>
    <col min="3838" max="3838" width="12.1328125" style="24" bestFit="1" customWidth="1"/>
    <col min="3839" max="3839" width="12" style="24" customWidth="1"/>
    <col min="3840" max="3840" width="21.265625" style="24" bestFit="1" customWidth="1"/>
    <col min="3841" max="3841" width="9.1328125" style="24" bestFit="1" customWidth="1"/>
    <col min="3842" max="3842" width="11.3984375" style="24" customWidth="1"/>
    <col min="3843" max="3843" width="12.265625" style="24" customWidth="1"/>
    <col min="3844" max="3844" width="13.1328125" style="24" customWidth="1"/>
    <col min="3845" max="3845" width="38.1328125" style="24" customWidth="1"/>
    <col min="3846" max="3846" width="19.265625" style="24" bestFit="1" customWidth="1"/>
    <col min="3847" max="3847" width="11.59765625" style="24" customWidth="1"/>
    <col min="3848" max="3848" width="9.86328125" style="24" customWidth="1"/>
    <col min="3849" max="3849" width="11.3984375" style="24" customWidth="1"/>
    <col min="3850" max="4093" width="9" style="24"/>
    <col min="4094" max="4094" width="12.1328125" style="24" bestFit="1" customWidth="1"/>
    <col min="4095" max="4095" width="12" style="24" customWidth="1"/>
    <col min="4096" max="4096" width="21.265625" style="24" bestFit="1" customWidth="1"/>
    <col min="4097" max="4097" width="9.1328125" style="24" bestFit="1" customWidth="1"/>
    <col min="4098" max="4098" width="11.3984375" style="24" customWidth="1"/>
    <col min="4099" max="4099" width="12.265625" style="24" customWidth="1"/>
    <col min="4100" max="4100" width="13.1328125" style="24" customWidth="1"/>
    <col min="4101" max="4101" width="38.1328125" style="24" customWidth="1"/>
    <col min="4102" max="4102" width="19.265625" style="24" bestFit="1" customWidth="1"/>
    <col min="4103" max="4103" width="11.59765625" style="24" customWidth="1"/>
    <col min="4104" max="4104" width="9.86328125" style="24" customWidth="1"/>
    <col min="4105" max="4105" width="11.3984375" style="24" customWidth="1"/>
    <col min="4106" max="4349" width="9" style="24"/>
    <col min="4350" max="4350" width="12.1328125" style="24" bestFit="1" customWidth="1"/>
    <col min="4351" max="4351" width="12" style="24" customWidth="1"/>
    <col min="4352" max="4352" width="21.265625" style="24" bestFit="1" customWidth="1"/>
    <col min="4353" max="4353" width="9.1328125" style="24" bestFit="1" customWidth="1"/>
    <col min="4354" max="4354" width="11.3984375" style="24" customWidth="1"/>
    <col min="4355" max="4355" width="12.265625" style="24" customWidth="1"/>
    <col min="4356" max="4356" width="13.1328125" style="24" customWidth="1"/>
    <col min="4357" max="4357" width="38.1328125" style="24" customWidth="1"/>
    <col min="4358" max="4358" width="19.265625" style="24" bestFit="1" customWidth="1"/>
    <col min="4359" max="4359" width="11.59765625" style="24" customWidth="1"/>
    <col min="4360" max="4360" width="9.86328125" style="24" customWidth="1"/>
    <col min="4361" max="4361" width="11.3984375" style="24" customWidth="1"/>
    <col min="4362" max="4605" width="9" style="24"/>
    <col min="4606" max="4606" width="12.1328125" style="24" bestFit="1" customWidth="1"/>
    <col min="4607" max="4607" width="12" style="24" customWidth="1"/>
    <col min="4608" max="4608" width="21.265625" style="24" bestFit="1" customWidth="1"/>
    <col min="4609" max="4609" width="9.1328125" style="24" bestFit="1" customWidth="1"/>
    <col min="4610" max="4610" width="11.3984375" style="24" customWidth="1"/>
    <col min="4611" max="4611" width="12.265625" style="24" customWidth="1"/>
    <col min="4612" max="4612" width="13.1328125" style="24" customWidth="1"/>
    <col min="4613" max="4613" width="38.1328125" style="24" customWidth="1"/>
    <col min="4614" max="4614" width="19.265625" style="24" bestFit="1" customWidth="1"/>
    <col min="4615" max="4615" width="11.59765625" style="24" customWidth="1"/>
    <col min="4616" max="4616" width="9.86328125" style="24" customWidth="1"/>
    <col min="4617" max="4617" width="11.3984375" style="24" customWidth="1"/>
    <col min="4618" max="4861" width="9" style="24"/>
    <col min="4862" max="4862" width="12.1328125" style="24" bestFit="1" customWidth="1"/>
    <col min="4863" max="4863" width="12" style="24" customWidth="1"/>
    <col min="4864" max="4864" width="21.265625" style="24" bestFit="1" customWidth="1"/>
    <col min="4865" max="4865" width="9.1328125" style="24" bestFit="1" customWidth="1"/>
    <col min="4866" max="4866" width="11.3984375" style="24" customWidth="1"/>
    <col min="4867" max="4867" width="12.265625" style="24" customWidth="1"/>
    <col min="4868" max="4868" width="13.1328125" style="24" customWidth="1"/>
    <col min="4869" max="4869" width="38.1328125" style="24" customWidth="1"/>
    <col min="4870" max="4870" width="19.265625" style="24" bestFit="1" customWidth="1"/>
    <col min="4871" max="4871" width="11.59765625" style="24" customWidth="1"/>
    <col min="4872" max="4872" width="9.86328125" style="24" customWidth="1"/>
    <col min="4873" max="4873" width="11.3984375" style="24" customWidth="1"/>
    <col min="4874" max="5117" width="9" style="24"/>
    <col min="5118" max="5118" width="12.1328125" style="24" bestFit="1" customWidth="1"/>
    <col min="5119" max="5119" width="12" style="24" customWidth="1"/>
    <col min="5120" max="5120" width="21.265625" style="24" bestFit="1" customWidth="1"/>
    <col min="5121" max="5121" width="9.1328125" style="24" bestFit="1" customWidth="1"/>
    <col min="5122" max="5122" width="11.3984375" style="24" customWidth="1"/>
    <col min="5123" max="5123" width="12.265625" style="24" customWidth="1"/>
    <col min="5124" max="5124" width="13.1328125" style="24" customWidth="1"/>
    <col min="5125" max="5125" width="38.1328125" style="24" customWidth="1"/>
    <col min="5126" max="5126" width="19.265625" style="24" bestFit="1" customWidth="1"/>
    <col min="5127" max="5127" width="11.59765625" style="24" customWidth="1"/>
    <col min="5128" max="5128" width="9.86328125" style="24" customWidth="1"/>
    <col min="5129" max="5129" width="11.3984375" style="24" customWidth="1"/>
    <col min="5130" max="5373" width="9" style="24"/>
    <col min="5374" max="5374" width="12.1328125" style="24" bestFit="1" customWidth="1"/>
    <col min="5375" max="5375" width="12" style="24" customWidth="1"/>
    <col min="5376" max="5376" width="21.265625" style="24" bestFit="1" customWidth="1"/>
    <col min="5377" max="5377" width="9.1328125" style="24" bestFit="1" customWidth="1"/>
    <col min="5378" max="5378" width="11.3984375" style="24" customWidth="1"/>
    <col min="5379" max="5379" width="12.265625" style="24" customWidth="1"/>
    <col min="5380" max="5380" width="13.1328125" style="24" customWidth="1"/>
    <col min="5381" max="5381" width="38.1328125" style="24" customWidth="1"/>
    <col min="5382" max="5382" width="19.265625" style="24" bestFit="1" customWidth="1"/>
    <col min="5383" max="5383" width="11.59765625" style="24" customWidth="1"/>
    <col min="5384" max="5384" width="9.86328125" style="24" customWidth="1"/>
    <col min="5385" max="5385" width="11.3984375" style="24" customWidth="1"/>
    <col min="5386" max="5629" width="9" style="24"/>
    <col min="5630" max="5630" width="12.1328125" style="24" bestFit="1" customWidth="1"/>
    <col min="5631" max="5631" width="12" style="24" customWidth="1"/>
    <col min="5632" max="5632" width="21.265625" style="24" bestFit="1" customWidth="1"/>
    <col min="5633" max="5633" width="9.1328125" style="24" bestFit="1" customWidth="1"/>
    <col min="5634" max="5634" width="11.3984375" style="24" customWidth="1"/>
    <col min="5635" max="5635" width="12.265625" style="24" customWidth="1"/>
    <col min="5636" max="5636" width="13.1328125" style="24" customWidth="1"/>
    <col min="5637" max="5637" width="38.1328125" style="24" customWidth="1"/>
    <col min="5638" max="5638" width="19.265625" style="24" bestFit="1" customWidth="1"/>
    <col min="5639" max="5639" width="11.59765625" style="24" customWidth="1"/>
    <col min="5640" max="5640" width="9.86328125" style="24" customWidth="1"/>
    <col min="5641" max="5641" width="11.3984375" style="24" customWidth="1"/>
    <col min="5642" max="5885" width="9" style="24"/>
    <col min="5886" max="5886" width="12.1328125" style="24" bestFit="1" customWidth="1"/>
    <col min="5887" max="5887" width="12" style="24" customWidth="1"/>
    <col min="5888" max="5888" width="21.265625" style="24" bestFit="1" customWidth="1"/>
    <col min="5889" max="5889" width="9.1328125" style="24" bestFit="1" customWidth="1"/>
    <col min="5890" max="5890" width="11.3984375" style="24" customWidth="1"/>
    <col min="5891" max="5891" width="12.265625" style="24" customWidth="1"/>
    <col min="5892" max="5892" width="13.1328125" style="24" customWidth="1"/>
    <col min="5893" max="5893" width="38.1328125" style="24" customWidth="1"/>
    <col min="5894" max="5894" width="19.265625" style="24" bestFit="1" customWidth="1"/>
    <col min="5895" max="5895" width="11.59765625" style="24" customWidth="1"/>
    <col min="5896" max="5896" width="9.86328125" style="24" customWidth="1"/>
    <col min="5897" max="5897" width="11.3984375" style="24" customWidth="1"/>
    <col min="5898" max="6141" width="9" style="24"/>
    <col min="6142" max="6142" width="12.1328125" style="24" bestFit="1" customWidth="1"/>
    <col min="6143" max="6143" width="12" style="24" customWidth="1"/>
    <col min="6144" max="6144" width="21.265625" style="24" bestFit="1" customWidth="1"/>
    <col min="6145" max="6145" width="9.1328125" style="24" bestFit="1" customWidth="1"/>
    <col min="6146" max="6146" width="11.3984375" style="24" customWidth="1"/>
    <col min="6147" max="6147" width="12.265625" style="24" customWidth="1"/>
    <col min="6148" max="6148" width="13.1328125" style="24" customWidth="1"/>
    <col min="6149" max="6149" width="38.1328125" style="24" customWidth="1"/>
    <col min="6150" max="6150" width="19.265625" style="24" bestFit="1" customWidth="1"/>
    <col min="6151" max="6151" width="11.59765625" style="24" customWidth="1"/>
    <col min="6152" max="6152" width="9.86328125" style="24" customWidth="1"/>
    <col min="6153" max="6153" width="11.3984375" style="24" customWidth="1"/>
    <col min="6154" max="6397" width="9" style="24"/>
    <col min="6398" max="6398" width="12.1328125" style="24" bestFit="1" customWidth="1"/>
    <col min="6399" max="6399" width="12" style="24" customWidth="1"/>
    <col min="6400" max="6400" width="21.265625" style="24" bestFit="1" customWidth="1"/>
    <col min="6401" max="6401" width="9.1328125" style="24" bestFit="1" customWidth="1"/>
    <col min="6402" max="6402" width="11.3984375" style="24" customWidth="1"/>
    <col min="6403" max="6403" width="12.265625" style="24" customWidth="1"/>
    <col min="6404" max="6404" width="13.1328125" style="24" customWidth="1"/>
    <col min="6405" max="6405" width="38.1328125" style="24" customWidth="1"/>
    <col min="6406" max="6406" width="19.265625" style="24" bestFit="1" customWidth="1"/>
    <col min="6407" max="6407" width="11.59765625" style="24" customWidth="1"/>
    <col min="6408" max="6408" width="9.86328125" style="24" customWidth="1"/>
    <col min="6409" max="6409" width="11.3984375" style="24" customWidth="1"/>
    <col min="6410" max="6653" width="9" style="24"/>
    <col min="6654" max="6654" width="12.1328125" style="24" bestFit="1" customWidth="1"/>
    <col min="6655" max="6655" width="12" style="24" customWidth="1"/>
    <col min="6656" max="6656" width="21.265625" style="24" bestFit="1" customWidth="1"/>
    <col min="6657" max="6657" width="9.1328125" style="24" bestFit="1" customWidth="1"/>
    <col min="6658" max="6658" width="11.3984375" style="24" customWidth="1"/>
    <col min="6659" max="6659" width="12.265625" style="24" customWidth="1"/>
    <col min="6660" max="6660" width="13.1328125" style="24" customWidth="1"/>
    <col min="6661" max="6661" width="38.1328125" style="24" customWidth="1"/>
    <col min="6662" max="6662" width="19.265625" style="24" bestFit="1" customWidth="1"/>
    <col min="6663" max="6663" width="11.59765625" style="24" customWidth="1"/>
    <col min="6664" max="6664" width="9.86328125" style="24" customWidth="1"/>
    <col min="6665" max="6665" width="11.3984375" style="24" customWidth="1"/>
    <col min="6666" max="6909" width="9" style="24"/>
    <col min="6910" max="6910" width="12.1328125" style="24" bestFit="1" customWidth="1"/>
    <col min="6911" max="6911" width="12" style="24" customWidth="1"/>
    <col min="6912" max="6912" width="21.265625" style="24" bestFit="1" customWidth="1"/>
    <col min="6913" max="6913" width="9.1328125" style="24" bestFit="1" customWidth="1"/>
    <col min="6914" max="6914" width="11.3984375" style="24" customWidth="1"/>
    <col min="6915" max="6915" width="12.265625" style="24" customWidth="1"/>
    <col min="6916" max="6916" width="13.1328125" style="24" customWidth="1"/>
    <col min="6917" max="6917" width="38.1328125" style="24" customWidth="1"/>
    <col min="6918" max="6918" width="19.265625" style="24" bestFit="1" customWidth="1"/>
    <col min="6919" max="6919" width="11.59765625" style="24" customWidth="1"/>
    <col min="6920" max="6920" width="9.86328125" style="24" customWidth="1"/>
    <col min="6921" max="6921" width="11.3984375" style="24" customWidth="1"/>
    <col min="6922" max="7165" width="9" style="24"/>
    <col min="7166" max="7166" width="12.1328125" style="24" bestFit="1" customWidth="1"/>
    <col min="7167" max="7167" width="12" style="24" customWidth="1"/>
    <col min="7168" max="7168" width="21.265625" style="24" bestFit="1" customWidth="1"/>
    <col min="7169" max="7169" width="9.1328125" style="24" bestFit="1" customWidth="1"/>
    <col min="7170" max="7170" width="11.3984375" style="24" customWidth="1"/>
    <col min="7171" max="7171" width="12.265625" style="24" customWidth="1"/>
    <col min="7172" max="7172" width="13.1328125" style="24" customWidth="1"/>
    <col min="7173" max="7173" width="38.1328125" style="24" customWidth="1"/>
    <col min="7174" max="7174" width="19.265625" style="24" bestFit="1" customWidth="1"/>
    <col min="7175" max="7175" width="11.59765625" style="24" customWidth="1"/>
    <col min="7176" max="7176" width="9.86328125" style="24" customWidth="1"/>
    <col min="7177" max="7177" width="11.3984375" style="24" customWidth="1"/>
    <col min="7178" max="7421" width="9" style="24"/>
    <col min="7422" max="7422" width="12.1328125" style="24" bestFit="1" customWidth="1"/>
    <col min="7423" max="7423" width="12" style="24" customWidth="1"/>
    <col min="7424" max="7424" width="21.265625" style="24" bestFit="1" customWidth="1"/>
    <col min="7425" max="7425" width="9.1328125" style="24" bestFit="1" customWidth="1"/>
    <col min="7426" max="7426" width="11.3984375" style="24" customWidth="1"/>
    <col min="7427" max="7427" width="12.265625" style="24" customWidth="1"/>
    <col min="7428" max="7428" width="13.1328125" style="24" customWidth="1"/>
    <col min="7429" max="7429" width="38.1328125" style="24" customWidth="1"/>
    <col min="7430" max="7430" width="19.265625" style="24" bestFit="1" customWidth="1"/>
    <col min="7431" max="7431" width="11.59765625" style="24" customWidth="1"/>
    <col min="7432" max="7432" width="9.86328125" style="24" customWidth="1"/>
    <col min="7433" max="7433" width="11.3984375" style="24" customWidth="1"/>
    <col min="7434" max="7677" width="9" style="24"/>
    <col min="7678" max="7678" width="12.1328125" style="24" bestFit="1" customWidth="1"/>
    <col min="7679" max="7679" width="12" style="24" customWidth="1"/>
    <col min="7680" max="7680" width="21.265625" style="24" bestFit="1" customWidth="1"/>
    <col min="7681" max="7681" width="9.1328125" style="24" bestFit="1" customWidth="1"/>
    <col min="7682" max="7682" width="11.3984375" style="24" customWidth="1"/>
    <col min="7683" max="7683" width="12.265625" style="24" customWidth="1"/>
    <col min="7684" max="7684" width="13.1328125" style="24" customWidth="1"/>
    <col min="7685" max="7685" width="38.1328125" style="24" customWidth="1"/>
    <col min="7686" max="7686" width="19.265625" style="24" bestFit="1" customWidth="1"/>
    <col min="7687" max="7687" width="11.59765625" style="24" customWidth="1"/>
    <col min="7688" max="7688" width="9.86328125" style="24" customWidth="1"/>
    <col min="7689" max="7689" width="11.3984375" style="24" customWidth="1"/>
    <col min="7690" max="7933" width="9" style="24"/>
    <col min="7934" max="7934" width="12.1328125" style="24" bestFit="1" customWidth="1"/>
    <col min="7935" max="7935" width="12" style="24" customWidth="1"/>
    <col min="7936" max="7936" width="21.265625" style="24" bestFit="1" customWidth="1"/>
    <col min="7937" max="7937" width="9.1328125" style="24" bestFit="1" customWidth="1"/>
    <col min="7938" max="7938" width="11.3984375" style="24" customWidth="1"/>
    <col min="7939" max="7939" width="12.265625" style="24" customWidth="1"/>
    <col min="7940" max="7940" width="13.1328125" style="24" customWidth="1"/>
    <col min="7941" max="7941" width="38.1328125" style="24" customWidth="1"/>
    <col min="7942" max="7942" width="19.265625" style="24" bestFit="1" customWidth="1"/>
    <col min="7943" max="7943" width="11.59765625" style="24" customWidth="1"/>
    <col min="7944" max="7944" width="9.86328125" style="24" customWidth="1"/>
    <col min="7945" max="7945" width="11.3984375" style="24" customWidth="1"/>
    <col min="7946" max="8189" width="9" style="24"/>
    <col min="8190" max="8190" width="12.1328125" style="24" bestFit="1" customWidth="1"/>
    <col min="8191" max="8191" width="12" style="24" customWidth="1"/>
    <col min="8192" max="8192" width="21.265625" style="24" bestFit="1" customWidth="1"/>
    <col min="8193" max="8193" width="9.1328125" style="24" bestFit="1" customWidth="1"/>
    <col min="8194" max="8194" width="11.3984375" style="24" customWidth="1"/>
    <col min="8195" max="8195" width="12.265625" style="24" customWidth="1"/>
    <col min="8196" max="8196" width="13.1328125" style="24" customWidth="1"/>
    <col min="8197" max="8197" width="38.1328125" style="24" customWidth="1"/>
    <col min="8198" max="8198" width="19.265625" style="24" bestFit="1" customWidth="1"/>
    <col min="8199" max="8199" width="11.59765625" style="24" customWidth="1"/>
    <col min="8200" max="8200" width="9.86328125" style="24" customWidth="1"/>
    <col min="8201" max="8201" width="11.3984375" style="24" customWidth="1"/>
    <col min="8202" max="8445" width="9" style="24"/>
    <col min="8446" max="8446" width="12.1328125" style="24" bestFit="1" customWidth="1"/>
    <col min="8447" max="8447" width="12" style="24" customWidth="1"/>
    <col min="8448" max="8448" width="21.265625" style="24" bestFit="1" customWidth="1"/>
    <col min="8449" max="8449" width="9.1328125" style="24" bestFit="1" customWidth="1"/>
    <col min="8450" max="8450" width="11.3984375" style="24" customWidth="1"/>
    <col min="8451" max="8451" width="12.265625" style="24" customWidth="1"/>
    <col min="8452" max="8452" width="13.1328125" style="24" customWidth="1"/>
    <col min="8453" max="8453" width="38.1328125" style="24" customWidth="1"/>
    <col min="8454" max="8454" width="19.265625" style="24" bestFit="1" customWidth="1"/>
    <col min="8455" max="8455" width="11.59765625" style="24" customWidth="1"/>
    <col min="8456" max="8456" width="9.86328125" style="24" customWidth="1"/>
    <col min="8457" max="8457" width="11.3984375" style="24" customWidth="1"/>
    <col min="8458" max="8701" width="9" style="24"/>
    <col min="8702" max="8702" width="12.1328125" style="24" bestFit="1" customWidth="1"/>
    <col min="8703" max="8703" width="12" style="24" customWidth="1"/>
    <col min="8704" max="8704" width="21.265625" style="24" bestFit="1" customWidth="1"/>
    <col min="8705" max="8705" width="9.1328125" style="24" bestFit="1" customWidth="1"/>
    <col min="8706" max="8706" width="11.3984375" style="24" customWidth="1"/>
    <col min="8707" max="8707" width="12.265625" style="24" customWidth="1"/>
    <col min="8708" max="8708" width="13.1328125" style="24" customWidth="1"/>
    <col min="8709" max="8709" width="38.1328125" style="24" customWidth="1"/>
    <col min="8710" max="8710" width="19.265625" style="24" bestFit="1" customWidth="1"/>
    <col min="8711" max="8711" width="11.59765625" style="24" customWidth="1"/>
    <col min="8712" max="8712" width="9.86328125" style="24" customWidth="1"/>
    <col min="8713" max="8713" width="11.3984375" style="24" customWidth="1"/>
    <col min="8714" max="8957" width="9" style="24"/>
    <col min="8958" max="8958" width="12.1328125" style="24" bestFit="1" customWidth="1"/>
    <col min="8959" max="8959" width="12" style="24" customWidth="1"/>
    <col min="8960" max="8960" width="21.265625" style="24" bestFit="1" customWidth="1"/>
    <col min="8961" max="8961" width="9.1328125" style="24" bestFit="1" customWidth="1"/>
    <col min="8962" max="8962" width="11.3984375" style="24" customWidth="1"/>
    <col min="8963" max="8963" width="12.265625" style="24" customWidth="1"/>
    <col min="8964" max="8964" width="13.1328125" style="24" customWidth="1"/>
    <col min="8965" max="8965" width="38.1328125" style="24" customWidth="1"/>
    <col min="8966" max="8966" width="19.265625" style="24" bestFit="1" customWidth="1"/>
    <col min="8967" max="8967" width="11.59765625" style="24" customWidth="1"/>
    <col min="8968" max="8968" width="9.86328125" style="24" customWidth="1"/>
    <col min="8969" max="8969" width="11.3984375" style="24" customWidth="1"/>
    <col min="8970" max="9213" width="9" style="24"/>
    <col min="9214" max="9214" width="12.1328125" style="24" bestFit="1" customWidth="1"/>
    <col min="9215" max="9215" width="12" style="24" customWidth="1"/>
    <col min="9216" max="9216" width="21.265625" style="24" bestFit="1" customWidth="1"/>
    <col min="9217" max="9217" width="9.1328125" style="24" bestFit="1" customWidth="1"/>
    <col min="9218" max="9218" width="11.3984375" style="24" customWidth="1"/>
    <col min="9219" max="9219" width="12.265625" style="24" customWidth="1"/>
    <col min="9220" max="9220" width="13.1328125" style="24" customWidth="1"/>
    <col min="9221" max="9221" width="38.1328125" style="24" customWidth="1"/>
    <col min="9222" max="9222" width="19.265625" style="24" bestFit="1" customWidth="1"/>
    <col min="9223" max="9223" width="11.59765625" style="24" customWidth="1"/>
    <col min="9224" max="9224" width="9.86328125" style="24" customWidth="1"/>
    <col min="9225" max="9225" width="11.3984375" style="24" customWidth="1"/>
    <col min="9226" max="9469" width="9" style="24"/>
    <col min="9470" max="9470" width="12.1328125" style="24" bestFit="1" customWidth="1"/>
    <col min="9471" max="9471" width="12" style="24" customWidth="1"/>
    <col min="9472" max="9472" width="21.265625" style="24" bestFit="1" customWidth="1"/>
    <col min="9473" max="9473" width="9.1328125" style="24" bestFit="1" customWidth="1"/>
    <col min="9474" max="9474" width="11.3984375" style="24" customWidth="1"/>
    <col min="9475" max="9475" width="12.265625" style="24" customWidth="1"/>
    <col min="9476" max="9476" width="13.1328125" style="24" customWidth="1"/>
    <col min="9477" max="9477" width="38.1328125" style="24" customWidth="1"/>
    <col min="9478" max="9478" width="19.265625" style="24" bestFit="1" customWidth="1"/>
    <col min="9479" max="9479" width="11.59765625" style="24" customWidth="1"/>
    <col min="9480" max="9480" width="9.86328125" style="24" customWidth="1"/>
    <col min="9481" max="9481" width="11.3984375" style="24" customWidth="1"/>
    <col min="9482" max="9725" width="9" style="24"/>
    <col min="9726" max="9726" width="12.1328125" style="24" bestFit="1" customWidth="1"/>
    <col min="9727" max="9727" width="12" style="24" customWidth="1"/>
    <col min="9728" max="9728" width="21.265625" style="24" bestFit="1" customWidth="1"/>
    <col min="9729" max="9729" width="9.1328125" style="24" bestFit="1" customWidth="1"/>
    <col min="9730" max="9730" width="11.3984375" style="24" customWidth="1"/>
    <col min="9731" max="9731" width="12.265625" style="24" customWidth="1"/>
    <col min="9732" max="9732" width="13.1328125" style="24" customWidth="1"/>
    <col min="9733" max="9733" width="38.1328125" style="24" customWidth="1"/>
    <col min="9734" max="9734" width="19.265625" style="24" bestFit="1" customWidth="1"/>
    <col min="9735" max="9735" width="11.59765625" style="24" customWidth="1"/>
    <col min="9736" max="9736" width="9.86328125" style="24" customWidth="1"/>
    <col min="9737" max="9737" width="11.3984375" style="24" customWidth="1"/>
    <col min="9738" max="9981" width="9" style="24"/>
    <col min="9982" max="9982" width="12.1328125" style="24" bestFit="1" customWidth="1"/>
    <col min="9983" max="9983" width="12" style="24" customWidth="1"/>
    <col min="9984" max="9984" width="21.265625" style="24" bestFit="1" customWidth="1"/>
    <col min="9985" max="9985" width="9.1328125" style="24" bestFit="1" customWidth="1"/>
    <col min="9986" max="9986" width="11.3984375" style="24" customWidth="1"/>
    <col min="9987" max="9987" width="12.265625" style="24" customWidth="1"/>
    <col min="9988" max="9988" width="13.1328125" style="24" customWidth="1"/>
    <col min="9989" max="9989" width="38.1328125" style="24" customWidth="1"/>
    <col min="9990" max="9990" width="19.265625" style="24" bestFit="1" customWidth="1"/>
    <col min="9991" max="9991" width="11.59765625" style="24" customWidth="1"/>
    <col min="9992" max="9992" width="9.86328125" style="24" customWidth="1"/>
    <col min="9993" max="9993" width="11.3984375" style="24" customWidth="1"/>
    <col min="9994" max="10237" width="9" style="24"/>
    <col min="10238" max="10238" width="12.1328125" style="24" bestFit="1" customWidth="1"/>
    <col min="10239" max="10239" width="12" style="24" customWidth="1"/>
    <col min="10240" max="10240" width="21.265625" style="24" bestFit="1" customWidth="1"/>
    <col min="10241" max="10241" width="9.1328125" style="24" bestFit="1" customWidth="1"/>
    <col min="10242" max="10242" width="11.3984375" style="24" customWidth="1"/>
    <col min="10243" max="10243" width="12.265625" style="24" customWidth="1"/>
    <col min="10244" max="10244" width="13.1328125" style="24" customWidth="1"/>
    <col min="10245" max="10245" width="38.1328125" style="24" customWidth="1"/>
    <col min="10246" max="10246" width="19.265625" style="24" bestFit="1" customWidth="1"/>
    <col min="10247" max="10247" width="11.59765625" style="24" customWidth="1"/>
    <col min="10248" max="10248" width="9.86328125" style="24" customWidth="1"/>
    <col min="10249" max="10249" width="11.3984375" style="24" customWidth="1"/>
    <col min="10250" max="10493" width="9" style="24"/>
    <col min="10494" max="10494" width="12.1328125" style="24" bestFit="1" customWidth="1"/>
    <col min="10495" max="10495" width="12" style="24" customWidth="1"/>
    <col min="10496" max="10496" width="21.265625" style="24" bestFit="1" customWidth="1"/>
    <col min="10497" max="10497" width="9.1328125" style="24" bestFit="1" customWidth="1"/>
    <col min="10498" max="10498" width="11.3984375" style="24" customWidth="1"/>
    <col min="10499" max="10499" width="12.265625" style="24" customWidth="1"/>
    <col min="10500" max="10500" width="13.1328125" style="24" customWidth="1"/>
    <col min="10501" max="10501" width="38.1328125" style="24" customWidth="1"/>
    <col min="10502" max="10502" width="19.265625" style="24" bestFit="1" customWidth="1"/>
    <col min="10503" max="10503" width="11.59765625" style="24" customWidth="1"/>
    <col min="10504" max="10504" width="9.86328125" style="24" customWidth="1"/>
    <col min="10505" max="10505" width="11.3984375" style="24" customWidth="1"/>
    <col min="10506" max="10749" width="9" style="24"/>
    <col min="10750" max="10750" width="12.1328125" style="24" bestFit="1" customWidth="1"/>
    <col min="10751" max="10751" width="12" style="24" customWidth="1"/>
    <col min="10752" max="10752" width="21.265625" style="24" bestFit="1" customWidth="1"/>
    <col min="10753" max="10753" width="9.1328125" style="24" bestFit="1" customWidth="1"/>
    <col min="10754" max="10754" width="11.3984375" style="24" customWidth="1"/>
    <col min="10755" max="10755" width="12.265625" style="24" customWidth="1"/>
    <col min="10756" max="10756" width="13.1328125" style="24" customWidth="1"/>
    <col min="10757" max="10757" width="38.1328125" style="24" customWidth="1"/>
    <col min="10758" max="10758" width="19.265625" style="24" bestFit="1" customWidth="1"/>
    <col min="10759" max="10759" width="11.59765625" style="24" customWidth="1"/>
    <col min="10760" max="10760" width="9.86328125" style="24" customWidth="1"/>
    <col min="10761" max="10761" width="11.3984375" style="24" customWidth="1"/>
    <col min="10762" max="11005" width="9" style="24"/>
    <col min="11006" max="11006" width="12.1328125" style="24" bestFit="1" customWidth="1"/>
    <col min="11007" max="11007" width="12" style="24" customWidth="1"/>
    <col min="11008" max="11008" width="21.265625" style="24" bestFit="1" customWidth="1"/>
    <col min="11009" max="11009" width="9.1328125" style="24" bestFit="1" customWidth="1"/>
    <col min="11010" max="11010" width="11.3984375" style="24" customWidth="1"/>
    <col min="11011" max="11011" width="12.265625" style="24" customWidth="1"/>
    <col min="11012" max="11012" width="13.1328125" style="24" customWidth="1"/>
    <col min="11013" max="11013" width="38.1328125" style="24" customWidth="1"/>
    <col min="11014" max="11014" width="19.265625" style="24" bestFit="1" customWidth="1"/>
    <col min="11015" max="11015" width="11.59765625" style="24" customWidth="1"/>
    <col min="11016" max="11016" width="9.86328125" style="24" customWidth="1"/>
    <col min="11017" max="11017" width="11.3984375" style="24" customWidth="1"/>
    <col min="11018" max="11261" width="9" style="24"/>
    <col min="11262" max="11262" width="12.1328125" style="24" bestFit="1" customWidth="1"/>
    <col min="11263" max="11263" width="12" style="24" customWidth="1"/>
    <col min="11264" max="11264" width="21.265625" style="24" bestFit="1" customWidth="1"/>
    <col min="11265" max="11265" width="9.1328125" style="24" bestFit="1" customWidth="1"/>
    <col min="11266" max="11266" width="11.3984375" style="24" customWidth="1"/>
    <col min="11267" max="11267" width="12.265625" style="24" customWidth="1"/>
    <col min="11268" max="11268" width="13.1328125" style="24" customWidth="1"/>
    <col min="11269" max="11269" width="38.1328125" style="24" customWidth="1"/>
    <col min="11270" max="11270" width="19.265625" style="24" bestFit="1" customWidth="1"/>
    <col min="11271" max="11271" width="11.59765625" style="24" customWidth="1"/>
    <col min="11272" max="11272" width="9.86328125" style="24" customWidth="1"/>
    <col min="11273" max="11273" width="11.3984375" style="24" customWidth="1"/>
    <col min="11274" max="11517" width="9" style="24"/>
    <col min="11518" max="11518" width="12.1328125" style="24" bestFit="1" customWidth="1"/>
    <col min="11519" max="11519" width="12" style="24" customWidth="1"/>
    <col min="11520" max="11520" width="21.265625" style="24" bestFit="1" customWidth="1"/>
    <col min="11521" max="11521" width="9.1328125" style="24" bestFit="1" customWidth="1"/>
    <col min="11522" max="11522" width="11.3984375" style="24" customWidth="1"/>
    <col min="11523" max="11523" width="12.265625" style="24" customWidth="1"/>
    <col min="11524" max="11524" width="13.1328125" style="24" customWidth="1"/>
    <col min="11525" max="11525" width="38.1328125" style="24" customWidth="1"/>
    <col min="11526" max="11526" width="19.265625" style="24" bestFit="1" customWidth="1"/>
    <col min="11527" max="11527" width="11.59765625" style="24" customWidth="1"/>
    <col min="11528" max="11528" width="9.86328125" style="24" customWidth="1"/>
    <col min="11529" max="11529" width="11.3984375" style="24" customWidth="1"/>
    <col min="11530" max="11773" width="9" style="24"/>
    <col min="11774" max="11774" width="12.1328125" style="24" bestFit="1" customWidth="1"/>
    <col min="11775" max="11775" width="12" style="24" customWidth="1"/>
    <col min="11776" max="11776" width="21.265625" style="24" bestFit="1" customWidth="1"/>
    <col min="11777" max="11777" width="9.1328125" style="24" bestFit="1" customWidth="1"/>
    <col min="11778" max="11778" width="11.3984375" style="24" customWidth="1"/>
    <col min="11779" max="11779" width="12.265625" style="24" customWidth="1"/>
    <col min="11780" max="11780" width="13.1328125" style="24" customWidth="1"/>
    <col min="11781" max="11781" width="38.1328125" style="24" customWidth="1"/>
    <col min="11782" max="11782" width="19.265625" style="24" bestFit="1" customWidth="1"/>
    <col min="11783" max="11783" width="11.59765625" style="24" customWidth="1"/>
    <col min="11784" max="11784" width="9.86328125" style="24" customWidth="1"/>
    <col min="11785" max="11785" width="11.3984375" style="24" customWidth="1"/>
    <col min="11786" max="12029" width="9" style="24"/>
    <col min="12030" max="12030" width="12.1328125" style="24" bestFit="1" customWidth="1"/>
    <col min="12031" max="12031" width="12" style="24" customWidth="1"/>
    <col min="12032" max="12032" width="21.265625" style="24" bestFit="1" customWidth="1"/>
    <col min="12033" max="12033" width="9.1328125" style="24" bestFit="1" customWidth="1"/>
    <col min="12034" max="12034" width="11.3984375" style="24" customWidth="1"/>
    <col min="12035" max="12035" width="12.265625" style="24" customWidth="1"/>
    <col min="12036" max="12036" width="13.1328125" style="24" customWidth="1"/>
    <col min="12037" max="12037" width="38.1328125" style="24" customWidth="1"/>
    <col min="12038" max="12038" width="19.265625" style="24" bestFit="1" customWidth="1"/>
    <col min="12039" max="12039" width="11.59765625" style="24" customWidth="1"/>
    <col min="12040" max="12040" width="9.86328125" style="24" customWidth="1"/>
    <col min="12041" max="12041" width="11.3984375" style="24" customWidth="1"/>
    <col min="12042" max="12285" width="9" style="24"/>
    <col min="12286" max="12286" width="12.1328125" style="24" bestFit="1" customWidth="1"/>
    <col min="12287" max="12287" width="12" style="24" customWidth="1"/>
    <col min="12288" max="12288" width="21.265625" style="24" bestFit="1" customWidth="1"/>
    <col min="12289" max="12289" width="9.1328125" style="24" bestFit="1" customWidth="1"/>
    <col min="12290" max="12290" width="11.3984375" style="24" customWidth="1"/>
    <col min="12291" max="12291" width="12.265625" style="24" customWidth="1"/>
    <col min="12292" max="12292" width="13.1328125" style="24" customWidth="1"/>
    <col min="12293" max="12293" width="38.1328125" style="24" customWidth="1"/>
    <col min="12294" max="12294" width="19.265625" style="24" bestFit="1" customWidth="1"/>
    <col min="12295" max="12295" width="11.59765625" style="24" customWidth="1"/>
    <col min="12296" max="12296" width="9.86328125" style="24" customWidth="1"/>
    <col min="12297" max="12297" width="11.3984375" style="24" customWidth="1"/>
    <col min="12298" max="12541" width="9" style="24"/>
    <col min="12542" max="12542" width="12.1328125" style="24" bestFit="1" customWidth="1"/>
    <col min="12543" max="12543" width="12" style="24" customWidth="1"/>
    <col min="12544" max="12544" width="21.265625" style="24" bestFit="1" customWidth="1"/>
    <col min="12545" max="12545" width="9.1328125" style="24" bestFit="1" customWidth="1"/>
    <col min="12546" max="12546" width="11.3984375" style="24" customWidth="1"/>
    <col min="12547" max="12547" width="12.265625" style="24" customWidth="1"/>
    <col min="12548" max="12548" width="13.1328125" style="24" customWidth="1"/>
    <col min="12549" max="12549" width="38.1328125" style="24" customWidth="1"/>
    <col min="12550" max="12550" width="19.265625" style="24" bestFit="1" customWidth="1"/>
    <col min="12551" max="12551" width="11.59765625" style="24" customWidth="1"/>
    <col min="12552" max="12552" width="9.86328125" style="24" customWidth="1"/>
    <col min="12553" max="12553" width="11.3984375" style="24" customWidth="1"/>
    <col min="12554" max="12797" width="9" style="24"/>
    <col min="12798" max="12798" width="12.1328125" style="24" bestFit="1" customWidth="1"/>
    <col min="12799" max="12799" width="12" style="24" customWidth="1"/>
    <col min="12800" max="12800" width="21.265625" style="24" bestFit="1" customWidth="1"/>
    <col min="12801" max="12801" width="9.1328125" style="24" bestFit="1" customWidth="1"/>
    <col min="12802" max="12802" width="11.3984375" style="24" customWidth="1"/>
    <col min="12803" max="12803" width="12.265625" style="24" customWidth="1"/>
    <col min="12804" max="12804" width="13.1328125" style="24" customWidth="1"/>
    <col min="12805" max="12805" width="38.1328125" style="24" customWidth="1"/>
    <col min="12806" max="12806" width="19.265625" style="24" bestFit="1" customWidth="1"/>
    <col min="12807" max="12807" width="11.59765625" style="24" customWidth="1"/>
    <col min="12808" max="12808" width="9.86328125" style="24" customWidth="1"/>
    <col min="12809" max="12809" width="11.3984375" style="24" customWidth="1"/>
    <col min="12810" max="13053" width="9" style="24"/>
    <col min="13054" max="13054" width="12.1328125" style="24" bestFit="1" customWidth="1"/>
    <col min="13055" max="13055" width="12" style="24" customWidth="1"/>
    <col min="13056" max="13056" width="21.265625" style="24" bestFit="1" customWidth="1"/>
    <col min="13057" max="13057" width="9.1328125" style="24" bestFit="1" customWidth="1"/>
    <col min="13058" max="13058" width="11.3984375" style="24" customWidth="1"/>
    <col min="13059" max="13059" width="12.265625" style="24" customWidth="1"/>
    <col min="13060" max="13060" width="13.1328125" style="24" customWidth="1"/>
    <col min="13061" max="13061" width="38.1328125" style="24" customWidth="1"/>
    <col min="13062" max="13062" width="19.265625" style="24" bestFit="1" customWidth="1"/>
    <col min="13063" max="13063" width="11.59765625" style="24" customWidth="1"/>
    <col min="13064" max="13064" width="9.86328125" style="24" customWidth="1"/>
    <col min="13065" max="13065" width="11.3984375" style="24" customWidth="1"/>
    <col min="13066" max="13309" width="9" style="24"/>
    <col min="13310" max="13310" width="12.1328125" style="24" bestFit="1" customWidth="1"/>
    <col min="13311" max="13311" width="12" style="24" customWidth="1"/>
    <col min="13312" max="13312" width="21.265625" style="24" bestFit="1" customWidth="1"/>
    <col min="13313" max="13313" width="9.1328125" style="24" bestFit="1" customWidth="1"/>
    <col min="13314" max="13314" width="11.3984375" style="24" customWidth="1"/>
    <col min="13315" max="13315" width="12.265625" style="24" customWidth="1"/>
    <col min="13316" max="13316" width="13.1328125" style="24" customWidth="1"/>
    <col min="13317" max="13317" width="38.1328125" style="24" customWidth="1"/>
    <col min="13318" max="13318" width="19.265625" style="24" bestFit="1" customWidth="1"/>
    <col min="13319" max="13319" width="11.59765625" style="24" customWidth="1"/>
    <col min="13320" max="13320" width="9.86328125" style="24" customWidth="1"/>
    <col min="13321" max="13321" width="11.3984375" style="24" customWidth="1"/>
    <col min="13322" max="13565" width="9" style="24"/>
    <col min="13566" max="13566" width="12.1328125" style="24" bestFit="1" customWidth="1"/>
    <col min="13567" max="13567" width="12" style="24" customWidth="1"/>
    <col min="13568" max="13568" width="21.265625" style="24" bestFit="1" customWidth="1"/>
    <col min="13569" max="13569" width="9.1328125" style="24" bestFit="1" customWidth="1"/>
    <col min="13570" max="13570" width="11.3984375" style="24" customWidth="1"/>
    <col min="13571" max="13571" width="12.265625" style="24" customWidth="1"/>
    <col min="13572" max="13572" width="13.1328125" style="24" customWidth="1"/>
    <col min="13573" max="13573" width="38.1328125" style="24" customWidth="1"/>
    <col min="13574" max="13574" width="19.265625" style="24" bestFit="1" customWidth="1"/>
    <col min="13575" max="13575" width="11.59765625" style="24" customWidth="1"/>
    <col min="13576" max="13576" width="9.86328125" style="24" customWidth="1"/>
    <col min="13577" max="13577" width="11.3984375" style="24" customWidth="1"/>
    <col min="13578" max="13821" width="9" style="24"/>
    <col min="13822" max="13822" width="12.1328125" style="24" bestFit="1" customWidth="1"/>
    <col min="13823" max="13823" width="12" style="24" customWidth="1"/>
    <col min="13824" max="13824" width="21.265625" style="24" bestFit="1" customWidth="1"/>
    <col min="13825" max="13825" width="9.1328125" style="24" bestFit="1" customWidth="1"/>
    <col min="13826" max="13826" width="11.3984375" style="24" customWidth="1"/>
    <col min="13827" max="13827" width="12.265625" style="24" customWidth="1"/>
    <col min="13828" max="13828" width="13.1328125" style="24" customWidth="1"/>
    <col min="13829" max="13829" width="38.1328125" style="24" customWidth="1"/>
    <col min="13830" max="13830" width="19.265625" style="24" bestFit="1" customWidth="1"/>
    <col min="13831" max="13831" width="11.59765625" style="24" customWidth="1"/>
    <col min="13832" max="13832" width="9.86328125" style="24" customWidth="1"/>
    <col min="13833" max="13833" width="11.3984375" style="24" customWidth="1"/>
    <col min="13834" max="14077" width="9" style="24"/>
    <col min="14078" max="14078" width="12.1328125" style="24" bestFit="1" customWidth="1"/>
    <col min="14079" max="14079" width="12" style="24" customWidth="1"/>
    <col min="14080" max="14080" width="21.265625" style="24" bestFit="1" customWidth="1"/>
    <col min="14081" max="14081" width="9.1328125" style="24" bestFit="1" customWidth="1"/>
    <col min="14082" max="14082" width="11.3984375" style="24" customWidth="1"/>
    <col min="14083" max="14083" width="12.265625" style="24" customWidth="1"/>
    <col min="14084" max="14084" width="13.1328125" style="24" customWidth="1"/>
    <col min="14085" max="14085" width="38.1328125" style="24" customWidth="1"/>
    <col min="14086" max="14086" width="19.265625" style="24" bestFit="1" customWidth="1"/>
    <col min="14087" max="14087" width="11.59765625" style="24" customWidth="1"/>
    <col min="14088" max="14088" width="9.86328125" style="24" customWidth="1"/>
    <col min="14089" max="14089" width="11.3984375" style="24" customWidth="1"/>
    <col min="14090" max="14333" width="9" style="24"/>
    <col min="14334" max="14334" width="12.1328125" style="24" bestFit="1" customWidth="1"/>
    <col min="14335" max="14335" width="12" style="24" customWidth="1"/>
    <col min="14336" max="14336" width="21.265625" style="24" bestFit="1" customWidth="1"/>
    <col min="14337" max="14337" width="9.1328125" style="24" bestFit="1" customWidth="1"/>
    <col min="14338" max="14338" width="11.3984375" style="24" customWidth="1"/>
    <col min="14339" max="14339" width="12.265625" style="24" customWidth="1"/>
    <col min="14340" max="14340" width="13.1328125" style="24" customWidth="1"/>
    <col min="14341" max="14341" width="38.1328125" style="24" customWidth="1"/>
    <col min="14342" max="14342" width="19.265625" style="24" bestFit="1" customWidth="1"/>
    <col min="14343" max="14343" width="11.59765625" style="24" customWidth="1"/>
    <col min="14344" max="14344" width="9.86328125" style="24" customWidth="1"/>
    <col min="14345" max="14345" width="11.3984375" style="24" customWidth="1"/>
    <col min="14346" max="14589" width="9" style="24"/>
    <col min="14590" max="14590" width="12.1328125" style="24" bestFit="1" customWidth="1"/>
    <col min="14591" max="14591" width="12" style="24" customWidth="1"/>
    <col min="14592" max="14592" width="21.265625" style="24" bestFit="1" customWidth="1"/>
    <col min="14593" max="14593" width="9.1328125" style="24" bestFit="1" customWidth="1"/>
    <col min="14594" max="14594" width="11.3984375" style="24" customWidth="1"/>
    <col min="14595" max="14595" width="12.265625" style="24" customWidth="1"/>
    <col min="14596" max="14596" width="13.1328125" style="24" customWidth="1"/>
    <col min="14597" max="14597" width="38.1328125" style="24" customWidth="1"/>
    <col min="14598" max="14598" width="19.265625" style="24" bestFit="1" customWidth="1"/>
    <col min="14599" max="14599" width="11.59765625" style="24" customWidth="1"/>
    <col min="14600" max="14600" width="9.86328125" style="24" customWidth="1"/>
    <col min="14601" max="14601" width="11.3984375" style="24" customWidth="1"/>
    <col min="14602" max="14845" width="9" style="24"/>
    <col min="14846" max="14846" width="12.1328125" style="24" bestFit="1" customWidth="1"/>
    <col min="14847" max="14847" width="12" style="24" customWidth="1"/>
    <col min="14848" max="14848" width="21.265625" style="24" bestFit="1" customWidth="1"/>
    <col min="14849" max="14849" width="9.1328125" style="24" bestFit="1" customWidth="1"/>
    <col min="14850" max="14850" width="11.3984375" style="24" customWidth="1"/>
    <col min="14851" max="14851" width="12.265625" style="24" customWidth="1"/>
    <col min="14852" max="14852" width="13.1328125" style="24" customWidth="1"/>
    <col min="14853" max="14853" width="38.1328125" style="24" customWidth="1"/>
    <col min="14854" max="14854" width="19.265625" style="24" bestFit="1" customWidth="1"/>
    <col min="14855" max="14855" width="11.59765625" style="24" customWidth="1"/>
    <col min="14856" max="14856" width="9.86328125" style="24" customWidth="1"/>
    <col min="14857" max="14857" width="11.3984375" style="24" customWidth="1"/>
    <col min="14858" max="15101" width="9" style="24"/>
    <col min="15102" max="15102" width="12.1328125" style="24" bestFit="1" customWidth="1"/>
    <col min="15103" max="15103" width="12" style="24" customWidth="1"/>
    <col min="15104" max="15104" width="21.265625" style="24" bestFit="1" customWidth="1"/>
    <col min="15105" max="15105" width="9.1328125" style="24" bestFit="1" customWidth="1"/>
    <col min="15106" max="15106" width="11.3984375" style="24" customWidth="1"/>
    <col min="15107" max="15107" width="12.265625" style="24" customWidth="1"/>
    <col min="15108" max="15108" width="13.1328125" style="24" customWidth="1"/>
    <col min="15109" max="15109" width="38.1328125" style="24" customWidth="1"/>
    <col min="15110" max="15110" width="19.265625" style="24" bestFit="1" customWidth="1"/>
    <col min="15111" max="15111" width="11.59765625" style="24" customWidth="1"/>
    <col min="15112" max="15112" width="9.86328125" style="24" customWidth="1"/>
    <col min="15113" max="15113" width="11.3984375" style="24" customWidth="1"/>
    <col min="15114" max="15357" width="9" style="24"/>
    <col min="15358" max="15358" width="12.1328125" style="24" bestFit="1" customWidth="1"/>
    <col min="15359" max="15359" width="12" style="24" customWidth="1"/>
    <col min="15360" max="15360" width="21.265625" style="24" bestFit="1" customWidth="1"/>
    <col min="15361" max="15361" width="9.1328125" style="24" bestFit="1" customWidth="1"/>
    <col min="15362" max="15362" width="11.3984375" style="24" customWidth="1"/>
    <col min="15363" max="15363" width="12.265625" style="24" customWidth="1"/>
    <col min="15364" max="15364" width="13.1328125" style="24" customWidth="1"/>
    <col min="15365" max="15365" width="38.1328125" style="24" customWidth="1"/>
    <col min="15366" max="15366" width="19.265625" style="24" bestFit="1" customWidth="1"/>
    <col min="15367" max="15367" width="11.59765625" style="24" customWidth="1"/>
    <col min="15368" max="15368" width="9.86328125" style="24" customWidth="1"/>
    <col min="15369" max="15369" width="11.3984375" style="24" customWidth="1"/>
    <col min="15370" max="15613" width="9" style="24"/>
    <col min="15614" max="15614" width="12.1328125" style="24" bestFit="1" customWidth="1"/>
    <col min="15615" max="15615" width="12" style="24" customWidth="1"/>
    <col min="15616" max="15616" width="21.265625" style="24" bestFit="1" customWidth="1"/>
    <col min="15617" max="15617" width="9.1328125" style="24" bestFit="1" customWidth="1"/>
    <col min="15618" max="15618" width="11.3984375" style="24" customWidth="1"/>
    <col min="15619" max="15619" width="12.265625" style="24" customWidth="1"/>
    <col min="15620" max="15620" width="13.1328125" style="24" customWidth="1"/>
    <col min="15621" max="15621" width="38.1328125" style="24" customWidth="1"/>
    <col min="15622" max="15622" width="19.265625" style="24" bestFit="1" customWidth="1"/>
    <col min="15623" max="15623" width="11.59765625" style="24" customWidth="1"/>
    <col min="15624" max="15624" width="9.86328125" style="24" customWidth="1"/>
    <col min="15625" max="15625" width="11.3984375" style="24" customWidth="1"/>
    <col min="15626" max="15869" width="9" style="24"/>
    <col min="15870" max="15870" width="12.1328125" style="24" bestFit="1" customWidth="1"/>
    <col min="15871" max="15871" width="12" style="24" customWidth="1"/>
    <col min="15872" max="15872" width="21.265625" style="24" bestFit="1" customWidth="1"/>
    <col min="15873" max="15873" width="9.1328125" style="24" bestFit="1" customWidth="1"/>
    <col min="15874" max="15874" width="11.3984375" style="24" customWidth="1"/>
    <col min="15875" max="15875" width="12.265625" style="24" customWidth="1"/>
    <col min="15876" max="15876" width="13.1328125" style="24" customWidth="1"/>
    <col min="15877" max="15877" width="38.1328125" style="24" customWidth="1"/>
    <col min="15878" max="15878" width="19.265625" style="24" bestFit="1" customWidth="1"/>
    <col min="15879" max="15879" width="11.59765625" style="24" customWidth="1"/>
    <col min="15880" max="15880" width="9.86328125" style="24" customWidth="1"/>
    <col min="15881" max="15881" width="11.3984375" style="24" customWidth="1"/>
    <col min="15882" max="16125" width="9" style="24"/>
    <col min="16126" max="16126" width="12.1328125" style="24" bestFit="1" customWidth="1"/>
    <col min="16127" max="16127" width="12" style="24" customWidth="1"/>
    <col min="16128" max="16128" width="21.265625" style="24" bestFit="1" customWidth="1"/>
    <col min="16129" max="16129" width="9.1328125" style="24" bestFit="1" customWidth="1"/>
    <col min="16130" max="16130" width="11.3984375" style="24" customWidth="1"/>
    <col min="16131" max="16131" width="12.265625" style="24" customWidth="1"/>
    <col min="16132" max="16132" width="13.1328125" style="24" customWidth="1"/>
    <col min="16133" max="16133" width="38.1328125" style="24" customWidth="1"/>
    <col min="16134" max="16134" width="19.265625" style="24" bestFit="1" customWidth="1"/>
    <col min="16135" max="16135" width="11.59765625" style="24" customWidth="1"/>
    <col min="16136" max="16136" width="9.86328125" style="24" customWidth="1"/>
    <col min="16137" max="16137" width="11.3984375" style="24" customWidth="1"/>
    <col min="16138" max="16384" width="9" style="24"/>
  </cols>
  <sheetData>
    <row r="1" spans="1:11" ht="18" x14ac:dyDescent="0.3">
      <c r="A1" s="93" t="s">
        <v>95</v>
      </c>
      <c r="B1" s="93" t="s">
        <v>54</v>
      </c>
      <c r="C1" s="100" t="s">
        <v>80</v>
      </c>
      <c r="D1" s="100" t="s">
        <v>1</v>
      </c>
      <c r="E1" s="100" t="s">
        <v>2</v>
      </c>
      <c r="F1" s="101" t="s">
        <v>115</v>
      </c>
      <c r="G1" s="102" t="s">
        <v>3</v>
      </c>
      <c r="H1" s="118" t="s">
        <v>164</v>
      </c>
      <c r="I1" s="118" t="s">
        <v>165</v>
      </c>
      <c r="J1" s="94" t="s">
        <v>41</v>
      </c>
      <c r="K1" s="94" t="s">
        <v>82</v>
      </c>
    </row>
    <row r="2" spans="1:11" ht="15.75" customHeight="1" x14ac:dyDescent="0.3">
      <c r="A2" s="148" t="s">
        <v>173</v>
      </c>
      <c r="B2" s="150" t="s">
        <v>170</v>
      </c>
      <c r="C2" s="109" t="str">
        <f>'Assay protocol'!C20</f>
        <v>HW350003A</v>
      </c>
      <c r="D2" s="111">
        <f ca="1">OFFSET(INDEX('Raw data analysis'!B:B,MATCH(C2,'Raw data analysis'!B:B,0)),2,5)</f>
        <v>-16.469493990506667</v>
      </c>
      <c r="E2" s="111">
        <f ca="1">OFFSET(INDEX('Raw data analysis'!B:B,MATCH(C2,'Raw data analysis'!B:B,0)),2,6)</f>
        <v>94.458193548683056</v>
      </c>
      <c r="F2" s="117">
        <f ca="1">OFFSET(INDEX('Raw data analysis'!B:B,MATCH(C2,'Raw data analysis'!B:B,0)),2,7)</f>
        <v>86.812580480323035</v>
      </c>
      <c r="G2" s="110">
        <f ca="1">OFFSET(INDEX('Raw data analysis'!B:B,MATCH(C2,'Raw data analysis'!B:B,0)),2,8)</f>
        <v>0.90388219301951467</v>
      </c>
      <c r="H2" s="110" t="s">
        <v>0</v>
      </c>
      <c r="I2" s="110" t="s">
        <v>166</v>
      </c>
      <c r="J2" s="152" t="s">
        <v>118</v>
      </c>
      <c r="K2" s="154" t="s">
        <v>167</v>
      </c>
    </row>
    <row r="3" spans="1:11" ht="15.75" customHeight="1" x14ac:dyDescent="0.3">
      <c r="A3" s="149"/>
      <c r="B3" s="151"/>
      <c r="C3" s="109" t="str">
        <f>'Assay protocol'!C21</f>
        <v>HW356057</v>
      </c>
      <c r="D3" s="111">
        <f ca="1">OFFSET(INDEX('Raw data analysis'!B:B,MATCH(C3,'Raw data analysis'!B:B,0)),2,5)</f>
        <v>-13.73644908206894</v>
      </c>
      <c r="E3" s="111">
        <f ca="1">OFFSET(INDEX('Raw data analysis'!B:B,MATCH(C3,'Raw data analysis'!B:B,0)),2,6)</f>
        <v>100</v>
      </c>
      <c r="F3" s="112">
        <f ca="1">OFFSET(INDEX('Raw data analysis'!B:B,MATCH(C3,'Raw data analysis'!B:B,0)),2,7)</f>
        <v>839.72102930693825</v>
      </c>
      <c r="G3" s="110">
        <f ca="1">OFFSET(INDEX('Raw data analysis'!B:B,MATCH(C3,'Raw data analysis'!B:B,0)),2,8)</f>
        <v>0.67836634124620154</v>
      </c>
      <c r="H3" s="110" t="s">
        <v>255</v>
      </c>
      <c r="I3" s="110" t="s">
        <v>88</v>
      </c>
      <c r="J3" s="153"/>
      <c r="K3" s="155"/>
    </row>
    <row r="4" spans="1:11" ht="15.75" customHeight="1" x14ac:dyDescent="0.3">
      <c r="A4" s="149"/>
      <c r="B4" s="151"/>
      <c r="C4" s="109" t="str">
        <f>'Assay protocol'!C22</f>
        <v>HW356054</v>
      </c>
      <c r="D4" s="110">
        <f ca="1">OFFSET(INDEX('Raw data analysis'!B:B,MATCH(C4,'Raw data analysis'!B:B,0)),2,5)</f>
        <v>-4.4397820900488014</v>
      </c>
      <c r="E4" s="111">
        <f ca="1">OFFSET(INDEX('Raw data analysis'!B:B,MATCH(C4,'Raw data analysis'!B:B,0)),2,6)</f>
        <v>80.650389475772414</v>
      </c>
      <c r="F4" s="112">
        <f ca="1">OFFSET(INDEX('Raw data analysis'!B:B,MATCH(C4,'Raw data analysis'!B:B,0)),2,7)</f>
        <v>152.51781628024955</v>
      </c>
      <c r="G4" s="110">
        <f ca="1">OFFSET(INDEX('Raw data analysis'!B:B,MATCH(C4,'Raw data analysis'!B:B,0)),2,8)</f>
        <v>1.2038359793385278</v>
      </c>
      <c r="H4" s="110" t="s">
        <v>94</v>
      </c>
      <c r="I4" s="110" t="s">
        <v>88</v>
      </c>
      <c r="J4" s="153"/>
      <c r="K4" s="155"/>
    </row>
    <row r="5" spans="1:11" ht="15.75" customHeight="1" x14ac:dyDescent="0.3">
      <c r="A5" s="149"/>
      <c r="B5" s="151"/>
      <c r="C5" s="109" t="str">
        <f>'Assay protocol'!C23</f>
        <v>HW356060</v>
      </c>
      <c r="D5" s="110">
        <f ca="1">OFFSET(INDEX('Raw data analysis'!B:B,MATCH(C5,'Raw data analysis'!B:B,0)),2,5)</f>
        <v>0.61319840649213198</v>
      </c>
      <c r="E5" s="111">
        <f ca="1">OFFSET(INDEX('Raw data analysis'!B:B,MATCH(C5,'Raw data analysis'!B:B,0)),2,6)</f>
        <v>89.93675270125226</v>
      </c>
      <c r="F5" s="112">
        <f ca="1">OFFSET(INDEX('Raw data analysis'!B:B,MATCH(C5,'Raw data analysis'!B:B,0)),2,7)</f>
        <v>206.42240810355179</v>
      </c>
      <c r="G5" s="110">
        <f ca="1">OFFSET(INDEX('Raw data analysis'!B:B,MATCH(C5,'Raw data analysis'!B:B,0)),2,8)</f>
        <v>0.91668585727571739</v>
      </c>
      <c r="H5" s="110" t="s">
        <v>94</v>
      </c>
      <c r="I5" s="110" t="s">
        <v>88</v>
      </c>
      <c r="J5" s="153"/>
      <c r="K5" s="155"/>
    </row>
    <row r="6" spans="1:11" x14ac:dyDescent="0.3">
      <c r="A6" s="148"/>
      <c r="B6" s="150"/>
      <c r="C6" s="109" t="str">
        <f>'Assay protocol'!C24</f>
        <v>HW356064</v>
      </c>
      <c r="D6" s="110">
        <f ca="1">OFFSET(INDEX('Raw data analysis'!B:B,MATCH(C6,'Raw data analysis'!B:B,0)),2,5)</f>
        <v>-1.2983557732602984</v>
      </c>
      <c r="E6" s="111">
        <f ca="1">OFFSET(INDEX('Raw data analysis'!B:B,MATCH(C6,'Raw data analysis'!B:B,0)),2,6)</f>
        <v>92.678456942965269</v>
      </c>
      <c r="F6" s="112">
        <f ca="1">OFFSET(INDEX('Raw data analysis'!B:B,MATCH(C6,'Raw data analysis'!B:B,0)),2,7)</f>
        <v>173.08896801751365</v>
      </c>
      <c r="G6" s="110">
        <f ca="1">OFFSET(INDEX('Raw data analysis'!B:B,MATCH(C6,'Raw data analysis'!B:B,0)),2,8)</f>
        <v>1.2176413105906116</v>
      </c>
      <c r="H6" s="110" t="s">
        <v>94</v>
      </c>
      <c r="I6" s="110" t="s">
        <v>88</v>
      </c>
      <c r="J6" s="152"/>
      <c r="K6" s="154"/>
    </row>
    <row r="7" spans="1:11" x14ac:dyDescent="0.3">
      <c r="A7" s="148"/>
      <c r="B7" s="150"/>
      <c r="C7" s="109" t="str">
        <f>'Assay protocol'!C25</f>
        <v>HW356071</v>
      </c>
      <c r="D7" s="111">
        <f ca="1">OFFSET(INDEX('Raw data analysis'!B:B,MATCH(C7,'Raw data analysis'!B:B,0)),2,5)</f>
        <v>-10.260005639274988</v>
      </c>
      <c r="E7" s="111">
        <f ca="1">OFFSET(INDEX('Raw data analysis'!B:B,MATCH(C7,'Raw data analysis'!B:B,0)),2,6)</f>
        <v>86.622289786278884</v>
      </c>
      <c r="F7" s="112">
        <f ca="1">OFFSET(INDEX('Raw data analysis'!B:B,MATCH(C7,'Raw data analysis'!B:B,0)),2,7)</f>
        <v>226.57612764228836</v>
      </c>
      <c r="G7" s="110">
        <f ca="1">OFFSET(INDEX('Raw data analysis'!B:B,MATCH(C7,'Raw data analysis'!B:B,0)),2,8)</f>
        <v>1.0668094770675955</v>
      </c>
      <c r="H7" s="110" t="s">
        <v>94</v>
      </c>
      <c r="I7" s="110" t="s">
        <v>88</v>
      </c>
      <c r="J7" s="152"/>
      <c r="K7" s="154"/>
    </row>
    <row r="8" spans="1:11" x14ac:dyDescent="0.3">
      <c r="A8" s="148"/>
      <c r="B8" s="150"/>
      <c r="C8" s="109" t="str">
        <f>'Assay protocol'!C26</f>
        <v>HW356009-P1</v>
      </c>
      <c r="D8" s="110">
        <f ca="1">OFFSET(INDEX('Raw data analysis'!B:B,MATCH(C8,'Raw data analysis'!B:B,0)),2,5)</f>
        <v>-9.6189939709193517</v>
      </c>
      <c r="E8" s="111">
        <f ca="1">OFFSET(INDEX('Raw data analysis'!B:B,MATCH(C8,'Raw data analysis'!B:B,0)),2,6)</f>
        <v>84.975463613156379</v>
      </c>
      <c r="F8" s="112">
        <f ca="1">OFFSET(INDEX('Raw data analysis'!B:B,MATCH(C8,'Raw data analysis'!B:B,0)),2,7)</f>
        <v>217.20957251058218</v>
      </c>
      <c r="G8" s="110">
        <f ca="1">OFFSET(INDEX('Raw data analysis'!B:B,MATCH(C8,'Raw data analysis'!B:B,0)),2,8)</f>
        <v>1.2687379932327536</v>
      </c>
      <c r="H8" s="110" t="s">
        <v>94</v>
      </c>
      <c r="I8" s="110" t="s">
        <v>88</v>
      </c>
      <c r="J8" s="152"/>
      <c r="K8" s="154"/>
    </row>
    <row r="9" spans="1:11" x14ac:dyDescent="0.3">
      <c r="A9" s="149"/>
      <c r="B9" s="151"/>
      <c r="C9" s="109" t="str">
        <f>'Assay protocol'!C27</f>
        <v>HW356016</v>
      </c>
      <c r="D9" s="111">
        <f ca="1">OFFSET(INDEX('Raw data analysis'!B:B,MATCH(C9,'Raw data analysis'!B:B,0)),2,5)</f>
        <v>-14.107587902338574</v>
      </c>
      <c r="E9" s="111">
        <f ca="1">OFFSET(INDEX('Raw data analysis'!B:B,MATCH(C9,'Raw data analysis'!B:B,0)),2,6)</f>
        <v>84.263213410120997</v>
      </c>
      <c r="F9" s="112">
        <f ca="1">OFFSET(INDEX('Raw data analysis'!B:B,MATCH(C9,'Raw data analysis'!B:B,0)),2,7)</f>
        <v>661.06208535601695</v>
      </c>
      <c r="G9" s="110">
        <f ca="1">OFFSET(INDEX('Raw data analysis'!B:B,MATCH(C9,'Raw data analysis'!B:B,0)),2,8)</f>
        <v>0.9321433228221857</v>
      </c>
      <c r="H9" s="110" t="s">
        <v>94</v>
      </c>
      <c r="I9" s="110" t="s">
        <v>88</v>
      </c>
      <c r="J9" s="153"/>
      <c r="K9" s="155"/>
    </row>
    <row r="10" spans="1:11" x14ac:dyDescent="0.3">
      <c r="A10" s="149"/>
      <c r="B10" s="151"/>
      <c r="C10" s="109" t="str">
        <f>'Assay protocol'!C28</f>
        <v>HW356070</v>
      </c>
      <c r="D10" s="111">
        <f ca="1">OFFSET(INDEX('Raw data analysis'!O:O,MATCH(C10,'Raw data analysis'!O:O,0)),2,5)</f>
        <v>-14.841502190886009</v>
      </c>
      <c r="E10" s="113">
        <f ca="1">OFFSET(INDEX('Raw data analysis'!O:O,MATCH(C10,'Raw data analysis'!O:O,0)),2,6)</f>
        <v>86.19015319504885</v>
      </c>
      <c r="F10" s="112">
        <f ca="1">OFFSET(INDEX('Raw data analysis'!O:O,MATCH(C10,'Raw data analysis'!O:O,0)),2,7)</f>
        <v>263.92537630012231</v>
      </c>
      <c r="G10" s="110">
        <f ca="1">OFFSET(INDEX('Raw data analysis'!O:O,MATCH(C10,'Raw data analysis'!O:O,0)),2,8)</f>
        <v>0.96987181111249909</v>
      </c>
      <c r="H10" s="110" t="s">
        <v>94</v>
      </c>
      <c r="I10" s="110" t="s">
        <v>88</v>
      </c>
      <c r="J10" s="153"/>
      <c r="K10" s="155"/>
    </row>
    <row r="11" spans="1:11" s="23" customFormat="1" x14ac:dyDescent="0.3"/>
    <row r="12" spans="1:11" s="23" customFormat="1" x14ac:dyDescent="0.3"/>
    <row r="13" spans="1:11" s="23" customFormat="1" x14ac:dyDescent="0.3"/>
    <row r="14" spans="1:11" s="23" customFormat="1" x14ac:dyDescent="0.3"/>
    <row r="15" spans="1:11" s="23" customFormat="1" x14ac:dyDescent="0.3"/>
    <row r="16" spans="1:11" s="23" customFormat="1" x14ac:dyDescent="0.3"/>
    <row r="17" spans="1:11" s="23" customFormat="1" x14ac:dyDescent="0.3"/>
    <row r="18" spans="1:11" s="23" customFormat="1" x14ac:dyDescent="0.3"/>
    <row r="19" spans="1:11" s="23" customFormat="1" x14ac:dyDescent="0.3"/>
    <row r="20" spans="1:11" s="23" customFormat="1" x14ac:dyDescent="0.3"/>
    <row r="21" spans="1:11" s="23" customFormat="1" x14ac:dyDescent="0.3"/>
    <row r="22" spans="1:11" s="23" customFormat="1" x14ac:dyDescent="0.3"/>
    <row r="23" spans="1:11" s="23" customFormat="1" x14ac:dyDescent="0.3"/>
    <row r="24" spans="1:11" s="23" customFormat="1" x14ac:dyDescent="0.3"/>
    <row r="25" spans="1:11" s="23" customFormat="1" x14ac:dyDescent="0.3"/>
    <row r="26" spans="1:1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spans="1:1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  <row r="515" spans="1:1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</row>
    <row r="516" spans="1:1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</row>
    <row r="517" spans="1:1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</row>
  </sheetData>
  <mergeCells count="4">
    <mergeCell ref="A2:A10"/>
    <mergeCell ref="B2:B10"/>
    <mergeCell ref="J2:J10"/>
    <mergeCell ref="K2:K10"/>
  </mergeCells>
  <phoneticPr fontId="3" type="noConversion"/>
  <pageMargins left="0.7" right="0.7" top="0.75" bottom="0.75" header="0.3" footer="0.3"/>
  <pageSetup paperSize="9" scale="96" orientation="landscape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183"/>
  <sheetViews>
    <sheetView workbookViewId="0"/>
  </sheetViews>
  <sheetFormatPr defaultColWidth="9" defaultRowHeight="15.4" x14ac:dyDescent="0.3"/>
  <cols>
    <col min="1" max="1" width="9.59765625" style="5" customWidth="1"/>
    <col min="2" max="3" width="28.46484375" style="5" customWidth="1"/>
    <col min="4" max="4" width="23.86328125" style="5" customWidth="1"/>
    <col min="5" max="5" width="19.3984375" style="5" customWidth="1"/>
    <col min="6" max="6" width="15.59765625" style="5" customWidth="1"/>
    <col min="7" max="7" width="22.73046875" style="5" customWidth="1"/>
    <col min="8" max="8" width="10.1328125" style="10" customWidth="1"/>
    <col min="9" max="9" width="14" style="47" bestFit="1" customWidth="1"/>
    <col min="10" max="26" width="9" style="4"/>
    <col min="27" max="16384" width="9" style="5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J1" s="2"/>
      <c r="K1" s="3"/>
    </row>
    <row r="2" spans="1:11" x14ac:dyDescent="0.3">
      <c r="A2" s="6" t="s">
        <v>83</v>
      </c>
      <c r="B2" s="44" t="s">
        <v>45</v>
      </c>
      <c r="C2" s="1"/>
      <c r="D2" s="1"/>
      <c r="E2" s="1"/>
      <c r="F2" s="1"/>
      <c r="G2" s="1"/>
      <c r="H2" s="1"/>
      <c r="J2" s="2"/>
      <c r="K2" s="3"/>
    </row>
    <row r="3" spans="1:11" ht="14.25" customHeight="1" x14ac:dyDescent="0.3">
      <c r="A3" s="1"/>
      <c r="B3" s="1"/>
      <c r="C3" s="1"/>
      <c r="D3" s="1"/>
      <c r="E3" s="1"/>
      <c r="F3" s="1"/>
      <c r="G3" s="1"/>
      <c r="H3" s="1"/>
      <c r="J3" s="2"/>
      <c r="K3" s="3"/>
    </row>
    <row r="4" spans="1:11" x14ac:dyDescent="0.4">
      <c r="A4" s="6"/>
      <c r="B4" s="92" t="s">
        <v>98</v>
      </c>
      <c r="C4" s="92" t="s">
        <v>99</v>
      </c>
      <c r="D4" s="92" t="s">
        <v>100</v>
      </c>
      <c r="E4" s="96"/>
      <c r="F4" s="6"/>
      <c r="G4" s="6"/>
      <c r="H4" s="6"/>
      <c r="J4" s="2"/>
      <c r="K4" s="3"/>
    </row>
    <row r="5" spans="1:11" x14ac:dyDescent="0.4">
      <c r="A5" s="6"/>
      <c r="B5" s="7" t="s">
        <v>119</v>
      </c>
      <c r="C5" s="7" t="s">
        <v>122</v>
      </c>
      <c r="D5" s="8" t="s">
        <v>155</v>
      </c>
      <c r="E5" s="96"/>
      <c r="F5" s="6"/>
      <c r="G5" s="6"/>
      <c r="H5" s="6"/>
      <c r="J5" s="2"/>
      <c r="K5" s="3"/>
    </row>
    <row r="6" spans="1:11" x14ac:dyDescent="0.4">
      <c r="A6" s="1"/>
      <c r="B6" s="7" t="s">
        <v>120</v>
      </c>
      <c r="C6" s="7" t="s">
        <v>122</v>
      </c>
      <c r="D6" s="8" t="s">
        <v>156</v>
      </c>
      <c r="E6" s="96"/>
      <c r="F6" s="1"/>
      <c r="G6" s="1"/>
      <c r="H6" s="1"/>
      <c r="J6" s="2"/>
      <c r="K6" s="3"/>
    </row>
    <row r="7" spans="1:11" x14ac:dyDescent="0.4">
      <c r="A7" s="1"/>
      <c r="B7" s="7" t="s">
        <v>121</v>
      </c>
      <c r="C7" s="7" t="s">
        <v>122</v>
      </c>
      <c r="D7" s="8" t="s">
        <v>123</v>
      </c>
      <c r="E7" s="96"/>
      <c r="F7" s="7"/>
      <c r="G7" s="7"/>
      <c r="H7" s="7"/>
      <c r="J7" s="2"/>
      <c r="K7" s="3"/>
    </row>
    <row r="8" spans="1:11" x14ac:dyDescent="0.4">
      <c r="A8" s="1"/>
      <c r="B8" s="7" t="s">
        <v>124</v>
      </c>
      <c r="C8" s="7" t="s">
        <v>125</v>
      </c>
      <c r="D8" s="8" t="s">
        <v>126</v>
      </c>
      <c r="E8" s="96"/>
      <c r="F8" s="1"/>
      <c r="G8" s="1"/>
      <c r="H8" s="1"/>
      <c r="J8" s="2"/>
      <c r="K8" s="3"/>
    </row>
    <row r="9" spans="1:11" x14ac:dyDescent="0.4">
      <c r="A9" s="6"/>
      <c r="B9" s="92" t="s">
        <v>101</v>
      </c>
      <c r="C9" s="92" t="s">
        <v>99</v>
      </c>
      <c r="D9" s="92" t="s">
        <v>100</v>
      </c>
      <c r="E9" s="96"/>
      <c r="F9" s="6"/>
      <c r="G9" s="6"/>
      <c r="H9" s="6"/>
      <c r="J9" s="2"/>
      <c r="K9" s="3"/>
    </row>
    <row r="10" spans="1:11" x14ac:dyDescent="0.4">
      <c r="A10" s="1"/>
      <c r="B10" s="7" t="s">
        <v>4</v>
      </c>
      <c r="C10" s="7" t="s">
        <v>5</v>
      </c>
      <c r="D10" s="7">
        <v>249944</v>
      </c>
      <c r="E10" s="96"/>
      <c r="F10" s="1"/>
      <c r="G10" s="1"/>
      <c r="H10" s="1"/>
      <c r="J10" s="2"/>
      <c r="K10" s="3"/>
    </row>
    <row r="11" spans="1:11" x14ac:dyDescent="0.4">
      <c r="A11" s="1"/>
      <c r="B11" s="7" t="s">
        <v>96</v>
      </c>
      <c r="C11" s="7" t="s">
        <v>127</v>
      </c>
      <c r="D11" s="7">
        <v>4514</v>
      </c>
      <c r="E11" s="96"/>
      <c r="F11" s="1"/>
      <c r="G11" s="1"/>
      <c r="H11" s="1"/>
      <c r="J11" s="2"/>
      <c r="K11" s="45"/>
    </row>
    <row r="12" spans="1:11" x14ac:dyDescent="0.4">
      <c r="A12" s="6"/>
      <c r="B12" s="92" t="s">
        <v>102</v>
      </c>
      <c r="C12" s="92" t="s">
        <v>99</v>
      </c>
      <c r="D12" s="92" t="s">
        <v>100</v>
      </c>
      <c r="E12" s="96"/>
      <c r="F12" s="1"/>
      <c r="G12" s="1"/>
      <c r="H12" s="1"/>
      <c r="J12" s="2"/>
      <c r="K12" s="45"/>
    </row>
    <row r="13" spans="1:11" x14ac:dyDescent="0.4">
      <c r="A13" s="6"/>
      <c r="B13" s="7" t="s">
        <v>128</v>
      </c>
      <c r="C13" s="7" t="s">
        <v>55</v>
      </c>
      <c r="D13" s="7">
        <v>655</v>
      </c>
      <c r="E13" s="96"/>
      <c r="F13" s="1"/>
      <c r="G13" s="1"/>
      <c r="H13" s="1"/>
      <c r="J13" s="2"/>
      <c r="K13" s="45"/>
    </row>
    <row r="14" spans="1:11" x14ac:dyDescent="0.4">
      <c r="A14" s="1"/>
      <c r="B14" s="7" t="s">
        <v>77</v>
      </c>
      <c r="C14" s="7" t="s">
        <v>129</v>
      </c>
      <c r="D14" s="7" t="s">
        <v>56</v>
      </c>
      <c r="E14" s="96"/>
      <c r="F14" s="1"/>
      <c r="G14" s="1"/>
      <c r="H14" s="1"/>
      <c r="J14" s="2"/>
      <c r="K14" s="45"/>
    </row>
    <row r="15" spans="1:11" x14ac:dyDescent="0.4">
      <c r="A15" s="1"/>
      <c r="B15" s="9" t="s">
        <v>78</v>
      </c>
      <c r="C15" s="9" t="s">
        <v>57</v>
      </c>
      <c r="D15" s="9" t="s">
        <v>103</v>
      </c>
      <c r="E15" s="96"/>
      <c r="F15" s="1"/>
      <c r="G15" s="1"/>
      <c r="H15" s="1"/>
      <c r="J15" s="2"/>
      <c r="K15" s="45"/>
    </row>
    <row r="16" spans="1:11" x14ac:dyDescent="0.4">
      <c r="A16" s="6"/>
      <c r="B16" s="7"/>
      <c r="C16" s="7"/>
      <c r="D16" s="7"/>
      <c r="E16" s="96"/>
      <c r="F16" s="1"/>
      <c r="G16" s="1"/>
      <c r="H16" s="1"/>
      <c r="J16" s="2"/>
      <c r="K16" s="45"/>
    </row>
    <row r="17" spans="1:34" ht="14.25" customHeight="1" x14ac:dyDescent="0.4">
      <c r="A17" s="6" t="s">
        <v>89</v>
      </c>
      <c r="B17" s="156" t="s">
        <v>48</v>
      </c>
      <c r="C17" s="156"/>
      <c r="D17" s="11"/>
      <c r="E17" s="96"/>
      <c r="F17" s="1"/>
      <c r="G17" s="10"/>
      <c r="AA17" s="10"/>
      <c r="AB17" s="10"/>
      <c r="AC17" s="10"/>
      <c r="AD17" s="10"/>
      <c r="AE17" s="10"/>
      <c r="AF17" s="10"/>
      <c r="AG17" s="10"/>
      <c r="AH17" s="10"/>
    </row>
    <row r="18" spans="1:34" ht="18" customHeight="1" x14ac:dyDescent="0.3">
      <c r="A18" s="1"/>
      <c r="B18" s="12"/>
      <c r="C18" s="11"/>
      <c r="D18" s="11"/>
      <c r="E18" s="11"/>
      <c r="F18" s="11"/>
      <c r="G18" s="1"/>
      <c r="H18" s="1"/>
      <c r="AA18" s="10"/>
      <c r="AB18" s="10"/>
      <c r="AC18" s="10"/>
      <c r="AD18" s="10"/>
      <c r="AE18" s="10"/>
      <c r="AF18" s="10"/>
      <c r="AG18" s="10"/>
      <c r="AH18" s="10"/>
    </row>
    <row r="19" spans="1:34" x14ac:dyDescent="0.3">
      <c r="A19" s="6"/>
      <c r="B19" s="92" t="s">
        <v>104</v>
      </c>
      <c r="C19" s="92" t="s">
        <v>105</v>
      </c>
      <c r="D19" s="92" t="s">
        <v>106</v>
      </c>
      <c r="E19" s="92" t="s">
        <v>107</v>
      </c>
      <c r="F19" s="92" t="s">
        <v>108</v>
      </c>
      <c r="G19" s="1"/>
      <c r="H19" s="1"/>
      <c r="AA19" s="10"/>
      <c r="AB19" s="10"/>
      <c r="AC19" s="10"/>
      <c r="AD19" s="10"/>
      <c r="AE19" s="10"/>
      <c r="AF19" s="10"/>
      <c r="AG19" s="10"/>
      <c r="AH19" s="10"/>
    </row>
    <row r="20" spans="1:34" x14ac:dyDescent="0.3">
      <c r="A20" s="1"/>
      <c r="B20" s="8" t="s">
        <v>253</v>
      </c>
      <c r="C20" s="7" t="s">
        <v>154</v>
      </c>
      <c r="D20" s="7">
        <v>10</v>
      </c>
      <c r="E20" s="7">
        <v>10000</v>
      </c>
      <c r="F20" s="7">
        <v>3</v>
      </c>
      <c r="G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3">
      <c r="A21" s="1"/>
      <c r="B21" s="8">
        <v>1</v>
      </c>
      <c r="C21" s="7" t="s">
        <v>195</v>
      </c>
      <c r="D21" s="7">
        <v>20</v>
      </c>
      <c r="E21" s="7">
        <v>10000</v>
      </c>
      <c r="F21" s="7">
        <v>3</v>
      </c>
      <c r="G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3">
      <c r="A22" s="1"/>
      <c r="B22" s="8">
        <v>2</v>
      </c>
      <c r="C22" s="7" t="s">
        <v>198</v>
      </c>
      <c r="D22" s="7">
        <v>20</v>
      </c>
      <c r="E22" s="7">
        <v>10000</v>
      </c>
      <c r="F22" s="7">
        <v>3</v>
      </c>
      <c r="G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1"/>
      <c r="B23" s="8">
        <v>3</v>
      </c>
      <c r="C23" s="7" t="s">
        <v>201</v>
      </c>
      <c r="D23" s="7">
        <v>20</v>
      </c>
      <c r="E23" s="7">
        <v>10000</v>
      </c>
      <c r="F23" s="7">
        <v>3</v>
      </c>
      <c r="G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1"/>
      <c r="B24" s="8">
        <v>4</v>
      </c>
      <c r="C24" s="7" t="s">
        <v>204</v>
      </c>
      <c r="D24" s="7">
        <v>20</v>
      </c>
      <c r="E24" s="7">
        <v>10000</v>
      </c>
      <c r="F24" s="7">
        <v>3</v>
      </c>
      <c r="G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1"/>
      <c r="B25" s="8">
        <v>5</v>
      </c>
      <c r="C25" s="7" t="s">
        <v>207</v>
      </c>
      <c r="D25" s="7">
        <v>20</v>
      </c>
      <c r="E25" s="7">
        <v>10000</v>
      </c>
      <c r="F25" s="7">
        <v>3</v>
      </c>
      <c r="G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1"/>
      <c r="B26" s="8">
        <v>6</v>
      </c>
      <c r="C26" s="7" t="s">
        <v>157</v>
      </c>
      <c r="D26" s="7">
        <v>20</v>
      </c>
      <c r="E26" s="7">
        <v>10000</v>
      </c>
      <c r="F26" s="7">
        <v>3</v>
      </c>
      <c r="G26" s="10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1"/>
      <c r="B27" s="8">
        <v>7</v>
      </c>
      <c r="C27" s="7" t="s">
        <v>212</v>
      </c>
      <c r="D27" s="7">
        <v>20</v>
      </c>
      <c r="E27" s="7">
        <v>10000</v>
      </c>
      <c r="F27" s="7">
        <v>3</v>
      </c>
      <c r="G27" s="10"/>
      <c r="AA27" s="10"/>
      <c r="AB27" s="10"/>
      <c r="AC27" s="10"/>
      <c r="AD27" s="10"/>
      <c r="AE27" s="10"/>
      <c r="AF27" s="10"/>
      <c r="AG27" s="10"/>
      <c r="AH27" s="10"/>
    </row>
    <row r="28" spans="1:34" x14ac:dyDescent="0.3">
      <c r="A28" s="1"/>
      <c r="B28" s="8">
        <v>8</v>
      </c>
      <c r="C28" s="7" t="s">
        <v>215</v>
      </c>
      <c r="D28" s="7">
        <v>20</v>
      </c>
      <c r="E28" s="7">
        <v>10000</v>
      </c>
      <c r="F28" s="7">
        <v>3</v>
      </c>
      <c r="G28" s="10"/>
      <c r="AA28" s="10"/>
      <c r="AB28" s="10"/>
      <c r="AC28" s="10"/>
      <c r="AD28" s="10"/>
      <c r="AE28" s="10"/>
      <c r="AF28" s="10"/>
      <c r="AG28" s="10"/>
      <c r="AH28" s="10"/>
    </row>
    <row r="29" spans="1:34" x14ac:dyDescent="0.3">
      <c r="A29" s="1"/>
      <c r="B29" s="13"/>
      <c r="C29" s="13"/>
      <c r="D29" s="13"/>
      <c r="E29" s="13"/>
      <c r="F29" s="13"/>
      <c r="G29" s="14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97" t="s">
        <v>130</v>
      </c>
      <c r="B30" s="49" t="s">
        <v>131</v>
      </c>
      <c r="C30" s="47"/>
      <c r="D30" s="47"/>
      <c r="E30" s="48"/>
      <c r="F30" s="48"/>
      <c r="G30" s="1"/>
      <c r="H30" s="1"/>
      <c r="AA30" s="10"/>
      <c r="AB30" s="10"/>
      <c r="AC30" s="10"/>
      <c r="AD30" s="10"/>
      <c r="AE30" s="10"/>
      <c r="AF30" s="10"/>
      <c r="AG30" s="10"/>
      <c r="AH30" s="10"/>
    </row>
    <row r="31" spans="1:34" x14ac:dyDescent="0.3">
      <c r="A31" s="10"/>
      <c r="B31" s="47"/>
      <c r="C31" s="47"/>
      <c r="D31" s="47"/>
      <c r="E31" s="48"/>
      <c r="F31" s="48"/>
      <c r="G31" s="1"/>
      <c r="H31" s="1"/>
      <c r="AA31" s="10"/>
      <c r="AB31" s="10"/>
      <c r="AC31" s="10"/>
      <c r="AD31" s="10"/>
      <c r="AE31" s="10"/>
      <c r="AF31" s="10"/>
      <c r="AG31" s="10"/>
      <c r="AH31" s="10"/>
    </row>
    <row r="32" spans="1:34" ht="16.149999999999999" x14ac:dyDescent="0.3">
      <c r="A32" s="10"/>
      <c r="B32" s="47" t="s">
        <v>153</v>
      </c>
      <c r="C32" s="47"/>
      <c r="D32" s="47"/>
      <c r="E32" s="48"/>
      <c r="F32" s="48"/>
      <c r="G32" s="1"/>
      <c r="H32" s="1"/>
      <c r="AA32" s="10"/>
      <c r="AB32" s="10"/>
      <c r="AC32" s="10"/>
      <c r="AD32" s="10"/>
      <c r="AE32" s="10"/>
      <c r="AF32" s="10"/>
      <c r="AG32" s="10"/>
      <c r="AH32" s="10"/>
    </row>
    <row r="33" spans="1:34" x14ac:dyDescent="0.3">
      <c r="A33" s="10"/>
      <c r="B33" s="47"/>
      <c r="C33" s="47"/>
      <c r="D33" s="47"/>
      <c r="E33" s="48"/>
      <c r="F33" s="48"/>
      <c r="G33" s="1"/>
      <c r="H33" s="1"/>
      <c r="AA33" s="10"/>
      <c r="AB33" s="10"/>
      <c r="AC33" s="10"/>
      <c r="AD33" s="10"/>
      <c r="AE33" s="10"/>
      <c r="AF33" s="10"/>
      <c r="AG33" s="10"/>
      <c r="AH33" s="10"/>
    </row>
    <row r="34" spans="1:34" x14ac:dyDescent="0.3">
      <c r="A34" s="91" t="s">
        <v>109</v>
      </c>
      <c r="B34" s="156" t="s">
        <v>85</v>
      </c>
      <c r="C34" s="156"/>
      <c r="D34" s="7"/>
      <c r="E34" s="7"/>
      <c r="F34" s="7"/>
      <c r="G34" s="14"/>
      <c r="H34" s="14"/>
      <c r="AA34" s="10"/>
      <c r="AB34" s="10"/>
      <c r="AC34" s="10"/>
      <c r="AD34" s="10"/>
      <c r="AE34" s="10"/>
      <c r="AF34" s="10"/>
      <c r="AG34" s="10"/>
      <c r="AH34" s="10"/>
    </row>
    <row r="35" spans="1:34" s="10" customFormat="1" x14ac:dyDescent="0.3">
      <c r="A35" s="1"/>
      <c r="F35" s="14"/>
      <c r="G35" s="14"/>
      <c r="H35" s="14"/>
      <c r="I35" s="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34" s="10" customFormat="1" x14ac:dyDescent="0.3">
      <c r="A36" s="1"/>
      <c r="B36" s="98" t="s">
        <v>132</v>
      </c>
      <c r="C36" s="99" t="s">
        <v>121</v>
      </c>
      <c r="D36" s="99" t="s">
        <v>133</v>
      </c>
      <c r="E36" s="99" t="s">
        <v>120</v>
      </c>
      <c r="F36" s="99" t="s">
        <v>119</v>
      </c>
      <c r="G36" s="14"/>
      <c r="H36" s="14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34" s="10" customFormat="1" x14ac:dyDescent="0.3">
      <c r="A37" s="1"/>
      <c r="B37" s="98" t="s">
        <v>79</v>
      </c>
      <c r="C37" s="99" t="s">
        <v>134</v>
      </c>
      <c r="D37" s="99" t="s">
        <v>135</v>
      </c>
      <c r="E37" s="99" t="s">
        <v>136</v>
      </c>
      <c r="F37" s="99" t="s">
        <v>137</v>
      </c>
      <c r="G37" s="14"/>
      <c r="H37" s="14"/>
      <c r="I37" s="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34" s="10" customFormat="1" x14ac:dyDescent="0.3">
      <c r="A38" s="1"/>
      <c r="B38" s="7"/>
      <c r="C38" s="48"/>
      <c r="D38" s="48"/>
      <c r="E38" s="48"/>
      <c r="F38" s="46"/>
      <c r="G38" s="14"/>
      <c r="H38" s="14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34" s="10" customFormat="1" x14ac:dyDescent="0.3">
      <c r="A39" s="91" t="s">
        <v>110</v>
      </c>
      <c r="B39" s="49" t="s">
        <v>6</v>
      </c>
      <c r="C39" s="47"/>
      <c r="D39" s="47"/>
      <c r="E39" s="48"/>
      <c r="F39" s="48"/>
      <c r="G39" s="46"/>
      <c r="H39" s="46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34" s="10" customFormat="1" x14ac:dyDescent="0.3">
      <c r="A40" s="47"/>
      <c r="B40" s="47"/>
      <c r="C40" s="47"/>
      <c r="D40" s="47"/>
      <c r="E40" s="48"/>
      <c r="F40" s="48"/>
      <c r="G40" s="48"/>
      <c r="H40" s="48"/>
      <c r="I40" s="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34" s="10" customFormat="1" ht="20.100000000000001" customHeight="1" x14ac:dyDescent="0.3">
      <c r="A41" s="50" t="s">
        <v>7</v>
      </c>
      <c r="B41" s="47" t="s">
        <v>138</v>
      </c>
      <c r="C41" s="47"/>
      <c r="D41" s="47"/>
      <c r="E41" s="47"/>
      <c r="F41" s="47"/>
      <c r="G41" s="46"/>
      <c r="H41" s="46"/>
      <c r="I41" s="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34" s="10" customFormat="1" ht="20.100000000000001" customHeight="1" x14ac:dyDescent="0.3">
      <c r="A42" s="50" t="s">
        <v>42</v>
      </c>
      <c r="B42" s="47" t="s">
        <v>168</v>
      </c>
      <c r="C42" s="47"/>
      <c r="D42" s="47"/>
      <c r="E42" s="47"/>
      <c r="F42" s="47"/>
      <c r="G42" s="48"/>
      <c r="H42" s="48"/>
      <c r="I42" s="4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34" s="10" customFormat="1" ht="20.100000000000001" customHeight="1" x14ac:dyDescent="0.3">
      <c r="A43" s="50" t="s">
        <v>8</v>
      </c>
      <c r="B43" s="47" t="s">
        <v>139</v>
      </c>
      <c r="C43" s="47"/>
      <c r="D43" s="47"/>
      <c r="E43" s="47"/>
      <c r="F43" s="47"/>
      <c r="G43" s="48"/>
      <c r="H43" s="48"/>
      <c r="I43" s="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34" s="10" customFormat="1" ht="20.100000000000001" customHeight="1" x14ac:dyDescent="0.3">
      <c r="A44" s="50" t="s">
        <v>9</v>
      </c>
      <c r="B44" s="47" t="s">
        <v>140</v>
      </c>
      <c r="C44" s="47"/>
      <c r="D44" s="47"/>
      <c r="E44" s="47"/>
      <c r="F44" s="47"/>
      <c r="G44" s="48"/>
      <c r="H44" s="48"/>
      <c r="I44" s="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34" s="10" customFormat="1" ht="20.100000000000001" customHeight="1" x14ac:dyDescent="0.3">
      <c r="A45" s="50" t="s">
        <v>10</v>
      </c>
      <c r="B45" s="47" t="s">
        <v>141</v>
      </c>
      <c r="C45" s="47"/>
      <c r="D45" s="47"/>
      <c r="E45" s="47"/>
      <c r="F45" s="47"/>
      <c r="G45" s="48"/>
      <c r="H45" s="48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34" s="10" customFormat="1" ht="20.100000000000001" customHeight="1" x14ac:dyDescent="0.3">
      <c r="A46" s="50" t="s">
        <v>11</v>
      </c>
      <c r="B46" s="47" t="s">
        <v>142</v>
      </c>
      <c r="C46" s="47"/>
      <c r="D46" s="47"/>
      <c r="E46" s="47"/>
      <c r="F46" s="47"/>
      <c r="G46" s="48"/>
      <c r="H46" s="48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34" s="10" customFormat="1" ht="20.100000000000001" customHeight="1" x14ac:dyDescent="0.3">
      <c r="A47" s="50" t="s">
        <v>143</v>
      </c>
      <c r="B47" s="47" t="s">
        <v>144</v>
      </c>
      <c r="C47" s="47"/>
      <c r="D47" s="47"/>
      <c r="E47" s="47"/>
      <c r="F47" s="47"/>
      <c r="G47" s="48"/>
      <c r="H47" s="48"/>
      <c r="I47" s="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34" s="10" customFormat="1" ht="20.100000000000001" customHeight="1" x14ac:dyDescent="0.3">
      <c r="A48" s="50" t="s">
        <v>145</v>
      </c>
      <c r="B48" s="47" t="s">
        <v>146</v>
      </c>
      <c r="C48" s="47"/>
      <c r="D48" s="47"/>
      <c r="E48" s="47"/>
      <c r="F48" s="47"/>
      <c r="G48" s="48"/>
      <c r="H48" s="48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0" customFormat="1" ht="20.100000000000001" customHeight="1" x14ac:dyDescent="0.3">
      <c r="A49" s="50" t="s">
        <v>147</v>
      </c>
      <c r="B49" s="47" t="s">
        <v>148</v>
      </c>
      <c r="C49" s="47"/>
      <c r="D49" s="47"/>
      <c r="E49" s="47"/>
      <c r="F49" s="47"/>
      <c r="G49" s="48"/>
      <c r="H49" s="48"/>
      <c r="I49" s="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10" customFormat="1" ht="20.100000000000001" customHeight="1" x14ac:dyDescent="0.3">
      <c r="A50" s="50"/>
      <c r="B50" s="47"/>
      <c r="C50" s="47"/>
      <c r="D50" s="47"/>
      <c r="E50" s="47"/>
      <c r="F50" s="47"/>
      <c r="G50" s="48"/>
      <c r="H50" s="48"/>
      <c r="I50" s="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10" customFormat="1" x14ac:dyDescent="0.3">
      <c r="A51" s="91" t="s">
        <v>90</v>
      </c>
      <c r="B51" s="49" t="s">
        <v>111</v>
      </c>
      <c r="C51" s="47"/>
      <c r="D51" s="47"/>
      <c r="E51" s="47"/>
      <c r="F51" s="48"/>
      <c r="G51" s="48"/>
      <c r="H51" s="48"/>
      <c r="I51" s="4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0" customFormat="1" x14ac:dyDescent="0.3">
      <c r="A52" s="47"/>
      <c r="B52" s="47"/>
      <c r="C52" s="47"/>
      <c r="D52" s="47"/>
      <c r="E52" s="47"/>
      <c r="F52" s="48"/>
      <c r="G52" s="48"/>
      <c r="H52" s="48"/>
      <c r="I52" s="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10" customFormat="1" ht="17.649999999999999" x14ac:dyDescent="0.3">
      <c r="A53" s="50" t="s">
        <v>46</v>
      </c>
      <c r="B53" s="51" t="s">
        <v>159</v>
      </c>
      <c r="C53" s="47"/>
      <c r="D53" s="47"/>
      <c r="E53" s="47"/>
      <c r="F53" s="48"/>
      <c r="G53" s="48"/>
      <c r="H53" s="48"/>
      <c r="I53" s="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0" customFormat="1" x14ac:dyDescent="0.3">
      <c r="A54" s="50" t="s">
        <v>60</v>
      </c>
      <c r="B54" s="51" t="s">
        <v>169</v>
      </c>
      <c r="C54" s="47"/>
      <c r="D54" s="47"/>
      <c r="E54" s="47"/>
      <c r="F54" s="48"/>
      <c r="G54" s="48"/>
      <c r="H54" s="48"/>
      <c r="I54" s="4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10" customFormat="1" x14ac:dyDescent="0.3">
      <c r="A55" s="50"/>
      <c r="B55" s="51" t="s">
        <v>112</v>
      </c>
      <c r="C55" s="47"/>
      <c r="D55" s="47"/>
      <c r="E55" s="47"/>
      <c r="F55" s="48"/>
      <c r="G55" s="48"/>
      <c r="H55" s="48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10" customFormat="1" ht="20.100000000000001" customHeight="1" x14ac:dyDescent="0.3">
      <c r="A56" s="50"/>
      <c r="B56" s="51" t="s">
        <v>113</v>
      </c>
      <c r="C56" s="47"/>
      <c r="D56" s="47"/>
      <c r="E56" s="47"/>
      <c r="F56" s="48"/>
      <c r="G56" s="48"/>
      <c r="H56" s="48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0" customFormat="1" ht="20.100000000000001" customHeight="1" x14ac:dyDescent="0.3">
      <c r="A57" s="50"/>
      <c r="B57" s="51" t="s">
        <v>160</v>
      </c>
      <c r="C57" s="47"/>
      <c r="D57" s="47"/>
      <c r="E57" s="47"/>
      <c r="F57" s="48"/>
      <c r="G57" s="48"/>
      <c r="H57" s="48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10" customFormat="1" ht="20.100000000000001" customHeight="1" x14ac:dyDescent="0.3">
      <c r="A58" s="50"/>
      <c r="B58" s="51" t="s">
        <v>161</v>
      </c>
      <c r="C58" s="47"/>
      <c r="D58" s="47"/>
      <c r="E58" s="47"/>
      <c r="F58" s="48"/>
      <c r="G58" s="48"/>
      <c r="H58" s="48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10" customFormat="1" ht="20.100000000000001" customHeight="1" x14ac:dyDescent="0.3">
      <c r="A59" s="50"/>
      <c r="B59" s="51" t="s">
        <v>162</v>
      </c>
      <c r="C59" s="47"/>
      <c r="D59" s="47"/>
      <c r="E59" s="47"/>
      <c r="F59" s="48"/>
      <c r="G59" s="48"/>
      <c r="H59" s="48"/>
      <c r="I59" s="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10" customFormat="1" ht="20.100000000000001" customHeight="1" x14ac:dyDescent="0.3">
      <c r="A60" s="50"/>
      <c r="B60" s="51" t="s">
        <v>163</v>
      </c>
      <c r="C60" s="47"/>
      <c r="D60" s="47"/>
      <c r="E60" s="47"/>
      <c r="F60" s="48"/>
      <c r="G60" s="48"/>
      <c r="H60" s="48"/>
      <c r="I60" s="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0" customFormat="1" ht="20.100000000000001" customHeight="1" x14ac:dyDescent="0.3">
      <c r="A61" s="50" t="s">
        <v>47</v>
      </c>
      <c r="B61" s="51" t="s">
        <v>91</v>
      </c>
      <c r="C61" s="47"/>
      <c r="D61" s="47"/>
      <c r="E61" s="47"/>
      <c r="F61" s="48"/>
      <c r="G61" s="48"/>
      <c r="H61" s="48"/>
      <c r="I61" s="4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0" customFormat="1" ht="20.100000000000001" customHeight="1" x14ac:dyDescent="0.3">
      <c r="B62" s="51" t="s">
        <v>59</v>
      </c>
      <c r="C62" s="47"/>
      <c r="D62" s="47"/>
      <c r="E62" s="47"/>
      <c r="F62" s="47"/>
      <c r="G62" s="48"/>
      <c r="H62" s="48"/>
      <c r="I62" s="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10" customFormat="1" ht="20.100000000000001" customHeight="1" x14ac:dyDescent="0.3">
      <c r="B63" s="51" t="s">
        <v>92</v>
      </c>
      <c r="C63" s="47"/>
      <c r="D63" s="47"/>
      <c r="E63" s="47"/>
      <c r="F63" s="47"/>
      <c r="G63" s="48"/>
      <c r="H63" s="48"/>
      <c r="I63" s="4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10" customFormat="1" ht="20.100000000000001" customHeight="1" x14ac:dyDescent="0.3">
      <c r="B64" s="51" t="s">
        <v>38</v>
      </c>
      <c r="C64" s="47"/>
      <c r="D64" s="47"/>
      <c r="E64" s="47"/>
      <c r="F64" s="47"/>
      <c r="G64" s="48"/>
      <c r="H64" s="48"/>
      <c r="I64" s="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10" customFormat="1" ht="20.100000000000001" customHeight="1" x14ac:dyDescent="0.3">
      <c r="B65" s="51" t="s">
        <v>39</v>
      </c>
      <c r="C65" s="47"/>
      <c r="D65" s="47"/>
      <c r="E65" s="47"/>
      <c r="F65" s="47"/>
      <c r="G65" s="47"/>
      <c r="H65" s="47"/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10" customFormat="1" ht="20.100000000000001" customHeight="1" x14ac:dyDescent="0.3">
      <c r="B66" s="51" t="s">
        <v>58</v>
      </c>
      <c r="C66" s="47"/>
      <c r="D66" s="47"/>
      <c r="E66" s="47"/>
      <c r="F66" s="47"/>
      <c r="G66" s="47"/>
      <c r="H66" s="47"/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10" customFormat="1" ht="20.100000000000001" customHeight="1" x14ac:dyDescent="0.3">
      <c r="B67" s="51" t="s">
        <v>40</v>
      </c>
      <c r="C67" s="47"/>
      <c r="D67" s="47"/>
      <c r="E67" s="47"/>
      <c r="F67" s="47"/>
      <c r="G67" s="47"/>
      <c r="H67" s="47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10" customFormat="1" ht="20.100000000000001" customHeight="1" x14ac:dyDescent="0.45">
      <c r="B68" s="82"/>
      <c r="C68" s="82"/>
      <c r="D68" s="82"/>
      <c r="E68" s="82"/>
      <c r="F68" s="82"/>
      <c r="G68" s="47"/>
      <c r="H68" s="47"/>
      <c r="I68" s="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10" customFormat="1" ht="20.100000000000001" customHeight="1" x14ac:dyDescent="0.3">
      <c r="A69" s="91" t="s">
        <v>84</v>
      </c>
      <c r="B69" s="49" t="s">
        <v>114</v>
      </c>
      <c r="C69" s="47"/>
      <c r="D69" s="47"/>
      <c r="E69" s="47"/>
      <c r="F69" s="47"/>
      <c r="G69" s="47"/>
      <c r="H69" s="47"/>
      <c r="I69" s="4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10" customFormat="1" ht="20.100000000000001" customHeight="1" x14ac:dyDescent="0.3">
      <c r="A70" s="47"/>
      <c r="B70" s="47"/>
      <c r="C70" s="47"/>
      <c r="D70" s="47"/>
      <c r="E70" s="47"/>
      <c r="F70" s="47"/>
      <c r="G70" s="47"/>
      <c r="H70" s="47"/>
      <c r="I70" s="4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s="10" customFormat="1" ht="20.100000000000001" customHeight="1" x14ac:dyDescent="0.3">
      <c r="A71" s="52"/>
      <c r="B71" s="83" t="s">
        <v>224</v>
      </c>
      <c r="C71" s="52"/>
      <c r="D71" s="52"/>
      <c r="E71" s="52"/>
      <c r="F71" s="52"/>
      <c r="G71" s="52"/>
      <c r="H71" s="52"/>
      <c r="I71" s="4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s="4" customFormat="1" x14ac:dyDescent="0.3"/>
    <row r="73" spans="1:26" s="4" customFormat="1" x14ac:dyDescent="0.3">
      <c r="A73" s="16"/>
    </row>
    <row r="74" spans="1:26" s="4" customFormat="1" x14ac:dyDescent="0.3">
      <c r="A74" s="16"/>
    </row>
    <row r="75" spans="1:26" s="4" customFormat="1" x14ac:dyDescent="0.45">
      <c r="A75" s="17"/>
    </row>
    <row r="76" spans="1:26" s="4" customFormat="1" x14ac:dyDescent="0.3"/>
    <row r="77" spans="1:26" s="4" customFormat="1" x14ac:dyDescent="0.3"/>
    <row r="78" spans="1:26" s="4" customFormat="1" x14ac:dyDescent="0.3"/>
    <row r="79" spans="1:26" s="4" customFormat="1" x14ac:dyDescent="0.3"/>
    <row r="80" spans="1:26" s="4" customFormat="1" x14ac:dyDescent="0.3">
      <c r="E80" s="15"/>
    </row>
    <row r="81" spans="5:5" s="4" customFormat="1" x14ac:dyDescent="0.3">
      <c r="E81" s="15"/>
    </row>
    <row r="82" spans="5:5" s="4" customFormat="1" x14ac:dyDescent="0.3"/>
    <row r="83" spans="5:5" s="4" customFormat="1" x14ac:dyDescent="0.3"/>
    <row r="84" spans="5:5" s="4" customFormat="1" x14ac:dyDescent="0.3"/>
    <row r="85" spans="5:5" s="4" customFormat="1" x14ac:dyDescent="0.3"/>
    <row r="86" spans="5:5" s="4" customFormat="1" x14ac:dyDescent="0.3"/>
    <row r="87" spans="5:5" s="4" customFormat="1" x14ac:dyDescent="0.3"/>
    <row r="88" spans="5:5" s="4" customFormat="1" x14ac:dyDescent="0.3"/>
    <row r="89" spans="5:5" s="4" customFormat="1" x14ac:dyDescent="0.3"/>
    <row r="90" spans="5:5" s="4" customFormat="1" x14ac:dyDescent="0.3"/>
    <row r="91" spans="5:5" s="4" customFormat="1" x14ac:dyDescent="0.3"/>
    <row r="92" spans="5:5" s="4" customFormat="1" x14ac:dyDescent="0.3"/>
    <row r="93" spans="5:5" s="4" customFormat="1" x14ac:dyDescent="0.3"/>
    <row r="94" spans="5:5" s="4" customFormat="1" x14ac:dyDescent="0.3"/>
    <row r="95" spans="5:5" s="4" customFormat="1" x14ac:dyDescent="0.3"/>
    <row r="96" spans="5:5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pans="9:9" s="4" customFormat="1" x14ac:dyDescent="0.3"/>
    <row r="130" spans="9:9" s="4" customFormat="1" x14ac:dyDescent="0.3"/>
    <row r="131" spans="9:9" s="4" customFormat="1" x14ac:dyDescent="0.3"/>
    <row r="132" spans="9:9" s="4" customFormat="1" x14ac:dyDescent="0.3"/>
    <row r="133" spans="9:9" s="4" customFormat="1" x14ac:dyDescent="0.3"/>
    <row r="134" spans="9:9" s="4" customFormat="1" x14ac:dyDescent="0.3"/>
    <row r="135" spans="9:9" s="4" customFormat="1" x14ac:dyDescent="0.3"/>
    <row r="136" spans="9:9" s="4" customFormat="1" x14ac:dyDescent="0.3"/>
    <row r="137" spans="9:9" s="4" customFormat="1" x14ac:dyDescent="0.3"/>
    <row r="138" spans="9:9" s="4" customFormat="1" x14ac:dyDescent="0.3"/>
    <row r="139" spans="9:9" s="4" customFormat="1" x14ac:dyDescent="0.3"/>
    <row r="140" spans="9:9" s="4" customFormat="1" x14ac:dyDescent="0.3"/>
    <row r="141" spans="9:9" s="4" customFormat="1" x14ac:dyDescent="0.3">
      <c r="I141" s="47"/>
    </row>
    <row r="142" spans="9:9" s="4" customFormat="1" x14ac:dyDescent="0.3">
      <c r="I142" s="47"/>
    </row>
    <row r="143" spans="9:9" s="4" customFormat="1" x14ac:dyDescent="0.3">
      <c r="I143" s="47"/>
    </row>
    <row r="144" spans="9:9" s="4" customFormat="1" x14ac:dyDescent="0.3">
      <c r="I144" s="47"/>
    </row>
    <row r="145" spans="9:9" s="4" customFormat="1" x14ac:dyDescent="0.3">
      <c r="I145" s="47"/>
    </row>
    <row r="146" spans="9:9" s="4" customFormat="1" x14ac:dyDescent="0.3">
      <c r="I146" s="47"/>
    </row>
    <row r="147" spans="9:9" s="4" customFormat="1" x14ac:dyDescent="0.3">
      <c r="I147" s="47"/>
    </row>
    <row r="148" spans="9:9" s="4" customFormat="1" x14ac:dyDescent="0.3">
      <c r="I148" s="47"/>
    </row>
    <row r="149" spans="9:9" s="4" customFormat="1" x14ac:dyDescent="0.3">
      <c r="I149" s="47"/>
    </row>
    <row r="150" spans="9:9" s="4" customFormat="1" x14ac:dyDescent="0.3">
      <c r="I150" s="47"/>
    </row>
    <row r="151" spans="9:9" s="4" customFormat="1" x14ac:dyDescent="0.3">
      <c r="I151" s="47"/>
    </row>
    <row r="152" spans="9:9" s="4" customFormat="1" x14ac:dyDescent="0.3">
      <c r="I152" s="47"/>
    </row>
    <row r="153" spans="9:9" s="4" customFormat="1" x14ac:dyDescent="0.3">
      <c r="I153" s="47"/>
    </row>
    <row r="154" spans="9:9" s="4" customFormat="1" x14ac:dyDescent="0.3">
      <c r="I154" s="47"/>
    </row>
    <row r="155" spans="9:9" s="4" customFormat="1" x14ac:dyDescent="0.3">
      <c r="I155" s="47"/>
    </row>
    <row r="156" spans="9:9" s="4" customFormat="1" x14ac:dyDescent="0.3">
      <c r="I156" s="47"/>
    </row>
    <row r="157" spans="9:9" s="4" customFormat="1" x14ac:dyDescent="0.3">
      <c r="I157" s="47"/>
    </row>
    <row r="158" spans="9:9" s="4" customFormat="1" x14ac:dyDescent="0.3">
      <c r="I158" s="47"/>
    </row>
    <row r="159" spans="9:9" s="4" customFormat="1" x14ac:dyDescent="0.3">
      <c r="I159" s="47"/>
    </row>
    <row r="160" spans="9:9" s="4" customFormat="1" x14ac:dyDescent="0.3">
      <c r="I160" s="47"/>
    </row>
    <row r="161" spans="8:9" s="4" customFormat="1" x14ac:dyDescent="0.3">
      <c r="I161" s="47"/>
    </row>
    <row r="162" spans="8:9" s="4" customFormat="1" x14ac:dyDescent="0.3">
      <c r="I162" s="47"/>
    </row>
    <row r="163" spans="8:9" s="4" customFormat="1" x14ac:dyDescent="0.3">
      <c r="I163" s="47"/>
    </row>
    <row r="164" spans="8:9" s="4" customFormat="1" x14ac:dyDescent="0.3">
      <c r="I164" s="47"/>
    </row>
    <row r="165" spans="8:9" s="4" customFormat="1" x14ac:dyDescent="0.3">
      <c r="I165" s="47"/>
    </row>
    <row r="166" spans="8:9" s="4" customFormat="1" x14ac:dyDescent="0.3">
      <c r="I166" s="47"/>
    </row>
    <row r="167" spans="8:9" s="4" customFormat="1" x14ac:dyDescent="0.3">
      <c r="I167" s="47"/>
    </row>
    <row r="168" spans="8:9" s="4" customFormat="1" x14ac:dyDescent="0.3">
      <c r="I168" s="47"/>
    </row>
    <row r="169" spans="8:9" s="4" customFormat="1" x14ac:dyDescent="0.3">
      <c r="I169" s="47"/>
    </row>
    <row r="170" spans="8:9" s="4" customFormat="1" x14ac:dyDescent="0.3">
      <c r="I170" s="47"/>
    </row>
    <row r="171" spans="8:9" s="4" customFormat="1" x14ac:dyDescent="0.3">
      <c r="I171" s="47"/>
    </row>
    <row r="172" spans="8:9" s="4" customFormat="1" x14ac:dyDescent="0.3">
      <c r="I172" s="47"/>
    </row>
    <row r="173" spans="8:9" s="4" customFormat="1" x14ac:dyDescent="0.3">
      <c r="I173" s="47"/>
    </row>
    <row r="174" spans="8:9" s="4" customFormat="1" x14ac:dyDescent="0.3">
      <c r="H174" s="10"/>
      <c r="I174" s="47"/>
    </row>
    <row r="175" spans="8:9" s="4" customFormat="1" x14ac:dyDescent="0.3">
      <c r="H175" s="10"/>
      <c r="I175" s="47"/>
    </row>
    <row r="176" spans="8:9" s="4" customFormat="1" x14ac:dyDescent="0.3">
      <c r="H176" s="10"/>
      <c r="I176" s="47"/>
    </row>
    <row r="177" spans="8:9" s="4" customFormat="1" x14ac:dyDescent="0.3">
      <c r="H177" s="10"/>
      <c r="I177" s="47"/>
    </row>
    <row r="178" spans="8:9" s="4" customFormat="1" x14ac:dyDescent="0.3">
      <c r="H178" s="10"/>
      <c r="I178" s="47"/>
    </row>
    <row r="179" spans="8:9" s="4" customFormat="1" x14ac:dyDescent="0.3">
      <c r="H179" s="10"/>
      <c r="I179" s="47"/>
    </row>
    <row r="180" spans="8:9" s="4" customFormat="1" x14ac:dyDescent="0.3">
      <c r="H180" s="10"/>
      <c r="I180" s="47"/>
    </row>
    <row r="181" spans="8:9" s="4" customFormat="1" x14ac:dyDescent="0.3">
      <c r="H181" s="10"/>
      <c r="I181" s="47"/>
    </row>
    <row r="182" spans="8:9" s="4" customFormat="1" x14ac:dyDescent="0.3">
      <c r="H182" s="10"/>
      <c r="I182" s="47"/>
    </row>
    <row r="183" spans="8:9" s="4" customFormat="1" x14ac:dyDescent="0.3">
      <c r="H183" s="10"/>
      <c r="I183" s="47"/>
    </row>
  </sheetData>
  <mergeCells count="2">
    <mergeCell ref="B17:C17"/>
    <mergeCell ref="B34:C34"/>
  </mergeCells>
  <phoneticPr fontId="5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U202"/>
  <sheetViews>
    <sheetView zoomScale="40" zoomScaleNormal="40" workbookViewId="0"/>
  </sheetViews>
  <sheetFormatPr defaultColWidth="9" defaultRowHeight="20.100000000000001" customHeight="1" x14ac:dyDescent="0.3"/>
  <cols>
    <col min="1" max="1" width="26.46484375" style="80" customWidth="1"/>
    <col min="2" max="2" width="29.73046875" style="80" customWidth="1"/>
    <col min="3" max="12" width="14.59765625" style="80" customWidth="1"/>
    <col min="13" max="13" width="16.46484375" style="80" customWidth="1"/>
    <col min="14" max="14" width="22.3984375" style="80" customWidth="1"/>
    <col min="15" max="15" width="14.59765625" style="80" customWidth="1"/>
    <col min="16" max="16" width="20.1328125" style="80" customWidth="1"/>
    <col min="17" max="25" width="14.59765625" style="80" customWidth="1"/>
    <col min="26" max="26" width="9" style="5"/>
    <col min="27" max="30" width="9" style="10"/>
    <col min="31" max="47" width="9" style="4"/>
    <col min="48" max="16384" width="9" style="5"/>
  </cols>
  <sheetData>
    <row r="1" spans="1:47" ht="20.100000000000001" customHeight="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10"/>
    </row>
    <row r="2" spans="1:47" s="10" customFormat="1" ht="20.100000000000001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s="10" customFormat="1" ht="20.100000000000001" customHeight="1" x14ac:dyDescent="0.3">
      <c r="A3" s="54" t="s">
        <v>49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10" customFormat="1" ht="20.100000000000001" customHeight="1" x14ac:dyDescent="0.3">
      <c r="A4" s="56" t="s">
        <v>12</v>
      </c>
      <c r="B4" s="55" t="s">
        <v>50</v>
      </c>
      <c r="C4" s="55" t="s">
        <v>254</v>
      </c>
      <c r="D4" s="160" t="s">
        <v>51</v>
      </c>
      <c r="E4" s="161"/>
      <c r="F4" s="161"/>
      <c r="G4" s="161"/>
      <c r="H4" s="161"/>
      <c r="I4" s="161"/>
      <c r="J4" s="161"/>
      <c r="K4" s="161"/>
      <c r="L4" s="162"/>
      <c r="M4" s="55" t="s">
        <v>149</v>
      </c>
      <c r="N4" s="55" t="s">
        <v>50</v>
      </c>
      <c r="O4" s="55" t="s">
        <v>227</v>
      </c>
      <c r="P4" s="160" t="s">
        <v>51</v>
      </c>
      <c r="Q4" s="161"/>
      <c r="R4" s="161"/>
      <c r="S4" s="161"/>
      <c r="T4" s="161"/>
      <c r="U4" s="161"/>
      <c r="V4" s="161"/>
      <c r="W4" s="161"/>
      <c r="X4" s="162"/>
      <c r="Y4" s="55" t="s">
        <v>149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10" customFormat="1" ht="20.100000000000001" customHeight="1" x14ac:dyDescent="0.3">
      <c r="A5" s="56" t="s">
        <v>13</v>
      </c>
      <c r="B5" s="55" t="s">
        <v>50</v>
      </c>
      <c r="C5" s="55"/>
      <c r="D5" s="163"/>
      <c r="E5" s="164"/>
      <c r="F5" s="164"/>
      <c r="G5" s="164"/>
      <c r="H5" s="164"/>
      <c r="I5" s="164"/>
      <c r="J5" s="164"/>
      <c r="K5" s="164"/>
      <c r="L5" s="165"/>
      <c r="M5" s="55" t="s">
        <v>149</v>
      </c>
      <c r="N5" s="55" t="s">
        <v>50</v>
      </c>
      <c r="O5" s="55"/>
      <c r="P5" s="163"/>
      <c r="Q5" s="164"/>
      <c r="R5" s="164"/>
      <c r="S5" s="164"/>
      <c r="T5" s="164"/>
      <c r="U5" s="164"/>
      <c r="V5" s="164"/>
      <c r="W5" s="164"/>
      <c r="X5" s="165"/>
      <c r="Y5" s="55" t="s">
        <v>149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10" customFormat="1" ht="20.100000000000001" customHeight="1" x14ac:dyDescent="0.3">
      <c r="A6" s="56" t="s">
        <v>14</v>
      </c>
      <c r="B6" s="55" t="s">
        <v>50</v>
      </c>
      <c r="C6" s="57" t="s">
        <v>61</v>
      </c>
      <c r="D6" s="166" t="s">
        <v>51</v>
      </c>
      <c r="E6" s="167"/>
      <c r="F6" s="167"/>
      <c r="G6" s="167"/>
      <c r="H6" s="167"/>
      <c r="I6" s="167"/>
      <c r="J6" s="167"/>
      <c r="K6" s="167"/>
      <c r="L6" s="168"/>
      <c r="M6" s="55" t="s">
        <v>149</v>
      </c>
      <c r="N6" s="55"/>
      <c r="O6" s="57"/>
      <c r="P6" s="166"/>
      <c r="Q6" s="167"/>
      <c r="R6" s="167"/>
      <c r="S6" s="167"/>
      <c r="T6" s="167"/>
      <c r="U6" s="167"/>
      <c r="V6" s="167"/>
      <c r="W6" s="167"/>
      <c r="X6" s="168"/>
      <c r="Y6" s="5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10" customFormat="1" ht="20.100000000000001" customHeight="1" x14ac:dyDescent="0.3">
      <c r="A7" s="56" t="s">
        <v>15</v>
      </c>
      <c r="B7" s="55" t="s">
        <v>50</v>
      </c>
      <c r="C7" s="57"/>
      <c r="D7" s="169"/>
      <c r="E7" s="170"/>
      <c r="F7" s="170"/>
      <c r="G7" s="170"/>
      <c r="H7" s="170"/>
      <c r="I7" s="170"/>
      <c r="J7" s="170"/>
      <c r="K7" s="170"/>
      <c r="L7" s="171"/>
      <c r="M7" s="55" t="s">
        <v>149</v>
      </c>
      <c r="N7" s="55"/>
      <c r="O7" s="57"/>
      <c r="P7" s="169"/>
      <c r="Q7" s="170"/>
      <c r="R7" s="170"/>
      <c r="S7" s="170"/>
      <c r="T7" s="170"/>
      <c r="U7" s="170"/>
      <c r="V7" s="170"/>
      <c r="W7" s="170"/>
      <c r="X7" s="171"/>
      <c r="Y7" s="5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10" customFormat="1" ht="20.100000000000001" customHeight="1" x14ac:dyDescent="0.3">
      <c r="A8" s="56" t="s">
        <v>16</v>
      </c>
      <c r="B8" s="55" t="s">
        <v>50</v>
      </c>
      <c r="C8" s="55" t="s">
        <v>62</v>
      </c>
      <c r="D8" s="160" t="s">
        <v>51</v>
      </c>
      <c r="E8" s="161"/>
      <c r="F8" s="161"/>
      <c r="G8" s="161"/>
      <c r="H8" s="161"/>
      <c r="I8" s="161"/>
      <c r="J8" s="161"/>
      <c r="K8" s="161"/>
      <c r="L8" s="162"/>
      <c r="M8" s="55" t="s">
        <v>149</v>
      </c>
      <c r="N8" s="55"/>
      <c r="O8" s="55"/>
      <c r="P8" s="160"/>
      <c r="Q8" s="161"/>
      <c r="R8" s="161"/>
      <c r="S8" s="161"/>
      <c r="T8" s="161"/>
      <c r="U8" s="161"/>
      <c r="V8" s="161"/>
      <c r="W8" s="161"/>
      <c r="X8" s="162"/>
      <c r="Y8" s="5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10" customFormat="1" ht="20.100000000000001" customHeight="1" x14ac:dyDescent="0.3">
      <c r="A9" s="56" t="s">
        <v>17</v>
      </c>
      <c r="B9" s="55" t="s">
        <v>50</v>
      </c>
      <c r="C9" s="55"/>
      <c r="D9" s="163"/>
      <c r="E9" s="164"/>
      <c r="F9" s="164"/>
      <c r="G9" s="164"/>
      <c r="H9" s="164"/>
      <c r="I9" s="164"/>
      <c r="J9" s="164"/>
      <c r="K9" s="164"/>
      <c r="L9" s="165"/>
      <c r="M9" s="55" t="s">
        <v>149</v>
      </c>
      <c r="N9" s="55"/>
      <c r="O9" s="55"/>
      <c r="P9" s="163"/>
      <c r="Q9" s="164"/>
      <c r="R9" s="164"/>
      <c r="S9" s="164"/>
      <c r="T9" s="164"/>
      <c r="U9" s="164"/>
      <c r="V9" s="164"/>
      <c r="W9" s="164"/>
      <c r="X9" s="165"/>
      <c r="Y9" s="5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10" customFormat="1" ht="20.100000000000001" customHeight="1" x14ac:dyDescent="0.3">
      <c r="A10" s="56" t="s">
        <v>18</v>
      </c>
      <c r="B10" s="55" t="s">
        <v>50</v>
      </c>
      <c r="C10" s="57" t="s">
        <v>63</v>
      </c>
      <c r="D10" s="166" t="s">
        <v>51</v>
      </c>
      <c r="E10" s="167"/>
      <c r="F10" s="167"/>
      <c r="G10" s="167"/>
      <c r="H10" s="167"/>
      <c r="I10" s="167"/>
      <c r="J10" s="167"/>
      <c r="K10" s="167"/>
      <c r="L10" s="168"/>
      <c r="M10" s="55" t="s">
        <v>149</v>
      </c>
      <c r="N10" s="55"/>
      <c r="O10" s="57"/>
      <c r="P10" s="166"/>
      <c r="Q10" s="167"/>
      <c r="R10" s="167"/>
      <c r="S10" s="167"/>
      <c r="T10" s="167"/>
      <c r="U10" s="167"/>
      <c r="V10" s="167"/>
      <c r="W10" s="167"/>
      <c r="X10" s="168"/>
      <c r="Y10" s="5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10" customFormat="1" ht="20.100000000000001" customHeight="1" x14ac:dyDescent="0.3">
      <c r="A11" s="56" t="s">
        <v>19</v>
      </c>
      <c r="B11" s="55" t="s">
        <v>50</v>
      </c>
      <c r="C11" s="57"/>
      <c r="D11" s="169"/>
      <c r="E11" s="170"/>
      <c r="F11" s="170"/>
      <c r="G11" s="170"/>
      <c r="H11" s="170"/>
      <c r="I11" s="170"/>
      <c r="J11" s="170"/>
      <c r="K11" s="170"/>
      <c r="L11" s="171"/>
      <c r="M11" s="55" t="s">
        <v>149</v>
      </c>
      <c r="N11" s="55"/>
      <c r="O11" s="57"/>
      <c r="P11" s="169"/>
      <c r="Q11" s="170"/>
      <c r="R11" s="170"/>
      <c r="S11" s="170"/>
      <c r="T11" s="170"/>
      <c r="U11" s="170"/>
      <c r="V11" s="170"/>
      <c r="W11" s="170"/>
      <c r="X11" s="171"/>
      <c r="Y11" s="5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10" customFormat="1" ht="20.100000000000001" customHeight="1" x14ac:dyDescent="0.3">
      <c r="A12" s="56" t="s">
        <v>20</v>
      </c>
      <c r="B12" s="55" t="s">
        <v>50</v>
      </c>
      <c r="C12" s="55" t="s">
        <v>151</v>
      </c>
      <c r="D12" s="160" t="s">
        <v>51</v>
      </c>
      <c r="E12" s="161"/>
      <c r="F12" s="161"/>
      <c r="G12" s="161"/>
      <c r="H12" s="161"/>
      <c r="I12" s="161"/>
      <c r="J12" s="161"/>
      <c r="K12" s="161"/>
      <c r="L12" s="162"/>
      <c r="M12" s="55" t="s">
        <v>149</v>
      </c>
      <c r="N12" s="55"/>
      <c r="O12" s="55"/>
      <c r="P12" s="160"/>
      <c r="Q12" s="161"/>
      <c r="R12" s="161"/>
      <c r="S12" s="161"/>
      <c r="T12" s="161"/>
      <c r="U12" s="161"/>
      <c r="V12" s="161"/>
      <c r="W12" s="161"/>
      <c r="X12" s="162"/>
      <c r="Y12" s="5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10" customFormat="1" ht="20.100000000000001" customHeight="1" x14ac:dyDescent="0.3">
      <c r="A13" s="56" t="s">
        <v>21</v>
      </c>
      <c r="B13" s="55" t="s">
        <v>50</v>
      </c>
      <c r="C13" s="55"/>
      <c r="D13" s="163"/>
      <c r="E13" s="164"/>
      <c r="F13" s="164"/>
      <c r="G13" s="164"/>
      <c r="H13" s="164"/>
      <c r="I13" s="164"/>
      <c r="J13" s="164"/>
      <c r="K13" s="164"/>
      <c r="L13" s="165"/>
      <c r="M13" s="55" t="s">
        <v>149</v>
      </c>
      <c r="N13" s="55"/>
      <c r="O13" s="55"/>
      <c r="P13" s="163"/>
      <c r="Q13" s="164"/>
      <c r="R13" s="164"/>
      <c r="S13" s="164"/>
      <c r="T13" s="164"/>
      <c r="U13" s="164"/>
      <c r="V13" s="164"/>
      <c r="W13" s="164"/>
      <c r="X13" s="165"/>
      <c r="Y13" s="5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10" customFormat="1" ht="20.100000000000001" customHeight="1" x14ac:dyDescent="0.3">
      <c r="A14" s="56" t="s">
        <v>22</v>
      </c>
      <c r="B14" s="55" t="s">
        <v>50</v>
      </c>
      <c r="C14" s="57" t="s">
        <v>158</v>
      </c>
      <c r="D14" s="166" t="s">
        <v>51</v>
      </c>
      <c r="E14" s="167"/>
      <c r="F14" s="167"/>
      <c r="G14" s="167"/>
      <c r="H14" s="167"/>
      <c r="I14" s="167"/>
      <c r="J14" s="167"/>
      <c r="K14" s="167"/>
      <c r="L14" s="168"/>
      <c r="M14" s="55" t="s">
        <v>149</v>
      </c>
      <c r="N14" s="55"/>
      <c r="O14" s="57"/>
      <c r="P14" s="166"/>
      <c r="Q14" s="167"/>
      <c r="R14" s="167"/>
      <c r="S14" s="167"/>
      <c r="T14" s="167"/>
      <c r="U14" s="167"/>
      <c r="V14" s="167"/>
      <c r="W14" s="167"/>
      <c r="X14" s="168"/>
      <c r="Y14" s="5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10" customFormat="1" ht="20.100000000000001" customHeight="1" x14ac:dyDescent="0.3">
      <c r="A15" s="56" t="s">
        <v>23</v>
      </c>
      <c r="B15" s="55" t="s">
        <v>50</v>
      </c>
      <c r="C15" s="57"/>
      <c r="D15" s="169"/>
      <c r="E15" s="170"/>
      <c r="F15" s="170"/>
      <c r="G15" s="170"/>
      <c r="H15" s="170"/>
      <c r="I15" s="170"/>
      <c r="J15" s="170"/>
      <c r="K15" s="170"/>
      <c r="L15" s="171"/>
      <c r="M15" s="55" t="s">
        <v>149</v>
      </c>
      <c r="N15" s="55"/>
      <c r="O15" s="57"/>
      <c r="P15" s="169"/>
      <c r="Q15" s="170"/>
      <c r="R15" s="170"/>
      <c r="S15" s="170"/>
      <c r="T15" s="170"/>
      <c r="U15" s="170"/>
      <c r="V15" s="170"/>
      <c r="W15" s="170"/>
      <c r="X15" s="171"/>
      <c r="Y15" s="5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pans="1:47" s="10" customFormat="1" ht="20.100000000000001" customHeight="1" x14ac:dyDescent="0.3">
      <c r="A16" s="56" t="s">
        <v>52</v>
      </c>
      <c r="B16" s="55" t="s">
        <v>50</v>
      </c>
      <c r="C16" s="55" t="s">
        <v>225</v>
      </c>
      <c r="D16" s="160" t="s">
        <v>51</v>
      </c>
      <c r="E16" s="161"/>
      <c r="F16" s="161"/>
      <c r="G16" s="161"/>
      <c r="H16" s="161"/>
      <c r="I16" s="161"/>
      <c r="J16" s="161"/>
      <c r="K16" s="161"/>
      <c r="L16" s="162"/>
      <c r="M16" s="55" t="s">
        <v>149</v>
      </c>
      <c r="N16" s="55"/>
      <c r="O16" s="55"/>
      <c r="P16" s="160"/>
      <c r="Q16" s="161"/>
      <c r="R16" s="161"/>
      <c r="S16" s="161"/>
      <c r="T16" s="161"/>
      <c r="U16" s="161"/>
      <c r="V16" s="161"/>
      <c r="W16" s="161"/>
      <c r="X16" s="162"/>
      <c r="Y16" s="5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10" customFormat="1" ht="20.100000000000001" customHeight="1" x14ac:dyDescent="0.3">
      <c r="A17" s="56" t="s">
        <v>24</v>
      </c>
      <c r="B17" s="55" t="s">
        <v>50</v>
      </c>
      <c r="C17" s="55"/>
      <c r="D17" s="163"/>
      <c r="E17" s="164"/>
      <c r="F17" s="164"/>
      <c r="G17" s="164"/>
      <c r="H17" s="164"/>
      <c r="I17" s="164"/>
      <c r="J17" s="164"/>
      <c r="K17" s="164"/>
      <c r="L17" s="165"/>
      <c r="M17" s="55" t="s">
        <v>149</v>
      </c>
      <c r="N17" s="55"/>
      <c r="O17" s="55"/>
      <c r="P17" s="163"/>
      <c r="Q17" s="164"/>
      <c r="R17" s="164"/>
      <c r="S17" s="164"/>
      <c r="T17" s="164"/>
      <c r="U17" s="164"/>
      <c r="V17" s="164"/>
      <c r="W17" s="164"/>
      <c r="X17" s="165"/>
      <c r="Y17" s="5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s="10" customFormat="1" ht="20.100000000000001" customHeight="1" x14ac:dyDescent="0.3">
      <c r="A18" s="56" t="s">
        <v>25</v>
      </c>
      <c r="B18" s="55" t="s">
        <v>50</v>
      </c>
      <c r="C18" s="57" t="s">
        <v>226</v>
      </c>
      <c r="D18" s="166" t="s">
        <v>51</v>
      </c>
      <c r="E18" s="167"/>
      <c r="F18" s="167"/>
      <c r="G18" s="167"/>
      <c r="H18" s="167"/>
      <c r="I18" s="167"/>
      <c r="J18" s="167"/>
      <c r="K18" s="167"/>
      <c r="L18" s="168"/>
      <c r="M18" s="55" t="s">
        <v>149</v>
      </c>
      <c r="N18" s="55"/>
      <c r="O18" s="57"/>
      <c r="P18" s="166"/>
      <c r="Q18" s="167"/>
      <c r="R18" s="167"/>
      <c r="S18" s="167"/>
      <c r="T18" s="167"/>
      <c r="U18" s="167"/>
      <c r="V18" s="167"/>
      <c r="W18" s="167"/>
      <c r="X18" s="168"/>
      <c r="Y18" s="5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10" customFormat="1" ht="20.100000000000001" customHeight="1" x14ac:dyDescent="0.3">
      <c r="A19" s="56" t="s">
        <v>26</v>
      </c>
      <c r="B19" s="55" t="s">
        <v>50</v>
      </c>
      <c r="C19" s="57"/>
      <c r="D19" s="169"/>
      <c r="E19" s="170"/>
      <c r="F19" s="170"/>
      <c r="G19" s="170"/>
      <c r="H19" s="170"/>
      <c r="I19" s="170"/>
      <c r="J19" s="170"/>
      <c r="K19" s="170"/>
      <c r="L19" s="171"/>
      <c r="M19" s="55" t="s">
        <v>149</v>
      </c>
      <c r="N19" s="55"/>
      <c r="O19" s="57"/>
      <c r="P19" s="169"/>
      <c r="Q19" s="170"/>
      <c r="R19" s="170"/>
      <c r="S19" s="170"/>
      <c r="T19" s="170"/>
      <c r="U19" s="170"/>
      <c r="V19" s="170"/>
      <c r="W19" s="170"/>
      <c r="X19" s="171"/>
      <c r="Y19" s="5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s="10" customFormat="1" ht="20.100000000000001" customHeight="1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10" customFormat="1" ht="20.100000000000001" customHeight="1" x14ac:dyDescent="0.3">
      <c r="A21" s="54" t="s">
        <v>27</v>
      </c>
      <c r="B21" s="58">
        <v>1</v>
      </c>
      <c r="C21" s="58">
        <v>2</v>
      </c>
      <c r="D21" s="58">
        <v>3</v>
      </c>
      <c r="E21" s="58">
        <v>4</v>
      </c>
      <c r="F21" s="58">
        <v>5</v>
      </c>
      <c r="G21" s="58">
        <v>6</v>
      </c>
      <c r="H21" s="58">
        <v>7</v>
      </c>
      <c r="I21" s="58">
        <v>8</v>
      </c>
      <c r="J21" s="58">
        <v>9</v>
      </c>
      <c r="K21" s="58">
        <v>10</v>
      </c>
      <c r="L21" s="58">
        <v>11</v>
      </c>
      <c r="M21" s="58">
        <v>12</v>
      </c>
      <c r="N21" s="58">
        <v>13</v>
      </c>
      <c r="O21" s="58">
        <v>14</v>
      </c>
      <c r="P21" s="58">
        <v>15</v>
      </c>
      <c r="Q21" s="58">
        <v>16</v>
      </c>
      <c r="R21" s="58">
        <v>17</v>
      </c>
      <c r="S21" s="58">
        <v>18</v>
      </c>
      <c r="T21" s="58">
        <v>19</v>
      </c>
      <c r="U21" s="58">
        <v>20</v>
      </c>
      <c r="V21" s="58">
        <v>21</v>
      </c>
      <c r="W21" s="58">
        <v>22</v>
      </c>
      <c r="X21" s="58">
        <v>23</v>
      </c>
      <c r="Y21" s="58">
        <v>24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s="10" customFormat="1" ht="20.100000000000001" customHeight="1" x14ac:dyDescent="0.3">
      <c r="A22" s="59" t="s">
        <v>12</v>
      </c>
      <c r="B22" s="63">
        <v>4402</v>
      </c>
      <c r="C22" s="56">
        <v>5785</v>
      </c>
      <c r="D22" s="56">
        <v>7099</v>
      </c>
      <c r="E22" s="56">
        <v>9251</v>
      </c>
      <c r="F22" s="56">
        <v>11861</v>
      </c>
      <c r="G22" s="56">
        <v>20044</v>
      </c>
      <c r="H22" s="56">
        <v>26369</v>
      </c>
      <c r="I22" s="56">
        <v>33594</v>
      </c>
      <c r="J22" s="56">
        <v>35686</v>
      </c>
      <c r="K22" s="56">
        <v>38656</v>
      </c>
      <c r="L22" s="56">
        <v>36632</v>
      </c>
      <c r="M22" s="84">
        <v>33110</v>
      </c>
      <c r="N22" s="55">
        <v>4356</v>
      </c>
      <c r="O22" s="56">
        <v>9144</v>
      </c>
      <c r="P22" s="56">
        <v>9757</v>
      </c>
      <c r="Q22" s="56">
        <v>14102</v>
      </c>
      <c r="R22" s="56">
        <v>19846</v>
      </c>
      <c r="S22" s="56">
        <v>26321</v>
      </c>
      <c r="T22" s="56">
        <v>33253</v>
      </c>
      <c r="U22" s="56">
        <v>35471</v>
      </c>
      <c r="V22" s="56">
        <v>37695</v>
      </c>
      <c r="W22" s="56">
        <v>39810</v>
      </c>
      <c r="X22" s="56">
        <v>34674</v>
      </c>
      <c r="Y22" s="55">
        <v>35623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10" customFormat="1" ht="20.100000000000001" customHeight="1" x14ac:dyDescent="0.3">
      <c r="A23" s="59" t="s">
        <v>13</v>
      </c>
      <c r="B23" s="63">
        <v>4276</v>
      </c>
      <c r="C23" s="56">
        <v>5922</v>
      </c>
      <c r="D23" s="56">
        <v>7573</v>
      </c>
      <c r="E23" s="56">
        <v>9404</v>
      </c>
      <c r="F23" s="56">
        <v>12025</v>
      </c>
      <c r="G23" s="56">
        <v>19296</v>
      </c>
      <c r="H23" s="56">
        <v>26801</v>
      </c>
      <c r="I23" s="56">
        <v>32195</v>
      </c>
      <c r="J23" s="56">
        <v>35074</v>
      </c>
      <c r="K23" s="56">
        <v>35285</v>
      </c>
      <c r="L23" s="56">
        <v>37771</v>
      </c>
      <c r="M23" s="84">
        <v>32206</v>
      </c>
      <c r="N23" s="55">
        <v>4300</v>
      </c>
      <c r="O23" s="56">
        <v>9480</v>
      </c>
      <c r="P23" s="56">
        <v>10108</v>
      </c>
      <c r="Q23" s="56">
        <v>14821</v>
      </c>
      <c r="R23" s="56">
        <v>21006</v>
      </c>
      <c r="S23" s="56">
        <v>28399</v>
      </c>
      <c r="T23" s="56">
        <v>33586</v>
      </c>
      <c r="U23" s="56">
        <v>34652</v>
      </c>
      <c r="V23" s="56">
        <v>37662</v>
      </c>
      <c r="W23" s="56">
        <v>36968</v>
      </c>
      <c r="X23" s="56">
        <v>35395</v>
      </c>
      <c r="Y23" s="55">
        <v>32909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1:47" s="10" customFormat="1" ht="20.100000000000001" customHeight="1" x14ac:dyDescent="0.3">
      <c r="A24" s="59" t="s">
        <v>14</v>
      </c>
      <c r="B24" s="63">
        <v>4250</v>
      </c>
      <c r="C24" s="56">
        <v>10462</v>
      </c>
      <c r="D24" s="56">
        <v>13352</v>
      </c>
      <c r="E24" s="56">
        <v>15753</v>
      </c>
      <c r="F24" s="56">
        <v>25646</v>
      </c>
      <c r="G24" s="56">
        <v>26480</v>
      </c>
      <c r="H24" s="56">
        <v>34462</v>
      </c>
      <c r="I24" s="56">
        <v>35330</v>
      </c>
      <c r="J24" s="56">
        <v>34170</v>
      </c>
      <c r="K24" s="56">
        <v>35969</v>
      </c>
      <c r="L24" s="56">
        <v>34959</v>
      </c>
      <c r="M24" s="84">
        <v>35278</v>
      </c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10" customFormat="1" ht="20.100000000000001" customHeight="1" x14ac:dyDescent="0.3">
      <c r="A25" s="59" t="s">
        <v>15</v>
      </c>
      <c r="B25" s="63">
        <v>4493</v>
      </c>
      <c r="C25" s="56">
        <v>11083</v>
      </c>
      <c r="D25" s="56">
        <v>14849</v>
      </c>
      <c r="E25" s="56">
        <v>19122</v>
      </c>
      <c r="F25" s="56">
        <v>24247</v>
      </c>
      <c r="G25" s="56">
        <v>30622</v>
      </c>
      <c r="H25" s="56">
        <v>37157</v>
      </c>
      <c r="I25" s="56">
        <v>37225</v>
      </c>
      <c r="J25" s="56">
        <v>36620</v>
      </c>
      <c r="K25" s="56">
        <v>35925</v>
      </c>
      <c r="L25" s="56">
        <v>35711</v>
      </c>
      <c r="M25" s="84">
        <v>32150</v>
      </c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 s="10" customFormat="1" ht="20.100000000000001" customHeight="1" x14ac:dyDescent="0.3">
      <c r="A26" s="59" t="s">
        <v>16</v>
      </c>
      <c r="B26" s="63">
        <v>4304</v>
      </c>
      <c r="C26" s="56">
        <v>10831</v>
      </c>
      <c r="D26" s="56">
        <v>10285</v>
      </c>
      <c r="E26" s="56">
        <v>11470</v>
      </c>
      <c r="F26" s="56">
        <v>17413</v>
      </c>
      <c r="G26" s="56">
        <v>24052</v>
      </c>
      <c r="H26" s="56">
        <v>31382</v>
      </c>
      <c r="I26" s="56">
        <v>33762</v>
      </c>
      <c r="J26" s="56">
        <v>34754</v>
      </c>
      <c r="K26" s="56">
        <v>34668</v>
      </c>
      <c r="L26" s="56">
        <v>34804</v>
      </c>
      <c r="M26" s="84">
        <v>33611</v>
      </c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10" customFormat="1" ht="20.100000000000001" customHeight="1" x14ac:dyDescent="0.3">
      <c r="A27" s="59" t="s">
        <v>17</v>
      </c>
      <c r="B27" s="63">
        <v>4109</v>
      </c>
      <c r="C27" s="56">
        <v>10594</v>
      </c>
      <c r="D27" s="56">
        <v>9426</v>
      </c>
      <c r="E27" s="56">
        <v>11395</v>
      </c>
      <c r="F27" s="56">
        <v>15529</v>
      </c>
      <c r="G27" s="56">
        <v>22723</v>
      </c>
      <c r="H27" s="56">
        <v>28954</v>
      </c>
      <c r="I27" s="56">
        <v>31410</v>
      </c>
      <c r="J27" s="56">
        <v>32394</v>
      </c>
      <c r="K27" s="56">
        <v>34862</v>
      </c>
      <c r="L27" s="56">
        <v>33080</v>
      </c>
      <c r="M27" s="84">
        <v>33640</v>
      </c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s="10" customFormat="1" ht="20.100000000000001" customHeight="1" x14ac:dyDescent="0.3">
      <c r="A28" s="59" t="s">
        <v>18</v>
      </c>
      <c r="B28" s="63">
        <v>4350</v>
      </c>
      <c r="C28" s="56">
        <v>8266</v>
      </c>
      <c r="D28" s="56">
        <v>8704</v>
      </c>
      <c r="E28" s="56">
        <v>11680</v>
      </c>
      <c r="F28" s="56">
        <v>15354</v>
      </c>
      <c r="G28" s="56">
        <v>21069</v>
      </c>
      <c r="H28" s="56">
        <v>27795</v>
      </c>
      <c r="I28" s="56">
        <v>29917</v>
      </c>
      <c r="J28" s="56">
        <v>30881</v>
      </c>
      <c r="K28" s="56">
        <v>32408</v>
      </c>
      <c r="L28" s="56">
        <v>30908</v>
      </c>
      <c r="M28" s="84">
        <v>34574</v>
      </c>
      <c r="N28" s="55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10" customFormat="1" ht="20.100000000000001" customHeight="1" x14ac:dyDescent="0.3">
      <c r="A29" s="59" t="s">
        <v>19</v>
      </c>
      <c r="B29" s="63">
        <v>4199</v>
      </c>
      <c r="C29" s="56">
        <v>8176</v>
      </c>
      <c r="D29" s="56">
        <v>8921</v>
      </c>
      <c r="E29" s="56">
        <v>11134</v>
      </c>
      <c r="F29" s="56">
        <v>17769</v>
      </c>
      <c r="G29" s="56">
        <v>26152</v>
      </c>
      <c r="H29" s="56">
        <v>26809</v>
      </c>
      <c r="I29" s="56">
        <v>31332</v>
      </c>
      <c r="J29" s="56">
        <v>33033</v>
      </c>
      <c r="K29" s="56">
        <v>34217</v>
      </c>
      <c r="L29" s="56">
        <v>33378</v>
      </c>
      <c r="M29" s="84">
        <v>31068</v>
      </c>
      <c r="N29" s="55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10" customFormat="1" ht="20.100000000000001" customHeight="1" x14ac:dyDescent="0.3">
      <c r="A30" s="59" t="s">
        <v>20</v>
      </c>
      <c r="B30" s="63">
        <v>4290</v>
      </c>
      <c r="C30" s="56">
        <v>5806</v>
      </c>
      <c r="D30" s="56">
        <v>7463</v>
      </c>
      <c r="E30" s="56">
        <v>9480</v>
      </c>
      <c r="F30" s="56">
        <v>13579</v>
      </c>
      <c r="G30" s="56">
        <v>22628</v>
      </c>
      <c r="H30" s="56">
        <v>31582</v>
      </c>
      <c r="I30" s="56">
        <v>32373</v>
      </c>
      <c r="J30" s="56">
        <v>30380</v>
      </c>
      <c r="K30" s="56">
        <v>31930</v>
      </c>
      <c r="L30" s="56">
        <v>31912</v>
      </c>
      <c r="M30" s="84">
        <v>28022</v>
      </c>
      <c r="N30" s="55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10" customFormat="1" ht="20.100000000000001" customHeight="1" x14ac:dyDescent="0.3">
      <c r="A31" s="59" t="s">
        <v>21</v>
      </c>
      <c r="B31" s="63">
        <v>4246</v>
      </c>
      <c r="C31" s="56">
        <v>5771</v>
      </c>
      <c r="D31" s="56">
        <v>7335</v>
      </c>
      <c r="E31" s="56">
        <v>10316</v>
      </c>
      <c r="F31" s="56">
        <v>13387</v>
      </c>
      <c r="G31" s="56">
        <v>22319</v>
      </c>
      <c r="H31" s="56">
        <v>27410</v>
      </c>
      <c r="I31" s="56">
        <v>33543</v>
      </c>
      <c r="J31" s="56">
        <v>33169</v>
      </c>
      <c r="K31" s="56">
        <v>34672</v>
      </c>
      <c r="L31" s="56">
        <v>35022</v>
      </c>
      <c r="M31" s="84">
        <v>33207</v>
      </c>
      <c r="N31" s="5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10" customFormat="1" ht="20.100000000000001" customHeight="1" x14ac:dyDescent="0.3">
      <c r="A32" s="59" t="s">
        <v>22</v>
      </c>
      <c r="B32" s="63">
        <v>4353</v>
      </c>
      <c r="C32" s="56">
        <v>9041</v>
      </c>
      <c r="D32" s="56">
        <v>9742</v>
      </c>
      <c r="E32" s="56">
        <v>11648</v>
      </c>
      <c r="F32" s="56">
        <v>18214</v>
      </c>
      <c r="G32" s="56">
        <v>26623</v>
      </c>
      <c r="H32" s="56">
        <v>31893</v>
      </c>
      <c r="I32" s="56">
        <v>34965</v>
      </c>
      <c r="J32" s="56">
        <v>34231</v>
      </c>
      <c r="K32" s="56">
        <v>35874</v>
      </c>
      <c r="L32" s="56">
        <v>36187</v>
      </c>
      <c r="M32" s="84">
        <v>31892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10" customFormat="1" ht="20.100000000000001" customHeight="1" x14ac:dyDescent="0.3">
      <c r="A33" s="59" t="s">
        <v>23</v>
      </c>
      <c r="B33" s="63">
        <v>4194</v>
      </c>
      <c r="C33" s="56">
        <v>9014</v>
      </c>
      <c r="D33" s="56">
        <v>9207</v>
      </c>
      <c r="E33" s="56">
        <v>11951</v>
      </c>
      <c r="F33" s="56">
        <v>19288</v>
      </c>
      <c r="G33" s="56">
        <v>27149</v>
      </c>
      <c r="H33" s="56">
        <v>29293</v>
      </c>
      <c r="I33" s="56">
        <v>36898</v>
      </c>
      <c r="J33" s="56">
        <v>33785</v>
      </c>
      <c r="K33" s="56">
        <v>37818</v>
      </c>
      <c r="L33" s="56">
        <v>34875</v>
      </c>
      <c r="M33" s="84">
        <v>33932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10" customFormat="1" ht="20.100000000000001" customHeight="1" x14ac:dyDescent="0.3">
      <c r="A34" s="59" t="s">
        <v>52</v>
      </c>
      <c r="B34" s="63">
        <v>4312</v>
      </c>
      <c r="C34" s="56">
        <v>9006</v>
      </c>
      <c r="D34" s="56">
        <v>9423</v>
      </c>
      <c r="E34" s="56">
        <v>11510</v>
      </c>
      <c r="F34" s="56">
        <v>15987</v>
      </c>
      <c r="G34" s="56">
        <v>27428</v>
      </c>
      <c r="H34" s="56">
        <v>32755</v>
      </c>
      <c r="I34" s="56">
        <v>34897</v>
      </c>
      <c r="J34" s="56">
        <v>35631</v>
      </c>
      <c r="K34" s="56">
        <v>35838</v>
      </c>
      <c r="L34" s="56">
        <v>35591</v>
      </c>
      <c r="M34" s="84">
        <v>31897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10" customFormat="1" ht="20.100000000000001" customHeight="1" x14ac:dyDescent="0.3">
      <c r="A35" s="59" t="s">
        <v>24</v>
      </c>
      <c r="B35" s="63">
        <v>4300</v>
      </c>
      <c r="C35" s="56">
        <v>8927</v>
      </c>
      <c r="D35" s="56">
        <v>9387</v>
      </c>
      <c r="E35" s="56">
        <v>11379</v>
      </c>
      <c r="F35" s="56">
        <v>19262</v>
      </c>
      <c r="G35" s="56">
        <v>27124</v>
      </c>
      <c r="H35" s="56">
        <v>30962</v>
      </c>
      <c r="I35" s="56">
        <v>35815</v>
      </c>
      <c r="J35" s="56">
        <v>34881</v>
      </c>
      <c r="K35" s="56">
        <v>38386</v>
      </c>
      <c r="L35" s="56">
        <v>33195</v>
      </c>
      <c r="M35" s="84">
        <v>33004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10" customFormat="1" ht="20.100000000000001" customHeight="1" x14ac:dyDescent="0.3">
      <c r="A36" s="59" t="s">
        <v>25</v>
      </c>
      <c r="B36" s="63">
        <v>4310</v>
      </c>
      <c r="C36" s="56">
        <v>11146</v>
      </c>
      <c r="D36" s="56">
        <v>14802</v>
      </c>
      <c r="E36" s="56">
        <v>18032</v>
      </c>
      <c r="F36" s="56">
        <v>28326</v>
      </c>
      <c r="G36" s="56">
        <v>31841</v>
      </c>
      <c r="H36" s="56">
        <v>34912</v>
      </c>
      <c r="I36" s="56">
        <v>36820</v>
      </c>
      <c r="J36" s="56">
        <v>37383</v>
      </c>
      <c r="K36" s="56">
        <v>35285</v>
      </c>
      <c r="L36" s="56">
        <v>37823</v>
      </c>
      <c r="M36" s="84">
        <v>32564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10" customFormat="1" ht="20.100000000000001" customHeight="1" x14ac:dyDescent="0.3">
      <c r="A37" s="59" t="s">
        <v>26</v>
      </c>
      <c r="B37" s="63">
        <v>4361</v>
      </c>
      <c r="C37" s="56">
        <v>10779</v>
      </c>
      <c r="D37" s="56">
        <v>13169</v>
      </c>
      <c r="E37" s="56">
        <v>19616</v>
      </c>
      <c r="F37" s="56">
        <v>27403</v>
      </c>
      <c r="G37" s="56">
        <v>30263</v>
      </c>
      <c r="H37" s="56">
        <v>34098</v>
      </c>
      <c r="I37" s="56">
        <v>38201</v>
      </c>
      <c r="J37" s="56">
        <v>34840</v>
      </c>
      <c r="K37" s="56">
        <v>39320</v>
      </c>
      <c r="L37" s="56">
        <v>35135</v>
      </c>
      <c r="M37" s="84">
        <v>33704</v>
      </c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10" customFormat="1" ht="20.100000000000001" customHeight="1" x14ac:dyDescent="0.45">
      <c r="A38" s="60"/>
      <c r="B38" s="87" t="s">
        <v>228</v>
      </c>
      <c r="C38" s="87" t="s">
        <v>28</v>
      </c>
      <c r="D38" s="87" t="s">
        <v>29</v>
      </c>
      <c r="E38" s="87" t="s">
        <v>30</v>
      </c>
      <c r="F38" s="87" t="s">
        <v>93</v>
      </c>
      <c r="G38" s="61"/>
      <c r="H38" s="61"/>
      <c r="I38" s="61"/>
      <c r="J38" s="61"/>
      <c r="K38" s="61"/>
      <c r="L38" s="61"/>
      <c r="M38" s="61"/>
      <c r="N38" s="62"/>
      <c r="O38" s="62"/>
      <c r="P38" s="62"/>
      <c r="Q38" s="62"/>
      <c r="R38" s="62"/>
      <c r="S38" s="61"/>
      <c r="T38" s="61"/>
      <c r="U38" s="61"/>
      <c r="V38" s="61"/>
      <c r="W38" s="53"/>
      <c r="X38" s="53"/>
      <c r="Y38" s="53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7" s="10" customFormat="1" ht="20.100000000000001" customHeight="1" x14ac:dyDescent="0.45">
      <c r="A39" s="63" t="s">
        <v>50</v>
      </c>
      <c r="B39" s="64">
        <f>AVERAGE(B22:B37,N22:N23)</f>
        <v>4300.2777777777774</v>
      </c>
      <c r="C39" s="59">
        <f>STDEVP(B22:B37,N22:N23)</f>
        <v>83.028646700036632</v>
      </c>
      <c r="D39" s="65">
        <f>C39/B39</f>
        <v>1.9307740334612227E-2</v>
      </c>
      <c r="E39" s="66">
        <f>1-3*(C39+C40)/(B40-B39)</f>
        <v>0.81808733462737382</v>
      </c>
      <c r="F39" s="86">
        <f>B40/B39</f>
        <v>7.6531361023189719</v>
      </c>
      <c r="G39" s="61"/>
      <c r="H39" s="61"/>
      <c r="I39" s="61"/>
      <c r="J39" s="61"/>
      <c r="K39" s="61"/>
      <c r="L39" s="61"/>
      <c r="M39" s="61"/>
      <c r="N39" s="62"/>
      <c r="O39" s="62"/>
      <c r="P39" s="62"/>
      <c r="Q39" s="62"/>
      <c r="R39" s="62"/>
      <c r="S39" s="61"/>
      <c r="T39" s="61"/>
      <c r="U39" s="61"/>
      <c r="V39" s="61"/>
      <c r="W39" s="53"/>
      <c r="X39" s="53"/>
      <c r="Y39" s="53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7" s="10" customFormat="1" ht="20.100000000000001" customHeight="1" x14ac:dyDescent="0.45">
      <c r="A40" s="67" t="s">
        <v>149</v>
      </c>
      <c r="B40" s="68">
        <f>AVERAGE(M22:M37,Y22:Y23)</f>
        <v>32910.611111111109</v>
      </c>
      <c r="C40" s="59">
        <f>STDEVP(M22:M37,Y22:Y23)</f>
        <v>1651.8320179219493</v>
      </c>
      <c r="D40" s="65">
        <f>C40/B40</f>
        <v>5.0191472055779188E-2</v>
      </c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62"/>
      <c r="Q40" s="62"/>
      <c r="R40" s="62"/>
      <c r="S40" s="61"/>
      <c r="T40" s="61"/>
      <c r="U40" s="61"/>
      <c r="V40" s="61"/>
      <c r="W40" s="53"/>
      <c r="X40" s="53"/>
      <c r="Y40" s="53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7" s="10" customFormat="1" ht="20.100000000000001" customHeigh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10" customFormat="1" ht="20.100000000000001" customHeight="1" x14ac:dyDescent="0.3">
      <c r="A42" s="54" t="s">
        <v>53</v>
      </c>
      <c r="B42" s="58">
        <v>1</v>
      </c>
      <c r="C42" s="58">
        <v>2</v>
      </c>
      <c r="D42" s="58">
        <v>3</v>
      </c>
      <c r="E42" s="58">
        <v>4</v>
      </c>
      <c r="F42" s="58">
        <v>5</v>
      </c>
      <c r="G42" s="58">
        <v>6</v>
      </c>
      <c r="H42" s="58">
        <v>7</v>
      </c>
      <c r="I42" s="58">
        <v>8</v>
      </c>
      <c r="J42" s="58">
        <v>9</v>
      </c>
      <c r="K42" s="58">
        <v>10</v>
      </c>
      <c r="L42" s="58">
        <v>11</v>
      </c>
      <c r="M42" s="58">
        <v>12</v>
      </c>
      <c r="N42" s="58">
        <v>13</v>
      </c>
      <c r="O42" s="58">
        <v>14</v>
      </c>
      <c r="P42" s="58">
        <v>15</v>
      </c>
      <c r="Q42" s="58">
        <v>16</v>
      </c>
      <c r="R42" s="58">
        <v>17</v>
      </c>
      <c r="S42" s="58">
        <v>18</v>
      </c>
      <c r="T42" s="58">
        <v>19</v>
      </c>
      <c r="U42" s="58">
        <v>20</v>
      </c>
      <c r="V42" s="58">
        <v>21</v>
      </c>
      <c r="W42" s="58">
        <v>22</v>
      </c>
      <c r="X42" s="58">
        <v>23</v>
      </c>
      <c r="Y42" s="58">
        <v>24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10" customFormat="1" ht="20.100000000000001" customHeight="1" x14ac:dyDescent="0.3">
      <c r="A43" s="59" t="str">
        <f>'Assay summary'!C2</f>
        <v>HW350003A</v>
      </c>
      <c r="B43" s="58"/>
      <c r="C43" s="66">
        <f>($B$40-C22)/($B$40-$B$39)*100</f>
        <v>94.810538538911743</v>
      </c>
      <c r="D43" s="66">
        <f t="shared" ref="D43:L43" si="0">($B$40-D22)/($B$40-$B$39)*100</f>
        <v>90.217792328335136</v>
      </c>
      <c r="E43" s="66">
        <f t="shared" si="0"/>
        <v>82.696034455305579</v>
      </c>
      <c r="F43" s="66">
        <f t="shared" si="0"/>
        <v>73.57345636580412</v>
      </c>
      <c r="G43" s="66">
        <f t="shared" si="0"/>
        <v>44.971902148796275</v>
      </c>
      <c r="H43" s="66">
        <f t="shared" si="0"/>
        <v>22.864505054506331</v>
      </c>
      <c r="I43" s="66">
        <f t="shared" si="0"/>
        <v>-2.3886086223703229</v>
      </c>
      <c r="J43" s="66">
        <f t="shared" si="0"/>
        <v>-9.7006520565607666</v>
      </c>
      <c r="K43" s="66">
        <f t="shared" si="0"/>
        <v>-20.081516779096916</v>
      </c>
      <c r="L43" s="66">
        <f t="shared" si="0"/>
        <v>-13.007149708924132</v>
      </c>
      <c r="M43" s="66"/>
      <c r="N43" s="59" t="str">
        <f>'Assay summary'!C10</f>
        <v>HW356070</v>
      </c>
      <c r="O43" s="66">
        <f>($B$40-O22)/($B$40-$B$39)*100</f>
        <v>83.070025204568665</v>
      </c>
      <c r="P43" s="66">
        <f t="shared" ref="P43:X43" si="1">($B$40-P22)/($B$40-$B$39)*100</f>
        <v>80.92744268776238</v>
      </c>
      <c r="Q43" s="66">
        <f t="shared" si="1"/>
        <v>65.740622075163202</v>
      </c>
      <c r="R43" s="66">
        <f t="shared" si="1"/>
        <v>45.663959796965351</v>
      </c>
      <c r="S43" s="66">
        <f t="shared" si="1"/>
        <v>23.032276605577621</v>
      </c>
      <c r="T43" s="66">
        <f t="shared" si="1"/>
        <v>-1.1967315616346907</v>
      </c>
      <c r="U43" s="66">
        <f t="shared" si="1"/>
        <v>-8.9491753173872741</v>
      </c>
      <c r="V43" s="66">
        <f t="shared" si="1"/>
        <v>-16.722590517023768</v>
      </c>
      <c r="W43" s="66">
        <f t="shared" si="1"/>
        <v>-24.115024486102541</v>
      </c>
      <c r="X43" s="66">
        <f t="shared" si="1"/>
        <v>-6.1634685214743756</v>
      </c>
      <c r="Y43" s="66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10" customFormat="1" ht="20.100000000000001" customHeight="1" x14ac:dyDescent="0.3">
      <c r="A44" s="59"/>
      <c r="B44" s="58"/>
      <c r="C44" s="66">
        <f t="shared" ref="C44:L58" si="2">($B$40-C23)/($B$40-$B$39)*100</f>
        <v>94.331690570229085</v>
      </c>
      <c r="D44" s="66">
        <f t="shared" si="2"/>
        <v>88.56104826150613</v>
      </c>
      <c r="E44" s="66">
        <f t="shared" si="2"/>
        <v>82.161262636265846</v>
      </c>
      <c r="F44" s="66">
        <f t="shared" si="2"/>
        <v>73.000236899643866</v>
      </c>
      <c r="G44" s="66">
        <f t="shared" si="2"/>
        <v>47.586342152990561</v>
      </c>
      <c r="H44" s="66">
        <f t="shared" si="2"/>
        <v>21.35456109486471</v>
      </c>
      <c r="I44" s="66">
        <f t="shared" si="2"/>
        <v>2.5012330432283543</v>
      </c>
      <c r="J44" s="66">
        <f t="shared" si="2"/>
        <v>-7.5615647804018025</v>
      </c>
      <c r="K44" s="66">
        <f t="shared" si="2"/>
        <v>-8.2990605569860207</v>
      </c>
      <c r="L44" s="66">
        <f t="shared" si="2"/>
        <v>-16.988228806219983</v>
      </c>
      <c r="M44" s="66"/>
      <c r="N44" s="59"/>
      <c r="O44" s="66">
        <f t="shared" ref="O44:X44" si="3">($B$40-O23)/($B$40-$B$39)*100</f>
        <v>81.895624347069628</v>
      </c>
      <c r="P44" s="66">
        <f t="shared" si="3"/>
        <v>79.700613220553564</v>
      </c>
      <c r="Q44" s="66">
        <f t="shared" si="3"/>
        <v>63.227544049741155</v>
      </c>
      <c r="R44" s="66">
        <f t="shared" si="3"/>
        <v>41.609480646075816</v>
      </c>
      <c r="S44" s="66">
        <f t="shared" si="3"/>
        <v>15.769166540449639</v>
      </c>
      <c r="T44" s="66">
        <f t="shared" si="3"/>
        <v>-2.3606466971917741</v>
      </c>
      <c r="U44" s="66">
        <f t="shared" si="3"/>
        <v>-6.0865732272333677</v>
      </c>
      <c r="V44" s="66">
        <f t="shared" si="3"/>
        <v>-16.607247575662257</v>
      </c>
      <c r="W44" s="66">
        <f t="shared" si="3"/>
        <v>-14.181550566423171</v>
      </c>
      <c r="X44" s="66">
        <f t="shared" si="3"/>
        <v>-8.6835370281910649</v>
      </c>
      <c r="Y44" s="66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s="10" customFormat="1" ht="20.100000000000001" customHeight="1" x14ac:dyDescent="0.3">
      <c r="A45" s="59" t="str">
        <f>'Assay summary'!C3</f>
        <v>HW356057</v>
      </c>
      <c r="B45" s="58"/>
      <c r="C45" s="66">
        <f t="shared" si="2"/>
        <v>78.4632980314028</v>
      </c>
      <c r="D45" s="66">
        <f t="shared" si="2"/>
        <v>68.362052560652131</v>
      </c>
      <c r="E45" s="66">
        <f t="shared" si="2"/>
        <v>59.969979766440254</v>
      </c>
      <c r="F45" s="66">
        <f t="shared" si="2"/>
        <v>25.391564042517658</v>
      </c>
      <c r="G45" s="66">
        <f t="shared" si="2"/>
        <v>22.476533342653969</v>
      </c>
      <c r="H45" s="66">
        <f t="shared" si="2"/>
        <v>-5.4224775042428401</v>
      </c>
      <c r="I45" s="66">
        <f t="shared" si="2"/>
        <v>-8.4563463861153565</v>
      </c>
      <c r="J45" s="66">
        <f t="shared" si="2"/>
        <v>-4.4018672352258177</v>
      </c>
      <c r="K45" s="66">
        <f t="shared" si="2"/>
        <v>-10.689805159751922</v>
      </c>
      <c r="L45" s="66">
        <f t="shared" si="2"/>
        <v>-7.1596121059601687</v>
      </c>
      <c r="M45" s="66"/>
      <c r="N45" s="59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s="10" customFormat="1" ht="20.100000000000001" customHeight="1" x14ac:dyDescent="0.3">
      <c r="A46" s="59"/>
      <c r="B46" s="58"/>
      <c r="C46" s="66">
        <f t="shared" si="2"/>
        <v>76.292753589417956</v>
      </c>
      <c r="D46" s="66">
        <f t="shared" si="2"/>
        <v>63.129677311616241</v>
      </c>
      <c r="E46" s="66">
        <f t="shared" si="2"/>
        <v>48.194514025623988</v>
      </c>
      <c r="F46" s="66">
        <f t="shared" si="2"/>
        <v>30.281405708116331</v>
      </c>
      <c r="G46" s="66">
        <f t="shared" si="2"/>
        <v>7.9992465814604614</v>
      </c>
      <c r="H46" s="66">
        <f t="shared" si="2"/>
        <v>-14.842151048766381</v>
      </c>
      <c r="I46" s="66">
        <f t="shared" si="2"/>
        <v>-15.079827412784045</v>
      </c>
      <c r="J46" s="66">
        <f t="shared" si="2"/>
        <v>-12.965206821156308</v>
      </c>
      <c r="K46" s="66">
        <f t="shared" si="2"/>
        <v>-10.536014571269904</v>
      </c>
      <c r="L46" s="66">
        <f t="shared" si="2"/>
        <v>-9.7880330727437315</v>
      </c>
      <c r="M46" s="66"/>
      <c r="N46" s="5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s="10" customFormat="1" ht="20.100000000000001" customHeight="1" x14ac:dyDescent="0.3">
      <c r="A47" s="59" t="str">
        <f>'Assay summary'!C4</f>
        <v>HW356054</v>
      </c>
      <c r="B47" s="58"/>
      <c r="C47" s="66">
        <f t="shared" si="2"/>
        <v>77.173554232542244</v>
      </c>
      <c r="D47" s="66">
        <f t="shared" si="2"/>
        <v>79.081955625978182</v>
      </c>
      <c r="E47" s="66">
        <f t="shared" si="2"/>
        <v>74.940095458905674</v>
      </c>
      <c r="F47" s="66">
        <f t="shared" si="2"/>
        <v>54.167880291891422</v>
      </c>
      <c r="G47" s="66">
        <f t="shared" si="2"/>
        <v>30.962977634343453</v>
      </c>
      <c r="H47" s="66">
        <f t="shared" si="2"/>
        <v>5.3428636894983494</v>
      </c>
      <c r="I47" s="66">
        <f t="shared" si="2"/>
        <v>-2.9758090511198421</v>
      </c>
      <c r="J47" s="66">
        <f t="shared" si="2"/>
        <v>-6.4430877732598617</v>
      </c>
      <c r="K47" s="66">
        <f t="shared" si="2"/>
        <v>-6.1424970775904653</v>
      </c>
      <c r="L47" s="66">
        <f t="shared" si="2"/>
        <v>-6.6178498056257906</v>
      </c>
      <c r="M47" s="66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s="10" customFormat="1" ht="20.100000000000001" customHeight="1" x14ac:dyDescent="0.3">
      <c r="A48" s="59"/>
      <c r="B48" s="58"/>
      <c r="C48" s="66">
        <f t="shared" si="2"/>
        <v>78.00192626595674</v>
      </c>
      <c r="D48" s="66">
        <f t="shared" si="2"/>
        <v>82.084367342024834</v>
      </c>
      <c r="E48" s="66">
        <f t="shared" si="2"/>
        <v>75.202238507454567</v>
      </c>
      <c r="F48" s="66">
        <f t="shared" si="2"/>
        <v>60.752913671439615</v>
      </c>
      <c r="G48" s="66">
        <f t="shared" si="2"/>
        <v>35.608152454629831</v>
      </c>
      <c r="H48" s="66">
        <f t="shared" si="2"/>
        <v>13.829307981187833</v>
      </c>
      <c r="I48" s="66">
        <f t="shared" si="2"/>
        <v>5.2449969513734294</v>
      </c>
      <c r="J48" s="66">
        <f t="shared" si="2"/>
        <v>1.8056801544119589</v>
      </c>
      <c r="K48" s="66">
        <f t="shared" si="2"/>
        <v>-6.8205737631702661</v>
      </c>
      <c r="L48" s="66">
        <f t="shared" si="2"/>
        <v>-0.59205492964857864</v>
      </c>
      <c r="M48" s="66"/>
      <c r="N48" s="5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s="10" customFormat="1" ht="20.100000000000001" customHeight="1" x14ac:dyDescent="0.3">
      <c r="A49" s="59" t="str">
        <f>'Assay summary'!C5</f>
        <v>HW356060</v>
      </c>
      <c r="B49" s="58"/>
      <c r="C49" s="66">
        <f t="shared" si="2"/>
        <v>86.138846492914368</v>
      </c>
      <c r="D49" s="66">
        <f t="shared" si="2"/>
        <v>84.607931089388828</v>
      </c>
      <c r="E49" s="66">
        <f t="shared" si="2"/>
        <v>74.206094922968774</v>
      </c>
      <c r="F49" s="66">
        <f t="shared" si="2"/>
        <v>61.36458078472036</v>
      </c>
      <c r="G49" s="66">
        <f t="shared" si="2"/>
        <v>41.389280485294741</v>
      </c>
      <c r="H49" s="66">
        <f t="shared" si="2"/>
        <v>17.880291891430051</v>
      </c>
      <c r="I49" s="66">
        <f t="shared" si="2"/>
        <v>10.463391237820051</v>
      </c>
      <c r="J49" s="66">
        <f t="shared" si="2"/>
        <v>7.0939792538049522</v>
      </c>
      <c r="K49" s="66">
        <f t="shared" si="2"/>
        <v>1.7567467853494989</v>
      </c>
      <c r="L49" s="66">
        <f t="shared" si="2"/>
        <v>6.9996077563273511</v>
      </c>
      <c r="M49" s="66"/>
      <c r="N49" s="5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s="10" customFormat="1" ht="20.100000000000001" customHeight="1" x14ac:dyDescent="0.3">
      <c r="A50" s="59"/>
      <c r="B50" s="58"/>
      <c r="C50" s="66">
        <f t="shared" si="2"/>
        <v>86.45341815117304</v>
      </c>
      <c r="D50" s="66">
        <f t="shared" si="2"/>
        <v>83.849463868920708</v>
      </c>
      <c r="E50" s="66">
        <f t="shared" si="2"/>
        <v>76.114496316404711</v>
      </c>
      <c r="F50" s="66">
        <f t="shared" si="2"/>
        <v>52.923574621446015</v>
      </c>
      <c r="G50" s="66">
        <f t="shared" si="2"/>
        <v>23.622972274974462</v>
      </c>
      <c r="H50" s="66">
        <f t="shared" si="2"/>
        <v>21.326599169686162</v>
      </c>
      <c r="I50" s="66">
        <f t="shared" si="2"/>
        <v>5.5176257218642784</v>
      </c>
      <c r="J50" s="66">
        <f t="shared" si="2"/>
        <v>-0.42777861922460597</v>
      </c>
      <c r="K50" s="66">
        <f t="shared" si="2"/>
        <v>-4.5661435456497905</v>
      </c>
      <c r="L50" s="66">
        <f t="shared" si="2"/>
        <v>-1.6336366425495119</v>
      </c>
      <c r="M50" s="66"/>
      <c r="N50" s="59"/>
      <c r="O50" s="66"/>
      <c r="P50" s="66"/>
      <c r="Q50" s="66"/>
      <c r="R50" s="66"/>
      <c r="S50" s="66"/>
      <c r="T50" s="66"/>
      <c r="U50" s="66"/>
      <c r="V50" s="66"/>
      <c r="W50" s="66"/>
      <c r="X50" s="103"/>
      <c r="Y50" s="66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s="10" customFormat="1" ht="20.100000000000001" customHeight="1" x14ac:dyDescent="0.3">
      <c r="A51" s="59" t="str">
        <f>'Assay summary'!C6</f>
        <v>HW356064</v>
      </c>
      <c r="B51" s="58"/>
      <c r="C51" s="66">
        <f t="shared" si="2"/>
        <v>94.737138485318056</v>
      </c>
      <c r="D51" s="66">
        <f t="shared" si="2"/>
        <v>88.945524732711178</v>
      </c>
      <c r="E51" s="66">
        <f t="shared" si="2"/>
        <v>81.895624347069628</v>
      </c>
      <c r="F51" s="66">
        <f t="shared" si="2"/>
        <v>67.568632933710816</v>
      </c>
      <c r="G51" s="66">
        <f t="shared" si="2"/>
        <v>35.940200316125093</v>
      </c>
      <c r="H51" s="66">
        <f t="shared" si="2"/>
        <v>4.6438155600346365</v>
      </c>
      <c r="I51" s="66">
        <f t="shared" si="2"/>
        <v>1.8790802080056488</v>
      </c>
      <c r="J51" s="66">
        <f t="shared" si="2"/>
        <v>8.845094818111555</v>
      </c>
      <c r="K51" s="66">
        <f t="shared" si="2"/>
        <v>3.4274718147677747</v>
      </c>
      <c r="L51" s="66">
        <f t="shared" si="2"/>
        <v>3.4903861464195085</v>
      </c>
      <c r="M51" s="66"/>
      <c r="N51" s="5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 s="10" customFormat="1" ht="20.100000000000001" customHeight="1" x14ac:dyDescent="0.3">
      <c r="A52" s="59"/>
      <c r="B52" s="58"/>
      <c r="C52" s="66">
        <f t="shared" si="2"/>
        <v>94.859471907974196</v>
      </c>
      <c r="D52" s="66">
        <f t="shared" si="2"/>
        <v>89.392915535567951</v>
      </c>
      <c r="E52" s="66">
        <f t="shared" si="2"/>
        <v>78.9736031659113</v>
      </c>
      <c r="F52" s="66">
        <f t="shared" si="2"/>
        <v>68.239719137995976</v>
      </c>
      <c r="G52" s="66">
        <f t="shared" si="2"/>
        <v>37.020229676146535</v>
      </c>
      <c r="H52" s="66">
        <f t="shared" si="2"/>
        <v>19.225959540647704</v>
      </c>
      <c r="I52" s="66">
        <f t="shared" si="2"/>
        <v>-2.2103513493570754</v>
      </c>
      <c r="J52" s="66">
        <f t="shared" si="2"/>
        <v>-0.90313134725993116</v>
      </c>
      <c r="K52" s="66">
        <f t="shared" si="2"/>
        <v>-6.1564780401797385</v>
      </c>
      <c r="L52" s="66">
        <f t="shared" si="2"/>
        <v>-7.3798122667412382</v>
      </c>
      <c r="M52" s="66"/>
      <c r="N52" s="5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 s="10" customFormat="1" ht="20.100000000000001" customHeight="1" x14ac:dyDescent="0.3">
      <c r="A53" s="59" t="str">
        <f>'Assay summary'!C7</f>
        <v>HW356071</v>
      </c>
      <c r="B53" s="58"/>
      <c r="C53" s="66">
        <f t="shared" si="2"/>
        <v>83.430034991242479</v>
      </c>
      <c r="D53" s="66">
        <f t="shared" si="2"/>
        <v>80.979871297472158</v>
      </c>
      <c r="E53" s="66">
        <f t="shared" si="2"/>
        <v>74.317942623682981</v>
      </c>
      <c r="F53" s="66">
        <f t="shared" si="2"/>
        <v>51.368192533389255</v>
      </c>
      <c r="G53" s="66">
        <f t="shared" si="2"/>
        <v>21.976713930087417</v>
      </c>
      <c r="H53" s="66">
        <f t="shared" si="2"/>
        <v>3.5567957187185617</v>
      </c>
      <c r="I53" s="66">
        <f t="shared" si="2"/>
        <v>-7.1805835498440791</v>
      </c>
      <c r="J53" s="66">
        <f t="shared" si="2"/>
        <v>-4.6150769147122501</v>
      </c>
      <c r="K53" s="66">
        <f t="shared" si="2"/>
        <v>-10.357757298256658</v>
      </c>
      <c r="L53" s="66">
        <f t="shared" si="2"/>
        <v>-11.45176762086737</v>
      </c>
      <c r="M53" s="66"/>
      <c r="N53" s="5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 s="10" customFormat="1" ht="20.100000000000001" customHeight="1" x14ac:dyDescent="0.3">
      <c r="A54" s="59"/>
      <c r="B54" s="58"/>
      <c r="C54" s="66">
        <f t="shared" si="2"/>
        <v>83.524406488720075</v>
      </c>
      <c r="D54" s="66">
        <f t="shared" si="2"/>
        <v>82.84982504378759</v>
      </c>
      <c r="E54" s="66">
        <f t="shared" si="2"/>
        <v>73.258884707545448</v>
      </c>
      <c r="F54" s="66">
        <f t="shared" si="2"/>
        <v>47.614304078169113</v>
      </c>
      <c r="G54" s="66">
        <f t="shared" si="2"/>
        <v>20.138217349597848</v>
      </c>
      <c r="H54" s="66">
        <f t="shared" si="2"/>
        <v>12.644421401746838</v>
      </c>
      <c r="I54" s="66">
        <f t="shared" si="2"/>
        <v>-13.93688372111087</v>
      </c>
      <c r="J54" s="66">
        <f t="shared" si="2"/>
        <v>-3.056199586008169</v>
      </c>
      <c r="K54" s="66">
        <f t="shared" si="2"/>
        <v>-17.152505116643955</v>
      </c>
      <c r="L54" s="66">
        <f t="shared" si="2"/>
        <v>-6.8660118915854076</v>
      </c>
      <c r="M54" s="66"/>
      <c r="N54" s="5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s="10" customFormat="1" ht="20.100000000000001" customHeight="1" x14ac:dyDescent="0.3">
      <c r="A55" s="59" t="str">
        <f>'Assay summary'!C8</f>
        <v>HW356009-P1</v>
      </c>
      <c r="B55" s="58"/>
      <c r="C55" s="66">
        <f t="shared" si="2"/>
        <v>83.55236841389862</v>
      </c>
      <c r="D55" s="66">
        <f t="shared" si="2"/>
        <v>82.094853063966795</v>
      </c>
      <c r="E55" s="66">
        <f t="shared" si="2"/>
        <v>74.800285833012936</v>
      </c>
      <c r="F55" s="66">
        <f t="shared" si="2"/>
        <v>59.152093454967705</v>
      </c>
      <c r="G55" s="66">
        <f t="shared" si="2"/>
        <v>19.163045208995968</v>
      </c>
      <c r="H55" s="66">
        <f t="shared" si="2"/>
        <v>0.54389828072995594</v>
      </c>
      <c r="I55" s="66">
        <f t="shared" si="2"/>
        <v>-6.9429071858264164</v>
      </c>
      <c r="J55" s="66">
        <f t="shared" si="2"/>
        <v>-9.5084138209582463</v>
      </c>
      <c r="K55" s="66">
        <f t="shared" si="2"/>
        <v>-10.23192863495319</v>
      </c>
      <c r="L55" s="66">
        <f t="shared" si="2"/>
        <v>-9.3686041950655028</v>
      </c>
      <c r="M55" s="66"/>
      <c r="N55" s="5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s="10" customFormat="1" ht="20.100000000000001" customHeight="1" x14ac:dyDescent="0.3">
      <c r="A56" s="53"/>
      <c r="B56" s="58"/>
      <c r="C56" s="66">
        <f t="shared" si="2"/>
        <v>83.828492425036799</v>
      </c>
      <c r="D56" s="66">
        <f t="shared" si="2"/>
        <v>82.220681727270247</v>
      </c>
      <c r="E56" s="66">
        <f t="shared" si="2"/>
        <v>75.258162357811671</v>
      </c>
      <c r="F56" s="66">
        <f t="shared" si="2"/>
        <v>47.70518033499939</v>
      </c>
      <c r="G56" s="66">
        <f t="shared" si="2"/>
        <v>20.225598365780812</v>
      </c>
      <c r="H56" s="66">
        <f t="shared" si="2"/>
        <v>6.810864761372148</v>
      </c>
      <c r="I56" s="66">
        <f t="shared" si="2"/>
        <v>-10.151538100064862</v>
      </c>
      <c r="J56" s="66">
        <f t="shared" si="2"/>
        <v>-6.8869833354693197</v>
      </c>
      <c r="K56" s="66">
        <f t="shared" si="2"/>
        <v>-19.137801804320901</v>
      </c>
      <c r="L56" s="66">
        <f t="shared" si="2"/>
        <v>-0.99400760409021405</v>
      </c>
      <c r="M56" s="66"/>
      <c r="N56" s="5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s="10" customFormat="1" ht="20.100000000000001" customHeight="1" x14ac:dyDescent="0.3">
      <c r="A57" s="59" t="str">
        <f>'Assay summary'!C9</f>
        <v>HW356016</v>
      </c>
      <c r="B57" s="58"/>
      <c r="C57" s="66">
        <f t="shared" si="2"/>
        <v>76.072553428636894</v>
      </c>
      <c r="D57" s="66">
        <f t="shared" si="2"/>
        <v>63.293953622040213</v>
      </c>
      <c r="E57" s="66">
        <f t="shared" si="2"/>
        <v>52.004326331201234</v>
      </c>
      <c r="F57" s="66">
        <f t="shared" si="2"/>
        <v>16.024319107703892</v>
      </c>
      <c r="G57" s="66">
        <f t="shared" si="2"/>
        <v>3.7385482323791268</v>
      </c>
      <c r="H57" s="66">
        <f t="shared" si="2"/>
        <v>-6.995335795536195</v>
      </c>
      <c r="I57" s="66">
        <f t="shared" si="2"/>
        <v>-13.664254950620021</v>
      </c>
      <c r="J57" s="66">
        <f t="shared" si="2"/>
        <v>-15.632075435060377</v>
      </c>
      <c r="K57" s="66">
        <f t="shared" si="2"/>
        <v>-8.2990605569860207</v>
      </c>
      <c r="L57" s="66">
        <f t="shared" si="2"/>
        <v>-17.169981319880549</v>
      </c>
      <c r="M57" s="66"/>
      <c r="N57" s="5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s="10" customFormat="1" ht="20.100000000000001" customHeight="1" x14ac:dyDescent="0.3">
      <c r="A58" s="59"/>
      <c r="B58" s="58"/>
      <c r="C58" s="66">
        <f t="shared" si="2"/>
        <v>77.355306746202814</v>
      </c>
      <c r="D58" s="66">
        <f t="shared" si="2"/>
        <v>69.001681599111436</v>
      </c>
      <c r="E58" s="66">
        <f t="shared" si="2"/>
        <v>46.46786514584862</v>
      </c>
      <c r="F58" s="66">
        <f t="shared" si="2"/>
        <v>19.250426225178931</v>
      </c>
      <c r="G58" s="66">
        <f t="shared" si="2"/>
        <v>9.2540379738478276</v>
      </c>
      <c r="H58" s="66">
        <f t="shared" si="2"/>
        <v>-4.1502099086188808</v>
      </c>
      <c r="I58" s="66">
        <f t="shared" si="2"/>
        <v>-18.491182284566964</v>
      </c>
      <c r="J58" s="66">
        <f t="shared" si="2"/>
        <v>-6.7436784689292582</v>
      </c>
      <c r="K58" s="66">
        <f t="shared" si="2"/>
        <v>-22.402356568916442</v>
      </c>
      <c r="L58" s="66">
        <f t="shared" si="2"/>
        <v>-7.7747744598882358</v>
      </c>
      <c r="M58" s="66"/>
      <c r="N58" s="5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 s="10" customFormat="1" ht="20.100000000000001" customHeight="1" x14ac:dyDescent="0.3">
      <c r="A59" s="60"/>
      <c r="B59" s="61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1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s="10" customFormat="1" ht="20.100000000000001" customHeight="1" x14ac:dyDescent="0.3">
      <c r="A60" s="53"/>
      <c r="B60" s="157" t="str">
        <f>B61&amp;" in "&amp;'Assay summary'!$B$2</f>
        <v>HW350003A in WRN(517-1238) FI assay_ATP preincubation</v>
      </c>
      <c r="C60" s="158"/>
      <c r="D60" s="158"/>
      <c r="E60" s="158"/>
      <c r="F60" s="159"/>
      <c r="G60" s="61"/>
      <c r="H60" s="61"/>
      <c r="I60" s="61"/>
      <c r="J60" s="61"/>
      <c r="K60" s="53"/>
      <c r="L60" s="53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s="10" customFormat="1" ht="20.100000000000001" customHeight="1" x14ac:dyDescent="0.3">
      <c r="A61" s="53"/>
      <c r="B61" s="70" t="str">
        <f>'Assay summary'!C2</f>
        <v>HW350003A</v>
      </c>
      <c r="C61" s="71"/>
      <c r="D61" s="72" t="s">
        <v>31</v>
      </c>
      <c r="E61" s="72"/>
      <c r="F61" s="73"/>
      <c r="G61" s="61"/>
      <c r="H61" s="61"/>
      <c r="I61" s="61"/>
      <c r="J61" s="61"/>
      <c r="K61" s="53" t="str">
        <f ca="1">[1]!xf4_FitData("",[1]!xf4_SetModel("205"),[1]!xf4_SetParameters(0,FALSE,TRUE,100,FALSE,TRUE,1,FALSE,TRUE,0.1,FALSE,TRUE),[1]!xf4_SetData(B62,B63:B72,D61,E63:E72))</f>
        <v>#Ok</v>
      </c>
      <c r="L61" s="53"/>
      <c r="O61" s="157" t="str">
        <f>O62&amp;" in "&amp;'Assay summary'!$B$2</f>
        <v>HW356070 in WRN(517-1238) FI assay_ATP preincubation</v>
      </c>
      <c r="P61" s="158"/>
      <c r="Q61" s="158"/>
      <c r="R61" s="158"/>
      <c r="S61" s="159"/>
      <c r="T61" s="61"/>
      <c r="U61" s="61"/>
      <c r="V61" s="61"/>
      <c r="W61" s="61"/>
      <c r="X61" s="53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s="10" customFormat="1" ht="20.100000000000001" customHeight="1" x14ac:dyDescent="0.3">
      <c r="A62" s="53"/>
      <c r="B62" s="74" t="s">
        <v>37</v>
      </c>
      <c r="C62" s="75" t="s">
        <v>32</v>
      </c>
      <c r="D62" s="75" t="s">
        <v>33</v>
      </c>
      <c r="E62" s="75" t="s">
        <v>34</v>
      </c>
      <c r="F62" s="75" t="s">
        <v>28</v>
      </c>
      <c r="G62" s="74" t="s">
        <v>35</v>
      </c>
      <c r="H62" s="74" t="s">
        <v>86</v>
      </c>
      <c r="I62" s="74" t="s">
        <v>81</v>
      </c>
      <c r="J62" s="74" t="s">
        <v>36</v>
      </c>
      <c r="K62" s="53" t="str">
        <f ca="1">[1]!xf4_Chart2D([1]!xf_Init()&amp;[1]!xf_Title(B60)&amp;[1]!xf_LabelX([1]!xf4_XLabel(K61))&amp;[1]!xf_LabelY([1]!xf4_YLabel(K61))&amp;[1]!xf_ScaleX(FALSE,0.05,100000,,TRUE)&amp;[1]!xf_ScaleY(FALSE,-25,120,30,FALSE)&amp;[1]!xf_Header(K63),[1]!xf4_C2DFit(K61,F63:F73,F63:F73)&amp;[1]!xf4_C2DFitDetails(7,0,0.05,0,0.05)&amp;[1]!xf4_C2DFitPoints(101,,,,1,-1))</f>
        <v>#Ok</v>
      </c>
      <c r="L62" s="53"/>
      <c r="O62" s="70" t="str">
        <f>'Assay summary'!C10</f>
        <v>HW356070</v>
      </c>
      <c r="P62" s="71"/>
      <c r="Q62" s="72" t="s">
        <v>31</v>
      </c>
      <c r="R62" s="72"/>
      <c r="S62" s="73"/>
      <c r="T62" s="61"/>
      <c r="U62" s="61"/>
      <c r="V62" s="61"/>
      <c r="W62" s="61"/>
      <c r="X62" s="53" t="str">
        <f ca="1">[1]!xf4_FitData("",[1]!xf4_SetModel("205"),[1]!xf4_SetParameters(0,FALSE,TRUE,100,FALSE,TRUE,1,FALSE,TRUE,0.1,FALSE,TRUE),[1]!xf4_SetData(O63,O64:O73,Q62,R64:R73))</f>
        <v>#Ok</v>
      </c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s="10" customFormat="1" ht="20.100000000000001" customHeight="1" x14ac:dyDescent="0.3">
      <c r="A63" s="53"/>
      <c r="B63" s="76">
        <f ca="1">OFFSET(INDEX('Assay protocol'!C:C,MATCH(B61,'Assay protocol'!C:C,0)),0,2)</f>
        <v>10000</v>
      </c>
      <c r="C63" s="66">
        <f ca="1">OFFSET(INDEX(A:A,MATCH(B61,A:A,0)),0,2)</f>
        <v>94.810538538911743</v>
      </c>
      <c r="D63" s="66">
        <f ca="1">OFFSET(INDEX(A:A,MATCH(B61,A:A,0)),1,2)</f>
        <v>94.331690570229085</v>
      </c>
      <c r="E63" s="66">
        <f ca="1">AVERAGE(C63:D63)</f>
        <v>94.571114554570414</v>
      </c>
      <c r="F63" s="66">
        <f ca="1">STDEV(C63:D63)</f>
        <v>0.33859664581291077</v>
      </c>
      <c r="G63" s="85">
        <v>-16.469493990506667</v>
      </c>
      <c r="H63" s="85">
        <v>94.458193548683056</v>
      </c>
      <c r="I63" s="85">
        <v>86.812580480323035</v>
      </c>
      <c r="J63" s="77">
        <v>0.90388219301951467</v>
      </c>
      <c r="K63" s="53" t="str">
        <f ca="1">IF(I63&lt;B63,I62&amp;"="&amp;ROUND(I63,1)&amp;"nM",I62&amp;"&gt;"&amp;B63&amp;"nM")</f>
        <v>IC50=86.8nM</v>
      </c>
      <c r="L63" s="53"/>
      <c r="O63" s="74" t="s">
        <v>37</v>
      </c>
      <c r="P63" s="75" t="s">
        <v>32</v>
      </c>
      <c r="Q63" s="75" t="s">
        <v>33</v>
      </c>
      <c r="R63" s="75" t="s">
        <v>34</v>
      </c>
      <c r="S63" s="75" t="s">
        <v>28</v>
      </c>
      <c r="T63" s="74" t="s">
        <v>35</v>
      </c>
      <c r="U63" s="74" t="s">
        <v>86</v>
      </c>
      <c r="V63" s="74" t="s">
        <v>81</v>
      </c>
      <c r="W63" s="74" t="s">
        <v>36</v>
      </c>
      <c r="X63" s="53" t="str">
        <f ca="1">[1]!xf4_Chart2D([1]!xf_Init()&amp;[1]!xf_Title(O61)&amp;[1]!xf_LabelX([1]!xf4_XLabel(X62))&amp;[1]!xf_LabelY([1]!xf4_YLabel(X62))&amp;[1]!xf_ScaleX(FALSE,0.05,100000,,TRUE)&amp;[1]!xf_ScaleY(FALSE,-29,120,30,FALSE)&amp;[1]!xf_Header(X64),[1]!xf4_C2DFit(X62,S64:S74,S64:S74)&amp;[1]!xf4_C2DFitDetails(7,0,0.05,0,0.05)&amp;[1]!xf4_C2DFitPoints(101,,,,1,-1))</f>
        <v>#Ok</v>
      </c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10" customFormat="1" ht="20.100000000000001" customHeight="1" x14ac:dyDescent="0.3">
      <c r="A64" s="53"/>
      <c r="B64" s="76">
        <f ca="1">B63/OFFSET(INDEX('Assay protocol'!C:C,MATCH(B61,'Assay protocol'!C:C,0)),0,3)</f>
        <v>3333.3333333333335</v>
      </c>
      <c r="C64" s="66">
        <f ca="1">OFFSET(INDEX(A:A,MATCH(B61,A:A,0)),0,3)</f>
        <v>90.217792328335136</v>
      </c>
      <c r="D64" s="66">
        <f ca="1">OFFSET(INDEX(A:A,MATCH(B61,A:A,0)),1,3)</f>
        <v>88.56104826150613</v>
      </c>
      <c r="E64" s="66">
        <f ca="1">AVERAGE(C64:D64)</f>
        <v>89.389420294920626</v>
      </c>
      <c r="F64" s="66">
        <f t="shared" ref="F64:F72" ca="1" si="4">STDEV(C64:D64)</f>
        <v>1.1714949643453689</v>
      </c>
      <c r="G64" s="61"/>
      <c r="H64" s="61"/>
      <c r="I64" s="61"/>
      <c r="J64" s="61"/>
      <c r="K64" s="53"/>
      <c r="L64" s="53"/>
      <c r="O64" s="76">
        <f ca="1">OFFSET(INDEX('Assay protocol'!C:C,MATCH(O62,'Assay protocol'!C:C,0)),0,2)</f>
        <v>10000</v>
      </c>
      <c r="P64" s="66">
        <f ca="1">OFFSET(INDEX(N:N,MATCH(O62,N:N,0)),0,1)</f>
        <v>83.070025204568665</v>
      </c>
      <c r="Q64" s="66">
        <f ca="1">OFFSET(INDEX(N:N,MATCH(O62,N:N,0)),1,1)</f>
        <v>81.895624347069628</v>
      </c>
      <c r="R64" s="66">
        <f ca="1">AVERAGE(P64:Q64)</f>
        <v>82.482824775819154</v>
      </c>
      <c r="S64" s="66">
        <f ca="1">STDEV(P64:Q64)</f>
        <v>0.83042681016886566</v>
      </c>
      <c r="T64" s="85">
        <v>-14.841502190886009</v>
      </c>
      <c r="U64" s="85">
        <v>86.19015319504885</v>
      </c>
      <c r="V64" s="59">
        <v>263.92537630012231</v>
      </c>
      <c r="W64" s="77">
        <v>0.96987181111249909</v>
      </c>
      <c r="X64" s="53" t="str">
        <f ca="1">IF(V64&lt;O64,V63&amp;"="&amp;ROUND(V64,0)&amp;"nM",V63&amp;"&gt;"&amp;O64&amp;"nM")</f>
        <v>IC50=264nM</v>
      </c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s="10" customFormat="1" ht="20.100000000000001" customHeight="1" x14ac:dyDescent="0.3">
      <c r="A65" s="53"/>
      <c r="B65" s="76">
        <f ca="1">B64/OFFSET(INDEX('Assay protocol'!C:C,MATCH(B61,'Assay protocol'!C:C,0)),0,3)</f>
        <v>1111.1111111111111</v>
      </c>
      <c r="C65" s="66">
        <f ca="1">OFFSET(INDEX(A:A,MATCH(B61,A:A,0)),0,4)</f>
        <v>82.696034455305579</v>
      </c>
      <c r="D65" s="66">
        <f ca="1">OFFSET(INDEX(A:A,MATCH(B61,A:A,0)),1,4)</f>
        <v>82.161262636265846</v>
      </c>
      <c r="E65" s="66">
        <f ca="1">AVERAGE(C65:D65)</f>
        <v>82.428648545785705</v>
      </c>
      <c r="F65" s="66">
        <f t="shared" ca="1" si="4"/>
        <v>0.37814077963046044</v>
      </c>
      <c r="G65" s="61"/>
      <c r="H65" s="61"/>
      <c r="I65" s="61"/>
      <c r="J65" s="61"/>
      <c r="K65" s="53"/>
      <c r="L65" s="53"/>
      <c r="O65" s="76">
        <f ca="1">O64/OFFSET(INDEX('Assay protocol'!C:C,MATCH(O62,'Assay protocol'!C:C,0)),0,3)</f>
        <v>3333.3333333333335</v>
      </c>
      <c r="P65" s="66">
        <f ca="1">OFFSET(INDEX(N:N,MATCH(O62,N:N,0)),0,2)</f>
        <v>80.92744268776238</v>
      </c>
      <c r="Q65" s="66">
        <f ca="1">OFFSET(INDEX(N:N,MATCH(O62,N:N,0)),1,2)</f>
        <v>79.700613220553564</v>
      </c>
      <c r="R65" s="66">
        <f ca="1">AVERAGE(P65:Q65)</f>
        <v>80.314027954157979</v>
      </c>
      <c r="S65" s="66">
        <f t="shared" ref="S65:S73" ca="1" si="5">STDEV(P65:Q65)</f>
        <v>0.86749943562283294</v>
      </c>
      <c r="T65" s="61"/>
      <c r="U65" s="61"/>
      <c r="V65" s="61"/>
      <c r="W65" s="61"/>
      <c r="X65" s="53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s="10" customFormat="1" ht="20.100000000000001" customHeight="1" x14ac:dyDescent="0.3">
      <c r="A66" s="53"/>
      <c r="B66" s="76">
        <f ca="1">B65/OFFSET(INDEX('Assay protocol'!C:C,MATCH(B61,'Assay protocol'!C:C,0)),0,3)</f>
        <v>370.37037037037038</v>
      </c>
      <c r="C66" s="66">
        <f ca="1">OFFSET(INDEX(A:A,MATCH(B61,A:A,0)),0,5)</f>
        <v>73.57345636580412</v>
      </c>
      <c r="D66" s="66">
        <f ca="1">OFFSET(INDEX(A:A,MATCH(B61,A:A,0)),1,5)</f>
        <v>73.000236899643866</v>
      </c>
      <c r="E66" s="66">
        <f ca="1">AVERAGE(C66:D66)</f>
        <v>73.286846632723993</v>
      </c>
      <c r="F66" s="66">
        <f t="shared" ca="1" si="4"/>
        <v>0.40532737163004789</v>
      </c>
      <c r="G66" s="61"/>
      <c r="H66" s="61"/>
      <c r="I66" s="61"/>
      <c r="J66" s="61"/>
      <c r="K66" s="53"/>
      <c r="L66" s="53"/>
      <c r="O66" s="76">
        <f ca="1">O65/OFFSET(INDEX('Assay protocol'!C:C,MATCH(O62,'Assay protocol'!C:C,0)),0,3)</f>
        <v>1111.1111111111111</v>
      </c>
      <c r="P66" s="66">
        <f ca="1">OFFSET(INDEX(N:N,MATCH(O62,N:N,0)),0,3)</f>
        <v>65.740622075163202</v>
      </c>
      <c r="Q66" s="66">
        <f ca="1">OFFSET(INDEX(N:N,MATCH(O62,N:N,0)),1,3)</f>
        <v>63.227544049741155</v>
      </c>
      <c r="R66" s="66">
        <f ca="1">AVERAGE(P66:Q66)</f>
        <v>64.484083062452186</v>
      </c>
      <c r="S66" s="66">
        <f t="shared" ca="1" si="5"/>
        <v>1.7770145134268283</v>
      </c>
      <c r="T66" s="61"/>
      <c r="U66" s="61"/>
      <c r="V66" s="61"/>
      <c r="W66" s="61"/>
      <c r="X66" s="53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s="10" customFormat="1" ht="20.100000000000001" customHeight="1" x14ac:dyDescent="0.3">
      <c r="A67" s="53"/>
      <c r="B67" s="76">
        <f ca="1">B66/OFFSET(INDEX('Assay protocol'!C:C,MATCH(B61,'Assay protocol'!C:C,0)),0,3)</f>
        <v>123.4567901234568</v>
      </c>
      <c r="C67" s="66">
        <f ca="1">OFFSET(INDEX(A:A,MATCH(B61,A:A,0)),0,6)</f>
        <v>44.971902148796275</v>
      </c>
      <c r="D67" s="66">
        <f ca="1">OFFSET(INDEX(A:A,MATCH(B61,A:A,0)),1,6)</f>
        <v>47.586342152990561</v>
      </c>
      <c r="E67" s="66">
        <f t="shared" ref="E67:E71" ca="1" si="6">AVERAGE(C67:D67)</f>
        <v>46.279122150893414</v>
      </c>
      <c r="F67" s="66">
        <f t="shared" ca="1" si="4"/>
        <v>1.8486882559711653</v>
      </c>
      <c r="G67" s="61"/>
      <c r="H67" s="61"/>
      <c r="I67" s="61"/>
      <c r="J67" s="61"/>
      <c r="K67" s="61"/>
      <c r="L67" s="61"/>
      <c r="O67" s="76">
        <f ca="1">O66/OFFSET(INDEX('Assay protocol'!C:C,MATCH(O62,'Assay protocol'!C:C,0)),0,3)</f>
        <v>370.37037037037038</v>
      </c>
      <c r="P67" s="66">
        <f ca="1">OFFSET(INDEX(N:N,MATCH(O62,N:N,0)),0,4)</f>
        <v>45.663959796965351</v>
      </c>
      <c r="Q67" s="66">
        <f ca="1">OFFSET(INDEX(N:N,MATCH(O62,N:N,0)),1,4)</f>
        <v>41.609480646075816</v>
      </c>
      <c r="R67" s="66">
        <f ca="1">AVERAGE(P67:Q67)</f>
        <v>43.636720221520584</v>
      </c>
      <c r="S67" s="66">
        <f t="shared" ca="1" si="5"/>
        <v>2.8669497017734651</v>
      </c>
      <c r="T67" s="61"/>
      <c r="U67" s="61"/>
      <c r="V67" s="61"/>
      <c r="W67" s="61"/>
      <c r="X67" s="53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s="10" customFormat="1" ht="20.100000000000001" customHeight="1" x14ac:dyDescent="0.3">
      <c r="A68" s="53"/>
      <c r="B68" s="76">
        <f ca="1">B67/OFFSET(INDEX('Assay protocol'!C:C,MATCH(B61,'Assay protocol'!C:C,0)),0,3)</f>
        <v>41.152263374485599</v>
      </c>
      <c r="C68" s="66">
        <f ca="1">OFFSET(INDEX(A:A,MATCH(B61,A:A,0)),0,7)</f>
        <v>22.864505054506331</v>
      </c>
      <c r="D68" s="66">
        <f ca="1">OFFSET(INDEX(A:A,MATCH(B61,A:A,0)),1,7)</f>
        <v>21.35456109486471</v>
      </c>
      <c r="E68" s="66">
        <f ca="1">AVERAGE(C68:D68)</f>
        <v>22.109533074685523</v>
      </c>
      <c r="F68" s="66">
        <f t="shared" ca="1" si="4"/>
        <v>1.0676916130742569</v>
      </c>
      <c r="G68" s="61"/>
      <c r="H68" s="61"/>
      <c r="I68" s="61"/>
      <c r="J68" s="61"/>
      <c r="K68" s="61"/>
      <c r="L68" s="61"/>
      <c r="O68" s="76">
        <f ca="1">O67/OFFSET(INDEX('Assay protocol'!C:C,MATCH(O62,'Assay protocol'!C:C,0)),0,3)</f>
        <v>123.4567901234568</v>
      </c>
      <c r="P68" s="66">
        <f ca="1">OFFSET(INDEX(N:N,MATCH(O62,N:N,0)),0,5)</f>
        <v>23.032276605577621</v>
      </c>
      <c r="Q68" s="66">
        <f ca="1">OFFSET(INDEX(N:N,MATCH(O62,N:N,0)),1,5)</f>
        <v>15.769166540449639</v>
      </c>
      <c r="R68" s="66">
        <f t="shared" ref="R68" ca="1" si="7">AVERAGE(P68:Q68)</f>
        <v>19.40072157301363</v>
      </c>
      <c r="S68" s="66">
        <f t="shared" ca="1" si="5"/>
        <v>5.1357943795562635</v>
      </c>
      <c r="T68" s="61"/>
      <c r="U68" s="61"/>
      <c r="V68" s="61"/>
      <c r="W68" s="61"/>
      <c r="X68" s="61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s="10" customFormat="1" ht="20.100000000000001" customHeight="1" x14ac:dyDescent="0.3">
      <c r="A69" s="53"/>
      <c r="B69" s="76">
        <f ca="1">B68/OFFSET(INDEX('Assay protocol'!C:C,MATCH(B61,'Assay protocol'!C:C,0)),0,3)</f>
        <v>13.717421124828533</v>
      </c>
      <c r="C69" s="66">
        <f ca="1">OFFSET(INDEX(A:A,MATCH(B61,A:A,0)),0,8)</f>
        <v>-2.3886086223703229</v>
      </c>
      <c r="D69" s="66">
        <f ca="1">OFFSET(INDEX(A:A,MATCH(B61,A:A,0)),1,8)</f>
        <v>2.5012330432283543</v>
      </c>
      <c r="E69" s="66">
        <f t="shared" ca="1" si="6"/>
        <v>5.6312210429015686E-2</v>
      </c>
      <c r="F69" s="66">
        <f t="shared" ca="1" si="4"/>
        <v>3.4576402006733469</v>
      </c>
      <c r="G69" s="61"/>
      <c r="H69" s="61"/>
      <c r="I69" s="61"/>
      <c r="J69" s="61"/>
      <c r="K69" s="61"/>
      <c r="L69" s="61"/>
      <c r="O69" s="76">
        <f ca="1">O68/OFFSET(INDEX('Assay protocol'!C:C,MATCH(O62,'Assay protocol'!C:C,0)),0,3)</f>
        <v>41.152263374485599</v>
      </c>
      <c r="P69" s="66">
        <f ca="1">OFFSET(INDEX(N:N,MATCH(O62,N:N,0)),0,6)</f>
        <v>-1.1967315616346907</v>
      </c>
      <c r="Q69" s="66">
        <f ca="1">OFFSET(INDEX(N:N,MATCH(O62,N:N,0)),1,6)</f>
        <v>-2.3606466971917741</v>
      </c>
      <c r="R69" s="66">
        <f ca="1">AVERAGE(P69:Q69)</f>
        <v>-1.7786891294132325</v>
      </c>
      <c r="S69" s="66">
        <f t="shared" ca="1" si="5"/>
        <v>0.82301228507807267</v>
      </c>
      <c r="T69" s="61"/>
      <c r="U69" s="61"/>
      <c r="V69" s="61"/>
      <c r="W69" s="61"/>
      <c r="X69" s="61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s="10" customFormat="1" ht="20.100000000000001" customHeight="1" x14ac:dyDescent="0.3">
      <c r="A70" s="53"/>
      <c r="B70" s="76">
        <f ca="1">B69/OFFSET(INDEX('Assay protocol'!C:C,MATCH(B61,'Assay protocol'!C:C,0)),0,3)</f>
        <v>4.5724737082761777</v>
      </c>
      <c r="C70" s="66">
        <f ca="1">OFFSET(INDEX(A:A,MATCH(B61,A:A,0)),0,9)</f>
        <v>-9.7006520565607666</v>
      </c>
      <c r="D70" s="66">
        <f ca="1">OFFSET(INDEX(A:A,MATCH(B61,A:A,0)),1,9)</f>
        <v>-7.5615647804018025</v>
      </c>
      <c r="E70" s="66">
        <f t="shared" ca="1" si="6"/>
        <v>-8.6311084184812845</v>
      </c>
      <c r="F70" s="66">
        <f t="shared" ca="1" si="4"/>
        <v>1.512563118521858</v>
      </c>
      <c r="G70" s="61"/>
      <c r="H70" s="61"/>
      <c r="I70" s="61"/>
      <c r="J70" s="61"/>
      <c r="K70" s="53"/>
      <c r="L70" s="53"/>
      <c r="O70" s="76">
        <f ca="1">O69/OFFSET(INDEX('Assay protocol'!C:C,MATCH(O62,'Assay protocol'!C:C,0)),0,3)</f>
        <v>13.717421124828533</v>
      </c>
      <c r="P70" s="66">
        <f ca="1">OFFSET(INDEX(N:N,MATCH(O62,N:N,0)),0,7)</f>
        <v>-8.9491753173872741</v>
      </c>
      <c r="Q70" s="66">
        <f ca="1">OFFSET(INDEX(N:N,MATCH(O62,N:N,0)),1,7)</f>
        <v>-6.0865732272333677</v>
      </c>
      <c r="R70" s="66">
        <f t="shared" ref="R70:R72" ca="1" si="8">AVERAGE(P70:Q70)</f>
        <v>-7.5178742723103209</v>
      </c>
      <c r="S70" s="66">
        <f t="shared" ca="1" si="5"/>
        <v>2.0241653497866117</v>
      </c>
      <c r="T70" s="61"/>
      <c r="U70" s="61"/>
      <c r="V70" s="61"/>
      <c r="W70" s="61"/>
      <c r="X70" s="61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s="10" customFormat="1" ht="20.100000000000001" customHeight="1" x14ac:dyDescent="0.3">
      <c r="A71" s="53"/>
      <c r="B71" s="76">
        <f ca="1">B70/OFFSET(INDEX('Assay protocol'!C:C,MATCH(B61,'Assay protocol'!C:C,0)),0,3)</f>
        <v>1.524157902758726</v>
      </c>
      <c r="C71" s="66">
        <f ca="1">OFFSET(INDEX(A:A,MATCH(B61,A:A,0)),0,10)</f>
        <v>-20.081516779096916</v>
      </c>
      <c r="D71" s="66">
        <f ca="1">OFFSET(INDEX(A:A,MATCH(B61,A:A,0)),1,10)</f>
        <v>-8.2990605569860207</v>
      </c>
      <c r="E71" s="66">
        <f t="shared" ca="1" si="6"/>
        <v>-14.190288668041468</v>
      </c>
      <c r="F71" s="66">
        <f t="shared" ca="1" si="4"/>
        <v>8.3314546936882437</v>
      </c>
      <c r="G71" s="61"/>
      <c r="H71" s="61"/>
      <c r="I71" s="61"/>
      <c r="J71" s="61"/>
      <c r="K71" s="53"/>
      <c r="L71" s="53"/>
      <c r="O71" s="76">
        <f ca="1">O70/OFFSET(INDEX('Assay protocol'!C:C,MATCH(O62,'Assay protocol'!C:C,0)),0,3)</f>
        <v>4.5724737082761777</v>
      </c>
      <c r="P71" s="66">
        <f ca="1">OFFSET(INDEX(N:N,MATCH(O62,N:N,0)),0,8)</f>
        <v>-16.722590517023768</v>
      </c>
      <c r="Q71" s="66">
        <f ca="1">OFFSET(INDEX(N:N,MATCH(O62,N:N,0)),1,8)</f>
        <v>-16.607247575662257</v>
      </c>
      <c r="R71" s="66">
        <f t="shared" ca="1" si="8"/>
        <v>-16.664919046343012</v>
      </c>
      <c r="S71" s="66">
        <f t="shared" ca="1" si="5"/>
        <v>8.1559775998727074E-2</v>
      </c>
      <c r="T71" s="61"/>
      <c r="U71" s="61"/>
      <c r="V71" s="61"/>
      <c r="W71" s="61"/>
      <c r="X71" s="53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s="10" customFormat="1" ht="20.100000000000001" customHeight="1" x14ac:dyDescent="0.3">
      <c r="A72" s="53"/>
      <c r="B72" s="76">
        <f ca="1">B71/OFFSET(INDEX('Assay protocol'!C:C,MATCH(B61,'Assay protocol'!C:C,0)),0,3)</f>
        <v>0.5080526342529087</v>
      </c>
      <c r="C72" s="66">
        <f ca="1">OFFSET(INDEX(A:A,MATCH(B61,A:A,0)),0,11)</f>
        <v>-13.007149708924132</v>
      </c>
      <c r="D72" s="66">
        <f ca="1">OFFSET(INDEX(A:A,MATCH(B61,A:A,0)),1,11)</f>
        <v>-16.988228806219983</v>
      </c>
      <c r="E72" s="66">
        <f ca="1">AVERAGE(C72:D72)</f>
        <v>-14.997689257572057</v>
      </c>
      <c r="F72" s="66">
        <f t="shared" ca="1" si="4"/>
        <v>2.8150480261379109</v>
      </c>
      <c r="G72" s="61"/>
      <c r="H72" s="61"/>
      <c r="I72" s="61"/>
      <c r="J72" s="61"/>
      <c r="K72" s="53"/>
      <c r="L72" s="53"/>
      <c r="O72" s="76">
        <f ca="1">O71/OFFSET(INDEX('Assay protocol'!C:C,MATCH(O62,'Assay protocol'!C:C,0)),0,3)</f>
        <v>1.524157902758726</v>
      </c>
      <c r="P72" s="66">
        <f ca="1">OFFSET(INDEX(N:N,MATCH(O62,N:N,0)),0,9)</f>
        <v>-24.115024486102541</v>
      </c>
      <c r="Q72" s="66">
        <f ca="1">OFFSET(INDEX(N:N,MATCH(O62,N:N,0)),1,9)</f>
        <v>-14.181550566423171</v>
      </c>
      <c r="R72" s="66">
        <f t="shared" ca="1" si="8"/>
        <v>-19.148287526262855</v>
      </c>
      <c r="S72" s="66">
        <f t="shared" ca="1" si="5"/>
        <v>7.024026769345002</v>
      </c>
      <c r="T72" s="61"/>
      <c r="U72" s="61"/>
      <c r="V72" s="61"/>
      <c r="W72" s="61"/>
      <c r="X72" s="53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s="10" customFormat="1" ht="20.100000000000001" customHeight="1" x14ac:dyDescent="0.55000000000000004">
      <c r="A73" s="53"/>
      <c r="B73" s="78"/>
      <c r="C73" s="78"/>
      <c r="D73" s="78"/>
      <c r="E73" s="78"/>
      <c r="F73" s="78"/>
      <c r="G73" s="61"/>
      <c r="H73" s="61"/>
      <c r="I73" s="61"/>
      <c r="J73" s="61"/>
      <c r="K73" s="53"/>
      <c r="L73" s="53"/>
      <c r="M73" s="53"/>
      <c r="N73" s="53"/>
      <c r="O73" s="76">
        <f ca="1">O72/OFFSET(INDEX('Assay protocol'!C:C,MATCH(O62,'Assay protocol'!C:C,0)),0,3)</f>
        <v>0.5080526342529087</v>
      </c>
      <c r="P73" s="66">
        <f ca="1">OFFSET(INDEX(N:N,MATCH(O62,N:N,0)),0,10)</f>
        <v>-6.1634685214743756</v>
      </c>
      <c r="Q73" s="66">
        <f ca="1">OFFSET(INDEX(N:N,MATCH(O62,N:N,0)),1,10)</f>
        <v>-8.6835370281910649</v>
      </c>
      <c r="R73" s="66">
        <f ca="1">AVERAGE(P73:Q73)</f>
        <v>-7.4235027748327198</v>
      </c>
      <c r="S73" s="66">
        <f t="shared" ca="1" si="5"/>
        <v>1.7819575301540305</v>
      </c>
      <c r="T73" s="61"/>
      <c r="U73" s="61"/>
      <c r="V73" s="61"/>
      <c r="W73" s="61"/>
      <c r="X73" s="53"/>
      <c r="AD73" s="61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s="10" customFormat="1" ht="20.100000000000001" customHeight="1" x14ac:dyDescent="0.3">
      <c r="A74" s="53"/>
      <c r="B74" s="79"/>
      <c r="C74" s="61"/>
      <c r="D74" s="61"/>
      <c r="E74" s="61"/>
      <c r="F74" s="61"/>
      <c r="G74" s="61"/>
      <c r="H74" s="61"/>
      <c r="I74" s="61"/>
      <c r="J74" s="61"/>
      <c r="K74" s="53"/>
      <c r="L74" s="53"/>
      <c r="M74" s="53"/>
      <c r="N74" s="53"/>
      <c r="O74" s="61"/>
      <c r="AD74" s="61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s="10" customFormat="1" ht="20.100000000000001" customHeight="1" x14ac:dyDescent="0.3">
      <c r="A75" s="53"/>
      <c r="B75" s="157" t="str">
        <f>B76&amp;" in "&amp;'Assay summary'!$B$2</f>
        <v>HW356057 in WRN(517-1238) FI assay_ATP preincubation</v>
      </c>
      <c r="C75" s="158"/>
      <c r="D75" s="158"/>
      <c r="E75" s="158"/>
      <c r="F75" s="159"/>
      <c r="G75" s="53"/>
      <c r="H75" s="53"/>
      <c r="I75" s="53"/>
      <c r="J75" s="53"/>
      <c r="K75" s="53"/>
      <c r="L75" s="53"/>
      <c r="M75" s="53"/>
      <c r="N75" s="53"/>
      <c r="O75" s="61"/>
      <c r="AD75" s="61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s="10" customFormat="1" ht="20.100000000000001" customHeight="1" x14ac:dyDescent="0.3">
      <c r="A76" s="53"/>
      <c r="B76" s="70" t="str">
        <f>'Assay summary'!C3</f>
        <v>HW356057</v>
      </c>
      <c r="C76" s="71"/>
      <c r="D76" s="72" t="s">
        <v>31</v>
      </c>
      <c r="E76" s="72"/>
      <c r="F76" s="73"/>
      <c r="G76" s="61"/>
      <c r="H76" s="61"/>
      <c r="I76" s="61"/>
      <c r="J76" s="61"/>
      <c r="K76" s="53" t="str">
        <f ca="1">[1]!xf4_FitData("",[1]!xf4_SetModel("205"),[1]!xf4_SetParameters(0,FALSE,TRUE,100,TRUE,FALSE,1,FALSE,TRUE,0.1,FALSE,TRUE),[1]!xf4_SetData(B77,B78:B87,D76,E78:E87))</f>
        <v>#Ok</v>
      </c>
      <c r="L76" s="53"/>
      <c r="M76" s="53"/>
      <c r="AD76" s="61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s="10" customFormat="1" ht="20.100000000000001" customHeight="1" x14ac:dyDescent="0.3">
      <c r="A77" s="53"/>
      <c r="B77" s="74" t="s">
        <v>37</v>
      </c>
      <c r="C77" s="75" t="s">
        <v>32</v>
      </c>
      <c r="D77" s="75" t="s">
        <v>33</v>
      </c>
      <c r="E77" s="75" t="s">
        <v>34</v>
      </c>
      <c r="F77" s="75" t="s">
        <v>28</v>
      </c>
      <c r="G77" s="74" t="s">
        <v>35</v>
      </c>
      <c r="H77" s="74" t="s">
        <v>87</v>
      </c>
      <c r="I77" s="74" t="s">
        <v>81</v>
      </c>
      <c r="J77" s="74" t="s">
        <v>36</v>
      </c>
      <c r="K77" s="53" t="str">
        <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f>
        <v>#Ok</v>
      </c>
      <c r="L77" s="53"/>
      <c r="M77" s="53"/>
      <c r="X77" s="61"/>
      <c r="Y77" s="61"/>
      <c r="Z77" s="61"/>
      <c r="AA77" s="61"/>
      <c r="AB77" s="61"/>
      <c r="AC77" s="61"/>
      <c r="AD77" s="61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0" customFormat="1" ht="20.100000000000001" customHeight="1" x14ac:dyDescent="0.3">
      <c r="A78" s="53"/>
      <c r="B78" s="76">
        <f ca="1">OFFSET(INDEX('Assay protocol'!C:C,MATCH(B76,'Assay protocol'!C:C,0)),0,2)</f>
        <v>10000</v>
      </c>
      <c r="C78" s="66">
        <f ca="1">OFFSET(INDEX(A:A,MATCH(B76,A:A,0)),0,2)</f>
        <v>78.4632980314028</v>
      </c>
      <c r="D78" s="66">
        <f ca="1">OFFSET(INDEX(A:A,MATCH(B76,A:A,0)),1,2)</f>
        <v>76.292753589417956</v>
      </c>
      <c r="E78" s="66">
        <f ca="1">AVERAGE(C78:D78)</f>
        <v>77.378025810410378</v>
      </c>
      <c r="F78" s="66">
        <f ca="1">STDEV(C78:D78)</f>
        <v>1.5348066937942546</v>
      </c>
      <c r="G78" s="85">
        <v>-13.73644908206894</v>
      </c>
      <c r="H78" s="85">
        <v>100</v>
      </c>
      <c r="I78" s="59">
        <v>839.72102930693825</v>
      </c>
      <c r="J78" s="77">
        <v>0.67836634124620154</v>
      </c>
      <c r="K78" s="53" t="str">
        <f ca="1">IF(I78&lt;B78,I77&amp;"="&amp;ROUND(I78,0)&amp;"nM",I77&amp;"&gt;"&amp;B78&amp;"nM")</f>
        <v>IC50=840nM</v>
      </c>
      <c r="L78" s="53"/>
      <c r="M78" s="53"/>
      <c r="X78" s="61"/>
      <c r="Y78" s="61"/>
      <c r="Z78" s="61"/>
      <c r="AA78" s="61"/>
      <c r="AB78" s="61"/>
      <c r="AC78" s="61"/>
      <c r="AD78" s="61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0" customFormat="1" ht="20.100000000000001" customHeight="1" x14ac:dyDescent="0.3">
      <c r="A79" s="53"/>
      <c r="B79" s="76">
        <f ca="1">B78/OFFSET(INDEX('Assay protocol'!C:C,MATCH(B76,'Assay protocol'!C:C,0)),0,3)</f>
        <v>3333.3333333333335</v>
      </c>
      <c r="C79" s="66">
        <f ca="1">OFFSET(INDEX(A:A,MATCH(B76,A:A,0)),0,3)</f>
        <v>68.362052560652131</v>
      </c>
      <c r="D79" s="66">
        <f ca="1">OFFSET(INDEX(A:A,MATCH(B76,A:A,0)),1,3)</f>
        <v>63.129677311616241</v>
      </c>
      <c r="E79" s="66">
        <f ca="1">AVERAGE(C79:D79)</f>
        <v>65.745864936134183</v>
      </c>
      <c r="F79" s="66">
        <f t="shared" ref="F79:F87" ca="1" si="9">STDEV(C79:D79)</f>
        <v>3.6998480203059279</v>
      </c>
      <c r="G79" s="61"/>
      <c r="H79" s="61"/>
      <c r="I79" s="61"/>
      <c r="J79" s="61"/>
      <c r="K79" s="53"/>
      <c r="L79" s="53"/>
      <c r="M79" s="53"/>
      <c r="X79" s="61"/>
      <c r="Y79" s="61"/>
      <c r="Z79" s="61"/>
      <c r="AA79" s="61"/>
      <c r="AB79" s="61"/>
      <c r="AC79" s="61"/>
      <c r="AD79" s="61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0" customFormat="1" ht="20.100000000000001" customHeight="1" x14ac:dyDescent="0.3">
      <c r="A80" s="53"/>
      <c r="B80" s="76">
        <f ca="1">B79/OFFSET(INDEX('Assay protocol'!C:C,MATCH(B76,'Assay protocol'!C:C,0)),0,3)</f>
        <v>1111.1111111111111</v>
      </c>
      <c r="C80" s="66">
        <f ca="1">OFFSET(INDEX(A:A,MATCH(B76,A:A,0)),0,4)</f>
        <v>59.969979766440254</v>
      </c>
      <c r="D80" s="66">
        <f ca="1">OFFSET(INDEX(A:A,MATCH(B76,A:A,0)),1,4)</f>
        <v>48.194514025623988</v>
      </c>
      <c r="E80" s="66">
        <f ca="1">AVERAGE(C80:D80)</f>
        <v>54.082246896032117</v>
      </c>
      <c r="F80" s="66">
        <f t="shared" ca="1" si="9"/>
        <v>8.3265116769610881</v>
      </c>
      <c r="G80" s="61"/>
      <c r="H80" s="61"/>
      <c r="I80" s="61"/>
      <c r="J80" s="61"/>
      <c r="K80" s="53"/>
      <c r="L80" s="53"/>
      <c r="M80" s="53"/>
      <c r="X80" s="61"/>
      <c r="Y80" s="61"/>
      <c r="Z80" s="61"/>
      <c r="AA80" s="61"/>
      <c r="AB80" s="61"/>
      <c r="AC80" s="61"/>
      <c r="AD80" s="61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s="10" customFormat="1" ht="20.100000000000001" customHeight="1" x14ac:dyDescent="0.3">
      <c r="A81" s="53"/>
      <c r="B81" s="76">
        <f ca="1">B80/OFFSET(INDEX('Assay protocol'!C:C,MATCH(B76,'Assay protocol'!C:C,0)),0,3)</f>
        <v>370.37037037037038</v>
      </c>
      <c r="C81" s="66">
        <f ca="1">OFFSET(INDEX(A:A,MATCH(B76,A:A,0)),0,5)</f>
        <v>25.391564042517658</v>
      </c>
      <c r="D81" s="66">
        <f ca="1">OFFSET(INDEX(A:A,MATCH(B76,A:A,0)),1,5)</f>
        <v>30.281405708116331</v>
      </c>
      <c r="E81" s="66">
        <f ca="1">AVERAGE(C81:D81)</f>
        <v>27.836484875316994</v>
      </c>
      <c r="F81" s="66">
        <f t="shared" ca="1" si="9"/>
        <v>3.4576402006733442</v>
      </c>
      <c r="G81" s="61"/>
      <c r="H81" s="61"/>
      <c r="I81" s="61"/>
      <c r="J81" s="61"/>
      <c r="K81" s="53"/>
      <c r="L81" s="53"/>
      <c r="M81" s="53"/>
      <c r="X81" s="61"/>
      <c r="Y81" s="61"/>
      <c r="Z81" s="61"/>
      <c r="AA81" s="61"/>
      <c r="AB81" s="61"/>
      <c r="AC81" s="61"/>
      <c r="AD81" s="61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1:47" s="10" customFormat="1" ht="20.100000000000001" customHeight="1" x14ac:dyDescent="0.3">
      <c r="A82" s="53"/>
      <c r="B82" s="76">
        <f ca="1">B81/OFFSET(INDEX('Assay protocol'!C:C,MATCH(B76,'Assay protocol'!C:C,0)),0,3)</f>
        <v>123.4567901234568</v>
      </c>
      <c r="C82" s="66">
        <f ca="1">OFFSET(INDEX(A:A,MATCH(B76,A:A,0)),0,6)</f>
        <v>22.476533342653969</v>
      </c>
      <c r="D82" s="66">
        <f ca="1">OFFSET(INDEX(A:A,MATCH(B76,A:A,0)),1,6)</f>
        <v>7.9992465814604614</v>
      </c>
      <c r="E82" s="66">
        <f t="shared" ref="E82:E86" ca="1" si="10">AVERAGE(C82:D82)</f>
        <v>15.237889962057215</v>
      </c>
      <c r="F82" s="66">
        <f t="shared" ca="1" si="9"/>
        <v>10.236987642022161</v>
      </c>
      <c r="G82" s="61"/>
      <c r="H82" s="61"/>
      <c r="I82" s="53"/>
      <c r="J82" s="61"/>
      <c r="K82" s="53"/>
      <c r="L82" s="53"/>
      <c r="M82" s="53"/>
      <c r="X82" s="61"/>
      <c r="Y82" s="61"/>
      <c r="Z82" s="61"/>
      <c r="AA82" s="61"/>
      <c r="AB82" s="61"/>
      <c r="AC82" s="61"/>
      <c r="AD82" s="61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 s="10" customFormat="1" ht="20.100000000000001" customHeight="1" x14ac:dyDescent="0.3">
      <c r="A83" s="53"/>
      <c r="B83" s="76">
        <f ca="1">B82/OFFSET(INDEX('Assay protocol'!C:C,MATCH(B76,'Assay protocol'!C:C,0)),0,3)</f>
        <v>41.152263374485599</v>
      </c>
      <c r="C83" s="66">
        <f ca="1">OFFSET(INDEX(A:A,MATCH(B76,A:A,0)),0,7)</f>
        <v>-5.4224775042428401</v>
      </c>
      <c r="D83" s="66">
        <f ca="1">OFFSET(INDEX(A:A,MATCH(B76,A:A,0)),1,7)</f>
        <v>-14.842151048766381</v>
      </c>
      <c r="E83" s="66">
        <f t="shared" ca="1" si="10"/>
        <v>-10.13231427650461</v>
      </c>
      <c r="F83" s="66">
        <f t="shared" ca="1" si="9"/>
        <v>6.6607150398961181</v>
      </c>
      <c r="G83" s="61"/>
      <c r="H83" s="61"/>
      <c r="I83" s="61"/>
      <c r="J83" s="61"/>
      <c r="K83" s="53"/>
      <c r="L83" s="53"/>
      <c r="M83" s="53"/>
      <c r="X83" s="61"/>
      <c r="Y83" s="61"/>
      <c r="Z83" s="61"/>
      <c r="AA83" s="61"/>
      <c r="AB83" s="61"/>
      <c r="AC83" s="61"/>
      <c r="AD83" s="61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 s="10" customFormat="1" ht="20.100000000000001" customHeight="1" x14ac:dyDescent="0.3">
      <c r="A84" s="53"/>
      <c r="B84" s="76">
        <f ca="1">B83/OFFSET(INDEX('Assay protocol'!C:C,MATCH(B76,'Assay protocol'!C:C,0)),0,3)</f>
        <v>13.717421124828533</v>
      </c>
      <c r="C84" s="66">
        <f ca="1">OFFSET(INDEX(A:A,MATCH(B76,A:A,0)),0,8)</f>
        <v>-8.4563463861153565</v>
      </c>
      <c r="D84" s="66">
        <f ca="1">OFFSET(INDEX(A:A,MATCH(B76,A:A,0)),1,8)</f>
        <v>-15.079827412784045</v>
      </c>
      <c r="E84" s="66">
        <f t="shared" ca="1" si="10"/>
        <v>-11.768086899449701</v>
      </c>
      <c r="F84" s="66">
        <f t="shared" ca="1" si="9"/>
        <v>4.6835083490178651</v>
      </c>
      <c r="G84" s="61"/>
      <c r="H84" s="61"/>
      <c r="I84" s="61"/>
      <c r="J84" s="61"/>
      <c r="K84" s="53"/>
      <c r="L84" s="53"/>
      <c r="M84" s="53"/>
      <c r="X84" s="61"/>
      <c r="Y84" s="61"/>
      <c r="Z84" s="61"/>
      <c r="AA84" s="61"/>
      <c r="AB84" s="61"/>
      <c r="AC84" s="61"/>
      <c r="AD84" s="61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 s="10" customFormat="1" ht="20.100000000000001" customHeight="1" x14ac:dyDescent="0.3">
      <c r="A85" s="53"/>
      <c r="B85" s="76">
        <f ca="1">B84/OFFSET(INDEX('Assay protocol'!C:C,MATCH(B76,'Assay protocol'!C:C,0)),0,3)</f>
        <v>4.5724737082761777</v>
      </c>
      <c r="C85" s="66">
        <f ca="1">OFFSET(INDEX(A:A,MATCH(B76,A:A,0)),0,9)</f>
        <v>-4.4018672352258177</v>
      </c>
      <c r="D85" s="66">
        <f ca="1">OFFSET(INDEX(A:A,MATCH(B76,A:A,0)),1,9)</f>
        <v>-12.965206821156308</v>
      </c>
      <c r="E85" s="66">
        <f t="shared" ca="1" si="10"/>
        <v>-8.6835370281910631</v>
      </c>
      <c r="F85" s="66">
        <f t="shared" ca="1" si="9"/>
        <v>6.0551954908146497</v>
      </c>
      <c r="G85" s="61"/>
      <c r="H85" s="61"/>
      <c r="I85" s="61"/>
      <c r="J85" s="61"/>
      <c r="K85" s="53"/>
      <c r="L85" s="53"/>
      <c r="M85" s="53"/>
      <c r="X85" s="61"/>
      <c r="Y85" s="61"/>
      <c r="Z85" s="61"/>
      <c r="AA85" s="61"/>
      <c r="AB85" s="61"/>
      <c r="AC85" s="61"/>
      <c r="AD85" s="61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s="10" customFormat="1" ht="20.100000000000001" customHeight="1" x14ac:dyDescent="0.3">
      <c r="A86" s="53"/>
      <c r="B86" s="76">
        <f ca="1">B85/OFFSET(INDEX('Assay protocol'!C:C,MATCH(B76,'Assay protocol'!C:C,0)),0,3)</f>
        <v>1.524157902758726</v>
      </c>
      <c r="C86" s="66">
        <f ca="1">OFFSET(INDEX(A:A,MATCH(B76,A:A,0)),0,10)</f>
        <v>-10.689805159751922</v>
      </c>
      <c r="D86" s="66">
        <f ca="1">OFFSET(INDEX(A:A,MATCH(B76,A:A,0)),1,10)</f>
        <v>-10.536014571269904</v>
      </c>
      <c r="E86" s="66">
        <f t="shared" ca="1" si="10"/>
        <v>-10.612909865510913</v>
      </c>
      <c r="F86" s="66">
        <f t="shared" ca="1" si="9"/>
        <v>0.10874636799830444</v>
      </c>
      <c r="G86" s="61"/>
      <c r="H86" s="61"/>
      <c r="I86" s="61"/>
      <c r="J86" s="61"/>
      <c r="K86" s="53"/>
      <c r="L86" s="53"/>
      <c r="M86" s="53"/>
      <c r="X86" s="61"/>
      <c r="Y86" s="61"/>
      <c r="Z86" s="61"/>
      <c r="AA86" s="61"/>
      <c r="AB86" s="61"/>
      <c r="AC86" s="61"/>
      <c r="AD86" s="61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 s="10" customFormat="1" ht="20.100000000000001" customHeight="1" x14ac:dyDescent="0.3">
      <c r="A87" s="53"/>
      <c r="B87" s="76">
        <f ca="1">B86/OFFSET(INDEX('Assay protocol'!C:C,MATCH(B76,'Assay protocol'!C:C,0)),0,3)</f>
        <v>0.5080526342529087</v>
      </c>
      <c r="C87" s="66">
        <f ca="1">OFFSET(INDEX(A:A,MATCH(B76,A:A,0)),0,11)</f>
        <v>-7.1596121059601687</v>
      </c>
      <c r="D87" s="66">
        <f ca="1">OFFSET(INDEX(A:A,MATCH(B76,A:A,0)),1,11)</f>
        <v>-9.7880330727437315</v>
      </c>
      <c r="E87" s="66">
        <f ca="1">AVERAGE(C87:D87)</f>
        <v>-8.4738225893519505</v>
      </c>
      <c r="F87" s="66">
        <f t="shared" ca="1" si="9"/>
        <v>1.858574289425551</v>
      </c>
      <c r="G87" s="61"/>
      <c r="H87" s="61"/>
      <c r="I87" s="61"/>
      <c r="J87" s="61"/>
      <c r="K87" s="53"/>
      <c r="L87" s="53"/>
      <c r="M87" s="53"/>
      <c r="X87" s="61"/>
      <c r="Y87" s="61"/>
      <c r="Z87" s="61"/>
      <c r="AA87" s="61"/>
      <c r="AB87" s="61"/>
      <c r="AC87" s="61"/>
      <c r="AD87" s="61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 s="10" customFormat="1" ht="20.100000000000001" customHeight="1" x14ac:dyDescent="0.55000000000000004">
      <c r="A88" s="53"/>
      <c r="B88" s="78"/>
      <c r="C88" s="78"/>
      <c r="D88" s="78"/>
      <c r="E88" s="78"/>
      <c r="F88" s="78"/>
      <c r="G88" s="61"/>
      <c r="H88" s="61"/>
      <c r="I88" s="61"/>
      <c r="J88" s="61"/>
      <c r="K88" s="53"/>
      <c r="L88" s="53"/>
      <c r="M88" s="53"/>
      <c r="X88" s="61"/>
      <c r="Y88" s="61"/>
      <c r="Z88" s="61"/>
      <c r="AA88" s="61"/>
      <c r="AB88" s="61"/>
      <c r="AC88" s="61"/>
      <c r="AD88" s="61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 s="10" customFormat="1" ht="20.100000000000001" customHeight="1" x14ac:dyDescent="0.3">
      <c r="A89" s="53"/>
      <c r="B89" s="79"/>
      <c r="C89" s="61"/>
      <c r="D89" s="61"/>
      <c r="E89" s="61"/>
      <c r="F89" s="61"/>
      <c r="G89" s="61"/>
      <c r="H89" s="61"/>
      <c r="I89" s="61"/>
      <c r="J89" s="61"/>
      <c r="K89" s="53"/>
      <c r="L89" s="53"/>
      <c r="M89" s="53"/>
      <c r="N89" s="53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1:47" s="10" customFormat="1" ht="20.100000000000001" customHeight="1" x14ac:dyDescent="0.3">
      <c r="A90" s="53"/>
      <c r="B90" s="157" t="str">
        <f>B91&amp;" in "&amp;'Assay summary'!$B$2</f>
        <v>HW356054 in WRN(517-1238) FI assay_ATP preincubation</v>
      </c>
      <c r="C90" s="158"/>
      <c r="D90" s="158"/>
      <c r="E90" s="158"/>
      <c r="F90" s="159"/>
      <c r="G90" s="53"/>
      <c r="H90" s="53"/>
      <c r="I90" s="53"/>
      <c r="J90" s="53"/>
      <c r="K90" s="53"/>
      <c r="L90" s="53"/>
      <c r="M90" s="53"/>
      <c r="N90" s="53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1:47" s="10" customFormat="1" ht="20.100000000000001" customHeight="1" x14ac:dyDescent="0.3">
      <c r="A91" s="53"/>
      <c r="B91" s="70" t="str">
        <f>'Assay summary'!C4</f>
        <v>HW356054</v>
      </c>
      <c r="C91" s="71"/>
      <c r="D91" s="72" t="s">
        <v>31</v>
      </c>
      <c r="E91" s="72"/>
      <c r="F91" s="73"/>
      <c r="G91" s="61"/>
      <c r="H91" s="61"/>
      <c r="I91" s="61"/>
      <c r="J91" s="61"/>
      <c r="K91" s="53" t="str">
        <f ca="1">[1]!xf4_FitData("",[1]!xf4_SetModel("205"),[1]!xf4_SetParameters(0,FALSE,TRUE,100,FALSE,TRUE,1,FALSE,TRUE,0.1,FALSE,TRUE),[1]!xf4_SetData(B92,B93:B103,D91,E93:E103))</f>
        <v>#Ok</v>
      </c>
      <c r="L91" s="53"/>
      <c r="M91" s="53"/>
      <c r="N91" s="53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1:47" s="10" customFormat="1" ht="20.100000000000001" customHeight="1" x14ac:dyDescent="0.3">
      <c r="A92" s="53"/>
      <c r="B92" s="74" t="s">
        <v>37</v>
      </c>
      <c r="C92" s="75" t="s">
        <v>32</v>
      </c>
      <c r="D92" s="75" t="s">
        <v>33</v>
      </c>
      <c r="E92" s="75" t="s">
        <v>34</v>
      </c>
      <c r="F92" s="75" t="s">
        <v>28</v>
      </c>
      <c r="G92" s="74" t="s">
        <v>35</v>
      </c>
      <c r="H92" s="74" t="s">
        <v>87</v>
      </c>
      <c r="I92" s="74" t="s">
        <v>81</v>
      </c>
      <c r="J92" s="74" t="s">
        <v>36</v>
      </c>
      <c r="K92" s="53" t="str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#Ok</v>
      </c>
      <c r="L92" s="53"/>
      <c r="M92" s="53"/>
      <c r="N92" s="53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1:47" s="10" customFormat="1" ht="20.100000000000001" customHeight="1" x14ac:dyDescent="0.3">
      <c r="A93" s="53"/>
      <c r="B93" s="76">
        <f ca="1">OFFSET(INDEX('Assay protocol'!C:C,MATCH(B91,'Assay protocol'!C:C,0)),0,2)</f>
        <v>10000</v>
      </c>
      <c r="C93" s="66">
        <f ca="1">OFFSET(INDEX(A:A,MATCH(B91,A:A,0)),0,2)</f>
        <v>77.173554232542244</v>
      </c>
      <c r="D93" s="66">
        <f ca="1">OFFSET(INDEX(A:A,MATCH(B91,A:A,0)),1,2)</f>
        <v>78.00192626595674</v>
      </c>
      <c r="E93" s="66">
        <f ca="1">AVERAGE(C93:D93)</f>
        <v>77.587740249249492</v>
      </c>
      <c r="F93" s="66">
        <f ca="1">STDEV(C93:D93)</f>
        <v>0.58574748217267947</v>
      </c>
      <c r="G93" s="77">
        <v>-4.4397820900488014</v>
      </c>
      <c r="H93" s="85">
        <v>80.650389475772414</v>
      </c>
      <c r="I93" s="59">
        <v>152.51781628024955</v>
      </c>
      <c r="J93" s="77">
        <v>1.2038359793385278</v>
      </c>
      <c r="K93" s="53" t="str">
        <f ca="1">IF(I93&lt;B93,I92&amp;"="&amp;ROUND(I93,0)&amp;"nM",I92&amp;"&gt;"&amp;B93&amp;"nM")</f>
        <v>IC50=153nM</v>
      </c>
      <c r="L93" s="53"/>
      <c r="M93" s="53"/>
      <c r="N93" s="53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1:47" s="10" customFormat="1" ht="20.100000000000001" customHeight="1" x14ac:dyDescent="0.3">
      <c r="A94" s="53"/>
      <c r="B94" s="76">
        <f ca="1">B93/OFFSET(INDEX('Assay protocol'!C:C,MATCH(B91,'Assay protocol'!C:C,0)),0,3)</f>
        <v>3333.3333333333335</v>
      </c>
      <c r="C94" s="66">
        <f ca="1">OFFSET(INDEX(A:A,MATCH(B91,A:A,0)),0,3)</f>
        <v>79.081955625978182</v>
      </c>
      <c r="D94" s="66">
        <f ca="1">OFFSET(INDEX(A:A,MATCH(B91,A:A,0)),1,3)</f>
        <v>82.084367342024834</v>
      </c>
      <c r="E94" s="66">
        <f ca="1">AVERAGE(C94:D94)</f>
        <v>80.583161484001508</v>
      </c>
      <c r="F94" s="66">
        <f t="shared" ref="F94:F102" ca="1" si="11">STDEV(C94:D94)</f>
        <v>2.1230256843305262</v>
      </c>
      <c r="G94" s="61"/>
      <c r="H94" s="61"/>
      <c r="I94" s="61"/>
      <c r="J94" s="61"/>
      <c r="K94" s="53"/>
      <c r="L94" s="53"/>
      <c r="M94" s="53"/>
      <c r="N94" s="53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1:47" s="10" customFormat="1" ht="20.100000000000001" customHeight="1" x14ac:dyDescent="0.3">
      <c r="A95" s="53"/>
      <c r="B95" s="76">
        <f ca="1">B94/OFFSET(INDEX('Assay protocol'!C:C,MATCH(B91,'Assay protocol'!C:C,0)),0,3)</f>
        <v>1111.1111111111111</v>
      </c>
      <c r="C95" s="66">
        <f ca="1">OFFSET(INDEX(A:A,MATCH(B91,A:A,0)),0,4)</f>
        <v>74.940095458905674</v>
      </c>
      <c r="D95" s="66">
        <f ca="1">OFFSET(INDEX(A:A,MATCH(B91,A:A,0)),1,4)</f>
        <v>75.202238507454567</v>
      </c>
      <c r="E95" s="66">
        <f ca="1">AVERAGE(C95:D95)</f>
        <v>75.07116698318012</v>
      </c>
      <c r="F95" s="66">
        <f t="shared" ca="1" si="11"/>
        <v>0.18536312726983653</v>
      </c>
      <c r="G95" s="61"/>
      <c r="H95" s="61"/>
      <c r="I95" s="61"/>
      <c r="J95" s="61"/>
      <c r="K95" s="53"/>
      <c r="L95" s="53"/>
      <c r="M95" s="53"/>
      <c r="N95" s="53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1:47" s="10" customFormat="1" ht="20.100000000000001" customHeight="1" x14ac:dyDescent="0.3">
      <c r="A96" s="53"/>
      <c r="B96" s="76">
        <f ca="1">B95/OFFSET(INDEX('Assay protocol'!C:C,MATCH(B91,'Assay protocol'!C:C,0)),0,3)</f>
        <v>370.37037037037038</v>
      </c>
      <c r="C96" s="66">
        <f ca="1">OFFSET(INDEX(A:A,MATCH(B91,A:A,0)),0,5)</f>
        <v>54.167880291891422</v>
      </c>
      <c r="D96" s="66">
        <f ca="1">OFFSET(INDEX(A:A,MATCH(B91,A:A,0)),1,5)</f>
        <v>60.752913671439615</v>
      </c>
      <c r="E96" s="66">
        <f ca="1">AVERAGE(C96:D96)</f>
        <v>57.460396981665518</v>
      </c>
      <c r="F96" s="66">
        <f t="shared" ca="1" si="11"/>
        <v>4.6563217570182953</v>
      </c>
      <c r="G96" s="61"/>
      <c r="H96" s="61"/>
      <c r="I96" s="61"/>
      <c r="J96" s="61"/>
      <c r="K96" s="53"/>
      <c r="L96" s="53"/>
      <c r="M96" s="53"/>
      <c r="N96" s="53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1:47" s="10" customFormat="1" ht="20.100000000000001" customHeight="1" x14ac:dyDescent="0.3">
      <c r="A97" s="53"/>
      <c r="B97" s="76">
        <f ca="1">B96/OFFSET(INDEX('Assay protocol'!C:C,MATCH(B91,'Assay protocol'!C:C,0)),0,3)</f>
        <v>123.4567901234568</v>
      </c>
      <c r="C97" s="66">
        <f ca="1">OFFSET(INDEX(A:A,MATCH(B91,A:A,0)),0,6)</f>
        <v>30.962977634343453</v>
      </c>
      <c r="D97" s="66">
        <f ca="1">OFFSET(INDEX(A:A,MATCH(B91,A:A,0)),1,6)</f>
        <v>35.608152454629831</v>
      </c>
      <c r="E97" s="66">
        <f t="shared" ref="E97:E102" ca="1" si="12">AVERAGE(C97:D97)</f>
        <v>33.285565044486646</v>
      </c>
      <c r="F97" s="66">
        <f t="shared" ca="1" si="11"/>
        <v>3.2846346152215005</v>
      </c>
      <c r="G97" s="61"/>
      <c r="H97" s="61"/>
      <c r="I97" s="53"/>
      <c r="J97" s="61"/>
      <c r="K97" s="53"/>
      <c r="L97" s="53"/>
      <c r="M97" s="53"/>
      <c r="N97" s="53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1:47" s="10" customFormat="1" ht="20.100000000000001" customHeight="1" x14ac:dyDescent="0.3">
      <c r="A98" s="53"/>
      <c r="B98" s="76">
        <f ca="1">B97/OFFSET(INDEX('Assay protocol'!C:C,MATCH(B91,'Assay protocol'!C:C,0)),0,3)</f>
        <v>41.152263374485599</v>
      </c>
      <c r="C98" s="66">
        <f ca="1">OFFSET(INDEX(A:A,MATCH(B91,A:A,0)),0,7)</f>
        <v>5.3428636894983494</v>
      </c>
      <c r="D98" s="66">
        <f ca="1">OFFSET(INDEX(A:A,MATCH(B91,A:A,0)),1,7)</f>
        <v>13.829307981187833</v>
      </c>
      <c r="E98" s="66">
        <f t="shared" ca="1" si="12"/>
        <v>9.5860858353430913</v>
      </c>
      <c r="F98" s="66">
        <f t="shared" ca="1" si="11"/>
        <v>6.0008223068155013</v>
      </c>
      <c r="G98" s="61"/>
      <c r="H98" s="61"/>
      <c r="I98" s="61"/>
      <c r="J98" s="61"/>
      <c r="K98" s="53"/>
      <c r="L98" s="53"/>
      <c r="M98" s="53"/>
      <c r="N98" s="53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1:47" s="10" customFormat="1" ht="20.100000000000001" customHeight="1" x14ac:dyDescent="0.3">
      <c r="A99" s="53"/>
      <c r="B99" s="76">
        <f ca="1">B98/OFFSET(INDEX('Assay protocol'!C:C,MATCH(B91,'Assay protocol'!C:C,0)),0,3)</f>
        <v>13.717421124828533</v>
      </c>
      <c r="C99" s="66">
        <f ca="1">OFFSET(INDEX(A:A,MATCH(B91,A:A,0)),0,8)</f>
        <v>-2.9758090511198421</v>
      </c>
      <c r="D99" s="66">
        <f ca="1">OFFSET(INDEX(A:A,MATCH(B91,A:A,0)),1,8)</f>
        <v>5.2449969513734294</v>
      </c>
      <c r="E99" s="66">
        <f t="shared" ca="1" si="12"/>
        <v>1.1345939501267936</v>
      </c>
      <c r="F99" s="66">
        <f t="shared" ca="1" si="11"/>
        <v>5.8129876711820661</v>
      </c>
      <c r="G99" s="61"/>
      <c r="H99" s="61"/>
      <c r="I99" s="61"/>
      <c r="J99" s="61"/>
      <c r="K99" s="53"/>
      <c r="L99" s="53"/>
      <c r="M99" s="53"/>
      <c r="N99" s="53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1:47" s="10" customFormat="1" ht="20.100000000000001" customHeight="1" x14ac:dyDescent="0.3">
      <c r="A100" s="53"/>
      <c r="B100" s="76">
        <f ca="1">B99/OFFSET(INDEX('Assay protocol'!C:C,MATCH(B91,'Assay protocol'!C:C,0)),0,3)</f>
        <v>4.5724737082761777</v>
      </c>
      <c r="C100" s="66">
        <f ca="1">OFFSET(INDEX(A:A,MATCH(B91,A:A,0)),0,9)</f>
        <v>-6.4430877732598617</v>
      </c>
      <c r="D100" s="66">
        <f ca="1">OFFSET(INDEX(A:A,MATCH(B91,A:A,0)),1,9)</f>
        <v>1.8056801544119589</v>
      </c>
      <c r="E100" s="66">
        <f ca="1">AVERAGE(C100:D100)</f>
        <v>-2.3187038094239512</v>
      </c>
      <c r="F100" s="66">
        <f t="shared" ca="1" si="11"/>
        <v>5.8327597380908491</v>
      </c>
      <c r="G100" s="61"/>
      <c r="H100" s="61"/>
      <c r="I100" s="61"/>
      <c r="J100" s="61"/>
      <c r="K100" s="53"/>
      <c r="L100" s="53"/>
      <c r="M100" s="53"/>
      <c r="N100" s="53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1:47" s="10" customFormat="1" ht="20.100000000000001" customHeight="1" x14ac:dyDescent="0.3">
      <c r="A101" s="53"/>
      <c r="B101" s="76">
        <f ca="1">B100/OFFSET(INDEX('Assay protocol'!C:C,MATCH(B91,'Assay protocol'!C:C,0)),0,3)</f>
        <v>1.524157902758726</v>
      </c>
      <c r="C101" s="66">
        <f ca="1">OFFSET(INDEX(A:A,MATCH(B91,A:A,0)),0,10)</f>
        <v>-6.1424970775904653</v>
      </c>
      <c r="D101" s="66">
        <f ca="1">OFFSET(INDEX(A:A,MATCH(B91,A:A,0)),1,10)</f>
        <v>-6.8205737631702661</v>
      </c>
      <c r="E101" s="66">
        <f t="shared" ca="1" si="12"/>
        <v>-6.4815354203803661</v>
      </c>
      <c r="F101" s="66">
        <f t="shared" ca="1" si="11"/>
        <v>0.47947262253797562</v>
      </c>
      <c r="G101" s="61"/>
      <c r="H101" s="61"/>
      <c r="I101" s="61"/>
      <c r="J101" s="61"/>
      <c r="K101" s="53"/>
      <c r="L101" s="53"/>
      <c r="M101" s="53"/>
      <c r="N101" s="53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1:47" s="10" customFormat="1" ht="20.100000000000001" customHeight="1" x14ac:dyDescent="0.3">
      <c r="A102" s="53"/>
      <c r="B102" s="76">
        <f ca="1">B101/OFFSET(INDEX('Assay protocol'!C:C,MATCH(B91,'Assay protocol'!C:C,0)),0,3)</f>
        <v>0.5080526342529087</v>
      </c>
      <c r="C102" s="66">
        <f ca="1">OFFSET(INDEX(A:A,MATCH(B91,A:A,0)),0,11)</f>
        <v>-6.6178498056257906</v>
      </c>
      <c r="D102" s="66">
        <f ca="1">OFFSET(INDEX(A:A,MATCH(B91,A:A,0)),1,11)</f>
        <v>-0.59205492964857864</v>
      </c>
      <c r="E102" s="66">
        <f t="shared" ca="1" si="12"/>
        <v>-3.6049523676371846</v>
      </c>
      <c r="F102" s="66">
        <f t="shared" ca="1" si="11"/>
        <v>4.2608804188426372</v>
      </c>
      <c r="G102" s="61"/>
      <c r="H102" s="61"/>
      <c r="I102" s="61"/>
      <c r="J102" s="61"/>
      <c r="K102" s="53"/>
      <c r="L102" s="53"/>
      <c r="M102" s="53"/>
      <c r="N102" s="53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1:47" s="10" customFormat="1" ht="20.100000000000001" customHeight="1" x14ac:dyDescent="0.45">
      <c r="A103" s="62"/>
      <c r="B103" s="62"/>
      <c r="C103" s="62"/>
      <c r="D103" s="62"/>
      <c r="E103" s="62"/>
      <c r="F103" s="62"/>
      <c r="G103" s="62"/>
      <c r="H103" s="62"/>
      <c r="I103" s="61"/>
      <c r="J103" s="61"/>
      <c r="K103" s="53"/>
      <c r="L103" s="53"/>
      <c r="M103" s="53"/>
      <c r="N103" s="53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s="10" customFormat="1" ht="20.100000000000001" customHeight="1" x14ac:dyDescent="0.3">
      <c r="A104" s="53"/>
      <c r="B104" s="79"/>
      <c r="C104" s="61"/>
      <c r="D104" s="61"/>
      <c r="E104" s="61"/>
      <c r="F104" s="61"/>
      <c r="G104" s="61"/>
      <c r="H104" s="61"/>
      <c r="I104" s="61"/>
      <c r="J104" s="61"/>
      <c r="K104" s="53"/>
      <c r="L104" s="53"/>
      <c r="M104" s="53"/>
      <c r="N104" s="53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s="10" customFormat="1" ht="20.100000000000001" customHeight="1" x14ac:dyDescent="0.3">
      <c r="A105" s="53"/>
      <c r="B105" s="157" t="str">
        <f>B106&amp;" in "&amp;'Assay summary'!$B$2</f>
        <v>HW356060 in WRN(517-1238) FI assay_ATP preincubation</v>
      </c>
      <c r="C105" s="158"/>
      <c r="D105" s="158"/>
      <c r="E105" s="158"/>
      <c r="F105" s="159"/>
      <c r="G105" s="53"/>
      <c r="H105" s="53"/>
      <c r="I105" s="53"/>
      <c r="J105" s="53"/>
      <c r="K105" s="53"/>
      <c r="L105" s="53"/>
      <c r="M105" s="53"/>
      <c r="N105" s="53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1:47" s="10" customFormat="1" ht="20.100000000000001" customHeight="1" x14ac:dyDescent="0.3">
      <c r="A106" s="53"/>
      <c r="B106" s="70" t="str">
        <f>'Assay summary'!C5</f>
        <v>HW356060</v>
      </c>
      <c r="C106" s="71"/>
      <c r="D106" s="72" t="s">
        <v>31</v>
      </c>
      <c r="E106" s="72"/>
      <c r="F106" s="73"/>
      <c r="G106" s="61"/>
      <c r="H106" s="61"/>
      <c r="I106" s="61"/>
      <c r="J106" s="61"/>
      <c r="K106" s="53" t="str">
        <f ca="1">[1]!xf4_FitData("",[1]!xf4_SetModel("205"),[1]!xf4_SetParameters(0,FALSE,TRUE,100,FALSE,TRUE,1,FALSE,TRUE,0.1,FALSE,TRUE),[1]!xf4_SetData(B107,B108:B118,D106,E108:E118))</f>
        <v>#Ok</v>
      </c>
      <c r="L106" s="53"/>
      <c r="M106" s="53"/>
      <c r="N106" s="53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1:47" s="10" customFormat="1" ht="20.100000000000001" customHeight="1" x14ac:dyDescent="0.3">
      <c r="A107" s="53"/>
      <c r="B107" s="74" t="s">
        <v>37</v>
      </c>
      <c r="C107" s="75" t="s">
        <v>32</v>
      </c>
      <c r="D107" s="75" t="s">
        <v>33</v>
      </c>
      <c r="E107" s="75" t="s">
        <v>34</v>
      </c>
      <c r="F107" s="75" t="s">
        <v>28</v>
      </c>
      <c r="G107" s="74" t="s">
        <v>35</v>
      </c>
      <c r="H107" s="74" t="s">
        <v>87</v>
      </c>
      <c r="I107" s="74" t="s">
        <v>81</v>
      </c>
      <c r="J107" s="74" t="s">
        <v>36</v>
      </c>
      <c r="K107" s="53" t="str">
        <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f>
        <v>#Ok</v>
      </c>
      <c r="L107" s="53"/>
      <c r="M107" s="53"/>
      <c r="N107" s="53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1:47" s="10" customFormat="1" ht="20.100000000000001" customHeight="1" x14ac:dyDescent="0.3">
      <c r="A108" s="53"/>
      <c r="B108" s="76">
        <f ca="1">OFFSET(INDEX('Assay protocol'!C:C,MATCH(B106,'Assay protocol'!C:C,0)),0,2)</f>
        <v>10000</v>
      </c>
      <c r="C108" s="66">
        <f ca="1">OFFSET(INDEX(A:A,MATCH(B106,A:A,0)),0,2)</f>
        <v>86.138846492914368</v>
      </c>
      <c r="D108" s="66">
        <f ca="1">OFFSET(INDEX(A:A,MATCH(B106,A:A,0)),1,2)</f>
        <v>86.45341815117304</v>
      </c>
      <c r="E108" s="66">
        <f ca="1">AVERAGE(C108:D108)</f>
        <v>86.296132322043704</v>
      </c>
      <c r="F108" s="66">
        <f ca="1">STDEV(C108:D108)</f>
        <v>0.22243575272380384</v>
      </c>
      <c r="G108" s="77">
        <v>0.61319840649213198</v>
      </c>
      <c r="H108" s="85">
        <v>89.93675270125226</v>
      </c>
      <c r="I108" s="59">
        <v>206.42240810355179</v>
      </c>
      <c r="J108" s="77">
        <v>0.91668585727571739</v>
      </c>
      <c r="K108" s="53" t="str">
        <f ca="1">IF(I108&lt;B108,I107&amp;"="&amp;ROUND(I108,0)&amp;"nM",I107&amp;"&gt;"&amp;B108&amp;"nM")</f>
        <v>IC50=206nM</v>
      </c>
      <c r="L108" s="53"/>
      <c r="M108" s="53"/>
      <c r="N108" s="53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1:47" s="10" customFormat="1" ht="20.100000000000001" customHeight="1" x14ac:dyDescent="0.3">
      <c r="A109" s="53"/>
      <c r="B109" s="76">
        <f ca="1">B108/OFFSET(INDEX('Assay protocol'!C:C,MATCH(B106,'Assay protocol'!C:C,0)),0,3)</f>
        <v>3333.3333333333335</v>
      </c>
      <c r="C109" s="66">
        <f ca="1">OFFSET(INDEX(A:A,MATCH(B106,A:A,0)),0,3)</f>
        <v>84.607931089388828</v>
      </c>
      <c r="D109" s="66">
        <f ca="1">OFFSET(INDEX(A:A,MATCH(B106,A:A,0)),1,3)</f>
        <v>83.849463868920708</v>
      </c>
      <c r="E109" s="66">
        <f ca="1">AVERAGE(C109:D109)</f>
        <v>84.228697479154761</v>
      </c>
      <c r="F109" s="66">
        <f t="shared" ref="F109:F117" ca="1" si="13">STDEV(C109:D109)</f>
        <v>0.53631731490071965</v>
      </c>
      <c r="G109" s="61"/>
      <c r="H109" s="61"/>
      <c r="I109" s="61"/>
      <c r="J109" s="61"/>
      <c r="K109" s="53"/>
      <c r="L109" s="53"/>
      <c r="M109" s="53"/>
      <c r="N109" s="53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1:47" s="10" customFormat="1" ht="20.100000000000001" customHeight="1" x14ac:dyDescent="0.3">
      <c r="A110" s="53"/>
      <c r="B110" s="76">
        <f ca="1">B109/OFFSET(INDEX('Assay protocol'!C:C,MATCH(B106,'Assay protocol'!C:C,0)),0,3)</f>
        <v>1111.1111111111111</v>
      </c>
      <c r="C110" s="66">
        <f ca="1">OFFSET(INDEX(A:A,MATCH(B106,A:A,0)),0,4)</f>
        <v>74.206094922968774</v>
      </c>
      <c r="D110" s="66">
        <f ca="1">OFFSET(INDEX(A:A,MATCH(B106,A:A,0)),1,4)</f>
        <v>76.114496316404711</v>
      </c>
      <c r="E110" s="66">
        <f ca="1">AVERAGE(C110:D110)</f>
        <v>75.160295619686735</v>
      </c>
      <c r="F110" s="66">
        <f t="shared" ca="1" si="13"/>
        <v>1.349443566524408</v>
      </c>
      <c r="G110" s="61"/>
      <c r="H110" s="61"/>
      <c r="I110" s="61"/>
      <c r="J110" s="61"/>
      <c r="K110" s="53"/>
      <c r="L110" s="53"/>
      <c r="M110" s="53"/>
      <c r="N110" s="53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47" s="10" customFormat="1" ht="20.100000000000001" customHeight="1" x14ac:dyDescent="0.3">
      <c r="A111" s="53"/>
      <c r="B111" s="76">
        <f ca="1">B110/OFFSET(INDEX('Assay protocol'!C:C,MATCH(B106,'Assay protocol'!C:C,0)),0,3)</f>
        <v>370.37037037037038</v>
      </c>
      <c r="C111" s="66">
        <f ca="1">OFFSET(INDEX(A:A,MATCH(B106,A:A,0)),0,5)</f>
        <v>61.36458078472036</v>
      </c>
      <c r="D111" s="66">
        <f ca="1">OFFSET(INDEX(A:A,MATCH(B106,A:A,0)),1,5)</f>
        <v>52.923574621446015</v>
      </c>
      <c r="E111" s="66">
        <f ca="1">AVERAGE(C111:D111)</f>
        <v>57.144077703083184</v>
      </c>
      <c r="F111" s="66">
        <f t="shared" ca="1" si="13"/>
        <v>5.9686926980887316</v>
      </c>
      <c r="G111" s="61"/>
      <c r="H111" s="61"/>
      <c r="I111" s="61"/>
      <c r="J111" s="61"/>
      <c r="K111" s="53"/>
      <c r="L111" s="53"/>
      <c r="M111" s="53"/>
      <c r="N111" s="53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47" s="10" customFormat="1" ht="20.100000000000001" customHeight="1" x14ac:dyDescent="0.3">
      <c r="A112" s="53"/>
      <c r="B112" s="76">
        <f ca="1">B111/OFFSET(INDEX('Assay protocol'!C:C,MATCH(B106,'Assay protocol'!C:C,0)),0,3)</f>
        <v>123.4567901234568</v>
      </c>
      <c r="C112" s="66">
        <f ca="1">OFFSET(INDEX(A:A,MATCH(B106,A:A,0)),0,6)</f>
        <v>41.389280485294741</v>
      </c>
      <c r="D112" s="66">
        <f ca="1">OFFSET(INDEX(A:A,MATCH(B106,A:A,0)),1,6)</f>
        <v>23.622972274974462</v>
      </c>
      <c r="E112" s="66">
        <f t="shared" ref="E112:E117" ca="1" si="14">AVERAGE(C112:D112)</f>
        <v>32.506126380134603</v>
      </c>
      <c r="F112" s="66">
        <f t="shared" ca="1" si="13"/>
        <v>12.562677012167699</v>
      </c>
      <c r="G112" s="61"/>
      <c r="H112" s="61"/>
      <c r="I112" s="53"/>
      <c r="J112" s="61"/>
      <c r="K112" s="53"/>
      <c r="L112" s="53"/>
      <c r="M112" s="53"/>
      <c r="N112" s="53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s="10" customFormat="1" ht="20.100000000000001" customHeight="1" x14ac:dyDescent="0.3">
      <c r="A113" s="53"/>
      <c r="B113" s="76">
        <f ca="1">B112/OFFSET(INDEX('Assay protocol'!C:C,MATCH(B106,'Assay protocol'!C:C,0)),0,3)</f>
        <v>41.152263374485599</v>
      </c>
      <c r="C113" s="66">
        <f ca="1">OFFSET(INDEX(A:A,MATCH(B106,A:A,0)),0,7)</f>
        <v>17.880291891430051</v>
      </c>
      <c r="D113" s="66">
        <f ca="1">OFFSET(INDEX(A:A,MATCH(B106,A:A,0)),1,7)</f>
        <v>21.326599169686162</v>
      </c>
      <c r="E113" s="66">
        <f t="shared" ca="1" si="14"/>
        <v>19.603445530558105</v>
      </c>
      <c r="F113" s="66">
        <f t="shared" ca="1" si="13"/>
        <v>2.4369072465074497</v>
      </c>
      <c r="G113" s="61"/>
      <c r="H113" s="61"/>
      <c r="I113" s="61"/>
      <c r="J113" s="61"/>
      <c r="K113" s="53"/>
      <c r="L113" s="53"/>
      <c r="M113" s="53"/>
      <c r="N113" s="53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 s="10" customFormat="1" ht="20.100000000000001" customHeight="1" x14ac:dyDescent="0.3">
      <c r="A114" s="53"/>
      <c r="B114" s="76">
        <f ca="1">B113/OFFSET(INDEX('Assay protocol'!C:C,MATCH(B106,'Assay protocol'!C:C,0)),0,3)</f>
        <v>13.717421124828533</v>
      </c>
      <c r="C114" s="66">
        <f ca="1">OFFSET(INDEX(A:A,MATCH(B106,A:A,0)),0,8)</f>
        <v>10.463391237820051</v>
      </c>
      <c r="D114" s="66">
        <f ca="1">OFFSET(INDEX(A:A,MATCH(B106,A:A,0)),1,8)</f>
        <v>5.5176257218642784</v>
      </c>
      <c r="E114" s="66">
        <f t="shared" ca="1" si="14"/>
        <v>7.9905084798421644</v>
      </c>
      <c r="F114" s="66">
        <f t="shared" ca="1" si="13"/>
        <v>3.497184334490913</v>
      </c>
      <c r="G114" s="61"/>
      <c r="H114" s="61"/>
      <c r="I114" s="61"/>
      <c r="J114" s="61"/>
      <c r="K114" s="53"/>
      <c r="L114" s="53"/>
      <c r="M114" s="53"/>
      <c r="N114" s="53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 s="10" customFormat="1" ht="20.100000000000001" customHeight="1" x14ac:dyDescent="0.3">
      <c r="A115" s="53"/>
      <c r="B115" s="76">
        <f ca="1">B114/OFFSET(INDEX('Assay protocol'!C:C,MATCH(B106,'Assay protocol'!C:C,0)),0,3)</f>
        <v>4.5724737082761777</v>
      </c>
      <c r="C115" s="66">
        <f ca="1">OFFSET(INDEX(A:A,MATCH(B106,A:A,0)),0,9)</f>
        <v>7.0939792538049522</v>
      </c>
      <c r="D115" s="66">
        <f ca="1">OFFSET(INDEX(A:A,MATCH(B106,A:A,0)),1,9)</f>
        <v>-0.42777861922460597</v>
      </c>
      <c r="E115" s="66">
        <f ca="1">AVERAGE(C115:D115)</f>
        <v>3.3331003172901732</v>
      </c>
      <c r="F115" s="66">
        <f t="shared" ca="1" si="13"/>
        <v>5.3186859984625032</v>
      </c>
      <c r="G115" s="61"/>
      <c r="H115" s="61"/>
      <c r="I115" s="61"/>
      <c r="J115" s="61"/>
      <c r="K115" s="53"/>
      <c r="L115" s="53"/>
      <c r="M115" s="53"/>
      <c r="N115" s="53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1:47" s="10" customFormat="1" ht="20.100000000000001" customHeight="1" x14ac:dyDescent="0.3">
      <c r="A116" s="53"/>
      <c r="B116" s="76">
        <f ca="1">B115/OFFSET(INDEX('Assay protocol'!C:C,MATCH(B106,'Assay protocol'!C:C,0)),0,3)</f>
        <v>1.524157902758726</v>
      </c>
      <c r="C116" s="66">
        <f ca="1">OFFSET(INDEX(A:A,MATCH(B106,A:A,0)),0,10)</f>
        <v>1.7567467853494989</v>
      </c>
      <c r="D116" s="66">
        <f ca="1">OFFSET(INDEX(A:A,MATCH(B106,A:A,0)),1,10)</f>
        <v>-4.5661435456497905</v>
      </c>
      <c r="E116" s="66">
        <f t="shared" ca="1" si="14"/>
        <v>-1.4046983801501458</v>
      </c>
      <c r="F116" s="66">
        <f t="shared" ca="1" si="13"/>
        <v>4.470958629748452</v>
      </c>
      <c r="G116" s="61"/>
      <c r="H116" s="61"/>
      <c r="I116" s="61"/>
      <c r="J116" s="61"/>
      <c r="K116" s="53"/>
      <c r="L116" s="53"/>
      <c r="M116" s="53"/>
      <c r="N116" s="53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 s="10" customFormat="1" ht="20.100000000000001" customHeight="1" x14ac:dyDescent="0.3">
      <c r="A117" s="53"/>
      <c r="B117" s="76">
        <f ca="1">B116/OFFSET(INDEX('Assay protocol'!C:C,MATCH(B106,'Assay protocol'!C:C,0)),0,3)</f>
        <v>0.5080526342529087</v>
      </c>
      <c r="C117" s="66">
        <f ca="1">OFFSET(INDEX(A:A,MATCH(B106,A:A,0)),0,11)</f>
        <v>6.9996077563273511</v>
      </c>
      <c r="D117" s="66">
        <f ca="1">OFFSET(INDEX(A:A,MATCH(B106,A:A,0)),1,11)</f>
        <v>-1.6336366425495119</v>
      </c>
      <c r="E117" s="66">
        <f t="shared" ca="1" si="14"/>
        <v>2.6829855568889194</v>
      </c>
      <c r="F117" s="66">
        <f t="shared" ca="1" si="13"/>
        <v>6.1046256580866096</v>
      </c>
      <c r="G117" s="61"/>
      <c r="H117" s="61"/>
      <c r="I117" s="61"/>
      <c r="J117" s="61"/>
      <c r="K117" s="53"/>
      <c r="L117" s="53"/>
      <c r="M117" s="53"/>
      <c r="N117" s="53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 s="10" customFormat="1" ht="20.100000000000001" customHeight="1" x14ac:dyDescent="0.45">
      <c r="A118" s="62"/>
      <c r="B118" s="62"/>
      <c r="C118" s="62"/>
      <c r="D118" s="62"/>
      <c r="E118" s="62"/>
      <c r="F118" s="62"/>
      <c r="G118" s="62"/>
      <c r="H118" s="61"/>
      <c r="I118" s="61"/>
      <c r="J118" s="61"/>
      <c r="K118" s="53"/>
      <c r="L118" s="53"/>
      <c r="M118" s="53"/>
      <c r="N118" s="53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 s="10" customFormat="1" ht="20.100000000000001" customHeight="1" x14ac:dyDescent="0.3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 s="10" customFormat="1" ht="20.100000000000001" customHeight="1" x14ac:dyDescent="0.3">
      <c r="A120" s="53"/>
      <c r="B120" s="114" t="str">
        <f>B121&amp;" in "&amp;'Assay summary'!$B$2</f>
        <v>HW356064 in WRN(517-1238) FI assay_ATP preincubation</v>
      </c>
      <c r="C120" s="115"/>
      <c r="D120" s="115"/>
      <c r="E120" s="115"/>
      <c r="F120" s="116"/>
      <c r="G120" s="53"/>
      <c r="H120" s="53"/>
      <c r="I120" s="53"/>
      <c r="J120" s="53"/>
      <c r="K120" s="53"/>
      <c r="L120" s="53"/>
      <c r="M120" s="53"/>
      <c r="N120" s="53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1:47" s="10" customFormat="1" ht="20.100000000000001" customHeight="1" x14ac:dyDescent="0.3">
      <c r="A121" s="53"/>
      <c r="B121" s="70" t="str">
        <f>'Assay summary'!C6</f>
        <v>HW356064</v>
      </c>
      <c r="C121" s="71"/>
      <c r="D121" s="72" t="s">
        <v>31</v>
      </c>
      <c r="E121" s="72"/>
      <c r="F121" s="73"/>
      <c r="G121" s="61"/>
      <c r="H121" s="61"/>
      <c r="I121" s="61"/>
      <c r="J121" s="61"/>
      <c r="K121" s="53" t="str">
        <f ca="1">[1]!xf4_FitData("",[1]!xf4_SetModel("205"),[1]!xf4_SetParameters(0,FALSE,TRUE,100,FALSE,TRUE,1,FALSE,TRUE,0.1,FALSE,TRUE),[1]!xf4_SetData(B122,B123:B133,D121,E123:E133))</f>
        <v>#Ok</v>
      </c>
      <c r="L121" s="53"/>
      <c r="M121" s="53"/>
      <c r="N121" s="53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1:47" s="10" customFormat="1" ht="20.100000000000001" customHeight="1" x14ac:dyDescent="0.3">
      <c r="A122" s="53"/>
      <c r="B122" s="74" t="s">
        <v>37</v>
      </c>
      <c r="C122" s="75" t="s">
        <v>32</v>
      </c>
      <c r="D122" s="75" t="s">
        <v>33</v>
      </c>
      <c r="E122" s="75" t="s">
        <v>34</v>
      </c>
      <c r="F122" s="75" t="s">
        <v>28</v>
      </c>
      <c r="G122" s="74" t="s">
        <v>35</v>
      </c>
      <c r="H122" s="74" t="s">
        <v>87</v>
      </c>
      <c r="I122" s="74" t="s">
        <v>81</v>
      </c>
      <c r="J122" s="74" t="s">
        <v>36</v>
      </c>
      <c r="K122" s="53" t="str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#Ok</v>
      </c>
      <c r="L122" s="53"/>
      <c r="M122" s="53"/>
      <c r="N122" s="53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1:47" s="10" customFormat="1" ht="20.100000000000001" customHeight="1" x14ac:dyDescent="0.3">
      <c r="A123" s="53"/>
      <c r="B123" s="76">
        <f ca="1">OFFSET(INDEX('Assay protocol'!C:C,MATCH(B121,'Assay protocol'!C:C,0)),0,2)</f>
        <v>10000</v>
      </c>
      <c r="C123" s="66">
        <f ca="1">OFFSET(INDEX(A:A,MATCH(B121,A:A,0)),0,2)</f>
        <v>94.737138485318056</v>
      </c>
      <c r="D123" s="66">
        <f ca="1">OFFSET(INDEX(A:A,MATCH(B121,A:A,0)),1,2)</f>
        <v>94.859471907974196</v>
      </c>
      <c r="E123" s="66">
        <f ca="1">AVERAGE(C123:D123)</f>
        <v>94.798305196646126</v>
      </c>
      <c r="F123" s="66">
        <f ca="1">STDEV(C123:D123)</f>
        <v>8.6502792725917016E-2</v>
      </c>
      <c r="G123" s="77">
        <v>-1.2983557732602984</v>
      </c>
      <c r="H123" s="85">
        <v>92.678456942965269</v>
      </c>
      <c r="I123" s="59">
        <v>173.08896801751365</v>
      </c>
      <c r="J123" s="77">
        <v>1.2176413105906116</v>
      </c>
      <c r="K123" s="53" t="str">
        <f ca="1">IF(I123&lt;B123,I122&amp;"="&amp;ROUND(I123,0)&amp;"nM",I122&amp;"&gt;"&amp;B123&amp;"nM")</f>
        <v>IC50=173nM</v>
      </c>
      <c r="L123" s="53"/>
      <c r="M123" s="53"/>
      <c r="N123" s="53"/>
      <c r="O123" s="61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1:47" s="10" customFormat="1" ht="20.100000000000001" customHeight="1" x14ac:dyDescent="0.3">
      <c r="A124" s="53"/>
      <c r="B124" s="76">
        <f ca="1">B123/OFFSET(INDEX('Assay protocol'!C:C,MATCH(B121,'Assay protocol'!C:C,0)),0,3)</f>
        <v>3333.3333333333335</v>
      </c>
      <c r="C124" s="66">
        <f ca="1">OFFSET(INDEX(A:A,MATCH(B121,A:A,0)),0,3)</f>
        <v>88.945524732711178</v>
      </c>
      <c r="D124" s="66">
        <f ca="1">OFFSET(INDEX(A:A,MATCH(B121,A:A,0)),1,3)</f>
        <v>89.392915535567951</v>
      </c>
      <c r="E124" s="66">
        <f ca="1">AVERAGE(C124:D124)</f>
        <v>89.169220134139564</v>
      </c>
      <c r="F124" s="66">
        <f t="shared" ref="F124:F132" ca="1" si="15">STDEV(C124:D124)</f>
        <v>0.31635307054051837</v>
      </c>
      <c r="G124" s="61"/>
      <c r="H124" s="61"/>
      <c r="I124" s="61"/>
      <c r="J124" s="61"/>
      <c r="K124" s="53"/>
      <c r="L124" s="53"/>
      <c r="M124" s="53"/>
      <c r="N124" s="53"/>
      <c r="O124" s="61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1:47" s="10" customFormat="1" ht="20.100000000000001" customHeight="1" x14ac:dyDescent="0.3">
      <c r="A125" s="53"/>
      <c r="B125" s="76">
        <f ca="1">B124/OFFSET(INDEX('Assay protocol'!C:C,MATCH(B121,'Assay protocol'!C:C,0)),0,3)</f>
        <v>1111.1111111111111</v>
      </c>
      <c r="C125" s="66">
        <f ca="1">OFFSET(INDEX(A:A,MATCH(B121,A:A,0)),0,4)</f>
        <v>81.895624347069628</v>
      </c>
      <c r="D125" s="66">
        <f ca="1">OFFSET(INDEX(A:A,MATCH(B121,A:A,0)),1,4)</f>
        <v>78.9736031659113</v>
      </c>
      <c r="E125" s="66">
        <f ca="1">AVERAGE(C125:D125)</f>
        <v>80.434613756490464</v>
      </c>
      <c r="F125" s="66">
        <f t="shared" ca="1" si="15"/>
        <v>2.0661809919677792</v>
      </c>
      <c r="G125" s="61"/>
      <c r="H125" s="61"/>
      <c r="I125" s="61"/>
      <c r="J125" s="61"/>
      <c r="K125" s="53"/>
      <c r="L125" s="53"/>
      <c r="M125" s="53"/>
      <c r="N125" s="53"/>
      <c r="O125" s="53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1:47" s="10" customFormat="1" ht="20.100000000000001" customHeight="1" x14ac:dyDescent="0.3">
      <c r="A126" s="53"/>
      <c r="B126" s="76">
        <f ca="1">B125/OFFSET(INDEX('Assay protocol'!C:C,MATCH(B121,'Assay protocol'!C:C,0)),0,3)</f>
        <v>370.37037037037038</v>
      </c>
      <c r="C126" s="66">
        <f ca="1">OFFSET(INDEX(A:A,MATCH(B121,A:A,0)),0,5)</f>
        <v>67.568632933710816</v>
      </c>
      <c r="D126" s="66">
        <f ca="1">OFFSET(INDEX(A:A,MATCH(B121,A:A,0)),1,5)</f>
        <v>68.239719137995976</v>
      </c>
      <c r="E126" s="66">
        <f ca="1">AVERAGE(C126:D126)</f>
        <v>67.904176035853396</v>
      </c>
      <c r="F126" s="66">
        <f t="shared" ca="1" si="15"/>
        <v>0.47452960581077752</v>
      </c>
      <c r="G126" s="61"/>
      <c r="H126" s="61"/>
      <c r="I126" s="61"/>
      <c r="J126" s="61"/>
      <c r="K126" s="53"/>
      <c r="L126" s="53"/>
      <c r="M126" s="53"/>
      <c r="N126" s="53"/>
      <c r="O126" s="5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1:47" s="10" customFormat="1" ht="20.100000000000001" customHeight="1" x14ac:dyDescent="0.3">
      <c r="A127" s="53"/>
      <c r="B127" s="76">
        <f ca="1">B126/OFFSET(INDEX('Assay protocol'!C:C,MATCH(B121,'Assay protocol'!C:C,0)),0,3)</f>
        <v>123.4567901234568</v>
      </c>
      <c r="C127" s="66">
        <f ca="1">OFFSET(INDEX(A:A,MATCH(B121,A:A,0)),0,6)</f>
        <v>35.940200316125093</v>
      </c>
      <c r="D127" s="66">
        <f ca="1">OFFSET(INDEX(A:A,MATCH(B121,A:A,0)),1,6)</f>
        <v>37.020229676146535</v>
      </c>
      <c r="E127" s="66">
        <f t="shared" ref="E127:E132" ca="1" si="16">AVERAGE(C127:D127)</f>
        <v>36.480214996135814</v>
      </c>
      <c r="F127" s="66">
        <f t="shared" ca="1" si="15"/>
        <v>0.76369608435172853</v>
      </c>
      <c r="G127" s="61"/>
      <c r="H127" s="61"/>
      <c r="I127" s="53"/>
      <c r="J127" s="61"/>
      <c r="K127" s="53"/>
      <c r="L127" s="53"/>
      <c r="M127" s="53"/>
      <c r="N127" s="53"/>
      <c r="O127" s="53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1:47" s="10" customFormat="1" ht="20.100000000000001" customHeight="1" x14ac:dyDescent="0.3">
      <c r="A128" s="53"/>
      <c r="B128" s="76">
        <f ca="1">B127/OFFSET(INDEX('Assay protocol'!C:C,MATCH(B121,'Assay protocol'!C:C,0)),0,3)</f>
        <v>41.152263374485599</v>
      </c>
      <c r="C128" s="66">
        <f ca="1">OFFSET(INDEX(A:A,MATCH(B121,A:A,0)),0,7)</f>
        <v>4.6438155600346365</v>
      </c>
      <c r="D128" s="66">
        <f ca="1">OFFSET(INDEX(A:A,MATCH(B121,A:A,0)),1,7)</f>
        <v>19.225959540647704</v>
      </c>
      <c r="E128" s="66">
        <f t="shared" ca="1" si="16"/>
        <v>11.93488755034117</v>
      </c>
      <c r="F128" s="66">
        <f t="shared" ca="1" si="15"/>
        <v>10.311132892930097</v>
      </c>
      <c r="G128" s="61"/>
      <c r="H128" s="61"/>
      <c r="I128" s="61"/>
      <c r="J128" s="61"/>
      <c r="K128" s="53"/>
      <c r="L128" s="53"/>
      <c r="M128" s="53"/>
      <c r="N128" s="53"/>
      <c r="O128" s="53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1:47" s="10" customFormat="1" ht="20.100000000000001" customHeight="1" x14ac:dyDescent="0.3">
      <c r="A129" s="53"/>
      <c r="B129" s="76">
        <f ca="1">B128/OFFSET(INDEX('Assay protocol'!C:C,MATCH(B121,'Assay protocol'!C:C,0)),0,3)</f>
        <v>13.717421124828533</v>
      </c>
      <c r="C129" s="66">
        <f ca="1">OFFSET(INDEX(A:A,MATCH(B121,A:A,0)),0,8)</f>
        <v>1.8790802080056488</v>
      </c>
      <c r="D129" s="66">
        <f ca="1">OFFSET(INDEX(A:A,MATCH(B121,A:A,0)),1,8)</f>
        <v>-2.2103513493570754</v>
      </c>
      <c r="E129" s="66">
        <f t="shared" ca="1" si="16"/>
        <v>-0.16563557067571333</v>
      </c>
      <c r="F129" s="66">
        <f t="shared" ca="1" si="15"/>
        <v>2.8916647854094459</v>
      </c>
      <c r="G129" s="61"/>
      <c r="H129" s="61"/>
      <c r="I129" s="61"/>
      <c r="J129" s="61"/>
      <c r="K129" s="53"/>
      <c r="L129" s="53"/>
      <c r="M129" s="53"/>
      <c r="N129" s="53"/>
      <c r="O129" s="53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1:47" s="10" customFormat="1" ht="20.100000000000001" customHeight="1" x14ac:dyDescent="0.3">
      <c r="A130" s="53"/>
      <c r="B130" s="76">
        <f ca="1">B129/OFFSET(INDEX('Assay protocol'!C:C,MATCH(B121,'Assay protocol'!C:C,0)),0,3)</f>
        <v>4.5724737082761777</v>
      </c>
      <c r="C130" s="66">
        <f ca="1">OFFSET(INDEX(A:A,MATCH(B121,A:A,0)),0,9)</f>
        <v>8.845094818111555</v>
      </c>
      <c r="D130" s="66">
        <f ca="1">OFFSET(INDEX(A:A,MATCH(B121,A:A,0)),1,9)</f>
        <v>-0.90313134725993116</v>
      </c>
      <c r="E130" s="66">
        <f t="shared" ca="1" si="16"/>
        <v>3.9709817354258119</v>
      </c>
      <c r="F130" s="66">
        <f t="shared" ca="1" si="15"/>
        <v>6.8930368260743133</v>
      </c>
      <c r="G130" s="61"/>
      <c r="H130" s="61"/>
      <c r="I130" s="61"/>
      <c r="J130" s="61"/>
      <c r="K130" s="53"/>
      <c r="L130" s="53"/>
      <c r="M130" s="53"/>
      <c r="N130" s="53"/>
      <c r="O130" s="53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1:47" s="10" customFormat="1" ht="20.100000000000001" customHeight="1" x14ac:dyDescent="0.3">
      <c r="A131" s="53"/>
      <c r="B131" s="76">
        <f ca="1">B130/OFFSET(INDEX('Assay protocol'!C:C,MATCH(B121,'Assay protocol'!C:C,0)),0,3)</f>
        <v>1.524157902758726</v>
      </c>
      <c r="C131" s="66">
        <f ca="1">OFFSET(INDEX(A:A,MATCH(B121,A:A,0)),0,10)</f>
        <v>3.4274718147677747</v>
      </c>
      <c r="D131" s="66">
        <f ca="1">OFFSET(INDEX(A:A,MATCH(B121,A:A,0)),1,10)</f>
        <v>-6.1564780401797385</v>
      </c>
      <c r="E131" s="66">
        <f ca="1">AVERAGE(C131:D131)</f>
        <v>-1.3645031127059819</v>
      </c>
      <c r="F131" s="66">
        <f t="shared" ca="1" si="15"/>
        <v>6.7768759329852148</v>
      </c>
      <c r="G131" s="61"/>
      <c r="H131" s="61"/>
      <c r="I131" s="61"/>
      <c r="J131" s="61"/>
      <c r="K131" s="53"/>
      <c r="L131" s="53"/>
      <c r="M131" s="53"/>
      <c r="N131" s="53"/>
      <c r="O131" s="53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1:47" s="10" customFormat="1" ht="20.100000000000001" customHeight="1" x14ac:dyDescent="0.3">
      <c r="A132" s="53"/>
      <c r="B132" s="76">
        <f ca="1">B131/OFFSET(INDEX('Assay protocol'!C:C,MATCH(B121,'Assay protocol'!C:C,0)),0,3)</f>
        <v>0.5080526342529087</v>
      </c>
      <c r="C132" s="66">
        <f ca="1">OFFSET(INDEX(A:A,MATCH(B121,A:A,0)),0,11)</f>
        <v>3.4903861464195085</v>
      </c>
      <c r="D132" s="66">
        <f ca="1">OFFSET(INDEX(A:A,MATCH(B121,A:A,0)),1,11)</f>
        <v>-7.3798122667412382</v>
      </c>
      <c r="E132" s="66">
        <f t="shared" ca="1" si="16"/>
        <v>-1.9447130601608649</v>
      </c>
      <c r="F132" s="66">
        <f t="shared" ca="1" si="15"/>
        <v>7.6863910107892126</v>
      </c>
      <c r="G132" s="61"/>
      <c r="H132" s="61"/>
      <c r="I132" s="61"/>
      <c r="J132" s="61"/>
      <c r="K132" s="53"/>
      <c r="L132" s="53"/>
      <c r="M132" s="53"/>
      <c r="N132" s="53"/>
      <c r="O132" s="53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 s="10" customFormat="1" ht="20.100000000000001" customHeight="1" x14ac:dyDescent="0.45">
      <c r="A133" s="62"/>
      <c r="B133" s="62"/>
      <c r="C133" s="62"/>
      <c r="D133" s="62"/>
      <c r="E133" s="62"/>
      <c r="F133" s="62"/>
      <c r="G133" s="62"/>
      <c r="H133" s="62"/>
      <c r="I133" s="61"/>
      <c r="J133" s="61"/>
      <c r="K133" s="53"/>
      <c r="L133" s="53"/>
      <c r="M133" s="53"/>
      <c r="N133" s="53"/>
      <c r="O133" s="53"/>
      <c r="AD133" s="61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47" s="10" customFormat="1" ht="20.100000000000001" customHeight="1" x14ac:dyDescent="0.3">
      <c r="AD134" s="61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47" s="10" customFormat="1" ht="20.100000000000001" customHeight="1" x14ac:dyDescent="0.3">
      <c r="B135" s="114" t="str">
        <f>B136&amp;" in "&amp;'Assay summary'!$B$2</f>
        <v>HW356071 in WRN(517-1238) FI assay_ATP preincubation</v>
      </c>
      <c r="C135" s="115"/>
      <c r="D135" s="115"/>
      <c r="E135" s="115"/>
      <c r="F135" s="116"/>
      <c r="G135" s="53"/>
      <c r="H135" s="53"/>
      <c r="I135" s="53"/>
      <c r="J135" s="53"/>
      <c r="K135" s="53"/>
      <c r="L135" s="53"/>
      <c r="M135" s="53"/>
      <c r="N135" s="53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47" s="10" customFormat="1" ht="20.100000000000001" customHeight="1" x14ac:dyDescent="0.3">
      <c r="B136" s="70" t="str">
        <f>'Assay summary'!C7</f>
        <v>HW356071</v>
      </c>
      <c r="C136" s="71"/>
      <c r="D136" s="72" t="s">
        <v>31</v>
      </c>
      <c r="E136" s="72"/>
      <c r="F136" s="73"/>
      <c r="G136" s="61"/>
      <c r="H136" s="61"/>
      <c r="I136" s="61"/>
      <c r="J136" s="61"/>
      <c r="K136" s="53" t="str">
        <f ca="1">[1]!xf4_FitData("",[1]!xf4_SetModel("205"),[1]!xf4_SetParameters(0,FALSE,TRUE,100,FALSE,TRUE,1,FALSE,TRUE,0.1,FALSE,TRUE),[1]!xf4_SetData(B137,B138:B147,D136,E138:E147))</f>
        <v>#Ok</v>
      </c>
      <c r="L136" s="53"/>
      <c r="M136" s="53"/>
      <c r="N136" s="53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 s="10" customFormat="1" ht="20.100000000000001" customHeight="1" x14ac:dyDescent="0.3">
      <c r="B137" s="74" t="s">
        <v>37</v>
      </c>
      <c r="C137" s="75" t="s">
        <v>32</v>
      </c>
      <c r="D137" s="75" t="s">
        <v>33</v>
      </c>
      <c r="E137" s="75" t="s">
        <v>34</v>
      </c>
      <c r="F137" s="75" t="s">
        <v>28</v>
      </c>
      <c r="G137" s="74" t="s">
        <v>35</v>
      </c>
      <c r="H137" s="74" t="s">
        <v>87</v>
      </c>
      <c r="I137" s="74" t="s">
        <v>81</v>
      </c>
      <c r="J137" s="74" t="s">
        <v>36</v>
      </c>
      <c r="K137" s="53" t="str">
        <f ca="1">[1]!xf4_Chart2D([1]!xf_Init()&amp;[1]!xf_Title(B135)&amp;[1]!xf_LabelX([1]!xf4_XLabel(K136))&amp;[1]!xf_LabelY([1]!xf4_YLabel(K136))&amp;[1]!xf_ScaleX(FALSE,0.05,100000,,TRUE)&amp;[1]!xf_ScaleY(FALSE,-29,120,30,FALSE)&amp;[1]!xf_Header(K138),[1]!xf4_C2DFit(K136,F138:F148,F138:F148)&amp;[1]!xf4_C2DFitDetails(7,0,0.05,0,0.05)&amp;[1]!xf4_C2DFitPoints(101,,,,1,-1))</f>
        <v>#Ok</v>
      </c>
      <c r="L137" s="53"/>
      <c r="M137" s="53"/>
      <c r="N137" s="53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47" s="10" customFormat="1" ht="20.100000000000001" customHeight="1" x14ac:dyDescent="0.3">
      <c r="B138" s="76">
        <f ca="1">OFFSET(INDEX('Assay protocol'!C:C,MATCH(B136,'Assay protocol'!C:C,0)),0,2)</f>
        <v>10000</v>
      </c>
      <c r="C138" s="66">
        <f ca="1">OFFSET(INDEX(A:A,MATCH(B136,A:A,0)),0,2)</f>
        <v>83.430034991242479</v>
      </c>
      <c r="D138" s="66">
        <f ca="1">OFFSET(INDEX(A:A,MATCH(B136,A:A,0)),1,2)</f>
        <v>83.524406488720075</v>
      </c>
      <c r="E138" s="66">
        <f ca="1">AVERAGE(C138:D138)</f>
        <v>83.477220739981277</v>
      </c>
      <c r="F138" s="66">
        <f ca="1">STDEV(C138:D138)</f>
        <v>6.6730725817137126E-2</v>
      </c>
      <c r="G138" s="85">
        <v>-10.260005639274988</v>
      </c>
      <c r="H138" s="85">
        <v>86.622289786278884</v>
      </c>
      <c r="I138" s="59">
        <v>226.57612764228836</v>
      </c>
      <c r="J138" s="77">
        <v>1.0668094770675955</v>
      </c>
      <c r="K138" s="53" t="str">
        <f ca="1">IF(I138&lt;B138,I137&amp;"="&amp;ROUND(I138,0)&amp;"nM",I137&amp;"&gt;"&amp;B138&amp;"nM")</f>
        <v>IC50=227nM</v>
      </c>
      <c r="L138" s="53"/>
      <c r="M138" s="53"/>
      <c r="N138" s="53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47" s="10" customFormat="1" ht="20.100000000000001" customHeight="1" x14ac:dyDescent="0.3">
      <c r="B139" s="76">
        <f ca="1">B138/OFFSET(INDEX('Assay protocol'!C:C,MATCH(B136,'Assay protocol'!C:C,0)),0,3)</f>
        <v>3333.3333333333335</v>
      </c>
      <c r="C139" s="66">
        <f ca="1">OFFSET(INDEX(A:A,MATCH(B136,A:A,0)),0,3)</f>
        <v>80.979871297472158</v>
      </c>
      <c r="D139" s="66">
        <f ca="1">OFFSET(INDEX(A:A,MATCH(B136,A:A,0)),1,3)</f>
        <v>82.84982504378759</v>
      </c>
      <c r="E139" s="66">
        <f ca="1">AVERAGE(C139:D139)</f>
        <v>81.914848170629881</v>
      </c>
      <c r="F139" s="66">
        <f t="shared" ref="F139:F147" ca="1" si="17">STDEV(C139:D139)</f>
        <v>1.3222569745248305</v>
      </c>
      <c r="G139" s="61"/>
      <c r="H139" s="61"/>
      <c r="I139" s="61"/>
      <c r="J139" s="61"/>
      <c r="K139" s="53"/>
      <c r="L139" s="53"/>
      <c r="M139" s="53"/>
      <c r="N139" s="53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47" s="10" customFormat="1" ht="20.100000000000001" customHeight="1" x14ac:dyDescent="0.3">
      <c r="B140" s="76">
        <f ca="1">B139/OFFSET(INDEX('Assay protocol'!C:C,MATCH(B136,'Assay protocol'!C:C,0)),0,3)</f>
        <v>1111.1111111111111</v>
      </c>
      <c r="C140" s="66">
        <f ca="1">OFFSET(INDEX(A:A,MATCH(B136,A:A,0)),0,4)</f>
        <v>74.317942623682981</v>
      </c>
      <c r="D140" s="66">
        <f ca="1">OFFSET(INDEX(A:A,MATCH(B136,A:A,0)),1,4)</f>
        <v>73.258884707545448</v>
      </c>
      <c r="E140" s="66">
        <f ca="1">AVERAGE(C140:D140)</f>
        <v>73.788413665614215</v>
      </c>
      <c r="F140" s="66">
        <f t="shared" ca="1" si="17"/>
        <v>0.74886703417014355</v>
      </c>
      <c r="G140" s="61"/>
      <c r="H140" s="61"/>
      <c r="I140" s="61"/>
      <c r="J140" s="61"/>
      <c r="K140" s="53"/>
      <c r="L140" s="53"/>
      <c r="M140" s="53"/>
      <c r="N140" s="53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1:47" s="10" customFormat="1" ht="20.100000000000001" customHeight="1" x14ac:dyDescent="0.3">
      <c r="B141" s="76">
        <f ca="1">B140/OFFSET(INDEX('Assay protocol'!C:C,MATCH(B136,'Assay protocol'!C:C,0)),0,3)</f>
        <v>370.37037037037038</v>
      </c>
      <c r="C141" s="66">
        <f ca="1">OFFSET(INDEX(A:A,MATCH(B136,A:A,0)),0,5)</f>
        <v>51.368192533389255</v>
      </c>
      <c r="D141" s="66">
        <f ca="1">OFFSET(INDEX(A:A,MATCH(B136,A:A,0)),1,5)</f>
        <v>47.614304078169113</v>
      </c>
      <c r="E141" s="66">
        <f ca="1">AVERAGE(C141:D141)</f>
        <v>49.49124830577918</v>
      </c>
      <c r="F141" s="66">
        <f t="shared" ca="1" si="17"/>
        <v>2.6543999825040561</v>
      </c>
      <c r="G141" s="61"/>
      <c r="H141" s="61"/>
      <c r="I141" s="61"/>
      <c r="J141" s="61"/>
      <c r="K141" s="53"/>
      <c r="L141" s="53"/>
      <c r="M141" s="53"/>
      <c r="N141" s="53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1:47" s="10" customFormat="1" ht="20.100000000000001" customHeight="1" x14ac:dyDescent="0.3">
      <c r="B142" s="76">
        <f ca="1">B141/OFFSET(INDEX('Assay protocol'!C:C,MATCH(B136,'Assay protocol'!C:C,0)),0,3)</f>
        <v>123.4567901234568</v>
      </c>
      <c r="C142" s="66">
        <f ca="1">OFFSET(INDEX(A:A,MATCH(B136,A:A,0)),0,6)</f>
        <v>21.976713930087417</v>
      </c>
      <c r="D142" s="66">
        <f ca="1">OFFSET(INDEX(A:A,MATCH(B136,A:A,0)),1,6)</f>
        <v>20.138217349597848</v>
      </c>
      <c r="E142" s="66">
        <f t="shared" ref="E142:E145" ca="1" si="18">AVERAGE(C142:D142)</f>
        <v>21.057465639842633</v>
      </c>
      <c r="F142" s="66">
        <f t="shared" ca="1" si="17"/>
        <v>1.3000133992524532</v>
      </c>
      <c r="G142" s="61"/>
      <c r="H142" s="61"/>
      <c r="I142" s="53"/>
      <c r="J142" s="61"/>
      <c r="K142" s="53"/>
      <c r="L142" s="53"/>
      <c r="M142" s="53"/>
      <c r="N142" s="53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1:47" s="10" customFormat="1" ht="20.100000000000001" customHeight="1" x14ac:dyDescent="0.3">
      <c r="B143" s="76">
        <f ca="1">B142/OFFSET(INDEX('Assay protocol'!C:C,MATCH(B136,'Assay protocol'!C:C,0)),0,3)</f>
        <v>41.152263374485599</v>
      </c>
      <c r="C143" s="66">
        <f ca="1">OFFSET(INDEX(A:A,MATCH(B136,A:A,0)),0,7)</f>
        <v>3.5567957187185617</v>
      </c>
      <c r="D143" s="66">
        <f ca="1">OFFSET(INDEX(A:A,MATCH(B136,A:A,0)),1,7)</f>
        <v>12.644421401746838</v>
      </c>
      <c r="E143" s="66">
        <f t="shared" ca="1" si="18"/>
        <v>8.1006085602327005</v>
      </c>
      <c r="F143" s="66">
        <f t="shared" ca="1" si="17"/>
        <v>6.4259217453543211</v>
      </c>
      <c r="G143" s="61"/>
      <c r="H143" s="61"/>
      <c r="I143" s="61"/>
      <c r="J143" s="61"/>
      <c r="K143" s="53"/>
      <c r="L143" s="53"/>
      <c r="M143" s="53"/>
      <c r="N143" s="53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1:47" s="10" customFormat="1" ht="20.100000000000001" customHeight="1" x14ac:dyDescent="0.3">
      <c r="B144" s="76">
        <f ca="1">B143/OFFSET(INDEX('Assay protocol'!C:C,MATCH(B136,'Assay protocol'!C:C,0)),0,3)</f>
        <v>13.717421124828533</v>
      </c>
      <c r="C144" s="66">
        <f ca="1">OFFSET(INDEX(A:A,MATCH(B136,A:A,0)),0,8)</f>
        <v>-7.1805835498440791</v>
      </c>
      <c r="D144" s="66">
        <f ca="1">OFFSET(INDEX(A:A,MATCH(B136,A:A,0)),1,8)</f>
        <v>-13.93688372111087</v>
      </c>
      <c r="E144" s="66">
        <f t="shared" ca="1" si="18"/>
        <v>-10.558733635477475</v>
      </c>
      <c r="F144" s="66">
        <f t="shared" ca="1" si="17"/>
        <v>4.7774256668345796</v>
      </c>
      <c r="G144" s="61"/>
      <c r="H144" s="61"/>
      <c r="I144" s="61"/>
      <c r="J144" s="61"/>
      <c r="K144" s="53"/>
      <c r="L144" s="53"/>
      <c r="M144" s="53"/>
      <c r="N144" s="53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1:47" s="10" customFormat="1" ht="20.100000000000001" customHeight="1" x14ac:dyDescent="0.3">
      <c r="B145" s="76">
        <f ca="1">B144/OFFSET(INDEX('Assay protocol'!C:C,MATCH(B136,'Assay protocol'!C:C,0)),0,3)</f>
        <v>4.5724737082761777</v>
      </c>
      <c r="C145" s="66">
        <f ca="1">OFFSET(INDEX(A:A,MATCH(B136,A:A,0)),0,9)</f>
        <v>-4.6150769147122501</v>
      </c>
      <c r="D145" s="66">
        <f ca="1">OFFSET(INDEX(A:A,MATCH(B136,A:A,0)),1,9)</f>
        <v>-3.056199586008169</v>
      </c>
      <c r="E145" s="66">
        <f t="shared" ca="1" si="18"/>
        <v>-3.8356382503602093</v>
      </c>
      <c r="F145" s="66">
        <f t="shared" ca="1" si="17"/>
        <v>1.1022927301646279</v>
      </c>
      <c r="G145" s="61"/>
      <c r="H145" s="61"/>
      <c r="I145" s="61"/>
      <c r="J145" s="61"/>
      <c r="K145" s="53"/>
      <c r="L145" s="53"/>
      <c r="M145" s="53"/>
      <c r="N145" s="53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1:47" s="10" customFormat="1" ht="20.100000000000001" customHeight="1" x14ac:dyDescent="0.3">
      <c r="B146" s="76">
        <f ca="1">B145/OFFSET(INDEX('Assay protocol'!C:C,MATCH(B136,'Assay protocol'!C:C,0)),0,3)</f>
        <v>1.524157902758726</v>
      </c>
      <c r="C146" s="66">
        <f ca="1">OFFSET(INDEX(A:A,MATCH(B136,A:A,0)),0,10)</f>
        <v>-10.357757298256658</v>
      </c>
      <c r="D146" s="66">
        <f ca="1">OFFSET(INDEX(A:A,MATCH(B136,A:A,0)),1,10)</f>
        <v>-17.152505116643955</v>
      </c>
      <c r="E146" s="66">
        <f ca="1">AVERAGE(C146:D146)</f>
        <v>-13.755131207450306</v>
      </c>
      <c r="F146" s="66">
        <f t="shared" ca="1" si="17"/>
        <v>4.8046122588341573</v>
      </c>
      <c r="G146" s="61"/>
      <c r="H146" s="61"/>
      <c r="I146" s="61"/>
      <c r="J146" s="61"/>
      <c r="K146" s="53"/>
      <c r="L146" s="53"/>
      <c r="M146" s="53"/>
      <c r="N146" s="53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1:47" s="10" customFormat="1" ht="20.100000000000001" customHeight="1" x14ac:dyDescent="0.3">
      <c r="B147" s="76">
        <f ca="1">B146/OFFSET(INDEX('Assay protocol'!C:C,MATCH(B136,'Assay protocol'!C:C,0)),0,3)</f>
        <v>0.5080526342529087</v>
      </c>
      <c r="C147" s="66">
        <f ca="1">OFFSET(INDEX(A:A,MATCH(B136,A:A,0)),0,11)</f>
        <v>-11.45176762086737</v>
      </c>
      <c r="D147" s="66">
        <f ca="1">OFFSET(INDEX(A:A,MATCH(B136,A:A,0)),1,11)</f>
        <v>-6.8660118915854076</v>
      </c>
      <c r="E147" s="66">
        <f t="shared" ref="E147" ca="1" si="19">AVERAGE(C147:D147)</f>
        <v>-9.1588897562263885</v>
      </c>
      <c r="F147" s="66">
        <f t="shared" ca="1" si="17"/>
        <v>3.2426189730403405</v>
      </c>
      <c r="G147" s="61"/>
      <c r="H147" s="61"/>
      <c r="I147" s="61"/>
      <c r="J147" s="61"/>
      <c r="K147" s="53"/>
      <c r="L147" s="53"/>
      <c r="M147" s="53"/>
      <c r="N147" s="53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1:47" s="10" customFormat="1" ht="20.100000000000001" customHeight="1" x14ac:dyDescent="0.3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AD148" s="61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1:47" s="10" customFormat="1" ht="20.100000000000001" customHeight="1" x14ac:dyDescent="0.3">
      <c r="A149" s="5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53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1:47" s="10" customFormat="1" ht="20.100000000000001" customHeight="1" x14ac:dyDescent="0.3">
      <c r="B150" s="114" t="str">
        <f>B151&amp;" in "&amp;'Assay summary'!$B$2</f>
        <v>HW356009-P1 in WRN(517-1238) FI assay_ATP preincubation</v>
      </c>
      <c r="C150" s="115"/>
      <c r="D150" s="115"/>
      <c r="E150" s="115"/>
      <c r="F150" s="116"/>
      <c r="G150" s="53"/>
      <c r="H150" s="53"/>
      <c r="I150" s="53"/>
      <c r="J150" s="53"/>
      <c r="K150" s="53"/>
      <c r="L150" s="53"/>
      <c r="M150" s="53"/>
      <c r="N150" s="53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1:47" s="10" customFormat="1" ht="20.100000000000001" customHeight="1" x14ac:dyDescent="0.3">
      <c r="B151" s="70" t="str">
        <f>'Assay summary'!C8</f>
        <v>HW356009-P1</v>
      </c>
      <c r="C151" s="71"/>
      <c r="D151" s="72" t="s">
        <v>31</v>
      </c>
      <c r="E151" s="72"/>
      <c r="F151" s="73"/>
      <c r="G151" s="61"/>
      <c r="H151" s="61"/>
      <c r="I151" s="61"/>
      <c r="J151" s="61"/>
      <c r="K151" s="53" t="str">
        <f ca="1">[1]!xf4_FitData("",[1]!xf4_SetModel("205"),[1]!xf4_SetParameters(0,FALSE,TRUE,100,FALSE,TRUE,1,FALSE,TRUE,0.1,FALSE,TRUE),[1]!xf4_SetData(B152,B153:B162,D151,E153:E162))</f>
        <v>#Ok</v>
      </c>
      <c r="L151" s="53"/>
      <c r="M151" s="53"/>
      <c r="N151" s="53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1:47" s="10" customFormat="1" ht="20.100000000000001" customHeight="1" x14ac:dyDescent="0.3">
      <c r="B152" s="74" t="s">
        <v>37</v>
      </c>
      <c r="C152" s="75" t="s">
        <v>32</v>
      </c>
      <c r="D152" s="75" t="s">
        <v>33</v>
      </c>
      <c r="E152" s="75" t="s">
        <v>34</v>
      </c>
      <c r="F152" s="75" t="s">
        <v>28</v>
      </c>
      <c r="G152" s="74" t="s">
        <v>35</v>
      </c>
      <c r="H152" s="74" t="s">
        <v>87</v>
      </c>
      <c r="I152" s="74" t="s">
        <v>81</v>
      </c>
      <c r="J152" s="74" t="s">
        <v>36</v>
      </c>
      <c r="K152" s="53" t="str">
        <f ca="1">[1]!xf4_Chart2D([1]!xf_Init()&amp;[1]!xf_Title(B150)&amp;[1]!xf_LabelX([1]!xf4_XLabel(K151))&amp;[1]!xf_LabelY([1]!xf4_YLabel(K151))&amp;[1]!xf_ScaleX(FALSE,0.05,100000,,TRUE)&amp;[1]!xf_ScaleY(FALSE,-29,120,30,FALSE)&amp;[1]!xf_Header(K153),[1]!xf4_C2DFit(K151,F153:F163,F153:F163)&amp;[1]!xf4_C2DFitDetails(7,0,0.05,0,0.05)&amp;[1]!xf4_C2DFitPoints(101,,,,1,-1))</f>
        <v>#Ok</v>
      </c>
      <c r="L152" s="53"/>
      <c r="M152" s="53"/>
      <c r="N152" s="53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1:47" s="10" customFormat="1" ht="20.100000000000001" customHeight="1" x14ac:dyDescent="0.3">
      <c r="B153" s="76">
        <f ca="1">OFFSET(INDEX('Assay protocol'!C:C,MATCH(B151,'Assay protocol'!C:C,0)),0,2)</f>
        <v>10000</v>
      </c>
      <c r="C153" s="66">
        <f ca="1">OFFSET(INDEX(A:A,MATCH(B151,A:A,0)),0,2)</f>
        <v>83.55236841389862</v>
      </c>
      <c r="D153" s="66">
        <f ca="1">OFFSET(INDEX(A:A,MATCH(B151,A:A,0)),1,2)</f>
        <v>83.828492425036799</v>
      </c>
      <c r="E153" s="66">
        <f ca="1">AVERAGE(C153:D153)</f>
        <v>83.690430419467702</v>
      </c>
      <c r="F153" s="66">
        <f ca="1">STDEV(C153:D153)</f>
        <v>0.19524916072423651</v>
      </c>
      <c r="G153" s="77">
        <v>-9.6189939709193517</v>
      </c>
      <c r="H153" s="85">
        <v>84.975463613156379</v>
      </c>
      <c r="I153" s="59">
        <v>217.20957251058218</v>
      </c>
      <c r="J153" s="77">
        <v>1.2687379932327536</v>
      </c>
      <c r="K153" s="53" t="str">
        <f ca="1">IF(I153&lt;B153,I152&amp;"="&amp;ROUND(I153,0)&amp;"nM",I152&amp;"&gt;"&amp;B153&amp;"nM")</f>
        <v>IC50=217nM</v>
      </c>
      <c r="L153" s="53"/>
      <c r="M153" s="53"/>
      <c r="N153" s="53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1:47" s="10" customFormat="1" ht="20.100000000000001" customHeight="1" x14ac:dyDescent="0.3">
      <c r="B154" s="76">
        <f ca="1">B153/OFFSET(INDEX('Assay protocol'!C:C,MATCH(B151,'Assay protocol'!C:C,0)),0,3)</f>
        <v>3333.3333333333335</v>
      </c>
      <c r="C154" s="66">
        <f ca="1">OFFSET(INDEX(A:A,MATCH(B151,A:A,0)),0,3)</f>
        <v>82.094853063966795</v>
      </c>
      <c r="D154" s="66">
        <f ca="1">OFFSET(INDEX(A:A,MATCH(B151,A:A,0)),1,3)</f>
        <v>82.220681727270247</v>
      </c>
      <c r="E154" s="66">
        <f ca="1">AVERAGE(C154:D154)</f>
        <v>82.157767395618521</v>
      </c>
      <c r="F154" s="66">
        <f t="shared" ref="F154:F162" ca="1" si="20">STDEV(C154:D154)</f>
        <v>8.8974301089509475E-2</v>
      </c>
      <c r="G154" s="61"/>
      <c r="H154" s="61"/>
      <c r="I154" s="61"/>
      <c r="J154" s="61"/>
      <c r="K154" s="53"/>
      <c r="L154" s="53"/>
      <c r="M154" s="53"/>
      <c r="N154" s="53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1:47" s="10" customFormat="1" ht="20.100000000000001" customHeight="1" x14ac:dyDescent="0.3">
      <c r="B155" s="76">
        <f ca="1">B154/OFFSET(INDEX('Assay protocol'!C:C,MATCH(B151,'Assay protocol'!C:C,0)),0,3)</f>
        <v>1111.1111111111111</v>
      </c>
      <c r="C155" s="66">
        <f ca="1">OFFSET(INDEX(A:A,MATCH(B151,A:A,0)),0,4)</f>
        <v>74.800285833012936</v>
      </c>
      <c r="D155" s="66">
        <f ca="1">OFFSET(INDEX(A:A,MATCH(B151,A:A,0)),1,4)</f>
        <v>75.258162357811671</v>
      </c>
      <c r="E155" s="66">
        <f ca="1">AVERAGE(C155:D155)</f>
        <v>75.029224095412303</v>
      </c>
      <c r="F155" s="66">
        <f t="shared" ca="1" si="20"/>
        <v>0.3237675956313158</v>
      </c>
      <c r="G155" s="61"/>
      <c r="H155" s="61"/>
      <c r="I155" s="61"/>
      <c r="J155" s="61"/>
      <c r="K155" s="53"/>
      <c r="L155" s="53"/>
      <c r="M155" s="53"/>
      <c r="N155" s="53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1:47" s="10" customFormat="1" ht="20.100000000000001" customHeight="1" x14ac:dyDescent="0.3">
      <c r="B156" s="76">
        <f ca="1">B155/OFFSET(INDEX('Assay protocol'!C:C,MATCH(B151,'Assay protocol'!C:C,0)),0,3)</f>
        <v>370.37037037037038</v>
      </c>
      <c r="C156" s="66">
        <f ca="1">OFFSET(INDEX(A:A,MATCH(B151,A:A,0)),0,5)</f>
        <v>59.152093454967705</v>
      </c>
      <c r="D156" s="66">
        <f ca="1">OFFSET(INDEX(A:A,MATCH(B151,A:A,0)),1,5)</f>
        <v>47.70518033499939</v>
      </c>
      <c r="E156" s="66">
        <f ca="1">AVERAGE(C156:D156)</f>
        <v>53.428636894983548</v>
      </c>
      <c r="F156" s="66">
        <f t="shared" ca="1" si="20"/>
        <v>8.0941898907828964</v>
      </c>
      <c r="G156" s="61"/>
      <c r="H156" s="61"/>
      <c r="I156" s="61"/>
      <c r="J156" s="61"/>
      <c r="K156" s="53"/>
      <c r="L156" s="53"/>
      <c r="M156" s="53"/>
      <c r="N156" s="53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1:47" s="10" customFormat="1" ht="20.100000000000001" customHeight="1" x14ac:dyDescent="0.3">
      <c r="B157" s="76">
        <f ca="1">B156/OFFSET(INDEX('Assay protocol'!C:C,MATCH(B151,'Assay protocol'!C:C,0)),0,3)</f>
        <v>123.4567901234568</v>
      </c>
      <c r="C157" s="66">
        <f ca="1">OFFSET(INDEX(A:A,MATCH(B151,A:A,0)),0,6)</f>
        <v>19.163045208995968</v>
      </c>
      <c r="D157" s="66">
        <f ca="1">OFFSET(INDEX(A:A,MATCH(B151,A:A,0)),1,6)</f>
        <v>20.225598365780812</v>
      </c>
      <c r="E157" s="66">
        <f t="shared" ref="E157:E160" ca="1" si="21">AVERAGE(C157:D157)</f>
        <v>19.69432178738839</v>
      </c>
      <c r="F157" s="66">
        <f t="shared" ca="1" si="20"/>
        <v>0.751338542533736</v>
      </c>
      <c r="G157" s="61"/>
      <c r="H157" s="61"/>
      <c r="I157" s="53"/>
      <c r="J157" s="61"/>
      <c r="K157" s="53"/>
      <c r="L157" s="53"/>
      <c r="M157" s="53"/>
      <c r="N157" s="53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1:47" s="10" customFormat="1" ht="20.100000000000001" customHeight="1" x14ac:dyDescent="0.3">
      <c r="B158" s="76">
        <f ca="1">B157/OFFSET(INDEX('Assay protocol'!C:C,MATCH(B151,'Assay protocol'!C:C,0)),0,3)</f>
        <v>41.152263374485599</v>
      </c>
      <c r="C158" s="66">
        <f ca="1">OFFSET(INDEX(A:A,MATCH(B151,A:A,0)),0,7)</f>
        <v>0.54389828072995594</v>
      </c>
      <c r="D158" s="66">
        <f ca="1">OFFSET(INDEX(A:A,MATCH(B151,A:A,0)),1,7)</f>
        <v>6.810864761372148</v>
      </c>
      <c r="E158" s="66">
        <f t="shared" ca="1" si="21"/>
        <v>3.6773815210510521</v>
      </c>
      <c r="F158" s="66">
        <f t="shared" ca="1" si="20"/>
        <v>4.4314144959308859</v>
      </c>
      <c r="G158" s="61"/>
      <c r="H158" s="61"/>
      <c r="I158" s="61"/>
      <c r="J158" s="61"/>
      <c r="K158" s="53"/>
      <c r="L158" s="53"/>
      <c r="M158" s="53"/>
      <c r="N158" s="53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1:47" s="10" customFormat="1" ht="20.100000000000001" customHeight="1" x14ac:dyDescent="0.3">
      <c r="B159" s="76">
        <f ca="1">B158/OFFSET(INDEX('Assay protocol'!C:C,MATCH(B151,'Assay protocol'!C:C,0)),0,3)</f>
        <v>13.717421124828533</v>
      </c>
      <c r="C159" s="66">
        <f ca="1">OFFSET(INDEX(A:A,MATCH(B151,A:A,0)),0,8)</f>
        <v>-6.9429071858264164</v>
      </c>
      <c r="D159" s="66">
        <f ca="1">OFFSET(INDEX(A:A,MATCH(B151,A:A,0)),1,8)</f>
        <v>-10.151538100064862</v>
      </c>
      <c r="E159" s="66">
        <f t="shared" ca="1" si="21"/>
        <v>-8.5472226429456395</v>
      </c>
      <c r="F159" s="66">
        <f t="shared" ca="1" si="20"/>
        <v>2.2688446777827966</v>
      </c>
      <c r="G159" s="61"/>
      <c r="H159" s="61"/>
      <c r="I159" s="61"/>
      <c r="J159" s="61"/>
      <c r="K159" s="53"/>
      <c r="L159" s="53"/>
      <c r="M159" s="53"/>
      <c r="N159" s="53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1:47" s="10" customFormat="1" ht="20.100000000000001" customHeight="1" x14ac:dyDescent="0.3">
      <c r="B160" s="76">
        <f ca="1">B159/OFFSET(INDEX('Assay protocol'!C:C,MATCH(B151,'Assay protocol'!C:C,0)),0,3)</f>
        <v>4.5724737082761777</v>
      </c>
      <c r="C160" s="66">
        <f ca="1">OFFSET(INDEX(A:A,MATCH(B151,A:A,0)),0,9)</f>
        <v>-9.5084138209582463</v>
      </c>
      <c r="D160" s="66">
        <f ca="1">OFFSET(INDEX(A:A,MATCH(B151,A:A,0)),1,9)</f>
        <v>-6.8869833354693197</v>
      </c>
      <c r="E160" s="66">
        <f t="shared" ca="1" si="21"/>
        <v>-8.1976985782137834</v>
      </c>
      <c r="F160" s="66">
        <f t="shared" ca="1" si="20"/>
        <v>1.8536312726983584</v>
      </c>
      <c r="G160" s="61"/>
      <c r="H160" s="61"/>
      <c r="I160" s="61"/>
      <c r="J160" s="61"/>
      <c r="K160" s="53"/>
      <c r="L160" s="53"/>
      <c r="M160" s="53"/>
      <c r="N160" s="53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spans="1:47" s="10" customFormat="1" ht="20.100000000000001" customHeight="1" x14ac:dyDescent="0.3">
      <c r="B161" s="76">
        <f ca="1">B160/OFFSET(INDEX('Assay protocol'!C:C,MATCH(B151,'Assay protocol'!C:C,0)),0,3)</f>
        <v>1.524157902758726</v>
      </c>
      <c r="C161" s="66">
        <f ca="1">OFFSET(INDEX(A:A,MATCH(B151,A:A,0)),0,10)</f>
        <v>-10.23192863495319</v>
      </c>
      <c r="D161" s="66">
        <f ca="1">OFFSET(INDEX(A:A,MATCH(B151,A:A,0)),1,10)</f>
        <v>-19.137801804320901</v>
      </c>
      <c r="E161" s="66">
        <f ca="1">AVERAGE(C161:D161)</f>
        <v>-14.684865219637047</v>
      </c>
      <c r="F161" s="66">
        <f t="shared" ca="1" si="20"/>
        <v>6.297403310447236</v>
      </c>
      <c r="G161" s="61"/>
      <c r="H161" s="61"/>
      <c r="I161" s="61"/>
      <c r="J161" s="61"/>
      <c r="K161" s="53"/>
      <c r="L161" s="53"/>
      <c r="M161" s="53"/>
      <c r="N161" s="53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spans="1:47" s="10" customFormat="1" ht="20.100000000000001" customHeight="1" x14ac:dyDescent="0.3">
      <c r="B162" s="76">
        <f ca="1">B161/OFFSET(INDEX('Assay protocol'!C:C,MATCH(B151,'Assay protocol'!C:C,0)),0,3)</f>
        <v>0.5080526342529087</v>
      </c>
      <c r="C162" s="66">
        <f ca="1">OFFSET(INDEX(A:A,MATCH(B151,A:A,0)),0,11)</f>
        <v>-9.3686041950655028</v>
      </c>
      <c r="D162" s="66">
        <f ca="1">OFFSET(INDEX(A:A,MATCH(B151,A:A,0)),1,11)</f>
        <v>-0.99400760409021405</v>
      </c>
      <c r="E162" s="66">
        <f t="shared" ref="E162" ca="1" si="22">AVERAGE(C162:D162)</f>
        <v>-5.1813058995778585</v>
      </c>
      <c r="F162" s="66">
        <f t="shared" ca="1" si="20"/>
        <v>5.9217340391803708</v>
      </c>
      <c r="G162" s="61"/>
      <c r="H162" s="61"/>
      <c r="I162" s="61"/>
      <c r="J162" s="61"/>
      <c r="K162" s="53"/>
      <c r="L162" s="53"/>
      <c r="M162" s="53"/>
      <c r="N162" s="53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spans="1:47" ht="20.100000000000001" customHeight="1" x14ac:dyDescent="0.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47" ht="20.100000000000001" customHeight="1" x14ac:dyDescent="0.3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47" s="10" customFormat="1" ht="20.100000000000001" customHeight="1" x14ac:dyDescent="0.3">
      <c r="B165" s="114" t="str">
        <f>B166&amp;" in "&amp;'Assay summary'!$B$2</f>
        <v>HW356016 in WRN(517-1238) FI assay_ATP preincubation</v>
      </c>
      <c r="C165" s="115"/>
      <c r="D165" s="115"/>
      <c r="E165" s="115"/>
      <c r="F165" s="116"/>
      <c r="G165" s="53"/>
      <c r="H165" s="53"/>
      <c r="I165" s="53"/>
      <c r="J165" s="53"/>
      <c r="K165" s="53"/>
      <c r="L165" s="53"/>
      <c r="M165" s="53"/>
      <c r="N165" s="53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spans="1:47" s="10" customFormat="1" ht="20.100000000000001" customHeight="1" x14ac:dyDescent="0.3">
      <c r="B166" s="70" t="str">
        <f>'Assay summary'!C9</f>
        <v>HW356016</v>
      </c>
      <c r="C166" s="71"/>
      <c r="D166" s="72" t="s">
        <v>31</v>
      </c>
      <c r="E166" s="72"/>
      <c r="F166" s="73"/>
      <c r="G166" s="61"/>
      <c r="H166" s="61"/>
      <c r="I166" s="61"/>
      <c r="J166" s="61"/>
      <c r="K166" s="53" t="str">
        <f ca="1">[1]!xf4_FitData("",[1]!xf4_SetModel("205"),[1]!xf4_SetParameters(0,FALSE,TRUE,100,FALSE,TRUE,1,FALSE,TRUE,0.1,FALSE,TRUE),[1]!xf4_SetData(B167,B168:B177,D166,E168:E177))</f>
        <v>#Ok</v>
      </c>
      <c r="L166" s="53"/>
      <c r="M166" s="53"/>
      <c r="N166" s="53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spans="1:47" s="10" customFormat="1" ht="20.100000000000001" customHeight="1" x14ac:dyDescent="0.3">
      <c r="B167" s="74" t="s">
        <v>37</v>
      </c>
      <c r="C167" s="75" t="s">
        <v>32</v>
      </c>
      <c r="D167" s="75" t="s">
        <v>33</v>
      </c>
      <c r="E167" s="75" t="s">
        <v>34</v>
      </c>
      <c r="F167" s="75" t="s">
        <v>28</v>
      </c>
      <c r="G167" s="74" t="s">
        <v>35</v>
      </c>
      <c r="H167" s="74" t="s">
        <v>87</v>
      </c>
      <c r="I167" s="74" t="s">
        <v>81</v>
      </c>
      <c r="J167" s="74" t="s">
        <v>36</v>
      </c>
      <c r="K167" s="53" t="str">
        <f ca="1">[1]!xf4_Chart2D([1]!xf_Init()&amp;[1]!xf_Title(B165)&amp;[1]!xf_LabelX([1]!xf4_XLabel(K166))&amp;[1]!xf_LabelY([1]!xf4_YLabel(K166))&amp;[1]!xf_ScaleX(FALSE,0.05,100000,,TRUE)&amp;[1]!xf_ScaleY(FALSE,-29,120,30,FALSE)&amp;[1]!xf_Header(K168),[1]!xf4_C2DFit(K166,F168:F178,F168:F178)&amp;[1]!xf4_C2DFitDetails(7,0,0.05,0,0.05)&amp;[1]!xf4_C2DFitPoints(101,,,,1,-1))</f>
        <v>#Ok</v>
      </c>
      <c r="L167" s="53"/>
      <c r="M167" s="53"/>
      <c r="N167" s="53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spans="1:47" s="10" customFormat="1" ht="20.100000000000001" customHeight="1" x14ac:dyDescent="0.3">
      <c r="B168" s="76">
        <f ca="1">OFFSET(INDEX('Assay protocol'!C:C,MATCH(B166,'Assay protocol'!C:C,0)),0,2)</f>
        <v>10000</v>
      </c>
      <c r="C168" s="66">
        <f ca="1">OFFSET(INDEX(A:A,MATCH(B166,A:A,0)),0,2)</f>
        <v>76.072553428636894</v>
      </c>
      <c r="D168" s="66">
        <f ca="1">OFFSET(INDEX(A:A,MATCH(B166,A:A,0)),1,2)</f>
        <v>77.355306746202814</v>
      </c>
      <c r="E168" s="66">
        <f ca="1">AVERAGE(C168:D168)</f>
        <v>76.713930087419854</v>
      </c>
      <c r="F168" s="66">
        <f ca="1">STDEV(C168:D168)</f>
        <v>0.90704356944040276</v>
      </c>
      <c r="G168" s="85">
        <v>-14.107587902338574</v>
      </c>
      <c r="H168" s="85">
        <v>84.263213410120997</v>
      </c>
      <c r="I168" s="59">
        <v>661.06208535601695</v>
      </c>
      <c r="J168" s="77">
        <v>0.9321433228221857</v>
      </c>
      <c r="K168" s="53" t="str">
        <f ca="1">IF(I168&lt;B168,I167&amp;"="&amp;ROUND(I168,0)&amp;"nM",I167&amp;"&gt;"&amp;B168&amp;"nM")</f>
        <v>IC50=661nM</v>
      </c>
      <c r="L168" s="53"/>
      <c r="M168" s="53"/>
      <c r="N168" s="53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spans="1:47" s="10" customFormat="1" ht="20.100000000000001" customHeight="1" x14ac:dyDescent="0.3">
      <c r="B169" s="76">
        <f ca="1">B168/OFFSET(INDEX('Assay protocol'!C:C,MATCH(B166,'Assay protocol'!C:C,0)),0,3)</f>
        <v>3333.3333333333335</v>
      </c>
      <c r="C169" s="66">
        <f ca="1">OFFSET(INDEX(A:A,MATCH(B166,A:A,0)),0,3)</f>
        <v>63.293953622040213</v>
      </c>
      <c r="D169" s="66">
        <f ca="1">OFFSET(INDEX(A:A,MATCH(B166,A:A,0)),1,3)</f>
        <v>69.001681599111436</v>
      </c>
      <c r="E169" s="66">
        <f ca="1">AVERAGE(C169:D169)</f>
        <v>66.147817610575828</v>
      </c>
      <c r="F169" s="66">
        <f t="shared" ref="F169:F177" ca="1" si="23">STDEV(C169:D169)</f>
        <v>4.0359731577552367</v>
      </c>
      <c r="G169" s="61"/>
      <c r="H169" s="61"/>
      <c r="I169" s="61"/>
      <c r="J169" s="61"/>
      <c r="K169" s="53"/>
      <c r="L169" s="53"/>
      <c r="M169" s="53"/>
      <c r="N169" s="53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spans="1:47" s="10" customFormat="1" ht="20.100000000000001" customHeight="1" x14ac:dyDescent="0.3">
      <c r="B170" s="76">
        <f ca="1">B169/OFFSET(INDEX('Assay protocol'!C:C,MATCH(B166,'Assay protocol'!C:C,0)),0,3)</f>
        <v>1111.1111111111111</v>
      </c>
      <c r="C170" s="66">
        <f ca="1">OFFSET(INDEX(A:A,MATCH(B166,A:A,0)),0,4)</f>
        <v>52.004326331201234</v>
      </c>
      <c r="D170" s="66">
        <f ca="1">OFFSET(INDEX(A:A,MATCH(B166,A:A,0)),1,4)</f>
        <v>46.46786514584862</v>
      </c>
      <c r="E170" s="66">
        <f ca="1">AVERAGE(C170:D170)</f>
        <v>49.236095738524924</v>
      </c>
      <c r="F170" s="66">
        <f t="shared" ca="1" si="23"/>
        <v>3.9148692479389444</v>
      </c>
      <c r="G170" s="61"/>
      <c r="H170" s="61"/>
      <c r="I170" s="61"/>
      <c r="J170" s="61"/>
      <c r="K170" s="53"/>
      <c r="L170" s="53"/>
      <c r="M170" s="53"/>
      <c r="N170" s="53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spans="1:47" s="10" customFormat="1" ht="20.100000000000001" customHeight="1" x14ac:dyDescent="0.3">
      <c r="B171" s="76">
        <f ca="1">B170/OFFSET(INDEX('Assay protocol'!C:C,MATCH(B166,'Assay protocol'!C:C,0)),0,3)</f>
        <v>370.37037037037038</v>
      </c>
      <c r="C171" s="66">
        <f ca="1">OFFSET(INDEX(A:A,MATCH(B166,A:A,0)),0,5)</f>
        <v>16.024319107703892</v>
      </c>
      <c r="D171" s="66">
        <f ca="1">OFFSET(INDEX(A:A,MATCH(B166,A:A,0)),1,5)</f>
        <v>19.250426225178931</v>
      </c>
      <c r="E171" s="66">
        <f ca="1">AVERAGE(C171:D171)</f>
        <v>17.637372666441411</v>
      </c>
      <c r="F171" s="66">
        <f t="shared" ca="1" si="23"/>
        <v>2.2812022196007855</v>
      </c>
      <c r="G171" s="61"/>
      <c r="H171" s="61"/>
      <c r="I171" s="61"/>
      <c r="J171" s="61"/>
      <c r="K171" s="53"/>
      <c r="L171" s="53"/>
      <c r="M171" s="53"/>
      <c r="N171" s="53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spans="1:47" s="10" customFormat="1" ht="20.100000000000001" customHeight="1" x14ac:dyDescent="0.3">
      <c r="B172" s="76">
        <f ca="1">B171/OFFSET(INDEX('Assay protocol'!C:C,MATCH(B166,'Assay protocol'!C:C,0)),0,3)</f>
        <v>123.4567901234568</v>
      </c>
      <c r="C172" s="66">
        <f ca="1">OFFSET(INDEX(A:A,MATCH(B166,A:A,0)),0,6)</f>
        <v>3.7385482323791268</v>
      </c>
      <c r="D172" s="66">
        <f ca="1">OFFSET(INDEX(A:A,MATCH(B166,A:A,0)),1,6)</f>
        <v>9.2540379738478276</v>
      </c>
      <c r="E172" s="66">
        <f t="shared" ref="E172:E175" ca="1" si="24">AVERAGE(C172:D172)</f>
        <v>6.4962931031134774</v>
      </c>
      <c r="F172" s="66">
        <f t="shared" ca="1" si="23"/>
        <v>3.9000401977573542</v>
      </c>
      <c r="G172" s="61"/>
      <c r="H172" s="61"/>
      <c r="I172" s="53"/>
      <c r="J172" s="61"/>
      <c r="K172" s="53"/>
      <c r="L172" s="53"/>
      <c r="M172" s="53"/>
      <c r="N172" s="53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spans="1:47" s="10" customFormat="1" ht="20.100000000000001" customHeight="1" x14ac:dyDescent="0.3">
      <c r="B173" s="76">
        <f ca="1">B172/OFFSET(INDEX('Assay protocol'!C:C,MATCH(B166,'Assay protocol'!C:C,0)),0,3)</f>
        <v>41.152263374485599</v>
      </c>
      <c r="C173" s="66">
        <f ca="1">OFFSET(INDEX(A:A,MATCH(B166,A:A,0)),0,7)</f>
        <v>-6.995335795536195</v>
      </c>
      <c r="D173" s="66">
        <f ca="1">OFFSET(INDEX(A:A,MATCH(B166,A:A,0)),1,7)</f>
        <v>-4.1502099086188808</v>
      </c>
      <c r="E173" s="66">
        <f t="shared" ca="1" si="24"/>
        <v>-5.5727728520775379</v>
      </c>
      <c r="F173" s="66">
        <f t="shared" ca="1" si="23"/>
        <v>2.0118078079686255</v>
      </c>
      <c r="G173" s="61"/>
      <c r="H173" s="61"/>
      <c r="I173" s="61"/>
      <c r="J173" s="61"/>
      <c r="K173" s="53"/>
      <c r="L173" s="53"/>
      <c r="M173" s="53"/>
      <c r="N173" s="53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spans="1:47" s="10" customFormat="1" ht="20.100000000000001" customHeight="1" x14ac:dyDescent="0.3">
      <c r="B174" s="76">
        <f ca="1">B173/OFFSET(INDEX('Assay protocol'!C:C,MATCH(B166,'Assay protocol'!C:C,0)),0,3)</f>
        <v>13.717421124828533</v>
      </c>
      <c r="C174" s="66">
        <f ca="1">OFFSET(INDEX(A:A,MATCH(B166,A:A,0)),0,8)</f>
        <v>-13.664254950620021</v>
      </c>
      <c r="D174" s="66">
        <f ca="1">OFFSET(INDEX(A:A,MATCH(B166,A:A,0)),1,8)</f>
        <v>-18.491182284566964</v>
      </c>
      <c r="E174" s="66">
        <f t="shared" ca="1" si="24"/>
        <v>-16.077718617593494</v>
      </c>
      <c r="F174" s="66">
        <f t="shared" ca="1" si="23"/>
        <v>3.4131530501285763</v>
      </c>
      <c r="G174" s="61"/>
      <c r="H174" s="61"/>
      <c r="I174" s="61"/>
      <c r="J174" s="61"/>
      <c r="K174" s="53"/>
      <c r="L174" s="53"/>
      <c r="M174" s="53"/>
      <c r="N174" s="53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spans="1:47" s="10" customFormat="1" ht="20.100000000000001" customHeight="1" x14ac:dyDescent="0.3">
      <c r="B175" s="76">
        <f ca="1">B174/OFFSET(INDEX('Assay protocol'!C:C,MATCH(B166,'Assay protocol'!C:C,0)),0,3)</f>
        <v>4.5724737082761777</v>
      </c>
      <c r="C175" s="66">
        <f ca="1">OFFSET(INDEX(A:A,MATCH(B166,A:A,0)),0,9)</f>
        <v>-15.632075435060377</v>
      </c>
      <c r="D175" s="66">
        <f ca="1">OFFSET(INDEX(A:A,MATCH(B166,A:A,0)),1,9)</f>
        <v>-6.7436784689292582</v>
      </c>
      <c r="E175" s="66">
        <f t="shared" ca="1" si="24"/>
        <v>-11.187876951994818</v>
      </c>
      <c r="F175" s="66">
        <f t="shared" ca="1" si="23"/>
        <v>6.2850457686292485</v>
      </c>
      <c r="G175" s="61"/>
      <c r="H175" s="61"/>
      <c r="I175" s="61"/>
      <c r="J175" s="61"/>
      <c r="K175" s="53"/>
      <c r="L175" s="53"/>
      <c r="M175" s="53"/>
      <c r="N175" s="53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spans="1:47" s="10" customFormat="1" ht="20.100000000000001" customHeight="1" x14ac:dyDescent="0.3">
      <c r="B176" s="76">
        <f ca="1">B175/OFFSET(INDEX('Assay protocol'!C:C,MATCH(B166,'Assay protocol'!C:C,0)),0,3)</f>
        <v>1.524157902758726</v>
      </c>
      <c r="C176" s="66">
        <f ca="1">OFFSET(INDEX(A:A,MATCH(B166,A:A,0)),0,10)</f>
        <v>-8.2990605569860207</v>
      </c>
      <c r="D176" s="66">
        <f ca="1">OFFSET(INDEX(A:A,MATCH(B166,A:A,0)),1,10)</f>
        <v>-22.402356568916442</v>
      </c>
      <c r="E176" s="66">
        <f ca="1">AVERAGE(C176:D176)</f>
        <v>-15.350708562951231</v>
      </c>
      <c r="F176" s="66">
        <f t="shared" ca="1" si="23"/>
        <v>9.9725362471171959</v>
      </c>
      <c r="G176" s="61"/>
      <c r="H176" s="61"/>
      <c r="I176" s="61"/>
      <c r="J176" s="61"/>
      <c r="K176" s="53"/>
      <c r="L176" s="53"/>
      <c r="M176" s="53"/>
      <c r="N176" s="53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spans="1:47" s="10" customFormat="1" ht="20.100000000000001" customHeight="1" x14ac:dyDescent="0.3">
      <c r="B177" s="76">
        <f ca="1">B176/OFFSET(INDEX('Assay protocol'!C:C,MATCH(B166,'Assay protocol'!C:C,0)),0,3)</f>
        <v>0.5080526342529087</v>
      </c>
      <c r="C177" s="66">
        <f ca="1">OFFSET(INDEX(A:A,MATCH(B166,A:A,0)),0,11)</f>
        <v>-17.169981319880549</v>
      </c>
      <c r="D177" s="66">
        <f ca="1">OFFSET(INDEX(A:A,MATCH(B166,A:A,0)),1,11)</f>
        <v>-7.7747744598882358</v>
      </c>
      <c r="E177" s="66">
        <f t="shared" ref="E177" ca="1" si="25">AVERAGE(C177:D177)</f>
        <v>-12.472377889884392</v>
      </c>
      <c r="F177" s="66">
        <f t="shared" ca="1" si="23"/>
        <v>6.643414481350935</v>
      </c>
      <c r="G177" s="61"/>
      <c r="H177" s="61"/>
      <c r="I177" s="61"/>
      <c r="J177" s="61"/>
      <c r="K177" s="53"/>
      <c r="L177" s="53"/>
      <c r="M177" s="53"/>
      <c r="N177" s="53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spans="1:47" ht="20.100000000000001" customHeight="1" x14ac:dyDescent="0.3">
      <c r="A178" s="5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53"/>
      <c r="M178" s="53"/>
      <c r="N178" s="53"/>
      <c r="O178" s="5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47" ht="20.100000000000001" customHeight="1" x14ac:dyDescent="0.3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47" ht="20.100000000000001" customHeight="1" x14ac:dyDescent="0.3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47" ht="20.100000000000001" customHeight="1" x14ac:dyDescent="0.3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47" ht="20.100000000000001" customHeight="1" x14ac:dyDescent="0.3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47" ht="20.100000000000001" customHeight="1" x14ac:dyDescent="0.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47" ht="20.100000000000001" customHeight="1" x14ac:dyDescent="0.3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47" ht="20.100000000000001" customHeight="1" x14ac:dyDescent="0.3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47" ht="20.100000000000001" customHeight="1" x14ac:dyDescent="0.3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47" ht="20.100000000000001" customHeight="1" x14ac:dyDescent="0.3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47" ht="20.100000000000001" customHeight="1" x14ac:dyDescent="0.3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47" ht="20.100000000000001" customHeight="1" x14ac:dyDescent="0.3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47" ht="20.100000000000001" customHeight="1" x14ac:dyDescent="0.3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47" ht="20.100000000000001" customHeight="1" x14ac:dyDescent="0.3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47" ht="20.100000000000001" customHeight="1" x14ac:dyDescent="0.3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0.100000000000001" customHeight="1" x14ac:dyDescent="0.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0.100000000000001" customHeight="1" x14ac:dyDescent="0.3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0.100000000000001" customHeight="1" x14ac:dyDescent="0.3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0.100000000000001" customHeight="1" x14ac:dyDescent="0.3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0.100000000000001" customHeight="1" x14ac:dyDescent="0.3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0.100000000000001" customHeight="1" x14ac:dyDescent="0.3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0.100000000000001" customHeight="1" x14ac:dyDescent="0.3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0.100000000000001" customHeight="1" x14ac:dyDescent="0.3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0.100000000000001" customHeight="1" x14ac:dyDescent="0.3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0.100000000000001" customHeight="1" x14ac:dyDescent="0.3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</sheetData>
  <mergeCells count="21">
    <mergeCell ref="D10:L11"/>
    <mergeCell ref="P10:X11"/>
    <mergeCell ref="D12:L13"/>
    <mergeCell ref="P12:X13"/>
    <mergeCell ref="D14:L15"/>
    <mergeCell ref="P14:X15"/>
    <mergeCell ref="D4:L5"/>
    <mergeCell ref="P4:X5"/>
    <mergeCell ref="D6:L7"/>
    <mergeCell ref="P6:X7"/>
    <mergeCell ref="D8:L9"/>
    <mergeCell ref="P8:X9"/>
    <mergeCell ref="B75:F75"/>
    <mergeCell ref="B90:F90"/>
    <mergeCell ref="B105:F105"/>
    <mergeCell ref="D16:L17"/>
    <mergeCell ref="P16:X17"/>
    <mergeCell ref="D18:L19"/>
    <mergeCell ref="P18:X19"/>
    <mergeCell ref="B60:F60"/>
    <mergeCell ref="O61:S61"/>
  </mergeCells>
  <phoneticPr fontId="3" type="noConversion"/>
  <conditionalFormatting sqref="B63:B7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B1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3:B16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8:B1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4:O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MathIQ.Chart2DObj" shapeId="11607" r:id="rId5">
          <objectPr locked="0" defaultSize="0" autoLine="0" r:id="rId6">
            <anchor moveWithCells="1">
              <from>
                <xdr:col>10</xdr:col>
                <xdr:colOff>19050</xdr:colOff>
                <xdr:row>58</xdr:row>
                <xdr:rowOff>171450</xdr:rowOff>
              </from>
              <to>
                <xdr:col>13</xdr:col>
                <xdr:colOff>566738</xdr:colOff>
                <xdr:row>68</xdr:row>
                <xdr:rowOff>190500</xdr:rowOff>
              </to>
            </anchor>
          </objectPr>
        </oleObject>
      </mc:Choice>
      <mc:Fallback>
        <oleObject progId="IDBS_MathIQ.Chart2DObj" shapeId="11607" r:id="rId5"/>
      </mc:Fallback>
    </mc:AlternateContent>
    <mc:AlternateContent xmlns:mc="http://schemas.openxmlformats.org/markup-compatibility/2006">
      <mc:Choice Requires="x14">
        <oleObject progId="IDBS_MathIQ.Chart2DObj" shapeId="11609" r:id="rId7">
          <objectPr locked="0" defaultSize="0" autoLine="0" r:id="rId8">
            <anchor moveWithCells="1">
              <from>
                <xdr:col>10</xdr:col>
                <xdr:colOff>19050</xdr:colOff>
                <xdr:row>73</xdr:row>
                <xdr:rowOff>242888</xdr:rowOff>
              </from>
              <to>
                <xdr:col>13</xdr:col>
                <xdr:colOff>566738</xdr:colOff>
                <xdr:row>84</xdr:row>
                <xdr:rowOff>14288</xdr:rowOff>
              </to>
            </anchor>
          </objectPr>
        </oleObject>
      </mc:Choice>
      <mc:Fallback>
        <oleObject progId="IDBS_MathIQ.Chart2DObj" shapeId="11609" r:id="rId7"/>
      </mc:Fallback>
    </mc:AlternateContent>
    <mc:AlternateContent xmlns:mc="http://schemas.openxmlformats.org/markup-compatibility/2006">
      <mc:Choice Requires="x14">
        <oleObject progId="IDBS_MathIQ.Chart2DObj" shapeId="11610" r:id="rId9">
          <objectPr locked="0" defaultSize="0" autoLine="0" r:id="rId10">
            <anchor moveWithCells="1">
              <from>
                <xdr:col>10</xdr:col>
                <xdr:colOff>57150</xdr:colOff>
                <xdr:row>88</xdr:row>
                <xdr:rowOff>219075</xdr:rowOff>
              </from>
              <to>
                <xdr:col>13</xdr:col>
                <xdr:colOff>604838</xdr:colOff>
                <xdr:row>98</xdr:row>
                <xdr:rowOff>238125</xdr:rowOff>
              </to>
            </anchor>
          </objectPr>
        </oleObject>
      </mc:Choice>
      <mc:Fallback>
        <oleObject progId="IDBS_MathIQ.Chart2DObj" shapeId="11610" r:id="rId9"/>
      </mc:Fallback>
    </mc:AlternateContent>
    <mc:AlternateContent xmlns:mc="http://schemas.openxmlformats.org/markup-compatibility/2006">
      <mc:Choice Requires="x14">
        <oleObject progId="IDBS_MathIQ.Chart2DObj" shapeId="11611" r:id="rId11">
          <objectPr locked="0" defaultSize="0" autoLine="0" r:id="rId12">
            <anchor moveWithCells="1">
              <from>
                <xdr:col>10</xdr:col>
                <xdr:colOff>19050</xdr:colOff>
                <xdr:row>103</xdr:row>
                <xdr:rowOff>171450</xdr:rowOff>
              </from>
              <to>
                <xdr:col>13</xdr:col>
                <xdr:colOff>566738</xdr:colOff>
                <xdr:row>113</xdr:row>
                <xdr:rowOff>190500</xdr:rowOff>
              </to>
            </anchor>
          </objectPr>
        </oleObject>
      </mc:Choice>
      <mc:Fallback>
        <oleObject progId="IDBS_MathIQ.Chart2DObj" shapeId="11611" r:id="rId11"/>
      </mc:Fallback>
    </mc:AlternateContent>
    <mc:AlternateContent xmlns:mc="http://schemas.openxmlformats.org/markup-compatibility/2006">
      <mc:Choice Requires="x14">
        <oleObject progId="IDBS_MathIQ.Chart2DObj" shapeId="11612" r:id="rId13">
          <objectPr locked="0" defaultSize="0" autoLine="0" r:id="rId14">
            <anchor moveWithCells="1">
              <from>
                <xdr:col>10</xdr:col>
                <xdr:colOff>19050</xdr:colOff>
                <xdr:row>118</xdr:row>
                <xdr:rowOff>171450</xdr:rowOff>
              </from>
              <to>
                <xdr:col>13</xdr:col>
                <xdr:colOff>566738</xdr:colOff>
                <xdr:row>128</xdr:row>
                <xdr:rowOff>190500</xdr:rowOff>
              </to>
            </anchor>
          </objectPr>
        </oleObject>
      </mc:Choice>
      <mc:Fallback>
        <oleObject progId="IDBS_MathIQ.Chart2DObj" shapeId="11612" r:id="rId13"/>
      </mc:Fallback>
    </mc:AlternateContent>
    <mc:AlternateContent xmlns:mc="http://schemas.openxmlformats.org/markup-compatibility/2006">
      <mc:Choice Requires="x14">
        <oleObject progId="IDBS_MathIQ.Chart2DObj" shapeId="11613" r:id="rId15">
          <objectPr locked="0" defaultSize="0" autoLine="0" r:id="rId16">
            <anchor moveWithCells="1">
              <from>
                <xdr:col>10</xdr:col>
                <xdr:colOff>19050</xdr:colOff>
                <xdr:row>133</xdr:row>
                <xdr:rowOff>171450</xdr:rowOff>
              </from>
              <to>
                <xdr:col>13</xdr:col>
                <xdr:colOff>566738</xdr:colOff>
                <xdr:row>143</xdr:row>
                <xdr:rowOff>190500</xdr:rowOff>
              </to>
            </anchor>
          </objectPr>
        </oleObject>
      </mc:Choice>
      <mc:Fallback>
        <oleObject progId="IDBS_MathIQ.Chart2DObj" shapeId="11613" r:id="rId15"/>
      </mc:Fallback>
    </mc:AlternateContent>
    <mc:AlternateContent xmlns:mc="http://schemas.openxmlformats.org/markup-compatibility/2006">
      <mc:Choice Requires="x14">
        <oleObject progId="IDBS_MathIQ.Chart2DObj" shapeId="11614" r:id="rId17">
          <objectPr locked="0" defaultSize="0" autoLine="0" r:id="rId18">
            <anchor moveWithCells="1">
              <from>
                <xdr:col>10</xdr:col>
                <xdr:colOff>19050</xdr:colOff>
                <xdr:row>148</xdr:row>
                <xdr:rowOff>171450</xdr:rowOff>
              </from>
              <to>
                <xdr:col>13</xdr:col>
                <xdr:colOff>566738</xdr:colOff>
                <xdr:row>158</xdr:row>
                <xdr:rowOff>190500</xdr:rowOff>
              </to>
            </anchor>
          </objectPr>
        </oleObject>
      </mc:Choice>
      <mc:Fallback>
        <oleObject progId="IDBS_MathIQ.Chart2DObj" shapeId="11614" r:id="rId17"/>
      </mc:Fallback>
    </mc:AlternateContent>
    <mc:AlternateContent xmlns:mc="http://schemas.openxmlformats.org/markup-compatibility/2006">
      <mc:Choice Requires="x14">
        <oleObject progId="IDBS_MathIQ.Chart2DObj" shapeId="11615" r:id="rId19">
          <objectPr locked="0" defaultSize="0" autoLine="0" r:id="rId20">
            <anchor moveWithCells="1">
              <from>
                <xdr:col>10</xdr:col>
                <xdr:colOff>28575</xdr:colOff>
                <xdr:row>164</xdr:row>
                <xdr:rowOff>133350</xdr:rowOff>
              </from>
              <to>
                <xdr:col>13</xdr:col>
                <xdr:colOff>581025</xdr:colOff>
                <xdr:row>174</xdr:row>
                <xdr:rowOff>152400</xdr:rowOff>
              </to>
            </anchor>
          </objectPr>
        </oleObject>
      </mc:Choice>
      <mc:Fallback>
        <oleObject progId="IDBS_MathIQ.Chart2DObj" shapeId="11615" r:id="rId19"/>
      </mc:Fallback>
    </mc:AlternateContent>
    <mc:AlternateContent xmlns:mc="http://schemas.openxmlformats.org/markup-compatibility/2006">
      <mc:Choice Requires="x14">
        <oleObject progId="IDBS_XLfitContainer.XFCObjectRepository" shapeId="11606" r:id="rId21">
          <objectPr defaultSize="0" r:id="rId22">
            <anchor moveWithCells="1">
              <from>
                <xdr:col>23</xdr:col>
                <xdr:colOff>0</xdr:colOff>
                <xdr:row>61</xdr:row>
                <xdr:rowOff>0</xdr:rowOff>
              </from>
              <to>
                <xdr:col>24</xdr:col>
                <xdr:colOff>785813</xdr:colOff>
                <xdr:row>68</xdr:row>
                <xdr:rowOff>61913</xdr:rowOff>
              </to>
            </anchor>
          </objectPr>
        </oleObject>
      </mc:Choice>
      <mc:Fallback>
        <oleObject progId="IDBS_XLfitContainer.XFCObjectRepository" shapeId="11606" r:id="rId21"/>
      </mc:Fallback>
    </mc:AlternateContent>
    <mc:AlternateContent xmlns:mc="http://schemas.openxmlformats.org/markup-compatibility/2006">
      <mc:Choice Requires="x14">
        <oleObject progId="IDBS_MathIQ.Chart2DObj" shapeId="11608" r:id="rId23">
          <objectPr locked="0" defaultSize="0" autoLine="0" r:id="rId24">
            <anchor moveWithCells="1">
              <from>
                <xdr:col>23</xdr:col>
                <xdr:colOff>9525</xdr:colOff>
                <xdr:row>60</xdr:row>
                <xdr:rowOff>147638</xdr:rowOff>
              </from>
              <to>
                <xdr:col>27</xdr:col>
                <xdr:colOff>447675</xdr:colOff>
                <xdr:row>70</xdr:row>
                <xdr:rowOff>166688</xdr:rowOff>
              </to>
            </anchor>
          </objectPr>
        </oleObject>
      </mc:Choice>
      <mc:Fallback>
        <oleObject progId="IDBS_MathIQ.Chart2DObj" shapeId="11608" r:id="rId2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3A6-EAB6-4501-9DEF-784D8506D6B9}">
  <dimension ref="A3:Y30"/>
  <sheetViews>
    <sheetView zoomScale="70" zoomScaleNormal="70" workbookViewId="0"/>
  </sheetViews>
  <sheetFormatPr defaultColWidth="9" defaultRowHeight="13.5" x14ac:dyDescent="0.3"/>
  <cols>
    <col min="1" max="1" width="4.1328125" style="136" customWidth="1"/>
    <col min="2" max="16384" width="9" style="136"/>
  </cols>
  <sheetData>
    <row r="3" spans="1:25" x14ac:dyDescent="0.3">
      <c r="A3" s="135" t="s">
        <v>229</v>
      </c>
    </row>
    <row r="4" spans="1:25" x14ac:dyDescent="0.3">
      <c r="A4" s="135" t="s">
        <v>230</v>
      </c>
    </row>
    <row r="5" spans="1:25" x14ac:dyDescent="0.3">
      <c r="A5" s="135" t="s">
        <v>231</v>
      </c>
    </row>
    <row r="6" spans="1:25" x14ac:dyDescent="0.3">
      <c r="A6" s="135" t="s">
        <v>232</v>
      </c>
    </row>
    <row r="7" spans="1:25" x14ac:dyDescent="0.3">
      <c r="A7" s="135" t="s">
        <v>233</v>
      </c>
    </row>
    <row r="8" spans="1:25" x14ac:dyDescent="0.3">
      <c r="A8" s="135" t="s">
        <v>234</v>
      </c>
    </row>
    <row r="9" spans="1:25" x14ac:dyDescent="0.3">
      <c r="A9" s="135" t="s">
        <v>235</v>
      </c>
    </row>
    <row r="13" spans="1:25" x14ac:dyDescent="0.3">
      <c r="B13" s="136" t="s">
        <v>236</v>
      </c>
    </row>
    <row r="14" spans="1:25" x14ac:dyDescent="0.3">
      <c r="B14" s="137">
        <v>1</v>
      </c>
      <c r="C14" s="137">
        <v>2</v>
      </c>
      <c r="D14" s="137">
        <v>3</v>
      </c>
      <c r="E14" s="137">
        <v>4</v>
      </c>
      <c r="F14" s="137">
        <v>5</v>
      </c>
      <c r="G14" s="137">
        <v>6</v>
      </c>
      <c r="H14" s="137">
        <v>7</v>
      </c>
      <c r="I14" s="137">
        <v>8</v>
      </c>
      <c r="J14" s="137">
        <v>9</v>
      </c>
      <c r="K14" s="137">
        <v>10</v>
      </c>
      <c r="L14" s="137">
        <v>11</v>
      </c>
      <c r="M14" s="137">
        <v>12</v>
      </c>
      <c r="N14" s="137">
        <v>13</v>
      </c>
      <c r="O14" s="137">
        <v>14</v>
      </c>
      <c r="P14" s="137">
        <v>15</v>
      </c>
      <c r="Q14" s="137">
        <v>16</v>
      </c>
      <c r="R14" s="137">
        <v>17</v>
      </c>
      <c r="S14" s="137">
        <v>18</v>
      </c>
      <c r="T14" s="137">
        <v>19</v>
      </c>
      <c r="U14" s="137">
        <v>20</v>
      </c>
      <c r="V14" s="137">
        <v>21</v>
      </c>
      <c r="W14" s="137">
        <v>22</v>
      </c>
      <c r="X14" s="137">
        <v>23</v>
      </c>
      <c r="Y14" s="137">
        <v>24</v>
      </c>
    </row>
    <row r="15" spans="1:25" x14ac:dyDescent="0.3">
      <c r="A15" s="137" t="s">
        <v>237</v>
      </c>
      <c r="B15" s="138">
        <v>4402</v>
      </c>
      <c r="C15" s="139">
        <v>5785</v>
      </c>
      <c r="D15" s="139">
        <v>7099</v>
      </c>
      <c r="E15" s="139">
        <v>9251</v>
      </c>
      <c r="F15" s="139">
        <v>11861</v>
      </c>
      <c r="G15" s="139">
        <v>20044</v>
      </c>
      <c r="H15" s="139">
        <v>26369</v>
      </c>
      <c r="I15" s="139">
        <v>33594</v>
      </c>
      <c r="J15" s="139">
        <v>35686</v>
      </c>
      <c r="K15" s="139">
        <v>38656</v>
      </c>
      <c r="L15" s="139">
        <v>36632</v>
      </c>
      <c r="M15" s="139">
        <v>33110</v>
      </c>
      <c r="N15" s="139">
        <v>4356</v>
      </c>
      <c r="O15" s="139">
        <v>9144</v>
      </c>
      <c r="P15" s="139">
        <v>9757</v>
      </c>
      <c r="Q15" s="139">
        <v>14102</v>
      </c>
      <c r="R15" s="139">
        <v>19846</v>
      </c>
      <c r="S15" s="139">
        <v>26321</v>
      </c>
      <c r="T15" s="139">
        <v>33253</v>
      </c>
      <c r="U15" s="139">
        <v>35471</v>
      </c>
      <c r="V15" s="139">
        <v>37695</v>
      </c>
      <c r="W15" s="139">
        <v>39810</v>
      </c>
      <c r="X15" s="139">
        <v>34674</v>
      </c>
      <c r="Y15" s="140">
        <v>35623</v>
      </c>
    </row>
    <row r="16" spans="1:25" x14ac:dyDescent="0.3">
      <c r="A16" s="137" t="s">
        <v>238</v>
      </c>
      <c r="B16" s="141">
        <v>4276</v>
      </c>
      <c r="C16" s="142">
        <v>5922</v>
      </c>
      <c r="D16" s="142">
        <v>7573</v>
      </c>
      <c r="E16" s="142">
        <v>9404</v>
      </c>
      <c r="F16" s="142">
        <v>12025</v>
      </c>
      <c r="G16" s="142">
        <v>19296</v>
      </c>
      <c r="H16" s="142">
        <v>26801</v>
      </c>
      <c r="I16" s="142">
        <v>32195</v>
      </c>
      <c r="J16" s="142">
        <v>35074</v>
      </c>
      <c r="K16" s="142">
        <v>35285</v>
      </c>
      <c r="L16" s="142">
        <v>37771</v>
      </c>
      <c r="M16" s="142">
        <v>32206</v>
      </c>
      <c r="N16" s="142">
        <v>4300</v>
      </c>
      <c r="O16" s="142">
        <v>9480</v>
      </c>
      <c r="P16" s="142">
        <v>10108</v>
      </c>
      <c r="Q16" s="142">
        <v>14821</v>
      </c>
      <c r="R16" s="142">
        <v>21006</v>
      </c>
      <c r="S16" s="142">
        <v>28399</v>
      </c>
      <c r="T16" s="142">
        <v>33586</v>
      </c>
      <c r="U16" s="142">
        <v>34652</v>
      </c>
      <c r="V16" s="142">
        <v>37662</v>
      </c>
      <c r="W16" s="142">
        <v>36968</v>
      </c>
      <c r="X16" s="142">
        <v>35395</v>
      </c>
      <c r="Y16" s="143">
        <v>32909</v>
      </c>
    </row>
    <row r="17" spans="1:25" x14ac:dyDescent="0.3">
      <c r="A17" s="137" t="s">
        <v>239</v>
      </c>
      <c r="B17" s="141">
        <v>4250</v>
      </c>
      <c r="C17" s="142">
        <v>10462</v>
      </c>
      <c r="D17" s="142">
        <v>13352</v>
      </c>
      <c r="E17" s="142">
        <v>15753</v>
      </c>
      <c r="F17" s="142">
        <v>25646</v>
      </c>
      <c r="G17" s="142">
        <v>26480</v>
      </c>
      <c r="H17" s="142">
        <v>34462</v>
      </c>
      <c r="I17" s="142">
        <v>35330</v>
      </c>
      <c r="J17" s="142">
        <v>34170</v>
      </c>
      <c r="K17" s="142">
        <v>35969</v>
      </c>
      <c r="L17" s="142">
        <v>34959</v>
      </c>
      <c r="M17" s="142">
        <v>35278</v>
      </c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3"/>
    </row>
    <row r="18" spans="1:25" x14ac:dyDescent="0.3">
      <c r="A18" s="137" t="s">
        <v>240</v>
      </c>
      <c r="B18" s="141">
        <v>4493</v>
      </c>
      <c r="C18" s="142">
        <v>11083</v>
      </c>
      <c r="D18" s="142">
        <v>14849</v>
      </c>
      <c r="E18" s="142">
        <v>19122</v>
      </c>
      <c r="F18" s="142">
        <v>24247</v>
      </c>
      <c r="G18" s="142">
        <v>30622</v>
      </c>
      <c r="H18" s="142">
        <v>37157</v>
      </c>
      <c r="I18" s="142">
        <v>37225</v>
      </c>
      <c r="J18" s="142">
        <v>36620</v>
      </c>
      <c r="K18" s="142">
        <v>35925</v>
      </c>
      <c r="L18" s="142">
        <v>35711</v>
      </c>
      <c r="M18" s="142">
        <v>32150</v>
      </c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3"/>
    </row>
    <row r="19" spans="1:25" x14ac:dyDescent="0.3">
      <c r="A19" s="137" t="s">
        <v>241</v>
      </c>
      <c r="B19" s="141">
        <v>4304</v>
      </c>
      <c r="C19" s="142">
        <v>10831</v>
      </c>
      <c r="D19" s="142">
        <v>10285</v>
      </c>
      <c r="E19" s="142">
        <v>11470</v>
      </c>
      <c r="F19" s="142">
        <v>17413</v>
      </c>
      <c r="G19" s="142">
        <v>24052</v>
      </c>
      <c r="H19" s="142">
        <v>31382</v>
      </c>
      <c r="I19" s="142">
        <v>33762</v>
      </c>
      <c r="J19" s="142">
        <v>34754</v>
      </c>
      <c r="K19" s="142">
        <v>34668</v>
      </c>
      <c r="L19" s="142">
        <v>34804</v>
      </c>
      <c r="M19" s="142">
        <v>33611</v>
      </c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x14ac:dyDescent="0.3">
      <c r="A20" s="137" t="s">
        <v>242</v>
      </c>
      <c r="B20" s="141">
        <v>4109</v>
      </c>
      <c r="C20" s="142">
        <v>10594</v>
      </c>
      <c r="D20" s="142">
        <v>9426</v>
      </c>
      <c r="E20" s="142">
        <v>11395</v>
      </c>
      <c r="F20" s="142">
        <v>15529</v>
      </c>
      <c r="G20" s="142">
        <v>22723</v>
      </c>
      <c r="H20" s="142">
        <v>28954</v>
      </c>
      <c r="I20" s="142">
        <v>31410</v>
      </c>
      <c r="J20" s="142">
        <v>32394</v>
      </c>
      <c r="K20" s="142">
        <v>34862</v>
      </c>
      <c r="L20" s="142">
        <v>33080</v>
      </c>
      <c r="M20" s="142">
        <v>33640</v>
      </c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3"/>
    </row>
    <row r="21" spans="1:25" x14ac:dyDescent="0.3">
      <c r="A21" s="137" t="s">
        <v>243</v>
      </c>
      <c r="B21" s="141">
        <v>4350</v>
      </c>
      <c r="C21" s="142">
        <v>8266</v>
      </c>
      <c r="D21" s="142">
        <v>8704</v>
      </c>
      <c r="E21" s="142">
        <v>11680</v>
      </c>
      <c r="F21" s="142">
        <v>15354</v>
      </c>
      <c r="G21" s="142">
        <v>21069</v>
      </c>
      <c r="H21" s="142">
        <v>27795</v>
      </c>
      <c r="I21" s="142">
        <v>29917</v>
      </c>
      <c r="J21" s="142">
        <v>30881</v>
      </c>
      <c r="K21" s="142">
        <v>32408</v>
      </c>
      <c r="L21" s="142">
        <v>30908</v>
      </c>
      <c r="M21" s="142">
        <v>34574</v>
      </c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3"/>
    </row>
    <row r="22" spans="1:25" x14ac:dyDescent="0.3">
      <c r="A22" s="137" t="s">
        <v>244</v>
      </c>
      <c r="B22" s="141">
        <v>4199</v>
      </c>
      <c r="C22" s="142">
        <v>8176</v>
      </c>
      <c r="D22" s="142">
        <v>8921</v>
      </c>
      <c r="E22" s="142">
        <v>11134</v>
      </c>
      <c r="F22" s="142">
        <v>17769</v>
      </c>
      <c r="G22" s="142">
        <v>26152</v>
      </c>
      <c r="H22" s="142">
        <v>26809</v>
      </c>
      <c r="I22" s="142">
        <v>31332</v>
      </c>
      <c r="J22" s="142">
        <v>33033</v>
      </c>
      <c r="K22" s="142">
        <v>34217</v>
      </c>
      <c r="L22" s="142">
        <v>33378</v>
      </c>
      <c r="M22" s="142">
        <v>31068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3"/>
    </row>
    <row r="23" spans="1:25" x14ac:dyDescent="0.3">
      <c r="A23" s="137" t="s">
        <v>245</v>
      </c>
      <c r="B23" s="141">
        <v>4290</v>
      </c>
      <c r="C23" s="142">
        <v>5806</v>
      </c>
      <c r="D23" s="142">
        <v>7463</v>
      </c>
      <c r="E23" s="142">
        <v>9480</v>
      </c>
      <c r="F23" s="142">
        <v>13579</v>
      </c>
      <c r="G23" s="142">
        <v>22628</v>
      </c>
      <c r="H23" s="142">
        <v>31582</v>
      </c>
      <c r="I23" s="142">
        <v>32373</v>
      </c>
      <c r="J23" s="142">
        <v>30380</v>
      </c>
      <c r="K23" s="142">
        <v>31930</v>
      </c>
      <c r="L23" s="142">
        <v>31912</v>
      </c>
      <c r="M23" s="142">
        <v>28022</v>
      </c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</row>
    <row r="24" spans="1:25" x14ac:dyDescent="0.3">
      <c r="A24" s="137" t="s">
        <v>246</v>
      </c>
      <c r="B24" s="141">
        <v>4246</v>
      </c>
      <c r="C24" s="142">
        <v>5771</v>
      </c>
      <c r="D24" s="142">
        <v>7335</v>
      </c>
      <c r="E24" s="142">
        <v>10316</v>
      </c>
      <c r="F24" s="142">
        <v>13387</v>
      </c>
      <c r="G24" s="142">
        <v>22319</v>
      </c>
      <c r="H24" s="142">
        <v>27410</v>
      </c>
      <c r="I24" s="142">
        <v>33543</v>
      </c>
      <c r="J24" s="142">
        <v>33169</v>
      </c>
      <c r="K24" s="142">
        <v>34672</v>
      </c>
      <c r="L24" s="142">
        <v>35022</v>
      </c>
      <c r="M24" s="142">
        <v>33207</v>
      </c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3"/>
    </row>
    <row r="25" spans="1:25" x14ac:dyDescent="0.3">
      <c r="A25" s="137" t="s">
        <v>247</v>
      </c>
      <c r="B25" s="141">
        <v>4353</v>
      </c>
      <c r="C25" s="142">
        <v>9041</v>
      </c>
      <c r="D25" s="142">
        <v>9742</v>
      </c>
      <c r="E25" s="142">
        <v>11648</v>
      </c>
      <c r="F25" s="142">
        <v>18214</v>
      </c>
      <c r="G25" s="142">
        <v>26623</v>
      </c>
      <c r="H25" s="142">
        <v>31893</v>
      </c>
      <c r="I25" s="142">
        <v>34965</v>
      </c>
      <c r="J25" s="142">
        <v>34231</v>
      </c>
      <c r="K25" s="142">
        <v>35874</v>
      </c>
      <c r="L25" s="142">
        <v>36187</v>
      </c>
      <c r="M25" s="142">
        <v>31892</v>
      </c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3"/>
    </row>
    <row r="26" spans="1:25" x14ac:dyDescent="0.3">
      <c r="A26" s="137" t="s">
        <v>248</v>
      </c>
      <c r="B26" s="141">
        <v>4194</v>
      </c>
      <c r="C26" s="142">
        <v>9014</v>
      </c>
      <c r="D26" s="142">
        <v>9207</v>
      </c>
      <c r="E26" s="142">
        <v>11951</v>
      </c>
      <c r="F26" s="142">
        <v>19288</v>
      </c>
      <c r="G26" s="142">
        <v>27149</v>
      </c>
      <c r="H26" s="142">
        <v>29293</v>
      </c>
      <c r="I26" s="142">
        <v>36898</v>
      </c>
      <c r="J26" s="142">
        <v>33785</v>
      </c>
      <c r="K26" s="142">
        <v>37818</v>
      </c>
      <c r="L26" s="142">
        <v>34875</v>
      </c>
      <c r="M26" s="142">
        <v>33932</v>
      </c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3"/>
    </row>
    <row r="27" spans="1:25" x14ac:dyDescent="0.3">
      <c r="A27" s="137" t="s">
        <v>249</v>
      </c>
      <c r="B27" s="141">
        <v>4312</v>
      </c>
      <c r="C27" s="142">
        <v>9006</v>
      </c>
      <c r="D27" s="142">
        <v>9423</v>
      </c>
      <c r="E27" s="142">
        <v>11510</v>
      </c>
      <c r="F27" s="142">
        <v>15987</v>
      </c>
      <c r="G27" s="142">
        <v>27428</v>
      </c>
      <c r="H27" s="142">
        <v>32755</v>
      </c>
      <c r="I27" s="142">
        <v>34897</v>
      </c>
      <c r="J27" s="142">
        <v>35631</v>
      </c>
      <c r="K27" s="142">
        <v>35838</v>
      </c>
      <c r="L27" s="142">
        <v>35591</v>
      </c>
      <c r="M27" s="142">
        <v>31897</v>
      </c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3"/>
    </row>
    <row r="28" spans="1:25" x14ac:dyDescent="0.3">
      <c r="A28" s="137" t="s">
        <v>250</v>
      </c>
      <c r="B28" s="141">
        <v>4300</v>
      </c>
      <c r="C28" s="142">
        <v>8927</v>
      </c>
      <c r="D28" s="142">
        <v>9387</v>
      </c>
      <c r="E28" s="142">
        <v>11379</v>
      </c>
      <c r="F28" s="142">
        <v>19262</v>
      </c>
      <c r="G28" s="142">
        <v>27124</v>
      </c>
      <c r="H28" s="142">
        <v>30962</v>
      </c>
      <c r="I28" s="142">
        <v>35815</v>
      </c>
      <c r="J28" s="142">
        <v>34881</v>
      </c>
      <c r="K28" s="142">
        <v>38386</v>
      </c>
      <c r="L28" s="142">
        <v>33195</v>
      </c>
      <c r="M28" s="142">
        <v>33004</v>
      </c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3"/>
    </row>
    <row r="29" spans="1:25" x14ac:dyDescent="0.3">
      <c r="A29" s="137" t="s">
        <v>251</v>
      </c>
      <c r="B29" s="141">
        <v>4310</v>
      </c>
      <c r="C29" s="142">
        <v>11146</v>
      </c>
      <c r="D29" s="142">
        <v>14802</v>
      </c>
      <c r="E29" s="142">
        <v>18032</v>
      </c>
      <c r="F29" s="142">
        <v>28326</v>
      </c>
      <c r="G29" s="142">
        <v>31841</v>
      </c>
      <c r="H29" s="142">
        <v>34912</v>
      </c>
      <c r="I29" s="142">
        <v>36820</v>
      </c>
      <c r="J29" s="142">
        <v>37383</v>
      </c>
      <c r="K29" s="142">
        <v>35285</v>
      </c>
      <c r="L29" s="142">
        <v>37823</v>
      </c>
      <c r="M29" s="142">
        <v>32564</v>
      </c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3"/>
    </row>
    <row r="30" spans="1:25" x14ac:dyDescent="0.3">
      <c r="A30" s="137" t="s">
        <v>252</v>
      </c>
      <c r="B30" s="144">
        <v>4361</v>
      </c>
      <c r="C30" s="145">
        <v>10779</v>
      </c>
      <c r="D30" s="145">
        <v>13169</v>
      </c>
      <c r="E30" s="145">
        <v>19616</v>
      </c>
      <c r="F30" s="145">
        <v>27403</v>
      </c>
      <c r="G30" s="145">
        <v>30263</v>
      </c>
      <c r="H30" s="145">
        <v>34098</v>
      </c>
      <c r="I30" s="145">
        <v>38201</v>
      </c>
      <c r="J30" s="145">
        <v>34840</v>
      </c>
      <c r="K30" s="145">
        <v>39320</v>
      </c>
      <c r="L30" s="145">
        <v>35135</v>
      </c>
      <c r="M30" s="145">
        <v>33704</v>
      </c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6"/>
    </row>
  </sheetData>
  <phoneticPr fontId="3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DB3-75F9-4A32-B405-D47312B50F4E}">
  <sheetPr codeName="Sheet7"/>
  <dimension ref="A1:P18"/>
  <sheetViews>
    <sheetView zoomScale="85" zoomScaleNormal="85" workbookViewId="0">
      <selection activeCell="B1" sqref="B1:P1"/>
    </sheetView>
  </sheetViews>
  <sheetFormatPr defaultColWidth="9" defaultRowHeight="13.5" x14ac:dyDescent="0.3"/>
  <cols>
    <col min="1" max="1" width="28.46484375" customWidth="1"/>
    <col min="2" max="2" width="14.46484375" customWidth="1"/>
    <col min="3" max="3" width="14.59765625" customWidth="1"/>
    <col min="4" max="4" width="13.3984375" customWidth="1"/>
    <col min="5" max="5" width="29.46484375" customWidth="1"/>
    <col min="6" max="6" width="20" customWidth="1"/>
    <col min="7" max="7" width="14.1328125" customWidth="1"/>
    <col min="8" max="9" width="9.86328125" customWidth="1"/>
    <col min="10" max="10" width="9.3984375" customWidth="1"/>
    <col min="11" max="11" width="15.265625" customWidth="1"/>
    <col min="12" max="12" width="15.73046875" customWidth="1"/>
    <col min="13" max="13" width="37.73046875" customWidth="1"/>
    <col min="14" max="14" width="23.265625" customWidth="1"/>
    <col min="15" max="16" width="11.1328125" customWidth="1"/>
  </cols>
  <sheetData>
    <row r="1" spans="1:16" ht="43.5" customHeight="1" x14ac:dyDescent="0.3">
      <c r="A1" s="119"/>
      <c r="B1" s="176" t="s">
        <v>174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</row>
    <row r="2" spans="1:16" ht="15" customHeight="1" x14ac:dyDescent="0.3">
      <c r="A2" s="177" t="s">
        <v>175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</row>
    <row r="3" spans="1:16" ht="29.25" customHeight="1" x14ac:dyDescent="0.3">
      <c r="A3" s="120" t="s">
        <v>176</v>
      </c>
      <c r="B3" s="179"/>
      <c r="C3" s="179"/>
      <c r="D3" s="179"/>
      <c r="E3" s="122" t="s">
        <v>177</v>
      </c>
      <c r="F3" s="179" t="s">
        <v>152</v>
      </c>
      <c r="G3" s="179"/>
      <c r="H3" s="179"/>
      <c r="I3" s="179"/>
      <c r="J3" s="179"/>
      <c r="K3" s="179"/>
      <c r="L3" s="179"/>
      <c r="M3" s="179"/>
      <c r="N3" s="180" t="s">
        <v>178</v>
      </c>
      <c r="O3" s="180"/>
      <c r="P3" s="121" t="s">
        <v>179</v>
      </c>
    </row>
    <row r="4" spans="1:16" s="123" customFormat="1" ht="36" x14ac:dyDescent="0.3">
      <c r="A4" s="120" t="s">
        <v>180</v>
      </c>
      <c r="B4" s="120" t="s">
        <v>181</v>
      </c>
      <c r="C4" s="120" t="s">
        <v>182</v>
      </c>
      <c r="D4" s="120" t="s">
        <v>183</v>
      </c>
      <c r="E4" s="120" t="s">
        <v>184</v>
      </c>
      <c r="F4" s="120" t="s">
        <v>185</v>
      </c>
      <c r="G4" s="120" t="s">
        <v>186</v>
      </c>
      <c r="H4" s="120" t="s">
        <v>187</v>
      </c>
      <c r="I4" s="120" t="s">
        <v>188</v>
      </c>
      <c r="J4" s="120" t="s">
        <v>189</v>
      </c>
      <c r="K4" s="120" t="s">
        <v>190</v>
      </c>
      <c r="L4" s="120" t="s">
        <v>191</v>
      </c>
      <c r="M4" s="120" t="s">
        <v>192</v>
      </c>
      <c r="N4" s="122" t="s">
        <v>193</v>
      </c>
      <c r="O4" s="120" t="s">
        <v>194</v>
      </c>
      <c r="P4" s="133" t="s">
        <v>221</v>
      </c>
    </row>
    <row r="5" spans="1:16" ht="14.25" customHeight="1" x14ac:dyDescent="0.3">
      <c r="A5" s="104" t="s">
        <v>195</v>
      </c>
      <c r="B5" s="104" t="s">
        <v>196</v>
      </c>
      <c r="C5" s="119">
        <v>568.15</v>
      </c>
      <c r="D5" s="106">
        <v>1</v>
      </c>
      <c r="E5" s="105" t="s">
        <v>197</v>
      </c>
      <c r="F5" s="124"/>
      <c r="G5" s="125"/>
      <c r="H5" s="119"/>
      <c r="I5" s="119"/>
      <c r="J5" s="119"/>
      <c r="K5" s="107"/>
      <c r="L5" s="104"/>
      <c r="M5" s="126"/>
      <c r="N5" s="127"/>
      <c r="O5" s="107" t="s">
        <v>223</v>
      </c>
      <c r="P5" s="134">
        <f>B5/C5*D5/20*1000000</f>
        <v>207.69163073132094</v>
      </c>
    </row>
    <row r="6" spans="1:16" ht="13.5" customHeight="1" x14ac:dyDescent="0.3">
      <c r="A6" s="104" t="s">
        <v>198</v>
      </c>
      <c r="B6" s="104" t="s">
        <v>199</v>
      </c>
      <c r="C6" s="107">
        <v>574.12</v>
      </c>
      <c r="D6" s="106">
        <v>1</v>
      </c>
      <c r="E6" s="105" t="s">
        <v>200</v>
      </c>
      <c r="F6" s="124"/>
      <c r="G6" s="125"/>
      <c r="H6" s="119"/>
      <c r="I6" s="119"/>
      <c r="J6" s="119"/>
      <c r="K6" s="107"/>
      <c r="L6" s="104"/>
      <c r="M6" s="126"/>
      <c r="N6" s="127"/>
      <c r="O6" s="107" t="s">
        <v>223</v>
      </c>
      <c r="P6" s="134">
        <f t="shared" ref="P6:P12" si="0">B6/C6*D6/20*1000000</f>
        <v>224.6917020831882</v>
      </c>
    </row>
    <row r="7" spans="1:16" ht="13.5" customHeight="1" x14ac:dyDescent="0.3">
      <c r="A7" s="104" t="s">
        <v>201</v>
      </c>
      <c r="B7" s="104" t="s">
        <v>202</v>
      </c>
      <c r="C7" s="104">
        <v>602.64</v>
      </c>
      <c r="D7" s="106">
        <v>0.97819999999999996</v>
      </c>
      <c r="E7" s="105" t="s">
        <v>203</v>
      </c>
      <c r="F7" s="124"/>
      <c r="G7" s="125"/>
      <c r="H7" s="119"/>
      <c r="I7" s="119"/>
      <c r="J7" s="119"/>
      <c r="K7" s="107"/>
      <c r="L7" s="104"/>
      <c r="M7" s="126"/>
      <c r="N7" s="127"/>
      <c r="O7" s="107" t="s">
        <v>223</v>
      </c>
      <c r="P7" s="134">
        <f t="shared" si="0"/>
        <v>215.07284614363468</v>
      </c>
    </row>
    <row r="8" spans="1:16" ht="13.5" customHeight="1" x14ac:dyDescent="0.3">
      <c r="A8" s="104" t="s">
        <v>204</v>
      </c>
      <c r="B8" s="104" t="s">
        <v>205</v>
      </c>
      <c r="C8" s="104">
        <v>570.14</v>
      </c>
      <c r="D8" s="106">
        <v>0.99099999999999999</v>
      </c>
      <c r="E8" s="105" t="s">
        <v>206</v>
      </c>
      <c r="F8" s="124"/>
      <c r="G8" s="125"/>
      <c r="H8" s="119"/>
      <c r="I8" s="119"/>
      <c r="J8" s="119"/>
      <c r="K8" s="107"/>
      <c r="L8" s="104"/>
      <c r="M8" s="126"/>
      <c r="N8" s="127"/>
      <c r="O8" s="107" t="s">
        <v>223</v>
      </c>
      <c r="P8" s="134">
        <f t="shared" si="0"/>
        <v>209.44943347248045</v>
      </c>
    </row>
    <row r="9" spans="1:16" ht="15" x14ac:dyDescent="0.3">
      <c r="A9" s="104" t="s">
        <v>207</v>
      </c>
      <c r="B9" s="104" t="s">
        <v>208</v>
      </c>
      <c r="C9" s="104">
        <v>588.13</v>
      </c>
      <c r="D9" s="106">
        <v>0.93620000000000003</v>
      </c>
      <c r="E9" s="105" t="s">
        <v>209</v>
      </c>
      <c r="F9" s="124"/>
      <c r="G9" s="125"/>
      <c r="H9" s="119"/>
      <c r="I9" s="119"/>
      <c r="J9" s="119"/>
      <c r="K9" s="107"/>
      <c r="L9" s="104"/>
      <c r="M9" s="126"/>
      <c r="N9" s="127"/>
      <c r="O9" s="107" t="s">
        <v>223</v>
      </c>
      <c r="P9" s="134">
        <f t="shared" si="0"/>
        <v>207.73315423460798</v>
      </c>
    </row>
    <row r="10" spans="1:16" ht="15" x14ac:dyDescent="0.3">
      <c r="A10" s="104" t="s">
        <v>157</v>
      </c>
      <c r="B10" s="104" t="s">
        <v>210</v>
      </c>
      <c r="C10" s="119">
        <v>603.63</v>
      </c>
      <c r="D10" s="106">
        <v>0.9748</v>
      </c>
      <c r="E10" s="105" t="s">
        <v>211</v>
      </c>
      <c r="F10" s="124"/>
      <c r="G10" s="125"/>
      <c r="H10" s="119"/>
      <c r="I10" s="119"/>
      <c r="J10" s="119"/>
      <c r="K10" s="107"/>
      <c r="L10" s="104"/>
      <c r="M10" s="126"/>
      <c r="N10" s="127"/>
      <c r="O10" s="107" t="s">
        <v>223</v>
      </c>
      <c r="P10" s="134">
        <f t="shared" si="0"/>
        <v>196.20992992396009</v>
      </c>
    </row>
    <row r="11" spans="1:16" ht="15" x14ac:dyDescent="0.3">
      <c r="A11" s="104" t="s">
        <v>212</v>
      </c>
      <c r="B11" s="104" t="s">
        <v>213</v>
      </c>
      <c r="C11" s="119">
        <v>536.15</v>
      </c>
      <c r="D11" s="106">
        <v>0.99199999999999999</v>
      </c>
      <c r="E11" s="105" t="s">
        <v>214</v>
      </c>
      <c r="G11" s="125"/>
      <c r="H11" s="119"/>
      <c r="I11" s="119"/>
      <c r="J11" s="119"/>
      <c r="K11" s="107"/>
      <c r="L11" s="104"/>
      <c r="M11" s="126"/>
      <c r="N11" s="127"/>
      <c r="O11" s="107" t="s">
        <v>223</v>
      </c>
      <c r="P11" s="134">
        <f t="shared" si="0"/>
        <v>205.37536137275018</v>
      </c>
    </row>
    <row r="12" spans="1:16" ht="15" x14ac:dyDescent="0.3">
      <c r="A12" s="104" t="s">
        <v>215</v>
      </c>
      <c r="B12" s="104" t="s">
        <v>216</v>
      </c>
      <c r="C12" s="119">
        <v>576.13</v>
      </c>
      <c r="D12" s="106">
        <v>0.97130000000000005</v>
      </c>
      <c r="E12" s="105" t="s">
        <v>217</v>
      </c>
      <c r="F12" s="124"/>
      <c r="G12" s="125"/>
      <c r="H12" s="119"/>
      <c r="I12" s="119"/>
      <c r="J12" s="119"/>
      <c r="K12" s="107"/>
      <c r="L12" s="104"/>
      <c r="M12" s="126"/>
      <c r="N12" s="127"/>
      <c r="O12" s="107" t="s">
        <v>223</v>
      </c>
      <c r="P12" s="134">
        <f t="shared" si="0"/>
        <v>220.85345321368442</v>
      </c>
    </row>
    <row r="13" spans="1:16" ht="15" x14ac:dyDescent="0.3">
      <c r="A13" s="108"/>
      <c r="B13" s="128"/>
      <c r="C13" s="129"/>
      <c r="D13" s="130"/>
      <c r="E13" s="108"/>
      <c r="F13" s="124"/>
      <c r="G13" s="125"/>
      <c r="H13" s="119"/>
      <c r="I13" s="119"/>
      <c r="J13" s="119"/>
      <c r="K13" s="107"/>
      <c r="L13" s="104"/>
      <c r="M13" s="126"/>
      <c r="N13" s="127"/>
      <c r="O13" s="107"/>
      <c r="P13" s="119" t="s">
        <v>222</v>
      </c>
    </row>
    <row r="14" spans="1:16" ht="15" x14ac:dyDescent="0.3">
      <c r="A14" s="108"/>
      <c r="B14" s="124"/>
      <c r="C14" s="131"/>
      <c r="D14" s="132"/>
      <c r="E14" s="131"/>
      <c r="F14" s="124"/>
      <c r="G14" s="125"/>
      <c r="H14" s="119"/>
      <c r="I14" s="119"/>
      <c r="J14" s="119"/>
      <c r="K14" s="107"/>
      <c r="L14" s="104"/>
      <c r="M14" s="126"/>
      <c r="N14" s="127"/>
      <c r="O14" s="107"/>
      <c r="P14" s="119"/>
    </row>
    <row r="15" spans="1:16" ht="15" x14ac:dyDescent="0.3">
      <c r="A15" s="108"/>
      <c r="B15" s="124"/>
      <c r="C15" s="131"/>
      <c r="D15" s="132"/>
      <c r="E15" s="131"/>
      <c r="F15" s="124"/>
      <c r="G15" s="125"/>
      <c r="H15" s="119"/>
      <c r="I15" s="119"/>
      <c r="J15" s="119"/>
      <c r="K15" s="107"/>
      <c r="L15" s="104"/>
      <c r="M15" s="126"/>
      <c r="N15" s="127"/>
      <c r="O15" s="107"/>
      <c r="P15" s="119"/>
    </row>
    <row r="16" spans="1:16" ht="27" x14ac:dyDescent="0.3">
      <c r="A16" s="120" t="s">
        <v>218</v>
      </c>
      <c r="B16" s="173"/>
      <c r="C16" s="173"/>
      <c r="D16" s="173"/>
      <c r="E16" s="173"/>
      <c r="F16" s="173"/>
      <c r="G16" s="173"/>
      <c r="H16" s="172" t="s">
        <v>219</v>
      </c>
      <c r="I16" s="172"/>
      <c r="J16" s="173"/>
      <c r="K16" s="173"/>
      <c r="L16" s="173"/>
      <c r="M16" s="173"/>
      <c r="N16" s="173"/>
      <c r="O16" s="173"/>
      <c r="P16" s="173"/>
    </row>
    <row r="17" spans="1:16" ht="70.5" customHeight="1" x14ac:dyDescent="0.3">
      <c r="A17" s="174" t="s">
        <v>220</v>
      </c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3"/>
      <c r="P17" s="173"/>
    </row>
    <row r="18" spans="1:16" ht="28.5" customHeight="1" x14ac:dyDescent="0.3"/>
  </sheetData>
  <protectedRanges>
    <protectedRange algorithmName="SHA-512" hashValue="YAPCBpMfNj1lVuAZLhz1T+lpfxbDMuhG5ejUCrk1HziMXgo3AaCpRTXYj0eq7dnZK7vTWO/Aa8VAdQA0Fdy/2g==" saltValue="gWgY4cub5eff8hIJHSdbqA==" spinCount="100000" sqref="A14:A15" name="送样单_2_2"/>
    <protectedRange algorithmName="SHA-512" hashValue="YAPCBpMfNj1lVuAZLhz1T+lpfxbDMuhG5ejUCrk1HziMXgo3AaCpRTXYj0eq7dnZK7vTWO/Aa8VAdQA0Fdy/2g==" saltValue="gWgY4cub5eff8hIJHSdbqA==" spinCount="100000" sqref="A13" name="送样单_2_3"/>
    <protectedRange algorithmName="SHA-512" hashValue="YAPCBpMfNj1lVuAZLhz1T+lpfxbDMuhG5ejUCrk1HziMXgo3AaCpRTXYj0eq7dnZK7vTWO/Aa8VAdQA0Fdy/2g==" saltValue="gWgY4cub5eff8hIJHSdbqA==" spinCount="100000" sqref="E13" name="送样单_2_4"/>
    <protectedRange algorithmName="SHA-512" hashValue="YAPCBpMfNj1lVuAZLhz1T+lpfxbDMuhG5ejUCrk1HziMXgo3AaCpRTXYj0eq7dnZK7vTWO/Aa8VAdQA0Fdy/2g==" saltValue="gWgY4cub5eff8hIJHSdbqA==" spinCount="100000" sqref="C13" name="送样单_2_5"/>
    <protectedRange algorithmName="SHA-512" hashValue="YAPCBpMfNj1lVuAZLhz1T+lpfxbDMuhG5ejUCrk1HziMXgo3AaCpRTXYj0eq7dnZK7vTWO/Aa8VAdQA0Fdy/2g==" saltValue="gWgY4cub5eff8hIJHSdbqA==" spinCount="100000" sqref="D13" name="送样单_2_6"/>
    <protectedRange algorithmName="SHA-512" hashValue="YAPCBpMfNj1lVuAZLhz1T+lpfxbDMuhG5ejUCrk1HziMXgo3AaCpRTXYj0eq7dnZK7vTWO/Aa8VAdQA0Fdy/2g==" saltValue="gWgY4cub5eff8hIJHSdbqA==" spinCount="100000" sqref="A6:A12" name="送样单_8_2"/>
    <protectedRange algorithmName="SHA-512" hashValue="YAPCBpMfNj1lVuAZLhz1T+lpfxbDMuhG5ejUCrk1HziMXgo3AaCpRTXYj0eq7dnZK7vTWO/Aa8VAdQA0Fdy/2g==" saltValue="gWgY4cub5eff8hIJHSdbqA==" spinCount="100000" sqref="A5" name="送样单_1_1"/>
    <protectedRange algorithmName="SHA-512" hashValue="YAPCBpMfNj1lVuAZLhz1T+lpfxbDMuhG5ejUCrk1HziMXgo3AaCpRTXYj0eq7dnZK7vTWO/Aa8VAdQA0Fdy/2g==" saltValue="gWgY4cub5eff8hIJHSdbqA==" spinCount="100000" sqref="E6:E12" name="送样单_8_1_1"/>
    <protectedRange algorithmName="SHA-512" hashValue="YAPCBpMfNj1lVuAZLhz1T+lpfxbDMuhG5ejUCrk1HziMXgo3AaCpRTXYj0eq7dnZK7vTWO/Aa8VAdQA0Fdy/2g==" saltValue="gWgY4cub5eff8hIJHSdbqA==" spinCount="100000" sqref="E5" name="送样单_1_1_1"/>
  </protectedRanges>
  <mergeCells count="10">
    <mergeCell ref="H16:I16"/>
    <mergeCell ref="J16:N16"/>
    <mergeCell ref="O16:P17"/>
    <mergeCell ref="A17:N17"/>
    <mergeCell ref="B1:P1"/>
    <mergeCell ref="A2:P2"/>
    <mergeCell ref="B3:D3"/>
    <mergeCell ref="F3:M3"/>
    <mergeCell ref="N3:O3"/>
    <mergeCell ref="B16:G16"/>
  </mergeCells>
  <phoneticPr fontId="3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Assay summary</vt:lpstr>
      <vt:lpstr>Assay protocol</vt:lpstr>
      <vt:lpstr>Raw data analysis</vt:lpstr>
      <vt:lpstr>Raw data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2025-03-25T09:43:38Z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>
    <vt:lpwstr>wmexist=0,1,2,3,4,5</vt:lpwstr>
  </property>
  <property fmtid="{D5CDD505-2E9C-101B-9397-08002B2CF9AE}" pid="8193" name="_WMTAG">
    <vt:lpwstr>wmexist=0,1,2,3,4,5</vt:lpwstr>
  </property>
  <property fmtid="{D5CDD505-2E9C-101B-9397-08002B2CF9AE}" pid="8194" name="DOCPROPERTY_INTERNAL_DELFLAGS2">
    <vt:lpwstr>1</vt:lpwstr>
  </property>
</Properties>
</file>