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794" activeTab="1"/>
  </bookViews>
  <sheets>
    <sheet name="Cover" sheetId="32" r:id="rId1"/>
    <sheet name="Data summary" sheetId="39" r:id="rId2"/>
    <sheet name="Clinical observation " sheetId="43" r:id="rId3"/>
    <sheet name="PK parameters" sheetId="23" r:id="rId4"/>
    <sheet name="Raw data" sheetId="38" r:id="rId5"/>
    <sheet name="Formulation" sheetId="35" r:id="rId6"/>
    <sheet name="LC-MS " sheetId="40" r:id="rId7"/>
    <sheet name="Study design" sheetId="41" r:id="rId8"/>
  </sheets>
  <definedNames>
    <definedName name="_xlnm.Print_Area" localSheetId="0">Cover!$A$6:$B$16</definedName>
    <definedName name="_xlnm.Print_Area" localSheetId="1">'Data summary'!$A$25:$J$34</definedName>
    <definedName name="_xlnm.Print_Area" localSheetId="5">Formulation!#REF!</definedName>
    <definedName name="Z_748CD066_2CBF_4852_A239_32CCC98217C5_.wvu.Cols" localSheetId="0" hidden="1">Cover!#REF!</definedName>
    <definedName name="Z_7AC3556B_23E3_4EC8_9ACD_6CF62A4EE103_.wvu.Cols" localSheetId="0" hidden="1">Cover!#REF!</definedName>
    <definedName name="Z_879CBF46_DC90_4A2A_8656_0F4412D7545D_.wvu.Cols" localSheetId="0" hidden="1">Cover!#REF!</definedName>
    <definedName name="Z_931F6C99_D806_45A0_B253_489543215844_.wvu.Cols" localSheetId="0" hidden="1">Cover!#REF!</definedName>
    <definedName name="Z_A31A0AF2_F597_47F3_A709_A314C5282F0B_.wvu.Cols" localSheetId="0" hidden="1">Cover!#REF!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<sst xmlns="http://schemas.openxmlformats.org/spreadsheetml/2006/main" count="818" uniqueCount="363">
  <si>
    <t>Study number</t>
  </si>
  <si>
    <t>08065-25012-NG</t>
  </si>
  <si>
    <t>Test article</t>
  </si>
  <si>
    <t>HW350003A</t>
  </si>
  <si>
    <t xml:space="preserve">Purpose </t>
  </si>
  <si>
    <t>To determine PK profiles of  HW350003A after IV and PO administrations to Monkey</t>
  </si>
  <si>
    <t>GLP compliance</t>
  </si>
  <si>
    <t>Non-GLP</t>
  </si>
  <si>
    <t>Sponsor</t>
  </si>
  <si>
    <t>湖北生物医药产业技术研究院有限公司</t>
  </si>
  <si>
    <t>Study director</t>
  </si>
  <si>
    <t>Guoyuan Gao</t>
  </si>
  <si>
    <t>In-life scientists</t>
  </si>
  <si>
    <t>Yufeng Meng</t>
  </si>
  <si>
    <t>Formulation</t>
  </si>
  <si>
    <t>Chenchen Qi</t>
  </si>
  <si>
    <t>Bioanalytical</t>
  </si>
  <si>
    <t>Wei Zheng</t>
  </si>
  <si>
    <t>Effective date</t>
  </si>
  <si>
    <r>
      <rPr>
        <sz val="12"/>
        <rFont val="Times New Roman"/>
        <charset val="134"/>
      </rPr>
      <t>14</t>
    </r>
    <r>
      <rPr>
        <vertAlign val="superscript"/>
        <sz val="12"/>
        <rFont val="Times New Roman"/>
        <charset val="134"/>
      </rPr>
      <t xml:space="preserve">th </t>
    </r>
    <r>
      <rPr>
        <sz val="12"/>
        <rFont val="Times New Roman"/>
        <charset val="134"/>
      </rPr>
      <t>Mar. 2025</t>
    </r>
  </si>
  <si>
    <t>Table1: Individual and mean plasma concentration-time data of HW350003A after an IV dose and PO dose</t>
  </si>
  <si>
    <t xml:space="preserve"> HW350003A (ng/ml)</t>
  </si>
  <si>
    <t>IV</t>
  </si>
  <si>
    <t>PO</t>
  </si>
  <si>
    <t>IV Time (h)</t>
  </si>
  <si>
    <t>Plasma-101</t>
  </si>
  <si>
    <t>Plasma-102</t>
  </si>
  <si>
    <t>Plasma-103</t>
  </si>
  <si>
    <t>Mean IV</t>
  </si>
  <si>
    <t>SD</t>
  </si>
  <si>
    <t>CV (%)</t>
  </si>
  <si>
    <t>PO Time (h)</t>
  </si>
  <si>
    <t>Plasma-201</t>
  </si>
  <si>
    <t>Plasma-202</t>
  </si>
  <si>
    <t>Plasma-203</t>
  </si>
  <si>
    <t xml:space="preserve">Mean PO </t>
  </si>
  <si>
    <t>±</t>
  </si>
  <si>
    <t>BLQ</t>
  </si>
  <si>
    <t>ND</t>
  </si>
  <si>
    <t>ND  = Not determined (Parameters not determined due to inadequately defined terminal elimination phase)</t>
  </si>
  <si>
    <t>BLQ = Below the lower limit of quantitation (LLOQ)</t>
  </si>
  <si>
    <t>If the adjusted rsq (linear regression coefficient of the concentration value on the terminal phase) is less than 0.9, T1/2 might not be accurately estimated.</t>
  </si>
  <si>
    <r>
      <rPr>
        <sz val="11"/>
        <color theme="1"/>
        <rFont val="Times New Roman"/>
        <charset val="134"/>
      </rPr>
      <t>If the 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20%, AUC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>, Cl, MRT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and Vd</t>
    </r>
    <r>
      <rPr>
        <vertAlign val="subscript"/>
        <sz val="11"/>
        <color theme="1"/>
        <rFont val="Times New Roman"/>
        <charset val="134"/>
      </rPr>
      <t>ss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</si>
  <si>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If the % AUMC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20%, MRT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and Vd</t>
    </r>
    <r>
      <rPr>
        <vertAlign val="subscript"/>
        <sz val="11"/>
        <color theme="1"/>
        <rFont val="Times New Roman"/>
        <charset val="134"/>
      </rPr>
      <t>ss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</si>
  <si>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The adjusted linear regression coefficient of the concentration value on the terminal phase is less than 0.9, T</t>
    </r>
    <r>
      <rPr>
        <vertAlign val="subscript"/>
        <sz val="11"/>
        <color theme="1"/>
        <rFont val="Times New Roman"/>
        <charset val="134"/>
      </rPr>
      <t>1/2</t>
    </r>
    <r>
      <rPr>
        <sz val="11"/>
        <color theme="1"/>
        <rFont val="Times New Roman"/>
        <charset val="134"/>
      </rPr>
      <t xml:space="preserve"> might not be accurately estimated.</t>
    </r>
  </si>
  <si>
    <r>
      <rPr>
        <sz val="11"/>
        <color theme="1"/>
        <rFont val="Times New Roman"/>
        <charset val="134"/>
      </rPr>
      <t>a: Bioavailability (%) was calculated using AUC</t>
    </r>
    <r>
      <rPr>
        <vertAlign val="subscript"/>
        <sz val="11"/>
        <color theme="1"/>
        <rFont val="Times New Roman"/>
        <charset val="134"/>
      </rPr>
      <t>0-inf</t>
    </r>
    <r>
      <rPr>
        <sz val="11"/>
        <color theme="1"/>
        <rFont val="Times New Roman"/>
        <charset val="134"/>
      </rPr>
      <t xml:space="preserve"> (%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&lt; 20%) or AUC</t>
    </r>
    <r>
      <rPr>
        <vertAlign val="subscript"/>
        <sz val="11"/>
        <color theme="1"/>
        <rFont val="Times New Roman"/>
        <charset val="134"/>
      </rPr>
      <t>0-last</t>
    </r>
    <r>
      <rPr>
        <sz val="11"/>
        <color theme="1"/>
        <rFont val="Times New Roman"/>
        <charset val="134"/>
      </rPr>
      <t xml:space="preserve"> (% AUC</t>
    </r>
    <r>
      <rPr>
        <vertAlign val="subscript"/>
        <sz val="11"/>
        <color theme="1"/>
        <rFont val="Times New Roman"/>
        <charset val="134"/>
      </rPr>
      <t>Extra</t>
    </r>
    <r>
      <rPr>
        <sz val="11"/>
        <color theme="1"/>
        <rFont val="Times New Roman"/>
        <charset val="134"/>
      </rPr>
      <t xml:space="preserve"> &gt; 20%) with nominal dose</t>
    </r>
  </si>
  <si>
    <t>Table2: PK parameters</t>
  </si>
  <si>
    <t>HL_Lambda_z(h)</t>
  </si>
  <si>
    <t>Tmax(h)</t>
  </si>
  <si>
    <t>Cmax(ng/mL)</t>
  </si>
  <si>
    <t>AUClast(h*ng/mL)</t>
  </si>
  <si>
    <t>AUCINF_obs(h*ng/mL)</t>
  </si>
  <si>
    <t>MRTlast(h)</t>
  </si>
  <si>
    <t>MRTINF_obs(h)</t>
  </si>
  <si>
    <t>C0(ng/mL)</t>
  </si>
  <si>
    <t>Vss_obs(mL/kg)</t>
  </si>
  <si>
    <t>Vz_obs(mL/kg)</t>
  </si>
  <si>
    <t>Cl_obs(mL/h/kg)</t>
  </si>
  <si>
    <t>G1</t>
  </si>
  <si>
    <t>Administration Route</t>
  </si>
  <si>
    <t>Dose Level</t>
  </si>
  <si>
    <r>
      <rPr>
        <sz val="11"/>
        <color rgb="FF000000"/>
        <rFont val="Times New Roman"/>
        <charset val="134"/>
      </rPr>
      <t>T</t>
    </r>
    <r>
      <rPr>
        <vertAlign val="subscript"/>
        <sz val="11"/>
        <color rgb="FF000000"/>
        <rFont val="Times New Roman"/>
        <charset val="134"/>
      </rPr>
      <t>1/2</t>
    </r>
  </si>
  <si>
    <r>
      <rPr>
        <sz val="11"/>
        <color rgb="FF000000"/>
        <rFont val="Times New Roman"/>
        <charset val="134"/>
      </rPr>
      <t>T</t>
    </r>
    <r>
      <rPr>
        <vertAlign val="subscript"/>
        <sz val="11"/>
        <color rgb="FF000000"/>
        <rFont val="Times New Roman"/>
        <charset val="134"/>
      </rPr>
      <t>max</t>
    </r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</si>
  <si>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max</t>
    </r>
  </si>
  <si>
    <r>
      <rPr>
        <sz val="11"/>
        <color rgb="FF000000"/>
        <rFont val="Times New Roman"/>
        <charset val="134"/>
      </rPr>
      <t>AUC</t>
    </r>
    <r>
      <rPr>
        <vertAlign val="subscript"/>
        <sz val="11"/>
        <color rgb="FF000000"/>
        <rFont val="Times New Roman"/>
        <charset val="134"/>
      </rPr>
      <t>(0-t)</t>
    </r>
  </si>
  <si>
    <r>
      <rPr>
        <sz val="11"/>
        <color rgb="FF000000"/>
        <rFont val="Times New Roman"/>
        <charset val="134"/>
      </rPr>
      <t>AUC</t>
    </r>
    <r>
      <rPr>
        <vertAlign val="subscript"/>
        <sz val="11"/>
        <color rgb="FF000000"/>
        <rFont val="Times New Roman"/>
        <charset val="134"/>
      </rPr>
      <t>(0-</t>
    </r>
    <r>
      <rPr>
        <vertAlign val="subscript"/>
        <sz val="11"/>
        <color rgb="FF000000"/>
        <rFont val="宋体"/>
        <charset val="134"/>
      </rPr>
      <t>∞）</t>
    </r>
  </si>
  <si>
    <r>
      <rPr>
        <sz val="11"/>
        <color rgb="FF000000"/>
        <rFont val="Times New Roman"/>
        <charset val="134"/>
      </rPr>
      <t>MRT</t>
    </r>
    <r>
      <rPr>
        <vertAlign val="subscript"/>
        <sz val="11"/>
        <color rgb="FF000000"/>
        <rFont val="Times New Roman"/>
        <charset val="134"/>
      </rPr>
      <t>(0-t)</t>
    </r>
  </si>
  <si>
    <r>
      <rPr>
        <sz val="11"/>
        <color rgb="FF000000"/>
        <rFont val="Times New Roman"/>
        <charset val="134"/>
      </rPr>
      <t>MRT</t>
    </r>
    <r>
      <rPr>
        <vertAlign val="subscript"/>
        <sz val="11"/>
        <color rgb="FF000000"/>
        <rFont val="Times New Roman"/>
        <charset val="134"/>
      </rPr>
      <t>(0-</t>
    </r>
    <r>
      <rPr>
        <vertAlign val="subscript"/>
        <sz val="11"/>
        <color rgb="FF000000"/>
        <rFont val="宋体"/>
        <charset val="134"/>
      </rPr>
      <t>∞）</t>
    </r>
  </si>
  <si>
    <r>
      <rPr>
        <sz val="11"/>
        <color rgb="FF000000"/>
        <rFont val="Times New Roman"/>
        <charset val="134"/>
      </rPr>
      <t>C</t>
    </r>
    <r>
      <rPr>
        <vertAlign val="subscript"/>
        <sz val="11"/>
        <color rgb="FF000000"/>
        <rFont val="Times New Roman"/>
        <charset val="134"/>
      </rPr>
      <t>0</t>
    </r>
  </si>
  <si>
    <r>
      <rPr>
        <sz val="11"/>
        <color theme="1"/>
        <rFont val="Times New Roman"/>
        <charset val="134"/>
      </rPr>
      <t>V</t>
    </r>
    <r>
      <rPr>
        <vertAlign val="subscript"/>
        <sz val="11"/>
        <color theme="1"/>
        <rFont val="Times New Roman"/>
        <charset val="134"/>
      </rPr>
      <t>ss</t>
    </r>
  </si>
  <si>
    <r>
      <rPr>
        <sz val="11"/>
        <color theme="1"/>
        <rFont val="Times New Roman"/>
        <charset val="134"/>
      </rPr>
      <t>V</t>
    </r>
    <r>
      <rPr>
        <vertAlign val="subscript"/>
        <sz val="11"/>
        <color theme="1"/>
        <rFont val="Times New Roman"/>
        <charset val="134"/>
      </rPr>
      <t>z</t>
    </r>
  </si>
  <si>
    <t>Cl</t>
  </si>
  <si>
    <t>Animal No.</t>
  </si>
  <si>
    <t>mg/kg</t>
  </si>
  <si>
    <t>h</t>
  </si>
  <si>
    <t>ng/mL</t>
  </si>
  <si>
    <t>h*ng/mL</t>
  </si>
  <si>
    <t>mL/kg</t>
  </si>
  <si>
    <t>mL/h/kg</t>
  </si>
  <si>
    <t>n</t>
  </si>
  <si>
    <t>G1-Mean</t>
  </si>
  <si>
    <t>G1-SD</t>
  </si>
  <si>
    <t>G2</t>
  </si>
  <si>
    <t>F</t>
  </si>
  <si>
    <t>%</t>
  </si>
  <si>
    <t>G2-Mean</t>
  </si>
  <si>
    <t>G2-SD</t>
  </si>
  <si>
    <t>Plasma concentration-time profiles of HW350003A after IV dose</t>
  </si>
  <si>
    <t>Plasma concentration-time profiles of HW350003A after PO dose</t>
  </si>
  <si>
    <r>
      <rPr>
        <b/>
        <sz val="11"/>
        <rFont val="宋体"/>
        <charset val="134"/>
      </rPr>
      <t>临床观察</t>
    </r>
  </si>
  <si>
    <t>所有的动物在给药前后均没有发现异常。</t>
  </si>
  <si>
    <r>
      <rPr>
        <sz val="11"/>
        <rFont val="宋体"/>
        <charset val="134"/>
      </rPr>
      <t>动物号</t>
    </r>
  </si>
  <si>
    <r>
      <rPr>
        <sz val="11"/>
        <rFont val="宋体"/>
        <charset val="134"/>
      </rPr>
      <t>性别</t>
    </r>
  </si>
  <si>
    <r>
      <rPr>
        <sz val="11"/>
        <rFont val="宋体"/>
        <charset val="134"/>
      </rPr>
      <t>体重（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</si>
  <si>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给药量（</t>
    </r>
    <r>
      <rPr>
        <sz val="11"/>
        <rFont val="Times New Roman"/>
        <charset val="134"/>
      </rPr>
      <t>mL</t>
    </r>
    <r>
      <rPr>
        <sz val="11"/>
        <rFont val="宋体"/>
        <charset val="134"/>
      </rPr>
      <t>）</t>
    </r>
  </si>
  <si>
    <t>M</t>
  </si>
  <si>
    <t>PK parameters</t>
  </si>
  <si>
    <t>G</t>
  </si>
  <si>
    <t>Rsq</t>
  </si>
  <si>
    <t>Rsq_adjusted</t>
  </si>
  <si>
    <t>Corr_XY</t>
  </si>
  <si>
    <t>No_points_lambda_z</t>
  </si>
  <si>
    <t>Lambda_z(1/h)</t>
  </si>
  <si>
    <t>Lambda_z_lower(h)</t>
  </si>
  <si>
    <t>Lambda_z_upper(h)</t>
  </si>
  <si>
    <t>Cmax_D(kg*ng/mL/mg)</t>
  </si>
  <si>
    <t>Tlast(h)</t>
  </si>
  <si>
    <t>Clast(ng/mL)</t>
  </si>
  <si>
    <t>AUCall(h*ng/mL)</t>
  </si>
  <si>
    <t>AUCINF_D_obs(h*kg*ng/mL/mg)</t>
  </si>
  <si>
    <t>AUC_%Extrap_obs({%})</t>
  </si>
  <si>
    <t>AUC_%Back_Ext_obs({%})</t>
  </si>
  <si>
    <t>AUCINF_pred(h*ng/mL)</t>
  </si>
  <si>
    <t>AUCINF_D_pred(h*kg*ng/mL/mg)</t>
  </si>
  <si>
    <t>AUC_%Extrap_pred({%})</t>
  </si>
  <si>
    <t>AUC_%Back_Ext_pred({%})</t>
  </si>
  <si>
    <t>Vz_pred(mL/kg)</t>
  </si>
  <si>
    <t>Cl_pred(mL/h/kg)</t>
  </si>
  <si>
    <t>AUMClast(h*h*ng/mL)</t>
  </si>
  <si>
    <t>AUMCINF_obs(h*h*ng/mL)</t>
  </si>
  <si>
    <t>AUMC_%Extrap_obs({%})</t>
  </si>
  <si>
    <t>AUMCINF_pred(h*h*ng/mL)</t>
  </si>
  <si>
    <t>AUMC_%Extrap_pred({%})</t>
  </si>
  <si>
    <t>MRTINF_pred(h)</t>
  </si>
  <si>
    <t>Vss_pred(mL/kg)</t>
  </si>
  <si>
    <t>Tlag(h)</t>
  </si>
  <si>
    <t>Vz_F_obs(mL/kg)</t>
  </si>
  <si>
    <t>Cl_F_obs(mL/h/kg)</t>
  </si>
  <si>
    <t>Vz_F_pred(mL/kg)</t>
  </si>
  <si>
    <t>Cl_F_pred(mL/h/kg)</t>
  </si>
  <si>
    <t>Peak Name: Warfarin (IS)</t>
  </si>
  <si>
    <t>Use as Internal Standard</t>
  </si>
  <si>
    <t>Q1/Q3 Masses: 309.10/163.10 Da</t>
  </si>
  <si>
    <t>Peak Name: HW350003A-3</t>
  </si>
  <si>
    <t>Internal Standard: Warfarin (IS)</t>
  </si>
  <si>
    <t>Q1/Q3 Masses: 438.10/77.00 Da</t>
  </si>
  <si>
    <t>Fit</t>
  </si>
  <si>
    <t>Linear</t>
  </si>
  <si>
    <t>Weighting</t>
  </si>
  <si>
    <t>1  / (x * x)</t>
  </si>
  <si>
    <t>Iterate</t>
  </si>
  <si>
    <t>No</t>
  </si>
  <si>
    <t>Intercept</t>
  </si>
  <si>
    <t>Slope</t>
  </si>
  <si>
    <t>Correlation coefficient</t>
  </si>
  <si>
    <t>Use Area</t>
  </si>
  <si>
    <t>Sample Name</t>
  </si>
  <si>
    <t>Sample Type</t>
  </si>
  <si>
    <t>Dilution Factor</t>
  </si>
  <si>
    <t>Analyte Peak Area (counts)</t>
  </si>
  <si>
    <t>Analyte Concentration (ng/mL)</t>
  </si>
  <si>
    <t>Analyte Retention Time (min)</t>
  </si>
  <si>
    <t>Area Ratio</t>
  </si>
  <si>
    <t>IS Peak Area (counts)</t>
  </si>
  <si>
    <t>IS Retention Time (min)</t>
  </si>
  <si>
    <t>Use Record</t>
  </si>
  <si>
    <t>Record Modified</t>
  </si>
  <si>
    <t>Calculated Concentration (ng/mL)</t>
  </si>
  <si>
    <t>Accuracy (%)</t>
  </si>
  <si>
    <t>Blank</t>
  </si>
  <si>
    <t>Double Blank</t>
  </si>
  <si>
    <t>N/A</t>
  </si>
  <si>
    <t>Blank+IS</t>
  </si>
  <si>
    <t>STD1-01</t>
  </si>
  <si>
    <t>Standard</t>
  </si>
  <si>
    <t>STD1-02</t>
  </si>
  <si>
    <t>STD1-03</t>
  </si>
  <si>
    <t>STD1-04</t>
  </si>
  <si>
    <t>STD1-05</t>
  </si>
  <si>
    <t>STD1-06</t>
  </si>
  <si>
    <t>STD1-07</t>
  </si>
  <si>
    <t>STD1-08</t>
  </si>
  <si>
    <t>WASH</t>
  </si>
  <si>
    <t>Unknown</t>
  </si>
  <si>
    <t>QCL1</t>
  </si>
  <si>
    <t>Quality Control</t>
  </si>
  <si>
    <t>QCM1</t>
  </si>
  <si>
    <t>QCH1</t>
  </si>
  <si>
    <t>DQC1(DL20)</t>
  </si>
  <si>
    <t>plasma-101-0.083h(DL20)</t>
  </si>
  <si>
    <t>plasma-101-0.25h(DL20)</t>
  </si>
  <si>
    <t>plasma-101-0.5h(DL20)</t>
  </si>
  <si>
    <t>plasma-101-1h(DL20)</t>
  </si>
  <si>
    <t>plasma-101-2h(DL20)</t>
  </si>
  <si>
    <t>plasma-101-4h</t>
  </si>
  <si>
    <t>plasma-101-8h</t>
  </si>
  <si>
    <t>plasma-101-24h</t>
  </si>
  <si>
    <t>plasma-102-0.083h(DL20)</t>
  </si>
  <si>
    <t>plasma-102-0.25h(DL20)</t>
  </si>
  <si>
    <t>plasma-102-0.5h(DL20)</t>
  </si>
  <si>
    <t>plasma-102-1h(DL20)</t>
  </si>
  <si>
    <t>plasma-102-2h(DL20)</t>
  </si>
  <si>
    <t>plasma-102-4h</t>
  </si>
  <si>
    <t>plasma-102-8h</t>
  </si>
  <si>
    <t>plasma-102-24h</t>
  </si>
  <si>
    <t>plasma-103-0.083h(DL20)</t>
  </si>
  <si>
    <t>plasma-103-0.25h(DL20)</t>
  </si>
  <si>
    <t>plasma-103-0.5h(DL20)</t>
  </si>
  <si>
    <t>plasma-103-1h(DL20)</t>
  </si>
  <si>
    <t>plasma-103-2h(DL20)</t>
  </si>
  <si>
    <t>plasma-103-4h</t>
  </si>
  <si>
    <t>plasma-103-8h</t>
  </si>
  <si>
    <t>plasma-103-24h</t>
  </si>
  <si>
    <t>No Peak</t>
  </si>
  <si>
    <t>plasma-201-0.25h</t>
  </si>
  <si>
    <t>plasma-201-0.5h(DL20)</t>
  </si>
  <si>
    <t>plasma-201-1h(DL20)</t>
  </si>
  <si>
    <t>plasma-201-2h(DL20)</t>
  </si>
  <si>
    <t>plasma-201-4h(DL20)</t>
  </si>
  <si>
    <t>plasma-201-6h(DL20)</t>
  </si>
  <si>
    <t>plasma-201-8h(DL20)</t>
  </si>
  <si>
    <t>plasma-201-24h</t>
  </si>
  <si>
    <t>plasma-202-0.25h</t>
  </si>
  <si>
    <t>plasma-202-0.5h(DL20)</t>
  </si>
  <si>
    <t>plasma-202-1h(DL20)</t>
  </si>
  <si>
    <t>plasma-202-2h(DL20)</t>
  </si>
  <si>
    <t>plasma-202-4h(DL20)</t>
  </si>
  <si>
    <t>plasma-202-6h(DL20)</t>
  </si>
  <si>
    <t>plasma-202-8h(DL20)</t>
  </si>
  <si>
    <t>plasma-202-24h</t>
  </si>
  <si>
    <t>plasma-203-0.25h</t>
  </si>
  <si>
    <t>plasma-203-0.5h(DL20)</t>
  </si>
  <si>
    <t>plasma-203-1h(DL20)</t>
  </si>
  <si>
    <t>plasma-203-2h(DL20)</t>
  </si>
  <si>
    <t>plasma-203-4h(DL20)</t>
  </si>
  <si>
    <t>plasma-203-6h(DL20)</t>
  </si>
  <si>
    <t>plasma-203-8h(DL20)</t>
  </si>
  <si>
    <t>plasma-203-24h</t>
  </si>
  <si>
    <t>QCL2</t>
  </si>
  <si>
    <t>QCM2</t>
  </si>
  <si>
    <t>QCH2</t>
  </si>
  <si>
    <t>DQC2(DL20)</t>
  </si>
  <si>
    <t>plasma-102-0.083h(DL20)-1</t>
  </si>
  <si>
    <t>plasma-102-0.5h(DL20)-1</t>
  </si>
  <si>
    <t>plasma-103-0.5h(DL20)-1</t>
  </si>
  <si>
    <t>Group 1</t>
  </si>
  <si>
    <t>Test Article:  HW350003A</t>
  </si>
  <si>
    <t>Dosage Level: 1 mg/kg</t>
  </si>
  <si>
    <t>Vehicle: 5%DMSO+10%Solutol+85%Saline</t>
  </si>
  <si>
    <t>Dosage Volume: 2 mL/kg</t>
  </si>
  <si>
    <t>Route:IV</t>
  </si>
  <si>
    <t>Theoretical Conc.: 0.5 mg/ml</t>
  </si>
  <si>
    <t>Ingredient</t>
  </si>
  <si>
    <t>ID Number</t>
  </si>
  <si>
    <t>Supposed Quantity</t>
  </si>
  <si>
    <t>Practical Quantity</t>
  </si>
  <si>
    <t>Preparation</t>
  </si>
  <si>
    <t>20 mg/ml stock</t>
  </si>
  <si>
    <t>NA</t>
  </si>
  <si>
    <t>0.9 ml</t>
  </si>
  <si>
    <t>other</t>
  </si>
  <si>
    <t>DMSO</t>
  </si>
  <si>
    <t>Vortex</t>
  </si>
  <si>
    <t>Sonicate</t>
  </si>
  <si>
    <r>
      <rPr>
        <sz val="11"/>
        <rFont val="Times New Roman"/>
        <charset val="134"/>
      </rPr>
      <t>Clear</t>
    </r>
    <r>
      <rPr>
        <sz val="11"/>
        <rFont val="宋体"/>
        <charset val="134"/>
      </rPr>
      <t>：</t>
    </r>
  </si>
  <si>
    <t>Y</t>
  </si>
  <si>
    <t>stir: 1 min</t>
  </si>
  <si>
    <t>Solutol</t>
  </si>
  <si>
    <t>62863656P0</t>
  </si>
  <si>
    <t>3.6 ml</t>
  </si>
  <si>
    <t>stir: 5 min</t>
  </si>
  <si>
    <t>Saline</t>
  </si>
  <si>
    <t>30.6 ml</t>
  </si>
  <si>
    <r>
      <rPr>
        <sz val="11"/>
        <rFont val="Times New Roman"/>
        <charset val="134"/>
      </rPr>
      <t>The PH was measured using PH paper as/pH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~7</t>
    </r>
  </si>
  <si>
    <r>
      <rPr>
        <sz val="11"/>
        <rFont val="Times New Roman"/>
        <charset val="134"/>
      </rPr>
      <t>Amount of Preparation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36 ml</t>
    </r>
  </si>
  <si>
    <t>The physical appearance was recorded as: Colorless clear solution</t>
  </si>
  <si>
    <t>Group 2</t>
  </si>
  <si>
    <t>Dosage Level: 5 mg/kg</t>
  </si>
  <si>
    <t>Dosage Volume: 5 mL/kg</t>
  </si>
  <si>
    <t>Route:PO</t>
  </si>
  <si>
    <t>Theoretical Conc.: 1 mg/mL</t>
  </si>
  <si>
    <t>PK251041</t>
  </si>
  <si>
    <t>111.78 mg</t>
  </si>
  <si>
    <t>correct calculation</t>
  </si>
  <si>
    <t>5.5*20/98.41%=111.78</t>
  </si>
  <si>
    <t>5.5 ml</t>
  </si>
  <si>
    <t>1 min</t>
  </si>
  <si>
    <t>Get 20 mg/ml stock</t>
  </si>
  <si>
    <t>4.5 ml</t>
  </si>
  <si>
    <t>9 ml</t>
  </si>
  <si>
    <t>76.5 ml</t>
  </si>
  <si>
    <r>
      <rPr>
        <sz val="11"/>
        <rFont val="Times New Roman"/>
        <charset val="134"/>
      </rPr>
      <t>Amount of Preparation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90 ml</t>
    </r>
  </si>
  <si>
    <t>Analytical method</t>
  </si>
  <si>
    <t>Instrument</t>
  </si>
  <si>
    <t>LC-MS/MS-23(TQ6500+ )</t>
  </si>
  <si>
    <t>Matrix</t>
  </si>
  <si>
    <t>Monkey plasma</t>
  </si>
  <si>
    <t>Analyte(s)</t>
  </si>
  <si>
    <t>Internal standard(s)</t>
  </si>
  <si>
    <t>Warfarin (IS)</t>
  </si>
  <si>
    <t>MS conditions</t>
  </si>
  <si>
    <t>APCI: Positive</t>
  </si>
  <si>
    <t>MRM detection</t>
  </si>
  <si>
    <t xml:space="preserve"> </t>
  </si>
  <si>
    <t>IS:</t>
  </si>
  <si>
    <t>HPLC conditions</t>
  </si>
  <si>
    <t>Mobile phase:</t>
  </si>
  <si>
    <t>Mobile phase A:  0.1%FA in water</t>
  </si>
  <si>
    <t>Mobile phase B: 0.1%Formic acid in acetonitrile</t>
  </si>
  <si>
    <t>weak wash:50% MeOH/Water(v:v=1:1)</t>
  </si>
  <si>
    <t>strong wash:IPA:ACN:MeOH:0.1%FA in water(v:v:v:v,1:1:1:1)</t>
  </si>
  <si>
    <t>Time (min)</t>
  </si>
  <si>
    <t>Moblie phase B (%)</t>
  </si>
  <si>
    <t>Initial</t>
  </si>
  <si>
    <t xml:space="preserve">Column: ACQUITY UPLC CSH C18 1.7um 2.1*50mm </t>
  </si>
  <si>
    <r>
      <rPr>
        <sz val="11"/>
        <color indexed="8"/>
        <rFont val="Times New Roman"/>
        <charset val="134"/>
      </rPr>
      <t>Oven: 40</t>
    </r>
    <r>
      <rPr>
        <vertAlign val="superscript"/>
        <sz val="11"/>
        <color indexed="8"/>
        <rFont val="Times New Roman"/>
        <charset val="134"/>
      </rPr>
      <t>o</t>
    </r>
    <r>
      <rPr>
        <sz val="11"/>
        <color indexed="8"/>
        <rFont val="Times New Roman"/>
        <charset val="134"/>
      </rPr>
      <t>C</t>
    </r>
  </si>
  <si>
    <t>Flow rate: 0.60 mL/min</t>
  </si>
  <si>
    <t>Retention time:</t>
  </si>
  <si>
    <t>1.58min</t>
  </si>
  <si>
    <t>1.61min</t>
  </si>
  <si>
    <t xml:space="preserve">Sample preparation </t>
  </si>
  <si>
    <t>An aliquot of 20µL plasma sample  was protein precipitated with 400 µL MeOH in which contains 100ng/mL IS. The mixture was vortexed for 1 min. Then for samples treated with tube were centrifuged at 14000rpm for 7 min, but for samples treated with 96 well plates were centrifuged at 4000rpm for 10 min.  Transfer380µL supernatant to 96 well plates. An aliquot of 10µL supernatant was injected for LC-MS/MS analysis.</t>
  </si>
  <si>
    <t>Calibration curve</t>
  </si>
  <si>
    <t>1-1000 ng/mL for HW350003A in Monkey plasma samples</t>
  </si>
  <si>
    <r>
      <rPr>
        <b/>
        <sz val="12"/>
        <rFont val="宋体"/>
        <charset val="134"/>
      </rPr>
      <t>课题号</t>
    </r>
  </si>
  <si>
    <r>
      <rPr>
        <b/>
        <sz val="12"/>
        <rFont val="宋体"/>
        <charset val="134"/>
      </rPr>
      <t>题目</t>
    </r>
  </si>
  <si>
    <r>
      <rPr>
        <sz val="12"/>
        <rFont val="宋体"/>
        <charset val="134"/>
      </rPr>
      <t>单次静脉注射或灌胃口服给予化合物</t>
    </r>
    <r>
      <rPr>
        <sz val="12"/>
        <rFont val="Times New Roman"/>
        <charset val="134"/>
      </rPr>
      <t>HW350003A</t>
    </r>
    <r>
      <rPr>
        <sz val="12"/>
        <rFont val="宋体"/>
        <charset val="134"/>
      </rPr>
      <t>食蟹猴的药代动力学研究</t>
    </r>
  </si>
  <si>
    <r>
      <rPr>
        <b/>
        <sz val="12"/>
        <rFont val="宋体"/>
        <charset val="134"/>
      </rPr>
      <t>供试品信息</t>
    </r>
  </si>
  <si>
    <r>
      <rPr>
        <b/>
        <sz val="11"/>
        <color theme="1"/>
        <rFont val="宋体"/>
        <charset val="134"/>
      </rPr>
      <t>化合物编号
（必填）</t>
    </r>
  </si>
  <si>
    <r>
      <rPr>
        <b/>
        <sz val="11"/>
        <color theme="1"/>
        <rFont val="宋体"/>
        <charset val="134"/>
      </rPr>
      <t>批号</t>
    </r>
  </si>
  <si>
    <r>
      <rPr>
        <b/>
        <sz val="11"/>
        <color theme="1"/>
        <rFont val="宋体"/>
        <charset val="134"/>
      </rPr>
      <t>分子量（</t>
    </r>
    <r>
      <rPr>
        <b/>
        <sz val="11"/>
        <color theme="1"/>
        <rFont val="Times New Roman"/>
        <charset val="134"/>
      </rPr>
      <t xml:space="preserve">M.W)
</t>
    </r>
    <r>
      <rPr>
        <b/>
        <sz val="11"/>
        <color theme="1"/>
        <rFont val="宋体"/>
        <charset val="134"/>
      </rPr>
      <t>（必填）</t>
    </r>
  </si>
  <si>
    <r>
      <rPr>
        <b/>
        <sz val="11"/>
        <color rgb="FF000000"/>
        <rFont val="宋体"/>
        <charset val="134"/>
      </rPr>
      <t>纯度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宋体"/>
        <charset val="134"/>
      </rPr>
      <t>含量</t>
    </r>
  </si>
  <si>
    <r>
      <rPr>
        <b/>
        <sz val="11"/>
        <color rgb="FF000000"/>
        <rFont val="宋体"/>
        <charset val="134"/>
      </rPr>
      <t>样品量</t>
    </r>
    <r>
      <rPr>
        <b/>
        <sz val="11"/>
        <color rgb="FF000000"/>
        <rFont val="Times New Roman"/>
        <charset val="134"/>
      </rPr>
      <t xml:space="preserve">(mg)
</t>
    </r>
    <r>
      <rPr>
        <b/>
        <sz val="11"/>
        <color rgb="FF000000"/>
        <rFont val="宋体"/>
        <charset val="134"/>
      </rPr>
      <t>（必填）</t>
    </r>
  </si>
  <si>
    <t>PK No.</t>
  </si>
  <si>
    <t>437.46/游离碱</t>
  </si>
  <si>
    <t>120.12</t>
  </si>
  <si>
    <r>
      <rPr>
        <sz val="12"/>
        <rFont val="宋体"/>
        <charset val="134"/>
      </rPr>
      <t>供试品配制时</t>
    </r>
    <r>
      <rPr>
        <b/>
        <sz val="12"/>
        <rFont val="宋体"/>
        <charset val="134"/>
      </rPr>
      <t>需要</t>
    </r>
    <r>
      <rPr>
        <sz val="12"/>
        <rFont val="宋体"/>
        <charset val="134"/>
      </rPr>
      <t>对纯度进行折算。</t>
    </r>
  </si>
  <si>
    <r>
      <rPr>
        <b/>
        <sz val="12"/>
        <rFont val="宋体"/>
        <charset val="134"/>
      </rPr>
      <t>供试品配制</t>
    </r>
  </si>
  <si>
    <r>
      <rPr>
        <sz val="12"/>
        <rFont val="宋体"/>
        <charset val="134"/>
      </rPr>
      <t>给药当天配制。</t>
    </r>
  </si>
  <si>
    <r>
      <rPr>
        <sz val="11"/>
        <rFont val="Times New Roman"/>
        <charset val="134"/>
      </rPr>
      <t>5%DMSO+10%Solutol+85%</t>
    </r>
    <r>
      <rPr>
        <sz val="11"/>
        <rFont val="宋体"/>
        <charset val="134"/>
      </rPr>
      <t>生理盐水</t>
    </r>
  </si>
  <si>
    <r>
      <rPr>
        <b/>
        <sz val="12"/>
        <rFont val="宋体"/>
        <charset val="134"/>
      </rPr>
      <t>试验动物</t>
    </r>
  </si>
  <si>
    <r>
      <rPr>
        <sz val="12"/>
        <rFont val="宋体"/>
        <charset val="134"/>
      </rPr>
      <t>种属：食蟹猴，普通级（</t>
    </r>
    <r>
      <rPr>
        <sz val="12"/>
        <rFont val="Times New Roman"/>
        <charset val="134"/>
      </rPr>
      <t>non-naïve</t>
    </r>
    <r>
      <rPr>
        <sz val="12"/>
        <rFont val="宋体"/>
        <charset val="134"/>
      </rPr>
      <t>）。</t>
    </r>
  </si>
  <si>
    <r>
      <rPr>
        <sz val="12"/>
        <rFont val="宋体"/>
        <charset val="134"/>
      </rPr>
      <t>来源：动物转移自实验机构动物储备库。</t>
    </r>
  </si>
  <si>
    <r>
      <rPr>
        <sz val="12"/>
        <rFont val="宋体"/>
        <charset val="134"/>
      </rPr>
      <t>转移动物数：</t>
    </r>
    <r>
      <rPr>
        <sz val="12"/>
        <rFont val="Times New Roman"/>
        <charset val="134"/>
      </rPr>
      <t>7</t>
    </r>
    <r>
      <rPr>
        <sz val="12"/>
        <rFont val="宋体"/>
        <charset val="134"/>
      </rPr>
      <t>只，雄性</t>
    </r>
  </si>
  <si>
    <r>
      <rPr>
        <sz val="12"/>
        <rFont val="宋体"/>
        <charset val="134"/>
      </rPr>
      <t>实验所需动物数：</t>
    </r>
    <r>
      <rPr>
        <sz val="12"/>
        <rFont val="Times New Roman"/>
        <charset val="134"/>
      </rPr>
      <t>6</t>
    </r>
    <r>
      <rPr>
        <sz val="12"/>
        <rFont val="宋体"/>
        <charset val="134"/>
      </rPr>
      <t>只，雄性</t>
    </r>
  </si>
  <si>
    <r>
      <rPr>
        <sz val="12"/>
        <rFont val="宋体"/>
        <charset val="134"/>
      </rPr>
      <t>动物挑选：不进行随机分组</t>
    </r>
  </si>
  <si>
    <r>
      <rPr>
        <b/>
        <sz val="12"/>
        <rFont val="宋体"/>
        <charset val="134"/>
      </rPr>
      <t>实验设计</t>
    </r>
  </si>
  <si>
    <r>
      <rPr>
        <b/>
        <sz val="12"/>
        <rFont val="宋体"/>
        <charset val="134"/>
      </rPr>
      <t>组别</t>
    </r>
  </si>
  <si>
    <r>
      <rPr>
        <b/>
        <sz val="12"/>
        <rFont val="宋体"/>
        <charset val="134"/>
      </rPr>
      <t>受试物</t>
    </r>
  </si>
  <si>
    <r>
      <rPr>
        <b/>
        <sz val="12"/>
        <rFont val="宋体"/>
        <charset val="134"/>
      </rPr>
      <t>动物数量</t>
    </r>
  </si>
  <si>
    <r>
      <rPr>
        <b/>
        <sz val="12"/>
        <rFont val="宋体"/>
        <charset val="134"/>
      </rPr>
      <t>剂量</t>
    </r>
  </si>
  <si>
    <r>
      <rPr>
        <b/>
        <sz val="12"/>
        <rFont val="宋体"/>
        <charset val="134"/>
      </rPr>
      <t>浓度</t>
    </r>
  </si>
  <si>
    <r>
      <rPr>
        <b/>
        <sz val="12"/>
        <rFont val="宋体"/>
        <charset val="134"/>
      </rPr>
      <t>给药体积</t>
    </r>
  </si>
  <si>
    <r>
      <rPr>
        <b/>
        <sz val="12"/>
        <rFont val="宋体"/>
        <charset val="134"/>
      </rPr>
      <t>给予方式</t>
    </r>
  </si>
  <si>
    <r>
      <rPr>
        <b/>
        <sz val="12"/>
        <rFont val="宋体"/>
        <charset val="134"/>
      </rPr>
      <t>采集样本</t>
    </r>
  </si>
  <si>
    <r>
      <rPr>
        <b/>
        <sz val="12"/>
        <rFont val="宋体"/>
        <charset val="134"/>
      </rPr>
      <t>雄性</t>
    </r>
  </si>
  <si>
    <t>(mg/kg)</t>
  </si>
  <si>
    <t>(mg/mL)</t>
  </si>
  <si>
    <t>(mL/kg)</t>
  </si>
  <si>
    <r>
      <rPr>
        <sz val="11"/>
        <rFont val="Times New Roman"/>
        <charset val="134"/>
      </rPr>
      <t>IV</t>
    </r>
    <r>
      <rPr>
        <sz val="11"/>
        <rFont val="宋体"/>
        <charset val="134"/>
      </rPr>
      <t>，单次</t>
    </r>
  </si>
  <si>
    <r>
      <rPr>
        <sz val="11"/>
        <rFont val="宋体"/>
        <charset val="134"/>
      </rPr>
      <t>血浆</t>
    </r>
  </si>
  <si>
    <r>
      <rPr>
        <sz val="11"/>
        <rFont val="Times New Roman"/>
        <charset val="134"/>
      </rPr>
      <t>PO*</t>
    </r>
    <r>
      <rPr>
        <sz val="11"/>
        <rFont val="宋体"/>
        <charset val="134"/>
      </rPr>
      <t>，单次</t>
    </r>
  </si>
  <si>
    <r>
      <rPr>
        <sz val="11"/>
        <rFont val="宋体"/>
        <charset val="134"/>
      </rPr>
      <t>注：</t>
    </r>
    <r>
      <rPr>
        <sz val="11"/>
        <rFont val="Times New Roman"/>
        <charset val="134"/>
      </rPr>
      <t xml:space="preserve"> *, </t>
    </r>
    <r>
      <rPr>
        <sz val="11"/>
        <rFont val="宋体"/>
        <charset val="134"/>
      </rPr>
      <t>口服给药组动物给药前禁食过夜（≥</t>
    </r>
    <r>
      <rPr>
        <sz val="11"/>
        <rFont val="Times New Roman"/>
        <charset val="134"/>
      </rPr>
      <t>10</t>
    </r>
    <r>
      <rPr>
        <sz val="11"/>
        <rFont val="宋体"/>
        <charset val="134"/>
      </rPr>
      <t>小时），给药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小时后给食。</t>
    </r>
  </si>
  <si>
    <r>
      <rPr>
        <b/>
        <sz val="12"/>
        <rFont val="宋体"/>
        <charset val="134"/>
      </rPr>
      <t>给药方式</t>
    </r>
  </si>
  <si>
    <r>
      <rPr>
        <sz val="11"/>
        <rFont val="宋体"/>
        <charset val="134"/>
      </rPr>
      <t>给药前称重，根据体重，计算给药量。通过静脉注射或灌胃给药。</t>
    </r>
  </si>
  <si>
    <r>
      <rPr>
        <b/>
        <sz val="12"/>
        <rFont val="宋体"/>
        <charset val="134"/>
      </rPr>
      <t>采血时间点：</t>
    </r>
  </si>
  <si>
    <r>
      <rPr>
        <sz val="11"/>
        <rFont val="Times New Roman"/>
        <charset val="134"/>
      </rPr>
      <t>IV</t>
    </r>
    <r>
      <rPr>
        <sz val="11"/>
        <rFont val="宋体"/>
        <charset val="134"/>
      </rPr>
      <t>采血点</t>
    </r>
    <r>
      <rPr>
        <sz val="11"/>
        <rFont val="Times New Roman"/>
        <charset val="134"/>
      </rPr>
      <t xml:space="preserve"> 0.083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0.25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0.5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4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8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24 h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</si>
  <si>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PO</t>
    </r>
    <r>
      <rPr>
        <sz val="11"/>
        <rFont val="宋体"/>
        <charset val="134"/>
      </rPr>
      <t>采血点</t>
    </r>
    <r>
      <rPr>
        <sz val="11"/>
        <rFont val="Times New Roman"/>
        <charset val="134"/>
      </rPr>
      <t xml:space="preserve"> 0.25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0.5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8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24 h</t>
    </r>
    <r>
      <rPr>
        <sz val="11"/>
        <rFont val="宋体"/>
        <charset val="134"/>
      </rPr>
      <t>。</t>
    </r>
  </si>
  <si>
    <r>
      <rPr>
        <b/>
        <sz val="12"/>
        <rFont val="宋体"/>
        <charset val="134"/>
      </rPr>
      <t>血浆样品处理</t>
    </r>
  </si>
  <si>
    <r>
      <rPr>
        <sz val="12"/>
        <rFont val="宋体"/>
        <charset val="134"/>
      </rPr>
      <t>经股静脉或其他合适方式采血，每个样品采集约</t>
    </r>
    <r>
      <rPr>
        <sz val="12"/>
        <rFont val="Times New Roman"/>
        <charset val="134"/>
      </rPr>
      <t xml:space="preserve"> 1mL/</t>
    </r>
    <r>
      <rPr>
        <sz val="12"/>
        <rFont val="宋体"/>
        <charset val="134"/>
      </rPr>
      <t>时间点，肝素钠抗凝，采集后放置冰上。血液样本采集后置于冰上，血液样本并于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小时之内离心分离血浆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离心条件：</t>
    </r>
    <r>
      <rPr>
        <sz val="12"/>
        <rFont val="Times New Roman"/>
        <charset val="134"/>
      </rPr>
      <t>2200g</t>
    </r>
    <r>
      <rPr>
        <sz val="12"/>
        <rFont val="宋体"/>
        <charset val="134"/>
      </rPr>
      <t>，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分钟，</t>
    </r>
    <r>
      <rPr>
        <sz val="12"/>
        <rFont val="Times New Roman"/>
        <charset val="134"/>
      </rPr>
      <t>2-8ºC)</t>
    </r>
    <r>
      <rPr>
        <sz val="12"/>
        <rFont val="宋体"/>
        <charset val="134"/>
      </rPr>
      <t>。血浆样本在分析前存放时则放于</t>
    </r>
    <r>
      <rPr>
        <sz val="12"/>
        <rFont val="Times New Roman"/>
        <charset val="134"/>
      </rPr>
      <t>-80ºC</t>
    </r>
    <r>
      <rPr>
        <sz val="12"/>
        <rFont val="宋体"/>
        <charset val="134"/>
      </rPr>
      <t>冰箱内。</t>
    </r>
  </si>
  <si>
    <r>
      <rPr>
        <sz val="12"/>
        <rFont val="宋体"/>
        <charset val="134"/>
      </rPr>
      <t>生物样品分析方法及所有样品的分析由美迪西普亚医药科技（上海）有限公司分析实验室完成，分析样品的同时进行质控样品的日内准确度评价，并要求超过</t>
    </r>
    <r>
      <rPr>
        <sz val="12"/>
        <rFont val="Times New Roman"/>
        <charset val="134"/>
      </rPr>
      <t>66.7%</t>
    </r>
    <r>
      <rPr>
        <sz val="12"/>
        <rFont val="宋体"/>
        <charset val="134"/>
      </rPr>
      <t>的质控样品的准确度在</t>
    </r>
    <r>
      <rPr>
        <sz val="12"/>
        <rFont val="Times New Roman"/>
        <charset val="134"/>
      </rPr>
      <t>80-120%</t>
    </r>
    <r>
      <rPr>
        <sz val="12"/>
        <rFont val="宋体"/>
        <charset val="134"/>
      </rPr>
      <t>之间。</t>
    </r>
  </si>
  <si>
    <r>
      <rPr>
        <b/>
        <sz val="12"/>
        <rFont val="宋体"/>
        <charset val="134"/>
      </rPr>
      <t>剩余供试品和血浆的处置</t>
    </r>
  </si>
  <si>
    <r>
      <rPr>
        <sz val="12"/>
        <rFont val="宋体"/>
        <charset val="134"/>
      </rPr>
      <t>剩余的样品将在试验结束后一个月进行处置。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</si>
</sst>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  <numFmt numFmtId="180" formatCode="0.0"/>
    <numFmt numFmtId="181" formatCode="0.000"/>
  </numFmts>
  <fonts count="66">
    <font>
      <sz val="11"/>
      <color theme="1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name val="宋体"/>
      <charset val="134"/>
      <scheme val="minor"/>
    </font>
    <font>
      <b/>
      <sz val="11"/>
      <name val="Times New Roman"/>
      <charset val="134"/>
    </font>
    <font>
      <sz val="11"/>
      <name val="宋体"/>
      <charset val="134"/>
    </font>
    <font>
      <sz val="11"/>
      <color rgb="FF000000"/>
      <name val="Times New Roman"/>
      <charset val="134"/>
    </font>
    <font>
      <sz val="12"/>
      <name val="宋体"/>
      <charset val="134"/>
    </font>
    <font>
      <b/>
      <sz val="12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Calibri"/>
      <charset val="134"/>
    </font>
    <font>
      <sz val="12"/>
      <color indexed="9"/>
      <name val="Calibri"/>
      <charset val="134"/>
    </font>
    <font>
      <sz val="12"/>
      <color indexed="14"/>
      <name val="Calibri"/>
      <charset val="134"/>
    </font>
    <font>
      <b/>
      <sz val="12"/>
      <color indexed="52"/>
      <name val="Calibri"/>
      <charset val="134"/>
    </font>
    <font>
      <b/>
      <sz val="12"/>
      <color indexed="9"/>
      <name val="Calibri"/>
      <charset val="134"/>
    </font>
    <font>
      <i/>
      <sz val="12"/>
      <color indexed="23"/>
      <name val="Calibri"/>
      <charset val="134"/>
    </font>
    <font>
      <sz val="12"/>
      <color indexed="17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sz val="12"/>
      <color indexed="62"/>
      <name val="Calibri"/>
      <charset val="134"/>
    </font>
    <font>
      <sz val="12"/>
      <color indexed="52"/>
      <name val="Calibri"/>
      <charset val="134"/>
    </font>
    <font>
      <sz val="12"/>
      <color indexed="60"/>
      <name val="Calibri"/>
      <charset val="134"/>
    </font>
    <font>
      <sz val="10"/>
      <color indexed="0"/>
      <name val="Arial"/>
      <charset val="134"/>
    </font>
    <font>
      <sz val="10"/>
      <name val="Arial"/>
      <charset val="134"/>
    </font>
    <font>
      <b/>
      <sz val="12"/>
      <color indexed="63"/>
      <name val="Calibri"/>
      <charset val="134"/>
    </font>
    <font>
      <b/>
      <sz val="18"/>
      <color indexed="62"/>
      <name val="Cambria"/>
      <charset val="134"/>
    </font>
    <font>
      <b/>
      <sz val="12"/>
      <color indexed="8"/>
      <name val="Calibri"/>
      <charset val="134"/>
    </font>
    <font>
      <sz val="12"/>
      <color indexed="10"/>
      <name val="Calibri"/>
      <charset val="134"/>
    </font>
    <font>
      <sz val="10"/>
      <name val="Tahoma"/>
      <charset val="134"/>
    </font>
    <font>
      <sz val="10"/>
      <name val="MS Sans Serif"/>
      <charset val="134"/>
    </font>
    <font>
      <sz val="10"/>
      <color indexed="8"/>
      <name val="Arial"/>
      <charset val="134"/>
    </font>
    <font>
      <vertAlign val="subscript"/>
      <sz val="11"/>
      <color rgb="FF000000"/>
      <name val="Times New Roman"/>
      <charset val="134"/>
    </font>
    <font>
      <b/>
      <sz val="12"/>
      <name val="宋体"/>
      <charset val="134"/>
    </font>
    <font>
      <b/>
      <sz val="11"/>
      <color rgb="FF000000"/>
      <name val="宋体"/>
      <charset val="134"/>
    </font>
    <font>
      <vertAlign val="subscript"/>
      <sz val="11"/>
      <color theme="1"/>
      <name val="Times New Roman"/>
      <charset val="134"/>
    </font>
    <font>
      <b/>
      <sz val="11"/>
      <color theme="1"/>
      <name val="宋体"/>
      <charset val="134"/>
    </font>
    <font>
      <vertAlign val="superscript"/>
      <sz val="11"/>
      <color indexed="8"/>
      <name val="Times New Roman"/>
      <charset val="134"/>
    </font>
    <font>
      <b/>
      <sz val="11"/>
      <name val="宋体"/>
      <charset val="134"/>
    </font>
    <font>
      <vertAlign val="subscript"/>
      <sz val="11"/>
      <color rgb="FF000000"/>
      <name val="宋体"/>
      <charset val="134"/>
    </font>
    <font>
      <vertAlign val="superscript"/>
      <sz val="12"/>
      <name val="Times New Roman"/>
      <charset val="134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2" fillId="0" borderId="46" applyNumberFormat="0" applyFill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8" applyNumberFormat="0" applyAlignment="0" applyProtection="0">
      <alignment vertical="center"/>
    </xf>
    <xf numFmtId="0" fontId="25" fillId="7" borderId="49" applyNumberFormat="0" applyAlignment="0" applyProtection="0">
      <alignment vertical="center"/>
    </xf>
    <xf numFmtId="0" fontId="26" fillId="7" borderId="48" applyNumberFormat="0" applyAlignment="0" applyProtection="0">
      <alignment vertical="center"/>
    </xf>
    <xf numFmtId="0" fontId="27" fillId="8" borderId="50" applyNumberFormat="0" applyAlignment="0" applyProtection="0">
      <alignment vertical="center"/>
    </xf>
    <xf numFmtId="0" fontId="28" fillId="0" borderId="51" applyNumberFormat="0" applyFill="0" applyAlignment="0" applyProtection="0">
      <alignment vertical="center"/>
    </xf>
    <xf numFmtId="0" fontId="29" fillId="0" borderId="5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6" borderId="0" applyNumberFormat="0" applyBorder="0" applyAlignment="0" applyProtection="0"/>
    <xf numFmtId="0" fontId="0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" borderId="0" applyNumberFormat="0" applyBorder="0" applyAlignment="0" applyProtection="0"/>
    <xf numFmtId="0" fontId="0" fillId="39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36" borderId="0" applyNumberFormat="0" applyBorder="0" applyAlignment="0" applyProtection="0"/>
    <xf numFmtId="0" fontId="0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8" fillId="3" borderId="53" applyNumberFormat="0" applyAlignment="0" applyProtection="0"/>
    <xf numFmtId="0" fontId="38" fillId="3" borderId="53" applyNumberFormat="0" applyAlignment="0" applyProtection="0"/>
    <xf numFmtId="0" fontId="39" fillId="50" borderId="54" applyNumberFormat="0" applyAlignment="0" applyProtection="0"/>
    <xf numFmtId="0" fontId="39" fillId="50" borderId="54" applyNumberFormat="0" applyAlignment="0" applyProtection="0"/>
    <xf numFmtId="0" fontId="40" fillId="0" borderId="0" applyNumberFormat="0" applyFill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0" borderId="55" applyNumberFormat="0" applyFill="0" applyAlignment="0" applyProtection="0"/>
    <xf numFmtId="0" fontId="43" fillId="0" borderId="56" applyNumberFormat="0" applyFill="0" applyAlignment="0" applyProtection="0"/>
    <xf numFmtId="0" fontId="44" fillId="0" borderId="57" applyNumberFormat="0" applyFill="0" applyAlignment="0" applyProtection="0"/>
    <xf numFmtId="0" fontId="44" fillId="0" borderId="0" applyNumberFormat="0" applyFill="0" applyBorder="0" applyAlignment="0" applyProtection="0"/>
    <xf numFmtId="0" fontId="45" fillId="36" borderId="53" applyNumberFormat="0" applyAlignment="0" applyProtection="0"/>
    <xf numFmtId="0" fontId="45" fillId="36" borderId="53" applyNumberFormat="0" applyAlignment="0" applyProtection="0"/>
    <xf numFmtId="0" fontId="46" fillId="0" borderId="58" applyNumberFormat="0" applyFill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13" fillId="38" borderId="59" applyNumberFormat="0" applyFont="0" applyAlignment="0" applyProtection="0"/>
    <xf numFmtId="0" fontId="0" fillId="5" borderId="45" applyNumberFormat="0" applyFont="0" applyAlignment="0" applyProtection="0"/>
    <xf numFmtId="0" fontId="0" fillId="5" borderId="45" applyNumberFormat="0" applyFont="0" applyAlignment="0" applyProtection="0"/>
    <xf numFmtId="0" fontId="0" fillId="5" borderId="45" applyNumberFormat="0" applyFont="0" applyAlignment="0" applyProtection="0"/>
    <xf numFmtId="0" fontId="13" fillId="38" borderId="59" applyNumberFormat="0" applyFont="0" applyAlignment="0" applyProtection="0"/>
    <xf numFmtId="0" fontId="50" fillId="3" borderId="60" applyNumberFormat="0" applyAlignment="0" applyProtection="0"/>
    <xf numFmtId="0" fontId="50" fillId="3" borderId="60" applyNumberFormat="0" applyAlignment="0" applyProtection="0"/>
    <xf numFmtId="0" fontId="51" fillId="0" borderId="0" applyNumberFormat="0" applyFill="0" applyBorder="0" applyAlignment="0" applyProtection="0"/>
    <xf numFmtId="0" fontId="52" fillId="0" borderId="61" applyNumberFormat="0" applyFill="0" applyAlignment="0" applyProtection="0"/>
    <xf numFmtId="0" fontId="52" fillId="0" borderId="61" applyNumberFormat="0" applyFill="0" applyAlignment="0" applyProtection="0"/>
    <xf numFmtId="0" fontId="53" fillId="0" borderId="0" applyNumberFormat="0" applyFill="0" applyBorder="0" applyAlignment="0" applyProtection="0"/>
    <xf numFmtId="0" fontId="0" fillId="0" borderId="0"/>
    <xf numFmtId="0" fontId="54" fillId="0" borderId="0"/>
    <xf numFmtId="0" fontId="0" fillId="0" borderId="0">
      <alignment vertical="center"/>
    </xf>
    <xf numFmtId="0" fontId="13" fillId="0" borderId="0">
      <alignment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>
      <alignment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3" fillId="0" borderId="0">
      <alignment vertical="top"/>
    </xf>
    <xf numFmtId="0" fontId="55" fillId="0" borderId="0">
      <alignment vertical="top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6" fillId="0" borderId="0">
      <alignment vertical="top"/>
    </xf>
    <xf numFmtId="0" fontId="56" fillId="0" borderId="0">
      <alignment vertical="top"/>
    </xf>
    <xf numFmtId="0" fontId="49" fillId="0" borderId="0">
      <alignment vertical="top"/>
    </xf>
    <xf numFmtId="0" fontId="49" fillId="0" borderId="0">
      <alignment vertical="top"/>
    </xf>
    <xf numFmtId="0" fontId="56" fillId="0" borderId="0">
      <alignment vertical="top"/>
    </xf>
  </cellStyleXfs>
  <cellXfs count="2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/>
    <xf numFmtId="0" fontId="2" fillId="2" borderId="0" xfId="0" applyFont="1" applyFill="1" applyBorder="1" applyAlignment="1">
      <alignment vertical="center"/>
    </xf>
    <xf numFmtId="0" fontId="1" fillId="0" borderId="0" xfId="142" applyFont="1" applyFill="1" applyBorder="1" applyAlignment="1">
      <alignment horizontal="left" vertical="top" wrapText="1"/>
    </xf>
    <xf numFmtId="0" fontId="1" fillId="2" borderId="0" xfId="142" applyFont="1" applyFill="1" applyBorder="1" applyAlignment="1">
      <alignment horizontal="left" vertical="center" wrapText="1"/>
    </xf>
    <xf numFmtId="0" fontId="2" fillId="2" borderId="0" xfId="0" applyFont="1" applyFill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139" applyNumberFormat="1" applyFont="1" applyFill="1" applyBorder="1" applyAlignment="1" applyProtection="1">
      <alignment horizontal="center" vertical="center"/>
      <protection locked="0"/>
    </xf>
    <xf numFmtId="10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5" xfId="0" applyFont="1" applyFill="1" applyBorder="1"/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153" applyFont="1" applyFill="1"/>
    <xf numFmtId="0" fontId="1" fillId="2" borderId="0" xfId="153" applyFont="1" applyFill="1"/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7" fillId="3" borderId="0" xfId="0" applyFont="1" applyFill="1" applyAlignment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7" fillId="0" borderId="0" xfId="0" applyFont="1" applyFill="1" applyAlignment="1"/>
    <xf numFmtId="0" fontId="7" fillId="3" borderId="0" xfId="0" applyFont="1" applyFill="1" applyBorder="1" applyAlignment="1"/>
    <xf numFmtId="0" fontId="8" fillId="3" borderId="0" xfId="0" applyFont="1" applyFill="1" applyBorder="1" applyAlignment="1">
      <alignment vertical="center" wrapText="1"/>
    </xf>
    <xf numFmtId="0" fontId="7" fillId="0" borderId="0" xfId="0" applyFont="1" applyFill="1" applyBorder="1" applyAlignment="1"/>
    <xf numFmtId="0" fontId="8" fillId="3" borderId="0" xfId="0" applyFont="1" applyFill="1" applyBorder="1" applyAlignment="1"/>
    <xf numFmtId="0" fontId="7" fillId="2" borderId="0" xfId="0" applyFont="1" applyFill="1" applyAlignment="1"/>
    <xf numFmtId="0" fontId="5" fillId="0" borderId="0" xfId="0" applyFont="1"/>
    <xf numFmtId="0" fontId="7" fillId="3" borderId="0" xfId="0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8" fillId="3" borderId="0" xfId="0" applyFont="1" applyFill="1" applyAlignment="1"/>
    <xf numFmtId="0" fontId="7" fillId="0" borderId="0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top" wrapText="1"/>
    </xf>
    <xf numFmtId="0" fontId="6" fillId="0" borderId="0" xfId="155" applyFont="1" applyFill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3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5" fillId="0" borderId="0" xfId="0" applyFont="1" applyFill="1" applyAlignment="1">
      <alignment vertical="center"/>
    </xf>
    <xf numFmtId="11" fontId="5" fillId="0" borderId="0" xfId="0" applyNumberFormat="1" applyFont="1" applyFill="1" applyAlignment="1">
      <alignment vertical="center"/>
    </xf>
    <xf numFmtId="0" fontId="5" fillId="0" borderId="0" xfId="0" applyFont="1" applyFill="1"/>
    <xf numFmtId="0" fontId="3" fillId="0" borderId="0" xfId="0" applyFont="1" applyFill="1"/>
    <xf numFmtId="0" fontId="6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" fontId="6" fillId="0" borderId="20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2" fontId="6" fillId="0" borderId="22" xfId="0" applyNumberFormat="1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1" fontId="6" fillId="0" borderId="23" xfId="0" applyNumberFormat="1" applyFont="1" applyFill="1" applyBorder="1" applyAlignment="1">
      <alignment horizontal="center" vertical="center"/>
    </xf>
    <xf numFmtId="0" fontId="5" fillId="0" borderId="0" xfId="153" applyFont="1" applyAlignment="1">
      <alignment vertical="center"/>
    </xf>
    <xf numFmtId="0" fontId="5" fillId="0" borderId="0" xfId="153" applyFont="1"/>
    <xf numFmtId="0" fontId="10" fillId="0" borderId="24" xfId="157" applyFont="1" applyBorder="1" applyAlignment="1">
      <alignment horizontal="center" vertical="center"/>
    </xf>
    <xf numFmtId="0" fontId="10" fillId="0" borderId="25" xfId="157" applyFont="1" applyBorder="1" applyAlignment="1">
      <alignment horizontal="center" vertical="center"/>
    </xf>
    <xf numFmtId="0" fontId="10" fillId="0" borderId="26" xfId="157" applyFont="1" applyBorder="1" applyAlignment="1">
      <alignment horizontal="center" vertical="center"/>
    </xf>
    <xf numFmtId="0" fontId="3" fillId="0" borderId="27" xfId="157" applyFont="1" applyBorder="1" applyAlignment="1">
      <alignment horizontal="center" vertical="center"/>
    </xf>
    <xf numFmtId="0" fontId="3" fillId="0" borderId="3" xfId="157" applyFont="1" applyBorder="1" applyAlignment="1">
      <alignment horizontal="center" vertical="center"/>
    </xf>
    <xf numFmtId="0" fontId="3" fillId="0" borderId="28" xfId="157" applyFont="1" applyBorder="1" applyAlignment="1">
      <alignment horizontal="center" vertical="center"/>
    </xf>
    <xf numFmtId="176" fontId="3" fillId="0" borderId="19" xfId="120" applyNumberFormat="1" applyFont="1" applyBorder="1" applyAlignment="1">
      <alignment horizontal="center" vertical="center"/>
    </xf>
    <xf numFmtId="176" fontId="3" fillId="0" borderId="13" xfId="120" applyNumberFormat="1" applyFont="1" applyBorder="1" applyAlignment="1">
      <alignment horizontal="center" vertical="center"/>
    </xf>
    <xf numFmtId="176" fontId="3" fillId="0" borderId="1" xfId="120" applyNumberFormat="1" applyFont="1" applyBorder="1" applyAlignment="1">
      <alignment horizontal="center" vertical="center"/>
    </xf>
    <xf numFmtId="176" fontId="3" fillId="0" borderId="7" xfId="120" applyNumberFormat="1" applyFont="1" applyBorder="1" applyAlignment="1">
      <alignment horizontal="center" vertical="center"/>
    </xf>
    <xf numFmtId="176" fontId="3" fillId="0" borderId="3" xfId="120" applyNumberFormat="1" applyFont="1" applyBorder="1" applyAlignment="1">
      <alignment horizontal="center" vertical="center"/>
    </xf>
    <xf numFmtId="176" fontId="3" fillId="0" borderId="28" xfId="120" applyNumberFormat="1" applyFont="1" applyBorder="1" applyAlignment="1">
      <alignment horizontal="center" vertical="center"/>
    </xf>
    <xf numFmtId="0" fontId="3" fillId="0" borderId="27" xfId="120" applyFont="1" applyBorder="1" applyAlignment="1">
      <alignment horizontal="center" vertical="center"/>
    </xf>
    <xf numFmtId="0" fontId="3" fillId="0" borderId="3" xfId="120" applyFont="1" applyBorder="1" applyAlignment="1">
      <alignment horizontal="center" vertical="center"/>
    </xf>
    <xf numFmtId="0" fontId="3" fillId="0" borderId="4" xfId="120" applyFont="1" applyBorder="1" applyAlignment="1">
      <alignment horizontal="center" vertical="center"/>
    </xf>
    <xf numFmtId="0" fontId="3" fillId="0" borderId="2" xfId="120" applyFont="1" applyBorder="1" applyAlignment="1">
      <alignment horizontal="center" vertical="center"/>
    </xf>
    <xf numFmtId="0" fontId="5" fillId="0" borderId="3" xfId="120" applyFont="1" applyBorder="1" applyAlignment="1">
      <alignment horizontal="center" vertical="center"/>
    </xf>
    <xf numFmtId="0" fontId="3" fillId="0" borderId="3" xfId="120" applyFont="1" applyBorder="1" applyAlignment="1">
      <alignment horizontal="center"/>
    </xf>
    <xf numFmtId="0" fontId="3" fillId="0" borderId="4" xfId="120" applyFont="1" applyBorder="1" applyAlignment="1">
      <alignment horizontal="center"/>
    </xf>
    <xf numFmtId="0" fontId="3" fillId="0" borderId="28" xfId="120" applyFont="1" applyBorder="1" applyAlignment="1">
      <alignment horizontal="center" vertical="center"/>
    </xf>
    <xf numFmtId="177" fontId="5" fillId="0" borderId="29" xfId="159" applyNumberFormat="1" applyFont="1" applyBorder="1" applyAlignment="1">
      <alignment horizontal="center" vertical="center"/>
    </xf>
    <xf numFmtId="177" fontId="5" fillId="0" borderId="0" xfId="121" applyNumberFormat="1" applyFont="1" applyBorder="1" applyAlignment="1">
      <alignment horizontal="center" vertical="center"/>
    </xf>
    <xf numFmtId="177" fontId="6" fillId="0" borderId="0" xfId="121" applyNumberFormat="1" applyFont="1" applyBorder="1" applyAlignment="1">
      <alignment horizontal="center" vertical="center"/>
    </xf>
    <xf numFmtId="177" fontId="3" fillId="0" borderId="7" xfId="120" applyNumberFormat="1" applyFont="1" applyBorder="1" applyAlignment="1">
      <alignment horizontal="center" vertical="center"/>
    </xf>
    <xf numFmtId="1" fontId="3" fillId="0" borderId="7" xfId="120" applyNumberFormat="1" applyFont="1" applyBorder="1" applyAlignment="1">
      <alignment horizontal="center" vertical="center"/>
    </xf>
    <xf numFmtId="177" fontId="3" fillId="0" borderId="7" xfId="119" applyNumberFormat="1" applyFont="1" applyBorder="1" applyAlignment="1">
      <alignment horizontal="center" vertical="center" wrapText="1"/>
    </xf>
    <xf numFmtId="176" fontId="5" fillId="0" borderId="29" xfId="159" applyNumberFormat="1" applyFont="1" applyBorder="1" applyAlignment="1">
      <alignment horizontal="center" vertical="center"/>
    </xf>
    <xf numFmtId="177" fontId="3" fillId="0" borderId="30" xfId="119" applyNumberFormat="1" applyFont="1" applyBorder="1" applyAlignment="1">
      <alignment horizontal="center" vertical="center" wrapText="1"/>
    </xf>
    <xf numFmtId="177" fontId="3" fillId="0" borderId="0" xfId="120" applyNumberFormat="1" applyFont="1" applyBorder="1" applyAlignment="1">
      <alignment horizontal="center" vertical="center"/>
    </xf>
    <xf numFmtId="1" fontId="3" fillId="0" borderId="0" xfId="120" applyNumberFormat="1" applyFont="1" applyBorder="1" applyAlignment="1">
      <alignment horizontal="center" vertical="center"/>
    </xf>
    <xf numFmtId="177" fontId="3" fillId="0" borderId="0" xfId="119" applyNumberFormat="1" applyFont="1" applyBorder="1" applyAlignment="1">
      <alignment horizontal="center" vertical="center" wrapText="1"/>
    </xf>
    <xf numFmtId="177" fontId="3" fillId="0" borderId="31" xfId="119" applyNumberFormat="1" applyFont="1" applyBorder="1" applyAlignment="1">
      <alignment horizontal="center" vertical="center" wrapText="1"/>
    </xf>
    <xf numFmtId="176" fontId="5" fillId="0" borderId="29" xfId="157" applyNumberFormat="1" applyFont="1" applyBorder="1" applyAlignment="1">
      <alignment horizontal="center" vertical="center"/>
    </xf>
    <xf numFmtId="176" fontId="5" fillId="0" borderId="32" xfId="157" applyNumberFormat="1" applyFont="1" applyBorder="1" applyAlignment="1">
      <alignment horizontal="center" vertical="center"/>
    </xf>
    <xf numFmtId="177" fontId="5" fillId="0" borderId="33" xfId="121" applyNumberFormat="1" applyFont="1" applyBorder="1" applyAlignment="1">
      <alignment horizontal="center" vertical="center"/>
    </xf>
    <xf numFmtId="177" fontId="3" fillId="0" borderId="33" xfId="120" applyNumberFormat="1" applyFont="1" applyBorder="1" applyAlignment="1">
      <alignment horizontal="center" vertical="center"/>
    </xf>
    <xf numFmtId="1" fontId="3" fillId="0" borderId="33" xfId="120" applyNumberFormat="1" applyFont="1" applyBorder="1" applyAlignment="1">
      <alignment horizontal="center" vertical="center"/>
    </xf>
    <xf numFmtId="177" fontId="3" fillId="0" borderId="33" xfId="119" applyNumberFormat="1" applyFont="1" applyBorder="1" applyAlignment="1">
      <alignment horizontal="center" vertical="center" wrapText="1"/>
    </xf>
    <xf numFmtId="177" fontId="3" fillId="0" borderId="34" xfId="119" applyNumberFormat="1" applyFont="1" applyBorder="1" applyAlignment="1">
      <alignment horizontal="center" vertical="center" wrapText="1"/>
    </xf>
    <xf numFmtId="0" fontId="5" fillId="0" borderId="0" xfId="157" applyFont="1" applyAlignment="1">
      <alignment horizontal="left" vertical="center"/>
    </xf>
    <xf numFmtId="178" fontId="5" fillId="0" borderId="0" xfId="158" applyNumberFormat="1" applyFont="1" applyAlignment="1">
      <alignment horizontal="center" vertical="center"/>
    </xf>
    <xf numFmtId="0" fontId="5" fillId="0" borderId="0" xfId="157" applyFont="1" applyAlignment="1">
      <alignment horizontal="center" vertical="center"/>
    </xf>
    <xf numFmtId="0" fontId="5" fillId="0" borderId="0" xfId="120" applyFont="1" applyAlignment="1" applyProtection="1">
      <alignment horizontal="left" vertical="center"/>
      <protection locked="0"/>
    </xf>
    <xf numFmtId="177" fontId="3" fillId="0" borderId="0" xfId="120" applyNumberFormat="1" applyFont="1" applyAlignment="1">
      <alignment horizontal="center" vertical="center"/>
    </xf>
    <xf numFmtId="0" fontId="5" fillId="0" borderId="0" xfId="157" applyFont="1">
      <alignment vertical="top"/>
    </xf>
    <xf numFmtId="179" fontId="5" fillId="0" borderId="0" xfId="157" applyNumberFormat="1" applyFont="1" applyAlignment="1">
      <alignment horizontal="center" vertical="center"/>
    </xf>
    <xf numFmtId="176" fontId="3" fillId="0" borderId="0" xfId="120" applyNumberFormat="1" applyFont="1" applyAlignment="1">
      <alignment horizontal="center" vertical="center"/>
    </xf>
    <xf numFmtId="0" fontId="5" fillId="0" borderId="0" xfId="160" applyFont="1" applyAlignment="1">
      <alignment horizontal="left" vertical="center"/>
    </xf>
    <xf numFmtId="178" fontId="5" fillId="0" borderId="0" xfId="0" applyNumberFormat="1" applyFont="1" applyAlignment="1">
      <alignment horizontal="left" vertical="center"/>
    </xf>
    <xf numFmtId="0" fontId="5" fillId="0" borderId="0" xfId="156" applyFont="1" applyAlignment="1">
      <alignment horizontal="center" vertical="center"/>
    </xf>
    <xf numFmtId="0" fontId="5" fillId="0" borderId="0" xfId="120" applyFont="1" applyAlignment="1">
      <alignment vertical="center"/>
    </xf>
    <xf numFmtId="179" fontId="5" fillId="0" borderId="0" xfId="156" applyNumberFormat="1" applyFont="1" applyAlignment="1">
      <alignment horizontal="center" vertical="center"/>
    </xf>
    <xf numFmtId="178" fontId="5" fillId="0" borderId="0" xfId="156" applyNumberFormat="1" applyFont="1" applyAlignment="1">
      <alignment horizontal="center" vertical="center"/>
    </xf>
    <xf numFmtId="179" fontId="5" fillId="0" borderId="0" xfId="122" applyNumberFormat="1" applyFont="1" applyAlignment="1">
      <alignment horizontal="center" vertical="center"/>
    </xf>
    <xf numFmtId="178" fontId="3" fillId="0" borderId="0" xfId="120" applyNumberFormat="1" applyFont="1" applyAlignment="1">
      <alignment horizontal="center" vertical="center"/>
    </xf>
    <xf numFmtId="180" fontId="3" fillId="0" borderId="0" xfId="120" applyNumberFormat="1" applyFont="1" applyAlignment="1">
      <alignment horizontal="center" vertical="center"/>
    </xf>
    <xf numFmtId="179" fontId="3" fillId="0" borderId="0" xfId="120" applyNumberFormat="1" applyFont="1" applyAlignment="1">
      <alignment horizontal="center" vertical="center"/>
    </xf>
    <xf numFmtId="0" fontId="5" fillId="0" borderId="35" xfId="153" applyFont="1" applyBorder="1" applyAlignment="1">
      <alignment vertical="center"/>
    </xf>
    <xf numFmtId="0" fontId="5" fillId="0" borderId="36" xfId="153" applyFont="1" applyBorder="1" applyAlignment="1">
      <alignment vertical="center"/>
    </xf>
    <xf numFmtId="0" fontId="6" fillId="4" borderId="37" xfId="135" applyFont="1" applyFill="1" applyBorder="1"/>
    <xf numFmtId="0" fontId="6" fillId="0" borderId="37" xfId="135" applyFont="1" applyBorder="1"/>
    <xf numFmtId="0" fontId="5" fillId="4" borderId="36" xfId="153" applyFont="1" applyFill="1" applyBorder="1" applyAlignment="1">
      <alignment vertical="center"/>
    </xf>
    <xf numFmtId="0" fontId="5" fillId="4" borderId="38" xfId="153" applyFont="1" applyFill="1" applyBorder="1" applyAlignment="1">
      <alignment vertical="center"/>
    </xf>
    <xf numFmtId="0" fontId="4" fillId="0" borderId="29" xfId="153" applyFont="1" applyBorder="1" applyAlignment="1">
      <alignment horizontal="center" vertical="center"/>
    </xf>
    <xf numFmtId="0" fontId="4" fillId="4" borderId="0" xfId="153" applyFont="1" applyFill="1" applyAlignment="1">
      <alignment horizontal="center" vertical="center" wrapText="1"/>
    </xf>
    <xf numFmtId="0" fontId="4" fillId="0" borderId="0" xfId="153" applyFont="1" applyAlignment="1">
      <alignment horizontal="center" vertical="center"/>
    </xf>
    <xf numFmtId="0" fontId="12" fillId="4" borderId="0" xfId="153" applyFont="1" applyFill="1" applyAlignment="1">
      <alignment horizontal="center" vertical="center"/>
    </xf>
    <xf numFmtId="0" fontId="12" fillId="0" borderId="0" xfId="153" applyFont="1" applyAlignment="1">
      <alignment horizontal="center" vertical="center"/>
    </xf>
    <xf numFmtId="0" fontId="5" fillId="4" borderId="0" xfId="153" applyFont="1" applyFill="1" applyAlignment="1">
      <alignment horizontal="center" vertical="center"/>
    </xf>
    <xf numFmtId="0" fontId="5" fillId="0" borderId="0" xfId="153" applyFont="1" applyAlignment="1">
      <alignment horizontal="center" vertical="center"/>
    </xf>
    <xf numFmtId="0" fontId="5" fillId="4" borderId="31" xfId="153" applyFont="1" applyFill="1" applyBorder="1" applyAlignment="1">
      <alignment horizontal="center" vertical="center"/>
    </xf>
    <xf numFmtId="0" fontId="12" fillId="0" borderId="39" xfId="153" applyFont="1" applyBorder="1" applyAlignment="1">
      <alignment horizontal="center" vertical="center"/>
    </xf>
    <xf numFmtId="0" fontId="4" fillId="4" borderId="5" xfId="153" applyFont="1" applyFill="1" applyBorder="1" applyAlignment="1">
      <alignment horizontal="center" vertical="center" wrapText="1"/>
    </xf>
    <xf numFmtId="0" fontId="12" fillId="0" borderId="5" xfId="153" applyFont="1" applyBorder="1" applyAlignment="1">
      <alignment horizontal="center" vertical="center"/>
    </xf>
    <xf numFmtId="0" fontId="5" fillId="0" borderId="5" xfId="153" applyFont="1" applyBorder="1" applyAlignment="1">
      <alignment horizontal="center" vertical="center"/>
    </xf>
    <xf numFmtId="0" fontId="5" fillId="0" borderId="40" xfId="153" applyFont="1" applyBorder="1" applyAlignment="1">
      <alignment horizontal="center" vertical="center"/>
    </xf>
    <xf numFmtId="0" fontId="12" fillId="0" borderId="29" xfId="153" applyFont="1" applyBorder="1" applyAlignment="1">
      <alignment horizontal="center" vertical="center"/>
    </xf>
    <xf numFmtId="180" fontId="12" fillId="0" borderId="0" xfId="153" applyNumberFormat="1" applyFont="1" applyAlignment="1">
      <alignment horizontal="center" vertical="center"/>
    </xf>
    <xf numFmtId="2" fontId="5" fillId="0" borderId="0" xfId="153" applyNumberFormat="1" applyFont="1" applyAlignment="1">
      <alignment horizontal="center" vertical="center"/>
    </xf>
    <xf numFmtId="181" fontId="5" fillId="0" borderId="0" xfId="153" applyNumberFormat="1" applyFont="1" applyAlignment="1">
      <alignment horizontal="center" vertical="center"/>
    </xf>
    <xf numFmtId="2" fontId="5" fillId="0" borderId="31" xfId="153" applyNumberFormat="1" applyFont="1" applyBorder="1" applyAlignment="1">
      <alignment horizontal="center" vertical="center"/>
    </xf>
    <xf numFmtId="0" fontId="12" fillId="0" borderId="41" xfId="153" applyFont="1" applyBorder="1" applyAlignment="1">
      <alignment horizontal="center" vertical="center"/>
    </xf>
    <xf numFmtId="0" fontId="12" fillId="0" borderId="7" xfId="153" applyFont="1" applyBorder="1" applyAlignment="1">
      <alignment horizontal="center" vertical="center"/>
    </xf>
    <xf numFmtId="1" fontId="12" fillId="0" borderId="7" xfId="153" applyNumberFormat="1" applyFont="1" applyBorder="1" applyAlignment="1">
      <alignment horizontal="center" vertical="center"/>
    </xf>
    <xf numFmtId="1" fontId="12" fillId="0" borderId="30" xfId="153" applyNumberFormat="1" applyFont="1" applyBorder="1" applyAlignment="1">
      <alignment horizontal="center" vertical="center"/>
    </xf>
    <xf numFmtId="180" fontId="5" fillId="0" borderId="0" xfId="153" applyNumberFormat="1" applyFont="1" applyAlignment="1">
      <alignment horizontal="center" vertical="center"/>
    </xf>
    <xf numFmtId="2" fontId="5" fillId="4" borderId="0" xfId="153" applyNumberFormat="1" applyFont="1" applyFill="1" applyAlignment="1">
      <alignment horizontal="center" vertical="center"/>
    </xf>
    <xf numFmtId="2" fontId="5" fillId="4" borderId="31" xfId="153" applyNumberFormat="1" applyFont="1" applyFill="1" applyBorder="1" applyAlignment="1">
      <alignment horizontal="center" vertical="center"/>
    </xf>
    <xf numFmtId="0" fontId="4" fillId="0" borderId="32" xfId="153" applyFont="1" applyBorder="1" applyAlignment="1">
      <alignment horizontal="center" vertical="center"/>
    </xf>
    <xf numFmtId="0" fontId="4" fillId="0" borderId="33" xfId="153" applyFont="1" applyBorder="1" applyAlignment="1">
      <alignment horizontal="center" vertical="center"/>
    </xf>
    <xf numFmtId="180" fontId="5" fillId="0" borderId="33" xfId="153" applyNumberFormat="1" applyFont="1" applyBorder="1" applyAlignment="1">
      <alignment horizontal="center" vertical="center"/>
    </xf>
    <xf numFmtId="2" fontId="5" fillId="0" borderId="33" xfId="153" applyNumberFormat="1" applyFont="1" applyBorder="1" applyAlignment="1">
      <alignment horizontal="center" vertical="center"/>
    </xf>
    <xf numFmtId="2" fontId="5" fillId="0" borderId="34" xfId="153" applyNumberFormat="1" applyFont="1" applyBorder="1" applyAlignment="1">
      <alignment horizontal="center" vertical="center"/>
    </xf>
    <xf numFmtId="0" fontId="4" fillId="0" borderId="42" xfId="153" applyFont="1" applyBorder="1" applyAlignment="1">
      <alignment horizontal="center" vertical="center"/>
    </xf>
    <xf numFmtId="0" fontId="4" fillId="4" borderId="43" xfId="153" applyFont="1" applyFill="1" applyBorder="1" applyAlignment="1">
      <alignment horizontal="center" vertical="center" wrapText="1"/>
    </xf>
    <xf numFmtId="0" fontId="4" fillId="0" borderId="43" xfId="153" applyFont="1" applyBorder="1" applyAlignment="1">
      <alignment horizontal="center" vertical="center"/>
    </xf>
    <xf numFmtId="0" fontId="12" fillId="4" borderId="43" xfId="153" applyFont="1" applyFill="1" applyBorder="1" applyAlignment="1">
      <alignment horizontal="center" vertical="center"/>
    </xf>
    <xf numFmtId="0" fontId="12" fillId="0" borderId="43" xfId="153" applyFont="1" applyBorder="1" applyAlignment="1">
      <alignment horizontal="center" vertical="center"/>
    </xf>
    <xf numFmtId="0" fontId="12" fillId="0" borderId="44" xfId="153" applyFont="1" applyBorder="1" applyAlignment="1">
      <alignment horizontal="center" vertical="center"/>
    </xf>
    <xf numFmtId="0" fontId="5" fillId="4" borderId="5" xfId="153" applyFont="1" applyFill="1" applyBorder="1" applyAlignment="1">
      <alignment horizontal="center" vertical="center" wrapText="1"/>
    </xf>
    <xf numFmtId="0" fontId="12" fillId="0" borderId="40" xfId="153" applyFont="1" applyBorder="1" applyAlignment="1">
      <alignment horizontal="center" vertical="center"/>
    </xf>
    <xf numFmtId="0" fontId="12" fillId="4" borderId="0" xfId="153" applyFont="1" applyFill="1" applyBorder="1" applyAlignment="1">
      <alignment horizontal="center" vertical="center"/>
    </xf>
    <xf numFmtId="180" fontId="5" fillId="0" borderId="0" xfId="153" applyNumberFormat="1" applyFont="1" applyBorder="1" applyAlignment="1">
      <alignment horizontal="center" vertical="center"/>
    </xf>
    <xf numFmtId="2" fontId="5" fillId="0" borderId="0" xfId="153" applyNumberFormat="1" applyFont="1" applyBorder="1" applyAlignment="1">
      <alignment horizontal="center" vertical="center"/>
    </xf>
    <xf numFmtId="0" fontId="12" fillId="0" borderId="0" xfId="153" applyFont="1" applyBorder="1" applyAlignment="1">
      <alignment horizontal="center" vertical="center"/>
    </xf>
    <xf numFmtId="0" fontId="4" fillId="0" borderId="0" xfId="153" applyFont="1" applyBorder="1" applyAlignment="1">
      <alignment horizontal="center" vertical="center"/>
    </xf>
    <xf numFmtId="2" fontId="5" fillId="4" borderId="0" xfId="153" applyNumberFormat="1" applyFont="1" applyFill="1" applyBorder="1" applyAlignment="1">
      <alignment horizontal="center" vertical="center"/>
    </xf>
    <xf numFmtId="1" fontId="5" fillId="0" borderId="0" xfId="153" applyNumberFormat="1" applyFont="1" applyAlignment="1">
      <alignment horizontal="center" vertical="center"/>
    </xf>
    <xf numFmtId="0" fontId="1" fillId="0" borderId="0" xfId="142" applyFont="1">
      <alignment vertical="top"/>
    </xf>
    <xf numFmtId="0" fontId="1" fillId="0" borderId="0" xfId="142" applyFont="1" applyAlignment="1">
      <alignment vertical="center"/>
    </xf>
    <xf numFmtId="0" fontId="2" fillId="0" borderId="0" xfId="142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142" applyFont="1" applyAlignment="1">
      <alignment horizontal="left" vertical="center" wrapText="1"/>
    </xf>
    <xf numFmtId="0" fontId="1" fillId="0" borderId="0" xfId="142" applyFont="1" applyAlignment="1">
      <alignment horizontal="left" vertical="center" wrapText="1"/>
    </xf>
    <xf numFmtId="0" fontId="2" fillId="0" borderId="0" xfId="0" applyFont="1" applyAlignment="1">
      <alignment vertical="justify"/>
    </xf>
    <xf numFmtId="0" fontId="1" fillId="0" borderId="0" xfId="142" applyFont="1" applyAlignment="1">
      <alignment horizontal="left" vertical="top" wrapText="1"/>
    </xf>
    <xf numFmtId="0" fontId="2" fillId="2" borderId="0" xfId="0" applyFont="1" applyFill="1" applyAlignment="1">
      <alignment vertical="justify"/>
    </xf>
    <xf numFmtId="0" fontId="13" fillId="0" borderId="0" xfId="142" applyAlignment="1">
      <alignment horizontal="left" vertical="top" wrapText="1"/>
    </xf>
    <xf numFmtId="0" fontId="1" fillId="0" borderId="0" xfId="142" applyFont="1" applyAlignment="1">
      <alignment horizontal="left" vertical="top"/>
    </xf>
    <xf numFmtId="0" fontId="1" fillId="0" borderId="0" xfId="142" applyFont="1" applyFill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14" fillId="0" borderId="0" xfId="0" applyFont="1"/>
    <xf numFmtId="0" fontId="15" fillId="0" borderId="0" xfId="0" applyFont="1"/>
    <xf numFmtId="0" fontId="1" fillId="0" borderId="0" xfId="0" applyFont="1" applyAlignment="1">
      <alignment horizontal="left" vertical="top" wrapText="1"/>
    </xf>
  </cellXfs>
  <cellStyles count="1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2" xfId="51"/>
    <cellStyle name="20% - Accent2 2" xfId="52"/>
    <cellStyle name="20% - Accent2 3" xfId="53"/>
    <cellStyle name="20% - Accent3" xfId="54"/>
    <cellStyle name="20% - Accent3 2" xfId="55"/>
    <cellStyle name="20% - Accent4" xfId="56"/>
    <cellStyle name="20% - Accent4 2" xfId="57"/>
    <cellStyle name="20% - Accent4 3" xfId="58"/>
    <cellStyle name="20% - Accent5" xfId="59"/>
    <cellStyle name="20% - Accent5 2" xfId="60"/>
    <cellStyle name="20% - Accent6" xfId="61"/>
    <cellStyle name="20% - Accent6 2" xfId="62"/>
    <cellStyle name="40% - Accent1" xfId="63"/>
    <cellStyle name="40% - Accent1 2" xfId="64"/>
    <cellStyle name="40% - Accent2" xfId="65"/>
    <cellStyle name="40% - Accent2 2" xfId="66"/>
    <cellStyle name="40% - Accent3" xfId="67"/>
    <cellStyle name="40% - Accent3 2" xfId="68"/>
    <cellStyle name="40% - Accent4" xfId="69"/>
    <cellStyle name="40% - Accent4 2" xfId="70"/>
    <cellStyle name="40% - Accent5" xfId="71"/>
    <cellStyle name="40% - Accent5 2" xfId="72"/>
    <cellStyle name="40% - Accent6" xfId="73"/>
    <cellStyle name="40% - Accent6 2" xfId="74"/>
    <cellStyle name="40% - Accent6 3" xfId="75"/>
    <cellStyle name="60% - Accent1" xfId="76"/>
    <cellStyle name="60% - Accent1 2" xfId="77"/>
    <cellStyle name="60% - Accent2" xfId="78"/>
    <cellStyle name="60% - Accent2 2" xfId="79"/>
    <cellStyle name="60% - Accent3" xfId="80"/>
    <cellStyle name="60% - Accent3 2" xfId="81"/>
    <cellStyle name="60% - Accent4" xfId="82"/>
    <cellStyle name="60% - Accent4 2" xfId="83"/>
    <cellStyle name="60% - Accent5" xfId="84"/>
    <cellStyle name="60% - Accent5 2" xfId="85"/>
    <cellStyle name="60% - Accent6" xfId="86"/>
    <cellStyle name="60% - Accent6 2" xfId="87"/>
    <cellStyle name="Accent1" xfId="88"/>
    <cellStyle name="Accent1 2" xfId="89"/>
    <cellStyle name="Accent2" xfId="90"/>
    <cellStyle name="Accent2 2" xfId="91"/>
    <cellStyle name="Accent3" xfId="92"/>
    <cellStyle name="Accent3 2" xfId="93"/>
    <cellStyle name="Accent4" xfId="94"/>
    <cellStyle name="Accent4 2" xfId="95"/>
    <cellStyle name="Accent5" xfId="96"/>
    <cellStyle name="Accent5 2" xfId="97"/>
    <cellStyle name="Accent6" xfId="98"/>
    <cellStyle name="Accent6 2" xfId="99"/>
    <cellStyle name="Bad" xfId="100"/>
    <cellStyle name="Bad 2" xfId="101"/>
    <cellStyle name="Calculation" xfId="102"/>
    <cellStyle name="Calculation 2" xfId="103"/>
    <cellStyle name="Check Cell" xfId="104"/>
    <cellStyle name="Check Cell 2" xfId="105"/>
    <cellStyle name="Explanatory Text" xfId="106"/>
    <cellStyle name="Good" xfId="107"/>
    <cellStyle name="Good 2" xfId="108"/>
    <cellStyle name="Heading 1" xfId="109"/>
    <cellStyle name="Heading 2" xfId="110"/>
    <cellStyle name="Heading 3" xfId="111"/>
    <cellStyle name="Heading 4" xfId="112"/>
    <cellStyle name="Input" xfId="113"/>
    <cellStyle name="Input 2" xfId="114"/>
    <cellStyle name="Linked Cell" xfId="115"/>
    <cellStyle name="Neutral" xfId="116"/>
    <cellStyle name="Neutral 2" xfId="117"/>
    <cellStyle name="Normal 2" xfId="118"/>
    <cellStyle name="Normal 2_Report_AZ13622414_AZ13628159_AZ13629800_Cassette_3_in_1_AZ-W-2012066-MPK04_20120608" xfId="119"/>
    <cellStyle name="Normal_request in life week 52" xfId="120"/>
    <cellStyle name="Normal_result of 2932866-IV-20090817" xfId="121"/>
    <cellStyle name="Normal_result of 2932866-PO-20090819" xfId="122"/>
    <cellStyle name="Note" xfId="123"/>
    <cellStyle name="Note 2" xfId="124"/>
    <cellStyle name="Note 2 2" xfId="125"/>
    <cellStyle name="Note 2 3" xfId="126"/>
    <cellStyle name="Note 3" xfId="127"/>
    <cellStyle name="Output" xfId="128"/>
    <cellStyle name="Output 2" xfId="129"/>
    <cellStyle name="Title" xfId="130"/>
    <cellStyle name="Total" xfId="131"/>
    <cellStyle name="Total 2" xfId="132"/>
    <cellStyle name="Warning Text" xfId="133"/>
    <cellStyle name="常规 10" xfId="134"/>
    <cellStyle name="常规 2" xfId="135"/>
    <cellStyle name="常规 2 12" xfId="136"/>
    <cellStyle name="常规 2 2" xfId="137"/>
    <cellStyle name="常规 2 2 10" xfId="138"/>
    <cellStyle name="常规 2 2 2" xfId="139"/>
    <cellStyle name="常规 2 2 9" xfId="140"/>
    <cellStyle name="常规 3" xfId="141"/>
    <cellStyle name="常规 3 2" xfId="142"/>
    <cellStyle name="常规 3 3" xfId="143"/>
    <cellStyle name="常规 3 3 2" xfId="144"/>
    <cellStyle name="常规 3 4" xfId="145"/>
    <cellStyle name="常规 3 5" xfId="146"/>
    <cellStyle name="常规 4" xfId="147"/>
    <cellStyle name="常规 4 2" xfId="148"/>
    <cellStyle name="常规 4 3" xfId="149"/>
    <cellStyle name="常规 5" xfId="150"/>
    <cellStyle name="常规 6" xfId="151"/>
    <cellStyle name="常规 62" xfId="152"/>
    <cellStyle name="常规 7" xfId="153"/>
    <cellStyle name="常规 7 2" xfId="154"/>
    <cellStyle name="常规 8" xfId="155"/>
    <cellStyle name="常规_20120330-1395170 41_AB-20120307-RPK01_20120312_Report_A-1428341_2_AB-20120608-RPK01_20120614" xfId="156"/>
    <cellStyle name="常规_Report_AF34686 2_LDBK-20111214-RPK02_20111222" xfId="157"/>
    <cellStyle name="常规_Report_FRAX000486.01_20091229.xls" xfId="158"/>
    <cellStyle name="常规_result of 01Q675_20100407 (2)" xfId="159"/>
    <cellStyle name="常规_Template" xfId="160"/>
  </cellStyles>
  <dxfs count="4">
    <dxf>
      <fill>
        <patternFill patternType="none"/>
      </fill>
    </dxf>
    <dxf>
      <fill>
        <patternFill patternType="solid">
          <bgColor indexed="45"/>
        </patternFill>
      </fill>
    </dxf>
    <dxf>
      <font>
        <color indexed="8"/>
      </font>
      <fill>
        <patternFill patternType="solid">
          <bgColor indexed="13"/>
        </patternFill>
      </fill>
    </dxf>
    <dxf>
      <fill>
        <patternFill patternType="solid">
          <bgColor indexed="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79000538288"/>
          <c:y val="0.137078786204356"/>
          <c:w val="0.739751733357937"/>
          <c:h val="0.7155243330432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'Data summary'!$B$6</c:f>
              <c:strCache>
                <c:ptCount val="1"/>
                <c:pt idx="0">
                  <c:v>Plasma-101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summary'!$B$7:$B$14</c:f>
              <c:numCache>
                <c:formatCode>0.000_ </c:formatCode>
                <c:ptCount val="8"/>
                <c:pt idx="0">
                  <c:v>1748.99</c:v>
                </c:pt>
                <c:pt idx="1">
                  <c:v>1525.98</c:v>
                </c:pt>
                <c:pt idx="2">
                  <c:v>1384.1</c:v>
                </c:pt>
                <c:pt idx="3">
                  <c:v>620.013</c:v>
                </c:pt>
                <c:pt idx="4">
                  <c:v>309.647</c:v>
                </c:pt>
                <c:pt idx="5">
                  <c:v>70.7415</c:v>
                </c:pt>
                <c:pt idx="6">
                  <c:v>10.926</c:v>
                </c:pt>
                <c:pt idx="7">
                  <c:v>1.6704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summary'!$C$6</c:f>
              <c:strCache>
                <c:ptCount val="1"/>
                <c:pt idx="0">
                  <c:v>Plasma-102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summary'!$C$7:$C$14</c:f>
              <c:numCache>
                <c:formatCode>0.000_ </c:formatCode>
                <c:ptCount val="8"/>
                <c:pt idx="0">
                  <c:v>1703.53</c:v>
                </c:pt>
                <c:pt idx="1">
                  <c:v>1860.47</c:v>
                </c:pt>
                <c:pt idx="2">
                  <c:v>1282.78</c:v>
                </c:pt>
                <c:pt idx="3">
                  <c:v>750.902</c:v>
                </c:pt>
                <c:pt idx="4">
                  <c:v>382.316</c:v>
                </c:pt>
                <c:pt idx="5">
                  <c:v>81.9746</c:v>
                </c:pt>
                <c:pt idx="6">
                  <c:v>13.2243</c:v>
                </c:pt>
                <c:pt idx="7">
                  <c:v>1.82865</c:v>
                </c:pt>
              </c:numCache>
            </c:numRef>
          </c:yVal>
          <c:smooth val="0"/>
        </c:ser>
        <c:ser>
          <c:idx val="0"/>
          <c:order val="2"/>
          <c:tx>
            <c:strRef>
              <c:f>'Data summary'!$D$6</c:f>
              <c:strCache>
                <c:ptCount val="1"/>
                <c:pt idx="0">
                  <c:v>Plasma-103</c:v>
                </c:pt>
              </c:strCache>
            </c:strRef>
          </c:tx>
          <c:dLbls>
            <c:delete val="1"/>
          </c:dLbls>
          <c:xVal>
            <c:numRef>
              <c:f>'Data summary'!$A$7:$A$14</c:f>
              <c:numCache>
                <c:formatCode>0.000_ </c:formatCode>
                <c:ptCount val="8"/>
                <c:pt idx="0">
                  <c:v>0.083</c:v>
                </c:pt>
                <c:pt idx="1" c:formatCode="0.00_ ">
                  <c:v>0.25</c:v>
                </c:pt>
                <c:pt idx="2" c:formatCode="0.00_ ">
                  <c:v>0.5</c:v>
                </c:pt>
                <c:pt idx="3" c:formatCode="0.00_ ">
                  <c:v>1</c:v>
                </c:pt>
                <c:pt idx="4" c:formatCode="0.00_ ">
                  <c:v>2</c:v>
                </c:pt>
                <c:pt idx="5" c:formatCode="0.00_ ">
                  <c:v>4</c:v>
                </c:pt>
                <c:pt idx="6" c:formatCode="0.00_ ">
                  <c:v>8</c:v>
                </c:pt>
                <c:pt idx="7" c:formatCode="0.00_ ">
                  <c:v>24</c:v>
                </c:pt>
              </c:numCache>
            </c:numRef>
          </c:xVal>
          <c:yVal>
            <c:numRef>
              <c:f>'Data summary'!$D$7:$D$14</c:f>
              <c:numCache>
                <c:formatCode>0.000_ </c:formatCode>
                <c:ptCount val="8"/>
                <c:pt idx="0">
                  <c:v>1858.04</c:v>
                </c:pt>
                <c:pt idx="1">
                  <c:v>1789.76</c:v>
                </c:pt>
                <c:pt idx="2">
                  <c:v>1078.34</c:v>
                </c:pt>
                <c:pt idx="3">
                  <c:v>924.702</c:v>
                </c:pt>
                <c:pt idx="4">
                  <c:v>359.002</c:v>
                </c:pt>
                <c:pt idx="5">
                  <c:v>52.9267</c:v>
                </c:pt>
                <c:pt idx="6">
                  <c:v>7.98906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59504"/>
        <c:axId val="176348080"/>
      </c:scatterChart>
      <c:valAx>
        <c:axId val="176359504"/>
        <c:scaling>
          <c:orientation val="minMax"/>
          <c:max val="24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Time (h)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500892208679398"/>
              <c:y val="0.9383500791214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76348080"/>
        <c:crossesAt val="0.1"/>
        <c:crossBetween val="midCat"/>
        <c:majorUnit val="4"/>
      </c:valAx>
      <c:valAx>
        <c:axId val="176348080"/>
        <c:scaling>
          <c:logBase val="10"/>
          <c:orientation val="minMax"/>
          <c:min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Plasma concentration (ng/mL)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0458850537051019"/>
              <c:y val="0.1576658326739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76359504"/>
        <c:crosses val="autoZero"/>
        <c:crossBetween val="midCat"/>
      </c:valAx>
      <c:spPr>
        <a:ln w="25400">
          <a:noFill/>
        </a:ln>
      </c:spPr>
    </c:plotArea>
    <c:legend>
      <c:legendPos val="r"/>
      <c:layout>
        <c:manualLayout>
          <c:xMode val="edge"/>
          <c:yMode val="edge"/>
          <c:x val="0.839142089315086"/>
          <c:y val="0.0477740741100669"/>
          <c:w val="0.130147688601919"/>
          <c:h val="0.17031158278388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5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914067e6-c623-4ba8-95a9-ed076a0fd82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79000538288"/>
          <c:y val="0.137078786204356"/>
          <c:w val="0.739751733357937"/>
          <c:h val="0.7155243330432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'Data summary'!$J$6</c:f>
              <c:strCache>
                <c:ptCount val="1"/>
                <c:pt idx="0">
                  <c:v>Plasma-201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summary'!$J$7:$J$14</c:f>
              <c:numCache>
                <c:formatCode>0.000_ </c:formatCode>
                <c:ptCount val="8"/>
                <c:pt idx="0">
                  <c:v>38.9853</c:v>
                </c:pt>
                <c:pt idx="1">
                  <c:v>216.352</c:v>
                </c:pt>
                <c:pt idx="2">
                  <c:v>1450.49</c:v>
                </c:pt>
                <c:pt idx="3">
                  <c:v>2214.09</c:v>
                </c:pt>
                <c:pt idx="4">
                  <c:v>1808.13</c:v>
                </c:pt>
                <c:pt idx="5">
                  <c:v>660.37</c:v>
                </c:pt>
                <c:pt idx="6">
                  <c:v>276.694</c:v>
                </c:pt>
                <c:pt idx="7">
                  <c:v>16.4531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'Data summary'!$K$6</c:f>
              <c:strCache>
                <c:ptCount val="1"/>
                <c:pt idx="0">
                  <c:v>Plasma-202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summary'!$K$7:$K$14</c:f>
              <c:numCache>
                <c:formatCode>0.000_ </c:formatCode>
                <c:ptCount val="8"/>
                <c:pt idx="0">
                  <c:v>68.2102</c:v>
                </c:pt>
                <c:pt idx="1">
                  <c:v>611.186</c:v>
                </c:pt>
                <c:pt idx="2">
                  <c:v>2549.88</c:v>
                </c:pt>
                <c:pt idx="3">
                  <c:v>2517.04</c:v>
                </c:pt>
                <c:pt idx="4">
                  <c:v>2962.27</c:v>
                </c:pt>
                <c:pt idx="5">
                  <c:v>828.539</c:v>
                </c:pt>
                <c:pt idx="6">
                  <c:v>260.216</c:v>
                </c:pt>
                <c:pt idx="7">
                  <c:v>24.5254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'Data summary'!$L$6</c:f>
              <c:strCache>
                <c:ptCount val="1"/>
                <c:pt idx="0">
                  <c:v>Plasma-203</c:v>
                </c:pt>
              </c:strCache>
            </c:strRef>
          </c:tx>
          <c:dLbls>
            <c:delete val="1"/>
          </c:dLbls>
          <c:xVal>
            <c:numRef>
              <c:f>'Data summary'!$I$7:$I$14</c:f>
              <c:numCache>
                <c:formatCode>0.00_ 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</c:v>
                </c:pt>
              </c:numCache>
            </c:numRef>
          </c:xVal>
          <c:yVal>
            <c:numRef>
              <c:f>'Data summary'!$L$7:$L$14</c:f>
              <c:numCache>
                <c:formatCode>0.000_ </c:formatCode>
                <c:ptCount val="8"/>
                <c:pt idx="0">
                  <c:v>674.577</c:v>
                </c:pt>
                <c:pt idx="1">
                  <c:v>818.888</c:v>
                </c:pt>
                <c:pt idx="2">
                  <c:v>1200.87</c:v>
                </c:pt>
                <c:pt idx="3">
                  <c:v>956.774</c:v>
                </c:pt>
                <c:pt idx="4">
                  <c:v>1820.54</c:v>
                </c:pt>
                <c:pt idx="5">
                  <c:v>900.258</c:v>
                </c:pt>
                <c:pt idx="6">
                  <c:v>256.52</c:v>
                </c:pt>
                <c:pt idx="7">
                  <c:v>12.6325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50256"/>
        <c:axId val="176349168"/>
      </c:scatterChart>
      <c:valAx>
        <c:axId val="176350256"/>
        <c:scaling>
          <c:orientation val="minMax"/>
          <c:max val="24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Time (h)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500892208679398"/>
              <c:y val="0.9383500791214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76349168"/>
        <c:crossesAt val="0.1"/>
        <c:crossBetween val="midCat"/>
        <c:majorUnit val="4"/>
      </c:valAx>
      <c:valAx>
        <c:axId val="176349168"/>
        <c:scaling>
          <c:logBase val="10"/>
          <c:orientation val="minMax"/>
          <c:max val="100000"/>
          <c:min val="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925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 altLang="en-US"/>
                  <a:t>Plasma concentration (ng/mL)</a:t>
                </a:r>
                <a:endParaRPr lang="en-US" altLang="en-US"/>
              </a:p>
            </c:rich>
          </c:tx>
          <c:layout>
            <c:manualLayout>
              <c:xMode val="edge"/>
              <c:yMode val="edge"/>
              <c:x val="0.0212751858743911"/>
              <c:y val="0.21397585063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76350256"/>
        <c:crosses val="autoZero"/>
        <c:crossBetween val="midCat"/>
      </c:valAx>
      <c:spPr>
        <a:ln w="25400">
          <a:noFill/>
        </a:ln>
      </c:spPr>
    </c:plotArea>
    <c:legend>
      <c:legendPos val="r"/>
      <c:layout>
        <c:manualLayout>
          <c:xMode val="edge"/>
          <c:yMode val="edge"/>
          <c:x val="0.850549786544848"/>
          <c:y val="0.00334316188034877"/>
          <c:w val="0.147374301174132"/>
          <c:h val="0.2103132716532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5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dd4e1dd0-9835-461f-ba8c-b78365169db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0</xdr:colOff>
      <xdr:row>3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1380490" cy="661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154781</xdr:colOff>
      <xdr:row>44</xdr:row>
      <xdr:rowOff>476250</xdr:rowOff>
    </xdr:from>
    <xdr:to>
      <xdr:col>7</xdr:col>
      <xdr:colOff>127000</xdr:colOff>
      <xdr:row>60</xdr:row>
      <xdr:rowOff>47626</xdr:rowOff>
    </xdr:to>
    <xdr:graphicFrame>
      <xdr:nvGraphicFramePr>
        <xdr:cNvPr id="2" name="Chart 6"/>
        <xdr:cNvGraphicFramePr/>
      </xdr:nvGraphicFramePr>
      <xdr:xfrm>
        <a:off x="154305" y="8766810"/>
        <a:ext cx="5516880" cy="2860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44</xdr:row>
      <xdr:rowOff>416718</xdr:rowOff>
    </xdr:from>
    <xdr:to>
      <xdr:col>15</xdr:col>
      <xdr:colOff>666750</xdr:colOff>
      <xdr:row>59</xdr:row>
      <xdr:rowOff>178594</xdr:rowOff>
    </xdr:to>
    <xdr:graphicFrame>
      <xdr:nvGraphicFramePr>
        <xdr:cNvPr id="3" name="Chart 6"/>
        <xdr:cNvGraphicFramePr/>
      </xdr:nvGraphicFramePr>
      <xdr:xfrm>
        <a:off x="7087235" y="8707120"/>
        <a:ext cx="5717540" cy="2872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showGridLines="0" workbookViewId="0">
      <selection activeCell="B8" sqref="B8"/>
    </sheetView>
  </sheetViews>
  <sheetFormatPr defaultColWidth="0" defaultRowHeight="15.35" outlineLevelCol="3"/>
  <cols>
    <col min="1" max="1" width="19.3716814159292" style="235" customWidth="1"/>
    <col min="2" max="2" width="71.7522123893805" style="235" customWidth="1"/>
    <col min="3" max="8" width="0" style="236" hidden="1"/>
    <col min="9" max="256" width="9" style="236" hidden="1"/>
    <col min="257" max="257" width="33.2566371681416" style="236" customWidth="1"/>
    <col min="258" max="258" width="65" style="236" customWidth="1"/>
    <col min="259" max="512" width="9" style="236" hidden="1"/>
    <col min="513" max="513" width="33.2566371681416" style="236" customWidth="1"/>
    <col min="514" max="514" width="65" style="236" customWidth="1"/>
    <col min="515" max="768" width="9" style="236" hidden="1"/>
    <col min="769" max="769" width="33.2566371681416" style="236" customWidth="1"/>
    <col min="770" max="770" width="65" style="236" customWidth="1"/>
    <col min="771" max="1024" width="9" style="236" hidden="1"/>
    <col min="1025" max="1025" width="33.2566371681416" style="236" customWidth="1"/>
    <col min="1026" max="1026" width="65" style="236" customWidth="1"/>
    <col min="1027" max="1280" width="9" style="236" hidden="1"/>
    <col min="1281" max="1281" width="33.2566371681416" style="236" customWidth="1"/>
    <col min="1282" max="1282" width="65" style="236" customWidth="1"/>
    <col min="1283" max="1536" width="9" style="236" hidden="1"/>
    <col min="1537" max="1537" width="33.2566371681416" style="236" customWidth="1"/>
    <col min="1538" max="1538" width="65" style="236" customWidth="1"/>
    <col min="1539" max="1792" width="9" style="236" hidden="1"/>
    <col min="1793" max="1793" width="33.2566371681416" style="236" customWidth="1"/>
    <col min="1794" max="1794" width="65" style="236" customWidth="1"/>
    <col min="1795" max="2048" width="9" style="236" hidden="1"/>
    <col min="2049" max="2049" width="33.2566371681416" style="236" customWidth="1"/>
    <col min="2050" max="2050" width="65" style="236" customWidth="1"/>
    <col min="2051" max="2304" width="9" style="236" hidden="1"/>
    <col min="2305" max="2305" width="33.2566371681416" style="236" customWidth="1"/>
    <col min="2306" max="2306" width="65" style="236" customWidth="1"/>
    <col min="2307" max="2560" width="9" style="236" hidden="1"/>
    <col min="2561" max="2561" width="33.2566371681416" style="236" customWidth="1"/>
    <col min="2562" max="2562" width="65" style="236" customWidth="1"/>
    <col min="2563" max="2816" width="9" style="236" hidden="1"/>
    <col min="2817" max="2817" width="33.2566371681416" style="236" customWidth="1"/>
    <col min="2818" max="2818" width="65" style="236" customWidth="1"/>
    <col min="2819" max="3072" width="9" style="236" hidden="1"/>
    <col min="3073" max="3073" width="33.2566371681416" style="236" customWidth="1"/>
    <col min="3074" max="3074" width="65" style="236" customWidth="1"/>
    <col min="3075" max="3328" width="9" style="236" hidden="1"/>
    <col min="3329" max="3329" width="33.2566371681416" style="236" customWidth="1"/>
    <col min="3330" max="3330" width="65" style="236" customWidth="1"/>
    <col min="3331" max="3584" width="9" style="236" hidden="1"/>
    <col min="3585" max="3585" width="33.2566371681416" style="236" customWidth="1"/>
    <col min="3586" max="3586" width="65" style="236" customWidth="1"/>
    <col min="3587" max="3840" width="9" style="236" hidden="1"/>
    <col min="3841" max="3841" width="33.2566371681416" style="236" customWidth="1"/>
    <col min="3842" max="3842" width="65" style="236" customWidth="1"/>
    <col min="3843" max="4096" width="9" style="236" hidden="1"/>
    <col min="4097" max="4097" width="33.2566371681416" style="236" customWidth="1"/>
    <col min="4098" max="4098" width="65" style="236" customWidth="1"/>
    <col min="4099" max="4352" width="9" style="236" hidden="1"/>
    <col min="4353" max="4353" width="33.2566371681416" style="236" customWidth="1"/>
    <col min="4354" max="4354" width="65" style="236" customWidth="1"/>
    <col min="4355" max="4608" width="9" style="236" hidden="1"/>
    <col min="4609" max="4609" width="33.2566371681416" style="236" customWidth="1"/>
    <col min="4610" max="4610" width="65" style="236" customWidth="1"/>
    <col min="4611" max="4864" width="9" style="236" hidden="1"/>
    <col min="4865" max="4865" width="33.2566371681416" style="236" customWidth="1"/>
    <col min="4866" max="4866" width="65" style="236" customWidth="1"/>
    <col min="4867" max="5120" width="9" style="236" hidden="1"/>
    <col min="5121" max="5121" width="33.2566371681416" style="236" customWidth="1"/>
    <col min="5122" max="5122" width="65" style="236" customWidth="1"/>
    <col min="5123" max="5376" width="9" style="236" hidden="1"/>
    <col min="5377" max="5377" width="33.2566371681416" style="236" customWidth="1"/>
    <col min="5378" max="5378" width="65" style="236" customWidth="1"/>
    <col min="5379" max="5632" width="9" style="236" hidden="1"/>
    <col min="5633" max="5633" width="33.2566371681416" style="236" customWidth="1"/>
    <col min="5634" max="5634" width="65" style="236" customWidth="1"/>
    <col min="5635" max="5888" width="9" style="236" hidden="1"/>
    <col min="5889" max="5889" width="33.2566371681416" style="236" customWidth="1"/>
    <col min="5890" max="5890" width="65" style="236" customWidth="1"/>
    <col min="5891" max="6144" width="9" style="236" hidden="1"/>
    <col min="6145" max="6145" width="33.2566371681416" style="236" customWidth="1"/>
    <col min="6146" max="6146" width="65" style="236" customWidth="1"/>
    <col min="6147" max="6400" width="9" style="236" hidden="1"/>
    <col min="6401" max="6401" width="33.2566371681416" style="236" customWidth="1"/>
    <col min="6402" max="6402" width="65" style="236" customWidth="1"/>
    <col min="6403" max="6656" width="9" style="236" hidden="1"/>
    <col min="6657" max="6657" width="33.2566371681416" style="236" customWidth="1"/>
    <col min="6658" max="6658" width="65" style="236" customWidth="1"/>
    <col min="6659" max="6912" width="9" style="236" hidden="1"/>
    <col min="6913" max="6913" width="33.2566371681416" style="236" customWidth="1"/>
    <col min="6914" max="6914" width="65" style="236" customWidth="1"/>
    <col min="6915" max="7168" width="9" style="236" hidden="1"/>
    <col min="7169" max="7169" width="33.2566371681416" style="236" customWidth="1"/>
    <col min="7170" max="7170" width="65" style="236" customWidth="1"/>
    <col min="7171" max="7424" width="9" style="236" hidden="1"/>
    <col min="7425" max="7425" width="33.2566371681416" style="236" customWidth="1"/>
    <col min="7426" max="7426" width="65" style="236" customWidth="1"/>
    <col min="7427" max="7680" width="9" style="236" hidden="1"/>
    <col min="7681" max="7681" width="33.2566371681416" style="236" customWidth="1"/>
    <col min="7682" max="7682" width="65" style="236" customWidth="1"/>
    <col min="7683" max="7936" width="9" style="236" hidden="1"/>
    <col min="7937" max="7937" width="33.2566371681416" style="236" customWidth="1"/>
    <col min="7938" max="7938" width="65" style="236" customWidth="1"/>
    <col min="7939" max="8192" width="9" style="236" hidden="1"/>
    <col min="8193" max="8193" width="33.2566371681416" style="236" customWidth="1"/>
    <col min="8194" max="8194" width="65" style="236" customWidth="1"/>
    <col min="8195" max="8448" width="9" style="236" hidden="1"/>
    <col min="8449" max="8449" width="33.2566371681416" style="236" customWidth="1"/>
    <col min="8450" max="8450" width="65" style="236" customWidth="1"/>
    <col min="8451" max="8704" width="9" style="236" hidden="1"/>
    <col min="8705" max="8705" width="33.2566371681416" style="236" customWidth="1"/>
    <col min="8706" max="8706" width="65" style="236" customWidth="1"/>
    <col min="8707" max="8960" width="9" style="236" hidden="1"/>
    <col min="8961" max="8961" width="33.2566371681416" style="236" customWidth="1"/>
    <col min="8962" max="8962" width="65" style="236" customWidth="1"/>
    <col min="8963" max="9216" width="9" style="236" hidden="1"/>
    <col min="9217" max="9217" width="33.2566371681416" style="236" customWidth="1"/>
    <col min="9218" max="9218" width="65" style="236" customWidth="1"/>
    <col min="9219" max="9472" width="9" style="236" hidden="1"/>
    <col min="9473" max="9473" width="33.2566371681416" style="236" customWidth="1"/>
    <col min="9474" max="9474" width="65" style="236" customWidth="1"/>
    <col min="9475" max="9728" width="9" style="236" hidden="1"/>
    <col min="9729" max="9729" width="33.2566371681416" style="236" customWidth="1"/>
    <col min="9730" max="9730" width="65" style="236" customWidth="1"/>
    <col min="9731" max="9984" width="9" style="236" hidden="1"/>
    <col min="9985" max="9985" width="33.2566371681416" style="236" customWidth="1"/>
    <col min="9986" max="9986" width="65" style="236" customWidth="1"/>
    <col min="9987" max="10240" width="9" style="236" hidden="1"/>
    <col min="10241" max="10241" width="33.2566371681416" style="236" customWidth="1"/>
    <col min="10242" max="10242" width="65" style="236" customWidth="1"/>
    <col min="10243" max="10496" width="9" style="236" hidden="1"/>
    <col min="10497" max="10497" width="33.2566371681416" style="236" customWidth="1"/>
    <col min="10498" max="10498" width="65" style="236" customWidth="1"/>
    <col min="10499" max="10752" width="9" style="236" hidden="1"/>
    <col min="10753" max="10753" width="33.2566371681416" style="236" customWidth="1"/>
    <col min="10754" max="10754" width="65" style="236" customWidth="1"/>
    <col min="10755" max="11008" width="9" style="236" hidden="1"/>
    <col min="11009" max="11009" width="33.2566371681416" style="236" customWidth="1"/>
    <col min="11010" max="11010" width="65" style="236" customWidth="1"/>
    <col min="11011" max="11264" width="9" style="236" hidden="1"/>
    <col min="11265" max="11265" width="33.2566371681416" style="236" customWidth="1"/>
    <col min="11266" max="11266" width="65" style="236" customWidth="1"/>
    <col min="11267" max="11520" width="9" style="236" hidden="1"/>
    <col min="11521" max="11521" width="33.2566371681416" style="236" customWidth="1"/>
    <col min="11522" max="11522" width="65" style="236" customWidth="1"/>
    <col min="11523" max="11776" width="9" style="236" hidden="1"/>
    <col min="11777" max="11777" width="33.2566371681416" style="236" customWidth="1"/>
    <col min="11778" max="11778" width="65" style="236" customWidth="1"/>
    <col min="11779" max="12032" width="9" style="236" hidden="1"/>
    <col min="12033" max="12033" width="33.2566371681416" style="236" customWidth="1"/>
    <col min="12034" max="12034" width="65" style="236" customWidth="1"/>
    <col min="12035" max="12288" width="9" style="236" hidden="1"/>
    <col min="12289" max="12289" width="33.2566371681416" style="236" customWidth="1"/>
    <col min="12290" max="12290" width="65" style="236" customWidth="1"/>
    <col min="12291" max="12544" width="9" style="236" hidden="1"/>
    <col min="12545" max="12545" width="33.2566371681416" style="236" customWidth="1"/>
    <col min="12546" max="12546" width="65" style="236" customWidth="1"/>
    <col min="12547" max="12800" width="9" style="236" hidden="1"/>
    <col min="12801" max="12801" width="33.2566371681416" style="236" customWidth="1"/>
    <col min="12802" max="12802" width="65" style="236" customWidth="1"/>
    <col min="12803" max="13056" width="9" style="236" hidden="1"/>
    <col min="13057" max="13057" width="33.2566371681416" style="236" customWidth="1"/>
    <col min="13058" max="13058" width="65" style="236" customWidth="1"/>
    <col min="13059" max="13312" width="9" style="236" hidden="1"/>
    <col min="13313" max="13313" width="33.2566371681416" style="236" customWidth="1"/>
    <col min="13314" max="13314" width="65" style="236" customWidth="1"/>
    <col min="13315" max="13568" width="9" style="236" hidden="1"/>
    <col min="13569" max="13569" width="33.2566371681416" style="236" customWidth="1"/>
    <col min="13570" max="13570" width="65" style="236" customWidth="1"/>
    <col min="13571" max="13824" width="9" style="236" hidden="1"/>
    <col min="13825" max="13825" width="33.2566371681416" style="236" customWidth="1"/>
    <col min="13826" max="13826" width="65" style="236" customWidth="1"/>
    <col min="13827" max="14080" width="9" style="236" hidden="1"/>
    <col min="14081" max="14081" width="33.2566371681416" style="236" customWidth="1"/>
    <col min="14082" max="14082" width="65" style="236" customWidth="1"/>
    <col min="14083" max="14336" width="9" style="236" hidden="1"/>
    <col min="14337" max="14337" width="33.2566371681416" style="236" customWidth="1"/>
    <col min="14338" max="14338" width="65" style="236" customWidth="1"/>
    <col min="14339" max="14592" width="9" style="236" hidden="1"/>
    <col min="14593" max="14593" width="33.2566371681416" style="236" customWidth="1"/>
    <col min="14594" max="14594" width="65" style="236" customWidth="1"/>
    <col min="14595" max="14848" width="9" style="236" hidden="1"/>
    <col min="14849" max="14849" width="33.2566371681416" style="236" customWidth="1"/>
    <col min="14850" max="14850" width="65" style="236" customWidth="1"/>
    <col min="14851" max="15104" width="9" style="236" hidden="1"/>
    <col min="15105" max="15105" width="33.2566371681416" style="236" customWidth="1"/>
    <col min="15106" max="15106" width="65" style="236" customWidth="1"/>
    <col min="15107" max="15360" width="9" style="236" hidden="1"/>
    <col min="15361" max="15361" width="33.2566371681416" style="236" customWidth="1"/>
    <col min="15362" max="15362" width="65" style="236" customWidth="1"/>
    <col min="15363" max="15616" width="9" style="236" hidden="1"/>
    <col min="15617" max="15617" width="33.2566371681416" style="236" customWidth="1"/>
    <col min="15618" max="15618" width="65" style="236" customWidth="1"/>
    <col min="15619" max="15872" width="9" style="236" hidden="1"/>
    <col min="15873" max="15873" width="33.2566371681416" style="236" customWidth="1"/>
    <col min="15874" max="15874" width="65" style="236" customWidth="1"/>
    <col min="15875" max="16128" width="9" style="236" hidden="1"/>
    <col min="16129" max="16129" width="33.2566371681416" style="236" customWidth="1"/>
    <col min="16130" max="16130" width="65" style="236" customWidth="1"/>
    <col min="16131" max="16384" width="9" style="236" hidden="1"/>
  </cols>
  <sheetData>
    <row r="6" ht="47.25" customHeight="1" spans="1:2">
      <c r="A6" s="237"/>
      <c r="B6" s="237"/>
    </row>
    <row r="7" ht="54" customHeight="1" spans="1:2">
      <c r="A7" s="238" t="s">
        <v>0</v>
      </c>
      <c r="B7" s="239" t="s">
        <v>1</v>
      </c>
    </row>
    <row r="8" ht="54" customHeight="1" spans="1:2">
      <c r="A8" s="238" t="s">
        <v>2</v>
      </c>
      <c r="B8" s="240" t="s">
        <v>3</v>
      </c>
    </row>
    <row r="9" ht="37.5" customHeight="1" spans="1:2">
      <c r="A9" s="241" t="s">
        <v>4</v>
      </c>
      <c r="B9" s="242" t="s">
        <v>5</v>
      </c>
    </row>
    <row r="10" ht="33" customHeight="1" spans="1:2">
      <c r="A10" s="241" t="s">
        <v>6</v>
      </c>
      <c r="B10" s="242" t="s">
        <v>7</v>
      </c>
    </row>
    <row r="11" ht="33" customHeight="1" spans="1:2">
      <c r="A11" s="243" t="s">
        <v>8</v>
      </c>
      <c r="B11" s="244" t="s">
        <v>9</v>
      </c>
    </row>
    <row r="12" ht="33" customHeight="1" spans="1:2">
      <c r="A12" s="238" t="s">
        <v>10</v>
      </c>
      <c r="B12" s="242" t="s">
        <v>11</v>
      </c>
    </row>
    <row r="13" ht="33" customHeight="1" spans="1:2">
      <c r="A13" s="238" t="s">
        <v>12</v>
      </c>
      <c r="B13" s="242" t="s">
        <v>13</v>
      </c>
    </row>
    <row r="14" ht="33" customHeight="1" spans="1:2">
      <c r="A14" s="238" t="s">
        <v>14</v>
      </c>
      <c r="B14" s="245" t="s">
        <v>15</v>
      </c>
    </row>
    <row r="15" ht="33" customHeight="1" spans="1:2">
      <c r="A15" s="238" t="s">
        <v>16</v>
      </c>
      <c r="B15" s="245" t="s">
        <v>17</v>
      </c>
    </row>
    <row r="16" ht="33" customHeight="1" spans="1:2">
      <c r="A16" s="238" t="s">
        <v>18</v>
      </c>
      <c r="B16" s="246" t="s">
        <v>19</v>
      </c>
    </row>
    <row r="17" ht="33" customHeight="1" spans="1:4">
      <c r="A17" s="238"/>
      <c r="B17" s="247"/>
      <c r="C17" s="247"/>
      <c r="D17" s="247"/>
    </row>
    <row r="18" ht="33" customHeight="1" spans="1:4">
      <c r="A18" s="248"/>
      <c r="B18" s="247"/>
      <c r="C18" s="247"/>
      <c r="D18" s="247"/>
    </row>
    <row r="19" spans="1:4">
      <c r="A19" s="249"/>
      <c r="B19" s="250"/>
      <c r="C19" s="250"/>
      <c r="D19" s="250"/>
    </row>
    <row r="20" ht="15.75" customHeight="1" spans="1:4">
      <c r="A20" s="251"/>
      <c r="B20" s="251"/>
      <c r="C20" s="251"/>
      <c r="D20" s="251"/>
    </row>
    <row r="21" spans="1:4">
      <c r="A21" s="251"/>
      <c r="B21" s="251"/>
      <c r="C21" s="251"/>
      <c r="D21" s="251"/>
    </row>
    <row r="22" spans="1:4">
      <c r="A22" s="251"/>
      <c r="B22" s="251"/>
      <c r="C22" s="251"/>
      <c r="D22" s="251"/>
    </row>
    <row r="23" spans="1:4">
      <c r="A23" s="251"/>
      <c r="B23" s="251"/>
      <c r="C23" s="251"/>
      <c r="D23" s="251"/>
    </row>
    <row r="24" spans="1:4">
      <c r="A24" s="251"/>
      <c r="B24" s="251"/>
      <c r="C24" s="251"/>
      <c r="D24" s="251"/>
    </row>
    <row r="25" ht="26.25" customHeight="1" spans="1:4">
      <c r="A25" s="251"/>
      <c r="B25" s="251"/>
      <c r="C25" s="251"/>
      <c r="D25" s="251"/>
    </row>
  </sheetData>
  <mergeCells count="2">
    <mergeCell ref="A6:B6"/>
    <mergeCell ref="A20:D25"/>
  </mergeCells>
  <pageMargins left="0.75" right="0.75" top="1" bottom="1" header="0.5" footer="0.5"/>
  <pageSetup paperSize="9" scale="82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8"/>
  <sheetViews>
    <sheetView showGridLines="0" tabSelected="1" zoomScale="90" zoomScaleNormal="90" topLeftCell="A16" workbookViewId="0">
      <selection activeCell="B38" sqref="B38"/>
    </sheetView>
  </sheetViews>
  <sheetFormatPr defaultColWidth="9" defaultRowHeight="13.85"/>
  <cols>
    <col min="1" max="1" width="10.7522123893805" style="125" customWidth="1"/>
    <col min="2" max="2" width="12.7522123893805" style="125" customWidth="1"/>
    <col min="3" max="10" width="10.7522123893805" style="125" customWidth="1"/>
    <col min="11" max="12" width="10.7522123893805" style="126" customWidth="1"/>
    <col min="13" max="13" width="10.7522123893805" style="125" customWidth="1"/>
    <col min="14" max="14" width="16.6283185840708" style="125" customWidth="1"/>
    <col min="15" max="16" width="10.7522123893805" style="125" customWidth="1"/>
    <col min="17" max="16384" width="9" style="125"/>
  </cols>
  <sheetData>
    <row r="1" spans="1:16">
      <c r="A1" s="125" t="s">
        <v>20</v>
      </c>
    </row>
    <row r="2" ht="14.25"/>
    <row r="3" spans="1:16">
      <c r="A3" s="127" t="s">
        <v>21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</row>
    <row r="4" spans="1:16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2"/>
    </row>
    <row r="5" spans="1:16">
      <c r="A5" s="133" t="s">
        <v>22</v>
      </c>
      <c r="B5" s="134"/>
      <c r="C5" s="134"/>
      <c r="D5" s="134"/>
      <c r="E5" s="134"/>
      <c r="F5" s="134"/>
      <c r="G5" s="134"/>
      <c r="H5" s="135"/>
      <c r="I5" s="136" t="s">
        <v>23</v>
      </c>
      <c r="J5" s="137"/>
      <c r="K5" s="137"/>
      <c r="L5" s="137"/>
      <c r="M5" s="137"/>
      <c r="N5" s="136"/>
      <c r="O5" s="137"/>
      <c r="P5" s="138"/>
    </row>
    <row r="6" spans="1:16">
      <c r="A6" s="139" t="s">
        <v>24</v>
      </c>
      <c r="B6" s="140" t="s">
        <v>25</v>
      </c>
      <c r="C6" s="140" t="s">
        <v>26</v>
      </c>
      <c r="D6" s="141" t="s">
        <v>27</v>
      </c>
      <c r="E6" s="142" t="s">
        <v>28</v>
      </c>
      <c r="F6" s="143"/>
      <c r="G6" s="140" t="s">
        <v>29</v>
      </c>
      <c r="H6" s="140" t="s">
        <v>30</v>
      </c>
      <c r="I6" s="142" t="s">
        <v>31</v>
      </c>
      <c r="J6" s="144" t="s">
        <v>32</v>
      </c>
      <c r="K6" s="144" t="s">
        <v>33</v>
      </c>
      <c r="L6" s="145" t="s">
        <v>34</v>
      </c>
      <c r="M6" s="142" t="s">
        <v>35</v>
      </c>
      <c r="N6" s="143"/>
      <c r="O6" s="140" t="s">
        <v>29</v>
      </c>
      <c r="P6" s="146" t="s">
        <v>30</v>
      </c>
    </row>
    <row r="7" spans="1:16">
      <c r="A7" s="147">
        <v>0.083</v>
      </c>
      <c r="B7" s="148">
        <v>1748.99</v>
      </c>
      <c r="C7" s="149">
        <v>1703.53</v>
      </c>
      <c r="D7" s="149">
        <v>1858.04</v>
      </c>
      <c r="E7" s="150">
        <v>1770.18666666667</v>
      </c>
      <c r="F7" s="151" t="s">
        <v>36</v>
      </c>
      <c r="G7" s="150">
        <v>79.4059760555421</v>
      </c>
      <c r="H7" s="152">
        <v>4.48574026405175</v>
      </c>
      <c r="I7" s="153">
        <v>0.25</v>
      </c>
      <c r="J7" s="148">
        <v>38.9853</v>
      </c>
      <c r="K7" s="148">
        <v>68.2102</v>
      </c>
      <c r="L7" s="148">
        <v>674.577</v>
      </c>
      <c r="M7" s="150">
        <v>260.590833333333</v>
      </c>
      <c r="N7" s="151" t="s">
        <v>36</v>
      </c>
      <c r="O7" s="150">
        <v>358.820196391624</v>
      </c>
      <c r="P7" s="154">
        <v>137.694865088612</v>
      </c>
    </row>
    <row r="8" spans="1:16">
      <c r="A8" s="153">
        <v>0.25</v>
      </c>
      <c r="B8" s="148">
        <v>1525.98</v>
      </c>
      <c r="C8" s="149">
        <v>1860.47</v>
      </c>
      <c r="D8" s="149">
        <v>1789.76</v>
      </c>
      <c r="E8" s="155">
        <v>1725.40333333333</v>
      </c>
      <c r="F8" s="156" t="s">
        <v>36</v>
      </c>
      <c r="G8" s="155">
        <v>176.287337699942</v>
      </c>
      <c r="H8" s="157">
        <v>10.2171668672605</v>
      </c>
      <c r="I8" s="153">
        <v>0.5</v>
      </c>
      <c r="J8" s="148">
        <v>216.352</v>
      </c>
      <c r="K8" s="148">
        <v>611.186</v>
      </c>
      <c r="L8" s="148">
        <v>818.888</v>
      </c>
      <c r="M8" s="155">
        <v>548.808666666667</v>
      </c>
      <c r="N8" s="156" t="s">
        <v>36</v>
      </c>
      <c r="O8" s="155">
        <v>306.072877938137</v>
      </c>
      <c r="P8" s="158">
        <v>55.7704162722412</v>
      </c>
    </row>
    <row r="9" spans="1:16">
      <c r="A9" s="153">
        <v>0.5</v>
      </c>
      <c r="B9" s="148">
        <v>1384.1</v>
      </c>
      <c r="C9" s="149">
        <v>1282.78</v>
      </c>
      <c r="D9" s="149">
        <v>1078.34</v>
      </c>
      <c r="E9" s="155">
        <v>1248.40666666667</v>
      </c>
      <c r="F9" s="156" t="s">
        <v>36</v>
      </c>
      <c r="G9" s="155">
        <v>155.751208449028</v>
      </c>
      <c r="H9" s="157">
        <v>12.4759994165118</v>
      </c>
      <c r="I9" s="153">
        <v>1</v>
      </c>
      <c r="J9" s="148">
        <v>1450.49</v>
      </c>
      <c r="K9" s="148">
        <v>2549.88</v>
      </c>
      <c r="L9" s="148">
        <v>1200.87</v>
      </c>
      <c r="M9" s="155">
        <v>1733.74666666667</v>
      </c>
      <c r="N9" s="156" t="s">
        <v>36</v>
      </c>
      <c r="O9" s="155">
        <v>717.727489673716</v>
      </c>
      <c r="P9" s="158">
        <v>41.3974834658879</v>
      </c>
    </row>
    <row r="10" spans="1:16">
      <c r="A10" s="153">
        <v>1</v>
      </c>
      <c r="B10" s="148">
        <v>620.013</v>
      </c>
      <c r="C10" s="149">
        <v>750.902</v>
      </c>
      <c r="D10" s="149">
        <v>924.702</v>
      </c>
      <c r="E10" s="155">
        <v>765.205666666667</v>
      </c>
      <c r="F10" s="156" t="s">
        <v>36</v>
      </c>
      <c r="G10" s="155">
        <v>152.847286009053</v>
      </c>
      <c r="H10" s="157">
        <v>19.9746672910663</v>
      </c>
      <c r="I10" s="153">
        <v>2</v>
      </c>
      <c r="J10" s="148">
        <v>2214.09</v>
      </c>
      <c r="K10" s="148">
        <v>2517.04</v>
      </c>
      <c r="L10" s="148">
        <v>956.774</v>
      </c>
      <c r="M10" s="155">
        <v>1895.968</v>
      </c>
      <c r="N10" s="156" t="s">
        <v>36</v>
      </c>
      <c r="O10" s="155">
        <v>827.35041116325</v>
      </c>
      <c r="P10" s="158">
        <v>43.6373615569065</v>
      </c>
    </row>
    <row r="11" spans="1:16">
      <c r="A11" s="153">
        <v>2</v>
      </c>
      <c r="B11" s="148">
        <v>309.647</v>
      </c>
      <c r="C11" s="148">
        <v>382.316</v>
      </c>
      <c r="D11" s="148">
        <v>359.002</v>
      </c>
      <c r="E11" s="155">
        <v>350.321666666667</v>
      </c>
      <c r="F11" s="156" t="s">
        <v>36</v>
      </c>
      <c r="G11" s="155">
        <v>37.1040028882779</v>
      </c>
      <c r="H11" s="157">
        <v>10.5914096725232</v>
      </c>
      <c r="I11" s="153">
        <v>4</v>
      </c>
      <c r="J11" s="148">
        <v>1808.13</v>
      </c>
      <c r="K11" s="148">
        <v>2962.27</v>
      </c>
      <c r="L11" s="148">
        <v>1820.54</v>
      </c>
      <c r="M11" s="155">
        <v>2196.98</v>
      </c>
      <c r="N11" s="156" t="s">
        <v>36</v>
      </c>
      <c r="O11" s="155">
        <v>662.789627332837</v>
      </c>
      <c r="P11" s="158">
        <v>30.1682139724912</v>
      </c>
    </row>
    <row r="12" spans="1:16">
      <c r="A12" s="153">
        <v>4</v>
      </c>
      <c r="B12" s="148">
        <v>70.7415</v>
      </c>
      <c r="C12" s="148">
        <v>81.9746</v>
      </c>
      <c r="D12" s="148">
        <v>52.9267</v>
      </c>
      <c r="E12" s="155">
        <v>68.5476</v>
      </c>
      <c r="F12" s="156" t="s">
        <v>36</v>
      </c>
      <c r="G12" s="155">
        <v>14.6476967988146</v>
      </c>
      <c r="H12" s="157">
        <v>21.3686501041824</v>
      </c>
      <c r="I12" s="153">
        <v>6</v>
      </c>
      <c r="J12" s="148">
        <v>660.37</v>
      </c>
      <c r="K12" s="148">
        <v>828.539</v>
      </c>
      <c r="L12" s="148">
        <v>900.258</v>
      </c>
      <c r="M12" s="155">
        <v>796.389</v>
      </c>
      <c r="N12" s="156" t="s">
        <v>36</v>
      </c>
      <c r="O12" s="155">
        <v>123.133179975991</v>
      </c>
      <c r="P12" s="158">
        <v>15.4614365562547</v>
      </c>
    </row>
    <row r="13" spans="1:16">
      <c r="A13" s="153">
        <v>8</v>
      </c>
      <c r="B13" s="148">
        <v>10.926</v>
      </c>
      <c r="C13" s="148">
        <v>13.2243</v>
      </c>
      <c r="D13" s="148">
        <v>7.98906</v>
      </c>
      <c r="E13" s="155">
        <v>10.71312</v>
      </c>
      <c r="F13" s="156" t="s">
        <v>36</v>
      </c>
      <c r="G13" s="155">
        <v>2.62410420623876</v>
      </c>
      <c r="H13" s="157">
        <v>24.4943042385295</v>
      </c>
      <c r="I13" s="159">
        <v>8</v>
      </c>
      <c r="J13" s="148">
        <v>276.694</v>
      </c>
      <c r="K13" s="148">
        <v>260.216</v>
      </c>
      <c r="L13" s="148">
        <v>256.52</v>
      </c>
      <c r="M13" s="155">
        <v>264.476666666667</v>
      </c>
      <c r="N13" s="156" t="s">
        <v>36</v>
      </c>
      <c r="O13" s="155">
        <v>10.7406950116523</v>
      </c>
      <c r="P13" s="158">
        <v>4.06111251590651</v>
      </c>
    </row>
    <row r="14" ht="14.6" spans="1:16">
      <c r="A14" s="160">
        <v>24</v>
      </c>
      <c r="B14" s="161">
        <v>1.6704</v>
      </c>
      <c r="C14" s="161">
        <v>1.82865</v>
      </c>
      <c r="D14" s="161" t="s">
        <v>37</v>
      </c>
      <c r="E14" s="162">
        <v>1.749525</v>
      </c>
      <c r="F14" s="163" t="s">
        <v>36</v>
      </c>
      <c r="G14" s="162" t="s">
        <v>38</v>
      </c>
      <c r="H14" s="164" t="s">
        <v>38</v>
      </c>
      <c r="I14" s="160">
        <v>24</v>
      </c>
      <c r="J14" s="161">
        <v>16.4531</v>
      </c>
      <c r="K14" s="161">
        <v>24.5254</v>
      </c>
      <c r="L14" s="161">
        <v>12.6325</v>
      </c>
      <c r="M14" s="162">
        <v>17.8703333333333</v>
      </c>
      <c r="N14" s="163" t="s">
        <v>36</v>
      </c>
      <c r="O14" s="162">
        <v>6.07179383241341</v>
      </c>
      <c r="P14" s="165">
        <v>33.9769478227234</v>
      </c>
    </row>
    <row r="15" spans="1:16">
      <c r="A15" s="166" t="s">
        <v>39</v>
      </c>
      <c r="B15" s="167"/>
      <c r="C15" s="168"/>
      <c r="D15" s="168"/>
      <c r="E15" s="169"/>
      <c r="F15" s="168"/>
      <c r="G15" s="170"/>
      <c r="H15" s="170"/>
      <c r="I15" s="171"/>
      <c r="J15" s="172"/>
      <c r="K15" s="172"/>
      <c r="L15" s="171"/>
      <c r="M15" s="171"/>
      <c r="N15" s="171"/>
      <c r="O15" s="173"/>
      <c r="P15" s="171"/>
    </row>
    <row r="16" spans="1:16">
      <c r="A16" s="174" t="s">
        <v>40</v>
      </c>
      <c r="B16" s="167"/>
      <c r="C16" s="168"/>
      <c r="D16" s="172"/>
      <c r="E16" s="169"/>
      <c r="F16" s="168"/>
      <c r="G16" s="170"/>
      <c r="H16" s="170"/>
      <c r="I16" s="172"/>
      <c r="J16" s="172"/>
      <c r="K16" s="172"/>
      <c r="L16" s="171"/>
      <c r="M16" s="171"/>
      <c r="N16" s="171"/>
      <c r="O16" s="173"/>
      <c r="P16" s="171"/>
    </row>
    <row r="17" spans="1:16">
      <c r="A17" s="171" t="s">
        <v>41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</row>
    <row r="18" ht="17.25" spans="1:16">
      <c r="A18" s="171" t="s">
        <v>42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3"/>
      <c r="M18" s="171"/>
      <c r="N18" s="173"/>
      <c r="O18" s="171"/>
      <c r="P18" s="171"/>
    </row>
    <row r="19" ht="17.25" spans="1:16">
      <c r="A19" s="171" t="s">
        <v>43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</row>
    <row r="20" ht="17.25" spans="1:16">
      <c r="A20" s="175" t="s">
        <v>44</v>
      </c>
      <c r="B20" s="176"/>
      <c r="C20" s="170"/>
      <c r="D20" s="170"/>
      <c r="E20" s="177"/>
      <c r="F20" s="177"/>
      <c r="G20" s="178"/>
      <c r="H20" s="178"/>
      <c r="I20" s="179"/>
      <c r="J20" s="172"/>
      <c r="K20" s="172"/>
      <c r="L20" s="171"/>
      <c r="M20" s="171"/>
      <c r="N20" s="171"/>
      <c r="O20" s="173"/>
      <c r="P20" s="171"/>
    </row>
    <row r="21" ht="17.25" spans="1:16">
      <c r="A21" s="166" t="s">
        <v>45</v>
      </c>
      <c r="B21" s="168"/>
      <c r="C21" s="168"/>
      <c r="D21" s="168"/>
      <c r="E21" s="168"/>
      <c r="F21" s="168"/>
      <c r="G21" s="168"/>
      <c r="H21" s="166"/>
      <c r="I21" s="168"/>
      <c r="J21" s="168"/>
      <c r="K21" s="168"/>
      <c r="L21" s="180"/>
      <c r="M21" s="181"/>
      <c r="N21" s="182"/>
      <c r="O21" s="183"/>
      <c r="P21" s="173"/>
    </row>
    <row r="22" ht="12.75" customHeight="1"/>
    <row r="23" hidden="1"/>
    <row r="24" ht="14.6" spans="1:16">
      <c r="A24" s="125" t="s">
        <v>46</v>
      </c>
    </row>
    <row r="25" ht="14.6" spans="1:16">
      <c r="A25" s="184"/>
      <c r="B25" s="185"/>
      <c r="C25" s="185"/>
      <c r="D25" s="186" t="s">
        <v>47</v>
      </c>
      <c r="E25" s="187" t="s">
        <v>48</v>
      </c>
      <c r="F25" s="187" t="s">
        <v>49</v>
      </c>
      <c r="G25" s="186" t="s">
        <v>50</v>
      </c>
      <c r="H25" s="187" t="s">
        <v>51</v>
      </c>
      <c r="I25" s="187" t="s">
        <v>52</v>
      </c>
      <c r="J25" s="185" t="s">
        <v>53</v>
      </c>
      <c r="K25" s="187" t="s">
        <v>54</v>
      </c>
      <c r="L25" s="188" t="s">
        <v>55</v>
      </c>
      <c r="M25" s="185" t="s">
        <v>56</v>
      </c>
      <c r="N25" s="189" t="s">
        <v>57</v>
      </c>
    </row>
    <row r="26" ht="16.5" customHeight="1" spans="1:16">
      <c r="A26" s="190" t="s">
        <v>58</v>
      </c>
      <c r="B26" s="191" t="s">
        <v>59</v>
      </c>
      <c r="C26" s="192" t="s">
        <v>60</v>
      </c>
      <c r="D26" s="193" t="s">
        <v>61</v>
      </c>
      <c r="E26" s="194" t="s">
        <v>62</v>
      </c>
      <c r="F26" s="194" t="s">
        <v>63</v>
      </c>
      <c r="G26" s="193" t="s">
        <v>64</v>
      </c>
      <c r="H26" s="194" t="s">
        <v>65</v>
      </c>
      <c r="I26" s="194" t="s">
        <v>66</v>
      </c>
      <c r="J26" s="194" t="s">
        <v>67</v>
      </c>
      <c r="K26" s="194" t="s">
        <v>68</v>
      </c>
      <c r="L26" s="195" t="s">
        <v>69</v>
      </c>
      <c r="M26" s="196" t="s">
        <v>70</v>
      </c>
      <c r="N26" s="197" t="s">
        <v>71</v>
      </c>
    </row>
    <row r="27" ht="32.25" customHeight="1" spans="1:16">
      <c r="A27" s="198" t="s">
        <v>72</v>
      </c>
      <c r="B27" s="199"/>
      <c r="C27" s="200" t="s">
        <v>73</v>
      </c>
      <c r="D27" s="200" t="s">
        <v>74</v>
      </c>
      <c r="E27" s="200" t="s">
        <v>74</v>
      </c>
      <c r="F27" s="200" t="s">
        <v>75</v>
      </c>
      <c r="G27" s="200" t="s">
        <v>76</v>
      </c>
      <c r="H27" s="200" t="s">
        <v>76</v>
      </c>
      <c r="I27" s="200" t="s">
        <v>74</v>
      </c>
      <c r="J27" s="200" t="s">
        <v>74</v>
      </c>
      <c r="K27" s="200" t="s">
        <v>75</v>
      </c>
      <c r="L27" s="201" t="s">
        <v>77</v>
      </c>
      <c r="M27" s="201" t="s">
        <v>77</v>
      </c>
      <c r="N27" s="202" t="s">
        <v>78</v>
      </c>
    </row>
    <row r="28" spans="1:16">
      <c r="A28" s="203">
        <v>101</v>
      </c>
      <c r="B28" s="193" t="s">
        <v>22</v>
      </c>
      <c r="C28" s="204">
        <v>1</v>
      </c>
      <c r="D28" s="205">
        <v>2.4042264</v>
      </c>
      <c r="E28" s="206">
        <v>0.083</v>
      </c>
      <c r="F28" s="205">
        <v>1748.99</v>
      </c>
      <c r="G28" s="205">
        <v>2397.8303</v>
      </c>
      <c r="H28" s="205">
        <v>2403.6242</v>
      </c>
      <c r="I28" s="205">
        <v>1.582619</v>
      </c>
      <c r="J28" s="205">
        <v>1.6450166</v>
      </c>
      <c r="K28" s="205">
        <v>1871.6697</v>
      </c>
      <c r="L28" s="205">
        <v>684.39008</v>
      </c>
      <c r="M28" s="205">
        <v>1443.0565</v>
      </c>
      <c r="N28" s="207">
        <v>416.03841</v>
      </c>
    </row>
    <row r="29" spans="1:16">
      <c r="A29" s="203">
        <v>102</v>
      </c>
      <c r="B29" s="193" t="s">
        <v>22</v>
      </c>
      <c r="C29" s="204">
        <v>1</v>
      </c>
      <c r="D29" s="205">
        <v>4.0500492</v>
      </c>
      <c r="E29" s="206">
        <v>0.25</v>
      </c>
      <c r="F29" s="205">
        <v>1860.47</v>
      </c>
      <c r="G29" s="205">
        <v>2682.0347</v>
      </c>
      <c r="H29" s="205">
        <v>2692.7195</v>
      </c>
      <c r="I29" s="205">
        <v>1.6621846</v>
      </c>
      <c r="J29" s="205">
        <v>1.7740067</v>
      </c>
      <c r="K29" s="205">
        <v>1703.53</v>
      </c>
      <c r="L29" s="205">
        <v>658.816</v>
      </c>
      <c r="M29" s="205">
        <v>2169.92</v>
      </c>
      <c r="N29" s="207">
        <v>371.37177</v>
      </c>
    </row>
    <row r="30" spans="1:16">
      <c r="A30" s="203">
        <v>103</v>
      </c>
      <c r="B30" s="193" t="s">
        <v>22</v>
      </c>
      <c r="C30" s="204">
        <v>1</v>
      </c>
      <c r="D30" s="205">
        <v>0.9774302</v>
      </c>
      <c r="E30" s="206">
        <v>0.083</v>
      </c>
      <c r="F30" s="205">
        <v>1858.04</v>
      </c>
      <c r="G30" s="205">
        <v>2495.1421</v>
      </c>
      <c r="H30" s="205">
        <v>2506.4078</v>
      </c>
      <c r="I30" s="205">
        <v>1.1415121</v>
      </c>
      <c r="J30" s="205">
        <v>1.1786774</v>
      </c>
      <c r="K30" s="205">
        <v>1892.9385</v>
      </c>
      <c r="L30" s="205">
        <v>470.26562</v>
      </c>
      <c r="M30" s="205">
        <v>562.61144</v>
      </c>
      <c r="N30" s="207">
        <v>398.97738</v>
      </c>
    </row>
    <row r="31" spans="1:16">
      <c r="A31" s="208" t="s">
        <v>79</v>
      </c>
      <c r="B31" s="209"/>
      <c r="C31" s="210">
        <v>3</v>
      </c>
      <c r="D31" s="210">
        <v>3</v>
      </c>
      <c r="E31" s="210">
        <v>3</v>
      </c>
      <c r="F31" s="210">
        <v>3</v>
      </c>
      <c r="G31" s="210">
        <v>3</v>
      </c>
      <c r="H31" s="210">
        <v>3</v>
      </c>
      <c r="I31" s="210">
        <v>3</v>
      </c>
      <c r="J31" s="210">
        <v>3</v>
      </c>
      <c r="K31" s="210">
        <v>3</v>
      </c>
      <c r="L31" s="210">
        <v>3</v>
      </c>
      <c r="M31" s="210">
        <v>3</v>
      </c>
      <c r="N31" s="211">
        <v>3</v>
      </c>
    </row>
    <row r="32" spans="1:16">
      <c r="A32" s="190" t="s">
        <v>80</v>
      </c>
      <c r="B32" s="192"/>
      <c r="C32" s="212">
        <v>1</v>
      </c>
      <c r="D32" s="213">
        <v>2.47723526666667</v>
      </c>
      <c r="E32" s="206">
        <v>0.138666666666667</v>
      </c>
      <c r="F32" s="205">
        <v>1822.5</v>
      </c>
      <c r="G32" s="213">
        <v>2525.00236666667</v>
      </c>
      <c r="H32" s="205">
        <v>2534.2505</v>
      </c>
      <c r="I32" s="205">
        <v>1.46210523333333</v>
      </c>
      <c r="J32" s="205">
        <v>1.5325669</v>
      </c>
      <c r="K32" s="205">
        <v>1822.71273333333</v>
      </c>
      <c r="L32" s="213">
        <v>604.490566666667</v>
      </c>
      <c r="M32" s="205">
        <v>1391.86264666667</v>
      </c>
      <c r="N32" s="214">
        <v>395.46252</v>
      </c>
    </row>
    <row r="33" ht="14.6" spans="1:14">
      <c r="A33" s="215" t="s">
        <v>81</v>
      </c>
      <c r="B33" s="216"/>
      <c r="C33" s="217">
        <v>0</v>
      </c>
      <c r="D33" s="218">
        <v>1.53761002882695</v>
      </c>
      <c r="E33" s="218">
        <v>0.0964174949546675</v>
      </c>
      <c r="F33" s="218">
        <v>63.6731207025382</v>
      </c>
      <c r="G33" s="218">
        <v>144.436013130013</v>
      </c>
      <c r="H33" s="218">
        <v>146.544993356955</v>
      </c>
      <c r="I33" s="218">
        <v>0.2804775196539</v>
      </c>
      <c r="J33" s="218">
        <v>0.313189950560663</v>
      </c>
      <c r="K33" s="218">
        <v>103.761666365587</v>
      </c>
      <c r="L33" s="218">
        <v>116.943407777924</v>
      </c>
      <c r="M33" s="218">
        <v>804.876269824533</v>
      </c>
      <c r="N33" s="219">
        <v>22.5398061845505</v>
      </c>
    </row>
    <row r="34" spans="1:14">
      <c r="A34" s="192"/>
      <c r="B34" s="192"/>
      <c r="C34" s="192"/>
      <c r="D34" s="205"/>
      <c r="E34" s="205"/>
      <c r="F34" s="205"/>
      <c r="G34" s="205"/>
      <c r="H34" s="205"/>
      <c r="I34" s="205"/>
      <c r="J34" s="205"/>
      <c r="K34" s="205"/>
      <c r="L34" s="125"/>
    </row>
    <row r="35" ht="14.6" spans="1:14">
      <c r="J35" s="126"/>
      <c r="L35" s="125"/>
    </row>
    <row r="36" ht="16.5" customHeight="1" spans="1:14">
      <c r="A36" s="220" t="s">
        <v>82</v>
      </c>
      <c r="B36" s="221" t="s">
        <v>59</v>
      </c>
      <c r="C36" s="222" t="s">
        <v>60</v>
      </c>
      <c r="D36" s="223" t="s">
        <v>61</v>
      </c>
      <c r="E36" s="223" t="s">
        <v>62</v>
      </c>
      <c r="F36" s="223" t="s">
        <v>63</v>
      </c>
      <c r="G36" s="223" t="s">
        <v>64</v>
      </c>
      <c r="H36" s="224" t="s">
        <v>65</v>
      </c>
      <c r="I36" s="224" t="s">
        <v>66</v>
      </c>
      <c r="J36" s="224" t="s">
        <v>67</v>
      </c>
      <c r="K36" s="225" t="s">
        <v>83</v>
      </c>
      <c r="L36" s="125"/>
    </row>
    <row r="37" ht="30" customHeight="1" spans="1:14">
      <c r="A37" s="198" t="s">
        <v>72</v>
      </c>
      <c r="B37" s="226"/>
      <c r="C37" s="200" t="s">
        <v>73</v>
      </c>
      <c r="D37" s="200" t="s">
        <v>74</v>
      </c>
      <c r="E37" s="200" t="s">
        <v>74</v>
      </c>
      <c r="F37" s="200" t="s">
        <v>75</v>
      </c>
      <c r="G37" s="200" t="s">
        <v>76</v>
      </c>
      <c r="H37" s="200" t="s">
        <v>76</v>
      </c>
      <c r="I37" s="200" t="s">
        <v>74</v>
      </c>
      <c r="J37" s="200" t="s">
        <v>74</v>
      </c>
      <c r="K37" s="227" t="s">
        <v>84</v>
      </c>
      <c r="L37" s="125"/>
    </row>
    <row r="38" spans="1:14">
      <c r="A38" s="203">
        <v>201</v>
      </c>
      <c r="B38" s="228" t="s">
        <v>23</v>
      </c>
      <c r="C38" s="229">
        <v>5</v>
      </c>
      <c r="D38" s="230">
        <v>3.5709284</v>
      </c>
      <c r="E38" s="230">
        <v>2</v>
      </c>
      <c r="F38" s="230">
        <v>2214.09</v>
      </c>
      <c r="G38" s="230">
        <v>12058.752</v>
      </c>
      <c r="H38" s="230">
        <v>12143.514</v>
      </c>
      <c r="I38" s="230">
        <v>4.4153479</v>
      </c>
      <c r="J38" s="230">
        <v>4.5880095</v>
      </c>
      <c r="K38" s="207">
        <v>95.5147778013304</v>
      </c>
      <c r="L38" s="125"/>
    </row>
    <row r="39" spans="1:14">
      <c r="A39" s="203">
        <v>202</v>
      </c>
      <c r="B39" s="231" t="s">
        <v>23</v>
      </c>
      <c r="C39" s="229">
        <v>5</v>
      </c>
      <c r="D39" s="230">
        <v>3.9124397</v>
      </c>
      <c r="E39" s="230">
        <v>4</v>
      </c>
      <c r="F39" s="230">
        <v>2962.27</v>
      </c>
      <c r="G39" s="230">
        <v>16053.983</v>
      </c>
      <c r="H39" s="230">
        <v>16192.415</v>
      </c>
      <c r="I39" s="230">
        <v>4.1527046</v>
      </c>
      <c r="J39" s="230">
        <v>4.3706393</v>
      </c>
      <c r="K39" s="207">
        <v>127.160142199735</v>
      </c>
      <c r="L39" s="125"/>
    </row>
    <row r="40" spans="1:14">
      <c r="A40" s="203">
        <v>203</v>
      </c>
      <c r="B40" s="231" t="s">
        <v>23</v>
      </c>
      <c r="C40" s="229">
        <v>5</v>
      </c>
      <c r="D40" s="230">
        <v>3.175353</v>
      </c>
      <c r="E40" s="230">
        <v>4</v>
      </c>
      <c r="F40" s="230">
        <v>1820.54</v>
      </c>
      <c r="G40" s="230">
        <v>10662.877</v>
      </c>
      <c r="H40" s="230">
        <v>10720.747</v>
      </c>
      <c r="I40" s="230">
        <v>4.7106399</v>
      </c>
      <c r="J40" s="230">
        <v>4.8394919</v>
      </c>
      <c r="K40" s="207">
        <v>84.4583525208841</v>
      </c>
      <c r="L40" s="125"/>
    </row>
    <row r="41" spans="1:14">
      <c r="A41" s="208" t="s">
        <v>79</v>
      </c>
      <c r="B41" s="209"/>
      <c r="C41" s="210">
        <v>3</v>
      </c>
      <c r="D41" s="210">
        <v>3</v>
      </c>
      <c r="E41" s="210">
        <v>3</v>
      </c>
      <c r="F41" s="210">
        <v>3</v>
      </c>
      <c r="G41" s="210">
        <v>3</v>
      </c>
      <c r="H41" s="210">
        <v>3</v>
      </c>
      <c r="I41" s="210">
        <v>3</v>
      </c>
      <c r="J41" s="210">
        <v>3</v>
      </c>
      <c r="K41" s="211">
        <v>3</v>
      </c>
      <c r="L41" s="125"/>
    </row>
    <row r="42" spans="1:14">
      <c r="A42" s="190" t="s">
        <v>85</v>
      </c>
      <c r="B42" s="232"/>
      <c r="C42" s="229">
        <v>5</v>
      </c>
      <c r="D42" s="233">
        <v>3.55290703333333</v>
      </c>
      <c r="E42" s="233">
        <v>3.33333333333333</v>
      </c>
      <c r="F42" s="233">
        <v>2332.3</v>
      </c>
      <c r="G42" s="233">
        <v>12925.204</v>
      </c>
      <c r="H42" s="230">
        <v>13018.892</v>
      </c>
      <c r="I42" s="230">
        <v>4.4262308</v>
      </c>
      <c r="J42" s="230">
        <v>4.59938023333333</v>
      </c>
      <c r="K42" s="207">
        <v>102.377757507316</v>
      </c>
      <c r="L42" s="125"/>
    </row>
    <row r="43" ht="14.6" spans="1:14">
      <c r="A43" s="215" t="s">
        <v>86</v>
      </c>
      <c r="B43" s="216"/>
      <c r="C43" s="217">
        <v>0</v>
      </c>
      <c r="D43" s="218">
        <v>0.368873661395909</v>
      </c>
      <c r="E43" s="218">
        <v>1.15470053837925</v>
      </c>
      <c r="F43" s="218">
        <v>579.971595252731</v>
      </c>
      <c r="G43" s="218">
        <v>2798.04579609359</v>
      </c>
      <c r="H43" s="218">
        <v>2838.92632129102</v>
      </c>
      <c r="I43" s="218">
        <v>0.279126813260264</v>
      </c>
      <c r="J43" s="218">
        <v>0.234633033296877</v>
      </c>
      <c r="K43" s="219">
        <v>22.1627182059823</v>
      </c>
      <c r="L43" s="125"/>
    </row>
    <row r="44" spans="1:14">
      <c r="A44" s="192"/>
      <c r="B44" s="192"/>
      <c r="C44" s="212"/>
      <c r="D44" s="205"/>
      <c r="E44" s="205"/>
      <c r="F44" s="234"/>
      <c r="G44" s="234"/>
      <c r="H44" s="234"/>
      <c r="I44" s="205"/>
      <c r="J44" s="205"/>
      <c r="K44" s="205"/>
      <c r="L44" s="125"/>
    </row>
    <row r="45" ht="39.75" customHeight="1" spans="1:14">
      <c r="B45" s="166" t="s">
        <v>87</v>
      </c>
      <c r="C45" s="212"/>
      <c r="D45" s="205"/>
      <c r="E45" s="205"/>
      <c r="F45" s="234"/>
      <c r="G45" s="234"/>
      <c r="H45" s="234"/>
      <c r="I45" s="205"/>
      <c r="K45" s="166" t="s">
        <v>88</v>
      </c>
      <c r="L45" s="125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</sheetData>
  <mergeCells count="6">
    <mergeCell ref="A3:P3"/>
    <mergeCell ref="A4:P4"/>
    <mergeCell ref="A5:H5"/>
    <mergeCell ref="I5:P5"/>
    <mergeCell ref="B26:B27"/>
    <mergeCell ref="B36:B37"/>
  </mergeCells>
  <conditionalFormatting sqref="M21">
    <cfRule type="expression" dxfId="0" priority="52" stopIfTrue="1">
      <formula>COUNTIF(J21:L21,"BQL")=0</formula>
    </cfRule>
    <cfRule type="expression" dxfId="0" priority="53" stopIfTrue="1">
      <formula>COUNTIF(J21:L21,"BQL")=1</formula>
    </cfRule>
    <cfRule type="expression" dxfId="0" priority="54" stopIfTrue="1">
      <formula>COUNTIF(J21:L21,"BQL")&gt;1</formula>
    </cfRule>
  </conditionalFormatting>
  <conditionalFormatting sqref="A7:A13">
    <cfRule type="cellIs" dxfId="1" priority="56" stopIfTrue="1" operator="equal">
      <formula>""</formula>
    </cfRule>
  </conditionalFormatting>
  <conditionalFormatting sqref="I7:I13">
    <cfRule type="cellIs" dxfId="1" priority="1" stopIfTrue="1" operator="equal">
      <formula>""</formula>
    </cfRule>
  </conditionalFormatting>
  <conditionalFormatting sqref="M7:M14 E7:E19 E21 M21">
    <cfRule type="expression" dxfId="0" priority="61" stopIfTrue="1">
      <formula>COUNTIF(B7:D7,"BQL")=1</formula>
    </cfRule>
    <cfRule type="expression" dxfId="0" priority="62" stopIfTrue="1">
      <formula>COUNTIF(B7:D7,"BQL")&gt;1</formula>
    </cfRule>
  </conditionalFormatting>
  <conditionalFormatting sqref="M21 M7:M14 E7:E19 E21">
    <cfRule type="expression" dxfId="0" priority="60" stopIfTrue="1">
      <formula>COUNTIF(B7:D7,"BQL")=0</formula>
    </cfRule>
  </conditionalFormatting>
  <conditionalFormatting sqref="N7:N14 F7:F21 N21">
    <cfRule type="expression" priority="57" stopIfTrue="1">
      <formula>"IF(COUNTIF(B33:D33,""BQL"")=0)"</formula>
    </cfRule>
    <cfRule type="expression" dxfId="2" priority="58" stopIfTrue="1">
      <formula>"IF(COUNTIF(B33:D33,""BQL"")=1)"</formula>
    </cfRule>
    <cfRule type="expression" priority="59" stopIfTrue="1">
      <formula>"IF(COUNTIF(B33:D33,""BQL"")&gt;1)"</formula>
    </cfRule>
  </conditionalFormatting>
  <conditionalFormatting sqref="B15:D21">
    <cfRule type="cellIs" dxfId="3" priority="55" stopIfTrue="1" operator="greaterThan">
      <formula>120</formula>
    </cfRule>
  </conditionalFormatting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showGridLines="0" workbookViewId="0">
      <selection activeCell="D28" sqref="D28"/>
    </sheetView>
  </sheetViews>
  <sheetFormatPr defaultColWidth="9" defaultRowHeight="13.85" outlineLevelCol="4"/>
  <cols>
    <col min="1" max="1" width="9" style="109"/>
    <col min="2" max="4" width="12.8761061946903" style="109" customWidth="1"/>
    <col min="5" max="5" width="17.5044247787611" style="109" customWidth="1"/>
    <col min="6" max="16384" width="9" style="109"/>
  </cols>
  <sheetData>
    <row r="1" spans="1:5">
      <c r="A1" s="110" t="s">
        <v>89</v>
      </c>
    </row>
    <row r="3" spans="1:5">
      <c r="A3" s="111" t="s">
        <v>90</v>
      </c>
    </row>
    <row r="4" spans="1:5">
      <c r="A4" s="111"/>
    </row>
    <row r="5" spans="1:5">
      <c r="A5" s="111"/>
    </row>
    <row r="6" ht="14.25" spans="1:5">
      <c r="A6" s="111"/>
    </row>
    <row r="7" ht="13.9" spans="1:5">
      <c r="B7" s="112" t="s">
        <v>91</v>
      </c>
      <c r="C7" s="113" t="s">
        <v>92</v>
      </c>
      <c r="D7" s="113" t="s">
        <v>93</v>
      </c>
      <c r="E7" s="114" t="s">
        <v>94</v>
      </c>
    </row>
    <row r="8" spans="1:5">
      <c r="B8" s="115">
        <v>101</v>
      </c>
      <c r="C8" s="116" t="s">
        <v>95</v>
      </c>
      <c r="D8" s="117">
        <v>5.65</v>
      </c>
      <c r="E8" s="118">
        <v>11</v>
      </c>
    </row>
    <row r="9" spans="1:5">
      <c r="B9" s="115">
        <v>102</v>
      </c>
      <c r="C9" s="116" t="s">
        <v>95</v>
      </c>
      <c r="D9" s="117">
        <v>5.5</v>
      </c>
      <c r="E9" s="119">
        <v>11</v>
      </c>
    </row>
    <row r="10" ht="14.6" spans="1:5">
      <c r="B10" s="120">
        <v>103</v>
      </c>
      <c r="C10" s="121" t="s">
        <v>95</v>
      </c>
      <c r="D10" s="122">
        <v>4.75</v>
      </c>
      <c r="E10" s="123">
        <v>9.6</v>
      </c>
    </row>
    <row r="11" spans="1:5">
      <c r="B11" s="115">
        <v>201</v>
      </c>
      <c r="C11" s="116" t="s">
        <v>95</v>
      </c>
      <c r="D11" s="117">
        <v>6.25</v>
      </c>
      <c r="E11" s="118">
        <v>32</v>
      </c>
    </row>
    <row r="12" spans="1:5">
      <c r="B12" s="115">
        <v>202</v>
      </c>
      <c r="C12" s="116" t="s">
        <v>95</v>
      </c>
      <c r="D12" s="117">
        <v>6.05</v>
      </c>
      <c r="E12" s="118">
        <v>30</v>
      </c>
    </row>
    <row r="13" ht="14.6" spans="1:5">
      <c r="B13" s="120">
        <v>203</v>
      </c>
      <c r="C13" s="121" t="s">
        <v>95</v>
      </c>
      <c r="D13" s="122">
        <v>5.65</v>
      </c>
      <c r="E13" s="124">
        <v>28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zoomScale="80" zoomScaleNormal="80" workbookViewId="0">
      <pane xSplit="1" topLeftCell="B1" activePane="topRight" state="frozen"/>
      <selection/>
      <selection pane="topRight" activeCell="G32" sqref="G32"/>
    </sheetView>
  </sheetViews>
  <sheetFormatPr defaultColWidth="9" defaultRowHeight="13.85" outlineLevelRow="7"/>
  <cols>
    <col min="1" max="1" width="13.1238938053097" style="107" customWidth="1"/>
    <col min="2" max="2" width="11.6283185840708" style="107" customWidth="1"/>
    <col min="3" max="5" width="9.25663716814159" style="107" customWidth="1"/>
    <col min="6" max="6" width="10.1238938053097" style="107" customWidth="1"/>
    <col min="7" max="7" width="14.5044247787611" style="107" customWidth="1"/>
    <col min="8" max="8" width="11.7522123893805" style="107" customWidth="1"/>
    <col min="9" max="9" width="12" style="107" customWidth="1"/>
    <col min="10" max="10" width="11.3716814159292" style="107" customWidth="1"/>
    <col min="11" max="11" width="9.25663716814159" style="107" customWidth="1"/>
    <col min="12" max="12" width="17.6283185840708" style="107" customWidth="1"/>
    <col min="13" max="13" width="11.1238938053097" style="107" customWidth="1"/>
    <col min="14" max="15" width="9.25663716814159" style="107" customWidth="1"/>
    <col min="16" max="16" width="12.5044247787611" style="107" customWidth="1"/>
    <col min="17" max="17" width="9.25663716814159" style="107" customWidth="1"/>
    <col min="18" max="18" width="11.3716814159292" style="107" customWidth="1"/>
    <col min="19" max="22" width="9.25663716814159" style="107" customWidth="1"/>
    <col min="23" max="23" width="14.3716814159292" style="107" customWidth="1"/>
    <col min="24" max="27" width="9.25663716814159" style="107" customWidth="1"/>
    <col min="28" max="28" width="9.6283185840708" style="107" customWidth="1"/>
    <col min="29" max="29" width="10.6283185840708" style="107" customWidth="1"/>
    <col min="30" max="30" width="9.3716814159292" style="107" customWidth="1"/>
    <col min="31" max="31" width="10.6283185840708" style="107" customWidth="1"/>
    <col min="32" max="32" width="9.25663716814159" style="107" customWidth="1"/>
    <col min="33" max="33" width="9.3716814159292" style="107" customWidth="1"/>
    <col min="34" max="35" width="9.25663716814159" style="107" customWidth="1"/>
    <col min="36" max="44" width="9.12389380530973" style="107" customWidth="1"/>
    <col min="45" max="16384" width="9" style="107"/>
  </cols>
  <sheetData>
    <row r="1" ht="18" customHeight="1" spans="1:44">
      <c r="A1" s="108" t="s">
        <v>96</v>
      </c>
    </row>
    <row r="2" ht="15.75" customHeight="1" spans="1:44">
      <c r="A2" s="107" t="s">
        <v>97</v>
      </c>
      <c r="B2" s="107" t="s">
        <v>98</v>
      </c>
      <c r="C2" s="107" t="s">
        <v>99</v>
      </c>
      <c r="D2" s="107" t="s">
        <v>100</v>
      </c>
      <c r="E2" s="107" t="s">
        <v>101</v>
      </c>
      <c r="F2" s="107" t="s">
        <v>102</v>
      </c>
      <c r="G2" s="107" t="s">
        <v>103</v>
      </c>
      <c r="H2" s="107" t="s">
        <v>104</v>
      </c>
      <c r="I2" s="107" t="s">
        <v>47</v>
      </c>
      <c r="J2" s="107" t="s">
        <v>48</v>
      </c>
      <c r="K2" s="107" t="s">
        <v>49</v>
      </c>
      <c r="L2" s="107" t="s">
        <v>105</v>
      </c>
      <c r="M2" s="107" t="s">
        <v>54</v>
      </c>
      <c r="N2" s="107" t="s">
        <v>106</v>
      </c>
      <c r="O2" s="107" t="s">
        <v>107</v>
      </c>
      <c r="P2" s="107" t="s">
        <v>50</v>
      </c>
      <c r="Q2" s="107" t="s">
        <v>108</v>
      </c>
      <c r="R2" s="107" t="s">
        <v>51</v>
      </c>
      <c r="S2" s="107" t="s">
        <v>109</v>
      </c>
      <c r="T2" s="107" t="s">
        <v>110</v>
      </c>
      <c r="U2" s="107" t="s">
        <v>111</v>
      </c>
      <c r="V2" s="107" t="s">
        <v>56</v>
      </c>
      <c r="W2" s="107" t="s">
        <v>57</v>
      </c>
      <c r="X2" s="107" t="s">
        <v>112</v>
      </c>
      <c r="Y2" s="107" t="s">
        <v>113</v>
      </c>
      <c r="Z2" s="107" t="s">
        <v>114</v>
      </c>
      <c r="AA2" s="107" t="s">
        <v>115</v>
      </c>
      <c r="AB2" s="107" t="s">
        <v>116</v>
      </c>
      <c r="AC2" s="107" t="s">
        <v>117</v>
      </c>
      <c r="AD2" s="107" t="s">
        <v>118</v>
      </c>
      <c r="AE2" s="107" t="s">
        <v>119</v>
      </c>
      <c r="AF2" s="107" t="s">
        <v>120</v>
      </c>
      <c r="AG2" s="107" t="s">
        <v>121</v>
      </c>
      <c r="AH2" s="107" t="s">
        <v>122</v>
      </c>
      <c r="AI2" s="107" t="s">
        <v>52</v>
      </c>
      <c r="AJ2" s="107" t="s">
        <v>53</v>
      </c>
      <c r="AK2" s="107" t="s">
        <v>123</v>
      </c>
      <c r="AL2" s="107" t="s">
        <v>55</v>
      </c>
      <c r="AM2" s="107" t="s">
        <v>124</v>
      </c>
      <c r="AN2" s="107" t="s">
        <v>125</v>
      </c>
      <c r="AO2" s="107" t="s">
        <v>126</v>
      </c>
      <c r="AP2" s="107" t="s">
        <v>127</v>
      </c>
      <c r="AQ2" s="107" t="s">
        <v>128</v>
      </c>
      <c r="AR2" s="107" t="s">
        <v>129</v>
      </c>
    </row>
    <row r="3" spans="1:44">
      <c r="A3" s="107">
        <v>101</v>
      </c>
      <c r="B3" s="107">
        <v>0.83038721</v>
      </c>
      <c r="C3" s="107">
        <v>0.80211841</v>
      </c>
      <c r="D3" s="107">
        <v>-0.91125584</v>
      </c>
      <c r="E3" s="107">
        <v>8</v>
      </c>
      <c r="F3" s="107">
        <v>0.28830362</v>
      </c>
      <c r="G3" s="107">
        <v>0.083</v>
      </c>
      <c r="H3" s="107">
        <v>24</v>
      </c>
      <c r="I3" s="107">
        <v>2.4042264</v>
      </c>
      <c r="J3" s="107">
        <v>0.083</v>
      </c>
      <c r="K3" s="107">
        <v>1748.99</v>
      </c>
      <c r="L3" s="107">
        <v>1748.99</v>
      </c>
      <c r="M3" s="107">
        <v>1871.6697</v>
      </c>
      <c r="N3" s="107">
        <v>24</v>
      </c>
      <c r="O3" s="107">
        <v>1.6704</v>
      </c>
      <c r="P3" s="107">
        <v>2397.8303</v>
      </c>
      <c r="Q3" s="107">
        <v>2397.8303</v>
      </c>
      <c r="R3" s="107">
        <v>2403.6242</v>
      </c>
      <c r="S3" s="107">
        <v>2403.6242</v>
      </c>
      <c r="T3" s="107">
        <v>0.24104816</v>
      </c>
      <c r="U3" s="107">
        <v>6.2512841</v>
      </c>
      <c r="V3" s="107">
        <v>1443.0565</v>
      </c>
      <c r="W3" s="107">
        <v>416.03841</v>
      </c>
      <c r="X3" s="107">
        <v>2400.3642</v>
      </c>
      <c r="Y3" s="107">
        <v>2400.3642</v>
      </c>
      <c r="Z3" s="107">
        <v>0.10556262</v>
      </c>
      <c r="AA3" s="107">
        <v>6.2597741</v>
      </c>
      <c r="AB3" s="107">
        <v>1445.0163</v>
      </c>
      <c r="AC3" s="107">
        <v>416.60345</v>
      </c>
      <c r="AD3" s="107">
        <v>3794.8518</v>
      </c>
      <c r="AE3" s="107">
        <v>3954.0017</v>
      </c>
      <c r="AF3" s="107">
        <v>4.0250336</v>
      </c>
      <c r="AG3" s="107">
        <v>3864.454</v>
      </c>
      <c r="AH3" s="107">
        <v>1.8010889</v>
      </c>
      <c r="AI3" s="107">
        <v>1.582619</v>
      </c>
      <c r="AJ3" s="107">
        <v>1.6450166</v>
      </c>
      <c r="AK3" s="107">
        <v>1.6099449</v>
      </c>
      <c r="AL3" s="107">
        <v>684.39008</v>
      </c>
      <c r="AM3" s="107">
        <v>670.70858</v>
      </c>
    </row>
    <row r="4" spans="1:44">
      <c r="A4" s="107">
        <v>102</v>
      </c>
      <c r="B4" s="107">
        <v>0.90689387</v>
      </c>
      <c r="C4" s="107">
        <v>0.81378774</v>
      </c>
      <c r="D4" s="107">
        <v>-0.95230975</v>
      </c>
      <c r="E4" s="107">
        <v>3</v>
      </c>
      <c r="F4" s="107">
        <v>0.17114537</v>
      </c>
      <c r="G4" s="107">
        <v>4</v>
      </c>
      <c r="H4" s="107">
        <v>24</v>
      </c>
      <c r="I4" s="107">
        <v>4.0500492</v>
      </c>
      <c r="J4" s="107">
        <v>0.25</v>
      </c>
      <c r="K4" s="107">
        <v>1860.47</v>
      </c>
      <c r="L4" s="107">
        <v>1860.47</v>
      </c>
      <c r="M4" s="107">
        <v>1703.53</v>
      </c>
      <c r="N4" s="107">
        <v>24</v>
      </c>
      <c r="O4" s="107">
        <v>1.82865</v>
      </c>
      <c r="P4" s="107">
        <v>2682.0347</v>
      </c>
      <c r="Q4" s="107">
        <v>2682.0347</v>
      </c>
      <c r="R4" s="107">
        <v>2692.7195</v>
      </c>
      <c r="S4" s="107">
        <v>2692.7195</v>
      </c>
      <c r="T4" s="107">
        <v>0.39680241</v>
      </c>
      <c r="U4" s="107">
        <v>5.2509364</v>
      </c>
      <c r="V4" s="107">
        <v>2169.92</v>
      </c>
      <c r="W4" s="107">
        <v>371.37177</v>
      </c>
      <c r="X4" s="107">
        <v>2691.4486</v>
      </c>
      <c r="Y4" s="107">
        <v>2691.4486</v>
      </c>
      <c r="Z4" s="107">
        <v>0.34976771</v>
      </c>
      <c r="AA4" s="107">
        <v>5.253416</v>
      </c>
      <c r="AB4" s="107">
        <v>2170.9446</v>
      </c>
      <c r="AC4" s="107">
        <v>371.54713</v>
      </c>
      <c r="AD4" s="107">
        <v>4458.0369</v>
      </c>
      <c r="AE4" s="107">
        <v>4776.9025</v>
      </c>
      <c r="AF4" s="107">
        <v>6.6751545</v>
      </c>
      <c r="AG4" s="107">
        <v>4738.9733</v>
      </c>
      <c r="AH4" s="107">
        <v>5.9282131</v>
      </c>
      <c r="AI4" s="107">
        <v>1.6621846</v>
      </c>
      <c r="AJ4" s="107">
        <v>1.7740067</v>
      </c>
      <c r="AK4" s="107">
        <v>1.760752</v>
      </c>
      <c r="AL4" s="107">
        <v>658.816</v>
      </c>
      <c r="AM4" s="107">
        <v>654.20234</v>
      </c>
    </row>
    <row r="5" spans="1:44">
      <c r="A5" s="107">
        <v>103</v>
      </c>
      <c r="B5" s="107">
        <v>0.97606477</v>
      </c>
      <c r="C5" s="107">
        <v>0.97127773</v>
      </c>
      <c r="D5" s="107">
        <v>-0.98795991</v>
      </c>
      <c r="E5" s="107">
        <v>7</v>
      </c>
      <c r="F5" s="107">
        <v>0.70915262</v>
      </c>
      <c r="G5" s="107">
        <v>0.083</v>
      </c>
      <c r="H5" s="107">
        <v>8</v>
      </c>
      <c r="I5" s="107">
        <v>0.9774302</v>
      </c>
      <c r="J5" s="107">
        <v>0.083</v>
      </c>
      <c r="K5" s="107">
        <v>1858.04</v>
      </c>
      <c r="L5" s="107">
        <v>1858.04</v>
      </c>
      <c r="M5" s="107">
        <v>1892.9385</v>
      </c>
      <c r="N5" s="107">
        <v>8</v>
      </c>
      <c r="O5" s="107">
        <v>7.98906</v>
      </c>
      <c r="P5" s="107">
        <v>2495.1421</v>
      </c>
      <c r="Q5" s="107">
        <v>2495.1421</v>
      </c>
      <c r="R5" s="107">
        <v>2506.4078</v>
      </c>
      <c r="S5" s="107">
        <v>2506.4078</v>
      </c>
      <c r="T5" s="107">
        <v>0.44947366</v>
      </c>
      <c r="U5" s="107">
        <v>6.2107056</v>
      </c>
      <c r="V5" s="107">
        <v>562.61144</v>
      </c>
      <c r="W5" s="107">
        <v>398.97738</v>
      </c>
      <c r="X5" s="107">
        <v>2503.2865</v>
      </c>
      <c r="Y5" s="107">
        <v>2503.2865</v>
      </c>
      <c r="Z5" s="107">
        <v>0.3253491</v>
      </c>
      <c r="AA5" s="107">
        <v>6.2184494</v>
      </c>
      <c r="AB5" s="107">
        <v>563.31294</v>
      </c>
      <c r="AC5" s="107">
        <v>399.47484</v>
      </c>
      <c r="AD5" s="107">
        <v>2848.235</v>
      </c>
      <c r="AE5" s="107">
        <v>2954.2462</v>
      </c>
      <c r="AF5" s="107">
        <v>3.588435</v>
      </c>
      <c r="AG5" s="107">
        <v>2924.8751</v>
      </c>
      <c r="AH5" s="107">
        <v>2.6202857</v>
      </c>
      <c r="AI5" s="107">
        <v>1.1415121</v>
      </c>
      <c r="AJ5" s="107">
        <v>1.1786774</v>
      </c>
      <c r="AK5" s="107">
        <v>1.168414</v>
      </c>
      <c r="AL5" s="107">
        <v>470.26562</v>
      </c>
      <c r="AM5" s="107">
        <v>466.75201</v>
      </c>
    </row>
    <row r="6" spans="1:44">
      <c r="A6" s="107">
        <v>201</v>
      </c>
      <c r="B6" s="107">
        <v>0.98427136</v>
      </c>
      <c r="C6" s="107">
        <v>0.96854272</v>
      </c>
      <c r="D6" s="107">
        <v>-0.99210451</v>
      </c>
      <c r="E6" s="107">
        <v>3</v>
      </c>
      <c r="F6" s="107">
        <v>0.1941084</v>
      </c>
      <c r="G6" s="107">
        <v>6</v>
      </c>
      <c r="H6" s="107">
        <v>24</v>
      </c>
      <c r="I6" s="107">
        <v>3.5709284</v>
      </c>
      <c r="J6" s="107">
        <v>2</v>
      </c>
      <c r="K6" s="107">
        <v>2214.09</v>
      </c>
      <c r="L6" s="107">
        <v>442.818</v>
      </c>
      <c r="N6" s="107">
        <v>24</v>
      </c>
      <c r="O6" s="107">
        <v>16.4531</v>
      </c>
      <c r="P6" s="107">
        <v>12058.752</v>
      </c>
      <c r="Q6" s="107">
        <v>12058.752</v>
      </c>
      <c r="R6" s="107">
        <v>12143.514</v>
      </c>
      <c r="S6" s="107">
        <v>2428.7028</v>
      </c>
      <c r="T6" s="107">
        <v>0.69800581</v>
      </c>
      <c r="X6" s="107">
        <v>12141.146</v>
      </c>
      <c r="Y6" s="107">
        <v>2428.2292</v>
      </c>
      <c r="Z6" s="107">
        <v>0.67863867</v>
      </c>
      <c r="AD6" s="107">
        <v>53243.583</v>
      </c>
      <c r="AE6" s="107">
        <v>55714.557</v>
      </c>
      <c r="AF6" s="107">
        <v>4.4350602</v>
      </c>
      <c r="AG6" s="107">
        <v>55645.528</v>
      </c>
      <c r="AH6" s="107">
        <v>4.3165105</v>
      </c>
      <c r="AI6" s="107">
        <v>4.4153479</v>
      </c>
      <c r="AJ6" s="107">
        <v>4.5880095</v>
      </c>
      <c r="AK6" s="107">
        <v>4.5832187</v>
      </c>
      <c r="AN6" s="107">
        <v>0</v>
      </c>
      <c r="AO6" s="107">
        <v>2121.1985</v>
      </c>
      <c r="AP6" s="107">
        <v>411.74243</v>
      </c>
      <c r="AQ6" s="107">
        <v>2121.6122</v>
      </c>
      <c r="AR6" s="107">
        <v>411.82273</v>
      </c>
    </row>
    <row r="7" spans="1:44">
      <c r="A7" s="107">
        <v>202</v>
      </c>
      <c r="B7" s="107">
        <v>0.94928636</v>
      </c>
      <c r="C7" s="107">
        <v>0.89857272</v>
      </c>
      <c r="D7" s="107">
        <v>-0.97431328</v>
      </c>
      <c r="E7" s="107">
        <v>3</v>
      </c>
      <c r="F7" s="107">
        <v>0.17716495</v>
      </c>
      <c r="G7" s="107">
        <v>6</v>
      </c>
      <c r="H7" s="107">
        <v>24</v>
      </c>
      <c r="I7" s="107">
        <v>3.9124397</v>
      </c>
      <c r="J7" s="107">
        <v>4</v>
      </c>
      <c r="K7" s="107">
        <v>2962.27</v>
      </c>
      <c r="L7" s="107">
        <v>592.454</v>
      </c>
      <c r="N7" s="107">
        <v>24</v>
      </c>
      <c r="O7" s="107">
        <v>24.5254</v>
      </c>
      <c r="P7" s="107">
        <v>16053.983</v>
      </c>
      <c r="Q7" s="107">
        <v>16053.983</v>
      </c>
      <c r="R7" s="107">
        <v>16192.415</v>
      </c>
      <c r="S7" s="107">
        <v>3238.483</v>
      </c>
      <c r="T7" s="107">
        <v>0.85492234</v>
      </c>
      <c r="X7" s="107">
        <v>16186.022</v>
      </c>
      <c r="Y7" s="107">
        <v>3237.2044</v>
      </c>
      <c r="Z7" s="107">
        <v>0.81576139</v>
      </c>
      <c r="AD7" s="107">
        <v>66667.447</v>
      </c>
      <c r="AE7" s="107">
        <v>70771.206</v>
      </c>
      <c r="AF7" s="107">
        <v>5.7986274</v>
      </c>
      <c r="AG7" s="107">
        <v>70581.681</v>
      </c>
      <c r="AH7" s="107">
        <v>5.5456796</v>
      </c>
      <c r="AI7" s="107">
        <v>4.1527046</v>
      </c>
      <c r="AJ7" s="107">
        <v>4.3706393</v>
      </c>
      <c r="AK7" s="107">
        <v>4.3606565</v>
      </c>
      <c r="AN7" s="107">
        <v>0</v>
      </c>
      <c r="AO7" s="107">
        <v>1742.9325</v>
      </c>
      <c r="AP7" s="107">
        <v>308.78655</v>
      </c>
      <c r="AQ7" s="107">
        <v>1743.621</v>
      </c>
      <c r="AR7" s="107">
        <v>308.90852</v>
      </c>
    </row>
    <row r="8" spans="1:44">
      <c r="A8" s="107">
        <v>203</v>
      </c>
      <c r="B8" s="107">
        <v>0.96476497</v>
      </c>
      <c r="C8" s="107">
        <v>0.92952994</v>
      </c>
      <c r="D8" s="107">
        <v>-0.9822245</v>
      </c>
      <c r="E8" s="107">
        <v>3</v>
      </c>
      <c r="F8" s="107">
        <v>0.2182898</v>
      </c>
      <c r="G8" s="107">
        <v>6</v>
      </c>
      <c r="H8" s="107">
        <v>24</v>
      </c>
      <c r="I8" s="107">
        <v>3.175353</v>
      </c>
      <c r="J8" s="107">
        <v>4</v>
      </c>
      <c r="K8" s="107">
        <v>1820.54</v>
      </c>
      <c r="L8" s="107">
        <v>364.108</v>
      </c>
      <c r="N8" s="107">
        <v>24</v>
      </c>
      <c r="O8" s="107">
        <v>12.6325</v>
      </c>
      <c r="P8" s="107">
        <v>10662.877</v>
      </c>
      <c r="Q8" s="107">
        <v>10662.877</v>
      </c>
      <c r="R8" s="107">
        <v>10720.747</v>
      </c>
      <c r="S8" s="107">
        <v>2144.1494</v>
      </c>
      <c r="T8" s="107">
        <v>0.53979743</v>
      </c>
      <c r="X8" s="107">
        <v>10718.026</v>
      </c>
      <c r="Y8" s="107">
        <v>2143.6051</v>
      </c>
      <c r="Z8" s="107">
        <v>0.51454218</v>
      </c>
      <c r="AD8" s="107">
        <v>50228.973</v>
      </c>
      <c r="AE8" s="107">
        <v>51882.968</v>
      </c>
      <c r="AF8" s="107">
        <v>3.1879351</v>
      </c>
      <c r="AG8" s="107">
        <v>51805.183</v>
      </c>
      <c r="AH8" s="107">
        <v>3.0425728</v>
      </c>
      <c r="AI8" s="107">
        <v>4.7106399</v>
      </c>
      <c r="AJ8" s="107">
        <v>4.8394919</v>
      </c>
      <c r="AK8" s="107">
        <v>4.8334633</v>
      </c>
      <c r="AN8" s="107">
        <v>0</v>
      </c>
      <c r="AO8" s="107">
        <v>2136.5424</v>
      </c>
      <c r="AP8" s="107">
        <v>466.38541</v>
      </c>
      <c r="AQ8" s="107">
        <v>2137.0849</v>
      </c>
      <c r="AR8" s="107">
        <v>466.50383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workbookViewId="0">
      <selection activeCell="I8" sqref="I8"/>
    </sheetView>
  </sheetViews>
  <sheetFormatPr defaultColWidth="9" defaultRowHeight="13.85"/>
  <cols>
    <col min="1" max="1" width="26.1238938053097" style="105" customWidth="1"/>
    <col min="2" max="16384" width="9" style="105"/>
  </cols>
  <sheetData>
    <row r="1" spans="1:6">
      <c r="A1" s="105" t="s">
        <v>130</v>
      </c>
    </row>
    <row r="2" spans="1:6">
      <c r="A2" s="105" t="s">
        <v>131</v>
      </c>
    </row>
    <row r="3" spans="1:6">
      <c r="A3" s="105" t="s">
        <v>132</v>
      </c>
    </row>
    <row r="5" spans="1:6">
      <c r="A5" s="105" t="s">
        <v>133</v>
      </c>
    </row>
    <row r="6" spans="1:6">
      <c r="A6" s="105" t="s">
        <v>134</v>
      </c>
    </row>
    <row r="7" spans="1:6">
      <c r="A7" s="105" t="s">
        <v>135</v>
      </c>
    </row>
    <row r="9" spans="1:6">
      <c r="A9" s="105" t="s">
        <v>136</v>
      </c>
      <c r="B9" s="105" t="s">
        <v>137</v>
      </c>
      <c r="C9" s="105" t="s">
        <v>138</v>
      </c>
      <c r="D9" s="105" t="s">
        <v>139</v>
      </c>
      <c r="E9" s="105" t="s">
        <v>140</v>
      </c>
      <c r="F9" s="105" t="s">
        <v>141</v>
      </c>
    </row>
    <row r="10" spans="1:6">
      <c r="A10" s="105" t="s">
        <v>142</v>
      </c>
      <c r="B10" s="105">
        <v>0.000619</v>
      </c>
    </row>
    <row r="11" spans="1:6">
      <c r="A11" s="105" t="s">
        <v>143</v>
      </c>
      <c r="B11" s="105">
        <v>0.00184</v>
      </c>
    </row>
    <row r="12" spans="1:6">
      <c r="A12" s="105" t="s">
        <v>144</v>
      </c>
      <c r="B12" s="105">
        <v>0.9966</v>
      </c>
    </row>
    <row r="13" spans="1:6">
      <c r="A13" s="105" t="s">
        <v>145</v>
      </c>
    </row>
    <row r="17" spans="1:13">
      <c r="A17" s="105" t="s">
        <v>146</v>
      </c>
      <c r="B17" s="105" t="s">
        <v>147</v>
      </c>
      <c r="C17" s="105" t="s">
        <v>148</v>
      </c>
      <c r="D17" s="105" t="s">
        <v>149</v>
      </c>
      <c r="E17" s="105" t="s">
        <v>150</v>
      </c>
      <c r="F17" s="105" t="s">
        <v>151</v>
      </c>
      <c r="G17" s="105" t="s">
        <v>152</v>
      </c>
      <c r="H17" s="105" t="s">
        <v>153</v>
      </c>
      <c r="I17" s="105" t="s">
        <v>154</v>
      </c>
      <c r="J17" s="105" t="s">
        <v>155</v>
      </c>
      <c r="K17" s="105" t="s">
        <v>156</v>
      </c>
      <c r="L17" s="105" t="s">
        <v>157</v>
      </c>
      <c r="M17" s="105" t="s">
        <v>158</v>
      </c>
    </row>
    <row r="18" spans="1:13">
      <c r="A18" s="105" t="s">
        <v>159</v>
      </c>
      <c r="B18" s="105" t="s">
        <v>160</v>
      </c>
      <c r="C18" s="105">
        <v>1</v>
      </c>
      <c r="D18" s="106">
        <v>0</v>
      </c>
      <c r="E18" s="105">
        <v>0</v>
      </c>
      <c r="F18" s="105">
        <v>0</v>
      </c>
      <c r="G18" s="105" t="e">
        <v>#DIV/0!</v>
      </c>
      <c r="H18" s="106">
        <v>0</v>
      </c>
      <c r="I18" s="105">
        <v>0</v>
      </c>
      <c r="K18" s="105">
        <v>0</v>
      </c>
      <c r="L18" s="105" t="s">
        <v>161</v>
      </c>
      <c r="M18" s="105" t="s">
        <v>161</v>
      </c>
    </row>
    <row r="19" spans="1:13">
      <c r="A19" s="105" t="s">
        <v>162</v>
      </c>
      <c r="B19" s="105" t="s">
        <v>159</v>
      </c>
      <c r="C19" s="105">
        <v>1</v>
      </c>
      <c r="D19" s="106">
        <v>0</v>
      </c>
      <c r="E19" s="105">
        <v>0</v>
      </c>
      <c r="F19" s="105">
        <v>0</v>
      </c>
      <c r="G19" s="106">
        <v>0</v>
      </c>
      <c r="H19" s="106">
        <v>656000</v>
      </c>
      <c r="I19" s="105">
        <v>1.61</v>
      </c>
      <c r="K19" s="105">
        <v>0</v>
      </c>
      <c r="L19" s="105" t="s">
        <v>161</v>
      </c>
      <c r="M19" s="105" t="s">
        <v>161</v>
      </c>
    </row>
    <row r="20" spans="1:13">
      <c r="A20" s="105" t="s">
        <v>163</v>
      </c>
      <c r="B20" s="105" t="s">
        <v>164</v>
      </c>
      <c r="C20" s="105">
        <v>1</v>
      </c>
      <c r="D20" s="106">
        <v>1570</v>
      </c>
      <c r="E20" s="105">
        <v>1</v>
      </c>
      <c r="F20" s="105">
        <v>1.57</v>
      </c>
      <c r="G20" s="106">
        <v>0.0025</v>
      </c>
      <c r="H20" s="106">
        <v>627000</v>
      </c>
      <c r="I20" s="105">
        <v>1.61</v>
      </c>
      <c r="J20" s="105">
        <v>1</v>
      </c>
      <c r="K20" s="105">
        <v>0</v>
      </c>
      <c r="L20" s="105">
        <v>1.02346</v>
      </c>
      <c r="M20" s="105">
        <v>102.346</v>
      </c>
    </row>
    <row r="21" spans="1:13">
      <c r="A21" s="105" t="s">
        <v>165</v>
      </c>
      <c r="B21" s="105" t="s">
        <v>164</v>
      </c>
      <c r="C21" s="105">
        <v>1</v>
      </c>
      <c r="D21" s="106">
        <v>5540</v>
      </c>
      <c r="E21" s="105">
        <v>5</v>
      </c>
      <c r="F21" s="105">
        <v>1.58</v>
      </c>
      <c r="G21" s="106">
        <v>0.00861</v>
      </c>
      <c r="H21" s="106">
        <v>643000</v>
      </c>
      <c r="I21" s="105">
        <v>1.61</v>
      </c>
      <c r="J21" s="105">
        <v>1</v>
      </c>
      <c r="K21" s="105">
        <v>0</v>
      </c>
      <c r="L21" s="105">
        <v>4.34476</v>
      </c>
      <c r="M21" s="105">
        <v>86.8952</v>
      </c>
    </row>
    <row r="22" spans="1:13">
      <c r="A22" s="105" t="s">
        <v>166</v>
      </c>
      <c r="B22" s="105" t="s">
        <v>164</v>
      </c>
      <c r="C22" s="105">
        <v>1</v>
      </c>
      <c r="D22" s="106">
        <v>12400</v>
      </c>
      <c r="E22" s="105">
        <v>10</v>
      </c>
      <c r="F22" s="105">
        <v>1.57</v>
      </c>
      <c r="G22" s="106">
        <v>0.019</v>
      </c>
      <c r="H22" s="106">
        <v>653000</v>
      </c>
      <c r="I22" s="105">
        <v>1.61</v>
      </c>
      <c r="J22" s="105">
        <v>1</v>
      </c>
      <c r="K22" s="105">
        <v>0</v>
      </c>
      <c r="L22" s="105">
        <v>9.97298</v>
      </c>
      <c r="M22" s="105">
        <v>99.7298</v>
      </c>
    </row>
    <row r="23" spans="1:13">
      <c r="A23" s="105" t="s">
        <v>167</v>
      </c>
      <c r="B23" s="105" t="s">
        <v>164</v>
      </c>
      <c r="C23" s="105">
        <v>1</v>
      </c>
      <c r="D23" s="106">
        <v>66300</v>
      </c>
      <c r="E23" s="105">
        <v>50</v>
      </c>
      <c r="F23" s="105">
        <v>1.57</v>
      </c>
      <c r="G23" s="106">
        <v>0.105</v>
      </c>
      <c r="H23" s="106">
        <v>634000</v>
      </c>
      <c r="I23" s="105">
        <v>1.61</v>
      </c>
      <c r="J23" s="105">
        <v>1</v>
      </c>
      <c r="K23" s="105">
        <v>0</v>
      </c>
      <c r="L23" s="105">
        <v>56.592</v>
      </c>
      <c r="M23" s="105">
        <v>113.184</v>
      </c>
    </row>
    <row r="24" spans="1:13">
      <c r="A24" s="105" t="s">
        <v>168</v>
      </c>
      <c r="B24" s="105" t="s">
        <v>164</v>
      </c>
      <c r="C24" s="105">
        <v>1</v>
      </c>
      <c r="D24" s="106">
        <v>126000</v>
      </c>
      <c r="E24" s="105">
        <v>100</v>
      </c>
      <c r="F24" s="105">
        <v>1.57</v>
      </c>
      <c r="G24" s="106">
        <v>0.194</v>
      </c>
      <c r="H24" s="106">
        <v>648000</v>
      </c>
      <c r="I24" s="105">
        <v>1.61</v>
      </c>
      <c r="J24" s="105">
        <v>1</v>
      </c>
      <c r="K24" s="105">
        <v>0</v>
      </c>
      <c r="L24" s="105">
        <v>105.081</v>
      </c>
      <c r="M24" s="105">
        <v>105.081</v>
      </c>
    </row>
    <row r="25" spans="1:13">
      <c r="A25" s="105" t="s">
        <v>169</v>
      </c>
      <c r="B25" s="105" t="s">
        <v>164</v>
      </c>
      <c r="C25" s="105">
        <v>1</v>
      </c>
      <c r="D25" s="106">
        <v>241000</v>
      </c>
      <c r="E25" s="105">
        <v>200</v>
      </c>
      <c r="F25" s="105">
        <v>1.57</v>
      </c>
      <c r="G25" s="106">
        <v>0.363</v>
      </c>
      <c r="H25" s="106">
        <v>665000</v>
      </c>
      <c r="I25" s="105">
        <v>1.61</v>
      </c>
      <c r="J25" s="105">
        <v>1</v>
      </c>
      <c r="K25" s="105">
        <v>0</v>
      </c>
      <c r="L25" s="105">
        <v>197.094</v>
      </c>
      <c r="M25" s="105">
        <v>98.5471</v>
      </c>
    </row>
    <row r="26" spans="1:13">
      <c r="A26" s="105" t="s">
        <v>170</v>
      </c>
      <c r="B26" s="105" t="s">
        <v>164</v>
      </c>
      <c r="C26" s="105">
        <v>1</v>
      </c>
      <c r="D26" s="106">
        <v>593000</v>
      </c>
      <c r="E26" s="105">
        <v>500</v>
      </c>
      <c r="F26" s="105">
        <v>1.58</v>
      </c>
      <c r="G26" s="106">
        <v>0.929</v>
      </c>
      <c r="H26" s="106">
        <v>639000</v>
      </c>
      <c r="I26" s="105">
        <v>1.61</v>
      </c>
      <c r="J26" s="105">
        <v>1</v>
      </c>
      <c r="K26" s="105">
        <v>0</v>
      </c>
      <c r="L26" s="105">
        <v>504.707</v>
      </c>
      <c r="M26" s="105">
        <v>100.941</v>
      </c>
    </row>
    <row r="27" spans="1:13">
      <c r="A27" s="105" t="s">
        <v>171</v>
      </c>
      <c r="B27" s="105" t="s">
        <v>164</v>
      </c>
      <c r="C27" s="105">
        <v>1</v>
      </c>
      <c r="D27" s="106">
        <v>1180000</v>
      </c>
      <c r="E27" s="105">
        <v>1000</v>
      </c>
      <c r="F27" s="105">
        <v>1.57</v>
      </c>
      <c r="G27" s="106">
        <v>1.72</v>
      </c>
      <c r="H27" s="106">
        <v>687000</v>
      </c>
      <c r="I27" s="105">
        <v>1.61</v>
      </c>
      <c r="J27" s="105">
        <v>1</v>
      </c>
      <c r="K27" s="105">
        <v>0</v>
      </c>
      <c r="L27" s="105">
        <v>932.764</v>
      </c>
      <c r="M27" s="105">
        <v>93.2764</v>
      </c>
    </row>
    <row r="28" spans="1:13">
      <c r="A28" s="105" t="s">
        <v>172</v>
      </c>
      <c r="B28" s="105" t="s">
        <v>173</v>
      </c>
      <c r="C28" s="105">
        <v>1</v>
      </c>
      <c r="D28" s="106">
        <v>1300</v>
      </c>
      <c r="E28" s="105" t="s">
        <v>161</v>
      </c>
      <c r="F28" s="105">
        <v>1.57</v>
      </c>
      <c r="G28" s="106">
        <v>1.32</v>
      </c>
      <c r="H28" s="106">
        <v>983</v>
      </c>
      <c r="I28" s="105">
        <v>1.61</v>
      </c>
      <c r="K28" s="105">
        <v>0</v>
      </c>
      <c r="L28" s="105">
        <v>718.825</v>
      </c>
      <c r="M28" s="105" t="s">
        <v>161</v>
      </c>
    </row>
    <row r="29" spans="1:13">
      <c r="A29" s="105" t="s">
        <v>172</v>
      </c>
      <c r="B29" s="105" t="s">
        <v>173</v>
      </c>
      <c r="C29" s="105">
        <v>1</v>
      </c>
      <c r="D29" s="106">
        <v>0</v>
      </c>
      <c r="E29" s="105" t="s">
        <v>161</v>
      </c>
      <c r="F29" s="105">
        <v>0</v>
      </c>
      <c r="G29" s="105" t="e">
        <v>#DIV/0!</v>
      </c>
      <c r="H29" s="106">
        <v>0</v>
      </c>
      <c r="I29" s="105">
        <v>0</v>
      </c>
      <c r="K29" s="105">
        <v>0</v>
      </c>
      <c r="L29" s="105" t="e">
        <v>#DIV/0!</v>
      </c>
      <c r="M29" s="105" t="s">
        <v>161</v>
      </c>
    </row>
    <row r="30" spans="1:13">
      <c r="A30" s="105" t="s">
        <v>172</v>
      </c>
      <c r="B30" s="105" t="s">
        <v>173</v>
      </c>
      <c r="C30" s="105">
        <v>1</v>
      </c>
      <c r="D30" s="106">
        <v>0</v>
      </c>
      <c r="E30" s="105" t="s">
        <v>161</v>
      </c>
      <c r="F30" s="105">
        <v>0</v>
      </c>
      <c r="G30" s="105" t="e">
        <v>#DIV/0!</v>
      </c>
      <c r="H30" s="106">
        <v>0</v>
      </c>
      <c r="I30" s="105">
        <v>0</v>
      </c>
      <c r="K30" s="105">
        <v>0</v>
      </c>
      <c r="L30" s="105" t="e">
        <v>#DIV/0!</v>
      </c>
      <c r="M30" s="105" t="s">
        <v>161</v>
      </c>
    </row>
    <row r="31" spans="1:13">
      <c r="A31" s="105" t="s">
        <v>172</v>
      </c>
      <c r="B31" s="105" t="s">
        <v>173</v>
      </c>
      <c r="C31" s="105">
        <v>1</v>
      </c>
      <c r="D31" s="106">
        <v>0</v>
      </c>
      <c r="E31" s="105" t="s">
        <v>161</v>
      </c>
      <c r="F31" s="105">
        <v>0</v>
      </c>
      <c r="G31" s="105" t="e">
        <v>#DIV/0!</v>
      </c>
      <c r="H31" s="106">
        <v>0</v>
      </c>
      <c r="I31" s="105">
        <v>0</v>
      </c>
      <c r="K31" s="105">
        <v>0</v>
      </c>
      <c r="L31" s="105" t="e">
        <v>#DIV/0!</v>
      </c>
      <c r="M31" s="105" t="s">
        <v>161</v>
      </c>
    </row>
    <row r="32" spans="1:13">
      <c r="A32" s="105" t="s">
        <v>174</v>
      </c>
      <c r="B32" s="105" t="s">
        <v>175</v>
      </c>
      <c r="C32" s="105">
        <v>1</v>
      </c>
      <c r="D32" s="106">
        <v>4690</v>
      </c>
      <c r="E32" s="105">
        <v>3</v>
      </c>
      <c r="F32" s="105">
        <v>1.58</v>
      </c>
      <c r="G32" s="106">
        <v>0.00721</v>
      </c>
      <c r="H32" s="106">
        <v>650000</v>
      </c>
      <c r="I32" s="105">
        <v>1.61</v>
      </c>
      <c r="J32" s="105">
        <v>1</v>
      </c>
      <c r="K32" s="105">
        <v>0</v>
      </c>
      <c r="L32" s="105">
        <v>3.5867</v>
      </c>
      <c r="M32" s="105">
        <v>119.557</v>
      </c>
    </row>
    <row r="33" spans="1:13">
      <c r="A33" s="105" t="s">
        <v>176</v>
      </c>
      <c r="B33" s="105" t="s">
        <v>175</v>
      </c>
      <c r="C33" s="105">
        <v>1</v>
      </c>
      <c r="D33" s="106">
        <v>477000</v>
      </c>
      <c r="E33" s="105">
        <v>400</v>
      </c>
      <c r="F33" s="105">
        <v>1.57</v>
      </c>
      <c r="G33" s="106">
        <v>0.746</v>
      </c>
      <c r="H33" s="106">
        <v>640000</v>
      </c>
      <c r="I33" s="105">
        <v>1.61</v>
      </c>
      <c r="J33" s="105">
        <v>1</v>
      </c>
      <c r="K33" s="105">
        <v>0</v>
      </c>
      <c r="L33" s="105">
        <v>405.384</v>
      </c>
      <c r="M33" s="105">
        <v>101.346</v>
      </c>
    </row>
    <row r="34" spans="1:13">
      <c r="A34" s="105" t="s">
        <v>177</v>
      </c>
      <c r="B34" s="105" t="s">
        <v>175</v>
      </c>
      <c r="C34" s="105">
        <v>1</v>
      </c>
      <c r="D34" s="106">
        <v>1010000</v>
      </c>
      <c r="E34" s="105">
        <v>800</v>
      </c>
      <c r="F34" s="105">
        <v>1.57</v>
      </c>
      <c r="G34" s="106">
        <v>1.58</v>
      </c>
      <c r="H34" s="106">
        <v>642000</v>
      </c>
      <c r="I34" s="105">
        <v>1.61</v>
      </c>
      <c r="J34" s="105">
        <v>1</v>
      </c>
      <c r="K34" s="105">
        <v>0</v>
      </c>
      <c r="L34" s="105">
        <v>858.099</v>
      </c>
      <c r="M34" s="105">
        <v>107.262</v>
      </c>
    </row>
    <row r="35" spans="1:13">
      <c r="A35" s="105" t="s">
        <v>178</v>
      </c>
      <c r="B35" s="105" t="s">
        <v>175</v>
      </c>
      <c r="C35" s="105">
        <v>20</v>
      </c>
      <c r="D35" s="106">
        <v>130000</v>
      </c>
      <c r="E35" s="105">
        <v>2000</v>
      </c>
      <c r="F35" s="105">
        <v>1.57</v>
      </c>
      <c r="G35" s="106">
        <v>0.192</v>
      </c>
      <c r="H35" s="106">
        <v>677000</v>
      </c>
      <c r="I35" s="105">
        <v>1.61</v>
      </c>
      <c r="J35" s="105">
        <v>1</v>
      </c>
      <c r="K35" s="105">
        <v>0</v>
      </c>
      <c r="L35" s="105">
        <v>2076.13</v>
      </c>
      <c r="M35" s="105">
        <v>103.806</v>
      </c>
    </row>
    <row r="36" spans="1:13">
      <c r="A36" s="105" t="s">
        <v>172</v>
      </c>
      <c r="B36" s="105" t="s">
        <v>173</v>
      </c>
      <c r="C36" s="105">
        <v>1</v>
      </c>
      <c r="D36" s="106">
        <v>0</v>
      </c>
      <c r="E36" s="105" t="s">
        <v>161</v>
      </c>
      <c r="F36" s="105">
        <v>0</v>
      </c>
      <c r="G36" s="105" t="e">
        <v>#DIV/0!</v>
      </c>
      <c r="H36" s="106">
        <v>0</v>
      </c>
      <c r="I36" s="105">
        <v>0</v>
      </c>
      <c r="K36" s="105">
        <v>0</v>
      </c>
      <c r="L36" s="105" t="e">
        <v>#DIV/0!</v>
      </c>
      <c r="M36" s="105" t="s">
        <v>161</v>
      </c>
    </row>
    <row r="37" spans="1:13">
      <c r="A37" s="105" t="s">
        <v>172</v>
      </c>
      <c r="B37" s="105" t="s">
        <v>173</v>
      </c>
      <c r="C37" s="105">
        <v>1</v>
      </c>
      <c r="D37" s="106">
        <v>0</v>
      </c>
      <c r="E37" s="105" t="s">
        <v>161</v>
      </c>
      <c r="F37" s="105">
        <v>0</v>
      </c>
      <c r="G37" s="105" t="e">
        <v>#DIV/0!</v>
      </c>
      <c r="H37" s="106">
        <v>0</v>
      </c>
      <c r="I37" s="105">
        <v>0</v>
      </c>
      <c r="K37" s="105">
        <v>0</v>
      </c>
      <c r="L37" s="105" t="e">
        <v>#DIV/0!</v>
      </c>
      <c r="M37" s="105" t="s">
        <v>161</v>
      </c>
    </row>
    <row r="38" spans="1:13">
      <c r="A38" s="105" t="s">
        <v>172</v>
      </c>
      <c r="B38" s="105" t="s">
        <v>173</v>
      </c>
      <c r="C38" s="105">
        <v>1</v>
      </c>
      <c r="D38" s="106">
        <v>0</v>
      </c>
      <c r="E38" s="105" t="s">
        <v>161</v>
      </c>
      <c r="F38" s="105">
        <v>0</v>
      </c>
      <c r="G38" s="105" t="e">
        <v>#DIV/0!</v>
      </c>
      <c r="H38" s="106">
        <v>0</v>
      </c>
      <c r="I38" s="105">
        <v>0</v>
      </c>
      <c r="K38" s="105">
        <v>0</v>
      </c>
      <c r="L38" s="105" t="e">
        <v>#DIV/0!</v>
      </c>
      <c r="M38" s="105" t="s">
        <v>161</v>
      </c>
    </row>
    <row r="39" spans="1:13">
      <c r="A39" s="105" t="s">
        <v>172</v>
      </c>
      <c r="B39" s="105" t="s">
        <v>173</v>
      </c>
      <c r="C39" s="105">
        <v>1</v>
      </c>
      <c r="D39" s="106">
        <v>0</v>
      </c>
      <c r="E39" s="105" t="s">
        <v>161</v>
      </c>
      <c r="F39" s="105">
        <v>0</v>
      </c>
      <c r="G39" s="105" t="e">
        <v>#DIV/0!</v>
      </c>
      <c r="H39" s="106">
        <v>0</v>
      </c>
      <c r="I39" s="105">
        <v>0</v>
      </c>
      <c r="K39" s="105">
        <v>0</v>
      </c>
      <c r="L39" s="105" t="e">
        <v>#DIV/0!</v>
      </c>
      <c r="M39" s="105" t="s">
        <v>161</v>
      </c>
    </row>
    <row r="40" spans="1:13">
      <c r="A40" s="105" t="s">
        <v>179</v>
      </c>
      <c r="B40" s="105" t="s">
        <v>173</v>
      </c>
      <c r="C40" s="105">
        <v>20</v>
      </c>
      <c r="D40" s="106">
        <v>120000</v>
      </c>
      <c r="E40" s="105" t="s">
        <v>161</v>
      </c>
      <c r="F40" s="105">
        <v>1.57</v>
      </c>
      <c r="G40" s="106">
        <v>0.161</v>
      </c>
      <c r="H40" s="106">
        <v>741000</v>
      </c>
      <c r="I40" s="105">
        <v>1.61</v>
      </c>
      <c r="K40" s="105">
        <v>0</v>
      </c>
      <c r="L40" s="105">
        <v>1748.99</v>
      </c>
      <c r="M40" s="105" t="s">
        <v>161</v>
      </c>
    </row>
    <row r="41" spans="1:13">
      <c r="A41" s="105" t="s">
        <v>180</v>
      </c>
      <c r="B41" s="105" t="s">
        <v>173</v>
      </c>
      <c r="C41" s="105">
        <v>20</v>
      </c>
      <c r="D41" s="106">
        <v>104000</v>
      </c>
      <c r="E41" s="105" t="s">
        <v>161</v>
      </c>
      <c r="F41" s="105">
        <v>1.57</v>
      </c>
      <c r="G41" s="106">
        <v>0.141</v>
      </c>
      <c r="H41" s="106">
        <v>737000</v>
      </c>
      <c r="I41" s="105">
        <v>1.61</v>
      </c>
      <c r="K41" s="105">
        <v>0</v>
      </c>
      <c r="L41" s="105">
        <v>1525.98</v>
      </c>
      <c r="M41" s="105" t="s">
        <v>161</v>
      </c>
    </row>
    <row r="42" spans="1:13">
      <c r="A42" s="105" t="s">
        <v>181</v>
      </c>
      <c r="B42" s="105" t="s">
        <v>173</v>
      </c>
      <c r="C42" s="105">
        <v>20</v>
      </c>
      <c r="D42" s="106">
        <v>93600</v>
      </c>
      <c r="E42" s="105" t="s">
        <v>161</v>
      </c>
      <c r="F42" s="105">
        <v>1.57</v>
      </c>
      <c r="G42" s="106">
        <v>0.128</v>
      </c>
      <c r="H42" s="106">
        <v>732000</v>
      </c>
      <c r="I42" s="105">
        <v>1.61</v>
      </c>
      <c r="K42" s="105">
        <v>0</v>
      </c>
      <c r="L42" s="105">
        <v>1384.1</v>
      </c>
      <c r="M42" s="105" t="s">
        <v>161</v>
      </c>
    </row>
    <row r="43" spans="1:13">
      <c r="A43" s="105" t="s">
        <v>182</v>
      </c>
      <c r="B43" s="105" t="s">
        <v>173</v>
      </c>
      <c r="C43" s="105">
        <v>20</v>
      </c>
      <c r="D43" s="106">
        <v>37000</v>
      </c>
      <c r="E43" s="105" t="s">
        <v>161</v>
      </c>
      <c r="F43" s="105">
        <v>1.57</v>
      </c>
      <c r="G43" s="106">
        <v>0.0576</v>
      </c>
      <c r="H43" s="106">
        <v>642000</v>
      </c>
      <c r="I43" s="105">
        <v>1.61</v>
      </c>
      <c r="K43" s="105">
        <v>0</v>
      </c>
      <c r="L43" s="105">
        <v>620.013</v>
      </c>
      <c r="M43" s="105" t="s">
        <v>161</v>
      </c>
    </row>
    <row r="44" spans="1:13">
      <c r="A44" s="105" t="s">
        <v>183</v>
      </c>
      <c r="B44" s="105" t="s">
        <v>173</v>
      </c>
      <c r="C44" s="105">
        <v>20</v>
      </c>
      <c r="D44" s="106">
        <v>18800</v>
      </c>
      <c r="E44" s="105" t="s">
        <v>161</v>
      </c>
      <c r="F44" s="105">
        <v>1.58</v>
      </c>
      <c r="G44" s="106">
        <v>0.0291</v>
      </c>
      <c r="H44" s="106">
        <v>646000</v>
      </c>
      <c r="I44" s="105">
        <v>1.61</v>
      </c>
      <c r="K44" s="105">
        <v>0</v>
      </c>
      <c r="L44" s="105">
        <v>309.647</v>
      </c>
      <c r="M44" s="105" t="s">
        <v>161</v>
      </c>
    </row>
    <row r="45" spans="1:13">
      <c r="A45" s="105" t="s">
        <v>184</v>
      </c>
      <c r="B45" s="105" t="s">
        <v>173</v>
      </c>
      <c r="C45" s="105">
        <v>1</v>
      </c>
      <c r="D45" s="106">
        <v>80600</v>
      </c>
      <c r="E45" s="105" t="s">
        <v>161</v>
      </c>
      <c r="F45" s="105">
        <v>1.57</v>
      </c>
      <c r="G45" s="106">
        <v>0.131</v>
      </c>
      <c r="H45" s="106">
        <v>617000</v>
      </c>
      <c r="I45" s="105">
        <v>1.61</v>
      </c>
      <c r="K45" s="105">
        <v>0</v>
      </c>
      <c r="L45" s="105">
        <v>70.7415</v>
      </c>
      <c r="M45" s="105" t="s">
        <v>161</v>
      </c>
    </row>
    <row r="46" spans="1:13">
      <c r="A46" s="105" t="s">
        <v>185</v>
      </c>
      <c r="B46" s="105" t="s">
        <v>173</v>
      </c>
      <c r="C46" s="105">
        <v>1</v>
      </c>
      <c r="D46" s="106">
        <v>12600</v>
      </c>
      <c r="E46" s="105" t="s">
        <v>161</v>
      </c>
      <c r="F46" s="105">
        <v>1.57</v>
      </c>
      <c r="G46" s="106">
        <v>0.0207</v>
      </c>
      <c r="H46" s="106">
        <v>610000</v>
      </c>
      <c r="I46" s="105">
        <v>1.61</v>
      </c>
      <c r="K46" s="105">
        <v>0</v>
      </c>
      <c r="L46" s="105">
        <v>10.926</v>
      </c>
      <c r="M46" s="105" t="s">
        <v>161</v>
      </c>
    </row>
    <row r="47" spans="1:13">
      <c r="A47" s="105" t="s">
        <v>186</v>
      </c>
      <c r="B47" s="105" t="s">
        <v>173</v>
      </c>
      <c r="C47" s="105">
        <v>1</v>
      </c>
      <c r="D47" s="106">
        <v>2290</v>
      </c>
      <c r="E47" s="105" t="s">
        <v>161</v>
      </c>
      <c r="F47" s="105">
        <v>1.58</v>
      </c>
      <c r="G47" s="106">
        <v>0.00369</v>
      </c>
      <c r="H47" s="106">
        <v>622000</v>
      </c>
      <c r="I47" s="105">
        <v>1.61</v>
      </c>
      <c r="K47" s="105">
        <v>0</v>
      </c>
      <c r="L47" s="105">
        <v>1.6704</v>
      </c>
      <c r="M47" s="105" t="s">
        <v>161</v>
      </c>
    </row>
    <row r="48" spans="1:13">
      <c r="A48" s="105" t="s">
        <v>187</v>
      </c>
      <c r="B48" s="105" t="s">
        <v>173</v>
      </c>
      <c r="C48" s="105">
        <v>20</v>
      </c>
      <c r="D48" s="106">
        <v>93500</v>
      </c>
      <c r="E48" s="105" t="s">
        <v>161</v>
      </c>
      <c r="F48" s="105">
        <v>1.57</v>
      </c>
      <c r="G48" s="106">
        <v>0.144</v>
      </c>
      <c r="H48" s="106">
        <v>649000</v>
      </c>
      <c r="I48" s="105">
        <v>1.61</v>
      </c>
      <c r="K48" s="105">
        <v>0</v>
      </c>
      <c r="L48" s="105">
        <v>1560.18</v>
      </c>
      <c r="M48" s="105" t="s">
        <v>161</v>
      </c>
    </row>
    <row r="49" spans="1:13">
      <c r="A49" s="105" t="s">
        <v>188</v>
      </c>
      <c r="B49" s="105" t="s">
        <v>173</v>
      </c>
      <c r="C49" s="105">
        <v>20</v>
      </c>
      <c r="D49" s="106">
        <v>114000</v>
      </c>
      <c r="E49" s="105" t="s">
        <v>161</v>
      </c>
      <c r="F49" s="105">
        <v>1.58</v>
      </c>
      <c r="G49" s="106">
        <v>0.172</v>
      </c>
      <c r="H49" s="106">
        <v>662000</v>
      </c>
      <c r="I49" s="105">
        <v>1.61</v>
      </c>
      <c r="K49" s="105">
        <v>0</v>
      </c>
      <c r="L49" s="105">
        <v>1860.47</v>
      </c>
      <c r="M49" s="105" t="s">
        <v>161</v>
      </c>
    </row>
    <row r="50" spans="1:13">
      <c r="A50" s="105" t="s">
        <v>189</v>
      </c>
      <c r="B50" s="105" t="s">
        <v>173</v>
      </c>
      <c r="C50" s="105">
        <v>20</v>
      </c>
      <c r="D50" s="106">
        <v>109000</v>
      </c>
      <c r="E50" s="105" t="s">
        <v>161</v>
      </c>
      <c r="F50" s="105">
        <v>1.57</v>
      </c>
      <c r="G50" s="106">
        <v>0.167</v>
      </c>
      <c r="H50" s="106">
        <v>649000</v>
      </c>
      <c r="I50" s="105">
        <v>1.61</v>
      </c>
      <c r="K50" s="105">
        <v>0</v>
      </c>
      <c r="L50" s="105">
        <v>1810.77</v>
      </c>
      <c r="M50" s="105" t="s">
        <v>161</v>
      </c>
    </row>
    <row r="51" spans="1:13">
      <c r="A51" s="105" t="s">
        <v>190</v>
      </c>
      <c r="B51" s="105" t="s">
        <v>173</v>
      </c>
      <c r="C51" s="105">
        <v>20</v>
      </c>
      <c r="D51" s="106">
        <v>45600</v>
      </c>
      <c r="E51" s="105" t="s">
        <v>161</v>
      </c>
      <c r="F51" s="105">
        <v>1.57</v>
      </c>
      <c r="G51" s="106">
        <v>0.0697</v>
      </c>
      <c r="H51" s="106">
        <v>655000</v>
      </c>
      <c r="I51" s="105">
        <v>1.61</v>
      </c>
      <c r="K51" s="105">
        <v>0</v>
      </c>
      <c r="L51" s="105">
        <v>750.902</v>
      </c>
      <c r="M51" s="105" t="s">
        <v>161</v>
      </c>
    </row>
    <row r="52" spans="1:13">
      <c r="A52" s="105" t="s">
        <v>191</v>
      </c>
      <c r="B52" s="105" t="s">
        <v>173</v>
      </c>
      <c r="C52" s="105">
        <v>20</v>
      </c>
      <c r="D52" s="106">
        <v>23000</v>
      </c>
      <c r="E52" s="105" t="s">
        <v>161</v>
      </c>
      <c r="F52" s="105">
        <v>1.57</v>
      </c>
      <c r="G52" s="106">
        <v>0.0358</v>
      </c>
      <c r="H52" s="106">
        <v>643000</v>
      </c>
      <c r="I52" s="105">
        <v>1.61</v>
      </c>
      <c r="K52" s="105">
        <v>0</v>
      </c>
      <c r="L52" s="105">
        <v>382.316</v>
      </c>
      <c r="M52" s="105" t="s">
        <v>161</v>
      </c>
    </row>
    <row r="53" spans="1:13">
      <c r="A53" s="105" t="s">
        <v>192</v>
      </c>
      <c r="B53" s="105" t="s">
        <v>173</v>
      </c>
      <c r="C53" s="105">
        <v>1</v>
      </c>
      <c r="D53" s="106">
        <v>94400</v>
      </c>
      <c r="E53" s="105" t="s">
        <v>161</v>
      </c>
      <c r="F53" s="105">
        <v>1.57</v>
      </c>
      <c r="G53" s="106">
        <v>0.151</v>
      </c>
      <c r="H53" s="106">
        <v>624000</v>
      </c>
      <c r="I53" s="105">
        <v>1.61</v>
      </c>
      <c r="K53" s="105">
        <v>0</v>
      </c>
      <c r="L53" s="105">
        <v>81.9746</v>
      </c>
      <c r="M53" s="105" t="s">
        <v>161</v>
      </c>
    </row>
    <row r="54" spans="1:13">
      <c r="A54" s="105" t="s">
        <v>193</v>
      </c>
      <c r="B54" s="105" t="s">
        <v>173</v>
      </c>
      <c r="C54" s="105">
        <v>1</v>
      </c>
      <c r="D54" s="106">
        <v>15600</v>
      </c>
      <c r="E54" s="105" t="s">
        <v>161</v>
      </c>
      <c r="F54" s="105">
        <v>1.58</v>
      </c>
      <c r="G54" s="106">
        <v>0.0249</v>
      </c>
      <c r="H54" s="106">
        <v>625000</v>
      </c>
      <c r="I54" s="105">
        <v>1.61</v>
      </c>
      <c r="K54" s="105">
        <v>0</v>
      </c>
      <c r="L54" s="105">
        <v>13.2243</v>
      </c>
      <c r="M54" s="105" t="s">
        <v>161</v>
      </c>
    </row>
    <row r="55" spans="1:13">
      <c r="A55" s="105" t="s">
        <v>194</v>
      </c>
      <c r="B55" s="105" t="s">
        <v>173</v>
      </c>
      <c r="C55" s="105">
        <v>1</v>
      </c>
      <c r="D55" s="106">
        <v>2470</v>
      </c>
      <c r="E55" s="105" t="s">
        <v>161</v>
      </c>
      <c r="F55" s="105">
        <v>1.58</v>
      </c>
      <c r="G55" s="106">
        <v>0.00398</v>
      </c>
      <c r="H55" s="106">
        <v>620000</v>
      </c>
      <c r="I55" s="105">
        <v>1.61</v>
      </c>
      <c r="K55" s="105">
        <v>0</v>
      </c>
      <c r="L55" s="105">
        <v>1.82865</v>
      </c>
      <c r="M55" s="105" t="s">
        <v>161</v>
      </c>
    </row>
    <row r="56" spans="1:13">
      <c r="A56" s="105" t="s">
        <v>195</v>
      </c>
      <c r="B56" s="105" t="s">
        <v>173</v>
      </c>
      <c r="C56" s="105">
        <v>20</v>
      </c>
      <c r="D56" s="106">
        <v>111000</v>
      </c>
      <c r="E56" s="105" t="s">
        <v>161</v>
      </c>
      <c r="F56" s="105">
        <v>1.57</v>
      </c>
      <c r="G56" s="106">
        <v>0.171</v>
      </c>
      <c r="H56" s="106">
        <v>650000</v>
      </c>
      <c r="I56" s="105">
        <v>1.61</v>
      </c>
      <c r="K56" s="105">
        <v>0</v>
      </c>
      <c r="L56" s="105">
        <v>1858.04</v>
      </c>
      <c r="M56" s="105" t="s">
        <v>161</v>
      </c>
    </row>
    <row r="57" spans="1:13">
      <c r="A57" s="105" t="s">
        <v>196</v>
      </c>
      <c r="B57" s="105" t="s">
        <v>173</v>
      </c>
      <c r="C57" s="105">
        <v>20</v>
      </c>
      <c r="D57" s="106">
        <v>108000</v>
      </c>
      <c r="E57" s="105" t="s">
        <v>161</v>
      </c>
      <c r="F57" s="105">
        <v>1.58</v>
      </c>
      <c r="G57" s="106">
        <v>0.165</v>
      </c>
      <c r="H57" s="106">
        <v>652000</v>
      </c>
      <c r="I57" s="105">
        <v>1.61</v>
      </c>
      <c r="K57" s="105">
        <v>0</v>
      </c>
      <c r="L57" s="105">
        <v>1789.76</v>
      </c>
      <c r="M57" s="105" t="s">
        <v>161</v>
      </c>
    </row>
    <row r="58" spans="1:13">
      <c r="A58" s="105" t="s">
        <v>197</v>
      </c>
      <c r="B58" s="105" t="s">
        <v>173</v>
      </c>
      <c r="C58" s="105">
        <v>20</v>
      </c>
      <c r="D58" s="106">
        <v>112000</v>
      </c>
      <c r="E58" s="105" t="s">
        <v>161</v>
      </c>
      <c r="F58" s="105">
        <v>1.57</v>
      </c>
      <c r="G58" s="106">
        <v>0.172</v>
      </c>
      <c r="H58" s="106">
        <v>654000</v>
      </c>
      <c r="I58" s="105">
        <v>1.61</v>
      </c>
      <c r="K58" s="105">
        <v>0</v>
      </c>
      <c r="L58" s="105">
        <v>1863.56</v>
      </c>
      <c r="M58" s="105" t="s">
        <v>161</v>
      </c>
    </row>
    <row r="59" spans="1:13">
      <c r="A59" s="105" t="s">
        <v>198</v>
      </c>
      <c r="B59" s="105" t="s">
        <v>173</v>
      </c>
      <c r="C59" s="105">
        <v>20</v>
      </c>
      <c r="D59" s="106">
        <v>55300</v>
      </c>
      <c r="E59" s="105" t="s">
        <v>161</v>
      </c>
      <c r="F59" s="105">
        <v>1.57</v>
      </c>
      <c r="G59" s="106">
        <v>0.0856</v>
      </c>
      <c r="H59" s="106">
        <v>645000</v>
      </c>
      <c r="I59" s="105">
        <v>1.61</v>
      </c>
      <c r="K59" s="105">
        <v>0</v>
      </c>
      <c r="L59" s="105">
        <v>924.702</v>
      </c>
      <c r="M59" s="105" t="s">
        <v>161</v>
      </c>
    </row>
    <row r="60" spans="1:13">
      <c r="A60" s="105" t="s">
        <v>199</v>
      </c>
      <c r="B60" s="105" t="s">
        <v>173</v>
      </c>
      <c r="C60" s="105">
        <v>20</v>
      </c>
      <c r="D60" s="106">
        <v>21800</v>
      </c>
      <c r="E60" s="105" t="s">
        <v>161</v>
      </c>
      <c r="F60" s="105">
        <v>1.57</v>
      </c>
      <c r="G60" s="106">
        <v>0.0336</v>
      </c>
      <c r="H60" s="106">
        <v>648000</v>
      </c>
      <c r="I60" s="105">
        <v>1.61</v>
      </c>
      <c r="K60" s="105">
        <v>0</v>
      </c>
      <c r="L60" s="105">
        <v>359.002</v>
      </c>
      <c r="M60" s="105" t="s">
        <v>161</v>
      </c>
    </row>
    <row r="61" spans="1:13">
      <c r="A61" s="105" t="s">
        <v>200</v>
      </c>
      <c r="B61" s="105" t="s">
        <v>173</v>
      </c>
      <c r="C61" s="105">
        <v>1</v>
      </c>
      <c r="D61" s="106">
        <v>62500</v>
      </c>
      <c r="E61" s="105" t="s">
        <v>161</v>
      </c>
      <c r="F61" s="105">
        <v>1.57</v>
      </c>
      <c r="G61" s="106">
        <v>0.0979</v>
      </c>
      <c r="H61" s="106">
        <v>638000</v>
      </c>
      <c r="I61" s="105">
        <v>1.61</v>
      </c>
      <c r="K61" s="105">
        <v>0</v>
      </c>
      <c r="L61" s="105">
        <v>52.9267</v>
      </c>
      <c r="M61" s="105" t="s">
        <v>161</v>
      </c>
    </row>
    <row r="62" spans="1:13">
      <c r="A62" s="105" t="s">
        <v>201</v>
      </c>
      <c r="B62" s="105" t="s">
        <v>173</v>
      </c>
      <c r="C62" s="105">
        <v>1</v>
      </c>
      <c r="D62" s="106">
        <v>9540</v>
      </c>
      <c r="E62" s="105" t="s">
        <v>161</v>
      </c>
      <c r="F62" s="105">
        <v>1.58</v>
      </c>
      <c r="G62" s="106">
        <v>0.0153</v>
      </c>
      <c r="H62" s="106">
        <v>623000</v>
      </c>
      <c r="I62" s="105">
        <v>1.61</v>
      </c>
      <c r="K62" s="105">
        <v>0</v>
      </c>
      <c r="L62" s="105">
        <v>7.98906</v>
      </c>
      <c r="M62" s="105" t="s">
        <v>161</v>
      </c>
    </row>
    <row r="63" spans="1:13">
      <c r="A63" s="105" t="s">
        <v>202</v>
      </c>
      <c r="B63" s="105" t="s">
        <v>173</v>
      </c>
      <c r="C63" s="105">
        <v>1</v>
      </c>
      <c r="D63" s="106">
        <v>0</v>
      </c>
      <c r="E63" s="105" t="s">
        <v>161</v>
      </c>
      <c r="F63" s="105">
        <v>0</v>
      </c>
      <c r="G63" s="106">
        <v>0</v>
      </c>
      <c r="H63" s="106">
        <v>626000</v>
      </c>
      <c r="I63" s="105">
        <v>1.61</v>
      </c>
      <c r="K63" s="105">
        <v>0</v>
      </c>
      <c r="L63" s="105" t="s">
        <v>203</v>
      </c>
      <c r="M63" s="105" t="s">
        <v>161</v>
      </c>
    </row>
    <row r="64" spans="1:13">
      <c r="A64" s="105" t="s">
        <v>204</v>
      </c>
      <c r="B64" s="105" t="s">
        <v>173</v>
      </c>
      <c r="C64" s="105">
        <v>1</v>
      </c>
      <c r="D64" s="106">
        <v>45100</v>
      </c>
      <c r="E64" s="105" t="s">
        <v>161</v>
      </c>
      <c r="F64" s="105">
        <v>1.57</v>
      </c>
      <c r="G64" s="106">
        <v>0.0723</v>
      </c>
      <c r="H64" s="106">
        <v>623000</v>
      </c>
      <c r="I64" s="105">
        <v>1.61</v>
      </c>
      <c r="K64" s="105">
        <v>0</v>
      </c>
      <c r="L64" s="105">
        <v>38.9853</v>
      </c>
      <c r="M64" s="105" t="s">
        <v>161</v>
      </c>
    </row>
    <row r="65" spans="1:13">
      <c r="A65" s="105" t="s">
        <v>205</v>
      </c>
      <c r="B65" s="105" t="s">
        <v>173</v>
      </c>
      <c r="C65" s="105">
        <v>20</v>
      </c>
      <c r="D65" s="106">
        <v>14000</v>
      </c>
      <c r="E65" s="105" t="s">
        <v>161</v>
      </c>
      <c r="F65" s="105">
        <v>1.57</v>
      </c>
      <c r="G65" s="106">
        <v>0.0205</v>
      </c>
      <c r="H65" s="106">
        <v>685000</v>
      </c>
      <c r="I65" s="105">
        <v>1.61</v>
      </c>
      <c r="K65" s="105">
        <v>0</v>
      </c>
      <c r="L65" s="105">
        <v>216.352</v>
      </c>
      <c r="M65" s="105" t="s">
        <v>161</v>
      </c>
    </row>
    <row r="66" spans="1:13">
      <c r="A66" s="105" t="s">
        <v>206</v>
      </c>
      <c r="B66" s="105" t="s">
        <v>173</v>
      </c>
      <c r="C66" s="105">
        <v>20</v>
      </c>
      <c r="D66" s="106">
        <v>89400</v>
      </c>
      <c r="E66" s="105" t="s">
        <v>161</v>
      </c>
      <c r="F66" s="105">
        <v>1.57</v>
      </c>
      <c r="G66" s="106">
        <v>0.134</v>
      </c>
      <c r="H66" s="106">
        <v>667000</v>
      </c>
      <c r="I66" s="105">
        <v>1.61</v>
      </c>
      <c r="K66" s="105">
        <v>0</v>
      </c>
      <c r="L66" s="105">
        <v>1450.49</v>
      </c>
      <c r="M66" s="105" t="s">
        <v>161</v>
      </c>
    </row>
    <row r="67" spans="1:13">
      <c r="A67" s="105" t="s">
        <v>207</v>
      </c>
      <c r="B67" s="105" t="s">
        <v>173</v>
      </c>
      <c r="C67" s="105">
        <v>20</v>
      </c>
      <c r="D67" s="106">
        <v>134000</v>
      </c>
      <c r="E67" s="105" t="s">
        <v>161</v>
      </c>
      <c r="F67" s="105">
        <v>1.57</v>
      </c>
      <c r="G67" s="106">
        <v>0.204</v>
      </c>
      <c r="H67" s="106">
        <v>656000</v>
      </c>
      <c r="I67" s="105">
        <v>1.61</v>
      </c>
      <c r="K67" s="105">
        <v>0</v>
      </c>
      <c r="L67" s="105">
        <v>2214.09</v>
      </c>
      <c r="M67" s="105" t="s">
        <v>161</v>
      </c>
    </row>
    <row r="68" spans="1:13">
      <c r="A68" s="105" t="s">
        <v>208</v>
      </c>
      <c r="B68" s="105" t="s">
        <v>173</v>
      </c>
      <c r="C68" s="105">
        <v>20</v>
      </c>
      <c r="D68" s="106">
        <v>104000</v>
      </c>
      <c r="E68" s="105" t="s">
        <v>161</v>
      </c>
      <c r="F68" s="105">
        <v>1.57</v>
      </c>
      <c r="G68" s="106">
        <v>0.167</v>
      </c>
      <c r="H68" s="106">
        <v>626000</v>
      </c>
      <c r="I68" s="105">
        <v>1.61</v>
      </c>
      <c r="K68" s="105">
        <v>0</v>
      </c>
      <c r="L68" s="105">
        <v>1808.13</v>
      </c>
      <c r="M68" s="105" t="s">
        <v>161</v>
      </c>
    </row>
    <row r="69" spans="1:13">
      <c r="A69" s="105" t="s">
        <v>209</v>
      </c>
      <c r="B69" s="105" t="s">
        <v>173</v>
      </c>
      <c r="C69" s="105">
        <v>20</v>
      </c>
      <c r="D69" s="106">
        <v>40400</v>
      </c>
      <c r="E69" s="105" t="s">
        <v>161</v>
      </c>
      <c r="F69" s="105">
        <v>1.57</v>
      </c>
      <c r="G69" s="106">
        <v>0.0613</v>
      </c>
      <c r="H69" s="106">
        <v>658000</v>
      </c>
      <c r="I69" s="105">
        <v>1.61</v>
      </c>
      <c r="K69" s="105">
        <v>0</v>
      </c>
      <c r="L69" s="105">
        <v>660.37</v>
      </c>
      <c r="M69" s="105" t="s">
        <v>161</v>
      </c>
    </row>
    <row r="70" spans="1:13">
      <c r="A70" s="105" t="s">
        <v>210</v>
      </c>
      <c r="B70" s="105" t="s">
        <v>173</v>
      </c>
      <c r="C70" s="105">
        <v>20</v>
      </c>
      <c r="D70" s="106">
        <v>17500</v>
      </c>
      <c r="E70" s="105" t="s">
        <v>161</v>
      </c>
      <c r="F70" s="105">
        <v>1.57</v>
      </c>
      <c r="G70" s="106">
        <v>0.0261</v>
      </c>
      <c r="H70" s="106">
        <v>670000</v>
      </c>
      <c r="I70" s="105">
        <v>1.61</v>
      </c>
      <c r="K70" s="105">
        <v>0</v>
      </c>
      <c r="L70" s="105">
        <v>276.694</v>
      </c>
      <c r="M70" s="105" t="s">
        <v>161</v>
      </c>
    </row>
    <row r="71" spans="1:13">
      <c r="A71" s="105" t="s">
        <v>211</v>
      </c>
      <c r="B71" s="105" t="s">
        <v>173</v>
      </c>
      <c r="C71" s="105">
        <v>1</v>
      </c>
      <c r="D71" s="106">
        <v>18600</v>
      </c>
      <c r="E71" s="105" t="s">
        <v>161</v>
      </c>
      <c r="F71" s="105">
        <v>1.58</v>
      </c>
      <c r="G71" s="106">
        <v>0.0309</v>
      </c>
      <c r="H71" s="106">
        <v>603000</v>
      </c>
      <c r="I71" s="105">
        <v>1.61</v>
      </c>
      <c r="K71" s="105">
        <v>0</v>
      </c>
      <c r="L71" s="105">
        <v>16.4531</v>
      </c>
      <c r="M71" s="105" t="s">
        <v>161</v>
      </c>
    </row>
    <row r="72" spans="1:13">
      <c r="A72" s="105" t="s">
        <v>212</v>
      </c>
      <c r="B72" s="105" t="s">
        <v>173</v>
      </c>
      <c r="C72" s="105">
        <v>1</v>
      </c>
      <c r="D72" s="106">
        <v>76100</v>
      </c>
      <c r="E72" s="105" t="s">
        <v>161</v>
      </c>
      <c r="F72" s="105">
        <v>1.57</v>
      </c>
      <c r="G72" s="106">
        <v>0.126</v>
      </c>
      <c r="H72" s="106">
        <v>604000</v>
      </c>
      <c r="I72" s="105">
        <v>1.61</v>
      </c>
      <c r="K72" s="105">
        <v>0</v>
      </c>
      <c r="L72" s="105">
        <v>68.2102</v>
      </c>
      <c r="M72" s="105" t="s">
        <v>161</v>
      </c>
    </row>
    <row r="73" spans="1:13">
      <c r="A73" s="105" t="s">
        <v>213</v>
      </c>
      <c r="B73" s="105" t="s">
        <v>173</v>
      </c>
      <c r="C73" s="105">
        <v>20</v>
      </c>
      <c r="D73" s="106">
        <v>37100</v>
      </c>
      <c r="E73" s="105" t="s">
        <v>161</v>
      </c>
      <c r="F73" s="105">
        <v>1.57</v>
      </c>
      <c r="G73" s="106">
        <v>0.0568</v>
      </c>
      <c r="H73" s="106">
        <v>653000</v>
      </c>
      <c r="I73" s="105">
        <v>1.61</v>
      </c>
      <c r="K73" s="105">
        <v>0</v>
      </c>
      <c r="L73" s="105">
        <v>611.186</v>
      </c>
      <c r="M73" s="105" t="s">
        <v>161</v>
      </c>
    </row>
    <row r="74" spans="1:13">
      <c r="A74" s="105" t="s">
        <v>214</v>
      </c>
      <c r="B74" s="105" t="s">
        <v>173</v>
      </c>
      <c r="C74" s="105">
        <v>20</v>
      </c>
      <c r="D74" s="106">
        <v>152000</v>
      </c>
      <c r="E74" s="105" t="s">
        <v>161</v>
      </c>
      <c r="F74" s="105">
        <v>1.57</v>
      </c>
      <c r="G74" s="106">
        <v>0.235</v>
      </c>
      <c r="H74" s="106">
        <v>646000</v>
      </c>
      <c r="I74" s="105">
        <v>1.61</v>
      </c>
      <c r="K74" s="105">
        <v>0</v>
      </c>
      <c r="L74" s="105">
        <v>2549.88</v>
      </c>
      <c r="M74" s="105" t="s">
        <v>161</v>
      </c>
    </row>
    <row r="75" spans="1:13">
      <c r="A75" s="105" t="s">
        <v>215</v>
      </c>
      <c r="B75" s="105" t="s">
        <v>173</v>
      </c>
      <c r="C75" s="105">
        <v>20</v>
      </c>
      <c r="D75" s="106">
        <v>143000</v>
      </c>
      <c r="E75" s="105" t="s">
        <v>161</v>
      </c>
      <c r="F75" s="105">
        <v>1.57</v>
      </c>
      <c r="G75" s="106">
        <v>0.232</v>
      </c>
      <c r="H75" s="106">
        <v>618000</v>
      </c>
      <c r="I75" s="105">
        <v>1.61</v>
      </c>
      <c r="K75" s="105">
        <v>0</v>
      </c>
      <c r="L75" s="105">
        <v>2517.04</v>
      </c>
      <c r="M75" s="105" t="s">
        <v>161</v>
      </c>
    </row>
    <row r="76" spans="1:13">
      <c r="A76" s="105" t="s">
        <v>216</v>
      </c>
      <c r="B76" s="105" t="s">
        <v>173</v>
      </c>
      <c r="C76" s="105">
        <v>20</v>
      </c>
      <c r="D76" s="106">
        <v>168000</v>
      </c>
      <c r="E76" s="105" t="s">
        <v>161</v>
      </c>
      <c r="F76" s="105">
        <v>1.57</v>
      </c>
      <c r="G76" s="106">
        <v>0.273</v>
      </c>
      <c r="H76" s="106">
        <v>616000</v>
      </c>
      <c r="I76" s="105">
        <v>1.61</v>
      </c>
      <c r="K76" s="105">
        <v>0</v>
      </c>
      <c r="L76" s="105">
        <v>2962.27</v>
      </c>
      <c r="M76" s="105" t="s">
        <v>161</v>
      </c>
    </row>
    <row r="77" spans="1:13">
      <c r="A77" s="105" t="s">
        <v>217</v>
      </c>
      <c r="B77" s="105" t="s">
        <v>173</v>
      </c>
      <c r="C77" s="105">
        <v>20</v>
      </c>
      <c r="D77" s="106">
        <v>49400</v>
      </c>
      <c r="E77" s="105" t="s">
        <v>161</v>
      </c>
      <c r="F77" s="105">
        <v>1.57</v>
      </c>
      <c r="G77" s="106">
        <v>0.0768</v>
      </c>
      <c r="H77" s="106">
        <v>643000</v>
      </c>
      <c r="I77" s="105">
        <v>1.61</v>
      </c>
      <c r="K77" s="105">
        <v>0</v>
      </c>
      <c r="L77" s="105">
        <v>828.539</v>
      </c>
      <c r="M77" s="105" t="s">
        <v>161</v>
      </c>
    </row>
    <row r="78" spans="1:13">
      <c r="A78" s="105" t="s">
        <v>218</v>
      </c>
      <c r="B78" s="105" t="s">
        <v>173</v>
      </c>
      <c r="C78" s="105">
        <v>20</v>
      </c>
      <c r="D78" s="106">
        <v>16000</v>
      </c>
      <c r="E78" s="105" t="s">
        <v>161</v>
      </c>
      <c r="F78" s="105">
        <v>1.58</v>
      </c>
      <c r="G78" s="106">
        <v>0.0245</v>
      </c>
      <c r="H78" s="106">
        <v>651000</v>
      </c>
      <c r="I78" s="105">
        <v>1.61</v>
      </c>
      <c r="K78" s="105">
        <v>0</v>
      </c>
      <c r="L78" s="105">
        <v>260.216</v>
      </c>
      <c r="M78" s="105" t="s">
        <v>161</v>
      </c>
    </row>
    <row r="79" spans="1:13">
      <c r="A79" s="105" t="s">
        <v>219</v>
      </c>
      <c r="B79" s="105" t="s">
        <v>173</v>
      </c>
      <c r="C79" s="105">
        <v>1</v>
      </c>
      <c r="D79" s="106">
        <v>29000</v>
      </c>
      <c r="E79" s="105" t="s">
        <v>161</v>
      </c>
      <c r="F79" s="105">
        <v>1.57</v>
      </c>
      <c r="G79" s="106">
        <v>0.0457</v>
      </c>
      <c r="H79" s="106">
        <v>634000</v>
      </c>
      <c r="I79" s="105">
        <v>1.61</v>
      </c>
      <c r="K79" s="105">
        <v>0</v>
      </c>
      <c r="L79" s="105">
        <v>24.5254</v>
      </c>
      <c r="M79" s="105" t="s">
        <v>161</v>
      </c>
    </row>
    <row r="80" spans="1:13">
      <c r="A80" s="105" t="s">
        <v>220</v>
      </c>
      <c r="B80" s="105" t="s">
        <v>173</v>
      </c>
      <c r="C80" s="105">
        <v>1</v>
      </c>
      <c r="D80" s="106">
        <v>770000</v>
      </c>
      <c r="E80" s="105" t="s">
        <v>161</v>
      </c>
      <c r="F80" s="105">
        <v>1.57</v>
      </c>
      <c r="G80" s="106">
        <v>1.24</v>
      </c>
      <c r="H80" s="106">
        <v>621000</v>
      </c>
      <c r="I80" s="105">
        <v>1.61</v>
      </c>
      <c r="K80" s="105">
        <v>0</v>
      </c>
      <c r="L80" s="105">
        <v>674.577</v>
      </c>
      <c r="M80" s="105" t="s">
        <v>161</v>
      </c>
    </row>
    <row r="81" spans="1:13">
      <c r="A81" s="105" t="s">
        <v>221</v>
      </c>
      <c r="B81" s="105" t="s">
        <v>173</v>
      </c>
      <c r="C81" s="105">
        <v>20</v>
      </c>
      <c r="D81" s="106">
        <v>49200</v>
      </c>
      <c r="E81" s="105" t="s">
        <v>161</v>
      </c>
      <c r="F81" s="105">
        <v>1.57</v>
      </c>
      <c r="G81" s="106">
        <v>0.0759</v>
      </c>
      <c r="H81" s="106">
        <v>647000</v>
      </c>
      <c r="I81" s="105">
        <v>1.61</v>
      </c>
      <c r="K81" s="105">
        <v>0</v>
      </c>
      <c r="L81" s="105">
        <v>818.888</v>
      </c>
      <c r="M81" s="105" t="s">
        <v>161</v>
      </c>
    </row>
    <row r="82" spans="1:13">
      <c r="A82" s="105" t="s">
        <v>222</v>
      </c>
      <c r="B82" s="105" t="s">
        <v>173</v>
      </c>
      <c r="C82" s="105">
        <v>20</v>
      </c>
      <c r="D82" s="106">
        <v>73300</v>
      </c>
      <c r="E82" s="105" t="s">
        <v>161</v>
      </c>
      <c r="F82" s="105">
        <v>1.57</v>
      </c>
      <c r="G82" s="106">
        <v>0.111</v>
      </c>
      <c r="H82" s="106">
        <v>660000</v>
      </c>
      <c r="I82" s="105">
        <v>1.61</v>
      </c>
      <c r="K82" s="105">
        <v>0</v>
      </c>
      <c r="L82" s="105">
        <v>1200.87</v>
      </c>
      <c r="M82" s="105" t="s">
        <v>161</v>
      </c>
    </row>
    <row r="83" spans="1:13">
      <c r="A83" s="105" t="s">
        <v>223</v>
      </c>
      <c r="B83" s="105" t="s">
        <v>173</v>
      </c>
      <c r="C83" s="105">
        <v>20</v>
      </c>
      <c r="D83" s="106">
        <v>57500</v>
      </c>
      <c r="E83" s="105" t="s">
        <v>161</v>
      </c>
      <c r="F83" s="105">
        <v>1.57</v>
      </c>
      <c r="G83" s="106">
        <v>0.0886</v>
      </c>
      <c r="H83" s="106">
        <v>649000</v>
      </c>
      <c r="I83" s="105">
        <v>1.61</v>
      </c>
      <c r="K83" s="105">
        <v>0</v>
      </c>
      <c r="L83" s="105">
        <v>956.774</v>
      </c>
      <c r="M83" s="105" t="s">
        <v>161</v>
      </c>
    </row>
    <row r="84" spans="1:13">
      <c r="A84" s="105" t="s">
        <v>224</v>
      </c>
      <c r="B84" s="105" t="s">
        <v>173</v>
      </c>
      <c r="C84" s="105">
        <v>20</v>
      </c>
      <c r="D84" s="106">
        <v>110000</v>
      </c>
      <c r="E84" s="105" t="s">
        <v>161</v>
      </c>
      <c r="F84" s="105">
        <v>1.57</v>
      </c>
      <c r="G84" s="106">
        <v>0.168</v>
      </c>
      <c r="H84" s="106">
        <v>652000</v>
      </c>
      <c r="I84" s="105">
        <v>1.61</v>
      </c>
      <c r="K84" s="105">
        <v>0</v>
      </c>
      <c r="L84" s="105">
        <v>1820.54</v>
      </c>
      <c r="M84" s="105" t="s">
        <v>161</v>
      </c>
    </row>
    <row r="85" spans="1:13">
      <c r="A85" s="105" t="s">
        <v>225</v>
      </c>
      <c r="B85" s="105" t="s">
        <v>173</v>
      </c>
      <c r="C85" s="105">
        <v>20</v>
      </c>
      <c r="D85" s="106">
        <v>54100</v>
      </c>
      <c r="E85" s="105" t="s">
        <v>161</v>
      </c>
      <c r="F85" s="105">
        <v>1.57</v>
      </c>
      <c r="G85" s="106">
        <v>0.0834</v>
      </c>
      <c r="H85" s="106">
        <v>649000</v>
      </c>
      <c r="I85" s="105">
        <v>1.61</v>
      </c>
      <c r="K85" s="105">
        <v>0</v>
      </c>
      <c r="L85" s="105">
        <v>900.258</v>
      </c>
      <c r="M85" s="105" t="s">
        <v>161</v>
      </c>
    </row>
    <row r="86" spans="1:13">
      <c r="A86" s="105" t="s">
        <v>226</v>
      </c>
      <c r="B86" s="105" t="s">
        <v>173</v>
      </c>
      <c r="C86" s="105">
        <v>20</v>
      </c>
      <c r="D86" s="106">
        <v>16300</v>
      </c>
      <c r="E86" s="105" t="s">
        <v>161</v>
      </c>
      <c r="F86" s="105">
        <v>1.57</v>
      </c>
      <c r="G86" s="106">
        <v>0.0242</v>
      </c>
      <c r="H86" s="106">
        <v>672000</v>
      </c>
      <c r="I86" s="105">
        <v>1.61</v>
      </c>
      <c r="K86" s="105">
        <v>0</v>
      </c>
      <c r="L86" s="105">
        <v>256.52</v>
      </c>
      <c r="M86" s="105" t="s">
        <v>161</v>
      </c>
    </row>
    <row r="87" spans="1:13">
      <c r="A87" s="105" t="s">
        <v>227</v>
      </c>
      <c r="B87" s="105" t="s">
        <v>173</v>
      </c>
      <c r="C87" s="105">
        <v>1</v>
      </c>
      <c r="D87" s="106">
        <v>15000</v>
      </c>
      <c r="E87" s="105" t="s">
        <v>161</v>
      </c>
      <c r="F87" s="105">
        <v>1.58</v>
      </c>
      <c r="G87" s="106">
        <v>0.0238</v>
      </c>
      <c r="H87" s="106">
        <v>630000</v>
      </c>
      <c r="I87" s="105">
        <v>1.61</v>
      </c>
      <c r="K87" s="105">
        <v>0</v>
      </c>
      <c r="L87" s="105">
        <v>12.6325</v>
      </c>
      <c r="M87" s="105" t="s">
        <v>161</v>
      </c>
    </row>
    <row r="88" spans="1:13">
      <c r="A88" s="105" t="s">
        <v>172</v>
      </c>
      <c r="B88" s="105" t="s">
        <v>173</v>
      </c>
      <c r="C88" s="105">
        <v>1</v>
      </c>
      <c r="D88" s="106">
        <v>0</v>
      </c>
      <c r="E88" s="105" t="s">
        <v>161</v>
      </c>
      <c r="F88" s="105">
        <v>0</v>
      </c>
      <c r="G88" s="105" t="e">
        <v>#DIV/0!</v>
      </c>
      <c r="H88" s="106">
        <v>0</v>
      </c>
      <c r="I88" s="105">
        <v>0</v>
      </c>
      <c r="K88" s="105">
        <v>0</v>
      </c>
      <c r="L88" s="105" t="e">
        <v>#DIV/0!</v>
      </c>
      <c r="M88" s="105" t="s">
        <v>161</v>
      </c>
    </row>
    <row r="89" spans="1:13">
      <c r="A89" s="105" t="s">
        <v>172</v>
      </c>
      <c r="B89" s="105" t="s">
        <v>173</v>
      </c>
      <c r="C89" s="105">
        <v>1</v>
      </c>
      <c r="D89" s="106">
        <v>0</v>
      </c>
      <c r="E89" s="105" t="s">
        <v>161</v>
      </c>
      <c r="F89" s="105">
        <v>0</v>
      </c>
      <c r="G89" s="105" t="e">
        <v>#DIV/0!</v>
      </c>
      <c r="H89" s="106">
        <v>0</v>
      </c>
      <c r="I89" s="105">
        <v>0</v>
      </c>
      <c r="K89" s="105">
        <v>0</v>
      </c>
      <c r="L89" s="105" t="e">
        <v>#DIV/0!</v>
      </c>
      <c r="M89" s="105" t="s">
        <v>161</v>
      </c>
    </row>
    <row r="90" spans="1:13">
      <c r="A90" s="105" t="s">
        <v>172</v>
      </c>
      <c r="B90" s="105" t="s">
        <v>173</v>
      </c>
      <c r="C90" s="105">
        <v>1</v>
      </c>
      <c r="D90" s="106">
        <v>0</v>
      </c>
      <c r="E90" s="105" t="s">
        <v>161</v>
      </c>
      <c r="F90" s="105">
        <v>0</v>
      </c>
      <c r="G90" s="105" t="e">
        <v>#DIV/0!</v>
      </c>
      <c r="H90" s="106">
        <v>0</v>
      </c>
      <c r="I90" s="105">
        <v>0</v>
      </c>
      <c r="K90" s="105">
        <v>0</v>
      </c>
      <c r="L90" s="105" t="e">
        <v>#DIV/0!</v>
      </c>
      <c r="M90" s="105" t="s">
        <v>161</v>
      </c>
    </row>
    <row r="91" spans="1:13">
      <c r="A91" s="105" t="s">
        <v>172</v>
      </c>
      <c r="B91" s="105" t="s">
        <v>173</v>
      </c>
      <c r="C91" s="105">
        <v>1</v>
      </c>
      <c r="D91" s="106">
        <v>0</v>
      </c>
      <c r="E91" s="105" t="s">
        <v>161</v>
      </c>
      <c r="F91" s="105">
        <v>0</v>
      </c>
      <c r="G91" s="105" t="e">
        <v>#DIV/0!</v>
      </c>
      <c r="H91" s="106">
        <v>0</v>
      </c>
      <c r="I91" s="105">
        <v>0</v>
      </c>
      <c r="K91" s="105">
        <v>0</v>
      </c>
      <c r="L91" s="105" t="e">
        <v>#DIV/0!</v>
      </c>
      <c r="M91" s="105" t="s">
        <v>161</v>
      </c>
    </row>
    <row r="92" spans="1:13">
      <c r="A92" s="105" t="s">
        <v>228</v>
      </c>
      <c r="B92" s="105" t="s">
        <v>175</v>
      </c>
      <c r="C92" s="105">
        <v>1</v>
      </c>
      <c r="D92" s="106">
        <v>4780</v>
      </c>
      <c r="E92" s="105">
        <v>3</v>
      </c>
      <c r="F92" s="105">
        <v>1.57</v>
      </c>
      <c r="G92" s="106">
        <v>0.00711</v>
      </c>
      <c r="H92" s="106">
        <v>673000</v>
      </c>
      <c r="I92" s="105">
        <v>1.61</v>
      </c>
      <c r="J92" s="105">
        <v>1</v>
      </c>
      <c r="K92" s="105">
        <v>0</v>
      </c>
      <c r="L92" s="105">
        <v>3.52859</v>
      </c>
      <c r="M92" s="105">
        <v>117.62</v>
      </c>
    </row>
    <row r="93" spans="1:13">
      <c r="A93" s="105" t="s">
        <v>229</v>
      </c>
      <c r="B93" s="105" t="s">
        <v>175</v>
      </c>
      <c r="C93" s="105">
        <v>1</v>
      </c>
      <c r="D93" s="106">
        <v>488000</v>
      </c>
      <c r="E93" s="105">
        <v>400</v>
      </c>
      <c r="F93" s="105">
        <v>1.57</v>
      </c>
      <c r="G93" s="106">
        <v>0.762</v>
      </c>
      <c r="H93" s="106">
        <v>640000</v>
      </c>
      <c r="I93" s="105">
        <v>1.61</v>
      </c>
      <c r="J93" s="105">
        <v>1</v>
      </c>
      <c r="K93" s="105">
        <v>0</v>
      </c>
      <c r="L93" s="105">
        <v>414.001</v>
      </c>
      <c r="M93" s="105">
        <v>103.5</v>
      </c>
    </row>
    <row r="94" spans="1:13">
      <c r="A94" s="105" t="s">
        <v>230</v>
      </c>
      <c r="B94" s="105" t="s">
        <v>175</v>
      </c>
      <c r="C94" s="105">
        <v>1</v>
      </c>
      <c r="D94" s="106">
        <v>983000</v>
      </c>
      <c r="E94" s="105">
        <v>800</v>
      </c>
      <c r="F94" s="105">
        <v>1.57</v>
      </c>
      <c r="G94" s="106">
        <v>1.51</v>
      </c>
      <c r="H94" s="106">
        <v>651000</v>
      </c>
      <c r="I94" s="105">
        <v>1.61</v>
      </c>
      <c r="J94" s="105">
        <v>1</v>
      </c>
      <c r="K94" s="105">
        <v>0</v>
      </c>
      <c r="L94" s="105">
        <v>820.763</v>
      </c>
      <c r="M94" s="105">
        <v>102.595</v>
      </c>
    </row>
    <row r="95" spans="1:13">
      <c r="A95" s="105" t="s">
        <v>231</v>
      </c>
      <c r="B95" s="105" t="s">
        <v>175</v>
      </c>
      <c r="C95" s="105">
        <v>20</v>
      </c>
      <c r="D95" s="106">
        <v>127000</v>
      </c>
      <c r="E95" s="105">
        <v>2000</v>
      </c>
      <c r="F95" s="105">
        <v>1.57</v>
      </c>
      <c r="G95" s="106">
        <v>0.193</v>
      </c>
      <c r="H95" s="106">
        <v>659000</v>
      </c>
      <c r="I95" s="105">
        <v>1.61</v>
      </c>
      <c r="J95" s="105">
        <v>1</v>
      </c>
      <c r="K95" s="105">
        <v>0</v>
      </c>
      <c r="L95" s="105">
        <v>2093.05</v>
      </c>
      <c r="M95" s="105">
        <v>104.652</v>
      </c>
    </row>
    <row r="100" spans="1:6">
      <c r="A100" s="105" t="s">
        <v>130</v>
      </c>
    </row>
    <row r="101" spans="1:6">
      <c r="A101" s="105" t="s">
        <v>131</v>
      </c>
    </row>
    <row r="102" spans="1:6">
      <c r="A102" s="105" t="s">
        <v>132</v>
      </c>
    </row>
    <row r="104" spans="1:6">
      <c r="A104" s="105" t="s">
        <v>133</v>
      </c>
    </row>
    <row r="105" spans="1:6">
      <c r="A105" s="105" t="s">
        <v>134</v>
      </c>
    </row>
    <row r="106" spans="1:6">
      <c r="A106" s="105" t="s">
        <v>135</v>
      </c>
    </row>
    <row r="108" spans="1:6">
      <c r="A108" s="105" t="s">
        <v>136</v>
      </c>
      <c r="B108" s="105" t="s">
        <v>137</v>
      </c>
      <c r="C108" s="105" t="s">
        <v>138</v>
      </c>
      <c r="D108" s="105" t="s">
        <v>139</v>
      </c>
      <c r="E108" s="105" t="s">
        <v>140</v>
      </c>
      <c r="F108" s="105" t="s">
        <v>141</v>
      </c>
    </row>
    <row r="109" spans="1:6">
      <c r="A109" s="105" t="s">
        <v>142</v>
      </c>
      <c r="B109" s="105">
        <v>0.000241</v>
      </c>
    </row>
    <row r="110" spans="1:6">
      <c r="A110" s="105" t="s">
        <v>143</v>
      </c>
      <c r="B110" s="105">
        <v>0.00178</v>
      </c>
    </row>
    <row r="111" spans="1:6">
      <c r="A111" s="105" t="s">
        <v>144</v>
      </c>
      <c r="B111" s="105">
        <v>0.9979</v>
      </c>
    </row>
    <row r="112" spans="1:6">
      <c r="A112" s="105" t="s">
        <v>145</v>
      </c>
    </row>
    <row r="116" spans="1:13">
      <c r="A116" s="105" t="s">
        <v>146</v>
      </c>
      <c r="B116" s="105" t="s">
        <v>147</v>
      </c>
      <c r="C116" s="105" t="s">
        <v>148</v>
      </c>
      <c r="D116" s="105" t="s">
        <v>149</v>
      </c>
      <c r="E116" s="105" t="s">
        <v>150</v>
      </c>
      <c r="F116" s="105" t="s">
        <v>151</v>
      </c>
      <c r="G116" s="105" t="s">
        <v>152</v>
      </c>
      <c r="H116" s="105" t="s">
        <v>153</v>
      </c>
      <c r="I116" s="105" t="s">
        <v>154</v>
      </c>
      <c r="J116" s="105" t="s">
        <v>155</v>
      </c>
      <c r="K116" s="105" t="s">
        <v>156</v>
      </c>
      <c r="L116" s="105" t="s">
        <v>157</v>
      </c>
      <c r="M116" s="105" t="s">
        <v>158</v>
      </c>
    </row>
    <row r="117" spans="1:13">
      <c r="A117" s="105" t="s">
        <v>159</v>
      </c>
      <c r="B117" s="105" t="s">
        <v>160</v>
      </c>
      <c r="C117" s="105">
        <v>1</v>
      </c>
      <c r="D117" s="106">
        <v>0</v>
      </c>
      <c r="E117" s="105">
        <v>0</v>
      </c>
      <c r="F117" s="105">
        <v>0</v>
      </c>
      <c r="G117" s="105" t="e">
        <v>#DIV/0!</v>
      </c>
      <c r="H117" s="106">
        <v>0</v>
      </c>
      <c r="I117" s="105">
        <v>0</v>
      </c>
      <c r="K117" s="105">
        <v>0</v>
      </c>
      <c r="L117" s="105" t="s">
        <v>161</v>
      </c>
      <c r="M117" s="105" t="s">
        <v>161</v>
      </c>
    </row>
    <row r="118" spans="1:13">
      <c r="A118" s="105" t="s">
        <v>162</v>
      </c>
      <c r="B118" s="105" t="s">
        <v>159</v>
      </c>
      <c r="C118" s="105">
        <v>1</v>
      </c>
      <c r="D118" s="106">
        <v>0</v>
      </c>
      <c r="E118" s="105">
        <v>0</v>
      </c>
      <c r="F118" s="105">
        <v>0</v>
      </c>
      <c r="G118" s="106">
        <v>0</v>
      </c>
      <c r="H118" s="106">
        <v>668000</v>
      </c>
      <c r="I118" s="105">
        <v>1.61</v>
      </c>
      <c r="K118" s="105">
        <v>0</v>
      </c>
      <c r="L118" s="105" t="s">
        <v>161</v>
      </c>
      <c r="M118" s="105" t="s">
        <v>161</v>
      </c>
    </row>
    <row r="119" spans="1:13">
      <c r="A119" s="105" t="s">
        <v>163</v>
      </c>
      <c r="B119" s="105" t="s">
        <v>164</v>
      </c>
      <c r="C119" s="105">
        <v>1</v>
      </c>
      <c r="D119" s="106">
        <v>1320</v>
      </c>
      <c r="E119" s="105">
        <v>1</v>
      </c>
      <c r="F119" s="105">
        <v>1.58</v>
      </c>
      <c r="G119" s="106">
        <v>0.00201</v>
      </c>
      <c r="H119" s="106">
        <v>657000</v>
      </c>
      <c r="I119" s="105">
        <v>1.61</v>
      </c>
      <c r="J119" s="105">
        <v>1</v>
      </c>
      <c r="K119" s="105">
        <v>0</v>
      </c>
      <c r="L119" s="105">
        <v>0.99419</v>
      </c>
      <c r="M119" s="105">
        <v>99.419</v>
      </c>
    </row>
    <row r="120" spans="1:13">
      <c r="A120" s="105" t="s">
        <v>166</v>
      </c>
      <c r="B120" s="105" t="s">
        <v>164</v>
      </c>
      <c r="C120" s="105">
        <v>1</v>
      </c>
      <c r="D120" s="106">
        <v>12800</v>
      </c>
      <c r="E120" s="105">
        <v>10</v>
      </c>
      <c r="F120" s="105">
        <v>1.57</v>
      </c>
      <c r="G120" s="106">
        <v>0.0197</v>
      </c>
      <c r="H120" s="106">
        <v>650000</v>
      </c>
      <c r="I120" s="105">
        <v>1.61</v>
      </c>
      <c r="J120" s="105">
        <v>1</v>
      </c>
      <c r="K120" s="105">
        <v>0</v>
      </c>
      <c r="L120" s="105">
        <v>10.9275</v>
      </c>
      <c r="M120" s="105">
        <v>109.275</v>
      </c>
    </row>
    <row r="121" spans="1:13">
      <c r="A121" s="105" t="s">
        <v>168</v>
      </c>
      <c r="B121" s="105" t="s">
        <v>164</v>
      </c>
      <c r="C121" s="105">
        <v>1</v>
      </c>
      <c r="D121" s="106">
        <v>117000</v>
      </c>
      <c r="E121" s="105">
        <v>100</v>
      </c>
      <c r="F121" s="105">
        <v>1.57</v>
      </c>
      <c r="G121" s="106">
        <v>0.181</v>
      </c>
      <c r="H121" s="106">
        <v>644000</v>
      </c>
      <c r="I121" s="105">
        <v>1.61</v>
      </c>
      <c r="J121" s="105">
        <v>1</v>
      </c>
      <c r="K121" s="105">
        <v>0</v>
      </c>
      <c r="L121" s="105">
        <v>101.483</v>
      </c>
      <c r="M121" s="105">
        <v>101.483</v>
      </c>
    </row>
    <row r="122" spans="1:13">
      <c r="A122" s="105" t="s">
        <v>170</v>
      </c>
      <c r="B122" s="105" t="s">
        <v>164</v>
      </c>
      <c r="C122" s="105">
        <v>1</v>
      </c>
      <c r="D122" s="106">
        <v>555000</v>
      </c>
      <c r="E122" s="105">
        <v>500</v>
      </c>
      <c r="F122" s="105">
        <v>1.57</v>
      </c>
      <c r="G122" s="106">
        <v>0.828</v>
      </c>
      <c r="H122" s="106">
        <v>670000</v>
      </c>
      <c r="I122" s="105">
        <v>1.61</v>
      </c>
      <c r="J122" s="105">
        <v>1</v>
      </c>
      <c r="K122" s="105">
        <v>0</v>
      </c>
      <c r="L122" s="105">
        <v>464.881</v>
      </c>
      <c r="M122" s="105">
        <v>92.9762</v>
      </c>
    </row>
    <row r="123" spans="1:13">
      <c r="A123" s="105" t="s">
        <v>172</v>
      </c>
      <c r="B123" s="105" t="s">
        <v>173</v>
      </c>
      <c r="C123" s="105">
        <v>1</v>
      </c>
      <c r="D123" s="106">
        <v>0</v>
      </c>
      <c r="E123" s="105" t="s">
        <v>161</v>
      </c>
      <c r="F123" s="105">
        <v>0</v>
      </c>
      <c r="G123" s="105" t="e">
        <v>#DIV/0!</v>
      </c>
      <c r="H123" s="106">
        <v>0</v>
      </c>
      <c r="I123" s="105">
        <v>0</v>
      </c>
      <c r="K123" s="105">
        <v>0</v>
      </c>
      <c r="L123" s="105" t="e">
        <v>#DIV/0!</v>
      </c>
      <c r="M123" s="105" t="s">
        <v>161</v>
      </c>
    </row>
    <row r="124" spans="1:13">
      <c r="A124" s="105" t="s">
        <v>172</v>
      </c>
      <c r="B124" s="105" t="s">
        <v>173</v>
      </c>
      <c r="C124" s="105">
        <v>1</v>
      </c>
      <c r="D124" s="106">
        <v>0</v>
      </c>
      <c r="E124" s="105" t="s">
        <v>161</v>
      </c>
      <c r="F124" s="105">
        <v>0</v>
      </c>
      <c r="G124" s="105" t="e">
        <v>#DIV/0!</v>
      </c>
      <c r="H124" s="106">
        <v>0</v>
      </c>
      <c r="I124" s="105">
        <v>0</v>
      </c>
      <c r="K124" s="105">
        <v>0</v>
      </c>
      <c r="L124" s="105" t="e">
        <v>#DIV/0!</v>
      </c>
      <c r="M124" s="105" t="s">
        <v>161</v>
      </c>
    </row>
    <row r="125" spans="1:13">
      <c r="A125" s="105" t="s">
        <v>178</v>
      </c>
      <c r="B125" s="105" t="s">
        <v>175</v>
      </c>
      <c r="C125" s="105">
        <v>20</v>
      </c>
      <c r="D125" s="106">
        <v>120000</v>
      </c>
      <c r="E125" s="105">
        <v>2000</v>
      </c>
      <c r="F125" s="105">
        <v>1.58</v>
      </c>
      <c r="G125" s="106">
        <v>0.195</v>
      </c>
      <c r="H125" s="106">
        <v>615000</v>
      </c>
      <c r="I125" s="105">
        <v>1.61</v>
      </c>
      <c r="J125" s="105">
        <v>1</v>
      </c>
      <c r="K125" s="105">
        <v>0</v>
      </c>
      <c r="L125" s="105">
        <v>2192.27</v>
      </c>
      <c r="M125" s="105">
        <v>109.613</v>
      </c>
    </row>
    <row r="126" spans="1:13">
      <c r="A126" s="105" t="s">
        <v>231</v>
      </c>
      <c r="B126" s="105" t="s">
        <v>175</v>
      </c>
      <c r="C126" s="105">
        <v>20</v>
      </c>
      <c r="D126" s="106">
        <v>111000</v>
      </c>
      <c r="E126" s="105">
        <v>2000</v>
      </c>
      <c r="F126" s="105">
        <v>1.58</v>
      </c>
      <c r="G126" s="106">
        <v>0.172</v>
      </c>
      <c r="H126" s="106">
        <v>648000</v>
      </c>
      <c r="I126" s="105">
        <v>1.61</v>
      </c>
      <c r="J126" s="105">
        <v>1</v>
      </c>
      <c r="K126" s="105">
        <v>0</v>
      </c>
      <c r="L126" s="105">
        <v>1928.38</v>
      </c>
      <c r="M126" s="105">
        <v>96.4188</v>
      </c>
    </row>
    <row r="127" spans="1:13">
      <c r="A127" s="105" t="s">
        <v>172</v>
      </c>
      <c r="B127" s="105" t="s">
        <v>173</v>
      </c>
      <c r="C127" s="105">
        <v>1</v>
      </c>
      <c r="D127" s="106">
        <v>0</v>
      </c>
      <c r="E127" s="105" t="s">
        <v>161</v>
      </c>
      <c r="F127" s="105">
        <v>0</v>
      </c>
      <c r="G127" s="105" t="e">
        <v>#DIV/0!</v>
      </c>
      <c r="H127" s="106">
        <v>0</v>
      </c>
      <c r="I127" s="105">
        <v>0</v>
      </c>
      <c r="K127" s="105">
        <v>0</v>
      </c>
      <c r="L127" s="105" t="e">
        <v>#DIV/0!</v>
      </c>
      <c r="M127" s="105" t="s">
        <v>161</v>
      </c>
    </row>
    <row r="128" spans="1:13">
      <c r="A128" s="105" t="s">
        <v>172</v>
      </c>
      <c r="B128" s="105" t="s">
        <v>173</v>
      </c>
      <c r="C128" s="105">
        <v>1</v>
      </c>
      <c r="D128" s="106">
        <v>0</v>
      </c>
      <c r="E128" s="105" t="s">
        <v>161</v>
      </c>
      <c r="F128" s="105">
        <v>0</v>
      </c>
      <c r="G128" s="105" t="e">
        <v>#DIV/0!</v>
      </c>
      <c r="H128" s="106">
        <v>0</v>
      </c>
      <c r="I128" s="105">
        <v>0</v>
      </c>
      <c r="K128" s="105">
        <v>0</v>
      </c>
      <c r="L128" s="105" t="e">
        <v>#DIV/0!</v>
      </c>
      <c r="M128" s="105" t="s">
        <v>161</v>
      </c>
    </row>
    <row r="129" spans="1:13">
      <c r="A129" s="105" t="s">
        <v>187</v>
      </c>
      <c r="B129" s="105" t="s">
        <v>173</v>
      </c>
      <c r="C129" s="105">
        <v>20</v>
      </c>
      <c r="D129" s="106">
        <v>95600</v>
      </c>
      <c r="E129" s="105" t="s">
        <v>161</v>
      </c>
      <c r="F129" s="105">
        <v>1.58</v>
      </c>
      <c r="G129" s="106">
        <v>0.157</v>
      </c>
      <c r="H129" s="106">
        <v>611000</v>
      </c>
      <c r="I129" s="105">
        <v>1.61</v>
      </c>
      <c r="K129" s="105">
        <v>0</v>
      </c>
      <c r="L129" s="105">
        <v>1754.68</v>
      </c>
      <c r="M129" s="105" t="s">
        <v>161</v>
      </c>
    </row>
    <row r="130" spans="1:13">
      <c r="A130" s="105" t="s">
        <v>189</v>
      </c>
      <c r="B130" s="105" t="s">
        <v>173</v>
      </c>
      <c r="C130" s="105">
        <v>20</v>
      </c>
      <c r="D130" s="106">
        <v>71200</v>
      </c>
      <c r="E130" s="105" t="s">
        <v>161</v>
      </c>
      <c r="F130" s="105">
        <v>1.57</v>
      </c>
      <c r="G130" s="106">
        <v>0.109</v>
      </c>
      <c r="H130" s="106">
        <v>652000</v>
      </c>
      <c r="I130" s="105">
        <v>1.61</v>
      </c>
      <c r="K130" s="105">
        <v>0</v>
      </c>
      <c r="L130" s="105">
        <v>1224.69</v>
      </c>
      <c r="M130" s="105" t="s">
        <v>161</v>
      </c>
    </row>
    <row r="131" spans="1:13">
      <c r="A131" s="105" t="s">
        <v>197</v>
      </c>
      <c r="B131" s="105" t="s">
        <v>173</v>
      </c>
      <c r="C131" s="105">
        <v>20</v>
      </c>
      <c r="D131" s="106">
        <v>59300</v>
      </c>
      <c r="E131" s="105" t="s">
        <v>161</v>
      </c>
      <c r="F131" s="105">
        <v>1.57</v>
      </c>
      <c r="G131" s="106">
        <v>0.0963</v>
      </c>
      <c r="H131" s="106">
        <v>616000</v>
      </c>
      <c r="I131" s="105">
        <v>1.61</v>
      </c>
      <c r="K131" s="105">
        <v>0</v>
      </c>
      <c r="L131" s="105">
        <v>1078.34</v>
      </c>
      <c r="M131" s="105" t="s">
        <v>161</v>
      </c>
    </row>
    <row r="132" spans="1:13">
      <c r="A132" s="105" t="s">
        <v>232</v>
      </c>
      <c r="B132" s="105" t="s">
        <v>173</v>
      </c>
      <c r="C132" s="105">
        <v>20</v>
      </c>
      <c r="D132" s="106">
        <v>99800</v>
      </c>
      <c r="E132" s="105" t="s">
        <v>161</v>
      </c>
      <c r="F132" s="105">
        <v>1.58</v>
      </c>
      <c r="G132" s="106">
        <v>0.152</v>
      </c>
      <c r="H132" s="106">
        <v>657000</v>
      </c>
      <c r="I132" s="105">
        <v>1.61</v>
      </c>
      <c r="K132" s="105">
        <v>0</v>
      </c>
      <c r="L132" s="105">
        <v>1703.53</v>
      </c>
      <c r="M132" s="105" t="s">
        <v>161</v>
      </c>
    </row>
    <row r="133" spans="1:13">
      <c r="A133" s="105" t="s">
        <v>233</v>
      </c>
      <c r="B133" s="105" t="s">
        <v>173</v>
      </c>
      <c r="C133" s="105">
        <v>20</v>
      </c>
      <c r="D133" s="106">
        <v>68200</v>
      </c>
      <c r="E133" s="105" t="s">
        <v>161</v>
      </c>
      <c r="F133" s="105">
        <v>1.58</v>
      </c>
      <c r="G133" s="106">
        <v>0.114</v>
      </c>
      <c r="H133" s="106">
        <v>596000</v>
      </c>
      <c r="I133" s="105">
        <v>1.61</v>
      </c>
      <c r="K133" s="105">
        <v>0</v>
      </c>
      <c r="L133" s="105">
        <v>1282.78</v>
      </c>
      <c r="M133" s="105" t="s">
        <v>161</v>
      </c>
    </row>
    <row r="134" spans="1:13">
      <c r="A134" s="105" t="s">
        <v>234</v>
      </c>
      <c r="B134" s="105" t="s">
        <v>173</v>
      </c>
      <c r="C134" s="105">
        <v>20</v>
      </c>
      <c r="D134" s="106">
        <v>56500</v>
      </c>
      <c r="E134" s="105" t="s">
        <v>161</v>
      </c>
      <c r="F134" s="105">
        <v>1.57</v>
      </c>
      <c r="G134" s="106">
        <v>0.0951</v>
      </c>
      <c r="H134" s="106">
        <v>594000</v>
      </c>
      <c r="I134" s="105">
        <v>1.61</v>
      </c>
      <c r="K134" s="105">
        <v>0</v>
      </c>
      <c r="L134" s="105">
        <v>1065.44</v>
      </c>
      <c r="M134" s="105" t="s">
        <v>161</v>
      </c>
    </row>
    <row r="135" spans="1:13">
      <c r="A135" s="105" t="s">
        <v>172</v>
      </c>
      <c r="B135" s="105" t="s">
        <v>173</v>
      </c>
      <c r="C135" s="105">
        <v>1</v>
      </c>
      <c r="D135" s="106">
        <v>0</v>
      </c>
      <c r="E135" s="105" t="s">
        <v>161</v>
      </c>
      <c r="F135" s="105">
        <v>0</v>
      </c>
      <c r="G135" s="105" t="e">
        <v>#DIV/0!</v>
      </c>
      <c r="H135" s="106">
        <v>0</v>
      </c>
      <c r="I135" s="105">
        <v>0</v>
      </c>
      <c r="K135" s="105">
        <v>0</v>
      </c>
      <c r="L135" s="105" t="e">
        <v>#DIV/0!</v>
      </c>
      <c r="M135" s="105" t="s">
        <v>161</v>
      </c>
    </row>
    <row r="136" spans="1:13">
      <c r="A136" s="105" t="s">
        <v>172</v>
      </c>
      <c r="B136" s="105" t="s">
        <v>173</v>
      </c>
      <c r="C136" s="105">
        <v>1</v>
      </c>
      <c r="D136" s="106">
        <v>0</v>
      </c>
      <c r="E136" s="105" t="s">
        <v>161</v>
      </c>
      <c r="F136" s="105">
        <v>0</v>
      </c>
      <c r="G136" s="105" t="e">
        <v>#DIV/0!</v>
      </c>
      <c r="H136" s="106">
        <v>0</v>
      </c>
      <c r="I136" s="105">
        <v>0</v>
      </c>
      <c r="K136" s="105">
        <v>0</v>
      </c>
      <c r="L136" s="105" t="e">
        <v>#DIV/0!</v>
      </c>
      <c r="M136" s="105" t="s">
        <v>161</v>
      </c>
    </row>
    <row r="137" spans="1:13">
      <c r="A137" s="105" t="s">
        <v>165</v>
      </c>
      <c r="B137" s="105" t="s">
        <v>164</v>
      </c>
      <c r="C137" s="105">
        <v>1</v>
      </c>
      <c r="D137" s="106">
        <v>6000</v>
      </c>
      <c r="E137" s="105">
        <v>5</v>
      </c>
      <c r="F137" s="105">
        <v>1.57</v>
      </c>
      <c r="G137" s="106">
        <v>0.00893</v>
      </c>
      <c r="H137" s="106">
        <v>672000</v>
      </c>
      <c r="I137" s="105">
        <v>1.61</v>
      </c>
      <c r="J137" s="105">
        <v>1</v>
      </c>
      <c r="K137" s="105">
        <v>0</v>
      </c>
      <c r="L137" s="105">
        <v>4.87573</v>
      </c>
      <c r="M137" s="105">
        <v>97.5146</v>
      </c>
    </row>
    <row r="138" spans="1:13">
      <c r="A138" s="105" t="s">
        <v>167</v>
      </c>
      <c r="B138" s="105" t="s">
        <v>164</v>
      </c>
      <c r="C138" s="105">
        <v>1</v>
      </c>
      <c r="D138" s="106">
        <v>62800</v>
      </c>
      <c r="E138" s="105">
        <v>50</v>
      </c>
      <c r="F138" s="105">
        <v>1.58</v>
      </c>
      <c r="G138" s="106">
        <v>0.0968</v>
      </c>
      <c r="H138" s="106">
        <v>649000</v>
      </c>
      <c r="I138" s="105">
        <v>1.61</v>
      </c>
      <c r="J138" s="105">
        <v>1</v>
      </c>
      <c r="K138" s="105">
        <v>0</v>
      </c>
      <c r="L138" s="105">
        <v>54.2233</v>
      </c>
      <c r="M138" s="105">
        <v>108.447</v>
      </c>
    </row>
    <row r="139" spans="1:13">
      <c r="A139" s="105" t="s">
        <v>169</v>
      </c>
      <c r="B139" s="105" t="s">
        <v>164</v>
      </c>
      <c r="C139" s="105">
        <v>1</v>
      </c>
      <c r="D139" s="106">
        <v>231000</v>
      </c>
      <c r="E139" s="105">
        <v>200</v>
      </c>
      <c r="F139" s="105">
        <v>1.57</v>
      </c>
      <c r="G139" s="106">
        <v>0.348</v>
      </c>
      <c r="H139" s="106">
        <v>666000</v>
      </c>
      <c r="I139" s="105">
        <v>1.61</v>
      </c>
      <c r="J139" s="105">
        <v>1</v>
      </c>
      <c r="K139" s="105">
        <v>0</v>
      </c>
      <c r="L139" s="105">
        <v>195.012</v>
      </c>
      <c r="M139" s="105">
        <v>97.5058</v>
      </c>
    </row>
    <row r="140" spans="1:13">
      <c r="A140" s="105" t="s">
        <v>171</v>
      </c>
      <c r="B140" s="105" t="s">
        <v>164</v>
      </c>
      <c r="C140" s="105">
        <v>1</v>
      </c>
      <c r="D140" s="106">
        <v>1100000</v>
      </c>
      <c r="E140" s="105">
        <v>1000</v>
      </c>
      <c r="F140" s="105">
        <v>1.57</v>
      </c>
      <c r="G140" s="106">
        <v>1.66</v>
      </c>
      <c r="H140" s="106">
        <v>663000</v>
      </c>
      <c r="I140" s="105">
        <v>1.61</v>
      </c>
      <c r="J140" s="105">
        <v>1</v>
      </c>
      <c r="K140" s="105">
        <v>0</v>
      </c>
      <c r="L140" s="105">
        <v>933.803</v>
      </c>
      <c r="M140" s="105">
        <v>93.3803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I4" sqref="I4"/>
    </sheetView>
  </sheetViews>
  <sheetFormatPr defaultColWidth="9" defaultRowHeight="13.5"/>
  <cols>
    <col min="1" max="1" width="24.3716814159292" style="88" customWidth="1"/>
    <col min="2" max="2" width="12.2566371681416" style="88" customWidth="1"/>
    <col min="3" max="4" width="9" style="88"/>
    <col min="5" max="5" width="8.12389380530973" style="88" customWidth="1"/>
    <col min="6" max="6" width="7.75221238938053" style="88" customWidth="1"/>
    <col min="7" max="7" width="9" style="88"/>
    <col min="8" max="8" width="7.3716814159292" style="88" customWidth="1"/>
    <col min="9" max="9" width="6.25663716814159" style="88" customWidth="1"/>
    <col min="10" max="10" width="5.75221238938053" style="88" customWidth="1"/>
    <col min="11" max="16384" width="9" style="88"/>
  </cols>
  <sheetData>
    <row r="1" s="86" customFormat="1" ht="13.85" spans="1:10">
      <c r="A1" s="86" t="s">
        <v>235</v>
      </c>
    </row>
    <row r="2" s="86" customFormat="1" ht="13.85" spans="1:10">
      <c r="A2" s="86" t="s">
        <v>236</v>
      </c>
      <c r="C2" s="86" t="s">
        <v>237</v>
      </c>
    </row>
    <row r="3" s="86" customFormat="1" ht="13.85" spans="1:10">
      <c r="A3" s="86" t="s">
        <v>238</v>
      </c>
      <c r="C3" s="86" t="s">
        <v>239</v>
      </c>
    </row>
    <row r="4" s="86" customFormat="1" ht="13.85" spans="1:10">
      <c r="A4" s="86" t="s">
        <v>240</v>
      </c>
      <c r="C4" s="86" t="s">
        <v>241</v>
      </c>
    </row>
    <row r="5" s="86" customFormat="1" ht="13.85"/>
    <row r="6" s="86" customFormat="1" ht="27.75" spans="1:10">
      <c r="A6" s="89" t="s">
        <v>242</v>
      </c>
      <c r="B6" s="90" t="s">
        <v>243</v>
      </c>
      <c r="C6" s="91" t="s">
        <v>244</v>
      </c>
      <c r="D6" s="91" t="s">
        <v>245</v>
      </c>
      <c r="E6" s="92" t="s">
        <v>246</v>
      </c>
      <c r="F6" s="93"/>
      <c r="G6" s="93"/>
      <c r="H6" s="93"/>
      <c r="I6" s="93"/>
      <c r="J6" s="94"/>
    </row>
    <row r="7" s="86" customFormat="1" ht="15" customHeight="1" spans="1:10">
      <c r="A7" s="95" t="s">
        <v>247</v>
      </c>
      <c r="B7" s="95" t="s">
        <v>248</v>
      </c>
      <c r="C7" s="96" t="s">
        <v>249</v>
      </c>
      <c r="D7" s="96" t="s">
        <v>249</v>
      </c>
      <c r="E7" s="97" t="s">
        <v>250</v>
      </c>
      <c r="F7" s="98" t="s">
        <v>248</v>
      </c>
      <c r="G7" s="99"/>
      <c r="H7" s="99"/>
      <c r="I7" s="99"/>
      <c r="J7" s="97"/>
    </row>
    <row r="8" s="86" customFormat="1" ht="15" customHeight="1" spans="1:10">
      <c r="A8" s="100" t="s">
        <v>251</v>
      </c>
      <c r="B8" s="100">
        <v>20240920</v>
      </c>
      <c r="C8" s="100" t="s">
        <v>249</v>
      </c>
      <c r="D8" s="100" t="s">
        <v>249</v>
      </c>
      <c r="E8" s="101" t="s">
        <v>252</v>
      </c>
      <c r="F8" s="101" t="s">
        <v>248</v>
      </c>
      <c r="G8" s="101" t="s">
        <v>253</v>
      </c>
      <c r="H8" s="101" t="s">
        <v>248</v>
      </c>
      <c r="I8" s="101" t="s">
        <v>254</v>
      </c>
      <c r="J8" s="101" t="s">
        <v>255</v>
      </c>
    </row>
    <row r="9" s="86" customFormat="1" ht="15" customHeight="1" spans="1:10">
      <c r="A9" s="96"/>
      <c r="B9" s="96"/>
      <c r="C9" s="96"/>
      <c r="D9" s="96"/>
      <c r="E9" s="97" t="s">
        <v>250</v>
      </c>
      <c r="F9" s="98" t="s">
        <v>256</v>
      </c>
      <c r="G9" s="99"/>
      <c r="H9" s="99"/>
      <c r="I9" s="99"/>
      <c r="J9" s="97"/>
    </row>
    <row r="10" s="86" customFormat="1" ht="15" customHeight="1" spans="1:10">
      <c r="A10" s="100" t="s">
        <v>257</v>
      </c>
      <c r="B10" s="100" t="s">
        <v>258</v>
      </c>
      <c r="C10" s="89" t="s">
        <v>259</v>
      </c>
      <c r="D10" s="89" t="s">
        <v>259</v>
      </c>
      <c r="E10" s="101" t="s">
        <v>252</v>
      </c>
      <c r="F10" s="101" t="s">
        <v>248</v>
      </c>
      <c r="G10" s="101" t="s">
        <v>253</v>
      </c>
      <c r="H10" s="101" t="s">
        <v>248</v>
      </c>
      <c r="I10" s="101" t="s">
        <v>254</v>
      </c>
      <c r="J10" s="101" t="s">
        <v>255</v>
      </c>
    </row>
    <row r="11" s="86" customFormat="1" ht="15" customHeight="1" spans="1:10">
      <c r="A11" s="96"/>
      <c r="B11" s="96"/>
      <c r="C11" s="89"/>
      <c r="D11" s="89"/>
      <c r="E11" s="97" t="s">
        <v>250</v>
      </c>
      <c r="F11" s="98" t="s">
        <v>260</v>
      </c>
      <c r="G11" s="99"/>
      <c r="H11" s="99"/>
      <c r="I11" s="99"/>
      <c r="J11" s="97"/>
    </row>
    <row r="12" s="86" customFormat="1" ht="15" customHeight="1" spans="1:10">
      <c r="A12" s="100" t="s">
        <v>261</v>
      </c>
      <c r="B12" s="100">
        <v>124080506</v>
      </c>
      <c r="C12" s="89" t="s">
        <v>262</v>
      </c>
      <c r="D12" s="89" t="s">
        <v>262</v>
      </c>
      <c r="E12" s="101" t="s">
        <v>252</v>
      </c>
      <c r="F12" s="101" t="s">
        <v>248</v>
      </c>
      <c r="G12" s="101" t="s">
        <v>253</v>
      </c>
      <c r="H12" s="101" t="s">
        <v>248</v>
      </c>
      <c r="I12" s="101" t="s">
        <v>254</v>
      </c>
      <c r="J12" s="101" t="s">
        <v>255</v>
      </c>
    </row>
    <row r="13" s="86" customFormat="1" ht="15" customHeight="1" spans="1:10">
      <c r="A13" s="96"/>
      <c r="B13" s="96"/>
      <c r="C13" s="89"/>
      <c r="D13" s="89"/>
      <c r="E13" s="97" t="s">
        <v>250</v>
      </c>
      <c r="F13" s="98" t="s">
        <v>260</v>
      </c>
      <c r="G13" s="99"/>
      <c r="H13" s="99"/>
      <c r="I13" s="99"/>
      <c r="J13" s="97"/>
    </row>
    <row r="14" s="86" customFormat="1" ht="13.85"/>
    <row r="15" s="86" customFormat="1" ht="13.9" spans="1:10">
      <c r="A15" s="86" t="s">
        <v>263</v>
      </c>
    </row>
    <row r="16" s="86" customFormat="1" ht="13.9" spans="1:10">
      <c r="A16" s="86" t="s">
        <v>264</v>
      </c>
    </row>
    <row r="17" s="86" customFormat="1" ht="13.85" spans="1:11">
      <c r="A17" s="86" t="s">
        <v>265</v>
      </c>
      <c r="K17" s="88"/>
    </row>
    <row r="18" s="86" customFormat="1" ht="13.85" spans="1:1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s="86" customFormat="1" ht="19.5" customHeight="1" spans="1:11">
      <c r="A19" s="86" t="s">
        <v>266</v>
      </c>
    </row>
    <row r="20" s="87" customFormat="1" ht="13.85" spans="1:11">
      <c r="A20" s="86" t="s">
        <v>236</v>
      </c>
      <c r="B20" s="86"/>
      <c r="C20" s="86" t="s">
        <v>267</v>
      </c>
      <c r="D20" s="86"/>
      <c r="E20" s="86"/>
      <c r="F20" s="86"/>
      <c r="G20" s="86"/>
      <c r="H20" s="86"/>
      <c r="I20" s="86"/>
      <c r="J20" s="86"/>
      <c r="K20" s="86"/>
    </row>
    <row r="21" s="86" customFormat="1" ht="13.85" spans="1:11">
      <c r="A21" s="86" t="s">
        <v>238</v>
      </c>
      <c r="C21" s="86" t="s">
        <v>268</v>
      </c>
    </row>
    <row r="22" s="86" customFormat="1" ht="13.85" spans="1:11">
      <c r="A22" s="86" t="s">
        <v>269</v>
      </c>
      <c r="C22" s="86" t="s">
        <v>270</v>
      </c>
    </row>
    <row r="23" s="86" customFormat="1" ht="13.85"/>
    <row r="24" s="86" customFormat="1" ht="27.75" spans="1:11">
      <c r="A24" s="89" t="s">
        <v>242</v>
      </c>
      <c r="B24" s="90" t="s">
        <v>243</v>
      </c>
      <c r="C24" s="91" t="s">
        <v>244</v>
      </c>
      <c r="D24" s="91" t="s">
        <v>245</v>
      </c>
      <c r="E24" s="92" t="s">
        <v>246</v>
      </c>
      <c r="F24" s="93"/>
      <c r="G24" s="93"/>
      <c r="H24" s="93"/>
      <c r="I24" s="93"/>
      <c r="J24" s="94"/>
    </row>
    <row r="25" s="86" customFormat="1" customHeight="1" spans="1:11">
      <c r="A25" s="89" t="s">
        <v>3</v>
      </c>
      <c r="B25" s="96" t="s">
        <v>271</v>
      </c>
      <c r="C25" s="89" t="s">
        <v>272</v>
      </c>
      <c r="D25" s="89" t="s">
        <v>272</v>
      </c>
      <c r="E25" s="45" t="s">
        <v>273</v>
      </c>
      <c r="F25" s="47"/>
      <c r="G25" s="102" t="s">
        <v>274</v>
      </c>
      <c r="H25" s="103"/>
      <c r="I25" s="103"/>
      <c r="J25" s="104"/>
      <c r="K25" s="87"/>
    </row>
    <row r="26" s="86" customFormat="1" ht="13.9" spans="1:11">
      <c r="A26" s="100" t="s">
        <v>251</v>
      </c>
      <c r="B26" s="100">
        <v>20240920</v>
      </c>
      <c r="C26" s="100" t="s">
        <v>275</v>
      </c>
      <c r="D26" s="100" t="s">
        <v>275</v>
      </c>
      <c r="E26" s="101" t="s">
        <v>252</v>
      </c>
      <c r="F26" s="101" t="s">
        <v>276</v>
      </c>
      <c r="G26" s="101" t="s">
        <v>253</v>
      </c>
      <c r="H26" s="101" t="s">
        <v>248</v>
      </c>
      <c r="I26" s="101" t="s">
        <v>254</v>
      </c>
      <c r="J26" s="101" t="s">
        <v>255</v>
      </c>
    </row>
    <row r="27" s="86" customFormat="1" ht="13.85" spans="1:11">
      <c r="A27" s="96"/>
      <c r="B27" s="96"/>
      <c r="C27" s="96"/>
      <c r="D27" s="96"/>
      <c r="E27" s="97" t="s">
        <v>250</v>
      </c>
      <c r="F27" s="98" t="s">
        <v>277</v>
      </c>
      <c r="G27" s="99"/>
      <c r="H27" s="99"/>
      <c r="I27" s="99"/>
      <c r="J27" s="97"/>
    </row>
    <row r="28" s="86" customFormat="1" ht="15" customHeight="1" spans="1:11">
      <c r="A28" s="95" t="s">
        <v>247</v>
      </c>
      <c r="B28" s="95" t="s">
        <v>248</v>
      </c>
      <c r="C28" s="96" t="s">
        <v>278</v>
      </c>
      <c r="D28" s="96" t="s">
        <v>278</v>
      </c>
      <c r="E28" s="97" t="s">
        <v>250</v>
      </c>
      <c r="F28" s="98" t="s">
        <v>248</v>
      </c>
      <c r="G28" s="99"/>
      <c r="H28" s="99"/>
      <c r="I28" s="99"/>
      <c r="J28" s="97"/>
    </row>
    <row r="29" s="86" customFormat="1" ht="13.9" spans="1:11">
      <c r="A29" s="89" t="s">
        <v>257</v>
      </c>
      <c r="B29" s="100" t="s">
        <v>258</v>
      </c>
      <c r="C29" s="89" t="s">
        <v>279</v>
      </c>
      <c r="D29" s="89" t="s">
        <v>279</v>
      </c>
      <c r="E29" s="101" t="s">
        <v>252</v>
      </c>
      <c r="F29" s="101" t="s">
        <v>248</v>
      </c>
      <c r="G29" s="101" t="s">
        <v>253</v>
      </c>
      <c r="H29" s="101" t="s">
        <v>248</v>
      </c>
      <c r="I29" s="101" t="s">
        <v>254</v>
      </c>
      <c r="J29" s="101" t="s">
        <v>255</v>
      </c>
    </row>
    <row r="30" s="86" customFormat="1" ht="13.85" spans="1:11">
      <c r="A30" s="89"/>
      <c r="B30" s="96"/>
      <c r="C30" s="89"/>
      <c r="D30" s="89"/>
      <c r="E30" s="97" t="s">
        <v>250</v>
      </c>
      <c r="F30" s="98" t="s">
        <v>260</v>
      </c>
      <c r="G30" s="99"/>
      <c r="H30" s="99"/>
      <c r="I30" s="99"/>
      <c r="J30" s="97"/>
    </row>
    <row r="31" s="86" customFormat="1" ht="13.9" spans="1:11">
      <c r="A31" s="89" t="s">
        <v>261</v>
      </c>
      <c r="B31" s="100">
        <v>124080506</v>
      </c>
      <c r="C31" s="89" t="s">
        <v>280</v>
      </c>
      <c r="D31" s="89" t="s">
        <v>280</v>
      </c>
      <c r="E31" s="101" t="s">
        <v>252</v>
      </c>
      <c r="F31" s="101" t="s">
        <v>248</v>
      </c>
      <c r="G31" s="101" t="s">
        <v>253</v>
      </c>
      <c r="H31" s="101" t="s">
        <v>248</v>
      </c>
      <c r="I31" s="101" t="s">
        <v>254</v>
      </c>
      <c r="J31" s="101" t="s">
        <v>255</v>
      </c>
    </row>
    <row r="32" ht="13.85" spans="1:11">
      <c r="A32" s="89"/>
      <c r="B32" s="96"/>
      <c r="C32" s="89"/>
      <c r="D32" s="89"/>
      <c r="E32" s="97" t="s">
        <v>250</v>
      </c>
      <c r="F32" s="98" t="s">
        <v>260</v>
      </c>
      <c r="G32" s="99"/>
      <c r="H32" s="99"/>
      <c r="I32" s="99"/>
      <c r="J32" s="97"/>
      <c r="K32" s="86"/>
    </row>
    <row r="33" ht="13.85" spans="1:1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ht="13.9" spans="1:11">
      <c r="A34" s="86" t="s">
        <v>263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ht="13.9" spans="1:11">
      <c r="A35" s="86" t="s">
        <v>281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</row>
    <row r="36" ht="13.85" spans="1:11">
      <c r="A36" s="86" t="s">
        <v>265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</row>
  </sheetData>
  <mergeCells count="34">
    <mergeCell ref="E6:J6"/>
    <mergeCell ref="F7:J7"/>
    <mergeCell ref="F9:J9"/>
    <mergeCell ref="F11:J11"/>
    <mergeCell ref="F13:J13"/>
    <mergeCell ref="E24:J24"/>
    <mergeCell ref="F27:J27"/>
    <mergeCell ref="F28:J28"/>
    <mergeCell ref="F30:J30"/>
    <mergeCell ref="F32:J32"/>
    <mergeCell ref="A8:A9"/>
    <mergeCell ref="A10:A11"/>
    <mergeCell ref="A12:A13"/>
    <mergeCell ref="A26:A27"/>
    <mergeCell ref="A29:A30"/>
    <mergeCell ref="A31:A32"/>
    <mergeCell ref="B8:B9"/>
    <mergeCell ref="B10:B11"/>
    <mergeCell ref="B12:B13"/>
    <mergeCell ref="B26:B27"/>
    <mergeCell ref="B29:B30"/>
    <mergeCell ref="B31:B32"/>
    <mergeCell ref="C8:C9"/>
    <mergeCell ref="C10:C11"/>
    <mergeCell ref="C12:C13"/>
    <mergeCell ref="C26:C27"/>
    <mergeCell ref="C29:C30"/>
    <mergeCell ref="C31:C32"/>
    <mergeCell ref="D8:D9"/>
    <mergeCell ref="D10:D11"/>
    <mergeCell ref="D12:D13"/>
    <mergeCell ref="D26:D27"/>
    <mergeCell ref="D29:D30"/>
    <mergeCell ref="D31:D32"/>
  </mergeCells>
  <pageMargins left="0.75" right="0.75" top="1" bottom="1" header="0.5" footer="0.5"/>
  <pageSetup paperSize="9" scale="74" orientation="portrait"/>
  <headerFooter alignWithMargins="0"/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"/>
  <sheetViews>
    <sheetView showGridLines="0" workbookViewId="0">
      <selection activeCell="D7" sqref="D7"/>
    </sheetView>
  </sheetViews>
  <sheetFormatPr defaultColWidth="9" defaultRowHeight="13.85"/>
  <cols>
    <col min="1" max="1" width="11.3716814159292" style="65" customWidth="1"/>
    <col min="2" max="2" width="17.8761061946903" style="65" customWidth="1"/>
    <col min="3" max="3" width="35" style="65" customWidth="1"/>
    <col min="4" max="4" width="29.3716814159292" style="65" customWidth="1"/>
    <col min="5" max="6" width="17.8761061946903" style="65" customWidth="1"/>
    <col min="7" max="7" width="11.3716814159292" style="65" customWidth="1"/>
    <col min="8" max="8" width="17.8761061946903" style="65" customWidth="1"/>
    <col min="9" max="9" width="35" style="65" customWidth="1"/>
    <col min="10" max="10" width="29.3716814159292" style="65" customWidth="1"/>
    <col min="11" max="11" width="17.8761061946903" style="65" customWidth="1"/>
    <col min="12" max="12" width="29.3716814159292" style="65" customWidth="1"/>
    <col min="13" max="13" width="11.3716814159292" style="65" customWidth="1"/>
    <col min="14" max="14" width="17.8761061946903" style="65" customWidth="1"/>
    <col min="15" max="15" width="35" style="65" customWidth="1"/>
    <col min="16" max="16" width="29.3716814159292" style="65" customWidth="1"/>
    <col min="17" max="18" width="17.8761061946903" style="65" customWidth="1"/>
    <col min="19" max="220" width="9" style="65"/>
    <col min="221" max="221" width="11.3716814159292" style="65" customWidth="1"/>
    <col min="222" max="222" width="17.8761061946903" style="65" customWidth="1"/>
    <col min="223" max="223" width="19" style="65" customWidth="1"/>
    <col min="224" max="224" width="22.8761061946903" style="65" customWidth="1"/>
    <col min="225" max="225" width="12.7522123893805" style="65" customWidth="1"/>
    <col min="226" max="476" width="9" style="65"/>
    <col min="477" max="477" width="11.3716814159292" style="65" customWidth="1"/>
    <col min="478" max="478" width="17.8761061946903" style="65" customWidth="1"/>
    <col min="479" max="479" width="19" style="65" customWidth="1"/>
    <col min="480" max="480" width="22.8761061946903" style="65" customWidth="1"/>
    <col min="481" max="481" width="12.7522123893805" style="65" customWidth="1"/>
    <col min="482" max="732" width="9" style="65"/>
    <col min="733" max="733" width="11.3716814159292" style="65" customWidth="1"/>
    <col min="734" max="734" width="17.8761061946903" style="65" customWidth="1"/>
    <col min="735" max="735" width="19" style="65" customWidth="1"/>
    <col min="736" max="736" width="22.8761061946903" style="65" customWidth="1"/>
    <col min="737" max="737" width="12.7522123893805" style="65" customWidth="1"/>
    <col min="738" max="988" width="9" style="65"/>
    <col min="989" max="989" width="11.3716814159292" style="65" customWidth="1"/>
    <col min="990" max="990" width="17.8761061946903" style="65" customWidth="1"/>
    <col min="991" max="991" width="19" style="65" customWidth="1"/>
    <col min="992" max="992" width="22.8761061946903" style="65" customWidth="1"/>
    <col min="993" max="993" width="12.7522123893805" style="65" customWidth="1"/>
    <col min="994" max="1244" width="9" style="65"/>
    <col min="1245" max="1245" width="11.3716814159292" style="65" customWidth="1"/>
    <col min="1246" max="1246" width="17.8761061946903" style="65" customWidth="1"/>
    <col min="1247" max="1247" width="19" style="65" customWidth="1"/>
    <col min="1248" max="1248" width="22.8761061946903" style="65" customWidth="1"/>
    <col min="1249" max="1249" width="12.7522123893805" style="65" customWidth="1"/>
    <col min="1250" max="1500" width="9" style="65"/>
    <col min="1501" max="1501" width="11.3716814159292" style="65" customWidth="1"/>
    <col min="1502" max="1502" width="17.8761061946903" style="65" customWidth="1"/>
    <col min="1503" max="1503" width="19" style="65" customWidth="1"/>
    <col min="1504" max="1504" width="22.8761061946903" style="65" customWidth="1"/>
    <col min="1505" max="1505" width="12.7522123893805" style="65" customWidth="1"/>
    <col min="1506" max="1756" width="9" style="65"/>
    <col min="1757" max="1757" width="11.3716814159292" style="65" customWidth="1"/>
    <col min="1758" max="1758" width="17.8761061946903" style="65" customWidth="1"/>
    <col min="1759" max="1759" width="19" style="65" customWidth="1"/>
    <col min="1760" max="1760" width="22.8761061946903" style="65" customWidth="1"/>
    <col min="1761" max="1761" width="12.7522123893805" style="65" customWidth="1"/>
    <col min="1762" max="2012" width="9" style="65"/>
    <col min="2013" max="2013" width="11.3716814159292" style="65" customWidth="1"/>
    <col min="2014" max="2014" width="17.8761061946903" style="65" customWidth="1"/>
    <col min="2015" max="2015" width="19" style="65" customWidth="1"/>
    <col min="2016" max="2016" width="22.8761061946903" style="65" customWidth="1"/>
    <col min="2017" max="2017" width="12.7522123893805" style="65" customWidth="1"/>
    <col min="2018" max="2268" width="9" style="65"/>
    <col min="2269" max="2269" width="11.3716814159292" style="65" customWidth="1"/>
    <col min="2270" max="2270" width="17.8761061946903" style="65" customWidth="1"/>
    <col min="2271" max="2271" width="19" style="65" customWidth="1"/>
    <col min="2272" max="2272" width="22.8761061946903" style="65" customWidth="1"/>
    <col min="2273" max="2273" width="12.7522123893805" style="65" customWidth="1"/>
    <col min="2274" max="2524" width="9" style="65"/>
    <col min="2525" max="2525" width="11.3716814159292" style="65" customWidth="1"/>
    <col min="2526" max="2526" width="17.8761061946903" style="65" customWidth="1"/>
    <col min="2527" max="2527" width="19" style="65" customWidth="1"/>
    <col min="2528" max="2528" width="22.8761061946903" style="65" customWidth="1"/>
    <col min="2529" max="2529" width="12.7522123893805" style="65" customWidth="1"/>
    <col min="2530" max="2780" width="9" style="65"/>
    <col min="2781" max="2781" width="11.3716814159292" style="65" customWidth="1"/>
    <col min="2782" max="2782" width="17.8761061946903" style="65" customWidth="1"/>
    <col min="2783" max="2783" width="19" style="65" customWidth="1"/>
    <col min="2784" max="2784" width="22.8761061946903" style="65" customWidth="1"/>
    <col min="2785" max="2785" width="12.7522123893805" style="65" customWidth="1"/>
    <col min="2786" max="3036" width="9" style="65"/>
    <col min="3037" max="3037" width="11.3716814159292" style="65" customWidth="1"/>
    <col min="3038" max="3038" width="17.8761061946903" style="65" customWidth="1"/>
    <col min="3039" max="3039" width="19" style="65" customWidth="1"/>
    <col min="3040" max="3040" width="22.8761061946903" style="65" customWidth="1"/>
    <col min="3041" max="3041" width="12.7522123893805" style="65" customWidth="1"/>
    <col min="3042" max="3292" width="9" style="65"/>
    <col min="3293" max="3293" width="11.3716814159292" style="65" customWidth="1"/>
    <col min="3294" max="3294" width="17.8761061946903" style="65" customWidth="1"/>
    <col min="3295" max="3295" width="19" style="65" customWidth="1"/>
    <col min="3296" max="3296" width="22.8761061946903" style="65" customWidth="1"/>
    <col min="3297" max="3297" width="12.7522123893805" style="65" customWidth="1"/>
    <col min="3298" max="3548" width="9" style="65"/>
    <col min="3549" max="3549" width="11.3716814159292" style="65" customWidth="1"/>
    <col min="3550" max="3550" width="17.8761061946903" style="65" customWidth="1"/>
    <col min="3551" max="3551" width="19" style="65" customWidth="1"/>
    <col min="3552" max="3552" width="22.8761061946903" style="65" customWidth="1"/>
    <col min="3553" max="3553" width="12.7522123893805" style="65" customWidth="1"/>
    <col min="3554" max="3804" width="9" style="65"/>
    <col min="3805" max="3805" width="11.3716814159292" style="65" customWidth="1"/>
    <col min="3806" max="3806" width="17.8761061946903" style="65" customWidth="1"/>
    <col min="3807" max="3807" width="19" style="65" customWidth="1"/>
    <col min="3808" max="3808" width="22.8761061946903" style="65" customWidth="1"/>
    <col min="3809" max="3809" width="12.7522123893805" style="65" customWidth="1"/>
    <col min="3810" max="4060" width="9" style="65"/>
    <col min="4061" max="4061" width="11.3716814159292" style="65" customWidth="1"/>
    <col min="4062" max="4062" width="17.8761061946903" style="65" customWidth="1"/>
    <col min="4063" max="4063" width="19" style="65" customWidth="1"/>
    <col min="4064" max="4064" width="22.8761061946903" style="65" customWidth="1"/>
    <col min="4065" max="4065" width="12.7522123893805" style="65" customWidth="1"/>
    <col min="4066" max="4316" width="9" style="65"/>
    <col min="4317" max="4317" width="11.3716814159292" style="65" customWidth="1"/>
    <col min="4318" max="4318" width="17.8761061946903" style="65" customWidth="1"/>
    <col min="4319" max="4319" width="19" style="65" customWidth="1"/>
    <col min="4320" max="4320" width="22.8761061946903" style="65" customWidth="1"/>
    <col min="4321" max="4321" width="12.7522123893805" style="65" customWidth="1"/>
    <col min="4322" max="4572" width="9" style="65"/>
    <col min="4573" max="4573" width="11.3716814159292" style="65" customWidth="1"/>
    <col min="4574" max="4574" width="17.8761061946903" style="65" customWidth="1"/>
    <col min="4575" max="4575" width="19" style="65" customWidth="1"/>
    <col min="4576" max="4576" width="22.8761061946903" style="65" customWidth="1"/>
    <col min="4577" max="4577" width="12.7522123893805" style="65" customWidth="1"/>
    <col min="4578" max="4828" width="9" style="65"/>
    <col min="4829" max="4829" width="11.3716814159292" style="65" customWidth="1"/>
    <col min="4830" max="4830" width="17.8761061946903" style="65" customWidth="1"/>
    <col min="4831" max="4831" width="19" style="65" customWidth="1"/>
    <col min="4832" max="4832" width="22.8761061946903" style="65" customWidth="1"/>
    <col min="4833" max="4833" width="12.7522123893805" style="65" customWidth="1"/>
    <col min="4834" max="5084" width="9" style="65"/>
    <col min="5085" max="5085" width="11.3716814159292" style="65" customWidth="1"/>
    <col min="5086" max="5086" width="17.8761061946903" style="65" customWidth="1"/>
    <col min="5087" max="5087" width="19" style="65" customWidth="1"/>
    <col min="5088" max="5088" width="22.8761061946903" style="65" customWidth="1"/>
    <col min="5089" max="5089" width="12.7522123893805" style="65" customWidth="1"/>
    <col min="5090" max="5340" width="9" style="65"/>
    <col min="5341" max="5341" width="11.3716814159292" style="65" customWidth="1"/>
    <col min="5342" max="5342" width="17.8761061946903" style="65" customWidth="1"/>
    <col min="5343" max="5343" width="19" style="65" customWidth="1"/>
    <col min="5344" max="5344" width="22.8761061946903" style="65" customWidth="1"/>
    <col min="5345" max="5345" width="12.7522123893805" style="65" customWidth="1"/>
    <col min="5346" max="5596" width="9" style="65"/>
    <col min="5597" max="5597" width="11.3716814159292" style="65" customWidth="1"/>
    <col min="5598" max="5598" width="17.8761061946903" style="65" customWidth="1"/>
    <col min="5599" max="5599" width="19" style="65" customWidth="1"/>
    <col min="5600" max="5600" width="22.8761061946903" style="65" customWidth="1"/>
    <col min="5601" max="5601" width="12.7522123893805" style="65" customWidth="1"/>
    <col min="5602" max="5852" width="9" style="65"/>
    <col min="5853" max="5853" width="11.3716814159292" style="65" customWidth="1"/>
    <col min="5854" max="5854" width="17.8761061946903" style="65" customWidth="1"/>
    <col min="5855" max="5855" width="19" style="65" customWidth="1"/>
    <col min="5856" max="5856" width="22.8761061946903" style="65" customWidth="1"/>
    <col min="5857" max="5857" width="12.7522123893805" style="65" customWidth="1"/>
    <col min="5858" max="6108" width="9" style="65"/>
    <col min="6109" max="6109" width="11.3716814159292" style="65" customWidth="1"/>
    <col min="6110" max="6110" width="17.8761061946903" style="65" customWidth="1"/>
    <col min="6111" max="6111" width="19" style="65" customWidth="1"/>
    <col min="6112" max="6112" width="22.8761061946903" style="65" customWidth="1"/>
    <col min="6113" max="6113" width="12.7522123893805" style="65" customWidth="1"/>
    <col min="6114" max="6364" width="9" style="65"/>
    <col min="6365" max="6365" width="11.3716814159292" style="65" customWidth="1"/>
    <col min="6366" max="6366" width="17.8761061946903" style="65" customWidth="1"/>
    <col min="6367" max="6367" width="19" style="65" customWidth="1"/>
    <col min="6368" max="6368" width="22.8761061946903" style="65" customWidth="1"/>
    <col min="6369" max="6369" width="12.7522123893805" style="65" customWidth="1"/>
    <col min="6370" max="6620" width="9" style="65"/>
    <col min="6621" max="6621" width="11.3716814159292" style="65" customWidth="1"/>
    <col min="6622" max="6622" width="17.8761061946903" style="65" customWidth="1"/>
    <col min="6623" max="6623" width="19" style="65" customWidth="1"/>
    <col min="6624" max="6624" width="22.8761061946903" style="65" customWidth="1"/>
    <col min="6625" max="6625" width="12.7522123893805" style="65" customWidth="1"/>
    <col min="6626" max="6876" width="9" style="65"/>
    <col min="6877" max="6877" width="11.3716814159292" style="65" customWidth="1"/>
    <col min="6878" max="6878" width="17.8761061946903" style="65" customWidth="1"/>
    <col min="6879" max="6879" width="19" style="65" customWidth="1"/>
    <col min="6880" max="6880" width="22.8761061946903" style="65" customWidth="1"/>
    <col min="6881" max="6881" width="12.7522123893805" style="65" customWidth="1"/>
    <col min="6882" max="7132" width="9" style="65"/>
    <col min="7133" max="7133" width="11.3716814159292" style="65" customWidth="1"/>
    <col min="7134" max="7134" width="17.8761061946903" style="65" customWidth="1"/>
    <col min="7135" max="7135" width="19" style="65" customWidth="1"/>
    <col min="7136" max="7136" width="22.8761061946903" style="65" customWidth="1"/>
    <col min="7137" max="7137" width="12.7522123893805" style="65" customWidth="1"/>
    <col min="7138" max="7388" width="9" style="65"/>
    <col min="7389" max="7389" width="11.3716814159292" style="65" customWidth="1"/>
    <col min="7390" max="7390" width="17.8761061946903" style="65" customWidth="1"/>
    <col min="7391" max="7391" width="19" style="65" customWidth="1"/>
    <col min="7392" max="7392" width="22.8761061946903" style="65" customWidth="1"/>
    <col min="7393" max="7393" width="12.7522123893805" style="65" customWidth="1"/>
    <col min="7394" max="7644" width="9" style="65"/>
    <col min="7645" max="7645" width="11.3716814159292" style="65" customWidth="1"/>
    <col min="7646" max="7646" width="17.8761061946903" style="65" customWidth="1"/>
    <col min="7647" max="7647" width="19" style="65" customWidth="1"/>
    <col min="7648" max="7648" width="22.8761061946903" style="65" customWidth="1"/>
    <col min="7649" max="7649" width="12.7522123893805" style="65" customWidth="1"/>
    <col min="7650" max="7900" width="9" style="65"/>
    <col min="7901" max="7901" width="11.3716814159292" style="65" customWidth="1"/>
    <col min="7902" max="7902" width="17.8761061946903" style="65" customWidth="1"/>
    <col min="7903" max="7903" width="19" style="65" customWidth="1"/>
    <col min="7904" max="7904" width="22.8761061946903" style="65" customWidth="1"/>
    <col min="7905" max="7905" width="12.7522123893805" style="65" customWidth="1"/>
    <col min="7906" max="8156" width="9" style="65"/>
    <col min="8157" max="8157" width="11.3716814159292" style="65" customWidth="1"/>
    <col min="8158" max="8158" width="17.8761061946903" style="65" customWidth="1"/>
    <col min="8159" max="8159" width="19" style="65" customWidth="1"/>
    <col min="8160" max="8160" width="22.8761061946903" style="65" customWidth="1"/>
    <col min="8161" max="8161" width="12.7522123893805" style="65" customWidth="1"/>
    <col min="8162" max="8412" width="9" style="65"/>
    <col min="8413" max="8413" width="11.3716814159292" style="65" customWidth="1"/>
    <col min="8414" max="8414" width="17.8761061946903" style="65" customWidth="1"/>
    <col min="8415" max="8415" width="19" style="65" customWidth="1"/>
    <col min="8416" max="8416" width="22.8761061946903" style="65" customWidth="1"/>
    <col min="8417" max="8417" width="12.7522123893805" style="65" customWidth="1"/>
    <col min="8418" max="8668" width="9" style="65"/>
    <col min="8669" max="8669" width="11.3716814159292" style="65" customWidth="1"/>
    <col min="8670" max="8670" width="17.8761061946903" style="65" customWidth="1"/>
    <col min="8671" max="8671" width="19" style="65" customWidth="1"/>
    <col min="8672" max="8672" width="22.8761061946903" style="65" customWidth="1"/>
    <col min="8673" max="8673" width="12.7522123893805" style="65" customWidth="1"/>
    <col min="8674" max="8924" width="9" style="65"/>
    <col min="8925" max="8925" width="11.3716814159292" style="65" customWidth="1"/>
    <col min="8926" max="8926" width="17.8761061946903" style="65" customWidth="1"/>
    <col min="8927" max="8927" width="19" style="65" customWidth="1"/>
    <col min="8928" max="8928" width="22.8761061946903" style="65" customWidth="1"/>
    <col min="8929" max="8929" width="12.7522123893805" style="65" customWidth="1"/>
    <col min="8930" max="9180" width="9" style="65"/>
    <col min="9181" max="9181" width="11.3716814159292" style="65" customWidth="1"/>
    <col min="9182" max="9182" width="17.8761061946903" style="65" customWidth="1"/>
    <col min="9183" max="9183" width="19" style="65" customWidth="1"/>
    <col min="9184" max="9184" width="22.8761061946903" style="65" customWidth="1"/>
    <col min="9185" max="9185" width="12.7522123893805" style="65" customWidth="1"/>
    <col min="9186" max="9436" width="9" style="65"/>
    <col min="9437" max="9437" width="11.3716814159292" style="65" customWidth="1"/>
    <col min="9438" max="9438" width="17.8761061946903" style="65" customWidth="1"/>
    <col min="9439" max="9439" width="19" style="65" customWidth="1"/>
    <col min="9440" max="9440" width="22.8761061946903" style="65" customWidth="1"/>
    <col min="9441" max="9441" width="12.7522123893805" style="65" customWidth="1"/>
    <col min="9442" max="9692" width="9" style="65"/>
    <col min="9693" max="9693" width="11.3716814159292" style="65" customWidth="1"/>
    <col min="9694" max="9694" width="17.8761061946903" style="65" customWidth="1"/>
    <col min="9695" max="9695" width="19" style="65" customWidth="1"/>
    <col min="9696" max="9696" width="22.8761061946903" style="65" customWidth="1"/>
    <col min="9697" max="9697" width="12.7522123893805" style="65" customWidth="1"/>
    <col min="9698" max="9948" width="9" style="65"/>
    <col min="9949" max="9949" width="11.3716814159292" style="65" customWidth="1"/>
    <col min="9950" max="9950" width="17.8761061946903" style="65" customWidth="1"/>
    <col min="9951" max="9951" width="19" style="65" customWidth="1"/>
    <col min="9952" max="9952" width="22.8761061946903" style="65" customWidth="1"/>
    <col min="9953" max="9953" width="12.7522123893805" style="65" customWidth="1"/>
    <col min="9954" max="10204" width="9" style="65"/>
    <col min="10205" max="10205" width="11.3716814159292" style="65" customWidth="1"/>
    <col min="10206" max="10206" width="17.8761061946903" style="65" customWidth="1"/>
    <col min="10207" max="10207" width="19" style="65" customWidth="1"/>
    <col min="10208" max="10208" width="22.8761061946903" style="65" customWidth="1"/>
    <col min="10209" max="10209" width="12.7522123893805" style="65" customWidth="1"/>
    <col min="10210" max="10460" width="9" style="65"/>
    <col min="10461" max="10461" width="11.3716814159292" style="65" customWidth="1"/>
    <col min="10462" max="10462" width="17.8761061946903" style="65" customWidth="1"/>
    <col min="10463" max="10463" width="19" style="65" customWidth="1"/>
    <col min="10464" max="10464" width="22.8761061946903" style="65" customWidth="1"/>
    <col min="10465" max="10465" width="12.7522123893805" style="65" customWidth="1"/>
    <col min="10466" max="10716" width="9" style="65"/>
    <col min="10717" max="10717" width="11.3716814159292" style="65" customWidth="1"/>
    <col min="10718" max="10718" width="17.8761061946903" style="65" customWidth="1"/>
    <col min="10719" max="10719" width="19" style="65" customWidth="1"/>
    <col min="10720" max="10720" width="22.8761061946903" style="65" customWidth="1"/>
    <col min="10721" max="10721" width="12.7522123893805" style="65" customWidth="1"/>
    <col min="10722" max="10972" width="9" style="65"/>
    <col min="10973" max="10973" width="11.3716814159292" style="65" customWidth="1"/>
    <col min="10974" max="10974" width="17.8761061946903" style="65" customWidth="1"/>
    <col min="10975" max="10975" width="19" style="65" customWidth="1"/>
    <col min="10976" max="10976" width="22.8761061946903" style="65" customWidth="1"/>
    <col min="10977" max="10977" width="12.7522123893805" style="65" customWidth="1"/>
    <col min="10978" max="11228" width="9" style="65"/>
    <col min="11229" max="11229" width="11.3716814159292" style="65" customWidth="1"/>
    <col min="11230" max="11230" width="17.8761061946903" style="65" customWidth="1"/>
    <col min="11231" max="11231" width="19" style="65" customWidth="1"/>
    <col min="11232" max="11232" width="22.8761061946903" style="65" customWidth="1"/>
    <col min="11233" max="11233" width="12.7522123893805" style="65" customWidth="1"/>
    <col min="11234" max="11484" width="9" style="65"/>
    <col min="11485" max="11485" width="11.3716814159292" style="65" customWidth="1"/>
    <col min="11486" max="11486" width="17.8761061946903" style="65" customWidth="1"/>
    <col min="11487" max="11487" width="19" style="65" customWidth="1"/>
    <col min="11488" max="11488" width="22.8761061946903" style="65" customWidth="1"/>
    <col min="11489" max="11489" width="12.7522123893805" style="65" customWidth="1"/>
    <col min="11490" max="11740" width="9" style="65"/>
    <col min="11741" max="11741" width="11.3716814159292" style="65" customWidth="1"/>
    <col min="11742" max="11742" width="17.8761061946903" style="65" customWidth="1"/>
    <col min="11743" max="11743" width="19" style="65" customWidth="1"/>
    <col min="11744" max="11744" width="22.8761061946903" style="65" customWidth="1"/>
    <col min="11745" max="11745" width="12.7522123893805" style="65" customWidth="1"/>
    <col min="11746" max="11996" width="9" style="65"/>
    <col min="11997" max="11997" width="11.3716814159292" style="65" customWidth="1"/>
    <col min="11998" max="11998" width="17.8761061946903" style="65" customWidth="1"/>
    <col min="11999" max="11999" width="19" style="65" customWidth="1"/>
    <col min="12000" max="12000" width="22.8761061946903" style="65" customWidth="1"/>
    <col min="12001" max="12001" width="12.7522123893805" style="65" customWidth="1"/>
    <col min="12002" max="12252" width="9" style="65"/>
    <col min="12253" max="12253" width="11.3716814159292" style="65" customWidth="1"/>
    <col min="12254" max="12254" width="17.8761061946903" style="65" customWidth="1"/>
    <col min="12255" max="12255" width="19" style="65" customWidth="1"/>
    <col min="12256" max="12256" width="22.8761061946903" style="65" customWidth="1"/>
    <col min="12257" max="12257" width="12.7522123893805" style="65" customWidth="1"/>
    <col min="12258" max="12508" width="9" style="65"/>
    <col min="12509" max="12509" width="11.3716814159292" style="65" customWidth="1"/>
    <col min="12510" max="12510" width="17.8761061946903" style="65" customWidth="1"/>
    <col min="12511" max="12511" width="19" style="65" customWidth="1"/>
    <col min="12512" max="12512" width="22.8761061946903" style="65" customWidth="1"/>
    <col min="12513" max="12513" width="12.7522123893805" style="65" customWidth="1"/>
    <col min="12514" max="12764" width="9" style="65"/>
    <col min="12765" max="12765" width="11.3716814159292" style="65" customWidth="1"/>
    <col min="12766" max="12766" width="17.8761061946903" style="65" customWidth="1"/>
    <col min="12767" max="12767" width="19" style="65" customWidth="1"/>
    <col min="12768" max="12768" width="22.8761061946903" style="65" customWidth="1"/>
    <col min="12769" max="12769" width="12.7522123893805" style="65" customWidth="1"/>
    <col min="12770" max="13020" width="9" style="65"/>
    <col min="13021" max="13021" width="11.3716814159292" style="65" customWidth="1"/>
    <col min="13022" max="13022" width="17.8761061946903" style="65" customWidth="1"/>
    <col min="13023" max="13023" width="19" style="65" customWidth="1"/>
    <col min="13024" max="13024" width="22.8761061946903" style="65" customWidth="1"/>
    <col min="13025" max="13025" width="12.7522123893805" style="65" customWidth="1"/>
    <col min="13026" max="13276" width="9" style="65"/>
    <col min="13277" max="13277" width="11.3716814159292" style="65" customWidth="1"/>
    <col min="13278" max="13278" width="17.8761061946903" style="65" customWidth="1"/>
    <col min="13279" max="13279" width="19" style="65" customWidth="1"/>
    <col min="13280" max="13280" width="22.8761061946903" style="65" customWidth="1"/>
    <col min="13281" max="13281" width="12.7522123893805" style="65" customWidth="1"/>
    <col min="13282" max="13532" width="9" style="65"/>
    <col min="13533" max="13533" width="11.3716814159292" style="65" customWidth="1"/>
    <col min="13534" max="13534" width="17.8761061946903" style="65" customWidth="1"/>
    <col min="13535" max="13535" width="19" style="65" customWidth="1"/>
    <col min="13536" max="13536" width="22.8761061946903" style="65" customWidth="1"/>
    <col min="13537" max="13537" width="12.7522123893805" style="65" customWidth="1"/>
    <col min="13538" max="13788" width="9" style="65"/>
    <col min="13789" max="13789" width="11.3716814159292" style="65" customWidth="1"/>
    <col min="13790" max="13790" width="17.8761061946903" style="65" customWidth="1"/>
    <col min="13791" max="13791" width="19" style="65" customWidth="1"/>
    <col min="13792" max="13792" width="22.8761061946903" style="65" customWidth="1"/>
    <col min="13793" max="13793" width="12.7522123893805" style="65" customWidth="1"/>
    <col min="13794" max="14044" width="9" style="65"/>
    <col min="14045" max="14045" width="11.3716814159292" style="65" customWidth="1"/>
    <col min="14046" max="14046" width="17.8761061946903" style="65" customWidth="1"/>
    <col min="14047" max="14047" width="19" style="65" customWidth="1"/>
    <col min="14048" max="14048" width="22.8761061946903" style="65" customWidth="1"/>
    <col min="14049" max="14049" width="12.7522123893805" style="65" customWidth="1"/>
    <col min="14050" max="14300" width="9" style="65"/>
    <col min="14301" max="14301" width="11.3716814159292" style="65" customWidth="1"/>
    <col min="14302" max="14302" width="17.8761061946903" style="65" customWidth="1"/>
    <col min="14303" max="14303" width="19" style="65" customWidth="1"/>
    <col min="14304" max="14304" width="22.8761061946903" style="65" customWidth="1"/>
    <col min="14305" max="14305" width="12.7522123893805" style="65" customWidth="1"/>
    <col min="14306" max="14556" width="9" style="65"/>
    <col min="14557" max="14557" width="11.3716814159292" style="65" customWidth="1"/>
    <col min="14558" max="14558" width="17.8761061946903" style="65" customWidth="1"/>
    <col min="14559" max="14559" width="19" style="65" customWidth="1"/>
    <col min="14560" max="14560" width="22.8761061946903" style="65" customWidth="1"/>
    <col min="14561" max="14561" width="12.7522123893805" style="65" customWidth="1"/>
    <col min="14562" max="14812" width="9" style="65"/>
    <col min="14813" max="14813" width="11.3716814159292" style="65" customWidth="1"/>
    <col min="14814" max="14814" width="17.8761061946903" style="65" customWidth="1"/>
    <col min="14815" max="14815" width="19" style="65" customWidth="1"/>
    <col min="14816" max="14816" width="22.8761061946903" style="65" customWidth="1"/>
    <col min="14817" max="14817" width="12.7522123893805" style="65" customWidth="1"/>
    <col min="14818" max="15068" width="9" style="65"/>
    <col min="15069" max="15069" width="11.3716814159292" style="65" customWidth="1"/>
    <col min="15070" max="15070" width="17.8761061946903" style="65" customWidth="1"/>
    <col min="15071" max="15071" width="19" style="65" customWidth="1"/>
    <col min="15072" max="15072" width="22.8761061946903" style="65" customWidth="1"/>
    <col min="15073" max="15073" width="12.7522123893805" style="65" customWidth="1"/>
    <col min="15074" max="15324" width="9" style="65"/>
    <col min="15325" max="15325" width="11.3716814159292" style="65" customWidth="1"/>
    <col min="15326" max="15326" width="17.8761061946903" style="65" customWidth="1"/>
    <col min="15327" max="15327" width="19" style="65" customWidth="1"/>
    <col min="15328" max="15328" width="22.8761061946903" style="65" customWidth="1"/>
    <col min="15329" max="15329" width="12.7522123893805" style="65" customWidth="1"/>
    <col min="15330" max="15580" width="9" style="65"/>
    <col min="15581" max="15581" width="11.3716814159292" style="65" customWidth="1"/>
    <col min="15582" max="15582" width="17.8761061946903" style="65" customWidth="1"/>
    <col min="15583" max="15583" width="19" style="65" customWidth="1"/>
    <col min="15584" max="15584" width="22.8761061946903" style="65" customWidth="1"/>
    <col min="15585" max="15585" width="12.7522123893805" style="65" customWidth="1"/>
    <col min="15586" max="15836" width="9" style="65"/>
    <col min="15837" max="15837" width="11.3716814159292" style="65" customWidth="1"/>
    <col min="15838" max="15838" width="17.8761061946903" style="65" customWidth="1"/>
    <col min="15839" max="15839" width="19" style="65" customWidth="1"/>
    <col min="15840" max="15840" width="22.8761061946903" style="65" customWidth="1"/>
    <col min="15841" max="15841" width="12.7522123893805" style="65" customWidth="1"/>
    <col min="15842" max="16092" width="9" style="65"/>
    <col min="16093" max="16093" width="11.3716814159292" style="65" customWidth="1"/>
    <col min="16094" max="16094" width="17.8761061946903" style="65" customWidth="1"/>
    <col min="16095" max="16095" width="19" style="65" customWidth="1"/>
    <col min="16096" max="16096" width="22.8761061946903" style="65" customWidth="1"/>
    <col min="16097" max="16097" width="12.7522123893805" style="65" customWidth="1"/>
    <col min="16098" max="16384" width="9" style="65"/>
  </cols>
  <sheetData>
    <row r="1" ht="14.1" customHeight="1" spans="1:16">
      <c r="A1" s="66" t="s">
        <v>282</v>
      </c>
      <c r="G1" s="66"/>
      <c r="M1" s="66"/>
    </row>
    <row r="2" spans="1:16">
      <c r="B2" s="67"/>
      <c r="H2" s="67"/>
      <c r="N2" s="67"/>
    </row>
    <row r="3" spans="1:16">
      <c r="B3" s="67" t="s">
        <v>283</v>
      </c>
      <c r="C3" s="68" t="s">
        <v>284</v>
      </c>
      <c r="H3" s="67"/>
      <c r="I3" s="68"/>
      <c r="N3" s="67"/>
      <c r="O3" s="68"/>
    </row>
    <row r="4" spans="1:16">
      <c r="B4" s="67"/>
      <c r="H4" s="67"/>
      <c r="N4" s="67"/>
    </row>
    <row r="5" spans="1:16">
      <c r="B5" s="67" t="s">
        <v>285</v>
      </c>
      <c r="C5" s="68" t="s">
        <v>286</v>
      </c>
      <c r="H5" s="67"/>
      <c r="I5" s="68"/>
      <c r="N5" s="67"/>
      <c r="O5" s="68"/>
    </row>
    <row r="6" spans="1:16">
      <c r="B6" s="67"/>
      <c r="H6" s="67"/>
      <c r="N6" s="67"/>
    </row>
    <row r="7" spans="1:16">
      <c r="B7" s="67" t="s">
        <v>287</v>
      </c>
      <c r="C7" s="65" t="s">
        <v>3</v>
      </c>
      <c r="H7" s="67"/>
      <c r="N7" s="67"/>
    </row>
    <row r="8" spans="1:16">
      <c r="B8" s="67"/>
      <c r="H8" s="67"/>
      <c r="N8" s="67"/>
    </row>
    <row r="9" spans="1:16">
      <c r="A9" s="69"/>
      <c r="B9" s="70" t="s">
        <v>288</v>
      </c>
      <c r="C9" s="71" t="s">
        <v>289</v>
      </c>
      <c r="D9" s="69"/>
      <c r="G9" s="69"/>
      <c r="H9" s="70"/>
      <c r="I9" s="71"/>
      <c r="J9" s="69"/>
      <c r="L9" s="69"/>
      <c r="M9" s="69"/>
      <c r="N9" s="70"/>
      <c r="O9" s="71"/>
      <c r="P9" s="69"/>
    </row>
    <row r="10" spans="1:16">
      <c r="A10" s="69"/>
      <c r="B10" s="72"/>
      <c r="G10" s="69"/>
      <c r="H10" s="72"/>
      <c r="M10" s="69"/>
      <c r="N10" s="72"/>
    </row>
    <row r="11" spans="1:16">
      <c r="A11" s="69"/>
      <c r="B11" s="70" t="s">
        <v>290</v>
      </c>
      <c r="C11" s="73" t="s">
        <v>291</v>
      </c>
      <c r="G11" s="69"/>
      <c r="H11" s="70"/>
      <c r="I11" s="73"/>
      <c r="M11" s="69"/>
      <c r="N11" s="70"/>
      <c r="O11" s="73"/>
    </row>
    <row r="12" spans="1:16">
      <c r="A12" s="69"/>
      <c r="B12" s="70"/>
      <c r="C12" s="65" t="s">
        <v>292</v>
      </c>
      <c r="G12" s="69"/>
      <c r="H12" s="70"/>
      <c r="M12" s="69"/>
      <c r="N12" s="70"/>
    </row>
    <row r="13" spans="1:16">
      <c r="A13" s="69"/>
      <c r="B13" s="70"/>
      <c r="C13" s="65" t="s">
        <v>3</v>
      </c>
      <c r="D13" s="74" t="s">
        <v>135</v>
      </c>
      <c r="G13" s="69"/>
      <c r="H13" s="70"/>
      <c r="J13" s="74"/>
      <c r="L13" s="74"/>
      <c r="M13" s="69"/>
      <c r="N13" s="70"/>
      <c r="P13" s="74"/>
    </row>
    <row r="14" spans="1:16">
      <c r="A14" s="69" t="s">
        <v>293</v>
      </c>
      <c r="B14" s="72"/>
      <c r="C14" s="65" t="s">
        <v>294</v>
      </c>
      <c r="D14" s="74" t="s">
        <v>132</v>
      </c>
      <c r="G14" s="69"/>
      <c r="H14" s="72"/>
      <c r="J14" s="74"/>
      <c r="L14" s="74"/>
      <c r="M14" s="69"/>
      <c r="N14" s="72"/>
      <c r="P14" s="74"/>
    </row>
    <row r="15" spans="1:16">
      <c r="A15" s="69"/>
      <c r="B15" s="72"/>
      <c r="G15" s="69"/>
      <c r="H15" s="72"/>
      <c r="M15" s="69"/>
      <c r="N15" s="72"/>
    </row>
    <row r="16" spans="1:16">
      <c r="B16" s="67"/>
      <c r="H16" s="67"/>
      <c r="N16" s="67"/>
    </row>
    <row r="17" spans="2:18">
      <c r="B17" s="70" t="s">
        <v>295</v>
      </c>
      <c r="C17" s="65" t="s">
        <v>296</v>
      </c>
      <c r="H17" s="70"/>
      <c r="N17" s="70"/>
    </row>
    <row r="18" spans="2:18">
      <c r="B18" s="67"/>
      <c r="C18" s="68" t="s">
        <v>297</v>
      </c>
      <c r="H18" s="67"/>
      <c r="I18" s="68"/>
      <c r="N18" s="67"/>
      <c r="O18" s="68"/>
    </row>
    <row r="19" spans="2:18">
      <c r="B19" s="67"/>
      <c r="C19" s="65" t="s">
        <v>298</v>
      </c>
      <c r="H19" s="67"/>
      <c r="N19" s="67"/>
    </row>
    <row r="20" spans="2:18">
      <c r="B20" s="67"/>
      <c r="C20" s="65" t="s">
        <v>299</v>
      </c>
      <c r="D20" s="71"/>
      <c r="H20" s="67"/>
      <c r="J20" s="71"/>
      <c r="L20" s="71"/>
      <c r="N20" s="67"/>
      <c r="P20" s="71"/>
    </row>
    <row r="21" spans="2:18">
      <c r="B21" s="67"/>
      <c r="C21" s="65" t="s">
        <v>300</v>
      </c>
      <c r="E21" s="71"/>
      <c r="F21" s="71"/>
      <c r="H21" s="67"/>
      <c r="K21" s="71"/>
      <c r="N21" s="67"/>
      <c r="Q21" s="71"/>
      <c r="R21" s="71"/>
    </row>
    <row r="22" spans="2:18">
      <c r="B22" s="67"/>
      <c r="C22" s="75" t="s">
        <v>301</v>
      </c>
      <c r="D22" s="75" t="s">
        <v>302</v>
      </c>
      <c r="H22" s="67"/>
      <c r="I22" s="75"/>
      <c r="J22" s="75"/>
      <c r="L22" s="75"/>
      <c r="N22" s="67"/>
      <c r="O22" s="75"/>
      <c r="P22" s="75"/>
    </row>
    <row r="23" spans="2:18">
      <c r="B23" s="67"/>
      <c r="C23" s="76" t="s">
        <v>303</v>
      </c>
      <c r="D23" s="75">
        <v>10</v>
      </c>
      <c r="H23" s="67"/>
      <c r="I23" s="76"/>
      <c r="J23" s="75"/>
      <c r="L23" s="75"/>
      <c r="N23" s="67"/>
      <c r="O23" s="76"/>
      <c r="P23" s="75"/>
    </row>
    <row r="24" spans="2:18">
      <c r="B24" s="67"/>
      <c r="C24" s="76">
        <v>0.4</v>
      </c>
      <c r="D24" s="75">
        <v>40</v>
      </c>
      <c r="H24" s="67"/>
      <c r="I24" s="76"/>
      <c r="J24" s="75"/>
      <c r="L24" s="75"/>
      <c r="N24" s="67"/>
      <c r="O24" s="76"/>
      <c r="P24" s="75"/>
    </row>
    <row r="25" spans="2:18">
      <c r="B25" s="67"/>
      <c r="C25" s="76">
        <v>1.2</v>
      </c>
      <c r="D25" s="75">
        <v>40</v>
      </c>
      <c r="H25" s="67"/>
      <c r="I25" s="76"/>
      <c r="J25" s="75"/>
      <c r="L25" s="75"/>
      <c r="N25" s="67"/>
      <c r="O25" s="76"/>
      <c r="P25" s="75"/>
    </row>
    <row r="26" spans="2:18">
      <c r="B26" s="77"/>
      <c r="C26" s="76">
        <v>1.5</v>
      </c>
      <c r="D26" s="75">
        <v>90</v>
      </c>
      <c r="H26" s="77"/>
      <c r="I26" s="76"/>
      <c r="J26" s="75"/>
      <c r="L26" s="75"/>
      <c r="N26" s="77"/>
      <c r="O26" s="76"/>
      <c r="P26" s="75"/>
    </row>
    <row r="27" spans="2:18">
      <c r="B27" s="77"/>
      <c r="C27" s="76">
        <v>2.2</v>
      </c>
      <c r="D27" s="75">
        <v>90</v>
      </c>
      <c r="H27" s="77"/>
      <c r="I27" s="76"/>
      <c r="J27" s="75"/>
      <c r="L27" s="75"/>
      <c r="N27" s="77"/>
      <c r="O27" s="76"/>
      <c r="P27" s="75"/>
    </row>
    <row r="28" spans="2:18">
      <c r="B28" s="77"/>
      <c r="C28" s="76">
        <v>2.21</v>
      </c>
      <c r="D28" s="75">
        <v>10</v>
      </c>
      <c r="H28" s="77"/>
      <c r="I28" s="76"/>
      <c r="J28" s="75"/>
      <c r="L28" s="75"/>
      <c r="N28" s="77"/>
      <c r="O28" s="76"/>
      <c r="P28" s="75"/>
    </row>
    <row r="29" spans="2:18">
      <c r="B29" s="77"/>
      <c r="C29" s="76">
        <v>2.5</v>
      </c>
      <c r="D29" s="75">
        <v>10</v>
      </c>
      <c r="H29" s="77"/>
      <c r="I29" s="76"/>
      <c r="J29" s="75"/>
      <c r="L29" s="75"/>
      <c r="N29" s="77"/>
      <c r="O29" s="76"/>
      <c r="P29" s="75"/>
    </row>
    <row r="30" spans="2:18">
      <c r="C30" s="68" t="s">
        <v>304</v>
      </c>
      <c r="I30" s="68"/>
      <c r="O30" s="68"/>
    </row>
    <row r="31" ht="15.75" spans="2:18">
      <c r="C31" s="65" t="s">
        <v>305</v>
      </c>
    </row>
    <row r="32" spans="2:18">
      <c r="C32" s="65" t="s">
        <v>306</v>
      </c>
    </row>
    <row r="33" spans="2:18">
      <c r="C33" s="65" t="s">
        <v>307</v>
      </c>
    </row>
    <row r="34" ht="17.25" customHeight="1" spans="2:18">
      <c r="C34" s="65" t="s">
        <v>3</v>
      </c>
      <c r="D34" s="68" t="s">
        <v>308</v>
      </c>
      <c r="J34" s="68"/>
      <c r="P34" s="68"/>
    </row>
    <row r="35" ht="20.25" customHeight="1" spans="2:18">
      <c r="C35" s="65" t="s">
        <v>294</v>
      </c>
      <c r="D35" s="68" t="s">
        <v>309</v>
      </c>
      <c r="J35" s="68"/>
      <c r="P35" s="68"/>
    </row>
    <row r="36" ht="7.5" customHeight="1" spans="2:18">
      <c r="C36" s="78"/>
      <c r="D36" s="78"/>
      <c r="I36" s="78"/>
      <c r="J36" s="78"/>
      <c r="K36" s="78"/>
      <c r="L36" s="78"/>
      <c r="O36" s="78"/>
      <c r="P36" s="78"/>
    </row>
    <row r="37" ht="70.5" customHeight="1" spans="2:18">
      <c r="B37" s="79" t="s">
        <v>310</v>
      </c>
      <c r="C37" s="80" t="s">
        <v>311</v>
      </c>
      <c r="D37" s="80"/>
      <c r="E37" s="80"/>
      <c r="F37" s="81"/>
      <c r="H37" s="79"/>
      <c r="I37" s="82"/>
      <c r="J37" s="82"/>
      <c r="K37" s="83"/>
      <c r="L37" s="83"/>
      <c r="M37" s="83"/>
      <c r="N37" s="79"/>
      <c r="O37" s="82"/>
      <c r="P37" s="82"/>
      <c r="Q37" s="81"/>
      <c r="R37" s="81"/>
    </row>
    <row r="38" spans="2:18">
      <c r="B38" s="67" t="s">
        <v>312</v>
      </c>
      <c r="C38" s="68" t="s">
        <v>313</v>
      </c>
      <c r="D38" s="84"/>
      <c r="E38" s="85"/>
      <c r="F38" s="85"/>
      <c r="H38" s="67"/>
      <c r="I38" s="68"/>
      <c r="J38" s="84"/>
      <c r="K38" s="85"/>
      <c r="L38" s="84"/>
      <c r="N38" s="67"/>
      <c r="O38" s="68"/>
      <c r="P38" s="84"/>
      <c r="Q38" s="85"/>
      <c r="R38" s="85"/>
    </row>
  </sheetData>
  <mergeCells count="8">
    <mergeCell ref="C36:D36"/>
    <mergeCell ref="I36:J36"/>
    <mergeCell ref="K36:L36"/>
    <mergeCell ref="O36:P36"/>
    <mergeCell ref="C37:E37"/>
    <mergeCell ref="I37:J37"/>
    <mergeCell ref="K37:M37"/>
    <mergeCell ref="O37:P3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showGridLines="0" workbookViewId="0">
      <selection activeCell="E11" sqref="E11"/>
    </sheetView>
  </sheetViews>
  <sheetFormatPr defaultColWidth="14.8761061946903" defaultRowHeight="15.35"/>
  <cols>
    <col min="1" max="1" width="14.8761061946903" style="3"/>
    <col min="2" max="2" width="24.5044247787611" style="3" customWidth="1"/>
    <col min="3" max="3" width="16.1238938053097" style="3" customWidth="1"/>
    <col min="4" max="5" width="14.8761061946903" style="3"/>
    <col min="6" max="6" width="17" style="3" customWidth="1"/>
    <col min="7" max="16384" width="14.8761061946903" style="3"/>
  </cols>
  <sheetData>
    <row r="1" ht="15.75" spans="1:10">
      <c r="A1" s="4" t="s">
        <v>314</v>
      </c>
      <c r="B1" s="5" t="s">
        <v>1</v>
      </c>
      <c r="C1" s="5"/>
      <c r="D1" s="5"/>
      <c r="E1" s="5"/>
      <c r="F1" s="5"/>
      <c r="G1" s="5"/>
      <c r="H1" s="5"/>
    </row>
    <row r="3" ht="19.5" customHeight="1" spans="1:10">
      <c r="A3" s="4" t="s">
        <v>315</v>
      </c>
      <c r="B3" s="6" t="s">
        <v>316</v>
      </c>
      <c r="C3" s="6"/>
      <c r="D3" s="6"/>
      <c r="E3" s="6"/>
      <c r="F3" s="6"/>
      <c r="G3" s="6"/>
      <c r="H3" s="6"/>
      <c r="I3" s="6"/>
    </row>
    <row r="5" ht="15.75" spans="1:10">
      <c r="A5" s="7" t="s">
        <v>317</v>
      </c>
    </row>
    <row r="7" ht="45.75" customHeight="1" spans="1:10">
      <c r="A7" s="8" t="s">
        <v>318</v>
      </c>
      <c r="B7" s="8" t="s">
        <v>319</v>
      </c>
      <c r="C7" s="8" t="s">
        <v>320</v>
      </c>
      <c r="D7" s="9" t="s">
        <v>321</v>
      </c>
      <c r="E7" s="9" t="s">
        <v>322</v>
      </c>
      <c r="F7" s="9" t="s">
        <v>323</v>
      </c>
    </row>
    <row r="8" s="1" customFormat="1" ht="32.25" customHeight="1" spans="1:10">
      <c r="A8" s="10" t="s">
        <v>3</v>
      </c>
      <c r="B8" s="10">
        <v>20240618</v>
      </c>
      <c r="C8" s="10" t="s">
        <v>324</v>
      </c>
      <c r="D8" s="11">
        <v>0.9841</v>
      </c>
      <c r="E8" s="12" t="s">
        <v>325</v>
      </c>
      <c r="F8" s="13" t="s">
        <v>271</v>
      </c>
    </row>
    <row r="9" ht="20.25" customHeight="1" spans="1:10">
      <c r="A9" s="14" t="s">
        <v>326</v>
      </c>
      <c r="B9" s="14"/>
      <c r="C9" s="14"/>
      <c r="D9" s="14"/>
      <c r="E9" s="14"/>
      <c r="F9" s="14"/>
      <c r="G9" s="14"/>
      <c r="H9" s="14"/>
      <c r="I9" s="14"/>
      <c r="J9" s="15"/>
    </row>
    <row r="11" ht="15.75" spans="1:10">
      <c r="A11" s="7" t="s">
        <v>327</v>
      </c>
      <c r="B11" s="16"/>
      <c r="C11" s="16"/>
      <c r="D11" s="16"/>
    </row>
    <row r="12" ht="16.5" customHeight="1" spans="1:10">
      <c r="A12" s="3" t="s">
        <v>293</v>
      </c>
      <c r="B12" s="17"/>
      <c r="C12" s="18"/>
      <c r="D12" s="18"/>
    </row>
    <row r="13" ht="24" customHeight="1" spans="1:10">
      <c r="A13" s="19" t="s">
        <v>328</v>
      </c>
      <c r="B13" s="20"/>
      <c r="C13" s="20"/>
      <c r="D13" s="20"/>
      <c r="E13" s="20"/>
      <c r="F13" s="20"/>
      <c r="G13" s="20"/>
      <c r="H13" s="20"/>
      <c r="I13" s="21"/>
    </row>
    <row r="14" ht="31.5" customHeight="1" spans="1:10">
      <c r="A14" s="22" t="str">
        <f>A8</f>
        <v>HW350003A</v>
      </c>
      <c r="B14" s="23" t="s">
        <v>329</v>
      </c>
      <c r="C14" s="24"/>
      <c r="D14" s="24"/>
      <c r="E14" s="24"/>
      <c r="F14" s="24"/>
      <c r="G14" s="24"/>
      <c r="H14" s="24"/>
      <c r="I14" s="25"/>
    </row>
    <row r="15" ht="24" customHeight="1" spans="1:10">
      <c r="A15" s="26"/>
      <c r="B15" s="26"/>
      <c r="C15" s="26"/>
      <c r="D15" s="26"/>
      <c r="E15" s="26"/>
      <c r="F15" s="26"/>
      <c r="G15" s="26"/>
      <c r="H15" s="26"/>
      <c r="I15" s="26"/>
    </row>
    <row r="16" ht="15.75" spans="1:10">
      <c r="A16" s="7" t="s">
        <v>330</v>
      </c>
    </row>
    <row r="18" ht="15.75" spans="1:9">
      <c r="A18" s="27" t="s">
        <v>331</v>
      </c>
      <c r="B18" s="28"/>
      <c r="C18" s="28"/>
      <c r="D18" s="28"/>
      <c r="E18" s="28"/>
      <c r="F18" s="28"/>
      <c r="G18" s="28"/>
      <c r="H18" s="28"/>
      <c r="I18" s="29"/>
    </row>
    <row r="19" ht="15.75" spans="1:9">
      <c r="A19" s="30" t="s">
        <v>332</v>
      </c>
      <c r="B19" s="2"/>
      <c r="C19" s="2"/>
      <c r="D19" s="2"/>
      <c r="E19" s="2"/>
      <c r="F19" s="2"/>
      <c r="G19" s="2"/>
      <c r="H19" s="2"/>
      <c r="I19" s="31"/>
    </row>
    <row r="20" ht="15.75" spans="1:9">
      <c r="A20" s="30" t="s">
        <v>333</v>
      </c>
      <c r="B20" s="2"/>
      <c r="C20" s="2"/>
      <c r="D20" s="2"/>
      <c r="E20" s="2"/>
      <c r="F20" s="2"/>
      <c r="G20" s="2"/>
      <c r="H20" s="2"/>
      <c r="I20" s="31"/>
    </row>
    <row r="21" ht="15.75" spans="1:9">
      <c r="A21" s="30" t="s">
        <v>334</v>
      </c>
      <c r="B21" s="2"/>
      <c r="C21" s="2"/>
      <c r="D21" s="2"/>
      <c r="E21" s="2"/>
      <c r="F21" s="2"/>
      <c r="G21" s="2"/>
      <c r="H21" s="2"/>
      <c r="I21" s="31"/>
    </row>
    <row r="22" ht="15.75" spans="1:9">
      <c r="A22" s="32" t="s">
        <v>335</v>
      </c>
      <c r="B22" s="33"/>
      <c r="C22" s="33"/>
      <c r="D22" s="33"/>
      <c r="E22" s="33"/>
      <c r="F22" s="33"/>
      <c r="G22" s="33"/>
      <c r="H22" s="33"/>
      <c r="I22" s="34"/>
    </row>
    <row r="25" ht="15.75" spans="1:9">
      <c r="A25" s="7" t="s">
        <v>336</v>
      </c>
    </row>
    <row r="26" ht="29.25" customHeight="1" spans="1:9">
      <c r="A26" s="35" t="s">
        <v>337</v>
      </c>
      <c r="B26" s="35" t="s">
        <v>338</v>
      </c>
      <c r="C26" s="36" t="s">
        <v>339</v>
      </c>
      <c r="D26" s="37" t="s">
        <v>340</v>
      </c>
      <c r="E26" s="37" t="s">
        <v>341</v>
      </c>
      <c r="F26" s="37" t="s">
        <v>342</v>
      </c>
      <c r="G26" s="35" t="s">
        <v>343</v>
      </c>
      <c r="H26" s="35" t="s">
        <v>344</v>
      </c>
    </row>
    <row r="27" ht="26.25" customHeight="1" spans="1:9">
      <c r="A27" s="38"/>
      <c r="B27" s="38"/>
      <c r="C27" s="39" t="s">
        <v>345</v>
      </c>
      <c r="D27" s="37" t="s">
        <v>346</v>
      </c>
      <c r="E27" s="37" t="s">
        <v>347</v>
      </c>
      <c r="F27" s="37" t="s">
        <v>348</v>
      </c>
      <c r="G27" s="38"/>
      <c r="H27" s="38"/>
    </row>
    <row r="28" ht="26.25" customHeight="1" spans="1:9">
      <c r="A28" s="40">
        <v>1</v>
      </c>
      <c r="B28" s="41" t="str">
        <f>A8</f>
        <v>HW350003A</v>
      </c>
      <c r="C28" s="42">
        <v>3</v>
      </c>
      <c r="D28" s="42">
        <v>1</v>
      </c>
      <c r="E28" s="42">
        <v>0.5</v>
      </c>
      <c r="F28" s="42">
        <v>2</v>
      </c>
      <c r="G28" s="40" t="s">
        <v>349</v>
      </c>
      <c r="H28" s="42" t="s">
        <v>350</v>
      </c>
    </row>
    <row r="29" ht="26.25" customHeight="1" spans="1:9">
      <c r="A29" s="40">
        <v>2</v>
      </c>
      <c r="B29" s="40"/>
      <c r="C29" s="42">
        <v>3</v>
      </c>
      <c r="D29" s="42">
        <v>5</v>
      </c>
      <c r="E29" s="42">
        <v>1</v>
      </c>
      <c r="F29" s="42">
        <v>5</v>
      </c>
      <c r="G29" s="42" t="s">
        <v>351</v>
      </c>
      <c r="H29" s="42" t="s">
        <v>350</v>
      </c>
    </row>
    <row r="30" spans="1:9">
      <c r="A30" s="43" t="s">
        <v>352</v>
      </c>
    </row>
    <row r="31" spans="1:9">
      <c r="A31" s="44"/>
    </row>
    <row r="32" ht="15.75" spans="1:9">
      <c r="A32" s="7" t="s">
        <v>353</v>
      </c>
    </row>
    <row r="34" ht="27.75" customHeight="1" spans="1:10">
      <c r="A34" s="45" t="s">
        <v>354</v>
      </c>
      <c r="B34" s="46"/>
      <c r="C34" s="46"/>
      <c r="D34" s="46"/>
      <c r="E34" s="46"/>
      <c r="F34" s="46"/>
      <c r="G34" s="46"/>
      <c r="H34" s="46"/>
      <c r="I34" s="47"/>
    </row>
    <row r="36" s="2" customFormat="1" ht="20.25" customHeight="1" spans="1:10">
      <c r="A36" s="7" t="s">
        <v>355</v>
      </c>
      <c r="B36" s="3"/>
      <c r="C36" s="3"/>
      <c r="D36" s="3"/>
      <c r="E36" s="3"/>
      <c r="F36" s="3"/>
      <c r="G36" s="3"/>
      <c r="H36" s="3"/>
      <c r="I36" s="3"/>
    </row>
    <row r="37" s="2" customFormat="1" ht="16.5" customHeight="1" spans="1:10">
      <c r="A37" s="3"/>
      <c r="B37" s="3"/>
      <c r="C37" s="3"/>
      <c r="D37" s="3"/>
      <c r="E37" s="3"/>
      <c r="F37" s="3"/>
      <c r="G37" s="3"/>
      <c r="H37" s="3"/>
      <c r="I37" s="3"/>
    </row>
    <row r="38" s="2" customFormat="1" ht="19.5" customHeight="1" spans="1:10">
      <c r="A38" s="48" t="s">
        <v>356</v>
      </c>
      <c r="B38" s="49"/>
      <c r="C38" s="49"/>
      <c r="D38" s="49"/>
      <c r="E38" s="49"/>
      <c r="F38" s="49"/>
      <c r="G38" s="49"/>
      <c r="H38" s="49"/>
      <c r="I38" s="50"/>
    </row>
    <row r="39" s="2" customFormat="1" ht="18" customHeight="1" spans="1:10">
      <c r="A39" s="51" t="s">
        <v>357</v>
      </c>
      <c r="B39" s="52"/>
      <c r="C39" s="52"/>
      <c r="D39" s="52"/>
      <c r="E39" s="52"/>
      <c r="F39" s="52"/>
      <c r="G39" s="52"/>
      <c r="H39" s="52"/>
      <c r="I39" s="53"/>
    </row>
    <row r="40" ht="37.5" customHeight="1" spans="1:10">
      <c r="A40" s="7" t="s">
        <v>358</v>
      </c>
      <c r="J40" s="2"/>
    </row>
    <row r="41" ht="12" customHeight="1" spans="1:10">
      <c r="A41" s="7"/>
    </row>
    <row r="42" ht="37.5" customHeight="1" spans="1:10">
      <c r="A42" s="54" t="s">
        <v>359</v>
      </c>
      <c r="B42" s="55"/>
      <c r="C42" s="55"/>
      <c r="D42" s="55"/>
      <c r="E42" s="55"/>
      <c r="F42" s="55"/>
      <c r="G42" s="55"/>
      <c r="H42" s="55"/>
      <c r="I42" s="56"/>
    </row>
    <row r="43" ht="45" customHeight="1" spans="1:10">
      <c r="A43" s="57" t="s">
        <v>360</v>
      </c>
      <c r="B43" s="58"/>
      <c r="C43" s="58"/>
      <c r="D43" s="58"/>
      <c r="E43" s="58"/>
      <c r="F43" s="58"/>
      <c r="G43" s="58"/>
      <c r="H43" s="58"/>
      <c r="I43" s="59"/>
    </row>
    <row r="44" ht="21" customHeight="1" spans="1:10">
      <c r="A44" s="60"/>
      <c r="B44" s="60"/>
      <c r="C44" s="60"/>
      <c r="D44" s="60"/>
      <c r="E44" s="60"/>
      <c r="F44" s="60"/>
      <c r="G44" s="60"/>
      <c r="H44" s="60"/>
      <c r="I44" s="60"/>
    </row>
    <row r="45" ht="24" customHeight="1" spans="1:10">
      <c r="A45" s="61" t="s">
        <v>361</v>
      </c>
      <c r="B45" s="61"/>
      <c r="C45" s="61"/>
      <c r="D45" s="61"/>
      <c r="E45" s="61"/>
      <c r="F45" s="61"/>
      <c r="G45" s="61"/>
      <c r="H45" s="61"/>
      <c r="I45" s="61"/>
    </row>
    <row r="46" ht="27.75" customHeight="1" spans="1:10">
      <c r="A46" s="62" t="s">
        <v>362</v>
      </c>
      <c r="B46" s="63"/>
      <c r="C46" s="63"/>
      <c r="D46" s="63"/>
      <c r="E46" s="63"/>
      <c r="F46" s="63"/>
      <c r="G46" s="63"/>
      <c r="H46" s="63"/>
      <c r="I46" s="64"/>
    </row>
  </sheetData>
  <protectedRanges>
    <protectedRange algorithmName="SHA-512" hashValue="YAPCBpMfNj1lVuAZLhz1T+lpfxbDMuhG5ejUCrk1HziMXgo3AaCpRTXYj0eq7dnZK7vTWO/Aa8VAdQA0Fdy/2g==" saltValue="gWgY4cub5eff8hIJHSdbqA==" spinCount="100000" sqref="A7:E7" name="送样单_8_1"/>
    <protectedRange algorithmName="SHA-512" hashValue="YAPCBpMfNj1lVuAZLhz1T+lpfxbDMuhG5ejUCrk1HziMXgo3AaCpRTXYj0eq7dnZK7vTWO/Aa8VAdQA0Fdy/2g==" saltValue="gWgY4cub5eff8hIJHSdbqA==" spinCount="100000" sqref="A8:C8" name="送样单_1_1"/>
  </protectedRanges>
  <mergeCells count="16">
    <mergeCell ref="B1:H1"/>
    <mergeCell ref="B3:I3"/>
    <mergeCell ref="A9:I9"/>
    <mergeCell ref="A13:I13"/>
    <mergeCell ref="B14:I14"/>
    <mergeCell ref="A34:I34"/>
    <mergeCell ref="A38:I38"/>
    <mergeCell ref="A39:I39"/>
    <mergeCell ref="A42:I42"/>
    <mergeCell ref="A43:I43"/>
    <mergeCell ref="A44:I44"/>
    <mergeCell ref="A45:I45"/>
    <mergeCell ref="A46:I46"/>
    <mergeCell ref="A26:A27"/>
    <mergeCell ref="B26:B27"/>
    <mergeCell ref="B28:B29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2" master="" otherUserPermission="visible"/>
  <rangeList sheetStid="39" master="" otherUserPermission="visible"/>
  <rangeList sheetStid="43" master="" otherUserPermission="visible"/>
  <rangeList sheetStid="23" master="" otherUserPermission="visible"/>
  <rangeList sheetStid="38" master="" otherUserPermission="visible"/>
  <rangeList sheetStid="35" master="" otherUserPermission="visible"/>
  <rangeList sheetStid="40" master="" otherUserPermission="visible"/>
  <rangeList sheetStid="41" master="" otherUserPermission="visible">
    <arrUserId title="送样单_8_1" rangeCreator="" othersAccessPermission="edit"/>
    <arrUserId title="送样单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Data summary</vt:lpstr>
      <vt:lpstr>Clinical observation </vt:lpstr>
      <vt:lpstr>PK parameters</vt:lpstr>
      <vt:lpstr>Raw data</vt:lpstr>
      <vt:lpstr>Formulation</vt:lpstr>
      <vt:lpstr>LC-MS </vt:lpstr>
      <vt:lpstr>Study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吴宏辉</cp:lastModifiedBy>
  <dcterms:created xsi:type="dcterms:W3CDTF">2006-09-16T00:00:00Z</dcterms:created>
  <cp:lastPrinted>2020-01-15T02:47:00Z</cp:lastPrinted>
  <dcterms:modified xsi:type="dcterms:W3CDTF">2026-07-15T08:00:18Z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07CB27B3F2B145888F24BE2FFE4EF91E_13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