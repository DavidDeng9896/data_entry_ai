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EO035" sheetId="1" r:id="rId1"/>
    <sheet name="化合物结存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<sst xmlns="http://schemas.openxmlformats.org/spreadsheetml/2006/main" count="1247" uniqueCount="677">
  <si>
    <t>Cpds ID</t>
  </si>
  <si>
    <t>Moleculer Weight</t>
  </si>
  <si>
    <t>molecular formula</t>
  </si>
  <si>
    <r>
      <rPr>
        <b/>
        <sz val="9"/>
        <color theme="1"/>
        <rFont val="Times New Roman"/>
        <charset val="134"/>
      </rPr>
      <t>Biochemical Activity  (ADP-Glo)</t>
    </r>
  </si>
  <si>
    <t>Biochemical Activity  (unwinding)</t>
  </si>
  <si>
    <r>
      <rPr>
        <b/>
        <sz val="9"/>
        <color theme="1"/>
        <rFont val="Times New Roman"/>
        <charset val="134"/>
      </rPr>
      <t>SW48/HCT116</t>
    </r>
    <r>
      <rPr>
        <b/>
        <sz val="9"/>
        <color theme="1"/>
        <rFont val="宋体"/>
        <charset val="134"/>
      </rPr>
      <t>增殖试验</t>
    </r>
  </si>
  <si>
    <r>
      <rPr>
        <b/>
        <sz val="9"/>
        <color theme="1"/>
        <rFont val="Times New Roman"/>
        <charset val="134"/>
      </rPr>
      <t>MSS</t>
    </r>
    <r>
      <rPr>
        <b/>
        <sz val="9"/>
        <color theme="1"/>
        <rFont val="宋体"/>
        <charset val="134"/>
      </rPr>
      <t>细胞增殖试验</t>
    </r>
  </si>
  <si>
    <t xml:space="preserve">CYP inhibition </t>
  </si>
  <si>
    <t>MMS</t>
  </si>
  <si>
    <t>S9</t>
  </si>
  <si>
    <r>
      <rPr>
        <b/>
        <sz val="9"/>
        <color theme="1"/>
        <rFont val="Times New Roman"/>
        <charset val="134"/>
      </rPr>
      <t>MDCK/Papp (×10</t>
    </r>
    <r>
      <rPr>
        <b/>
        <vertAlign val="superscript"/>
        <sz val="9"/>
        <color theme="1"/>
        <rFont val="Times New Roman"/>
        <charset val="134"/>
      </rPr>
      <t>6</t>
    </r>
    <r>
      <rPr>
        <b/>
        <sz val="9"/>
        <color theme="1"/>
        <rFont val="Times New Roman"/>
        <charset val="134"/>
      </rPr>
      <t xml:space="preserve"> cm/sec) and ER</t>
    </r>
  </si>
  <si>
    <r>
      <rPr>
        <b/>
        <sz val="9"/>
        <color theme="1"/>
        <rFont val="Times New Roman"/>
        <charset val="134"/>
      </rPr>
      <t>Caco-2/Papp (×10</t>
    </r>
    <r>
      <rPr>
        <b/>
        <vertAlign val="superscript"/>
        <sz val="9"/>
        <color theme="1"/>
        <rFont val="Times New Roman"/>
        <charset val="134"/>
      </rPr>
      <t>6</t>
    </r>
    <r>
      <rPr>
        <b/>
        <sz val="9"/>
        <color theme="1"/>
        <rFont val="Times New Roman"/>
        <charset val="134"/>
      </rPr>
      <t xml:space="preserve"> cm/sec) and ER</t>
    </r>
  </si>
  <si>
    <t>mouse PK</t>
  </si>
  <si>
    <t>Rat PK</t>
  </si>
  <si>
    <t>Dog PK</t>
  </si>
  <si>
    <t>Monkey PK</t>
  </si>
  <si>
    <t>Thermodynamic Solubility
(μg/mL)</t>
  </si>
  <si>
    <t>Stability
T1/2 (min)</t>
  </si>
  <si>
    <t>PPB
(1 μM)
%Fu</t>
  </si>
  <si>
    <t>Chemical Properties</t>
  </si>
  <si>
    <t>hERG</t>
  </si>
  <si>
    <t>%inhibition</t>
  </si>
  <si>
    <t xml:space="preserve">
IC50
(nM)</t>
  </si>
  <si>
    <t>echelon
IC50
(nM)</t>
  </si>
  <si>
    <t>选择性</t>
  </si>
  <si>
    <t xml:space="preserve">
IC50
(uM)</t>
  </si>
  <si>
    <t>10μM (%)</t>
  </si>
  <si>
    <t>IC50 (μM)</t>
  </si>
  <si>
    <t>30min remain%</t>
  </si>
  <si>
    <t>T1/2 (min)</t>
  </si>
  <si>
    <t>without inhibitor</t>
  </si>
  <si>
    <t>with inhibitor</t>
  </si>
  <si>
    <t>IV (1mpk)</t>
  </si>
  <si>
    <t>PO (10 mpk)</t>
  </si>
  <si>
    <t>PO (30 mpk)</t>
  </si>
  <si>
    <t>PO (100 mpk)</t>
  </si>
  <si>
    <t>IV (1 mpk)</t>
  </si>
  <si>
    <t>PO (5mpk)</t>
  </si>
  <si>
    <t>FaSSGF (pH 1.6)</t>
  </si>
  <si>
    <t xml:space="preserve"> FeSSIF (pH 6.5)</t>
  </si>
  <si>
    <t>PBS (pH 7.4)</t>
  </si>
  <si>
    <t>FaSSGF</t>
  </si>
  <si>
    <t>FeSSIF</t>
  </si>
  <si>
    <t>human</t>
  </si>
  <si>
    <t>rat</t>
  </si>
  <si>
    <t>mouse</t>
  </si>
  <si>
    <t>dog</t>
  </si>
  <si>
    <t>monkey</t>
  </si>
  <si>
    <t>pKa</t>
  </si>
  <si>
    <t>logP</t>
  </si>
  <si>
    <t>logD</t>
  </si>
  <si>
    <t>IC50</t>
  </si>
  <si>
    <t>1000nM</t>
  </si>
  <si>
    <t>20000nM</t>
  </si>
  <si>
    <t>111μM</t>
  </si>
  <si>
    <t>1000 μM</t>
  </si>
  <si>
    <t>top</t>
  </si>
  <si>
    <t>10μM</t>
  </si>
  <si>
    <t>μM</t>
  </si>
  <si>
    <t>2C9</t>
  </si>
  <si>
    <t>2D6</t>
  </si>
  <si>
    <t>3A4 M</t>
  </si>
  <si>
    <t>3A4 T</t>
  </si>
  <si>
    <t>A-B</t>
  </si>
  <si>
    <t xml:space="preserve"> B-A</t>
  </si>
  <si>
    <t>ER</t>
  </si>
  <si>
    <t>CL
(L/h/kg)</t>
  </si>
  <si>
    <t>Vss
(L/kg)</t>
  </si>
  <si>
    <t>AUC0-t
(h*ng/mL)</t>
  </si>
  <si>
    <t>T1/2
(hr)</t>
  </si>
  <si>
    <t>Cmax
(ng/mL)</t>
  </si>
  <si>
    <t>Tmax
(hr)</t>
  </si>
  <si>
    <t>%F</t>
  </si>
  <si>
    <t>pH 1.6</t>
  </si>
  <si>
    <t>pH 5.8</t>
  </si>
  <si>
    <t>pH7.4</t>
  </si>
  <si>
    <t>HW350001</t>
  </si>
  <si>
    <t>5.31   12.6
5.64   6.09
9.24</t>
  </si>
  <si>
    <t>76.82
69.23
70.5</t>
  </si>
  <si>
    <r>
      <rPr>
        <sz val="9"/>
        <color theme="1"/>
        <rFont val="Times New Roman"/>
        <charset val="134"/>
      </rPr>
      <t>106
110
129
114
109.7
42.9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49.16</t>
    </r>
    <r>
      <rPr>
        <sz val="9"/>
        <color theme="1"/>
        <rFont val="宋体"/>
        <charset val="134"/>
      </rPr>
      <t>）</t>
    </r>
  </si>
  <si>
    <t>∞</t>
  </si>
  <si>
    <t>&gt;30</t>
  </si>
  <si>
    <t>HW350002</t>
  </si>
  <si>
    <r>
      <rPr>
        <sz val="9"/>
        <color theme="1"/>
        <rFont val="Times New Roman"/>
        <charset val="134"/>
      </rPr>
      <t>2170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HW350001:5.64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90.8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HW350001:12.6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</si>
  <si>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350001:114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19.19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37.31</t>
    </r>
    <r>
      <rPr>
        <sz val="9"/>
        <color theme="1"/>
        <rFont val="宋体"/>
        <charset val="134"/>
      </rPr>
      <t>）</t>
    </r>
  </si>
  <si>
    <t>HW350003A</t>
  </si>
  <si>
    <r>
      <rPr>
        <sz val="9"/>
        <color theme="1"/>
        <rFont val="Times New Roman"/>
        <charset val="134"/>
      </rPr>
      <t>233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HW350001:6.09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145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HW350001:9.24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177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HW350001:9.24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198
199
103
59.7/57.5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VVD-214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128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77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VVD-214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106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 xml:space="preserve">86.8
</t>
    </r>
  </si>
  <si>
    <r>
      <rPr>
        <sz val="9"/>
        <color theme="1"/>
        <rFont val="Times New Roman"/>
        <charset val="134"/>
      </rPr>
      <t>36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350001:114</t>
    </r>
    <r>
      <rPr>
        <sz val="9"/>
        <color theme="1"/>
        <rFont val="宋体"/>
        <charset val="134"/>
      </rPr>
      <t>），</t>
    </r>
    <r>
      <rPr>
        <sz val="9"/>
        <color theme="1"/>
        <rFont val="Times New Roman"/>
        <charset val="134"/>
      </rPr>
      <t>48.95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Times New Roman"/>
        <charset val="134"/>
      </rPr>
      <t>50.80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350001:110</t>
    </r>
    <r>
      <rPr>
        <sz val="9"/>
        <color theme="1"/>
        <rFont val="宋体"/>
        <charset val="134"/>
      </rPr>
      <t>），</t>
    </r>
    <r>
      <rPr>
        <sz val="9"/>
        <color theme="1"/>
        <rFont val="Times New Roman"/>
        <charset val="134"/>
      </rPr>
      <t>30.29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Times New Roman"/>
        <charset val="134"/>
      </rPr>
      <t>39.31
37.31
51.6
40.84
42.01
47.32
34.56
33.42
37.45
34.37
34.42
22.96
32.36
38.81
32.35
66.3
32.15
49.16</t>
    </r>
  </si>
  <si>
    <t>&gt;10000</t>
  </si>
  <si>
    <t>HW350003</t>
  </si>
  <si>
    <r>
      <rPr>
        <sz val="9"/>
        <color theme="1"/>
        <rFont val="Times New Roman"/>
        <charset val="134"/>
      </rPr>
      <t>334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HW350001:9.24</t>
    </r>
    <r>
      <rPr>
        <sz val="9"/>
        <color theme="1"/>
        <rFont val="宋体"/>
        <charset val="134"/>
      </rPr>
      <t>）</t>
    </r>
  </si>
  <si>
    <t>HW350003B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</si>
  <si>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HW350001:6.09</t>
    </r>
    <r>
      <rPr>
        <sz val="9"/>
        <color theme="1"/>
        <rFont val="宋体"/>
        <charset val="134"/>
      </rPr>
      <t>）</t>
    </r>
  </si>
  <si>
    <t>HW350004P1</t>
  </si>
  <si>
    <t>HW350004P2</t>
  </si>
  <si>
    <r>
      <rPr>
        <sz val="9"/>
        <color theme="1"/>
        <rFont val="Times New Roman"/>
        <charset val="134"/>
      </rPr>
      <t>489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HW350001:6.09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</si>
  <si>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367.4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350001:109.7</t>
    </r>
    <r>
      <rPr>
        <sz val="9"/>
        <color theme="1"/>
        <rFont val="宋体"/>
        <charset val="134"/>
      </rPr>
      <t>）</t>
    </r>
  </si>
  <si>
    <t>HW350005</t>
  </si>
  <si>
    <r>
      <rPr>
        <sz val="9"/>
        <color theme="1"/>
        <rFont val="Times New Roman"/>
        <charset val="134"/>
      </rPr>
      <t>2596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</si>
  <si>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HW350006</t>
  </si>
  <si>
    <r>
      <rPr>
        <sz val="9"/>
        <color theme="1"/>
        <rFont val="宋体"/>
        <charset val="134"/>
      </rPr>
      <t>＞</t>
    </r>
    <r>
      <rPr>
        <sz val="9"/>
        <color theme="1"/>
        <rFont val="Times New Roman"/>
        <charset val="134"/>
      </rPr>
      <t>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</si>
  <si>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HW351002</t>
  </si>
  <si>
    <r>
      <rPr>
        <sz val="9"/>
        <color theme="1"/>
        <rFont val="Times New Roman"/>
        <charset val="134"/>
      </rPr>
      <t>6.95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NSC</t>
    </r>
    <r>
      <rPr>
        <sz val="9"/>
        <color theme="1"/>
        <rFont val="宋体"/>
        <charset val="134"/>
      </rPr>
      <t>617145：248）</t>
    </r>
  </si>
  <si>
    <t>71.45
71.01</t>
  </si>
  <si>
    <r>
      <rPr>
        <sz val="9"/>
        <color theme="1"/>
        <rFont val="Times New Roman"/>
        <charset val="134"/>
      </rPr>
      <t>334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350001:110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397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350001:129</t>
    </r>
    <r>
      <rPr>
        <sz val="9"/>
        <color theme="1"/>
        <rFont val="宋体"/>
        <charset val="134"/>
      </rPr>
      <t>）</t>
    </r>
  </si>
  <si>
    <t>HW351003</t>
  </si>
  <si>
    <r>
      <rPr>
        <sz val="9"/>
        <color theme="1"/>
        <rFont val="Times New Roman"/>
        <charset val="134"/>
      </rPr>
      <t>5.98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NSC617145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248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</si>
  <si>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356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350001:129</t>
    </r>
    <r>
      <rPr>
        <sz val="9"/>
        <color theme="1"/>
        <rFont val="宋体"/>
        <charset val="134"/>
      </rPr>
      <t>）</t>
    </r>
  </si>
  <si>
    <t>HW351005</t>
  </si>
  <si>
    <r>
      <rPr>
        <sz val="9"/>
        <color theme="1"/>
        <rFont val="Times New Roman"/>
        <charset val="134"/>
      </rPr>
      <t>6.18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HW350001:5.64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</si>
  <si>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1198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350001:114</t>
    </r>
    <r>
      <rPr>
        <sz val="9"/>
        <color theme="1"/>
        <rFont val="宋体"/>
        <charset val="134"/>
      </rPr>
      <t>）</t>
    </r>
  </si>
  <si>
    <t>HW351006</t>
  </si>
  <si>
    <r>
      <rPr>
        <sz val="9"/>
        <color theme="1"/>
        <rFont val="Times New Roman"/>
        <charset val="134"/>
      </rPr>
      <t>3041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350001:110</t>
    </r>
    <r>
      <rPr>
        <sz val="9"/>
        <color theme="1"/>
        <rFont val="宋体"/>
        <charset val="134"/>
      </rPr>
      <t>）</t>
    </r>
  </si>
  <si>
    <t>HW351007</t>
  </si>
  <si>
    <r>
      <rPr>
        <sz val="9"/>
        <color theme="1"/>
        <rFont val="Times New Roman"/>
        <charset val="134"/>
      </rPr>
      <t>7807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350001:129</t>
    </r>
    <r>
      <rPr>
        <sz val="9"/>
        <color theme="1"/>
        <rFont val="宋体"/>
        <charset val="134"/>
      </rPr>
      <t>）</t>
    </r>
  </si>
  <si>
    <t>HW352003</t>
  </si>
  <si>
    <r>
      <rPr>
        <sz val="9"/>
        <color theme="1"/>
        <rFont val="Times New Roman"/>
        <charset val="134"/>
      </rPr>
      <t>4.61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HW350001:5.64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</si>
  <si>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6826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350001:114</t>
    </r>
    <r>
      <rPr>
        <sz val="9"/>
        <color theme="1"/>
        <rFont val="宋体"/>
        <charset val="134"/>
      </rPr>
      <t>）</t>
    </r>
  </si>
  <si>
    <t>HW352004</t>
  </si>
  <si>
    <r>
      <rPr>
        <sz val="9"/>
        <color theme="1"/>
        <rFont val="Times New Roman"/>
        <charset val="134"/>
      </rPr>
      <t>7.31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NSC617145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248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</si>
  <si>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1175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350001:110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1388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350001:129</t>
    </r>
    <r>
      <rPr>
        <sz val="9"/>
        <color theme="1"/>
        <rFont val="宋体"/>
        <charset val="134"/>
      </rPr>
      <t>）</t>
    </r>
  </si>
  <si>
    <t>HW352007</t>
  </si>
  <si>
    <r>
      <rPr>
        <sz val="9"/>
        <color theme="1"/>
        <rFont val="Times New Roman"/>
        <charset val="134"/>
      </rPr>
      <t>4.43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NSC617145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248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</si>
  <si>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1088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350001:110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1114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350001:129</t>
    </r>
    <r>
      <rPr>
        <sz val="9"/>
        <color theme="1"/>
        <rFont val="宋体"/>
        <charset val="134"/>
      </rPr>
      <t>）</t>
    </r>
  </si>
  <si>
    <t>HW352010</t>
  </si>
  <si>
    <r>
      <rPr>
        <sz val="9"/>
        <color theme="1"/>
        <rFont val="Times New Roman"/>
        <charset val="134"/>
      </rPr>
      <t>3.57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HW350001:5.64</t>
    </r>
    <r>
      <rPr>
        <sz val="9"/>
        <color theme="1"/>
        <rFont val="宋体"/>
        <charset val="134"/>
      </rPr>
      <t>）</t>
    </r>
  </si>
  <si>
    <t>HW352011</t>
  </si>
  <si>
    <r>
      <rPr>
        <sz val="9"/>
        <color theme="1"/>
        <rFont val="Times New Roman"/>
        <charset val="134"/>
      </rPr>
      <t>5.59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HW350001:5.64</t>
    </r>
    <r>
      <rPr>
        <sz val="9"/>
        <color theme="1"/>
        <rFont val="宋体"/>
        <charset val="134"/>
      </rPr>
      <t>）</t>
    </r>
  </si>
  <si>
    <t>HW354002</t>
  </si>
  <si>
    <r>
      <rPr>
        <sz val="9"/>
        <color theme="1"/>
        <rFont val="Times New Roman"/>
        <charset val="134"/>
      </rPr>
      <t>13.6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HW350001:5.64</t>
    </r>
    <r>
      <rPr>
        <sz val="9"/>
        <color theme="1"/>
        <rFont val="宋体"/>
        <charset val="134"/>
      </rPr>
      <t>）</t>
    </r>
  </si>
  <si>
    <t>HW354003</t>
  </si>
  <si>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NSC617145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248</t>
    </r>
    <r>
      <rPr>
        <sz val="9"/>
        <color theme="1"/>
        <rFont val="宋体"/>
        <charset val="134"/>
      </rPr>
      <t>）</t>
    </r>
  </si>
  <si>
    <t>HW354003-BP</t>
  </si>
  <si>
    <r>
      <rPr>
        <sz val="9"/>
        <color theme="1"/>
        <rFont val="Times New Roman"/>
        <charset val="134"/>
      </rPr>
      <t>331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NSC617145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248</t>
    </r>
    <r>
      <rPr>
        <sz val="9"/>
        <color theme="1"/>
        <rFont val="宋体"/>
        <charset val="134"/>
      </rPr>
      <t>）</t>
    </r>
  </si>
  <si>
    <t>HW356001A</t>
  </si>
  <si>
    <r>
      <rPr>
        <sz val="9"/>
        <color theme="1"/>
        <rFont val="Times New Roman"/>
        <charset val="134"/>
      </rPr>
      <t>1272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HW350002:90.8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</si>
  <si>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537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350001:114</t>
    </r>
    <r>
      <rPr>
        <sz val="9"/>
        <color theme="1"/>
        <rFont val="宋体"/>
        <charset val="134"/>
      </rPr>
      <t>）</t>
    </r>
  </si>
  <si>
    <t>HW356001B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</si>
  <si>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HW350002:90.8</t>
    </r>
    <r>
      <rPr>
        <sz val="9"/>
        <color theme="1"/>
        <rFont val="宋体"/>
        <charset val="134"/>
      </rPr>
      <t>）</t>
    </r>
  </si>
  <si>
    <t>HW356001-BP-A</t>
  </si>
  <si>
    <t>HW356001-BP-B</t>
  </si>
  <si>
    <t>HW356002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</si>
  <si>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37.45</t>
    </r>
    <r>
      <rPr>
        <sz val="9"/>
        <color theme="1"/>
        <rFont val="宋体"/>
        <charset val="134"/>
      </rPr>
      <t>）</t>
    </r>
  </si>
  <si>
    <t>HW356003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</si>
  <si>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</si>
  <si>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HW356004</t>
  </si>
  <si>
    <r>
      <rPr>
        <sz val="9"/>
        <color theme="1"/>
        <rFont val="Times New Roman"/>
        <charset val="134"/>
      </rPr>
      <t>2680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</si>
  <si>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HW356005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</si>
  <si>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34.42</t>
    </r>
    <r>
      <rPr>
        <sz val="9"/>
        <color theme="1"/>
        <rFont val="宋体"/>
        <charset val="134"/>
      </rPr>
      <t>）</t>
    </r>
  </si>
  <si>
    <t>HW356006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</si>
  <si>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37.31</t>
    </r>
    <r>
      <rPr>
        <sz val="9"/>
        <color theme="1"/>
        <rFont val="宋体"/>
        <charset val="134"/>
      </rPr>
      <t>）</t>
    </r>
  </si>
  <si>
    <t>HW356007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</si>
  <si>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HW350003A:198</t>
    </r>
    <r>
      <rPr>
        <sz val="9"/>
        <color theme="1"/>
        <rFont val="宋体"/>
        <charset val="134"/>
      </rPr>
      <t>）</t>
    </r>
  </si>
  <si>
    <t>HW356008</t>
  </si>
  <si>
    <r>
      <rPr>
        <sz val="9"/>
        <color theme="1"/>
        <rFont val="Times New Roman"/>
        <charset val="134"/>
      </rPr>
      <t>1205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</si>
  <si>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1090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350003A:39.31</t>
    </r>
    <r>
      <rPr>
        <sz val="9"/>
        <color theme="1"/>
        <rFont val="宋体"/>
        <charset val="134"/>
      </rPr>
      <t>）</t>
    </r>
  </si>
  <si>
    <t>HW356008-BP</t>
  </si>
  <si>
    <t>HW356009</t>
  </si>
  <si>
    <r>
      <rPr>
        <sz val="9"/>
        <color theme="1"/>
        <rFont val="Times New Roman"/>
        <charset val="134"/>
      </rPr>
      <t>56.12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</si>
  <si>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HW356009-P1</t>
  </si>
  <si>
    <r>
      <rPr>
        <sz val="9"/>
        <color theme="1"/>
        <rFont val="Times New Roman"/>
        <charset val="134"/>
      </rPr>
      <t>201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HW350003A:77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217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</si>
  <si>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≈</t>
    </r>
    <r>
      <rPr>
        <sz val="9"/>
        <color theme="1"/>
        <rFont val="Times New Roman"/>
        <charset val="134"/>
      </rPr>
      <t>10</t>
    </r>
  </si>
  <si>
    <t>&gt;10</t>
  </si>
  <si>
    <t>HW356009-P2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</si>
  <si>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HW350003A:77</t>
    </r>
    <r>
      <rPr>
        <sz val="9"/>
        <color theme="1"/>
        <rFont val="宋体"/>
        <charset val="134"/>
      </rPr>
      <t>）</t>
    </r>
  </si>
  <si>
    <t>HW356010</t>
  </si>
  <si>
    <t>HW356011</t>
  </si>
  <si>
    <r>
      <rPr>
        <sz val="9"/>
        <color theme="1"/>
        <rFont val="Times New Roman"/>
        <charset val="134"/>
      </rPr>
      <t>128.8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350003A:34.56</t>
    </r>
    <r>
      <rPr>
        <sz val="9"/>
        <color theme="1"/>
        <rFont val="宋体"/>
        <charset val="134"/>
      </rPr>
      <t>）</t>
    </r>
  </si>
  <si>
    <t>HW356011-P1</t>
  </si>
  <si>
    <r>
      <rPr>
        <sz val="9"/>
        <color theme="1"/>
        <rFont val="宋体"/>
        <charset val="134"/>
      </rPr>
      <t>＞</t>
    </r>
    <r>
      <rPr>
        <sz val="9"/>
        <color theme="1"/>
        <rFont val="Times New Roman"/>
        <charset val="134"/>
      </rPr>
      <t>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350003A:42.01</t>
    </r>
    <r>
      <rPr>
        <sz val="9"/>
        <color theme="1"/>
        <rFont val="宋体"/>
        <charset val="134"/>
      </rPr>
      <t>）</t>
    </r>
  </si>
  <si>
    <t>HW356011-P2</t>
  </si>
  <si>
    <t>HW356012</t>
  </si>
  <si>
    <r>
      <rPr>
        <sz val="9"/>
        <color theme="1"/>
        <rFont val="Times New Roman"/>
        <charset val="134"/>
      </rPr>
      <t>1680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350003A:34.56</t>
    </r>
    <r>
      <rPr>
        <sz val="9"/>
        <color theme="1"/>
        <rFont val="宋体"/>
        <charset val="134"/>
      </rPr>
      <t>）</t>
    </r>
  </si>
  <si>
    <t>HW356013</t>
  </si>
  <si>
    <r>
      <rPr>
        <sz val="9"/>
        <color theme="1"/>
        <rFont val="Times New Roman"/>
        <charset val="134"/>
      </rPr>
      <t>4269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</si>
  <si>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HW356014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</si>
  <si>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350003A:33.42</t>
    </r>
    <r>
      <rPr>
        <sz val="9"/>
        <color theme="1"/>
        <rFont val="宋体"/>
        <charset val="134"/>
      </rPr>
      <t>）</t>
    </r>
  </si>
  <si>
    <t>HW356015</t>
  </si>
  <si>
    <r>
      <rPr>
        <sz val="9"/>
        <color theme="1"/>
        <rFont val="Times New Roman"/>
        <charset val="134"/>
      </rPr>
      <t>434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</si>
  <si>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127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37.31</t>
    </r>
    <r>
      <rPr>
        <sz val="9"/>
        <color theme="1"/>
        <rFont val="宋体"/>
        <charset val="134"/>
      </rPr>
      <t>）</t>
    </r>
  </si>
  <si>
    <t>HW356015A</t>
  </si>
  <si>
    <r>
      <rPr>
        <sz val="9"/>
        <color theme="1"/>
        <rFont val="Times New Roman"/>
        <charset val="134"/>
      </rPr>
      <t>102.4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51.6</t>
    </r>
    <r>
      <rPr>
        <sz val="9"/>
        <color theme="1"/>
        <rFont val="宋体"/>
        <charset val="134"/>
      </rPr>
      <t>）</t>
    </r>
  </si>
  <si>
    <t>HW356015B</t>
  </si>
  <si>
    <r>
      <rPr>
        <sz val="9"/>
        <color theme="1"/>
        <rFont val="Times New Roman"/>
        <charset val="134"/>
      </rPr>
      <t>4448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51.6</t>
    </r>
    <r>
      <rPr>
        <sz val="9"/>
        <color theme="1"/>
        <rFont val="宋体"/>
        <charset val="134"/>
      </rPr>
      <t>）</t>
    </r>
  </si>
  <si>
    <t>HW356016</t>
  </si>
  <si>
    <r>
      <rPr>
        <sz val="9"/>
        <color theme="1"/>
        <rFont val="Times New Roman"/>
        <charset val="134"/>
      </rPr>
      <t>661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</si>
  <si>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425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66.3</t>
    </r>
    <r>
      <rPr>
        <sz val="9"/>
        <color theme="1"/>
        <rFont val="宋体"/>
        <charset val="134"/>
      </rPr>
      <t>）</t>
    </r>
  </si>
  <si>
    <t>HW356017</t>
  </si>
  <si>
    <r>
      <rPr>
        <sz val="9"/>
        <color theme="1"/>
        <rFont val="Times New Roman"/>
        <charset val="134"/>
      </rPr>
      <t>333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32.36</t>
    </r>
    <r>
      <rPr>
        <sz val="9"/>
        <color theme="1"/>
        <rFont val="宋体"/>
        <charset val="134"/>
      </rPr>
      <t>）</t>
    </r>
  </si>
  <si>
    <t>HW356018</t>
  </si>
  <si>
    <r>
      <rPr>
        <sz val="9"/>
        <color theme="1"/>
        <rFont val="Times New Roman"/>
        <charset val="134"/>
      </rPr>
      <t>99.81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350003A:33.42</t>
    </r>
    <r>
      <rPr>
        <sz val="9"/>
        <color theme="1"/>
        <rFont val="宋体"/>
        <charset val="134"/>
      </rPr>
      <t>）</t>
    </r>
  </si>
  <si>
    <t>血浆极不稳定，po给药后无法检测到</t>
  </si>
  <si>
    <t>HW356019B</t>
  </si>
  <si>
    <r>
      <rPr>
        <sz val="9"/>
        <color theme="1"/>
        <rFont val="Times New Roman"/>
        <charset val="134"/>
      </rPr>
      <t>1695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HW350002:90.8</t>
    </r>
    <r>
      <rPr>
        <sz val="9"/>
        <color theme="1"/>
        <rFont val="宋体"/>
        <charset val="134"/>
      </rPr>
      <t>）</t>
    </r>
  </si>
  <si>
    <t>HW356019A</t>
  </si>
  <si>
    <t>HW356020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</si>
  <si>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350003A:34.56</t>
    </r>
    <r>
      <rPr>
        <sz val="9"/>
        <color theme="1"/>
        <rFont val="宋体"/>
        <charset val="134"/>
      </rPr>
      <t>）</t>
    </r>
  </si>
  <si>
    <t>HW356021</t>
  </si>
  <si>
    <r>
      <rPr>
        <sz val="9"/>
        <color theme="1"/>
        <rFont val="Times New Roman"/>
        <charset val="134"/>
      </rPr>
      <t>590.8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350003A:42.01</t>
    </r>
    <r>
      <rPr>
        <sz val="9"/>
        <color theme="1"/>
        <rFont val="宋体"/>
        <charset val="134"/>
      </rPr>
      <t>）</t>
    </r>
  </si>
  <si>
    <t>HW356022</t>
  </si>
  <si>
    <t>HW356023</t>
  </si>
  <si>
    <r>
      <rPr>
        <sz val="9"/>
        <color theme="1"/>
        <rFont val="Times New Roman"/>
        <charset val="134"/>
      </rPr>
      <t>3329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</si>
  <si>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HW356023-P1</t>
  </si>
  <si>
    <r>
      <rPr>
        <sz val="9"/>
        <color theme="1"/>
        <rFont val="Times New Roman"/>
        <charset val="134"/>
      </rPr>
      <t>2584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</si>
  <si>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HW356023-P2</t>
  </si>
  <si>
    <t>HW356023-BP</t>
  </si>
  <si>
    <t>HW356024A</t>
  </si>
  <si>
    <r>
      <rPr>
        <sz val="9"/>
        <color theme="1"/>
        <rFont val="Times New Roman"/>
        <charset val="134"/>
      </rPr>
      <t>326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HW350001:6.09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</si>
  <si>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361.0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350001:109.7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200.3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37.31</t>
    </r>
    <r>
      <rPr>
        <sz val="9"/>
        <color theme="1"/>
        <rFont val="宋体"/>
        <charset val="134"/>
      </rPr>
      <t>）</t>
    </r>
  </si>
  <si>
    <t>HW356024B</t>
  </si>
  <si>
    <t>HW356024-BP</t>
  </si>
  <si>
    <t>HW356025A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</si>
  <si>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</si>
  <si>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350001:109.7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350003A:39.31</t>
    </r>
    <r>
      <rPr>
        <sz val="9"/>
        <color theme="1"/>
        <rFont val="宋体"/>
        <charset val="134"/>
      </rPr>
      <t>）</t>
    </r>
  </si>
  <si>
    <t>HW356025B</t>
  </si>
  <si>
    <t>HW356026</t>
  </si>
  <si>
    <r>
      <rPr>
        <sz val="9"/>
        <color theme="1"/>
        <rFont val="Times New Roman"/>
        <charset val="134"/>
      </rPr>
      <t>163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350003A:33.42</t>
    </r>
    <r>
      <rPr>
        <sz val="9"/>
        <color theme="1"/>
        <rFont val="宋体"/>
        <charset val="134"/>
      </rPr>
      <t>）</t>
    </r>
  </si>
  <si>
    <t>HW356027</t>
  </si>
  <si>
    <r>
      <rPr>
        <sz val="9"/>
        <color theme="1"/>
        <rFont val="Times New Roman"/>
        <charset val="134"/>
      </rPr>
      <t>129.8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37.45</t>
    </r>
    <r>
      <rPr>
        <sz val="9"/>
        <color theme="1"/>
        <rFont val="宋体"/>
        <charset val="134"/>
      </rPr>
      <t>）</t>
    </r>
  </si>
  <si>
    <t>HW356028</t>
  </si>
  <si>
    <r>
      <rPr>
        <sz val="9"/>
        <color theme="1"/>
        <rFont val="Times New Roman"/>
        <charset val="134"/>
      </rPr>
      <t>8757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HW350003A:198</t>
    </r>
    <r>
      <rPr>
        <sz val="9"/>
        <color theme="1"/>
        <rFont val="宋体"/>
        <charset val="134"/>
      </rPr>
      <t>）</t>
    </r>
  </si>
  <si>
    <t>HW356029</t>
  </si>
  <si>
    <r>
      <rPr>
        <sz val="9"/>
        <color theme="1"/>
        <rFont val="Times New Roman"/>
        <charset val="134"/>
      </rPr>
      <t>600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</si>
  <si>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173.4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350003A:40.84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162.6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350003A:47.32</t>
    </r>
    <r>
      <rPr>
        <sz val="9"/>
        <color theme="1"/>
        <rFont val="宋体"/>
        <charset val="134"/>
      </rPr>
      <t>）</t>
    </r>
  </si>
  <si>
    <t>HW356030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</si>
  <si>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HW350003A:198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</si>
  <si>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4052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51.6</t>
    </r>
    <r>
      <rPr>
        <sz val="9"/>
        <color theme="1"/>
        <rFont val="宋体"/>
        <charset val="134"/>
      </rPr>
      <t>）</t>
    </r>
  </si>
  <si>
    <t>HW356030BP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</si>
  <si>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51.6</t>
    </r>
    <r>
      <rPr>
        <sz val="9"/>
        <color theme="1"/>
        <rFont val="宋体"/>
        <charset val="134"/>
      </rPr>
      <t>）</t>
    </r>
  </si>
  <si>
    <t>HW356031</t>
  </si>
  <si>
    <r>
      <rPr>
        <sz val="9"/>
        <color theme="1"/>
        <rFont val="Times New Roman"/>
        <charset val="134"/>
      </rPr>
      <t>1714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</si>
  <si>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670.2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350003A:47.32</t>
    </r>
    <r>
      <rPr>
        <sz val="9"/>
        <color theme="1"/>
        <rFont val="宋体"/>
        <charset val="134"/>
      </rPr>
      <t>）</t>
    </r>
  </si>
  <si>
    <t>HW356032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</si>
  <si>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HW350001:9.24</t>
    </r>
    <r>
      <rPr>
        <sz val="9"/>
        <color theme="1"/>
        <rFont val="宋体"/>
        <charset val="134"/>
      </rPr>
      <t>）</t>
    </r>
  </si>
  <si>
    <t>HW356033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</si>
  <si>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350003A:40.84</t>
    </r>
    <r>
      <rPr>
        <sz val="9"/>
        <color theme="1"/>
        <rFont val="宋体"/>
        <charset val="134"/>
      </rPr>
      <t>）</t>
    </r>
  </si>
  <si>
    <t>HW356034</t>
  </si>
  <si>
    <t>HW356035</t>
  </si>
  <si>
    <r>
      <rPr>
        <sz val="9"/>
        <color theme="1"/>
        <rFont val="Times New Roman"/>
        <charset val="134"/>
      </rPr>
      <t>2563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HW350003A:59.7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</si>
  <si>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676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350003A:22.96</t>
    </r>
    <r>
      <rPr>
        <sz val="9"/>
        <color theme="1"/>
        <rFont val="宋体"/>
        <charset val="134"/>
      </rPr>
      <t>）</t>
    </r>
  </si>
  <si>
    <t>HW356036</t>
  </si>
  <si>
    <t>HW356037</t>
  </si>
  <si>
    <t>HW356038</t>
  </si>
  <si>
    <r>
      <rPr>
        <sz val="9"/>
        <color theme="1"/>
        <rFont val="Times New Roman"/>
        <charset val="134"/>
      </rPr>
      <t>1644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51.6</t>
    </r>
    <r>
      <rPr>
        <sz val="9"/>
        <color theme="1"/>
        <rFont val="宋体"/>
        <charset val="134"/>
      </rPr>
      <t>）</t>
    </r>
  </si>
  <si>
    <t>HW356039</t>
  </si>
  <si>
    <r>
      <rPr>
        <sz val="9"/>
        <color theme="1"/>
        <rFont val="Times New Roman"/>
        <charset val="134"/>
      </rPr>
      <t>3893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51.6</t>
    </r>
    <r>
      <rPr>
        <sz val="9"/>
        <color theme="1"/>
        <rFont val="宋体"/>
        <charset val="134"/>
      </rPr>
      <t>）</t>
    </r>
  </si>
  <si>
    <t>HW356040</t>
  </si>
  <si>
    <r>
      <rPr>
        <sz val="9"/>
        <color theme="1"/>
        <rFont val="Times New Roman"/>
        <charset val="134"/>
      </rPr>
      <t>597.6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51.6</t>
    </r>
    <r>
      <rPr>
        <sz val="9"/>
        <color theme="1"/>
        <rFont val="宋体"/>
        <charset val="134"/>
      </rPr>
      <t>）</t>
    </r>
  </si>
  <si>
    <t>HW356041</t>
  </si>
  <si>
    <r>
      <rPr>
        <sz val="9"/>
        <color theme="1"/>
        <rFont val="Times New Roman"/>
        <charset val="134"/>
      </rPr>
      <t>436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HW350003A:103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</si>
  <si>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51.28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37.45</t>
    </r>
    <r>
      <rPr>
        <sz val="9"/>
        <color theme="1"/>
        <rFont val="宋体"/>
        <charset val="134"/>
      </rPr>
      <t>）</t>
    </r>
  </si>
  <si>
    <t>未代谢</t>
  </si>
  <si>
    <t>HW356042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</si>
  <si>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350003A:47.32</t>
    </r>
    <r>
      <rPr>
        <sz val="9"/>
        <color theme="1"/>
        <rFont val="宋体"/>
        <charset val="134"/>
      </rPr>
      <t>）</t>
    </r>
  </si>
  <si>
    <t>HW356043</t>
  </si>
  <si>
    <r>
      <rPr>
        <sz val="9"/>
        <color theme="1"/>
        <rFont val="Times New Roman"/>
        <charset val="134"/>
      </rPr>
      <t>1181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350003A:39.31</t>
    </r>
    <r>
      <rPr>
        <sz val="9"/>
        <color theme="1"/>
        <rFont val="宋体"/>
        <charset val="134"/>
      </rPr>
      <t>）</t>
    </r>
  </si>
  <si>
    <t>HW356044</t>
  </si>
  <si>
    <t>HW356045</t>
  </si>
  <si>
    <r>
      <rPr>
        <sz val="9"/>
        <color theme="1"/>
        <rFont val="Times New Roman"/>
        <charset val="134"/>
      </rPr>
      <t>494.8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350003A:42.01</t>
    </r>
    <r>
      <rPr>
        <sz val="9"/>
        <color theme="1"/>
        <rFont val="宋体"/>
        <charset val="134"/>
      </rPr>
      <t>）</t>
    </r>
  </si>
  <si>
    <t>HW356046</t>
  </si>
  <si>
    <r>
      <rPr>
        <sz val="9"/>
        <color theme="1"/>
        <rFont val="Times New Roman"/>
        <charset val="134"/>
      </rPr>
      <t>534.2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350003A:34.56</t>
    </r>
    <r>
      <rPr>
        <sz val="9"/>
        <color theme="1"/>
        <rFont val="宋体"/>
        <charset val="134"/>
      </rPr>
      <t>）</t>
    </r>
  </si>
  <si>
    <t>HW356047</t>
  </si>
  <si>
    <r>
      <rPr>
        <sz val="9"/>
        <color theme="1"/>
        <rFont val="Times New Roman"/>
        <charset val="134"/>
      </rPr>
      <t>1292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</si>
  <si>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348.7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350003A:47.32</t>
    </r>
    <r>
      <rPr>
        <sz val="9"/>
        <color theme="1"/>
        <rFont val="宋体"/>
        <charset val="134"/>
      </rPr>
      <t>）</t>
    </r>
  </si>
  <si>
    <t>HW356048</t>
  </si>
  <si>
    <r>
      <rPr>
        <sz val="9"/>
        <color theme="1"/>
        <rFont val="Times New Roman"/>
        <charset val="134"/>
      </rPr>
      <t>406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HW350003A:199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</si>
  <si>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222.5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350003A:47.32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91.48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350003A:34.56</t>
    </r>
    <r>
      <rPr>
        <sz val="9"/>
        <color theme="1"/>
        <rFont val="宋体"/>
        <charset val="134"/>
      </rPr>
      <t>）纯度更高批次</t>
    </r>
  </si>
  <si>
    <t>HW356049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</si>
  <si>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350003A:34.37</t>
    </r>
    <r>
      <rPr>
        <sz val="9"/>
        <color theme="1"/>
        <rFont val="宋体"/>
        <charset val="134"/>
      </rPr>
      <t>）</t>
    </r>
  </si>
  <si>
    <t>HW356050</t>
  </si>
  <si>
    <r>
      <rPr>
        <sz val="9"/>
        <color theme="1"/>
        <rFont val="Times New Roman"/>
        <charset val="134"/>
      </rPr>
      <t>669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350003A:34.37</t>
    </r>
    <r>
      <rPr>
        <sz val="9"/>
        <color theme="1"/>
        <rFont val="宋体"/>
        <charset val="134"/>
      </rPr>
      <t>）</t>
    </r>
  </si>
  <si>
    <t>HW356051</t>
  </si>
  <si>
    <r>
      <rPr>
        <sz val="9"/>
        <color theme="1"/>
        <rFont val="Times New Roman"/>
        <charset val="134"/>
      </rPr>
      <t>216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HW350003A:103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</si>
  <si>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33.29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34.42</t>
    </r>
    <r>
      <rPr>
        <sz val="9"/>
        <color theme="1"/>
        <rFont val="宋体"/>
        <charset val="134"/>
      </rPr>
      <t>）</t>
    </r>
  </si>
  <si>
    <t>HW356052</t>
  </si>
  <si>
    <r>
      <rPr>
        <sz val="9"/>
        <color theme="1"/>
        <rFont val="Times New Roman"/>
        <charset val="134"/>
      </rPr>
      <t>552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HW350003A:103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</si>
  <si>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75.25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34.42</t>
    </r>
    <r>
      <rPr>
        <sz val="9"/>
        <color theme="1"/>
        <rFont val="宋体"/>
        <charset val="134"/>
      </rPr>
      <t>）</t>
    </r>
  </si>
  <si>
    <t>HW356053</t>
  </si>
  <si>
    <r>
      <rPr>
        <sz val="9"/>
        <color theme="1"/>
        <rFont val="Times New Roman"/>
        <charset val="134"/>
      </rPr>
      <t>&gt;10000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HW350003A:103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</si>
  <si>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147.6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34.42</t>
    </r>
    <r>
      <rPr>
        <sz val="9"/>
        <color theme="1"/>
        <rFont val="宋体"/>
        <charset val="134"/>
      </rPr>
      <t>）</t>
    </r>
  </si>
  <si>
    <t>HW356054</t>
  </si>
  <si>
    <r>
      <rPr>
        <sz val="9"/>
        <color theme="1"/>
        <rFont val="Times New Roman"/>
        <charset val="134"/>
      </rPr>
      <t>TOP</t>
    </r>
    <r>
      <rPr>
        <sz val="9"/>
        <color theme="1"/>
        <rFont val="宋体"/>
        <charset val="134"/>
      </rPr>
      <t>值偏低</t>
    </r>
  </si>
  <si>
    <r>
      <rPr>
        <sz val="9"/>
        <color theme="1"/>
        <rFont val="Times New Roman"/>
        <charset val="134"/>
      </rPr>
      <t>153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</si>
  <si>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190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66.3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103.7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32.15</t>
    </r>
    <r>
      <rPr>
        <sz val="9"/>
        <color theme="1"/>
        <rFont val="宋体"/>
        <charset val="134"/>
      </rPr>
      <t>）</t>
    </r>
  </si>
  <si>
    <t>208
194</t>
  </si>
  <si>
    <t>1.17
1.83</t>
  </si>
  <si>
    <t>1048
2130</t>
  </si>
  <si>
    <t>2.94
4.8</t>
  </si>
  <si>
    <t>HW356055</t>
  </si>
  <si>
    <r>
      <rPr>
        <sz val="9"/>
        <color theme="1"/>
        <rFont val="Times New Roman"/>
        <charset val="134"/>
      </rPr>
      <t>74.72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38.81</t>
    </r>
    <r>
      <rPr>
        <sz val="9"/>
        <color theme="1"/>
        <rFont val="宋体"/>
        <charset val="134"/>
      </rPr>
      <t>）</t>
    </r>
  </si>
  <si>
    <t>HW356056</t>
  </si>
  <si>
    <r>
      <rPr>
        <sz val="9"/>
        <color theme="1"/>
        <rFont val="Times New Roman"/>
        <charset val="134"/>
      </rPr>
      <t>84.58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38.81</t>
    </r>
    <r>
      <rPr>
        <sz val="9"/>
        <color theme="1"/>
        <rFont val="宋体"/>
        <charset val="134"/>
      </rPr>
      <t>）</t>
    </r>
  </si>
  <si>
    <t>HW356057</t>
  </si>
  <si>
    <r>
      <rPr>
        <sz val="9"/>
        <color theme="1"/>
        <rFont val="Times New Roman"/>
        <charset val="134"/>
      </rPr>
      <t>88.2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HW350003A:59.7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</si>
  <si>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14.29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350003A:22.96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25.35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350003A:30.29</t>
    </r>
    <r>
      <rPr>
        <sz val="9"/>
        <color theme="1"/>
        <rFont val="宋体"/>
        <charset val="134"/>
      </rPr>
      <t>）</t>
    </r>
  </si>
  <si>
    <t>HW356058</t>
  </si>
  <si>
    <r>
      <rPr>
        <sz val="9"/>
        <color theme="1"/>
        <rFont val="Times New Roman"/>
        <charset val="134"/>
      </rPr>
      <t>301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HW350003A:59.7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</si>
  <si>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94.1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350003A:22.96</t>
    </r>
    <r>
      <rPr>
        <sz val="9"/>
        <color theme="1"/>
        <rFont val="宋体"/>
        <charset val="134"/>
      </rPr>
      <t>）</t>
    </r>
  </si>
  <si>
    <t>HW356059</t>
  </si>
  <si>
    <r>
      <rPr>
        <sz val="9"/>
        <color theme="1"/>
        <rFont val="Times New Roman"/>
        <charset val="134"/>
      </rPr>
      <t>100.8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38.81</t>
    </r>
    <r>
      <rPr>
        <sz val="9"/>
        <color theme="1"/>
        <rFont val="宋体"/>
        <charset val="134"/>
      </rPr>
      <t>）</t>
    </r>
  </si>
  <si>
    <t>HW356060</t>
  </si>
  <si>
    <r>
      <rPr>
        <sz val="9"/>
        <color theme="1"/>
        <rFont val="Times New Roman"/>
        <charset val="134"/>
      </rPr>
      <t>206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</si>
  <si>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53.49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66.3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32.42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32.15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63.89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48.95</t>
    </r>
    <r>
      <rPr>
        <sz val="9"/>
        <color theme="1"/>
        <rFont val="宋体"/>
        <charset val="134"/>
      </rPr>
      <t>）</t>
    </r>
  </si>
  <si>
    <t>HW356061</t>
  </si>
  <si>
    <r>
      <rPr>
        <sz val="9"/>
        <color theme="1"/>
        <rFont val="Times New Roman"/>
        <charset val="134"/>
      </rPr>
      <t>126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HW350003A:59.7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</si>
  <si>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35.65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350003A:22.96</t>
    </r>
    <r>
      <rPr>
        <sz val="9"/>
        <color theme="1"/>
        <rFont val="宋体"/>
        <charset val="134"/>
      </rPr>
      <t>）</t>
    </r>
  </si>
  <si>
    <t>HW356062</t>
  </si>
  <si>
    <t>HW356063</t>
  </si>
  <si>
    <r>
      <rPr>
        <sz val="9"/>
        <color theme="1"/>
        <rFont val="Times New Roman"/>
        <charset val="134"/>
      </rPr>
      <t>3910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</si>
  <si>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HW356064</t>
  </si>
  <si>
    <r>
      <rPr>
        <sz val="9"/>
        <color theme="1"/>
        <rFont val="Times New Roman"/>
        <charset val="134"/>
      </rPr>
      <t>162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HW350003A:59.7</t>
    </r>
    <r>
      <rPr>
        <sz val="9"/>
        <color theme="1"/>
        <rFont val="宋体"/>
        <charset val="134"/>
      </rPr>
      <t xml:space="preserve">）
</t>
    </r>
    <r>
      <rPr>
        <sz val="9"/>
        <color theme="1"/>
        <rFont val="Times New Roman"/>
        <charset val="134"/>
      </rPr>
      <t>173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</si>
  <si>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21.74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350003A:22.96</t>
    </r>
    <r>
      <rPr>
        <sz val="9"/>
        <color theme="1"/>
        <rFont val="宋体"/>
        <charset val="134"/>
      </rPr>
      <t>）</t>
    </r>
  </si>
  <si>
    <t>HW356065</t>
  </si>
  <si>
    <r>
      <rPr>
        <sz val="9"/>
        <color theme="1"/>
        <rFont val="Times New Roman"/>
        <charset val="134"/>
      </rPr>
      <t>290.3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32.35</t>
    </r>
    <r>
      <rPr>
        <sz val="9"/>
        <color theme="1"/>
        <rFont val="宋体"/>
        <charset val="134"/>
      </rPr>
      <t>）</t>
    </r>
  </si>
  <si>
    <t>HW356066</t>
  </si>
  <si>
    <r>
      <rPr>
        <sz val="9"/>
        <color theme="1"/>
        <rFont val="Times New Roman"/>
        <charset val="134"/>
      </rPr>
      <t>178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32.36</t>
    </r>
    <r>
      <rPr>
        <sz val="9"/>
        <color theme="1"/>
        <rFont val="宋体"/>
        <charset val="134"/>
      </rPr>
      <t>）</t>
    </r>
  </si>
  <si>
    <t>HW356067</t>
  </si>
  <si>
    <r>
      <rPr>
        <sz val="9"/>
        <color theme="1"/>
        <rFont val="Times New Roman"/>
        <charset val="134"/>
      </rPr>
      <t>840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</si>
  <si>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71.76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32.36</t>
    </r>
    <r>
      <rPr>
        <sz val="9"/>
        <color theme="1"/>
        <rFont val="宋体"/>
        <charset val="134"/>
      </rPr>
      <t>）</t>
    </r>
  </si>
  <si>
    <t>HW356068</t>
  </si>
  <si>
    <r>
      <rPr>
        <sz val="9"/>
        <color theme="1"/>
        <rFont val="Times New Roman"/>
        <charset val="134"/>
      </rPr>
      <t>177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HW350003A:77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</si>
  <si>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24.88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38.81</t>
    </r>
    <r>
      <rPr>
        <sz val="9"/>
        <color theme="1"/>
        <rFont val="宋体"/>
        <charset val="134"/>
      </rPr>
      <t>）</t>
    </r>
  </si>
  <si>
    <t>HW356069</t>
  </si>
  <si>
    <r>
      <rPr>
        <sz val="9"/>
        <color theme="1"/>
        <rFont val="Times New Roman"/>
        <charset val="134"/>
      </rPr>
      <t>223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HW350003A:77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</si>
  <si>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66.8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38.81</t>
    </r>
    <r>
      <rPr>
        <sz val="9"/>
        <color theme="1"/>
        <rFont val="宋体"/>
        <charset val="134"/>
      </rPr>
      <t>）</t>
    </r>
  </si>
  <si>
    <t>HW356070</t>
  </si>
  <si>
    <r>
      <rPr>
        <sz val="9"/>
        <color theme="1"/>
        <rFont val="Times New Roman"/>
        <charset val="134"/>
      </rPr>
      <t>264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</si>
  <si>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236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66.3</t>
    </r>
    <r>
      <rPr>
        <sz val="9"/>
        <color theme="1"/>
        <rFont val="宋体"/>
        <charset val="134"/>
      </rPr>
      <t>）</t>
    </r>
  </si>
  <si>
    <t>HW356071</t>
  </si>
  <si>
    <r>
      <rPr>
        <sz val="9"/>
        <color theme="1"/>
        <rFont val="Times New Roman"/>
        <charset val="134"/>
      </rPr>
      <t>227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HW350003A:86.8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</si>
  <si>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Times New Roman"/>
        <charset val="134"/>
      </rPr>
      <t>96.89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66.3</t>
    </r>
    <r>
      <rPr>
        <sz val="9"/>
        <color theme="1"/>
        <rFont val="宋体"/>
        <charset val="134"/>
      </rPr>
      <t>）</t>
    </r>
  </si>
  <si>
    <t>HW356071-P1</t>
  </si>
  <si>
    <r>
      <rPr>
        <sz val="9"/>
        <color theme="1"/>
        <rFont val="Times New Roman"/>
        <charset val="134"/>
      </rPr>
      <t>212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49.16</t>
    </r>
    <r>
      <rPr>
        <sz val="9"/>
        <color theme="1"/>
        <rFont val="宋体"/>
        <charset val="134"/>
      </rPr>
      <t>）</t>
    </r>
  </si>
  <si>
    <t>HW356071-P2</t>
  </si>
  <si>
    <r>
      <rPr>
        <sz val="9"/>
        <color theme="1"/>
        <rFont val="Times New Roman"/>
        <charset val="134"/>
      </rPr>
      <t>79.65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49.16</t>
    </r>
    <r>
      <rPr>
        <sz val="9"/>
        <color theme="1"/>
        <rFont val="宋体"/>
        <charset val="134"/>
      </rPr>
      <t>）</t>
    </r>
  </si>
  <si>
    <t>HW356072</t>
  </si>
  <si>
    <r>
      <rPr>
        <sz val="9"/>
        <color theme="1"/>
        <rFont val="Times New Roman"/>
        <charset val="134"/>
      </rPr>
      <t>117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32.15</t>
    </r>
    <r>
      <rPr>
        <sz val="9"/>
        <color theme="1"/>
        <rFont val="宋体"/>
        <charset val="134"/>
      </rPr>
      <t>）</t>
    </r>
  </si>
  <si>
    <t>HW356073</t>
  </si>
  <si>
    <r>
      <rPr>
        <sz val="9"/>
        <color theme="1"/>
        <rFont val="Times New Roman"/>
        <charset val="134"/>
      </rPr>
      <t>135.4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32.15</t>
    </r>
    <r>
      <rPr>
        <sz val="9"/>
        <color theme="1"/>
        <rFont val="宋体"/>
        <charset val="134"/>
      </rPr>
      <t>）</t>
    </r>
  </si>
  <si>
    <t>HW356074</t>
  </si>
  <si>
    <r>
      <rPr>
        <sz val="9"/>
        <color theme="1"/>
        <rFont val="Times New Roman"/>
        <charset val="134"/>
      </rPr>
      <t>644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48.95</t>
    </r>
    <r>
      <rPr>
        <sz val="9"/>
        <color theme="1"/>
        <rFont val="宋体"/>
        <charset val="134"/>
      </rPr>
      <t>）</t>
    </r>
  </si>
  <si>
    <t>HW356075</t>
  </si>
  <si>
    <r>
      <rPr>
        <sz val="9"/>
        <color theme="1"/>
        <rFont val="Times New Roman"/>
        <charset val="134"/>
      </rPr>
      <t>75.2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48.95</t>
    </r>
    <r>
      <rPr>
        <sz val="9"/>
        <color theme="1"/>
        <rFont val="宋体"/>
        <charset val="134"/>
      </rPr>
      <t>）</t>
    </r>
  </si>
  <si>
    <t>HW356076</t>
  </si>
  <si>
    <r>
      <rPr>
        <sz val="9"/>
        <color theme="1"/>
        <rFont val="Times New Roman"/>
        <charset val="134"/>
      </rPr>
      <t>960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48.95</t>
    </r>
    <r>
      <rPr>
        <sz val="9"/>
        <color theme="1"/>
        <rFont val="宋体"/>
        <charset val="134"/>
      </rPr>
      <t>）</t>
    </r>
  </si>
  <si>
    <t>HW356077</t>
  </si>
  <si>
    <r>
      <rPr>
        <sz val="9"/>
        <color theme="1"/>
        <rFont val="Times New Roman"/>
        <charset val="134"/>
      </rPr>
      <t>42.73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350003A:30.29</t>
    </r>
    <r>
      <rPr>
        <sz val="9"/>
        <color theme="1"/>
        <rFont val="宋体"/>
        <charset val="134"/>
      </rPr>
      <t>）</t>
    </r>
  </si>
  <si>
    <t>HW356078</t>
  </si>
  <si>
    <r>
      <rPr>
        <sz val="9"/>
        <color theme="1"/>
        <rFont val="Times New Roman"/>
        <charset val="134"/>
      </rPr>
      <t>53.31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350003A:30.29</t>
    </r>
    <r>
      <rPr>
        <sz val="9"/>
        <color theme="1"/>
        <rFont val="宋体"/>
        <charset val="134"/>
      </rPr>
      <t>）</t>
    </r>
  </si>
  <si>
    <r>
      <rPr>
        <b/>
        <sz val="9"/>
        <color theme="1"/>
        <rFont val="宋体"/>
        <charset val="134"/>
      </rPr>
      <t>接收日期</t>
    </r>
  </si>
  <si>
    <t>化合物编号
（必填）</t>
  </si>
  <si>
    <r>
      <rPr>
        <b/>
        <sz val="9"/>
        <color theme="1"/>
        <rFont val="宋体"/>
        <charset val="134"/>
      </rPr>
      <t>批号</t>
    </r>
  </si>
  <si>
    <r>
      <rPr>
        <b/>
        <sz val="9"/>
        <color theme="1"/>
        <rFont val="宋体"/>
        <charset val="134"/>
      </rPr>
      <t>分子量（</t>
    </r>
    <r>
      <rPr>
        <b/>
        <sz val="9"/>
        <color theme="1"/>
        <rFont val="Times New Roman"/>
        <charset val="134"/>
      </rPr>
      <t xml:space="preserve">M.W)
</t>
    </r>
    <r>
      <rPr>
        <b/>
        <sz val="9"/>
        <color theme="1"/>
        <rFont val="宋体"/>
        <charset val="134"/>
      </rPr>
      <t>（必填）</t>
    </r>
  </si>
  <si>
    <r>
      <rPr>
        <b/>
        <sz val="9"/>
        <color theme="1"/>
        <rFont val="宋体"/>
        <charset val="134"/>
      </rPr>
      <t>分子式</t>
    </r>
  </si>
  <si>
    <r>
      <rPr>
        <b/>
        <sz val="9"/>
        <color rgb="FF000000"/>
        <rFont val="宋体"/>
        <charset val="134"/>
      </rPr>
      <t xml:space="preserve">式量
</t>
    </r>
    <r>
      <rPr>
        <b/>
        <sz val="9"/>
        <color rgb="FF000000"/>
        <rFont val="Times New Roman"/>
        <charset val="134"/>
      </rPr>
      <t xml:space="preserve">(FW)
</t>
    </r>
    <r>
      <rPr>
        <b/>
        <sz val="9"/>
        <color rgb="FF000000"/>
        <rFont val="宋体"/>
        <charset val="134"/>
      </rPr>
      <t>游离碱</t>
    </r>
    <r>
      <rPr>
        <b/>
        <sz val="9"/>
        <color rgb="FF000000"/>
        <rFont val="Times New Roman"/>
        <charset val="134"/>
      </rPr>
      <t>/</t>
    </r>
    <r>
      <rPr>
        <b/>
        <sz val="9"/>
        <color rgb="FF000000"/>
        <rFont val="宋体"/>
        <charset val="134"/>
      </rPr>
      <t>盐</t>
    </r>
  </si>
  <si>
    <r>
      <rPr>
        <b/>
        <sz val="9"/>
        <color rgb="FF000000"/>
        <rFont val="宋体"/>
        <charset val="134"/>
      </rPr>
      <t>纯度（</t>
    </r>
    <r>
      <rPr>
        <b/>
        <sz val="9"/>
        <color rgb="FF000000"/>
        <rFont val="Times New Roman"/>
        <charset val="134"/>
      </rPr>
      <t>%</t>
    </r>
    <r>
      <rPr>
        <b/>
        <sz val="9"/>
        <color rgb="FF000000"/>
        <rFont val="宋体"/>
        <charset val="134"/>
      </rPr>
      <t>）
（必填）</t>
    </r>
  </si>
  <si>
    <t>clogP</t>
  </si>
  <si>
    <r>
      <rPr>
        <b/>
        <sz val="9"/>
        <color rgb="FF000000"/>
        <rFont val="宋体"/>
        <charset val="134"/>
      </rPr>
      <t>性状</t>
    </r>
  </si>
  <si>
    <r>
      <rPr>
        <b/>
        <sz val="9"/>
        <color rgb="FF000000"/>
        <rFont val="宋体"/>
        <charset val="134"/>
      </rPr>
      <t>溶解性</t>
    </r>
  </si>
  <si>
    <r>
      <rPr>
        <b/>
        <sz val="9"/>
        <color rgb="FF000000"/>
        <rFont val="宋体"/>
        <charset val="134"/>
      </rPr>
      <t>样品量</t>
    </r>
    <r>
      <rPr>
        <b/>
        <sz val="9"/>
        <color rgb="FF000000"/>
        <rFont val="Times New Roman"/>
        <charset val="134"/>
      </rPr>
      <t xml:space="preserve">(mg)
</t>
    </r>
    <r>
      <rPr>
        <b/>
        <sz val="9"/>
        <color rgb="FF000000"/>
        <rFont val="宋体"/>
        <charset val="134"/>
      </rPr>
      <t>（必填）</t>
    </r>
  </si>
  <si>
    <r>
      <rPr>
        <b/>
        <sz val="9"/>
        <color rgb="FF000000"/>
        <rFont val="Times New Roman"/>
        <charset val="134"/>
      </rPr>
      <t>20230324</t>
    </r>
    <r>
      <rPr>
        <b/>
        <sz val="9"/>
        <color rgb="FF000000"/>
        <rFont val="宋体"/>
        <charset val="134"/>
      </rPr>
      <t>送爱思益普</t>
    </r>
  </si>
  <si>
    <r>
      <rPr>
        <b/>
        <sz val="9"/>
        <color rgb="FF000000"/>
        <rFont val="Times New Roman"/>
        <charset val="134"/>
      </rPr>
      <t>20230403</t>
    </r>
    <r>
      <rPr>
        <b/>
        <sz val="9"/>
        <color rgb="FF000000"/>
        <rFont val="宋体"/>
        <charset val="134"/>
      </rPr>
      <t>送普瑞昇</t>
    </r>
  </si>
  <si>
    <r>
      <rPr>
        <b/>
        <sz val="9"/>
        <color rgb="FF000000"/>
        <rFont val="Times New Roman"/>
        <charset val="134"/>
      </rPr>
      <t>20230403</t>
    </r>
    <r>
      <rPr>
        <b/>
        <sz val="9"/>
        <color rgb="FF000000"/>
        <rFont val="宋体"/>
        <charset val="134"/>
      </rPr>
      <t>送圣苏</t>
    </r>
  </si>
  <si>
    <r>
      <rPr>
        <b/>
        <sz val="9"/>
        <color rgb="FF000000"/>
        <rFont val="Times New Roman"/>
        <charset val="134"/>
      </rPr>
      <t>20230424</t>
    </r>
    <r>
      <rPr>
        <b/>
        <sz val="9"/>
        <color rgb="FF000000"/>
        <rFont val="宋体"/>
        <charset val="134"/>
      </rPr>
      <t>送爱思益普</t>
    </r>
  </si>
  <si>
    <r>
      <rPr>
        <b/>
        <sz val="9"/>
        <color rgb="FF000000"/>
        <rFont val="Times New Roman"/>
        <charset val="134"/>
      </rPr>
      <t>20230424</t>
    </r>
    <r>
      <rPr>
        <b/>
        <sz val="9"/>
        <color rgb="FF000000"/>
        <rFont val="宋体"/>
        <charset val="134"/>
      </rPr>
      <t>送药明</t>
    </r>
  </si>
  <si>
    <r>
      <rPr>
        <b/>
        <sz val="9"/>
        <color rgb="FF000000"/>
        <rFont val="Times New Roman"/>
        <charset val="134"/>
      </rPr>
      <t>20230504</t>
    </r>
    <r>
      <rPr>
        <b/>
        <sz val="9"/>
        <color rgb="FF000000"/>
        <rFont val="宋体"/>
        <charset val="134"/>
      </rPr>
      <t>送普瑞昇</t>
    </r>
  </si>
  <si>
    <r>
      <rPr>
        <b/>
        <sz val="9"/>
        <color rgb="FF000000"/>
        <rFont val="Times New Roman"/>
        <charset val="134"/>
      </rPr>
      <t>20230504</t>
    </r>
    <r>
      <rPr>
        <b/>
        <sz val="9"/>
        <color rgb="FF000000"/>
        <rFont val="宋体"/>
        <charset val="134"/>
      </rPr>
      <t>送圣苏</t>
    </r>
  </si>
  <si>
    <r>
      <rPr>
        <b/>
        <sz val="9"/>
        <color rgb="FF000000"/>
        <rFont val="Times New Roman"/>
        <charset val="134"/>
      </rPr>
      <t>20230504</t>
    </r>
    <r>
      <rPr>
        <b/>
        <sz val="9"/>
        <color rgb="FF000000"/>
        <rFont val="宋体"/>
        <charset val="134"/>
      </rPr>
      <t>送爱思益普</t>
    </r>
  </si>
  <si>
    <r>
      <rPr>
        <b/>
        <sz val="9"/>
        <color rgb="FF000000"/>
        <rFont val="宋体"/>
        <charset val="134"/>
      </rPr>
      <t>余量
（</t>
    </r>
    <r>
      <rPr>
        <b/>
        <sz val="9"/>
        <color rgb="FF000000"/>
        <rFont val="Times New Roman"/>
        <charset val="134"/>
      </rPr>
      <t>mg</t>
    </r>
    <r>
      <rPr>
        <b/>
        <sz val="9"/>
        <color rgb="FF000000"/>
        <rFont val="宋体"/>
        <charset val="134"/>
      </rPr>
      <t>）</t>
    </r>
  </si>
  <si>
    <r>
      <rPr>
        <b/>
        <sz val="9"/>
        <color theme="1"/>
        <rFont val="宋体"/>
        <charset val="134"/>
      </rPr>
      <t>化合物编号
（必填）</t>
    </r>
  </si>
  <si>
    <r>
      <rPr>
        <b/>
        <sz val="9"/>
        <color rgb="FF000000"/>
        <rFont val="宋体"/>
        <charset val="134"/>
      </rPr>
      <t>备注</t>
    </r>
  </si>
  <si>
    <r>
      <rPr>
        <sz val="9"/>
        <color theme="1"/>
        <rFont val="宋体"/>
        <charset val="134"/>
      </rPr>
      <t>根据批号分辨合成部门合成</t>
    </r>
  </si>
  <si>
    <t xml:space="preserve">  C31H31ClF3N9O5</t>
  </si>
  <si>
    <t>702.09/游离碱</t>
  </si>
  <si>
    <t>白色固体</t>
  </si>
  <si>
    <t>易溶于DMSO,DMF等</t>
  </si>
  <si>
    <t>C31H31ClF3N9O5</t>
  </si>
  <si>
    <t>702.09 (游离)</t>
  </si>
  <si>
    <t>类色固体</t>
  </si>
  <si>
    <t xml:space="preserve"> C23H23F3N2O4S</t>
  </si>
  <si>
    <t>480.5/游离碱</t>
  </si>
  <si>
    <t>C20H21F2N3O4S</t>
  </si>
  <si>
    <t>437.46/游离碱</t>
  </si>
  <si>
    <t>437.46 (游离)</t>
  </si>
  <si>
    <t>HWH817-XQ-35-0003</t>
  </si>
  <si>
    <t>C20H21O4F2N3S</t>
  </si>
  <si>
    <t>390.2/游离碱</t>
  </si>
  <si>
    <t>HWH817-XQ-35-04P1</t>
  </si>
  <si>
    <t>C21H30O3N2S</t>
  </si>
  <si>
    <t>胶状固体</t>
  </si>
  <si>
    <t>HWH817-XQ-35-04P2</t>
  </si>
  <si>
    <t>HWH817-SXY-001-P</t>
  </si>
  <si>
    <t>C16H14O4N2S</t>
  </si>
  <si>
    <t>330.36/游离碱</t>
  </si>
  <si>
    <t>易溶于DMSO,能溶于甲醇</t>
  </si>
  <si>
    <t>HWH817-KCQ-3-71-PB</t>
  </si>
  <si>
    <t>C26H24O4F3N3S</t>
  </si>
  <si>
    <t>531.55/游离碱</t>
  </si>
  <si>
    <t>HWH817-XQ-35-1002</t>
  </si>
  <si>
    <t>C32H34O6ClF3N10S</t>
  </si>
  <si>
    <t>778.20/游离碱</t>
  </si>
  <si>
    <t>HWH817-XQ-35-1003</t>
  </si>
  <si>
    <t>C30H29O5ClF3N11</t>
  </si>
  <si>
    <r>
      <rPr>
        <sz val="9"/>
        <color theme="1"/>
        <rFont val="Times New Roman"/>
        <charset val="134"/>
      </rPr>
      <t>715.20/</t>
    </r>
    <r>
      <rPr>
        <sz val="9"/>
        <color theme="1"/>
        <rFont val="宋体"/>
        <charset val="134"/>
      </rPr>
      <t>游离碱</t>
    </r>
  </si>
  <si>
    <t>淡黄色固体</t>
  </si>
  <si>
    <t>HWH817-XQ-35-1005</t>
  </si>
  <si>
    <t>C31H35O6ClF3N11S</t>
  </si>
  <si>
    <t>781.21/游离碱</t>
  </si>
  <si>
    <t>HWH817-XQ-35-1006</t>
  </si>
  <si>
    <t>C31H31O6ClF3N11S</t>
  </si>
  <si>
    <t>777.18/游离碱</t>
  </si>
  <si>
    <t>HWH817-YBC-035-86-1</t>
  </si>
  <si>
    <t xml:space="preserve">   C31H31O5ClF3N9</t>
  </si>
  <si>
    <t>HWH817-YAN-035-24-1</t>
  </si>
  <si>
    <t>HWH817-YBC-035-45-1</t>
  </si>
  <si>
    <t>HWH817-YAN-035-21-1</t>
  </si>
  <si>
    <t xml:space="preserve">   C31H30O4ClF3N11</t>
  </si>
  <si>
    <t>711.10/游离碱</t>
  </si>
  <si>
    <t>HWH817-YBC-035-37-1</t>
  </si>
  <si>
    <t xml:space="preserve">   C33H33O5ClF3N11S</t>
  </si>
  <si>
    <t>788.20/游离碱</t>
  </si>
  <si>
    <t>HWH817-YBC-035-51-1</t>
  </si>
  <si>
    <t xml:space="preserve">   C32H34O6ClF3N10S</t>
  </si>
  <si>
    <t>779.19/游离碱</t>
  </si>
  <si>
    <t>HWH815-WWJ-327-P1</t>
  </si>
  <si>
    <t xml:space="preserve"> C31H30O6ClF4N9</t>
  </si>
  <si>
    <t>736.08/游离碱</t>
  </si>
  <si>
    <t xml:space="preserve">  C31H30ClF3N10O4</t>
  </si>
  <si>
    <t>699.20/游离碱</t>
  </si>
  <si>
    <t>699.09/游离碱</t>
  </si>
  <si>
    <t>C24H26F3N3O4S</t>
  </si>
  <si>
    <t>509.54 (游离)</t>
  </si>
  <si>
    <t>C21H20F2N4O4S</t>
  </si>
  <si>
    <t>462.47/游离碱</t>
  </si>
  <si>
    <t>类白固体</t>
  </si>
  <si>
    <t>HW356003-licong-250106</t>
  </si>
  <si>
    <t>C20H21O5F2N3S</t>
  </si>
  <si>
    <t>453.46/游离碱</t>
  </si>
  <si>
    <t>C21H23F2N3O5S</t>
  </si>
  <si>
    <t>467.49/游离碱</t>
  </si>
  <si>
    <t>HWH817-YBC-035-3-46-2</t>
  </si>
  <si>
    <t>C20H20O4F2N4S</t>
  </si>
  <si>
    <t>450.46/游离碱</t>
  </si>
  <si>
    <t>HWH817-XQ-35-6006</t>
  </si>
  <si>
    <t>C25H31O4N3S</t>
  </si>
  <si>
    <t>469.20/游离碱</t>
  </si>
  <si>
    <t>HWH817-YBC-035-80-1</t>
  </si>
  <si>
    <t>C23H28O3N4S</t>
  </si>
  <si>
    <t>440.56/游离碱</t>
  </si>
  <si>
    <t>C22H23F3N2O4S</t>
  </si>
  <si>
    <t>468.49/游离碱</t>
  </si>
  <si>
    <t>HWH817-LHX-35-151</t>
  </si>
  <si>
    <t>C24H28O6F3N5S2</t>
  </si>
  <si>
    <t>603.14/中性</t>
  </si>
  <si>
    <t>C24H28F3N5O6S2</t>
  </si>
  <si>
    <t>603.63/游离碱</t>
  </si>
  <si>
    <t>HWH817-YBC-035-4-54-2</t>
  </si>
  <si>
    <t xml:space="preserve"> C24H28O6F3N5S2</t>
  </si>
  <si>
    <t>HWH817-YBC-035-154-1</t>
  </si>
  <si>
    <t xml:space="preserve">    C21H24O4F2N4S</t>
  </si>
  <si>
    <t>466.50/游离碱</t>
  </si>
  <si>
    <t>HWH817-YBC-035-2-117-1</t>
  </si>
  <si>
    <t>C22H21O3F2N3S</t>
  </si>
  <si>
    <t>445.48/游离碱</t>
  </si>
  <si>
    <t>HWH817-YBC-035-2-117-2</t>
  </si>
  <si>
    <t>HWH817-YBC-035-2-175-1</t>
  </si>
  <si>
    <t>C23H21O2F2N3</t>
  </si>
  <si>
    <t>409.44/游离碱</t>
  </si>
  <si>
    <t>HWH817-YBC-035-2-174-1</t>
  </si>
  <si>
    <t>C28H23O2F2N3</t>
  </si>
  <si>
    <t>471.51/游离碱</t>
  </si>
  <si>
    <t>HWH817-XQ-35-6013</t>
  </si>
  <si>
    <t>C23H25O4F2N3S</t>
  </si>
  <si>
    <t>577.15/游离碱</t>
  </si>
  <si>
    <t>HWH817-YBC-035-3-7-1</t>
  </si>
  <si>
    <t>C24H24O2F2N4</t>
  </si>
  <si>
    <t>438.48/游离碱</t>
  </si>
  <si>
    <t>C22H23F2N3O5S</t>
  </si>
  <si>
    <t>479.5/游离碱</t>
  </si>
  <si>
    <t>HWH817-XQ-35-6016</t>
  </si>
  <si>
    <t>C23H23O4F3N6S</t>
  </si>
  <si>
    <t>536.15/游离碱</t>
  </si>
  <si>
    <t>HWH817-LHX-35-141</t>
  </si>
  <si>
    <t>C20H21O4F3N4S</t>
  </si>
  <si>
    <t>470.12/中性</t>
  </si>
  <si>
    <t>C22H25N3O5S</t>
  </si>
  <si>
    <t>443.52/游离碱</t>
  </si>
  <si>
    <t>HWH817-XQ-35-6019A</t>
  </si>
  <si>
    <t>C24H30O4N2S</t>
  </si>
  <si>
    <t>442.19/游离碱</t>
  </si>
  <si>
    <t>HWH817-XQ-35-6019B</t>
  </si>
  <si>
    <t>HWH817-XQ-35-6020</t>
  </si>
  <si>
    <t>C19H24O3F4N4S</t>
  </si>
  <si>
    <t>464.15/游离碱</t>
  </si>
  <si>
    <t>HWH817-YBC-035-2-120-1</t>
  </si>
  <si>
    <t xml:space="preserve"> C19H19O4BrN2S</t>
  </si>
  <si>
    <t>451.33/游离碱</t>
  </si>
  <si>
    <t>HWH817-LHX-35-028</t>
  </si>
  <si>
    <t>C22H24O3F2N4</t>
  </si>
  <si>
    <t>430.2/游离碱</t>
  </si>
  <si>
    <t>C18H14F2N2O5S</t>
  </si>
  <si>
    <t>HWH817-YBC-035-3-37-3</t>
  </si>
  <si>
    <t>460.50</t>
  </si>
  <si>
    <t>C22H22O3F2N4S</t>
  </si>
  <si>
    <t xml:space="preserve"> 460.50/游离碱</t>
  </si>
  <si>
    <t>C20H20F3N3O4S</t>
  </si>
  <si>
    <t>455.45/游离碱</t>
  </si>
  <si>
    <t>淡黄固体</t>
  </si>
  <si>
    <t>C21H23F2N3O4S</t>
  </si>
  <si>
    <t>451.49/游离碱</t>
  </si>
  <si>
    <t>451.49 /游离碱</t>
  </si>
  <si>
    <t>HWH817-XQ-35-6026</t>
  </si>
  <si>
    <t>C25H30O5F2N4S</t>
  </si>
  <si>
    <t>537.19/游离碱</t>
  </si>
  <si>
    <t>HWH817-XQ-35-6027</t>
  </si>
  <si>
    <t>C24H26O4F4N4S</t>
  </si>
  <si>
    <t>542.16/游离碱</t>
  </si>
  <si>
    <t>C22H27N3O4S</t>
  </si>
  <si>
    <t>429.54/游离碱</t>
  </si>
  <si>
    <t>C23H27N3O5S</t>
  </si>
  <si>
    <t>457.55/游离碱</t>
  </si>
  <si>
    <t>457.55/(游离)</t>
  </si>
  <si>
    <t>HWH815-WWJ-421-P1</t>
  </si>
  <si>
    <t>C24H28O5N2S</t>
  </si>
  <si>
    <t>456.56/中性</t>
  </si>
  <si>
    <t>HW356030-BP</t>
  </si>
  <si>
    <t>HWH815-WWJ-448-P1</t>
  </si>
  <si>
    <t>C22H21F5N2O4S</t>
  </si>
  <si>
    <t>504.47/(游离)</t>
  </si>
  <si>
    <t>C20H21F2N3O5S</t>
  </si>
  <si>
    <t>HWH815-WWJ-465-P2</t>
  </si>
  <si>
    <t>C25H26O4BrN3S</t>
  </si>
  <si>
    <t>544.46/中性</t>
  </si>
  <si>
    <t>C21H22F2N2O4S</t>
  </si>
  <si>
    <t>436.47/游离碱</t>
  </si>
  <si>
    <t>C20H20F3N3O5S</t>
  </si>
  <si>
    <t>471.45/游离碱</t>
  </si>
  <si>
    <t>HWH815-WWJ-464-P1</t>
  </si>
  <si>
    <t>黄褐色固体</t>
  </si>
  <si>
    <t>HWH817-YBC-035-3-17-1</t>
  </si>
  <si>
    <t>C22H20O2F2N4</t>
  </si>
  <si>
    <t>410.42/游离碱</t>
  </si>
  <si>
    <t>HWH817-XQ-35-6038</t>
  </si>
  <si>
    <t>C21H21O4F3N2S</t>
  </si>
  <si>
    <t>454.12/游离碱</t>
  </si>
  <si>
    <t>HWH817-XQ-35-6039</t>
  </si>
  <si>
    <t>C22H24O4N2S</t>
  </si>
  <si>
    <t>412.15/游离碱</t>
  </si>
  <si>
    <t>HWH817-LHX-801-1</t>
  </si>
  <si>
    <t>C20H19O4ClFNS</t>
  </si>
  <si>
    <t>423.88/游离碱</t>
  </si>
  <si>
    <t>HWH817-XQ-35-6041</t>
  </si>
  <si>
    <t>C23H24O4F2N6S</t>
  </si>
  <si>
    <t>518.15/游离碱</t>
  </si>
  <si>
    <t>HWH817-XQ-35-6041P2</t>
  </si>
  <si>
    <t>HWH815-WWJ-484-P1</t>
  </si>
  <si>
    <t xml:space="preserve"> C26H29O4N3S</t>
  </si>
  <si>
    <t>479.61/中性</t>
  </si>
  <si>
    <t>HWH817-LHX-35-068</t>
  </si>
  <si>
    <t>C19H19O4ClN2S</t>
  </si>
  <si>
    <t>406.1/中性</t>
  </si>
  <si>
    <t>429.54/(游离)</t>
  </si>
  <si>
    <t>HWH815-WWJ-477-P1</t>
  </si>
  <si>
    <t>C20H19O4BrFNS</t>
  </si>
  <si>
    <t>438.34/中性</t>
  </si>
  <si>
    <t>HWH817-XQ-35-6021</t>
  </si>
  <si>
    <t>C23H22O4F2N2S</t>
  </si>
  <si>
    <t>460.50/游离碱</t>
  </si>
  <si>
    <t>HWH817-XQ-35-6047</t>
  </si>
  <si>
    <t>C23H26O4F2N4S</t>
  </si>
  <si>
    <t>492.16/游离碱</t>
  </si>
  <si>
    <t>HWH817-XQ-35-6048</t>
  </si>
  <si>
    <t>C23H26O5F2N2S</t>
  </si>
  <si>
    <t>508.16/游离碱</t>
  </si>
  <si>
    <t>HWH817-XQ-35-6048-0912-P2</t>
  </si>
  <si>
    <t>HWH817-LHX-35-108</t>
  </si>
  <si>
    <t>C22H23O4FN2S</t>
  </si>
  <si>
    <t>430.14/中性</t>
  </si>
  <si>
    <t>HWH817-XQ-35-6050</t>
  </si>
  <si>
    <t>C21H22O5F2N2S</t>
  </si>
  <si>
    <t>452.12/游离碱</t>
  </si>
  <si>
    <t>HWH817-XQ-35-6051</t>
  </si>
  <si>
    <t>C23H26O6F2N4S2</t>
  </si>
  <si>
    <t>556.13/游离碱</t>
  </si>
  <si>
    <t>HWH817-XQ-35-6052</t>
  </si>
  <si>
    <t>C24H26O4F2N6S</t>
  </si>
  <si>
    <t>532.17/游离碱</t>
  </si>
  <si>
    <t>HWH817-XQ-35-6053</t>
  </si>
  <si>
    <t>C25H25O5F5N6S</t>
  </si>
  <si>
    <t>600.16/游离碱</t>
  </si>
  <si>
    <t>HWH817-XQ-35-6054</t>
  </si>
  <si>
    <t>C23H25O6F3N4S2</t>
  </si>
  <si>
    <t>574.12/游离碱</t>
  </si>
  <si>
    <t>淡红色固体</t>
  </si>
  <si>
    <t>C24H24F2N6O4S</t>
  </si>
  <si>
    <t>530.55/游离碱</t>
  </si>
  <si>
    <t xml:space="preserve"> C24H24F2N6O4S CF3COOH</t>
  </si>
  <si>
    <t>644.57(1 当量TFA盐)</t>
  </si>
  <si>
    <t>类白色固体</t>
  </si>
  <si>
    <t>HWH817-XQ-35-6057</t>
  </si>
  <si>
    <t>C24H29O6F2N5S2</t>
  </si>
  <si>
    <t>585.15/游离碱</t>
  </si>
  <si>
    <t>HWH817-LHX-35-162</t>
  </si>
  <si>
    <t>HWH817-YBC-035-3-80-1</t>
  </si>
  <si>
    <t xml:space="preserve"> C23H23O4F2N5S2</t>
  </si>
  <si>
    <t>535.58/游离碱</t>
  </si>
  <si>
    <t>HWH817-YBC-035-3-130-1</t>
  </si>
  <si>
    <t>C22H23O4F2N7S</t>
  </si>
  <si>
    <t>519.53/游离碱</t>
  </si>
  <si>
    <t>HWH817-YBC-035-4-38-1</t>
  </si>
  <si>
    <t>C25H29O6F3N4S2</t>
  </si>
  <si>
    <t>602.64/游离碱</t>
  </si>
  <si>
    <t>HWH817-XQ-35-6060</t>
  </si>
  <si>
    <t>602.15/游离碱</t>
  </si>
  <si>
    <t>HWH817-XQ-35-6061</t>
  </si>
  <si>
    <t>C24H26O6F2N6S2</t>
  </si>
  <si>
    <t>596.13/游离碱</t>
  </si>
  <si>
    <t>HWH817-XQ-35-6062</t>
  </si>
  <si>
    <t>C22H24O4F2N8S</t>
  </si>
  <si>
    <t>534.16/游离碱</t>
  </si>
  <si>
    <t>HWH815-WWJ-586-P1</t>
  </si>
  <si>
    <t xml:space="preserve"> C24H28O6F2N4S2</t>
  </si>
  <si>
    <t>570.63/游离碱</t>
  </si>
  <si>
    <t>HWH817-XQ-35-6064</t>
  </si>
  <si>
    <t>C24H28O6F2N4S2</t>
  </si>
  <si>
    <t>570.14/游离碱</t>
  </si>
  <si>
    <t>C23H23ClF2N6O4S</t>
  </si>
  <si>
    <t>552.98/游离碱</t>
  </si>
  <si>
    <t>HWH817-YBC-035-3-104-1</t>
  </si>
  <si>
    <t>C24H23O4F2N7S</t>
  </si>
  <si>
    <t>543.55/游离碱</t>
  </si>
  <si>
    <t>HWH817-LHX-35-143</t>
  </si>
  <si>
    <t>C24H24O4F4N6S</t>
  </si>
  <si>
    <t>568.15/中性</t>
  </si>
  <si>
    <t>HWH817-XQ-35-6068</t>
  </si>
  <si>
    <t>C25H30O6F2N4S2</t>
  </si>
  <si>
    <t>584.16/游离碱</t>
  </si>
  <si>
    <t>HWH817-LHX-35-147</t>
  </si>
  <si>
    <t>C23H28O6F2N4S2</t>
  </si>
  <si>
    <t>558.14/中性</t>
  </si>
  <si>
    <t>HWH817-LHX-35-0310</t>
  </si>
  <si>
    <t>C23H27O6F3N4S2</t>
  </si>
  <si>
    <t>576.13/中性</t>
  </si>
  <si>
    <t>HWH817-LHX-35-0311</t>
  </si>
  <si>
    <t>C24H27O6F3N4S2</t>
  </si>
  <si>
    <t>588.13/中性</t>
  </si>
  <si>
    <t>游离</t>
  </si>
  <si>
    <t>HWH817-LHX-35-0327</t>
  </si>
  <si>
    <t>602.15/中性</t>
  </si>
  <si>
    <t>HWH817-XQ-35-6073</t>
  </si>
  <si>
    <t>C26H29O6F3N4S2</t>
  </si>
  <si>
    <t>614.15/游离碱</t>
  </si>
  <si>
    <t>HWH817-XQ-35-6074</t>
  </si>
  <si>
    <t>HWH817-XQ-35-6075</t>
  </si>
  <si>
    <t>C24H29O6F3N6S2</t>
  </si>
  <si>
    <t>618.15/游离碱</t>
  </si>
  <si>
    <t>HWH817-LHX-35-159</t>
  </si>
  <si>
    <t>C27H27O6F3N4S2</t>
  </si>
  <si>
    <t>624.13/游离碱</t>
  </si>
  <si>
    <t>HWH817-XQ-35-6077</t>
  </si>
  <si>
    <t>C25H30O7F3N5S2</t>
  </si>
  <si>
    <t>633.15/游离碱</t>
  </si>
  <si>
    <t>HWH817-XQ-35-6078</t>
  </si>
  <si>
    <t>C24H27O7F3N4S2</t>
  </si>
  <si>
    <t>604.13/游离碱</t>
  </si>
  <si>
    <t>HW356078A-P1</t>
  </si>
  <si>
    <t>EW52202-789</t>
  </si>
  <si>
    <t>C24H27F3N4O7S2</t>
  </si>
  <si>
    <t>604.62/游离碱</t>
  </si>
  <si>
    <t>37.51</t>
  </si>
  <si>
    <t>HW356078A-P2</t>
  </si>
  <si>
    <t>41.24</t>
  </si>
  <si>
    <t>HW356078B-P3</t>
  </si>
  <si>
    <t>EW52202-790</t>
  </si>
  <si>
    <t>41.78</t>
  </si>
  <si>
    <t>HW356078B-P4</t>
  </si>
  <si>
    <t>25.58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</si>
</sst>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_ "/>
    <numFmt numFmtId="178" formatCode="0_ "/>
    <numFmt numFmtId="179" formatCode="0.00_);[Red]\(0.00\)"/>
    <numFmt numFmtId="180" formatCode="0.000_ "/>
  </numFmts>
  <fonts count="39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b/>
      <sz val="9"/>
      <color theme="1"/>
      <name val="Times New Roman"/>
      <charset val="134"/>
    </font>
    <font>
      <b/>
      <sz val="9"/>
      <color rgb="FF000000"/>
      <name val="Times New Roman"/>
      <charset val="134"/>
    </font>
    <font>
      <sz val="9"/>
      <color rgb="FF000000"/>
      <name val="Times New Roman"/>
      <charset val="134"/>
    </font>
    <font>
      <sz val="9"/>
      <name val="Times New Roman"/>
      <charset val="134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b/>
      <sz val="9"/>
      <color rgb="FFFF0000"/>
      <name val="Times New Roman"/>
      <charset val="134"/>
    </font>
    <font>
      <sz val="9"/>
      <color indexed="8"/>
      <name val="Times New Roman"/>
      <charset val="134"/>
    </font>
    <font>
      <sz val="9"/>
      <color rgb="FFFF0000"/>
      <name val="Times New Roman"/>
      <charset val="134"/>
    </font>
    <font>
      <sz val="9"/>
      <color theme="1"/>
      <name val="宋体"/>
      <charset val="134"/>
    </font>
    <font>
      <sz val="9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8"/>
      <name val="Arial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u/>
      <sz val="12"/>
      <color indexed="12"/>
      <name val="宋体"/>
      <charset val="134"/>
    </font>
    <font>
      <b/>
      <sz val="9"/>
      <color rgb="FF000000"/>
      <name val="宋体"/>
      <charset val="134"/>
    </font>
    <font>
      <b/>
      <vertAlign val="superscript"/>
      <sz val="9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>
      <alignment vertical="top"/>
    </xf>
    <xf numFmtId="0" fontId="33" fillId="0" borderId="0">
      <alignment vertical="top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top"/>
    </xf>
    <xf numFmtId="0" fontId="33" fillId="0" borderId="0">
      <alignment vertical="top"/>
    </xf>
    <xf numFmtId="0" fontId="35" fillId="0" borderId="0">
      <alignment vertical="top"/>
    </xf>
    <xf numFmtId="0" fontId="36" fillId="0" borderId="0" applyNumberFormat="0" applyFill="0" applyBorder="0" applyAlignment="0" applyProtection="0">
      <alignment vertical="top"/>
      <protection locked="0"/>
    </xf>
  </cellStyleXfs>
  <cellXfs count="8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0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177" fontId="2" fillId="0" borderId="3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9" fontId="5" fillId="0" borderId="1" xfId="5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77" fontId="5" fillId="0" borderId="1" xfId="5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179" fontId="1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/>
    </xf>
    <xf numFmtId="177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6" fontId="1" fillId="0" borderId="3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78" fontId="1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0" fontId="1" fillId="0" borderId="1" xfId="0" applyNumberFormat="1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1" xfId="0" applyFont="1" applyFill="1" applyBorder="1" applyAlignment="1" quotePrefix="1">
      <alignment horizontal="center" vertic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LCMSMS05_20130802_pS" xfId="49"/>
    <cellStyle name="Normal_Metabolic Stability Data Summary for Agios - 086 (2011-8-15)_IDH1" xfId="50"/>
    <cellStyle name="常规 2" xfId="51"/>
    <cellStyle name="常规 2 2" xfId="52"/>
    <cellStyle name="常规 2 3" xfId="53"/>
    <cellStyle name="常规 3" xfId="54"/>
    <cellStyle name="常规 3 2" xfId="55"/>
    <cellStyle name="常规 3 3" xfId="56"/>
    <cellStyle name="常规 4" xfId="57"/>
    <cellStyle name="常规 5" xfId="58"/>
    <cellStyle name="常规 6" xfId="59"/>
    <cellStyle name="超链接 2" xfId="60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195"/>
  <sheetViews>
    <sheetView tabSelected="1" zoomScale="90" zoomScaleNormal="90" workbookViewId="0">
      <pane xSplit="1" ySplit="3" topLeftCell="BY4" activePane="bottomRight" state="frozenSplit"/>
      <selection/>
      <selection pane="topRight"/>
      <selection pane="bottomLeft"/>
      <selection pane="bottomRight" activeCell="BW4" sqref="BW4"/>
    </sheetView>
  </sheetViews>
  <sheetFormatPr defaultColWidth="9" defaultRowHeight="23.25" customHeight="1"/>
  <cols>
    <col min="1" max="1" width="16.6283185840708" style="30" customWidth="1"/>
    <col min="2" max="2" width="7.3716814159292" style="30" hidden="1" customWidth="1"/>
    <col min="3" max="3" width="17.3716814159292" style="30" hidden="1" customWidth="1"/>
    <col min="4" max="4" width="12.2477876106195" style="30" customWidth="1"/>
    <col min="5" max="5" width="12.1238938053097" style="30" customWidth="1"/>
    <col min="6" max="6" width="30.1238938053097" style="30" customWidth="1"/>
    <col min="7" max="7" width="11.5044247787611" style="30" customWidth="1"/>
    <col min="8" max="8" width="6.87610619469027" style="30" customWidth="1"/>
    <col min="9" max="9" width="7.87610619469027" style="30" customWidth="1"/>
    <col min="10" max="10" width="19.2477876106195" style="30" customWidth="1"/>
    <col min="11" max="11" width="10.8761061946903" style="30" customWidth="1"/>
    <col min="12" max="12" width="6.87610619469027" style="30" customWidth="1"/>
    <col min="13" max="13" width="7.87610619469027" style="30" customWidth="1"/>
    <col min="14" max="14" width="28.3716814159292" style="30" customWidth="1"/>
    <col min="15" max="15" width="6.87610619469027" style="30" customWidth="1"/>
    <col min="16" max="16" width="7.87610619469027" style="30" customWidth="1"/>
    <col min="17" max="17" width="28.3716814159292" style="30" customWidth="1"/>
    <col min="18" max="18" width="7.6283185840708" style="31" customWidth="1"/>
    <col min="19" max="19" width="7.87610619469027" style="31" customWidth="1"/>
    <col min="20" max="20" width="8" style="31" customWidth="1"/>
    <col min="21" max="21" width="8.6283185840708" style="31" customWidth="1"/>
    <col min="22" max="25" width="5.6283185840708" style="23" customWidth="1"/>
    <col min="26" max="26" width="6.3716814159292" style="23" customWidth="1"/>
    <col min="27" max="29" width="5.6283185840708" style="23" customWidth="1"/>
    <col min="30" max="30" width="6.75221238938053" style="23" customWidth="1"/>
    <col min="31" max="31" width="7" style="32" customWidth="1"/>
    <col min="32" max="32" width="7.50442477876106" style="32" customWidth="1"/>
    <col min="33" max="34" width="7.3716814159292" style="32" customWidth="1"/>
    <col min="35" max="35" width="6.6283185840708" style="32" customWidth="1"/>
    <col min="36" max="36" width="6.3716814159292" style="23" customWidth="1"/>
    <col min="37" max="39" width="5.6283185840708" style="23" customWidth="1"/>
    <col min="40" max="40" width="7" style="32" customWidth="1"/>
    <col min="41" max="41" width="7.50442477876106" style="32" customWidth="1"/>
    <col min="42" max="42" width="7.3716814159292" style="32" customWidth="1"/>
    <col min="43" max="43" width="6.6283185840708" style="32" customWidth="1"/>
    <col min="44" max="45" width="5.87610619469027" style="23" customWidth="1"/>
    <col min="46" max="49" width="5.87610619469027" style="15" customWidth="1"/>
    <col min="50" max="50" width="7.50442477876106" style="23" customWidth="1"/>
    <col min="51" max="51" width="8.12389380530973" style="23" customWidth="1"/>
    <col min="52" max="52" width="5.87610619469027" style="15" customWidth="1"/>
    <col min="53" max="53" width="8" style="15" customWidth="1"/>
    <col min="54" max="55" width="5.87610619469027" style="15" customWidth="1"/>
    <col min="56" max="56" width="6.75221238938053" style="15" customWidth="1"/>
    <col min="57" max="57" width="7.50442477876106" style="15" customWidth="1"/>
    <col min="58" max="58" width="8.12389380530973" style="33" customWidth="1"/>
    <col min="59" max="59" width="5.24778761061947" style="15" customWidth="1"/>
    <col min="60" max="60" width="8.24778761061947" style="15" customWidth="1"/>
    <col min="61" max="61" width="5.24778761061947" style="15" customWidth="1"/>
    <col min="62" max="62" width="8.12389380530973" style="33" customWidth="1"/>
    <col min="63" max="63" width="8.3716814159292" style="15" customWidth="1"/>
    <col min="64" max="64" width="6.12389380530973" style="15" customWidth="1"/>
    <col min="65" max="65" width="8.24778761061947" style="15" customWidth="1"/>
    <col min="66" max="66" width="5.24778761061947" style="15" customWidth="1"/>
    <col min="67" max="67" width="8.12389380530973" style="33" customWidth="1"/>
    <col min="68" max="68" width="4.3716814159292" style="15" customWidth="1"/>
    <col min="69" max="69" width="6.12389380530973" style="15" customWidth="1"/>
    <col min="70" max="70" width="8.24778761061947" style="15" customWidth="1"/>
    <col min="71" max="71" width="5.24778761061947" style="15" customWidth="1"/>
    <col min="72" max="72" width="8.12389380530973" style="33" customWidth="1"/>
    <col min="73" max="73" width="4.3716814159292" style="15" customWidth="1"/>
    <col min="74" max="74" width="6.12389380530973" style="15" customWidth="1"/>
    <col min="75" max="75" width="6.75221238938053" style="15" customWidth="1"/>
    <col min="76" max="76" width="5.24778761061947" style="15" customWidth="1"/>
    <col min="77" max="77" width="8.12389380530973" style="33" customWidth="1"/>
    <col min="78" max="78" width="5.24778761061947" style="15" customWidth="1"/>
    <col min="79" max="79" width="6.87610619469027" style="15" customWidth="1"/>
    <col min="80" max="80" width="5.24778761061947" style="15" customWidth="1"/>
    <col min="81" max="81" width="8.12389380530973" style="33" customWidth="1"/>
    <col min="82" max="82" width="4.75221238938053" style="15" customWidth="1"/>
    <col min="83" max="83" width="5.24778761061947" style="15" customWidth="1"/>
    <col min="84" max="84" width="6.75221238938053" style="15" customWidth="1"/>
    <col min="85" max="85" width="5.24778761061947" style="15" customWidth="1"/>
    <col min="86" max="86" width="8.12389380530973" style="15" customWidth="1"/>
    <col min="87" max="87" width="5.24778761061947" style="15" customWidth="1"/>
    <col min="88" max="88" width="6.87610619469027" style="15" customWidth="1"/>
    <col min="89" max="89" width="5.24778761061947" style="15" customWidth="1"/>
    <col min="90" max="90" width="8.12389380530973" style="15" customWidth="1"/>
    <col min="91" max="91" width="4.75221238938053" style="15" customWidth="1"/>
    <col min="92" max="92" width="6.24778761061947" style="15" customWidth="1"/>
    <col min="93" max="93" width="6.75221238938053" style="15" customWidth="1"/>
    <col min="94" max="94" width="5.24778761061947" style="15" customWidth="1"/>
    <col min="95" max="95" width="8.12389380530973" style="15" customWidth="1"/>
    <col min="96" max="96" width="5.24778761061947" style="15" customWidth="1"/>
    <col min="97" max="97" width="6.87610619469027" style="15" customWidth="1"/>
    <col min="98" max="98" width="5.24778761061947" style="15" customWidth="1"/>
    <col min="99" max="99" width="8.12389380530973" style="15" customWidth="1"/>
    <col min="100" max="100" width="4.75221238938053" style="15" customWidth="1"/>
    <col min="101" max="101" width="6.24778761061947" style="15" customWidth="1"/>
    <col min="102" max="102" width="7" style="15" customWidth="1"/>
    <col min="103" max="103" width="7.87610619469027" style="15" customWidth="1"/>
    <col min="104" max="106" width="6.50442477876106" style="15" customWidth="1"/>
    <col min="107" max="107" width="6.24778761061947" style="30" customWidth="1"/>
    <col min="108" max="108" width="5.6283185840708" style="30" customWidth="1"/>
    <col min="109" max="110" width="5.75221238938053" style="30" customWidth="1"/>
    <col min="111" max="111" width="7.24778761061947" style="30" customWidth="1"/>
    <col min="112" max="114" width="5.75221238938053" style="30" customWidth="1"/>
    <col min="115" max="115" width="6.6283185840708" style="30" customWidth="1"/>
    <col min="116" max="116" width="11.2477876106195" style="30" customWidth="1"/>
    <col min="117" max="16384" width="9" style="15"/>
  </cols>
  <sheetData>
    <row r="1" customHeight="1" spans="1:116">
      <c r="A1" s="34" t="s">
        <v>0</v>
      </c>
      <c r="B1" s="34" t="s">
        <v>1</v>
      </c>
      <c r="C1" s="34" t="s">
        <v>2</v>
      </c>
      <c r="D1" s="34" t="s">
        <v>3</v>
      </c>
      <c r="E1" s="34"/>
      <c r="F1" s="34"/>
      <c r="G1" s="34"/>
      <c r="H1" s="35" t="s">
        <v>4</v>
      </c>
      <c r="I1" s="36"/>
      <c r="J1" s="36"/>
      <c r="K1" s="37"/>
      <c r="L1" s="34" t="s">
        <v>5</v>
      </c>
      <c r="M1" s="34"/>
      <c r="N1" s="34"/>
      <c r="O1" s="34" t="s">
        <v>6</v>
      </c>
      <c r="P1" s="34"/>
      <c r="Q1" s="34"/>
      <c r="R1" s="38" t="s">
        <v>7</v>
      </c>
      <c r="S1" s="38"/>
      <c r="T1" s="38"/>
      <c r="U1" s="38"/>
      <c r="V1" s="38"/>
      <c r="W1" s="38"/>
      <c r="X1" s="38"/>
      <c r="Y1" s="38"/>
      <c r="Z1" s="38" t="s">
        <v>8</v>
      </c>
      <c r="AA1" s="38"/>
      <c r="AB1" s="38"/>
      <c r="AC1" s="38"/>
      <c r="AD1" s="38"/>
      <c r="AE1" s="38"/>
      <c r="AF1" s="38"/>
      <c r="AG1" s="38"/>
      <c r="AH1" s="38"/>
      <c r="AI1" s="38"/>
      <c r="AJ1" s="38" t="s">
        <v>9</v>
      </c>
      <c r="AK1" s="38"/>
      <c r="AL1" s="38"/>
      <c r="AM1" s="38"/>
      <c r="AN1" s="38"/>
      <c r="AO1" s="38"/>
      <c r="AP1" s="38"/>
      <c r="AQ1" s="38"/>
      <c r="AR1" s="34" t="s">
        <v>10</v>
      </c>
      <c r="AS1" s="34"/>
      <c r="AT1" s="34"/>
      <c r="AU1" s="34"/>
      <c r="AV1" s="34"/>
      <c r="AW1" s="34"/>
      <c r="AX1" s="34" t="s">
        <v>11</v>
      </c>
      <c r="AY1" s="34"/>
      <c r="AZ1" s="34"/>
      <c r="BA1" s="34"/>
      <c r="BB1" s="34"/>
      <c r="BC1" s="34"/>
      <c r="BD1" s="39" t="s">
        <v>12</v>
      </c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1"/>
      <c r="BW1" s="34" t="s">
        <v>13</v>
      </c>
      <c r="BX1" s="34"/>
      <c r="BY1" s="34"/>
      <c r="BZ1" s="34"/>
      <c r="CA1" s="34"/>
      <c r="CB1" s="34"/>
      <c r="CC1" s="34"/>
      <c r="CD1" s="34"/>
      <c r="CE1" s="34"/>
      <c r="CF1" s="34" t="s">
        <v>14</v>
      </c>
      <c r="CG1" s="34"/>
      <c r="CH1" s="34"/>
      <c r="CI1" s="34"/>
      <c r="CJ1" s="34"/>
      <c r="CK1" s="34"/>
      <c r="CL1" s="34"/>
      <c r="CM1" s="34"/>
      <c r="CN1" s="34"/>
      <c r="CO1" s="34" t="s">
        <v>15</v>
      </c>
      <c r="CP1" s="34"/>
      <c r="CQ1" s="34"/>
      <c r="CR1" s="34"/>
      <c r="CS1" s="34"/>
      <c r="CT1" s="34"/>
      <c r="CU1" s="34"/>
      <c r="CV1" s="34"/>
      <c r="CW1" s="34"/>
      <c r="CX1" s="34" t="s">
        <v>16</v>
      </c>
      <c r="CY1" s="34"/>
      <c r="CZ1" s="34"/>
      <c r="DA1" s="34" t="s">
        <v>17</v>
      </c>
      <c r="DB1" s="34"/>
      <c r="DC1" s="35" t="s">
        <v>18</v>
      </c>
      <c r="DD1" s="36"/>
      <c r="DE1" s="36"/>
      <c r="DF1" s="36"/>
      <c r="DG1" s="37"/>
      <c r="DH1" s="34" t="s">
        <v>19</v>
      </c>
      <c r="DI1" s="34"/>
      <c r="DJ1" s="34"/>
      <c r="DK1" s="34" t="s">
        <v>20</v>
      </c>
      <c r="DL1" s="34" t="s">
        <v>0</v>
      </c>
    </row>
    <row r="2" customHeight="1" spans="1:116">
      <c r="A2" s="34"/>
      <c r="B2" s="34"/>
      <c r="C2" s="34"/>
      <c r="D2" s="34" t="s">
        <v>21</v>
      </c>
      <c r="E2" s="34"/>
      <c r="F2" s="34" t="s">
        <v>22</v>
      </c>
      <c r="G2" s="34" t="s">
        <v>23</v>
      </c>
      <c r="H2" s="34" t="s">
        <v>21</v>
      </c>
      <c r="I2" s="34"/>
      <c r="J2" s="34" t="s">
        <v>22</v>
      </c>
      <c r="K2" s="42" t="s">
        <v>24</v>
      </c>
      <c r="L2" s="34" t="s">
        <v>21</v>
      </c>
      <c r="M2" s="34"/>
      <c r="N2" s="34" t="s">
        <v>22</v>
      </c>
      <c r="O2" s="34" t="s">
        <v>21</v>
      </c>
      <c r="P2" s="34"/>
      <c r="Q2" s="34" t="s">
        <v>25</v>
      </c>
      <c r="R2" s="43" t="s">
        <v>26</v>
      </c>
      <c r="S2" s="43" t="s">
        <v>26</v>
      </c>
      <c r="T2" s="43" t="s">
        <v>26</v>
      </c>
      <c r="U2" s="43" t="s">
        <v>26</v>
      </c>
      <c r="V2" s="43" t="s">
        <v>27</v>
      </c>
      <c r="W2" s="43"/>
      <c r="X2" s="43"/>
      <c r="Y2" s="43"/>
      <c r="Z2" s="43" t="s">
        <v>28</v>
      </c>
      <c r="AA2" s="43"/>
      <c r="AB2" s="43"/>
      <c r="AC2" s="43"/>
      <c r="AD2" s="43"/>
      <c r="AE2" s="43" t="s">
        <v>29</v>
      </c>
      <c r="AF2" s="43"/>
      <c r="AG2" s="43"/>
      <c r="AH2" s="43"/>
      <c r="AI2" s="43"/>
      <c r="AJ2" s="43" t="s">
        <v>28</v>
      </c>
      <c r="AK2" s="43"/>
      <c r="AL2" s="43"/>
      <c r="AM2" s="43"/>
      <c r="AN2" s="43" t="s">
        <v>29</v>
      </c>
      <c r="AO2" s="43"/>
      <c r="AP2" s="43"/>
      <c r="AQ2" s="43"/>
      <c r="AR2" s="34" t="s">
        <v>30</v>
      </c>
      <c r="AS2" s="34"/>
      <c r="AT2" s="34"/>
      <c r="AU2" s="89" t="s">
        <v>31</v>
      </c>
      <c r="AV2" s="34"/>
      <c r="AW2" s="34"/>
      <c r="AX2" s="34" t="s">
        <v>30</v>
      </c>
      <c r="AY2" s="34"/>
      <c r="AZ2" s="34"/>
      <c r="BA2" s="89" t="s">
        <v>31</v>
      </c>
      <c r="BB2" s="34"/>
      <c r="BC2" s="34"/>
      <c r="BD2" s="35" t="s">
        <v>32</v>
      </c>
      <c r="BE2" s="36"/>
      <c r="BF2" s="36"/>
      <c r="BG2" s="37"/>
      <c r="BH2" s="34" t="s">
        <v>33</v>
      </c>
      <c r="BI2" s="34"/>
      <c r="BJ2" s="34"/>
      <c r="BK2" s="34"/>
      <c r="BL2" s="34"/>
      <c r="BM2" s="34" t="s">
        <v>34</v>
      </c>
      <c r="BN2" s="34"/>
      <c r="BO2" s="34"/>
      <c r="BP2" s="34"/>
      <c r="BQ2" s="34"/>
      <c r="BR2" s="34" t="s">
        <v>35</v>
      </c>
      <c r="BS2" s="34"/>
      <c r="BT2" s="34"/>
      <c r="BU2" s="34"/>
      <c r="BV2" s="34"/>
      <c r="BW2" s="34" t="s">
        <v>36</v>
      </c>
      <c r="BX2" s="34"/>
      <c r="BY2" s="34"/>
      <c r="BZ2" s="34"/>
      <c r="CA2" s="34" t="s">
        <v>33</v>
      </c>
      <c r="CB2" s="34"/>
      <c r="CC2" s="34"/>
      <c r="CD2" s="34"/>
      <c r="CE2" s="34"/>
      <c r="CF2" s="34" t="s">
        <v>36</v>
      </c>
      <c r="CG2" s="34"/>
      <c r="CH2" s="34"/>
      <c r="CI2" s="34"/>
      <c r="CJ2" s="34" t="s">
        <v>37</v>
      </c>
      <c r="CK2" s="34"/>
      <c r="CL2" s="34"/>
      <c r="CM2" s="34"/>
      <c r="CN2" s="34"/>
      <c r="CO2" s="34" t="s">
        <v>36</v>
      </c>
      <c r="CP2" s="34"/>
      <c r="CQ2" s="34"/>
      <c r="CR2" s="34"/>
      <c r="CS2" s="34" t="s">
        <v>37</v>
      </c>
      <c r="CT2" s="34"/>
      <c r="CU2" s="34"/>
      <c r="CV2" s="34"/>
      <c r="CW2" s="34"/>
      <c r="CX2" s="34" t="s">
        <v>38</v>
      </c>
      <c r="CY2" s="34" t="s">
        <v>39</v>
      </c>
      <c r="CZ2" s="34" t="s">
        <v>40</v>
      </c>
      <c r="DA2" s="34" t="s">
        <v>41</v>
      </c>
      <c r="DB2" s="34" t="s">
        <v>42</v>
      </c>
      <c r="DC2" s="34" t="s">
        <v>43</v>
      </c>
      <c r="DD2" s="34" t="s">
        <v>44</v>
      </c>
      <c r="DE2" s="34" t="s">
        <v>45</v>
      </c>
      <c r="DF2" s="34" t="s">
        <v>46</v>
      </c>
      <c r="DG2" s="44" t="s">
        <v>47</v>
      </c>
      <c r="DH2" s="34" t="s">
        <v>48</v>
      </c>
      <c r="DI2" s="34" t="s">
        <v>49</v>
      </c>
      <c r="DJ2" s="34" t="s">
        <v>50</v>
      </c>
      <c r="DK2" s="34" t="s">
        <v>51</v>
      </c>
      <c r="DL2" s="34"/>
    </row>
    <row r="3" customHeight="1" spans="1:116">
      <c r="A3" s="34"/>
      <c r="B3" s="34"/>
      <c r="C3" s="34"/>
      <c r="D3" s="34" t="s">
        <v>52</v>
      </c>
      <c r="E3" s="34" t="s">
        <v>53</v>
      </c>
      <c r="F3" s="34"/>
      <c r="G3" s="34"/>
      <c r="H3" s="34" t="s">
        <v>54</v>
      </c>
      <c r="I3" s="34" t="s">
        <v>55</v>
      </c>
      <c r="J3" s="34"/>
      <c r="K3" s="45"/>
      <c r="L3" s="34" t="s">
        <v>56</v>
      </c>
      <c r="M3" s="34" t="s">
        <v>57</v>
      </c>
      <c r="N3" s="34"/>
      <c r="O3" s="34"/>
      <c r="P3" s="34" t="s">
        <v>58</v>
      </c>
      <c r="Q3" s="34"/>
      <c r="R3" s="46" t="s">
        <v>59</v>
      </c>
      <c r="S3" s="46" t="s">
        <v>60</v>
      </c>
      <c r="T3" s="46" t="s">
        <v>61</v>
      </c>
      <c r="U3" s="46" t="s">
        <v>62</v>
      </c>
      <c r="V3" s="43" t="s">
        <v>59</v>
      </c>
      <c r="W3" s="43" t="s">
        <v>60</v>
      </c>
      <c r="X3" s="43" t="s">
        <v>61</v>
      </c>
      <c r="Y3" s="43" t="s">
        <v>62</v>
      </c>
      <c r="Z3" s="43" t="s">
        <v>43</v>
      </c>
      <c r="AA3" s="43" t="s">
        <v>44</v>
      </c>
      <c r="AB3" s="43" t="s">
        <v>45</v>
      </c>
      <c r="AC3" s="43" t="s">
        <v>46</v>
      </c>
      <c r="AD3" s="31" t="s">
        <v>47</v>
      </c>
      <c r="AE3" s="43" t="s">
        <v>43</v>
      </c>
      <c r="AF3" s="43" t="s">
        <v>44</v>
      </c>
      <c r="AG3" s="43" t="s">
        <v>45</v>
      </c>
      <c r="AH3" s="43" t="s">
        <v>46</v>
      </c>
      <c r="AI3" s="32" t="s">
        <v>47</v>
      </c>
      <c r="AJ3" s="43" t="s">
        <v>43</v>
      </c>
      <c r="AK3" s="43" t="s">
        <v>44</v>
      </c>
      <c r="AL3" s="43" t="s">
        <v>45</v>
      </c>
      <c r="AM3" s="43" t="s">
        <v>46</v>
      </c>
      <c r="AN3" s="43" t="s">
        <v>43</v>
      </c>
      <c r="AO3" s="43" t="s">
        <v>44</v>
      </c>
      <c r="AP3" s="43" t="s">
        <v>45</v>
      </c>
      <c r="AQ3" s="43" t="s">
        <v>46</v>
      </c>
      <c r="AR3" s="43" t="s">
        <v>63</v>
      </c>
      <c r="AS3" s="43" t="s">
        <v>64</v>
      </c>
      <c r="AT3" s="34" t="s">
        <v>65</v>
      </c>
      <c r="AU3" s="43" t="s">
        <v>63</v>
      </c>
      <c r="AV3" s="43" t="s">
        <v>64</v>
      </c>
      <c r="AW3" s="34" t="s">
        <v>65</v>
      </c>
      <c r="AX3" s="43" t="s">
        <v>63</v>
      </c>
      <c r="AY3" s="43" t="s">
        <v>64</v>
      </c>
      <c r="AZ3" s="34" t="s">
        <v>65</v>
      </c>
      <c r="BA3" s="43" t="s">
        <v>63</v>
      </c>
      <c r="BB3" s="43" t="s">
        <v>64</v>
      </c>
      <c r="BC3" s="34" t="s">
        <v>65</v>
      </c>
      <c r="BD3" s="34" t="s">
        <v>66</v>
      </c>
      <c r="BE3" s="34" t="s">
        <v>67</v>
      </c>
      <c r="BF3" s="47" t="s">
        <v>68</v>
      </c>
      <c r="BG3" s="34" t="s">
        <v>69</v>
      </c>
      <c r="BH3" s="34" t="s">
        <v>70</v>
      </c>
      <c r="BI3" s="34" t="s">
        <v>71</v>
      </c>
      <c r="BJ3" s="47" t="s">
        <v>68</v>
      </c>
      <c r="BK3" s="48" t="s">
        <v>69</v>
      </c>
      <c r="BL3" s="34" t="s">
        <v>72</v>
      </c>
      <c r="BM3" s="34" t="s">
        <v>70</v>
      </c>
      <c r="BN3" s="34" t="s">
        <v>71</v>
      </c>
      <c r="BO3" s="47" t="s">
        <v>68</v>
      </c>
      <c r="BP3" s="48" t="s">
        <v>69</v>
      </c>
      <c r="BQ3" s="34" t="s">
        <v>72</v>
      </c>
      <c r="BR3" s="34" t="s">
        <v>70</v>
      </c>
      <c r="BS3" s="34" t="s">
        <v>71</v>
      </c>
      <c r="BT3" s="47" t="s">
        <v>68</v>
      </c>
      <c r="BU3" s="48" t="s">
        <v>69</v>
      </c>
      <c r="BV3" s="34" t="s">
        <v>72</v>
      </c>
      <c r="BW3" s="34" t="s">
        <v>66</v>
      </c>
      <c r="BX3" s="34" t="s">
        <v>67</v>
      </c>
      <c r="BY3" s="47" t="s">
        <v>68</v>
      </c>
      <c r="BZ3" s="34" t="s">
        <v>69</v>
      </c>
      <c r="CA3" s="34" t="s">
        <v>70</v>
      </c>
      <c r="CB3" s="34" t="s">
        <v>71</v>
      </c>
      <c r="CC3" s="47" t="s">
        <v>68</v>
      </c>
      <c r="CD3" s="48" t="s">
        <v>69</v>
      </c>
      <c r="CE3" s="34" t="s">
        <v>72</v>
      </c>
      <c r="CF3" s="34" t="s">
        <v>66</v>
      </c>
      <c r="CG3" s="34" t="s">
        <v>67</v>
      </c>
      <c r="CH3" s="34" t="s">
        <v>68</v>
      </c>
      <c r="CI3" s="34" t="s">
        <v>69</v>
      </c>
      <c r="CJ3" s="34" t="s">
        <v>70</v>
      </c>
      <c r="CK3" s="34" t="s">
        <v>71</v>
      </c>
      <c r="CL3" s="34" t="s">
        <v>68</v>
      </c>
      <c r="CM3" s="48" t="s">
        <v>69</v>
      </c>
      <c r="CN3" s="34" t="s">
        <v>72</v>
      </c>
      <c r="CO3" s="34" t="s">
        <v>66</v>
      </c>
      <c r="CP3" s="34" t="s">
        <v>67</v>
      </c>
      <c r="CQ3" s="34" t="s">
        <v>68</v>
      </c>
      <c r="CR3" s="34" t="s">
        <v>69</v>
      </c>
      <c r="CS3" s="34" t="s">
        <v>70</v>
      </c>
      <c r="CT3" s="34" t="s">
        <v>71</v>
      </c>
      <c r="CU3" s="34" t="s">
        <v>68</v>
      </c>
      <c r="CV3" s="48" t="s">
        <v>69</v>
      </c>
      <c r="CW3" s="34" t="s">
        <v>72</v>
      </c>
      <c r="CX3" s="34"/>
      <c r="CY3" s="34"/>
      <c r="CZ3" s="34"/>
      <c r="DA3" s="34" t="s">
        <v>73</v>
      </c>
      <c r="DB3" s="34" t="s">
        <v>74</v>
      </c>
      <c r="DC3" s="34"/>
      <c r="DD3" s="34"/>
      <c r="DE3" s="34"/>
      <c r="DF3" s="34"/>
      <c r="DG3" s="45"/>
      <c r="DH3" s="34"/>
      <c r="DI3" s="34"/>
      <c r="DJ3" s="34" t="s">
        <v>75</v>
      </c>
      <c r="DK3" s="34" t="s">
        <v>58</v>
      </c>
      <c r="DL3" s="34"/>
    </row>
    <row r="4" ht="91.5" customHeight="1" spans="1:116">
      <c r="A4" s="34" t="s">
        <v>76</v>
      </c>
      <c r="B4" s="49"/>
      <c r="C4" s="49"/>
      <c r="D4" s="49"/>
      <c r="E4" s="14"/>
      <c r="F4" s="14" t="s">
        <v>77</v>
      </c>
      <c r="G4" s="14"/>
      <c r="H4" s="14"/>
      <c r="I4" s="14"/>
      <c r="J4" s="14"/>
      <c r="K4" s="50"/>
      <c r="L4" s="14" t="s">
        <v>78</v>
      </c>
      <c r="M4" s="14"/>
      <c r="N4" s="14" t="s">
        <v>79</v>
      </c>
      <c r="O4" s="14"/>
      <c r="P4" s="14"/>
      <c r="Q4" s="14"/>
      <c r="R4" s="51">
        <v>12.3861566484517</v>
      </c>
      <c r="S4" s="52">
        <v>0</v>
      </c>
      <c r="T4" s="51">
        <v>17.5483870967742</v>
      </c>
      <c r="U4" s="51">
        <v>0.435729847494542</v>
      </c>
      <c r="V4" s="53"/>
      <c r="W4" s="53"/>
      <c r="X4" s="53"/>
      <c r="Y4" s="53"/>
      <c r="Z4" s="54"/>
      <c r="AA4" s="54"/>
      <c r="AB4" s="54"/>
      <c r="AC4" s="54"/>
      <c r="AD4" s="54"/>
      <c r="AE4" s="55">
        <v>247.5</v>
      </c>
      <c r="AF4" s="55">
        <v>2310</v>
      </c>
      <c r="AG4" s="55" t="s">
        <v>80</v>
      </c>
      <c r="AH4" s="55">
        <v>144.375</v>
      </c>
      <c r="AI4" s="55">
        <v>88.8461538461538</v>
      </c>
      <c r="AJ4" s="56"/>
      <c r="AK4" s="56"/>
      <c r="AL4" s="56"/>
      <c r="AM4" s="56"/>
      <c r="AN4" s="57"/>
      <c r="AO4" s="57"/>
      <c r="AP4" s="57"/>
      <c r="AQ4" s="57"/>
      <c r="AR4" s="51"/>
      <c r="AS4" s="51"/>
      <c r="AT4" s="58"/>
      <c r="AU4" s="58"/>
      <c r="AV4" s="58"/>
      <c r="AW4" s="58"/>
      <c r="AX4" s="51">
        <v>2.64344188174686</v>
      </c>
      <c r="AY4" s="51">
        <v>16.2532272376707</v>
      </c>
      <c r="AZ4" s="58">
        <v>6.14850939220576</v>
      </c>
      <c r="BA4" s="58"/>
      <c r="BB4" s="58"/>
      <c r="BC4" s="58"/>
      <c r="BD4" s="58">
        <v>0.790275246666667</v>
      </c>
      <c r="BE4" s="58">
        <v>0.64583976</v>
      </c>
      <c r="BF4" s="59">
        <v>1260.2972</v>
      </c>
      <c r="BG4" s="58">
        <v>1.38828596666667</v>
      </c>
      <c r="BH4" s="60">
        <v>5866.66666666667</v>
      </c>
      <c r="BI4" s="58">
        <v>0.416666666666667</v>
      </c>
      <c r="BJ4" s="59">
        <v>9241.14066666667</v>
      </c>
      <c r="BK4" s="58">
        <v>1.27050815</v>
      </c>
      <c r="BL4" s="58">
        <v>73.7651503437917</v>
      </c>
      <c r="BM4" s="60"/>
      <c r="BN4" s="58"/>
      <c r="BO4" s="59"/>
      <c r="BP4" s="58"/>
      <c r="BQ4" s="58"/>
      <c r="BR4" s="60"/>
      <c r="BS4" s="58"/>
      <c r="BT4" s="59"/>
      <c r="BU4" s="58"/>
      <c r="BV4" s="58"/>
      <c r="BW4" s="58">
        <v>0.263086116666667</v>
      </c>
      <c r="BX4" s="58">
        <v>0.826763473333333</v>
      </c>
      <c r="BY4" s="59">
        <v>3753.59353333333</v>
      </c>
      <c r="BZ4" s="58">
        <v>4.82562203333333</v>
      </c>
      <c r="CA4" s="60">
        <v>5123.33333333333</v>
      </c>
      <c r="CB4" s="58">
        <v>1</v>
      </c>
      <c r="CC4" s="59">
        <v>35517.5086666667</v>
      </c>
      <c r="CD4" s="58">
        <v>3.2464525</v>
      </c>
      <c r="CE4" s="58">
        <v>93.930016715243</v>
      </c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>
        <v>6.34683098591549</v>
      </c>
      <c r="CY4" s="58">
        <v>50.9887005649718</v>
      </c>
      <c r="CZ4" s="58">
        <v>114.688427299703</v>
      </c>
      <c r="DA4" s="61"/>
      <c r="DB4" s="61"/>
      <c r="DC4" s="58">
        <v>2.15515075376889</v>
      </c>
      <c r="DD4" s="58">
        <v>4.6356875743668</v>
      </c>
      <c r="DE4" s="58">
        <v>3.5756810057932</v>
      </c>
      <c r="DF4" s="58">
        <v>11.4487734487735</v>
      </c>
      <c r="DG4" s="58">
        <v>3.7932607215793</v>
      </c>
      <c r="DH4" s="61"/>
      <c r="DI4" s="61"/>
      <c r="DJ4" s="58"/>
      <c r="DK4" s="58" t="s">
        <v>81</v>
      </c>
    </row>
    <row r="5" ht="25.5" customHeight="1" spans="1:116">
      <c r="A5" s="34" t="s">
        <v>82</v>
      </c>
      <c r="B5" s="49"/>
      <c r="C5" s="49"/>
      <c r="D5" s="49"/>
      <c r="E5" s="14"/>
      <c r="F5" s="14" t="s">
        <v>83</v>
      </c>
      <c r="G5" s="14"/>
      <c r="H5" s="14"/>
      <c r="I5" s="14"/>
      <c r="J5" s="14"/>
      <c r="K5" s="50"/>
      <c r="L5" s="14"/>
      <c r="M5" s="14"/>
      <c r="N5" s="14" t="s">
        <v>84</v>
      </c>
      <c r="O5" s="14"/>
      <c r="P5" s="14"/>
      <c r="Q5" s="14"/>
      <c r="R5" s="51"/>
      <c r="S5" s="51"/>
      <c r="T5" s="51"/>
      <c r="U5" s="51"/>
      <c r="V5" s="53"/>
      <c r="W5" s="53"/>
      <c r="X5" s="53"/>
      <c r="Y5" s="53"/>
      <c r="Z5" s="54"/>
      <c r="AA5" s="54"/>
      <c r="AB5" s="54"/>
      <c r="AC5" s="54"/>
      <c r="AD5" s="54"/>
      <c r="AE5" s="62"/>
      <c r="AF5" s="55"/>
      <c r="AG5" s="62"/>
      <c r="AH5" s="62"/>
      <c r="AI5" s="62"/>
      <c r="AJ5" s="56"/>
      <c r="AK5" s="56"/>
      <c r="AL5" s="56"/>
      <c r="AM5" s="56"/>
      <c r="AN5" s="57"/>
      <c r="AO5" s="57"/>
      <c r="AP5" s="57"/>
      <c r="AQ5" s="57"/>
      <c r="AR5" s="51"/>
      <c r="AS5" s="51"/>
      <c r="AT5" s="58"/>
      <c r="AU5" s="58"/>
      <c r="AV5" s="58"/>
      <c r="AW5" s="58"/>
      <c r="AX5" s="51"/>
      <c r="AY5" s="51"/>
      <c r="AZ5" s="58"/>
      <c r="BA5" s="58"/>
      <c r="BB5" s="58"/>
      <c r="BC5" s="58"/>
      <c r="BD5" s="58"/>
      <c r="BE5" s="58"/>
      <c r="BF5" s="59"/>
      <c r="BG5" s="58"/>
      <c r="BH5" s="60">
        <v>71</v>
      </c>
      <c r="BI5" s="58">
        <v>1.5</v>
      </c>
      <c r="BJ5" s="59">
        <v>240.88845</v>
      </c>
      <c r="BK5" s="58">
        <v>2.47578985</v>
      </c>
      <c r="BL5" s="58"/>
      <c r="BM5" s="60"/>
      <c r="BN5" s="58"/>
      <c r="BO5" s="59"/>
      <c r="BP5" s="58"/>
      <c r="BQ5" s="58"/>
      <c r="BR5" s="60"/>
      <c r="BS5" s="58"/>
      <c r="BT5" s="59"/>
      <c r="BU5" s="58"/>
      <c r="BV5" s="58"/>
      <c r="BW5" s="58"/>
      <c r="BX5" s="58"/>
      <c r="BY5" s="59"/>
      <c r="BZ5" s="58"/>
      <c r="CA5" s="60"/>
      <c r="CB5" s="58"/>
      <c r="CC5" s="59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61"/>
      <c r="DB5" s="61"/>
      <c r="DC5" s="58"/>
      <c r="DD5" s="58"/>
      <c r="DE5" s="58"/>
      <c r="DF5" s="58"/>
      <c r="DG5" s="58"/>
      <c r="DH5" s="61"/>
      <c r="DI5" s="61"/>
      <c r="DJ5" s="61"/>
      <c r="DK5" s="58"/>
    </row>
    <row r="6" ht="240" customHeight="1" spans="1:116">
      <c r="A6" s="34" t="s">
        <v>85</v>
      </c>
      <c r="B6" s="49"/>
      <c r="C6" s="49"/>
      <c r="D6" s="49"/>
      <c r="E6" s="14"/>
      <c r="F6" s="14" t="s">
        <v>86</v>
      </c>
      <c r="G6" s="14"/>
      <c r="H6" s="14"/>
      <c r="I6" s="14"/>
      <c r="J6" s="14"/>
      <c r="K6" s="50"/>
      <c r="L6" s="14"/>
      <c r="M6" s="14"/>
      <c r="N6" s="14" t="s">
        <v>87</v>
      </c>
      <c r="O6" s="14"/>
      <c r="P6" s="14"/>
      <c r="Q6" s="14" t="s">
        <v>88</v>
      </c>
      <c r="R6" s="51">
        <v>3.23785803237858</v>
      </c>
      <c r="S6" s="51">
        <v>0</v>
      </c>
      <c r="T6" s="51">
        <v>0</v>
      </c>
      <c r="U6" s="51">
        <v>2.63157894736842</v>
      </c>
      <c r="V6" s="53"/>
      <c r="W6" s="53"/>
      <c r="X6" s="53"/>
      <c r="Y6" s="53"/>
      <c r="Z6" s="54"/>
      <c r="AA6" s="54"/>
      <c r="AB6" s="54"/>
      <c r="AC6" s="54"/>
      <c r="AD6" s="54"/>
      <c r="AE6" s="62">
        <v>364.736842105263</v>
      </c>
      <c r="AF6" s="62">
        <v>210</v>
      </c>
      <c r="AG6" s="62">
        <v>187.297297297297</v>
      </c>
      <c r="AH6" s="62">
        <v>866.25</v>
      </c>
      <c r="AI6" s="62">
        <v>141.428571428571</v>
      </c>
      <c r="AJ6" s="56"/>
      <c r="AK6" s="56"/>
      <c r="AL6" s="56"/>
      <c r="AM6" s="56"/>
      <c r="AN6" s="57"/>
      <c r="AO6" s="57"/>
      <c r="AP6" s="57"/>
      <c r="AQ6" s="57"/>
      <c r="AR6" s="51"/>
      <c r="AS6" s="51"/>
      <c r="AT6" s="58"/>
      <c r="AU6" s="58"/>
      <c r="AV6" s="58"/>
      <c r="AW6" s="58"/>
      <c r="AX6" s="51">
        <v>7.56199596352715</v>
      </c>
      <c r="AY6" s="51">
        <v>28.9839395158462</v>
      </c>
      <c r="AZ6" s="58">
        <v>3.83284250026592</v>
      </c>
      <c r="BA6" s="58"/>
      <c r="BB6" s="58"/>
      <c r="BC6" s="58"/>
      <c r="BD6" s="58">
        <v>5.63384476666667</v>
      </c>
      <c r="BE6" s="58">
        <v>1.74991106666667</v>
      </c>
      <c r="BF6" s="59">
        <v>185.53932</v>
      </c>
      <c r="BG6" s="58">
        <v>0.255086406666667</v>
      </c>
      <c r="BH6" s="60">
        <v>2150</v>
      </c>
      <c r="BI6" s="58">
        <v>0.0833</v>
      </c>
      <c r="BJ6" s="59">
        <v>1525.00925</v>
      </c>
      <c r="BK6" s="58">
        <v>1.69700635</v>
      </c>
      <c r="BL6" s="58">
        <v>83.6916074365127</v>
      </c>
      <c r="BM6" s="60"/>
      <c r="BN6" s="58"/>
      <c r="BO6" s="59"/>
      <c r="BP6" s="58"/>
      <c r="BQ6" s="58"/>
      <c r="BR6" s="60"/>
      <c r="BS6" s="58"/>
      <c r="BT6" s="59"/>
      <c r="BU6" s="58"/>
      <c r="BV6" s="58"/>
      <c r="BW6" s="58">
        <v>3.23787546666667</v>
      </c>
      <c r="BX6" s="58">
        <v>1.07114603333333</v>
      </c>
      <c r="BY6" s="59">
        <v>344.249046666667</v>
      </c>
      <c r="BZ6" s="58">
        <v>0.683664116666667</v>
      </c>
      <c r="CA6" s="60">
        <v>1396.66666666667</v>
      </c>
      <c r="CB6" s="58">
        <v>0.138866666666667</v>
      </c>
      <c r="CC6" s="59">
        <v>2127.96896666667</v>
      </c>
      <c r="CD6" s="58">
        <v>6.26926653333333</v>
      </c>
      <c r="CE6" s="58">
        <v>70.0435984413558</v>
      </c>
      <c r="CF6" s="58">
        <v>0.42715938</v>
      </c>
      <c r="CG6" s="58">
        <v>0.94223137</v>
      </c>
      <c r="CH6" s="60">
        <v>2318.0437</v>
      </c>
      <c r="CI6" s="58">
        <v>2.02490873333333</v>
      </c>
      <c r="CJ6" s="60">
        <v>1996.66666666667</v>
      </c>
      <c r="CK6" s="58">
        <v>1.33333333333333</v>
      </c>
      <c r="CL6" s="60">
        <v>11467.9403333333</v>
      </c>
      <c r="CM6" s="58">
        <v>2.35231026666667</v>
      </c>
      <c r="CN6" s="58">
        <v>97.4497814046</v>
      </c>
      <c r="CO6" s="58">
        <v>0.4</v>
      </c>
      <c r="CP6" s="58">
        <v>0.6</v>
      </c>
      <c r="CQ6" s="60">
        <v>2525</v>
      </c>
      <c r="CR6" s="58">
        <v>2.48</v>
      </c>
      <c r="CS6" s="60">
        <v>2332</v>
      </c>
      <c r="CT6" s="58">
        <v>3.33</v>
      </c>
      <c r="CU6" s="60">
        <v>12925</v>
      </c>
      <c r="CV6" s="58">
        <v>3.55</v>
      </c>
      <c r="CW6" s="58">
        <v>102</v>
      </c>
      <c r="CX6" s="58">
        <v>32.7183271832718</v>
      </c>
      <c r="CY6" s="58">
        <v>52.1428571428571</v>
      </c>
      <c r="CZ6" s="58">
        <v>19.9228791773779</v>
      </c>
      <c r="DA6" s="61"/>
      <c r="DB6" s="61"/>
      <c r="DC6" s="52">
        <v>8.34</v>
      </c>
      <c r="DD6" s="52">
        <v>10.24</v>
      </c>
      <c r="DE6" s="52"/>
      <c r="DF6" s="52">
        <v>24.4</v>
      </c>
      <c r="DG6" s="52">
        <v>14.94</v>
      </c>
      <c r="DH6" s="61"/>
      <c r="DI6" s="61"/>
      <c r="DJ6" s="61"/>
      <c r="DK6" s="58" t="s">
        <v>81</v>
      </c>
    </row>
    <row r="7" ht="22.5" customHeight="1" spans="1:116">
      <c r="A7" s="34" t="s">
        <v>89</v>
      </c>
      <c r="B7" s="49"/>
      <c r="C7" s="49"/>
      <c r="D7" s="49"/>
      <c r="E7" s="14"/>
      <c r="F7" s="14" t="s">
        <v>90</v>
      </c>
      <c r="G7" s="14"/>
      <c r="H7" s="14"/>
      <c r="I7" s="14"/>
      <c r="J7" s="14"/>
      <c r="K7" s="50"/>
      <c r="L7" s="14"/>
      <c r="M7" s="14"/>
      <c r="N7" s="14"/>
      <c r="O7" s="14"/>
      <c r="P7" s="14"/>
      <c r="Q7" s="14"/>
      <c r="R7" s="51"/>
      <c r="S7" s="51"/>
      <c r="T7" s="51"/>
      <c r="U7" s="51"/>
      <c r="V7" s="53"/>
      <c r="W7" s="53"/>
      <c r="X7" s="53"/>
      <c r="Y7" s="53"/>
      <c r="Z7" s="54"/>
      <c r="AA7" s="54"/>
      <c r="AB7" s="54"/>
      <c r="AC7" s="54"/>
      <c r="AD7" s="54"/>
      <c r="AE7" s="62"/>
      <c r="AF7" s="62"/>
      <c r="AG7" s="62"/>
      <c r="AH7" s="62"/>
      <c r="AI7" s="62"/>
      <c r="AJ7" s="56"/>
      <c r="AK7" s="56"/>
      <c r="AL7" s="56"/>
      <c r="AM7" s="56"/>
      <c r="AN7" s="57"/>
      <c r="AO7" s="57"/>
      <c r="AP7" s="57"/>
      <c r="AQ7" s="57"/>
      <c r="AR7" s="51"/>
      <c r="AS7" s="51"/>
      <c r="AT7" s="58"/>
      <c r="AU7" s="58"/>
      <c r="AV7" s="58"/>
      <c r="AW7" s="58"/>
      <c r="AX7" s="51"/>
      <c r="AY7" s="51"/>
      <c r="AZ7" s="58"/>
      <c r="BA7" s="58"/>
      <c r="BB7" s="58"/>
      <c r="BC7" s="58"/>
      <c r="BD7" s="58"/>
      <c r="BE7" s="58"/>
      <c r="BF7" s="59"/>
      <c r="BG7" s="58"/>
      <c r="BH7" s="60"/>
      <c r="BI7" s="58"/>
      <c r="BJ7" s="59"/>
      <c r="BK7" s="58"/>
      <c r="BL7" s="58"/>
      <c r="BM7" s="60"/>
      <c r="BN7" s="58"/>
      <c r="BO7" s="59"/>
      <c r="BP7" s="58"/>
      <c r="BQ7" s="58"/>
      <c r="BR7" s="60"/>
      <c r="BS7" s="58"/>
      <c r="BT7" s="59"/>
      <c r="BU7" s="58"/>
      <c r="BV7" s="58"/>
      <c r="BW7" s="58"/>
      <c r="BX7" s="58"/>
      <c r="BY7" s="59"/>
      <c r="BZ7" s="58"/>
      <c r="CA7" s="60"/>
      <c r="CB7" s="58"/>
      <c r="CC7" s="59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61"/>
      <c r="DB7" s="61"/>
      <c r="DC7" s="52"/>
      <c r="DD7" s="52"/>
      <c r="DE7" s="52"/>
      <c r="DF7" s="52"/>
      <c r="DG7" s="52"/>
      <c r="DH7" s="61"/>
      <c r="DI7" s="61"/>
      <c r="DJ7" s="61"/>
      <c r="DK7" s="58"/>
    </row>
    <row r="8" ht="25.5" customHeight="1" spans="1:116">
      <c r="A8" s="34" t="s">
        <v>91</v>
      </c>
      <c r="B8" s="49"/>
      <c r="C8" s="49"/>
      <c r="D8" s="49"/>
      <c r="E8" s="14"/>
      <c r="F8" s="14" t="s">
        <v>92</v>
      </c>
      <c r="G8" s="14"/>
      <c r="H8" s="14"/>
      <c r="I8" s="14"/>
      <c r="J8" s="14"/>
      <c r="K8" s="50"/>
      <c r="L8" s="14"/>
      <c r="M8" s="14"/>
      <c r="N8" s="14"/>
      <c r="O8" s="14"/>
      <c r="P8" s="14"/>
      <c r="Q8" s="14"/>
      <c r="R8" s="51"/>
      <c r="S8" s="51"/>
      <c r="T8" s="51"/>
      <c r="U8" s="51"/>
      <c r="V8" s="53"/>
      <c r="W8" s="53"/>
      <c r="X8" s="53"/>
      <c r="Y8" s="53"/>
      <c r="Z8" s="54"/>
      <c r="AA8" s="54"/>
      <c r="AB8" s="54"/>
      <c r="AC8" s="54"/>
      <c r="AD8" s="54"/>
      <c r="AE8" s="62"/>
      <c r="AF8" s="62"/>
      <c r="AG8" s="62"/>
      <c r="AH8" s="62"/>
      <c r="AI8" s="62"/>
      <c r="AJ8" s="56"/>
      <c r="AK8" s="56"/>
      <c r="AL8" s="56"/>
      <c r="AM8" s="56"/>
      <c r="AN8" s="57"/>
      <c r="AO8" s="57"/>
      <c r="AP8" s="57"/>
      <c r="AQ8" s="57"/>
      <c r="AR8" s="51"/>
      <c r="AS8" s="51"/>
      <c r="AT8" s="58"/>
      <c r="AU8" s="58"/>
      <c r="AV8" s="58"/>
      <c r="AW8" s="58"/>
      <c r="AX8" s="51"/>
      <c r="AY8" s="51"/>
      <c r="AZ8" s="58"/>
      <c r="BA8" s="58"/>
      <c r="BB8" s="58"/>
      <c r="BC8" s="58"/>
      <c r="BD8" s="58"/>
      <c r="BE8" s="58"/>
      <c r="BF8" s="59"/>
      <c r="BG8" s="58"/>
      <c r="BH8" s="60"/>
      <c r="BI8" s="58"/>
      <c r="BJ8" s="59"/>
      <c r="BK8" s="58"/>
      <c r="BL8" s="58"/>
      <c r="BM8" s="60"/>
      <c r="BN8" s="58"/>
      <c r="BO8" s="59"/>
      <c r="BP8" s="58"/>
      <c r="BQ8" s="58"/>
      <c r="BR8" s="60"/>
      <c r="BS8" s="58"/>
      <c r="BT8" s="59"/>
      <c r="BU8" s="58"/>
      <c r="BV8" s="58"/>
      <c r="BW8" s="58"/>
      <c r="BX8" s="58"/>
      <c r="BY8" s="59"/>
      <c r="BZ8" s="58"/>
      <c r="CA8" s="60"/>
      <c r="CB8" s="58"/>
      <c r="CC8" s="59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61"/>
      <c r="DB8" s="61"/>
      <c r="DC8" s="58"/>
      <c r="DD8" s="58"/>
      <c r="DE8" s="58"/>
      <c r="DF8" s="58"/>
      <c r="DG8" s="58"/>
      <c r="DH8" s="61"/>
      <c r="DI8" s="61"/>
      <c r="DJ8" s="61"/>
      <c r="DK8" s="58"/>
    </row>
    <row r="9" ht="25.5" customHeight="1" spans="1:116">
      <c r="A9" s="34" t="s">
        <v>93</v>
      </c>
      <c r="B9" s="49"/>
      <c r="C9" s="49"/>
      <c r="D9" s="49"/>
      <c r="E9" s="14"/>
      <c r="F9" s="14" t="s">
        <v>92</v>
      </c>
      <c r="G9" s="14"/>
      <c r="H9" s="14"/>
      <c r="I9" s="14"/>
      <c r="J9" s="14"/>
      <c r="K9" s="50"/>
      <c r="L9" s="14"/>
      <c r="M9" s="14"/>
      <c r="N9" s="14"/>
      <c r="O9" s="14"/>
      <c r="P9" s="14"/>
      <c r="Q9" s="14"/>
      <c r="R9" s="51"/>
      <c r="S9" s="51"/>
      <c r="T9" s="51"/>
      <c r="U9" s="51"/>
      <c r="V9" s="53"/>
      <c r="W9" s="53"/>
      <c r="X9" s="53"/>
      <c r="Y9" s="53"/>
      <c r="Z9" s="54"/>
      <c r="AA9" s="54"/>
      <c r="AB9" s="54"/>
      <c r="AC9" s="54"/>
      <c r="AD9" s="54"/>
      <c r="AE9" s="62"/>
      <c r="AF9" s="62"/>
      <c r="AG9" s="62"/>
      <c r="AH9" s="62"/>
      <c r="AI9" s="62"/>
      <c r="AJ9" s="56"/>
      <c r="AK9" s="56"/>
      <c r="AL9" s="56"/>
      <c r="AM9" s="56"/>
      <c r="AN9" s="57"/>
      <c r="AO9" s="57"/>
      <c r="AP9" s="57"/>
      <c r="AQ9" s="57"/>
      <c r="AR9" s="51"/>
      <c r="AS9" s="51"/>
      <c r="AT9" s="58"/>
      <c r="AU9" s="58"/>
      <c r="AV9" s="58"/>
      <c r="AW9" s="58"/>
      <c r="AX9" s="51"/>
      <c r="AY9" s="51"/>
      <c r="AZ9" s="58"/>
      <c r="BA9" s="58"/>
      <c r="BB9" s="58"/>
      <c r="BC9" s="58"/>
      <c r="BD9" s="58"/>
      <c r="BE9" s="58"/>
      <c r="BF9" s="59"/>
      <c r="BG9" s="58"/>
      <c r="BH9" s="60"/>
      <c r="BI9" s="58"/>
      <c r="BJ9" s="59"/>
      <c r="BK9" s="58"/>
      <c r="BL9" s="58"/>
      <c r="BM9" s="60"/>
      <c r="BN9" s="58"/>
      <c r="BO9" s="59"/>
      <c r="BP9" s="58"/>
      <c r="BQ9" s="58"/>
      <c r="BR9" s="60"/>
      <c r="BS9" s="58"/>
      <c r="BT9" s="59"/>
      <c r="BU9" s="58"/>
      <c r="BV9" s="58"/>
      <c r="BW9" s="58"/>
      <c r="BX9" s="58"/>
      <c r="BY9" s="59"/>
      <c r="BZ9" s="58"/>
      <c r="CA9" s="60"/>
      <c r="CB9" s="58"/>
      <c r="CC9" s="59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61"/>
      <c r="DB9" s="61"/>
      <c r="DC9" s="58"/>
      <c r="DD9" s="58"/>
      <c r="DE9" s="58"/>
      <c r="DF9" s="58"/>
      <c r="DG9" s="58"/>
      <c r="DH9" s="61"/>
      <c r="DI9" s="61"/>
      <c r="DJ9" s="61"/>
      <c r="DK9" s="58"/>
    </row>
    <row r="10" ht="25.5" customHeight="1" spans="1:116">
      <c r="A10" s="34" t="s">
        <v>94</v>
      </c>
      <c r="B10" s="49"/>
      <c r="C10" s="49"/>
      <c r="D10" s="49"/>
      <c r="E10" s="14"/>
      <c r="F10" s="14" t="s">
        <v>95</v>
      </c>
      <c r="G10" s="14"/>
      <c r="H10" s="14"/>
      <c r="I10" s="14"/>
      <c r="J10" s="14"/>
      <c r="K10" s="50"/>
      <c r="L10" s="14"/>
      <c r="M10" s="14"/>
      <c r="N10" s="14" t="s">
        <v>96</v>
      </c>
      <c r="O10" s="14"/>
      <c r="P10" s="14"/>
      <c r="Q10" s="14"/>
      <c r="R10" s="51"/>
      <c r="S10" s="51"/>
      <c r="T10" s="51"/>
      <c r="U10" s="51"/>
      <c r="V10" s="53"/>
      <c r="W10" s="53"/>
      <c r="X10" s="53"/>
      <c r="Y10" s="53"/>
      <c r="Z10" s="54"/>
      <c r="AA10" s="54"/>
      <c r="AB10" s="54"/>
      <c r="AC10" s="54"/>
      <c r="AD10" s="54"/>
      <c r="AE10" s="62"/>
      <c r="AF10" s="62"/>
      <c r="AG10" s="62"/>
      <c r="AH10" s="62"/>
      <c r="AI10" s="62"/>
      <c r="AJ10" s="56"/>
      <c r="AK10" s="56"/>
      <c r="AL10" s="56"/>
      <c r="AM10" s="56"/>
      <c r="AN10" s="57"/>
      <c r="AO10" s="57"/>
      <c r="AP10" s="57"/>
      <c r="AQ10" s="57"/>
      <c r="AR10" s="51"/>
      <c r="AS10" s="51"/>
      <c r="AT10" s="58"/>
      <c r="AU10" s="58"/>
      <c r="AV10" s="58"/>
      <c r="AW10" s="58"/>
      <c r="AX10" s="51"/>
      <c r="AY10" s="51"/>
      <c r="AZ10" s="58"/>
      <c r="BA10" s="58"/>
      <c r="BB10" s="58"/>
      <c r="BC10" s="58"/>
      <c r="BD10" s="58"/>
      <c r="BE10" s="58"/>
      <c r="BF10" s="59"/>
      <c r="BG10" s="58"/>
      <c r="BH10" s="60"/>
      <c r="BI10" s="58"/>
      <c r="BJ10" s="59"/>
      <c r="BK10" s="58"/>
      <c r="BL10" s="58"/>
      <c r="BM10" s="60"/>
      <c r="BN10" s="58"/>
      <c r="BO10" s="59"/>
      <c r="BP10" s="58"/>
      <c r="BQ10" s="58"/>
      <c r="BR10" s="60"/>
      <c r="BS10" s="58"/>
      <c r="BT10" s="59"/>
      <c r="BU10" s="58"/>
      <c r="BV10" s="58"/>
      <c r="BW10" s="58"/>
      <c r="BX10" s="58"/>
      <c r="BY10" s="59"/>
      <c r="BZ10" s="58"/>
      <c r="CA10" s="60"/>
      <c r="CB10" s="58"/>
      <c r="CC10" s="59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61"/>
      <c r="DB10" s="61"/>
      <c r="DC10" s="58"/>
      <c r="DD10" s="58"/>
      <c r="DE10" s="58"/>
      <c r="DF10" s="58"/>
      <c r="DG10" s="58"/>
      <c r="DH10" s="61"/>
      <c r="DI10" s="61"/>
      <c r="DJ10" s="61"/>
      <c r="DK10" s="58"/>
    </row>
    <row r="11" ht="25.5" customHeight="1" spans="1:116">
      <c r="A11" s="34" t="s">
        <v>97</v>
      </c>
      <c r="B11" s="49"/>
      <c r="C11" s="49"/>
      <c r="D11" s="49"/>
      <c r="E11" s="14"/>
      <c r="F11" s="14"/>
      <c r="G11" s="14"/>
      <c r="H11" s="14"/>
      <c r="I11" s="14"/>
      <c r="J11" s="14"/>
      <c r="K11" s="50"/>
      <c r="L11" s="14"/>
      <c r="M11" s="14"/>
      <c r="N11" s="14" t="s">
        <v>98</v>
      </c>
      <c r="O11" s="14"/>
      <c r="P11" s="14"/>
      <c r="Q11" s="14"/>
      <c r="R11" s="51"/>
      <c r="S11" s="51"/>
      <c r="T11" s="51"/>
      <c r="U11" s="51"/>
      <c r="V11" s="53"/>
      <c r="W11" s="53"/>
      <c r="X11" s="53"/>
      <c r="Y11" s="53"/>
      <c r="Z11" s="54"/>
      <c r="AA11" s="54"/>
      <c r="AB11" s="54"/>
      <c r="AC11" s="54"/>
      <c r="AD11" s="54"/>
      <c r="AE11" s="62"/>
      <c r="AF11" s="62"/>
      <c r="AG11" s="62"/>
      <c r="AH11" s="62"/>
      <c r="AI11" s="62"/>
      <c r="AJ11" s="56"/>
      <c r="AK11" s="56"/>
      <c r="AL11" s="56"/>
      <c r="AM11" s="56"/>
      <c r="AN11" s="57"/>
      <c r="AO11" s="57"/>
      <c r="AP11" s="57"/>
      <c r="AQ11" s="57"/>
      <c r="AR11" s="51"/>
      <c r="AS11" s="51"/>
      <c r="AT11" s="58"/>
      <c r="AU11" s="58"/>
      <c r="AV11" s="58"/>
      <c r="AW11" s="58"/>
      <c r="AX11" s="51"/>
      <c r="AY11" s="51"/>
      <c r="AZ11" s="58"/>
      <c r="BA11" s="58"/>
      <c r="BB11" s="58"/>
      <c r="BC11" s="58"/>
      <c r="BD11" s="58"/>
      <c r="BE11" s="58"/>
      <c r="BF11" s="59"/>
      <c r="BG11" s="58"/>
      <c r="BH11" s="60"/>
      <c r="BI11" s="58"/>
      <c r="BJ11" s="59"/>
      <c r="BK11" s="58"/>
      <c r="BL11" s="58"/>
      <c r="BM11" s="60"/>
      <c r="BN11" s="58"/>
      <c r="BO11" s="59"/>
      <c r="BP11" s="58"/>
      <c r="BQ11" s="58"/>
      <c r="BR11" s="60"/>
      <c r="BS11" s="58"/>
      <c r="BT11" s="59"/>
      <c r="BU11" s="58"/>
      <c r="BV11" s="58"/>
      <c r="BW11" s="58"/>
      <c r="BX11" s="58"/>
      <c r="BY11" s="59"/>
      <c r="BZ11" s="58"/>
      <c r="CA11" s="60"/>
      <c r="CB11" s="58"/>
      <c r="CC11" s="59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58"/>
      <c r="CU11" s="58"/>
      <c r="CV11" s="58"/>
      <c r="CW11" s="58"/>
      <c r="CX11" s="58"/>
      <c r="CY11" s="58"/>
      <c r="CZ11" s="58"/>
      <c r="DA11" s="61"/>
      <c r="DB11" s="61"/>
      <c r="DC11" s="58"/>
      <c r="DD11" s="58"/>
      <c r="DE11" s="58"/>
      <c r="DF11" s="58"/>
      <c r="DG11" s="58"/>
      <c r="DH11" s="61"/>
      <c r="DI11" s="61"/>
      <c r="DJ11" s="61"/>
      <c r="DK11" s="58"/>
    </row>
    <row r="12" ht="25.5" customHeight="1" spans="1:116">
      <c r="A12" s="34" t="s">
        <v>99</v>
      </c>
      <c r="B12" s="49"/>
      <c r="C12" s="49"/>
      <c r="D12" s="49"/>
      <c r="E12" s="14"/>
      <c r="F12" s="14"/>
      <c r="G12" s="14"/>
      <c r="H12" s="14"/>
      <c r="I12" s="14"/>
      <c r="J12" s="14"/>
      <c r="K12" s="50"/>
      <c r="L12" s="14"/>
      <c r="M12" s="14"/>
      <c r="N12" s="14" t="s">
        <v>100</v>
      </c>
      <c r="O12" s="14"/>
      <c r="P12" s="14"/>
      <c r="Q12" s="14"/>
      <c r="R12" s="51"/>
      <c r="S12" s="51"/>
      <c r="T12" s="51"/>
      <c r="U12" s="51"/>
      <c r="V12" s="53"/>
      <c r="W12" s="53"/>
      <c r="X12" s="53"/>
      <c r="Y12" s="53"/>
      <c r="Z12" s="54"/>
      <c r="AA12" s="54"/>
      <c r="AB12" s="54"/>
      <c r="AC12" s="54"/>
      <c r="AD12" s="54"/>
      <c r="AE12" s="62"/>
      <c r="AF12" s="62"/>
      <c r="AG12" s="62"/>
      <c r="AH12" s="62"/>
      <c r="AI12" s="62"/>
      <c r="AJ12" s="56"/>
      <c r="AK12" s="56"/>
      <c r="AL12" s="56"/>
      <c r="AM12" s="56"/>
      <c r="AN12" s="57"/>
      <c r="AO12" s="57"/>
      <c r="AP12" s="57"/>
      <c r="AQ12" s="57"/>
      <c r="AR12" s="51"/>
      <c r="AS12" s="51"/>
      <c r="AT12" s="58"/>
      <c r="AU12" s="58"/>
      <c r="AV12" s="58"/>
      <c r="AW12" s="58"/>
      <c r="AX12" s="51"/>
      <c r="AY12" s="51"/>
      <c r="AZ12" s="58"/>
      <c r="BA12" s="58"/>
      <c r="BB12" s="58"/>
      <c r="BC12" s="58"/>
      <c r="BD12" s="58"/>
      <c r="BE12" s="58"/>
      <c r="BF12" s="59"/>
      <c r="BG12" s="58"/>
      <c r="BH12" s="60"/>
      <c r="BI12" s="58"/>
      <c r="BJ12" s="59"/>
      <c r="BK12" s="58"/>
      <c r="BL12" s="58"/>
      <c r="BM12" s="60"/>
      <c r="BN12" s="58"/>
      <c r="BO12" s="59"/>
      <c r="BP12" s="58"/>
      <c r="BQ12" s="58"/>
      <c r="BR12" s="60"/>
      <c r="BS12" s="58"/>
      <c r="BT12" s="59"/>
      <c r="BU12" s="58"/>
      <c r="BV12" s="58"/>
      <c r="BW12" s="58"/>
      <c r="BX12" s="58"/>
      <c r="BY12" s="59"/>
      <c r="BZ12" s="58"/>
      <c r="CA12" s="60"/>
      <c r="CB12" s="58"/>
      <c r="CC12" s="59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58"/>
      <c r="CU12" s="58"/>
      <c r="CV12" s="58"/>
      <c r="CW12" s="58"/>
      <c r="CX12" s="58"/>
      <c r="CY12" s="58"/>
      <c r="CZ12" s="58"/>
      <c r="DA12" s="61"/>
      <c r="DB12" s="61"/>
      <c r="DC12" s="58"/>
      <c r="DD12" s="58"/>
      <c r="DE12" s="58"/>
      <c r="DF12" s="58"/>
      <c r="DG12" s="58"/>
      <c r="DH12" s="61"/>
      <c r="DI12" s="61"/>
      <c r="DJ12" s="61"/>
      <c r="DK12" s="58"/>
    </row>
    <row r="13" customHeight="1" spans="1:116">
      <c r="F13" s="15"/>
      <c r="J13" s="15"/>
      <c r="K13" s="50"/>
      <c r="N13" s="15"/>
      <c r="Q13" s="15"/>
      <c r="AE13" s="63"/>
      <c r="AF13" s="63"/>
      <c r="AG13" s="63"/>
      <c r="AH13" s="63"/>
      <c r="AI13" s="63"/>
    </row>
    <row r="14" ht="30.75" customHeight="1" spans="1:116">
      <c r="A14" s="30" t="s">
        <v>101</v>
      </c>
      <c r="F14" s="15" t="s">
        <v>102</v>
      </c>
      <c r="L14" s="14" t="s">
        <v>103</v>
      </c>
      <c r="N14" s="14" t="s">
        <v>104</v>
      </c>
      <c r="AE14" s="63"/>
      <c r="BH14" s="50">
        <v>155.666666666667</v>
      </c>
      <c r="BI14" s="57">
        <v>0.3611</v>
      </c>
      <c r="BJ14" s="33">
        <v>163.720336666667</v>
      </c>
      <c r="BK14" s="57">
        <v>0.63056246</v>
      </c>
    </row>
    <row r="15" customHeight="1" spans="1:116">
      <c r="A15" s="30" t="s">
        <v>105</v>
      </c>
      <c r="F15" s="15" t="s">
        <v>106</v>
      </c>
      <c r="J15" s="15"/>
      <c r="K15" s="50"/>
      <c r="L15" s="15">
        <v>69.38</v>
      </c>
      <c r="N15" s="15" t="s">
        <v>107</v>
      </c>
      <c r="Q15" s="15"/>
      <c r="AE15" s="63"/>
      <c r="AF15" s="63"/>
      <c r="AG15" s="63"/>
      <c r="AH15" s="63"/>
      <c r="AI15" s="63"/>
    </row>
    <row r="16" customHeight="1" spans="1:116">
      <c r="A16" s="30" t="s">
        <v>108</v>
      </c>
      <c r="F16" s="15" t="s">
        <v>109</v>
      </c>
      <c r="J16" s="15"/>
      <c r="K16" s="50"/>
      <c r="N16" s="15" t="s">
        <v>110</v>
      </c>
      <c r="Q16" s="15"/>
      <c r="AE16" s="63"/>
      <c r="AF16" s="63"/>
      <c r="AG16" s="63"/>
      <c r="AH16" s="63"/>
      <c r="AI16" s="63"/>
    </row>
    <row r="17" customHeight="1" spans="1:115">
      <c r="A17" s="30" t="s">
        <v>111</v>
      </c>
      <c r="F17" s="15"/>
      <c r="J17" s="15"/>
      <c r="K17" s="50"/>
      <c r="N17" s="15" t="s">
        <v>112</v>
      </c>
      <c r="Q17" s="15"/>
      <c r="AE17" s="63"/>
      <c r="AF17" s="63"/>
      <c r="AG17" s="63"/>
      <c r="AH17" s="63"/>
      <c r="AI17" s="63"/>
    </row>
    <row r="18" customHeight="1" spans="1:115">
      <c r="A18" s="30" t="s">
        <v>113</v>
      </c>
      <c r="F18" s="15"/>
      <c r="J18" s="15"/>
      <c r="K18" s="50"/>
      <c r="N18" s="15" t="s">
        <v>114</v>
      </c>
      <c r="Q18" s="15"/>
      <c r="AE18" s="63"/>
      <c r="AF18" s="63"/>
      <c r="AG18" s="63"/>
      <c r="AH18" s="63"/>
      <c r="AI18" s="63"/>
    </row>
    <row r="19" customHeight="1" spans="1:115">
      <c r="F19" s="15"/>
      <c r="J19" s="15"/>
      <c r="K19" s="50"/>
      <c r="N19" s="15"/>
      <c r="Q19" s="15"/>
      <c r="AE19" s="63"/>
      <c r="AF19" s="63"/>
      <c r="AG19" s="63"/>
      <c r="AH19" s="63"/>
      <c r="AI19" s="63"/>
    </row>
    <row r="20" customHeight="1" spans="1:115">
      <c r="F20" s="15"/>
      <c r="J20" s="15"/>
      <c r="K20" s="50"/>
      <c r="N20" s="15"/>
      <c r="Q20" s="15"/>
      <c r="AE20" s="63"/>
      <c r="AF20" s="63"/>
      <c r="AG20" s="63"/>
      <c r="AH20" s="63"/>
      <c r="AI20" s="63"/>
    </row>
    <row r="21" customHeight="1" spans="1:115">
      <c r="A21" s="30" t="s">
        <v>115</v>
      </c>
      <c r="F21" s="15" t="s">
        <v>116</v>
      </c>
      <c r="J21" s="15"/>
      <c r="K21" s="50"/>
      <c r="N21" s="15" t="s">
        <v>117</v>
      </c>
      <c r="Q21" s="15"/>
      <c r="AE21" s="63"/>
      <c r="AF21" s="63"/>
      <c r="AG21" s="63"/>
      <c r="AH21" s="63"/>
      <c r="AI21" s="63"/>
    </row>
    <row r="22" customHeight="1" spans="1:115">
      <c r="A22" s="30" t="s">
        <v>118</v>
      </c>
      <c r="F22" s="15" t="s">
        <v>119</v>
      </c>
      <c r="J22" s="15"/>
      <c r="K22" s="50"/>
      <c r="N22" s="14" t="s">
        <v>120</v>
      </c>
      <c r="Q22" s="15"/>
      <c r="AE22" s="63"/>
      <c r="AF22" s="63"/>
      <c r="AG22" s="63"/>
      <c r="AH22" s="63"/>
      <c r="AI22" s="63"/>
    </row>
    <row r="23" customHeight="1" spans="1:115">
      <c r="F23" s="15"/>
      <c r="J23" s="15"/>
      <c r="K23" s="50"/>
      <c r="N23" s="15"/>
      <c r="Q23" s="15"/>
      <c r="AE23" s="63"/>
      <c r="AF23" s="63"/>
      <c r="AG23" s="63"/>
      <c r="AH23" s="63"/>
      <c r="AI23" s="63"/>
    </row>
    <row r="24" customHeight="1" spans="1:115">
      <c r="A24" s="30" t="s">
        <v>121</v>
      </c>
      <c r="F24" s="15" t="s">
        <v>122</v>
      </c>
      <c r="J24" s="15"/>
      <c r="K24" s="50"/>
      <c r="N24" s="14" t="s">
        <v>123</v>
      </c>
      <c r="Q24" s="15"/>
      <c r="AE24" s="15"/>
      <c r="AF24" s="15"/>
      <c r="AG24" s="15"/>
      <c r="AH24" s="15"/>
      <c r="AI24" s="15"/>
      <c r="BH24" s="50">
        <v>2743.33333333333</v>
      </c>
      <c r="BI24" s="57">
        <v>0.833333333333333</v>
      </c>
      <c r="BJ24" s="33">
        <v>7900.5835</v>
      </c>
      <c r="BK24" s="57">
        <v>1.1326628</v>
      </c>
    </row>
    <row r="25" customHeight="1" spans="1:115">
      <c r="A25" s="30" t="s">
        <v>124</v>
      </c>
      <c r="F25" s="15" t="s">
        <v>125</v>
      </c>
      <c r="J25" s="15"/>
      <c r="K25" s="50"/>
      <c r="N25" s="15"/>
      <c r="Q25" s="15"/>
      <c r="AE25" s="64"/>
      <c r="AF25" s="64"/>
      <c r="AG25" s="64"/>
      <c r="AH25" s="64"/>
      <c r="AI25" s="64"/>
    </row>
    <row r="26" ht="28.5" customHeight="1" spans="1:115">
      <c r="A26" s="30" t="s">
        <v>126</v>
      </c>
      <c r="F26" s="14" t="s">
        <v>127</v>
      </c>
      <c r="J26" s="15"/>
      <c r="K26" s="50"/>
      <c r="N26" s="14"/>
      <c r="Q26" s="14"/>
      <c r="R26" s="57"/>
      <c r="S26" s="57"/>
      <c r="T26" s="57"/>
      <c r="U26" s="57"/>
      <c r="V26" s="65"/>
      <c r="Y26" s="66"/>
      <c r="AE26" s="64"/>
      <c r="AF26" s="64"/>
      <c r="AG26" s="64"/>
      <c r="AH26" s="64"/>
      <c r="AI26" s="64"/>
      <c r="AX26" s="58"/>
      <c r="AY26" s="57"/>
      <c r="AZ26" s="57"/>
      <c r="BA26" s="58"/>
      <c r="BB26" s="57"/>
      <c r="BC26" s="57"/>
      <c r="BD26" s="57"/>
      <c r="BE26" s="57"/>
      <c r="BG26" s="57"/>
      <c r="BH26" s="50"/>
      <c r="BI26" s="57"/>
      <c r="BL26" s="50"/>
      <c r="BM26" s="50"/>
      <c r="BN26" s="57"/>
      <c r="BW26" s="57"/>
      <c r="BX26" s="57"/>
      <c r="BZ26" s="57"/>
      <c r="DC26" s="57"/>
      <c r="DD26" s="57"/>
      <c r="DE26" s="57"/>
      <c r="DF26" s="57"/>
      <c r="DG26" s="57"/>
      <c r="DJ26" s="15"/>
      <c r="DK26" s="15"/>
    </row>
    <row r="27" customHeight="1" spans="1:115">
      <c r="F27" s="15"/>
      <c r="J27" s="15"/>
      <c r="K27" s="50"/>
      <c r="N27" s="15"/>
      <c r="Q27" s="15"/>
      <c r="AE27" s="67"/>
      <c r="AF27" s="67"/>
      <c r="AG27" s="67"/>
      <c r="AH27" s="67"/>
      <c r="AI27" s="67"/>
    </row>
    <row r="28" customHeight="1" spans="1:115">
      <c r="F28" s="15"/>
      <c r="J28" s="15"/>
      <c r="K28" s="50"/>
      <c r="N28" s="15"/>
      <c r="Q28" s="15"/>
      <c r="AE28" s="67"/>
      <c r="AF28" s="67"/>
      <c r="AG28" s="67"/>
      <c r="AH28" s="67"/>
      <c r="AI28" s="67"/>
    </row>
    <row r="29" customHeight="1" spans="1:115">
      <c r="F29" s="15"/>
      <c r="J29" s="15"/>
      <c r="K29" s="50"/>
      <c r="N29" s="15"/>
      <c r="Q29" s="15"/>
      <c r="AE29" s="67"/>
      <c r="AF29" s="67"/>
      <c r="AG29" s="67"/>
      <c r="AH29" s="67"/>
      <c r="AI29" s="67"/>
    </row>
    <row r="30" customHeight="1" spans="1:115">
      <c r="A30" s="30" t="s">
        <v>128</v>
      </c>
      <c r="F30" s="15" t="s">
        <v>129</v>
      </c>
      <c r="J30" s="15"/>
      <c r="K30" s="50"/>
      <c r="N30" s="15"/>
      <c r="Q30" s="15"/>
      <c r="AE30" s="67"/>
      <c r="AF30" s="67"/>
      <c r="AG30" s="67"/>
      <c r="AH30" s="67"/>
      <c r="AI30" s="67"/>
    </row>
    <row r="31" customHeight="1" spans="1:115">
      <c r="A31" s="30" t="s">
        <v>130</v>
      </c>
      <c r="F31" s="15" t="s">
        <v>131</v>
      </c>
      <c r="J31" s="15"/>
      <c r="K31" s="50"/>
      <c r="N31" s="15"/>
      <c r="Q31" s="15"/>
      <c r="AE31" s="67"/>
      <c r="AF31" s="67"/>
      <c r="AG31" s="67"/>
      <c r="AH31" s="67"/>
      <c r="AI31" s="67"/>
    </row>
    <row r="32" customHeight="1" spans="1:115">
      <c r="A32" s="30" t="s">
        <v>132</v>
      </c>
      <c r="F32" s="14" t="s">
        <v>133</v>
      </c>
      <c r="J32" s="15"/>
      <c r="K32" s="50"/>
      <c r="N32" s="15"/>
      <c r="Q32" s="15"/>
      <c r="AE32" s="67"/>
      <c r="AF32" s="67"/>
      <c r="AG32" s="67"/>
      <c r="AH32" s="67"/>
      <c r="AI32" s="67"/>
    </row>
    <row r="33" customHeight="1" spans="1:35">
      <c r="F33" s="15"/>
      <c r="K33" s="68"/>
      <c r="AE33" s="63"/>
      <c r="AF33" s="63"/>
      <c r="AG33" s="63"/>
      <c r="AH33" s="63"/>
      <c r="AI33" s="63"/>
    </row>
    <row r="34" customHeight="1" spans="1:35">
      <c r="F34" s="15"/>
    </row>
    <row r="35" customHeight="1" spans="1:35">
      <c r="F35" s="15"/>
      <c r="AE35" s="63"/>
    </row>
    <row r="36" customHeight="1" spans="1:35">
      <c r="F36" s="15"/>
      <c r="AE36" s="63"/>
    </row>
    <row r="37" customHeight="1" spans="1:35">
      <c r="A37" s="30" t="s">
        <v>134</v>
      </c>
      <c r="F37" s="14" t="s">
        <v>135</v>
      </c>
      <c r="N37" s="15" t="s">
        <v>136</v>
      </c>
      <c r="AE37" s="63"/>
    </row>
    <row r="38" customHeight="1" spans="1:35">
      <c r="A38" s="30" t="s">
        <v>137</v>
      </c>
      <c r="F38" s="15" t="s">
        <v>138</v>
      </c>
      <c r="AE38" s="63"/>
    </row>
    <row r="39" ht="24" customHeight="1" spans="1:35">
      <c r="A39" s="30" t="s">
        <v>139</v>
      </c>
      <c r="F39" s="14" t="s">
        <v>138</v>
      </c>
      <c r="N39" s="15"/>
      <c r="AE39" s="63"/>
    </row>
    <row r="40" ht="24.75" customHeight="1" spans="1:35">
      <c r="A40" s="30" t="s">
        <v>140</v>
      </c>
      <c r="F40" s="14" t="s">
        <v>138</v>
      </c>
      <c r="AE40" s="63"/>
    </row>
    <row r="41" ht="24.75" customHeight="1" spans="1:35">
      <c r="A41" s="30" t="s">
        <v>141</v>
      </c>
      <c r="F41" s="14"/>
      <c r="N41" s="15" t="s">
        <v>142</v>
      </c>
      <c r="AE41" s="63"/>
    </row>
    <row r="42" ht="24.75" customHeight="1" spans="1:35">
      <c r="A42" s="30" t="s">
        <v>143</v>
      </c>
      <c r="F42" s="14"/>
      <c r="N42" s="15" t="s">
        <v>144</v>
      </c>
      <c r="AE42" s="63"/>
    </row>
    <row r="43" ht="24.75" customHeight="1" spans="1:35">
      <c r="A43" s="30" t="s">
        <v>145</v>
      </c>
      <c r="F43" s="14"/>
      <c r="N43" s="15" t="s">
        <v>146</v>
      </c>
      <c r="AE43" s="63"/>
    </row>
    <row r="44" ht="24.75" customHeight="1" spans="1:35">
      <c r="A44" s="30" t="s">
        <v>147</v>
      </c>
      <c r="F44" s="14"/>
      <c r="N44" s="15" t="s">
        <v>148</v>
      </c>
      <c r="AE44" s="63"/>
    </row>
    <row r="45" ht="24.75" customHeight="1" spans="1:35">
      <c r="A45" s="30" t="s">
        <v>149</v>
      </c>
      <c r="F45" s="14"/>
      <c r="N45" s="15" t="s">
        <v>150</v>
      </c>
      <c r="AE45" s="63"/>
    </row>
    <row r="46" ht="24.75" customHeight="1" spans="1:35">
      <c r="A46" s="30" t="s">
        <v>151</v>
      </c>
      <c r="F46" s="14" t="s">
        <v>152</v>
      </c>
      <c r="AE46" s="63"/>
    </row>
    <row r="47" ht="24.75" customHeight="1" spans="1:35">
      <c r="A47" s="30" t="s">
        <v>153</v>
      </c>
      <c r="F47" s="14" t="s">
        <v>154</v>
      </c>
      <c r="N47" s="15" t="s">
        <v>155</v>
      </c>
      <c r="AE47" s="63"/>
    </row>
    <row r="48" customHeight="1" spans="1:35">
      <c r="A48" s="30" t="s">
        <v>156</v>
      </c>
      <c r="F48" s="15" t="s">
        <v>152</v>
      </c>
      <c r="K48" s="68"/>
      <c r="N48" s="14"/>
      <c r="AE48" s="63"/>
    </row>
    <row r="49" customHeight="1" spans="1:115">
      <c r="A49" s="30" t="s">
        <v>157</v>
      </c>
      <c r="F49" s="15"/>
      <c r="K49" s="68"/>
      <c r="N49" s="14" t="s">
        <v>158</v>
      </c>
      <c r="AE49" s="63"/>
      <c r="BD49" s="57">
        <v>0.815109393333333</v>
      </c>
      <c r="BE49" s="57">
        <v>3.3644253</v>
      </c>
      <c r="BF49" s="33">
        <v>1035.32875666667</v>
      </c>
      <c r="BG49" s="57">
        <v>3.20304713333333</v>
      </c>
      <c r="BH49" s="50">
        <v>1393.33333333333</v>
      </c>
      <c r="BI49" s="15">
        <v>1</v>
      </c>
      <c r="BJ49" s="33">
        <v>10151.843</v>
      </c>
      <c r="BK49" s="57">
        <v>2.53167423333333</v>
      </c>
      <c r="BL49" s="69">
        <v>0.98</v>
      </c>
      <c r="BW49" s="57">
        <v>0.700586496666667</v>
      </c>
      <c r="BX49" s="57">
        <v>2.62884266666667</v>
      </c>
      <c r="BY49" s="33">
        <v>1411.09183333333</v>
      </c>
      <c r="BZ49" s="57">
        <v>4.41593073333333</v>
      </c>
      <c r="CA49" s="15">
        <v>782</v>
      </c>
      <c r="CB49" s="57">
        <v>3.33333333333333</v>
      </c>
      <c r="CC49" s="33">
        <v>7750.89663333333</v>
      </c>
      <c r="CD49" s="15">
        <v>4.2960946</v>
      </c>
      <c r="CE49" s="15">
        <v>55.5370281905506</v>
      </c>
    </row>
    <row r="50" ht="31.5" customHeight="1" spans="1:115">
      <c r="A50" s="30" t="s">
        <v>159</v>
      </c>
      <c r="F50" s="14" t="s">
        <v>160</v>
      </c>
      <c r="K50" s="68"/>
      <c r="N50" s="14"/>
      <c r="Q50" s="15" t="s">
        <v>88</v>
      </c>
      <c r="R50" s="57">
        <v>54.5077720207254</v>
      </c>
      <c r="S50" s="57">
        <v>1.03675777568331</v>
      </c>
      <c r="T50" s="57">
        <v>41.7766051011434</v>
      </c>
      <c r="U50" s="57">
        <v>21.1139240506329</v>
      </c>
      <c r="V50" s="66" t="s">
        <v>161</v>
      </c>
      <c r="W50" s="23" t="s">
        <v>162</v>
      </c>
      <c r="X50" s="66" t="s">
        <v>161</v>
      </c>
      <c r="Y50" s="23" t="s">
        <v>162</v>
      </c>
      <c r="AE50" s="67">
        <v>1345</v>
      </c>
      <c r="AF50" s="15">
        <v>4185</v>
      </c>
      <c r="AG50" s="15">
        <v>628</v>
      </c>
      <c r="AH50" s="70" t="s">
        <v>80</v>
      </c>
      <c r="AI50" s="70" t="s">
        <v>80</v>
      </c>
      <c r="BD50" s="57"/>
      <c r="BE50" s="57"/>
      <c r="BG50" s="57"/>
      <c r="BH50" s="50"/>
      <c r="BK50" s="57"/>
      <c r="BL50" s="69"/>
      <c r="BW50" s="57"/>
      <c r="BX50" s="57"/>
      <c r="BZ50" s="57"/>
      <c r="CB50" s="57"/>
      <c r="CF50" s="57">
        <v>0.112626156666667</v>
      </c>
      <c r="CG50" s="57">
        <v>4.3727957</v>
      </c>
      <c r="CH50" s="50">
        <v>4182.95573333333</v>
      </c>
      <c r="CI50" s="15">
        <v>28.7676153333333</v>
      </c>
      <c r="CJ50" s="50">
        <v>869.333333333333</v>
      </c>
      <c r="CK50" s="15">
        <v>4</v>
      </c>
      <c r="CL50" s="50">
        <v>14959.861</v>
      </c>
      <c r="CM50" s="15">
        <v>28.378498</v>
      </c>
      <c r="CN50" s="57">
        <v>71.5277041102165</v>
      </c>
      <c r="CO50" s="15">
        <v>0.2</v>
      </c>
      <c r="CP50" s="15">
        <v>1.54</v>
      </c>
      <c r="CQ50" s="15">
        <v>4619</v>
      </c>
      <c r="CR50" s="15">
        <v>5.89</v>
      </c>
      <c r="CS50" s="15">
        <v>1267</v>
      </c>
      <c r="CT50" s="15">
        <v>6</v>
      </c>
      <c r="CU50" s="15">
        <v>19069</v>
      </c>
      <c r="CV50" s="15">
        <v>13.3</v>
      </c>
      <c r="CW50" s="15">
        <v>82.56</v>
      </c>
      <c r="DC50" s="57">
        <v>2.1903007206046</v>
      </c>
      <c r="DD50" s="57">
        <v>3.32874777792972</v>
      </c>
      <c r="DE50" s="57">
        <v>2.71906255365999</v>
      </c>
      <c r="DF50" s="57">
        <v>2.25719613782658</v>
      </c>
      <c r="DG50" s="57">
        <v>2.25793165467626</v>
      </c>
      <c r="DK50" s="15">
        <v>2.762</v>
      </c>
    </row>
    <row r="51" customHeight="1" spans="1:115">
      <c r="A51" s="30" t="s">
        <v>163</v>
      </c>
      <c r="F51" s="15" t="s">
        <v>164</v>
      </c>
      <c r="K51" s="68"/>
      <c r="N51" s="14"/>
      <c r="AE51" s="63"/>
      <c r="BD51" s="57"/>
      <c r="BE51" s="57"/>
      <c r="BG51" s="57"/>
      <c r="BH51" s="50"/>
      <c r="BK51" s="57"/>
      <c r="BL51" s="69"/>
      <c r="BW51" s="57"/>
      <c r="BX51" s="57"/>
      <c r="BZ51" s="57"/>
      <c r="CB51" s="57"/>
    </row>
    <row r="52" ht="24.75" customHeight="1" spans="1:115">
      <c r="A52" s="30" t="s">
        <v>165</v>
      </c>
      <c r="F52" s="14" t="s">
        <v>92</v>
      </c>
      <c r="AE52" s="63"/>
    </row>
    <row r="53" ht="24.75" customHeight="1" spans="1:115">
      <c r="A53" s="30" t="s">
        <v>166</v>
      </c>
      <c r="F53" s="14"/>
      <c r="N53" s="15" t="s">
        <v>167</v>
      </c>
      <c r="AE53" s="63"/>
      <c r="AG53" s="57">
        <v>26.4873029338924</v>
      </c>
      <c r="BD53" s="57">
        <v>11.85074</v>
      </c>
      <c r="BE53" s="57">
        <v>7.77996883333333</v>
      </c>
      <c r="BF53" s="33">
        <v>81.9766673333333</v>
      </c>
      <c r="BG53" s="15">
        <v>1.2696495</v>
      </c>
      <c r="BH53" s="50">
        <v>127.666666666667</v>
      </c>
      <c r="BI53" s="57">
        <v>0.194433333333333</v>
      </c>
      <c r="BJ53" s="33">
        <v>285.014066666667</v>
      </c>
      <c r="BK53" s="57">
        <v>1.18520542</v>
      </c>
      <c r="BL53" s="57">
        <v>34.7348608127123</v>
      </c>
    </row>
    <row r="54" ht="24.75" customHeight="1" spans="1:115">
      <c r="A54" s="30" t="s">
        <v>168</v>
      </c>
      <c r="F54" s="14"/>
      <c r="N54" s="15" t="s">
        <v>169</v>
      </c>
      <c r="AE54" s="63"/>
    </row>
    <row r="55" ht="24.75" customHeight="1" spans="1:115">
      <c r="A55" s="30" t="s">
        <v>170</v>
      </c>
      <c r="F55" s="14"/>
      <c r="N55" s="15" t="s">
        <v>169</v>
      </c>
      <c r="AE55" s="63"/>
    </row>
    <row r="56" ht="24.75" customHeight="1" spans="1:115">
      <c r="A56" s="30" t="s">
        <v>171</v>
      </c>
      <c r="F56" s="14"/>
      <c r="N56" s="15" t="s">
        <v>172</v>
      </c>
      <c r="AE56" s="63"/>
    </row>
    <row r="57" ht="24.75" customHeight="1" spans="1:115">
      <c r="A57" s="30" t="s">
        <v>173</v>
      </c>
      <c r="F57" s="14"/>
      <c r="N57" s="15" t="s">
        <v>174</v>
      </c>
      <c r="AE57" s="63"/>
    </row>
    <row r="58" ht="24.75" customHeight="1" spans="1:115">
      <c r="A58" s="30" t="s">
        <v>175</v>
      </c>
      <c r="F58" s="14"/>
      <c r="N58" s="15" t="s">
        <v>176</v>
      </c>
      <c r="AE58" s="63"/>
    </row>
    <row r="59" ht="24.75" customHeight="1" spans="1:115">
      <c r="A59" s="30" t="s">
        <v>177</v>
      </c>
      <c r="F59" s="14" t="s">
        <v>178</v>
      </c>
      <c r="N59" s="15" t="s">
        <v>179</v>
      </c>
      <c r="AE59" s="63"/>
      <c r="AG59" s="57">
        <v>13.6574762969265</v>
      </c>
      <c r="BH59" s="57">
        <v>36.4333333333333</v>
      </c>
      <c r="BI59" s="57">
        <v>0.527766666666667</v>
      </c>
      <c r="BJ59" s="33">
        <v>105.726583333333</v>
      </c>
      <c r="BK59" s="57">
        <v>3.63096583333333</v>
      </c>
    </row>
    <row r="60" ht="24.75" customHeight="1" spans="1:115">
      <c r="A60" s="30" t="s">
        <v>180</v>
      </c>
      <c r="F60" s="14"/>
      <c r="N60" s="15" t="s">
        <v>181</v>
      </c>
      <c r="AE60" s="63"/>
    </row>
    <row r="61" ht="24.75" customHeight="1" spans="1:115">
      <c r="A61" s="30" t="s">
        <v>182</v>
      </c>
      <c r="F61" s="14"/>
      <c r="N61" s="15" t="s">
        <v>183</v>
      </c>
      <c r="AE61" s="63"/>
    </row>
    <row r="62" ht="24.75" customHeight="1" spans="1:115">
      <c r="A62" s="30" t="s">
        <v>184</v>
      </c>
      <c r="F62" s="14" t="s">
        <v>185</v>
      </c>
      <c r="N62" s="15" t="s">
        <v>186</v>
      </c>
      <c r="AE62" s="63"/>
      <c r="BH62" s="71"/>
      <c r="BI62" s="72"/>
      <c r="BJ62" s="73"/>
      <c r="BK62" s="72"/>
      <c r="BL62" s="74"/>
    </row>
    <row r="63" ht="24.75" customHeight="1" spans="1:115">
      <c r="A63" s="30" t="s">
        <v>187</v>
      </c>
      <c r="F63" s="14"/>
      <c r="N63" s="15" t="s">
        <v>188</v>
      </c>
      <c r="AE63" s="63"/>
      <c r="BH63" s="71"/>
      <c r="BI63" s="72"/>
      <c r="BJ63" s="73"/>
      <c r="BK63" s="72"/>
      <c r="BL63" s="74"/>
    </row>
    <row r="64" ht="24.75" customHeight="1" spans="1:115">
      <c r="A64" s="30" t="s">
        <v>189</v>
      </c>
      <c r="F64" s="14"/>
      <c r="N64" s="15" t="s">
        <v>190</v>
      </c>
      <c r="AE64" s="63"/>
      <c r="AG64" s="57">
        <v>68.2819226635268</v>
      </c>
      <c r="BH64" s="75" t="s">
        <v>191</v>
      </c>
      <c r="BI64" s="72"/>
      <c r="BJ64" s="72"/>
      <c r="BK64" s="72"/>
      <c r="BL64" s="74"/>
    </row>
    <row r="65" ht="24" customHeight="1" spans="1:82">
      <c r="A65" s="30" t="s">
        <v>192</v>
      </c>
      <c r="F65" s="14" t="s">
        <v>193</v>
      </c>
      <c r="AE65" s="63"/>
    </row>
    <row r="66" customHeight="1" spans="1:82">
      <c r="A66" s="30" t="s">
        <v>194</v>
      </c>
      <c r="F66" s="15" t="s">
        <v>138</v>
      </c>
      <c r="AE66" s="63"/>
    </row>
    <row r="67" customHeight="1" spans="1:82">
      <c r="A67" s="30" t="s">
        <v>195</v>
      </c>
      <c r="F67" s="15"/>
      <c r="N67" s="15" t="s">
        <v>196</v>
      </c>
      <c r="AE67" s="63"/>
    </row>
    <row r="68" customHeight="1" spans="1:82">
      <c r="A68" s="30" t="s">
        <v>197</v>
      </c>
      <c r="F68" s="15"/>
      <c r="N68" s="15" t="s">
        <v>198</v>
      </c>
      <c r="AE68" s="63"/>
    </row>
    <row r="69" customHeight="1" spans="1:82">
      <c r="A69" s="30" t="s">
        <v>199</v>
      </c>
      <c r="F69" s="15" t="s">
        <v>92</v>
      </c>
    </row>
    <row r="70" customHeight="1" spans="1:82">
      <c r="A70" s="30" t="s">
        <v>200</v>
      </c>
      <c r="F70" s="15"/>
      <c r="N70" s="15" t="s">
        <v>201</v>
      </c>
      <c r="AE70" s="63"/>
    </row>
    <row r="71" customHeight="1" spans="1:82">
      <c r="A71" s="30" t="s">
        <v>202</v>
      </c>
      <c r="F71" s="15"/>
      <c r="N71" s="15" t="s">
        <v>203</v>
      </c>
      <c r="AE71" s="63"/>
    </row>
    <row r="72" customHeight="1" spans="1:82">
      <c r="A72" s="30" t="s">
        <v>204</v>
      </c>
      <c r="F72" s="15"/>
      <c r="N72" s="15" t="s">
        <v>100</v>
      </c>
      <c r="AE72" s="63"/>
    </row>
    <row r="73" customHeight="1" spans="1:82">
      <c r="A73" s="30" t="s">
        <v>205</v>
      </c>
      <c r="F73" s="15"/>
      <c r="N73" s="15" t="s">
        <v>148</v>
      </c>
      <c r="AE73" s="63"/>
    </row>
    <row r="74" customHeight="1" spans="1:82">
      <c r="A74" s="30" t="s">
        <v>206</v>
      </c>
      <c r="F74" s="15" t="s">
        <v>207</v>
      </c>
      <c r="N74" s="14" t="s">
        <v>208</v>
      </c>
      <c r="AE74" s="63"/>
      <c r="AG74" s="57">
        <v>85.0503378436646</v>
      </c>
      <c r="BH74" s="15">
        <v>3820</v>
      </c>
      <c r="BI74" s="57">
        <v>0.333333333333333</v>
      </c>
      <c r="BJ74" s="33">
        <v>11966.724</v>
      </c>
      <c r="BK74" s="57">
        <v>1.55952783333333</v>
      </c>
      <c r="CA74" s="50">
        <v>4663.33333333333</v>
      </c>
      <c r="CB74" s="15">
        <v>0.25</v>
      </c>
      <c r="CC74" s="33">
        <v>17575.3976666667</v>
      </c>
      <c r="CD74" s="15">
        <v>2.94757103333333</v>
      </c>
    </row>
    <row r="75" customHeight="1" spans="1:82">
      <c r="A75" s="30" t="s">
        <v>209</v>
      </c>
      <c r="F75" s="15" t="s">
        <v>92</v>
      </c>
      <c r="AE75" s="63"/>
    </row>
    <row r="76" customHeight="1" spans="1:82">
      <c r="A76" s="30" t="s">
        <v>210</v>
      </c>
      <c r="F76" s="15" t="s">
        <v>92</v>
      </c>
      <c r="AE76" s="63"/>
    </row>
    <row r="77" customHeight="1" spans="1:82">
      <c r="A77" s="30" t="s">
        <v>211</v>
      </c>
      <c r="F77" s="15" t="s">
        <v>212</v>
      </c>
      <c r="K77" s="68"/>
      <c r="N77" s="14" t="s">
        <v>213</v>
      </c>
      <c r="AE77" s="63"/>
    </row>
    <row r="78" customHeight="1" spans="1:82">
      <c r="A78" s="30" t="s">
        <v>214</v>
      </c>
      <c r="F78" s="15"/>
      <c r="K78" s="68"/>
      <c r="N78" s="14" t="s">
        <v>213</v>
      </c>
    </row>
    <row r="79" customHeight="1" spans="1:82">
      <c r="A79" s="30" t="s">
        <v>215</v>
      </c>
      <c r="F79" s="15"/>
      <c r="K79" s="68"/>
      <c r="N79" s="14" t="s">
        <v>216</v>
      </c>
      <c r="AE79" s="63"/>
      <c r="AG79" s="57">
        <v>2.72182124492659</v>
      </c>
      <c r="BH79" s="15">
        <v>273</v>
      </c>
      <c r="BI79" s="57">
        <v>0.194</v>
      </c>
      <c r="BJ79" s="33">
        <v>166</v>
      </c>
      <c r="BK79" s="57">
        <v>0.366</v>
      </c>
    </row>
    <row r="80" customHeight="1" spans="1:82">
      <c r="A80" s="30" t="s">
        <v>217</v>
      </c>
      <c r="F80" s="15"/>
      <c r="K80" s="68"/>
      <c r="N80" s="14" t="s">
        <v>218</v>
      </c>
      <c r="AE80" s="63"/>
    </row>
    <row r="81" customHeight="1" spans="1:111">
      <c r="A81" s="30" t="s">
        <v>219</v>
      </c>
      <c r="F81" s="15" t="s">
        <v>220</v>
      </c>
      <c r="K81" s="68"/>
      <c r="N81" s="14"/>
      <c r="AE81" s="63"/>
    </row>
    <row r="82" ht="33" customHeight="1" spans="1:111">
      <c r="A82" s="30" t="s">
        <v>221</v>
      </c>
      <c r="F82" s="15" t="s">
        <v>222</v>
      </c>
      <c r="K82" s="68"/>
      <c r="N82" s="14" t="s">
        <v>223</v>
      </c>
      <c r="AE82" s="63"/>
      <c r="AG82" s="57">
        <v>3.02248530737509</v>
      </c>
      <c r="BH82" s="50">
        <v>410.666666666667</v>
      </c>
      <c r="BI82" s="15">
        <v>0.0833</v>
      </c>
      <c r="BJ82" s="33">
        <v>180.552133333333</v>
      </c>
      <c r="BK82" s="57">
        <v>0.494791466666667</v>
      </c>
    </row>
    <row r="83" ht="31.5" customHeight="1" spans="1:111">
      <c r="A83" s="30" t="s">
        <v>224</v>
      </c>
      <c r="F83" s="14" t="s">
        <v>225</v>
      </c>
      <c r="K83" s="68"/>
      <c r="N83" s="14" t="s">
        <v>226</v>
      </c>
      <c r="AE83" s="63"/>
    </row>
    <row r="84" customHeight="1" spans="1:111">
      <c r="A84" s="30" t="s">
        <v>227</v>
      </c>
      <c r="F84" s="15"/>
      <c r="K84" s="68"/>
      <c r="N84" s="14" t="s">
        <v>228</v>
      </c>
      <c r="AE84" s="63"/>
    </row>
    <row r="85" customHeight="1" spans="1:111">
      <c r="A85" s="30" t="s">
        <v>229</v>
      </c>
      <c r="F85" s="15" t="s">
        <v>230</v>
      </c>
      <c r="K85" s="68"/>
      <c r="N85" s="14" t="s">
        <v>231</v>
      </c>
      <c r="AE85" s="63"/>
    </row>
    <row r="86" customHeight="1" spans="1:111">
      <c r="A86" s="30" t="s">
        <v>232</v>
      </c>
      <c r="F86" s="15" t="s">
        <v>233</v>
      </c>
      <c r="K86" s="68"/>
      <c r="AE86" s="63"/>
    </row>
    <row r="87" customHeight="1" spans="1:111">
      <c r="A87" s="30" t="s">
        <v>234</v>
      </c>
      <c r="F87" s="15"/>
      <c r="K87" s="68"/>
      <c r="N87" s="15" t="s">
        <v>235</v>
      </c>
      <c r="AE87" s="63"/>
    </row>
    <row r="88" customHeight="1" spans="1:111">
      <c r="A88" s="30" t="s">
        <v>236</v>
      </c>
      <c r="F88" s="15" t="s">
        <v>233</v>
      </c>
      <c r="K88" s="68"/>
      <c r="N88" s="15"/>
      <c r="Q88" s="15"/>
      <c r="R88" s="57"/>
      <c r="S88" s="57"/>
      <c r="T88" s="57"/>
      <c r="U88" s="57"/>
      <c r="Z88" s="57"/>
      <c r="AA88" s="57"/>
      <c r="AB88" s="57"/>
      <c r="AC88" s="57"/>
      <c r="AD88" s="57"/>
      <c r="AE88" s="64"/>
      <c r="AF88" s="57"/>
      <c r="AG88" s="57"/>
      <c r="AH88" s="57"/>
      <c r="AI88" s="57"/>
      <c r="DC88" s="57"/>
      <c r="DD88" s="57"/>
      <c r="DE88" s="57"/>
      <c r="DF88" s="57"/>
      <c r="DG88" s="57"/>
    </row>
    <row r="89" customHeight="1" spans="1:111">
      <c r="A89" s="30" t="s">
        <v>237</v>
      </c>
      <c r="F89" s="15" t="s">
        <v>238</v>
      </c>
      <c r="K89" s="68"/>
      <c r="N89" s="15" t="s">
        <v>239</v>
      </c>
      <c r="Q89" s="15"/>
      <c r="R89" s="57"/>
      <c r="S89" s="57"/>
      <c r="T89" s="57"/>
      <c r="U89" s="57"/>
      <c r="Z89" s="57"/>
      <c r="AA89" s="57"/>
      <c r="AB89" s="57"/>
      <c r="AC89" s="57"/>
      <c r="AD89" s="57"/>
      <c r="AE89" s="64"/>
      <c r="AF89" s="57"/>
      <c r="AG89" s="57"/>
      <c r="AH89" s="57"/>
      <c r="AI89" s="57"/>
      <c r="DC89" s="57"/>
      <c r="DD89" s="57"/>
      <c r="DE89" s="57"/>
      <c r="DF89" s="57"/>
      <c r="DG89" s="57"/>
    </row>
    <row r="90" customHeight="1" spans="1:111">
      <c r="A90" s="30" t="s">
        <v>240</v>
      </c>
      <c r="F90" s="15"/>
      <c r="K90" s="68"/>
      <c r="N90" s="15" t="s">
        <v>235</v>
      </c>
      <c r="Q90" s="15"/>
      <c r="R90" s="57"/>
      <c r="S90" s="57"/>
      <c r="T90" s="57"/>
      <c r="U90" s="57"/>
      <c r="Z90" s="57"/>
      <c r="AA90" s="57"/>
      <c r="AB90" s="57"/>
      <c r="AC90" s="57"/>
      <c r="AD90" s="57"/>
      <c r="AE90" s="64"/>
      <c r="AF90" s="57"/>
      <c r="AG90" s="57"/>
      <c r="AH90" s="57"/>
      <c r="AI90" s="57"/>
      <c r="DC90" s="57"/>
      <c r="DD90" s="57"/>
      <c r="DE90" s="57"/>
      <c r="DF90" s="57"/>
      <c r="DG90" s="57"/>
    </row>
    <row r="91" customHeight="1" spans="1:111">
      <c r="A91" s="30" t="s">
        <v>241</v>
      </c>
      <c r="F91" s="15"/>
      <c r="K91" s="68"/>
      <c r="N91" s="15" t="s">
        <v>142</v>
      </c>
      <c r="Q91" s="15"/>
      <c r="R91" s="57"/>
      <c r="S91" s="57"/>
      <c r="T91" s="57"/>
      <c r="U91" s="57"/>
      <c r="Z91" s="57"/>
      <c r="AA91" s="57"/>
      <c r="AB91" s="57"/>
      <c r="AC91" s="57"/>
      <c r="AD91" s="57"/>
      <c r="AE91" s="64"/>
      <c r="AF91" s="57"/>
      <c r="AG91" s="57"/>
      <c r="AH91" s="57"/>
      <c r="AI91" s="57"/>
      <c r="DC91" s="57"/>
      <c r="DD91" s="57"/>
      <c r="DE91" s="57"/>
      <c r="DF91" s="57"/>
      <c r="DG91" s="57"/>
    </row>
    <row r="92" customHeight="1" spans="1:111">
      <c r="A92" s="30" t="s">
        <v>242</v>
      </c>
      <c r="F92" s="15"/>
      <c r="K92" s="68"/>
      <c r="N92" s="15" t="s">
        <v>243</v>
      </c>
      <c r="Q92" s="15"/>
      <c r="R92" s="57"/>
      <c r="S92" s="57"/>
      <c r="T92" s="57"/>
      <c r="U92" s="57"/>
      <c r="Z92" s="57"/>
      <c r="AA92" s="57"/>
      <c r="AB92" s="57"/>
      <c r="AC92" s="57"/>
      <c r="AD92" s="57"/>
      <c r="AE92" s="64"/>
      <c r="AF92" s="57"/>
      <c r="AG92" s="57"/>
      <c r="AH92" s="57"/>
      <c r="AI92" s="57"/>
      <c r="DC92" s="57"/>
      <c r="DD92" s="57"/>
      <c r="DE92" s="57"/>
      <c r="DF92" s="57"/>
      <c r="DG92" s="57"/>
    </row>
    <row r="93" customHeight="1" spans="1:111">
      <c r="A93" s="30" t="s">
        <v>244</v>
      </c>
      <c r="F93" s="15"/>
      <c r="K93" s="68"/>
      <c r="N93" s="15" t="s">
        <v>245</v>
      </c>
      <c r="Q93" s="15"/>
      <c r="R93" s="57"/>
      <c r="S93" s="57"/>
      <c r="T93" s="57"/>
      <c r="U93" s="57"/>
      <c r="Z93" s="57"/>
      <c r="AA93" s="57"/>
      <c r="AB93" s="57"/>
      <c r="AC93" s="57"/>
      <c r="AD93" s="57"/>
      <c r="AE93" s="64"/>
      <c r="AF93" s="57"/>
      <c r="AG93" s="57"/>
      <c r="AH93" s="57"/>
      <c r="AI93" s="57"/>
      <c r="DC93" s="57"/>
      <c r="DD93" s="57"/>
      <c r="DE93" s="57"/>
      <c r="DF93" s="57"/>
      <c r="DG93" s="57"/>
    </row>
    <row r="94" customHeight="1" spans="1:111">
      <c r="A94" s="30" t="s">
        <v>246</v>
      </c>
      <c r="F94" s="15"/>
      <c r="K94" s="68"/>
      <c r="N94" s="15" t="s">
        <v>247</v>
      </c>
      <c r="Q94" s="15"/>
      <c r="R94" s="57"/>
      <c r="S94" s="57"/>
      <c r="T94" s="57"/>
      <c r="U94" s="57"/>
      <c r="Z94" s="57"/>
      <c r="AA94" s="57"/>
      <c r="AB94" s="57"/>
      <c r="AC94" s="57"/>
      <c r="AD94" s="57"/>
      <c r="AE94" s="64"/>
      <c r="AF94" s="57"/>
      <c r="AG94" s="57"/>
      <c r="AH94" s="57"/>
      <c r="AI94" s="57"/>
      <c r="DC94" s="57"/>
      <c r="DD94" s="57"/>
      <c r="DE94" s="57"/>
      <c r="DF94" s="57"/>
      <c r="DG94" s="57"/>
    </row>
    <row r="95" customHeight="1" spans="1:111">
      <c r="A95" s="30" t="s">
        <v>248</v>
      </c>
      <c r="F95" s="15" t="s">
        <v>249</v>
      </c>
      <c r="K95" s="68"/>
      <c r="N95" s="15" t="s">
        <v>250</v>
      </c>
      <c r="Q95" s="15"/>
      <c r="R95" s="57"/>
      <c r="S95" s="57"/>
      <c r="T95" s="57"/>
      <c r="U95" s="57"/>
      <c r="Z95" s="57"/>
      <c r="AA95" s="57"/>
      <c r="AB95" s="57"/>
      <c r="AC95" s="57"/>
      <c r="AD95" s="57"/>
      <c r="AE95" s="76">
        <v>218.992293335883</v>
      </c>
      <c r="AF95" s="50">
        <v>113.908284950608</v>
      </c>
      <c r="AG95" s="57">
        <v>29.4886016344117</v>
      </c>
      <c r="AH95" s="57" t="s">
        <v>251</v>
      </c>
      <c r="AI95" s="57">
        <v>82.8612925840939</v>
      </c>
      <c r="BD95" s="57">
        <v>5.259436</v>
      </c>
      <c r="BE95" s="57">
        <v>1.07742603333333</v>
      </c>
      <c r="BF95" s="33">
        <v>188.908976666667</v>
      </c>
      <c r="BG95" s="57">
        <v>0.193118266666667</v>
      </c>
      <c r="BH95" s="50">
        <v>924.333333333333</v>
      </c>
      <c r="BI95" s="57">
        <v>0.416666666666667</v>
      </c>
      <c r="BJ95" s="33">
        <v>805.725633333333</v>
      </c>
      <c r="BK95" s="57">
        <v>1.6306261</v>
      </c>
      <c r="BL95" s="57">
        <v>42.4181690534312</v>
      </c>
      <c r="BW95" s="57">
        <v>7.59569733333333</v>
      </c>
      <c r="BX95" s="57">
        <v>2.64504143333333</v>
      </c>
      <c r="BY95" s="33">
        <v>130.32852</v>
      </c>
      <c r="BZ95" s="57">
        <v>0.39482964</v>
      </c>
      <c r="CA95" s="57">
        <v>70.2333333333333</v>
      </c>
      <c r="CB95" s="15">
        <v>0.5</v>
      </c>
      <c r="CC95" s="33">
        <v>157.550946666667</v>
      </c>
      <c r="CD95" s="15">
        <v>1.09576252666667</v>
      </c>
      <c r="CE95" s="15">
        <v>12.1190340513423</v>
      </c>
      <c r="DC95" s="57"/>
      <c r="DD95" s="57"/>
      <c r="DE95" s="57"/>
      <c r="DF95" s="57"/>
      <c r="DG95" s="57"/>
    </row>
    <row r="96" customHeight="1" spans="1:111">
      <c r="A96" s="30" t="s">
        <v>252</v>
      </c>
      <c r="F96" s="15"/>
      <c r="K96" s="68"/>
      <c r="N96" s="15" t="s">
        <v>253</v>
      </c>
      <c r="Q96" s="15"/>
      <c r="R96" s="57"/>
      <c r="S96" s="57"/>
      <c r="T96" s="57"/>
      <c r="U96" s="57"/>
      <c r="Z96" s="57"/>
      <c r="AA96" s="57"/>
      <c r="AB96" s="57"/>
      <c r="AC96" s="57"/>
      <c r="AD96" s="57"/>
      <c r="AE96" s="64"/>
      <c r="AF96" s="57"/>
      <c r="AG96" s="57"/>
      <c r="AH96" s="57"/>
      <c r="AI96" s="57"/>
      <c r="DC96" s="57"/>
      <c r="DD96" s="57"/>
      <c r="DE96" s="57"/>
      <c r="DF96" s="57"/>
      <c r="DG96" s="57"/>
    </row>
    <row r="97" customHeight="1" spans="1:115">
      <c r="A97" s="30" t="s">
        <v>254</v>
      </c>
      <c r="F97" s="15"/>
      <c r="K97" s="68"/>
      <c r="N97" s="15" t="s">
        <v>255</v>
      </c>
      <c r="Q97" s="15"/>
    </row>
    <row r="98" customHeight="1" spans="1:115">
      <c r="A98" s="30" t="s">
        <v>256</v>
      </c>
      <c r="F98" s="15"/>
      <c r="K98" s="68"/>
      <c r="N98" s="15" t="s">
        <v>253</v>
      </c>
      <c r="Q98" s="15"/>
      <c r="AE98" s="63"/>
    </row>
    <row r="99" customHeight="1" spans="1:115">
      <c r="A99" s="30" t="s">
        <v>257</v>
      </c>
      <c r="F99" s="15"/>
      <c r="K99" s="68"/>
      <c r="N99" s="15" t="s">
        <v>258</v>
      </c>
      <c r="AE99" s="63"/>
    </row>
    <row r="100" customHeight="1" spans="1:115">
      <c r="A100" s="30" t="s">
        <v>259</v>
      </c>
      <c r="F100" s="15"/>
      <c r="K100" s="68"/>
      <c r="N100" s="15" t="s">
        <v>260</v>
      </c>
      <c r="AE100" s="63"/>
    </row>
    <row r="101" customHeight="1" spans="1:115">
      <c r="A101" s="30" t="s">
        <v>261</v>
      </c>
      <c r="F101" s="15" t="s">
        <v>262</v>
      </c>
      <c r="K101" s="68"/>
      <c r="N101" s="15" t="s">
        <v>263</v>
      </c>
      <c r="AE101" s="63"/>
    </row>
    <row r="102" customHeight="1" spans="1:115">
      <c r="A102" s="30" t="s">
        <v>264</v>
      </c>
      <c r="F102" s="15" t="s">
        <v>265</v>
      </c>
      <c r="K102" s="68"/>
      <c r="N102" s="14" t="s">
        <v>266</v>
      </c>
      <c r="Q102" s="14"/>
      <c r="AE102" s="15"/>
      <c r="AF102" s="15"/>
      <c r="AG102" s="57">
        <v>1.85791412159989</v>
      </c>
      <c r="AH102" s="15"/>
      <c r="AI102" s="15"/>
      <c r="BD102" s="57">
        <v>19.0116033333333</v>
      </c>
      <c r="BE102" s="57">
        <v>6.4322874</v>
      </c>
      <c r="BF102" s="33">
        <v>50.258925</v>
      </c>
      <c r="BG102" s="57">
        <v>0.31269778</v>
      </c>
      <c r="BH102" s="15">
        <v>677</v>
      </c>
      <c r="BI102" s="57">
        <v>0.138866666666667</v>
      </c>
      <c r="BJ102" s="33">
        <v>305.26565</v>
      </c>
      <c r="BK102" s="57">
        <v>1.18152552</v>
      </c>
      <c r="BL102" s="57">
        <v>56.5067330982596</v>
      </c>
    </row>
    <row r="103" customHeight="1" spans="1:115">
      <c r="A103" s="30" t="s">
        <v>267</v>
      </c>
      <c r="F103" s="15"/>
      <c r="K103" s="68"/>
      <c r="N103" s="15" t="s">
        <v>268</v>
      </c>
      <c r="AC103" s="77"/>
      <c r="AD103" s="77"/>
    </row>
    <row r="104" customHeight="1" spans="1:115">
      <c r="A104" s="30" t="s">
        <v>269</v>
      </c>
      <c r="F104" s="15"/>
      <c r="K104" s="68"/>
      <c r="N104" s="15" t="s">
        <v>270</v>
      </c>
      <c r="Q104" s="15"/>
      <c r="AC104" s="77"/>
      <c r="AD104" s="77"/>
    </row>
    <row r="105" customHeight="1" spans="1:115">
      <c r="A105" s="30" t="s">
        <v>271</v>
      </c>
      <c r="F105" s="50" t="s">
        <v>272</v>
      </c>
      <c r="K105" s="68"/>
      <c r="N105" s="15" t="s">
        <v>273</v>
      </c>
      <c r="Q105" s="15"/>
      <c r="AC105" s="77"/>
      <c r="AD105" s="77"/>
      <c r="AE105" s="57">
        <v>118.749119870844</v>
      </c>
      <c r="AF105" s="57">
        <v>53.8043014911621</v>
      </c>
      <c r="AG105" s="57">
        <v>91.7102248460484</v>
      </c>
      <c r="AH105" s="57">
        <v>97.4050878120268</v>
      </c>
      <c r="AI105" s="57">
        <v>95.4002444507391</v>
      </c>
      <c r="BD105" s="57">
        <v>14.2666236666667</v>
      </c>
      <c r="BE105" s="57">
        <v>3.3271224</v>
      </c>
      <c r="BF105" s="33">
        <v>73.2604273333333</v>
      </c>
      <c r="BG105" s="57">
        <v>0.255911846666667</v>
      </c>
      <c r="BH105" s="15">
        <v>353</v>
      </c>
      <c r="BI105" s="15">
        <v>0.25</v>
      </c>
      <c r="BJ105" s="33">
        <v>335.399216666667</v>
      </c>
      <c r="BK105" s="57">
        <v>3.07925533333333</v>
      </c>
      <c r="BL105" s="57">
        <v>50.8771131011232</v>
      </c>
    </row>
    <row r="106" customHeight="1" spans="1:115">
      <c r="A106" s="30" t="s">
        <v>274</v>
      </c>
      <c r="F106" s="50" t="s">
        <v>275</v>
      </c>
      <c r="K106" s="68"/>
      <c r="N106" s="15" t="s">
        <v>276</v>
      </c>
      <c r="Q106" s="15"/>
      <c r="AC106" s="77"/>
      <c r="AD106" s="77"/>
      <c r="AE106" s="57">
        <v>59.9639729853409</v>
      </c>
      <c r="AF106" s="57">
        <v>42.692101851943</v>
      </c>
      <c r="AG106" s="57">
        <v>17.8225767398613</v>
      </c>
      <c r="AH106" s="57">
        <v>56.1185965634888</v>
      </c>
      <c r="AI106" s="57">
        <v>34.4639837311868</v>
      </c>
      <c r="BD106" s="57">
        <v>10.9792049</v>
      </c>
      <c r="BE106" s="57">
        <v>4.22411093333333</v>
      </c>
      <c r="BF106" s="33">
        <v>94.6184753333333</v>
      </c>
      <c r="BG106" s="57">
        <v>0.395122386666667</v>
      </c>
      <c r="BH106" s="57">
        <v>142.433333333333</v>
      </c>
      <c r="BI106" s="15">
        <v>0.25</v>
      </c>
      <c r="BJ106" s="33">
        <v>228.422653333333</v>
      </c>
      <c r="BK106" s="57">
        <v>5.2685782</v>
      </c>
      <c r="BL106" s="57">
        <v>26.9519411310906</v>
      </c>
    </row>
    <row r="107" customHeight="1" spans="1:115">
      <c r="A107" s="30" t="s">
        <v>277</v>
      </c>
      <c r="F107" s="15" t="s">
        <v>278</v>
      </c>
      <c r="K107" s="68"/>
      <c r="N107" s="15" t="s">
        <v>279</v>
      </c>
      <c r="Q107" s="15"/>
      <c r="AC107" s="77"/>
      <c r="AD107" s="77"/>
    </row>
    <row r="108" ht="46.5" customHeight="1" spans="1:115">
      <c r="A108" s="30" t="s">
        <v>280</v>
      </c>
      <c r="E108" s="15" t="s">
        <v>281</v>
      </c>
      <c r="F108" s="15" t="s">
        <v>282</v>
      </c>
      <c r="K108" s="68"/>
      <c r="N108" s="14" t="s">
        <v>283</v>
      </c>
      <c r="Q108" s="15"/>
      <c r="AC108" s="77"/>
      <c r="AD108" s="77"/>
      <c r="BD108" s="57">
        <v>0.828811543333333</v>
      </c>
      <c r="BE108" s="57">
        <v>2.03697143333333</v>
      </c>
      <c r="BF108" s="33">
        <v>1165.41523333333</v>
      </c>
      <c r="BG108" s="57">
        <v>1.6564291</v>
      </c>
      <c r="BH108" s="14" t="s">
        <v>284</v>
      </c>
      <c r="BI108" s="58" t="s">
        <v>285</v>
      </c>
      <c r="BJ108" s="59" t="s">
        <v>286</v>
      </c>
      <c r="BK108" s="58" t="s">
        <v>287</v>
      </c>
      <c r="BL108" s="57">
        <v>10.4738344850727</v>
      </c>
      <c r="DC108" s="57">
        <v>1.6331938046983</v>
      </c>
      <c r="DD108" s="57">
        <v>2.46372284233606</v>
      </c>
      <c r="DE108" s="57">
        <v>3.26176679267229</v>
      </c>
      <c r="DF108" s="57">
        <v>2.48528855118404</v>
      </c>
      <c r="DG108" s="57">
        <v>0.709542857142857</v>
      </c>
      <c r="DK108" s="15" t="s">
        <v>81</v>
      </c>
    </row>
    <row r="109" customHeight="1" spans="1:115">
      <c r="A109" s="30" t="s">
        <v>288</v>
      </c>
      <c r="F109" s="15"/>
      <c r="K109" s="68"/>
      <c r="N109" s="15" t="s">
        <v>289</v>
      </c>
      <c r="Q109" s="15"/>
      <c r="AC109" s="77"/>
      <c r="AD109" s="77"/>
    </row>
    <row r="110" customHeight="1" spans="1:115">
      <c r="A110" s="30" t="s">
        <v>290</v>
      </c>
      <c r="F110" s="15"/>
      <c r="K110" s="68"/>
      <c r="N110" s="15" t="s">
        <v>291</v>
      </c>
      <c r="Q110" s="15"/>
      <c r="AC110" s="77"/>
      <c r="AD110" s="77"/>
    </row>
    <row r="111" ht="31.5" customHeight="1" spans="1:115">
      <c r="A111" s="30" t="s">
        <v>292</v>
      </c>
      <c r="F111" s="15" t="s">
        <v>293</v>
      </c>
      <c r="K111" s="68"/>
      <c r="N111" s="78" t="s">
        <v>294</v>
      </c>
      <c r="Q111" s="15"/>
      <c r="AC111" s="77"/>
      <c r="AD111" s="77"/>
      <c r="BH111" s="15">
        <v>236</v>
      </c>
      <c r="BI111" s="15">
        <v>0.583333333333333</v>
      </c>
      <c r="BJ111" s="33">
        <v>510.42965</v>
      </c>
      <c r="BK111" s="57">
        <v>3.7256484</v>
      </c>
      <c r="CA111" s="79">
        <v>124.333333333333</v>
      </c>
      <c r="CB111" s="80">
        <v>0.333333333333333</v>
      </c>
      <c r="CC111" s="81">
        <v>324.250393333333</v>
      </c>
      <c r="CD111" s="82">
        <v>2.04202073333333</v>
      </c>
    </row>
    <row r="112" customHeight="1" spans="1:115">
      <c r="A112" s="30" t="s">
        <v>295</v>
      </c>
      <c r="F112" s="15" t="s">
        <v>296</v>
      </c>
      <c r="K112" s="68"/>
      <c r="N112" s="15" t="s">
        <v>297</v>
      </c>
      <c r="Q112" s="15"/>
      <c r="AC112" s="77"/>
      <c r="AD112" s="77"/>
      <c r="AE112" s="57"/>
      <c r="AF112" s="57"/>
      <c r="AG112" s="57"/>
      <c r="AH112" s="57"/>
      <c r="AI112" s="57"/>
    </row>
    <row r="113" customHeight="1" spans="1:115">
      <c r="A113" s="30" t="s">
        <v>298</v>
      </c>
      <c r="F113" s="15"/>
      <c r="K113" s="68"/>
      <c r="N113" s="15" t="s">
        <v>299</v>
      </c>
      <c r="Q113" s="15"/>
      <c r="AC113" s="77"/>
      <c r="AD113" s="77"/>
      <c r="AE113" s="57"/>
      <c r="AF113" s="57"/>
      <c r="AG113" s="57"/>
      <c r="AH113" s="57"/>
      <c r="AI113" s="57"/>
    </row>
    <row r="114" ht="48.75" customHeight="1" spans="1:115">
      <c r="A114" s="30" t="s">
        <v>300</v>
      </c>
      <c r="F114" s="15" t="s">
        <v>301</v>
      </c>
      <c r="K114" s="68"/>
      <c r="N114" s="14" t="s">
        <v>302</v>
      </c>
      <c r="Q114" s="15"/>
      <c r="AC114" s="77"/>
      <c r="AD114" s="77"/>
      <c r="AE114" s="50">
        <v>1504.10253388187</v>
      </c>
      <c r="AF114" s="83" t="s">
        <v>80</v>
      </c>
      <c r="AG114" s="50">
        <v>768.174717983702</v>
      </c>
      <c r="AH114" s="83" t="s">
        <v>80</v>
      </c>
      <c r="AI114" s="83" t="s">
        <v>80</v>
      </c>
      <c r="BD114" s="57">
        <v>0.54269925</v>
      </c>
      <c r="BE114" s="57">
        <v>0.90404842</v>
      </c>
      <c r="BF114" s="33">
        <v>2014.08063333333</v>
      </c>
      <c r="BG114" s="57">
        <v>0.958677083333333</v>
      </c>
      <c r="BH114" s="50">
        <v>3273.33333333333</v>
      </c>
      <c r="BI114" s="15">
        <v>1</v>
      </c>
      <c r="BJ114" s="33">
        <v>9402.36166666667</v>
      </c>
      <c r="BK114" s="57">
        <v>0.78576729</v>
      </c>
      <c r="BL114" s="57">
        <v>45.9021040740025</v>
      </c>
      <c r="DC114" s="57">
        <v>1.71601573051561</v>
      </c>
      <c r="DD114" s="57">
        <v>3.87742297521678</v>
      </c>
      <c r="DE114" s="57">
        <v>2.46542462624585</v>
      </c>
      <c r="DF114" s="57">
        <v>2.52215002698327</v>
      </c>
      <c r="DG114" s="57">
        <v>2.01926946107784</v>
      </c>
      <c r="DK114" s="15">
        <v>2.77</v>
      </c>
    </row>
    <row r="115" customHeight="1" spans="1:115">
      <c r="A115" s="30" t="s">
        <v>303</v>
      </c>
      <c r="E115" s="15" t="s">
        <v>281</v>
      </c>
      <c r="F115" s="15" t="s">
        <v>304</v>
      </c>
      <c r="K115" s="68"/>
      <c r="N115" s="15" t="s">
        <v>305</v>
      </c>
      <c r="Q115" s="15"/>
      <c r="AC115" s="77"/>
      <c r="AD115" s="77"/>
      <c r="AE115" s="15"/>
      <c r="AH115" s="15"/>
      <c r="BH115" s="50">
        <v>135.033333333333</v>
      </c>
      <c r="BI115" s="15">
        <v>0.333333333333333</v>
      </c>
      <c r="BJ115" s="33">
        <v>194.91141</v>
      </c>
      <c r="BK115" s="57">
        <v>1.8215791</v>
      </c>
    </row>
    <row r="116" customHeight="1" spans="1:115">
      <c r="A116" s="30" t="s">
        <v>306</v>
      </c>
      <c r="E116" s="15"/>
      <c r="F116" s="15"/>
      <c r="K116" s="68"/>
      <c r="N116" s="15" t="s">
        <v>100</v>
      </c>
      <c r="Q116" s="15"/>
      <c r="AC116" s="77"/>
      <c r="AD116" s="77"/>
      <c r="AE116" s="15"/>
      <c r="AH116" s="15"/>
      <c r="BH116" s="50"/>
      <c r="BK116" s="57"/>
    </row>
    <row r="117" customHeight="1" spans="1:115">
      <c r="A117" s="30" t="s">
        <v>307</v>
      </c>
      <c r="E117" s="15"/>
      <c r="F117" s="15"/>
      <c r="K117" s="68"/>
      <c r="N117" s="15" t="s">
        <v>308</v>
      </c>
      <c r="Q117" s="15"/>
      <c r="AC117" s="77"/>
      <c r="AD117" s="77"/>
      <c r="AE117" s="15"/>
      <c r="AH117" s="15"/>
      <c r="BH117" s="50"/>
      <c r="BK117" s="57"/>
    </row>
    <row r="118" customHeight="1" spans="1:115">
      <c r="A118" s="30" t="s">
        <v>309</v>
      </c>
      <c r="E118" s="16"/>
      <c r="F118" s="14" t="s">
        <v>310</v>
      </c>
      <c r="K118" s="68"/>
      <c r="N118" s="15" t="s">
        <v>311</v>
      </c>
      <c r="Q118" s="15"/>
      <c r="BD118" s="57"/>
      <c r="BE118" s="57"/>
      <c r="BG118" s="57"/>
      <c r="BH118" s="50">
        <v>256</v>
      </c>
      <c r="BI118" s="15">
        <v>0.194433333333333</v>
      </c>
      <c r="BJ118" s="33">
        <v>393.733083333333</v>
      </c>
      <c r="BK118" s="57">
        <v>3.3493783</v>
      </c>
    </row>
    <row r="119" customHeight="1" spans="1:115">
      <c r="A119" s="30" t="s">
        <v>312</v>
      </c>
      <c r="E119" s="16"/>
      <c r="F119" s="15"/>
      <c r="K119" s="68"/>
      <c r="N119" s="15" t="s">
        <v>313</v>
      </c>
      <c r="Q119" s="15"/>
      <c r="AC119" s="77"/>
      <c r="AD119" s="77"/>
      <c r="BD119" s="57"/>
      <c r="BE119" s="57"/>
      <c r="BG119" s="57"/>
      <c r="BH119" s="50"/>
      <c r="BK119" s="57"/>
    </row>
    <row r="120" customHeight="1" spans="1:115">
      <c r="A120" s="30" t="s">
        <v>314</v>
      </c>
      <c r="E120" s="16"/>
      <c r="F120" s="15"/>
      <c r="K120" s="68"/>
      <c r="N120" s="15" t="s">
        <v>315</v>
      </c>
      <c r="Q120" s="15"/>
      <c r="AC120" s="77"/>
      <c r="AD120" s="77"/>
      <c r="BD120" s="57"/>
      <c r="BE120" s="57"/>
      <c r="BG120" s="57"/>
      <c r="BH120" s="50"/>
      <c r="BK120" s="57"/>
    </row>
    <row r="121" customHeight="1" spans="1:115">
      <c r="A121" s="30" t="s">
        <v>316</v>
      </c>
      <c r="E121" s="16"/>
      <c r="F121" s="15" t="s">
        <v>317</v>
      </c>
      <c r="K121" s="68"/>
      <c r="N121" s="15" t="s">
        <v>318</v>
      </c>
      <c r="Q121" s="15"/>
      <c r="AC121" s="77"/>
      <c r="AD121" s="77"/>
      <c r="AE121" s="57"/>
      <c r="AF121" s="57"/>
      <c r="AG121" s="57"/>
      <c r="AH121" s="57"/>
      <c r="AI121" s="57"/>
    </row>
    <row r="122" customHeight="1" spans="1:115">
      <c r="A122" s="30" t="s">
        <v>319</v>
      </c>
      <c r="E122" s="16"/>
      <c r="F122" s="15" t="s">
        <v>320</v>
      </c>
      <c r="K122" s="68"/>
      <c r="N122" s="84" t="s">
        <v>321</v>
      </c>
      <c r="Q122" s="15"/>
      <c r="AC122" s="77"/>
      <c r="AD122" s="77"/>
      <c r="BH122" s="50">
        <v>785.333333333333</v>
      </c>
      <c r="BI122" s="15">
        <v>0.25</v>
      </c>
      <c r="BJ122" s="33">
        <v>511.912533333333</v>
      </c>
      <c r="BK122" s="57">
        <v>1.4295629</v>
      </c>
    </row>
    <row r="123" customHeight="1" spans="1:115">
      <c r="A123" s="30" t="s">
        <v>322</v>
      </c>
      <c r="E123" s="16"/>
      <c r="F123" s="15" t="s">
        <v>323</v>
      </c>
      <c r="K123" s="68"/>
      <c r="N123" s="84" t="s">
        <v>324</v>
      </c>
      <c r="Q123" s="15"/>
      <c r="AC123" s="77"/>
      <c r="AD123" s="77"/>
      <c r="BH123" s="50">
        <v>1356.66666666667</v>
      </c>
      <c r="BI123" s="15">
        <v>0.25</v>
      </c>
      <c r="BJ123" s="33">
        <v>1105.7215</v>
      </c>
      <c r="BK123" s="15">
        <v>1.23</v>
      </c>
    </row>
    <row r="124" ht="26.25" customHeight="1" spans="1:115">
      <c r="A124" s="30" t="s">
        <v>325</v>
      </c>
      <c r="F124" s="14" t="s">
        <v>326</v>
      </c>
      <c r="K124" s="68"/>
      <c r="N124" s="15" t="s">
        <v>327</v>
      </c>
      <c r="Q124" s="15"/>
      <c r="R124" s="23"/>
      <c r="S124" s="23"/>
      <c r="T124" s="23"/>
      <c r="U124" s="23"/>
      <c r="V124" s="65"/>
      <c r="W124" s="65"/>
      <c r="X124" s="65"/>
      <c r="Y124" s="65"/>
      <c r="AC124" s="77"/>
      <c r="AD124" s="77"/>
      <c r="AX124" s="57"/>
      <c r="AY124" s="57"/>
      <c r="AZ124" s="57"/>
      <c r="BA124" s="57"/>
      <c r="BB124" s="57"/>
      <c r="BC124" s="57"/>
      <c r="BD124" s="58"/>
      <c r="BE124" s="58"/>
      <c r="BF124" s="59"/>
      <c r="BG124" s="14"/>
      <c r="BH124" s="60">
        <v>3646.66666666667</v>
      </c>
      <c r="BI124" s="14">
        <v>0.666666666666667</v>
      </c>
      <c r="BJ124" s="59">
        <v>15574.5496666667</v>
      </c>
      <c r="BK124" s="58">
        <v>1.52751916666667</v>
      </c>
      <c r="BL124" s="85"/>
      <c r="BM124" s="50"/>
      <c r="BQ124" s="16"/>
      <c r="BR124" s="50"/>
      <c r="BV124" s="16"/>
      <c r="DJ124" s="15"/>
    </row>
    <row r="125" customHeight="1" spans="1:115">
      <c r="A125" s="30" t="s">
        <v>328</v>
      </c>
      <c r="F125" s="14" t="s">
        <v>329</v>
      </c>
      <c r="K125" s="68"/>
      <c r="N125" s="15" t="s">
        <v>330</v>
      </c>
      <c r="BH125" s="50"/>
      <c r="BI125" s="57"/>
    </row>
    <row r="126" customHeight="1" spans="1:115">
      <c r="A126" s="30" t="s">
        <v>331</v>
      </c>
      <c r="F126" s="14"/>
      <c r="K126" s="68"/>
      <c r="N126" s="15" t="s">
        <v>332</v>
      </c>
      <c r="AC126" s="77"/>
      <c r="AD126" s="77"/>
      <c r="BH126" s="50"/>
      <c r="BI126" s="57"/>
    </row>
    <row r="127" customHeight="1" spans="1:115">
      <c r="A127" s="30" t="s">
        <v>333</v>
      </c>
      <c r="F127" s="14"/>
      <c r="K127" s="68"/>
      <c r="N127" s="15" t="s">
        <v>334</v>
      </c>
      <c r="AC127" s="77"/>
      <c r="AD127" s="77"/>
      <c r="BH127" s="50">
        <v>1078</v>
      </c>
      <c r="BI127" s="57">
        <v>0.666666666666667</v>
      </c>
      <c r="BJ127" s="33">
        <v>5164.363</v>
      </c>
      <c r="BK127" s="57">
        <v>1.61407576666667</v>
      </c>
    </row>
    <row r="128" customHeight="1" spans="1:115">
      <c r="A128" s="30" t="s">
        <v>335</v>
      </c>
      <c r="F128" s="15"/>
      <c r="K128" s="68"/>
      <c r="N128" s="15" t="s">
        <v>336</v>
      </c>
      <c r="Q128" s="15"/>
      <c r="AC128" s="77"/>
      <c r="AD128" s="77"/>
      <c r="BH128" s="50">
        <v>1646.66666666667</v>
      </c>
      <c r="BI128" s="57">
        <v>2.33333333333333</v>
      </c>
      <c r="BJ128" s="33">
        <v>9795.2511</v>
      </c>
      <c r="BK128" s="57">
        <v>3.91186036666667</v>
      </c>
    </row>
    <row r="129" customHeight="1" spans="1:63">
      <c r="A129" s="30" t="s">
        <v>337</v>
      </c>
      <c r="F129" s="14"/>
      <c r="K129" s="68"/>
      <c r="N129" s="15" t="s">
        <v>338</v>
      </c>
      <c r="Q129" s="15"/>
      <c r="AE129" s="15"/>
      <c r="AF129" s="86"/>
      <c r="AG129" s="86"/>
      <c r="AH129" s="86"/>
      <c r="AI129" s="86"/>
    </row>
    <row r="130" customHeight="1" spans="1:63">
      <c r="A130" s="30" t="s">
        <v>339</v>
      </c>
      <c r="F130" s="14"/>
      <c r="K130" s="68"/>
      <c r="N130" s="15" t="s">
        <v>340</v>
      </c>
      <c r="Q130" s="15"/>
      <c r="AC130" s="77"/>
      <c r="AD130" s="77"/>
      <c r="AE130" s="67"/>
      <c r="AF130" s="86"/>
      <c r="AG130" s="86"/>
      <c r="AH130" s="86"/>
      <c r="AI130" s="86"/>
    </row>
    <row r="131" customHeight="1" spans="1:63">
      <c r="A131" s="30" t="s">
        <v>341</v>
      </c>
      <c r="F131" s="14"/>
      <c r="K131" s="68"/>
      <c r="N131" s="15" t="s">
        <v>342</v>
      </c>
      <c r="Q131" s="15"/>
      <c r="AC131" s="77"/>
      <c r="AD131" s="77"/>
      <c r="AE131" s="67"/>
      <c r="AF131" s="86"/>
      <c r="AG131" s="86"/>
      <c r="AH131" s="86"/>
      <c r="AI131" s="86"/>
      <c r="BH131" s="50">
        <v>272.333333333333</v>
      </c>
      <c r="BI131" s="57">
        <v>0.416666666666667</v>
      </c>
      <c r="BJ131" s="33">
        <v>316.298083333333</v>
      </c>
      <c r="BK131" s="57">
        <v>0.9474804</v>
      </c>
    </row>
    <row r="132" ht="39.75" customHeight="1" spans="1:63">
      <c r="A132" s="30" t="s">
        <v>343</v>
      </c>
      <c r="F132" s="14"/>
      <c r="K132" s="68"/>
      <c r="N132" s="15" t="s">
        <v>344</v>
      </c>
      <c r="Q132" s="15"/>
      <c r="AC132" s="77"/>
      <c r="AD132" s="77"/>
      <c r="AE132" s="67"/>
      <c r="AF132" s="86"/>
      <c r="AG132" s="86"/>
      <c r="AH132" s="86"/>
      <c r="AI132" s="86"/>
    </row>
    <row r="133" customHeight="1" spans="1:63">
      <c r="A133" s="30" t="s">
        <v>345</v>
      </c>
      <c r="F133" s="14"/>
      <c r="K133" s="68"/>
      <c r="N133" s="82" t="s">
        <v>346</v>
      </c>
      <c r="Q133" s="15"/>
      <c r="AC133" s="77"/>
      <c r="AD133" s="77"/>
      <c r="AE133" s="67"/>
      <c r="AF133" s="86"/>
      <c r="AG133" s="86"/>
      <c r="AH133" s="86"/>
      <c r="AI133" s="86"/>
      <c r="BD133" s="57"/>
      <c r="BE133" s="57"/>
      <c r="BG133" s="57"/>
      <c r="BH133" s="50"/>
    </row>
    <row r="134" customHeight="1" spans="1:63">
      <c r="A134" s="30" t="s">
        <v>347</v>
      </c>
      <c r="F134" s="14"/>
      <c r="K134" s="68"/>
      <c r="N134" s="82" t="s">
        <v>348</v>
      </c>
      <c r="Q134" s="15"/>
      <c r="AC134" s="77"/>
      <c r="AD134" s="77"/>
      <c r="AE134" s="67"/>
      <c r="AF134" s="86"/>
      <c r="AG134" s="86"/>
      <c r="AH134" s="86"/>
      <c r="AI134" s="86"/>
    </row>
    <row r="135" customHeight="1" spans="1:63">
      <c r="F135" s="14"/>
      <c r="K135" s="68"/>
      <c r="N135" s="15"/>
      <c r="Q135" s="15"/>
      <c r="AC135" s="77"/>
      <c r="AD135" s="77"/>
      <c r="AE135" s="67"/>
      <c r="AF135" s="86"/>
      <c r="AG135" s="86"/>
      <c r="AH135" s="86"/>
      <c r="AI135" s="86"/>
    </row>
    <row r="136" customHeight="1" spans="1:63">
      <c r="F136" s="14"/>
      <c r="K136" s="68"/>
      <c r="N136" s="15"/>
      <c r="Q136" s="15"/>
      <c r="AC136" s="77"/>
      <c r="AD136" s="77"/>
      <c r="AE136" s="67"/>
      <c r="AF136" s="86"/>
      <c r="AG136" s="86"/>
      <c r="AH136" s="86"/>
      <c r="AI136" s="86"/>
    </row>
    <row r="137" customHeight="1" spans="1:63">
      <c r="F137" s="15"/>
      <c r="K137" s="68"/>
      <c r="N137" s="15"/>
      <c r="Q137" s="15"/>
      <c r="AC137" s="77"/>
      <c r="AD137" s="77"/>
      <c r="AE137" s="63"/>
    </row>
    <row r="138" customHeight="1" spans="1:63">
      <c r="F138" s="15"/>
      <c r="K138" s="68"/>
      <c r="N138" s="15"/>
      <c r="Q138" s="15"/>
      <c r="AC138" s="77"/>
      <c r="AD138" s="77"/>
      <c r="AE138" s="63"/>
    </row>
    <row r="139" customHeight="1" spans="1:63">
      <c r="F139" s="15"/>
      <c r="K139" s="68"/>
      <c r="N139" s="15"/>
      <c r="Q139" s="15"/>
      <c r="AC139" s="77"/>
      <c r="AD139" s="77"/>
      <c r="AE139" s="63"/>
    </row>
    <row r="140" customHeight="1" spans="1:63">
      <c r="F140" s="15"/>
      <c r="K140" s="68"/>
      <c r="N140" s="15"/>
      <c r="Q140" s="15"/>
      <c r="AC140" s="77"/>
      <c r="AD140" s="77"/>
      <c r="AE140" s="63"/>
    </row>
    <row r="141" customHeight="1" spans="1:63">
      <c r="F141" s="15"/>
      <c r="K141" s="68"/>
      <c r="N141" s="15"/>
      <c r="Q141" s="15"/>
      <c r="AC141" s="77"/>
      <c r="AD141" s="77"/>
      <c r="AE141" s="63"/>
    </row>
    <row r="142" customHeight="1" spans="1:63">
      <c r="F142" s="15"/>
      <c r="K142" s="68"/>
      <c r="N142" s="15"/>
      <c r="Q142" s="15"/>
      <c r="AC142" s="77"/>
      <c r="AD142" s="77"/>
      <c r="AE142" s="63"/>
    </row>
    <row r="143" customHeight="1" spans="1:63">
      <c r="F143" s="15"/>
      <c r="N143" s="15"/>
      <c r="Q143" s="15"/>
    </row>
    <row r="144" customHeight="1" spans="1:63">
      <c r="F144" s="15"/>
      <c r="N144" s="15"/>
      <c r="Q144" s="15"/>
      <c r="AC144" s="77"/>
      <c r="AD144" s="77"/>
      <c r="AE144" s="63"/>
    </row>
    <row r="145" customHeight="1" spans="6:114">
      <c r="F145" s="15"/>
      <c r="N145" s="15"/>
      <c r="Q145" s="15"/>
      <c r="AC145" s="77"/>
      <c r="AD145" s="77"/>
      <c r="AE145" s="63"/>
      <c r="BH145" s="50"/>
    </row>
    <row r="146" ht="33.75" customHeight="1" spans="6:114">
      <c r="F146" s="15"/>
      <c r="N146" s="15"/>
      <c r="Q146" s="15"/>
      <c r="AC146" s="77"/>
      <c r="AD146" s="77"/>
      <c r="AE146" s="63"/>
      <c r="BH146" s="60"/>
      <c r="BI146" s="14"/>
      <c r="BJ146" s="59"/>
      <c r="BK146" s="14"/>
      <c r="DJ146" s="15"/>
    </row>
    <row r="147" customHeight="1" spans="6:114">
      <c r="F147" s="15"/>
      <c r="N147" s="15"/>
      <c r="Q147" s="15"/>
      <c r="AC147" s="77"/>
      <c r="AD147" s="77"/>
      <c r="AE147" s="63"/>
    </row>
    <row r="148" ht="55.5" customHeight="1" spans="6:114">
      <c r="F148" s="15"/>
      <c r="N148" s="14"/>
      <c r="Q148" s="14"/>
      <c r="AC148" s="77"/>
      <c r="AD148" s="77"/>
      <c r="AE148" s="63"/>
    </row>
    <row r="149" customHeight="1" spans="6:114">
      <c r="F149" s="15"/>
      <c r="N149" s="15"/>
      <c r="Q149" s="15"/>
      <c r="AC149" s="77"/>
      <c r="AD149" s="77"/>
      <c r="AE149" s="63"/>
    </row>
    <row r="150" customHeight="1" spans="6:114">
      <c r="F150" s="15"/>
      <c r="N150" s="15"/>
      <c r="Q150" s="15"/>
      <c r="AC150" s="77"/>
      <c r="AD150" s="77"/>
      <c r="AE150" s="63"/>
    </row>
    <row r="151" customHeight="1" spans="6:114">
      <c r="F151" s="15"/>
      <c r="N151" s="15"/>
      <c r="Q151" s="15"/>
      <c r="AC151" s="77"/>
      <c r="AD151" s="77"/>
      <c r="AE151" s="63"/>
    </row>
    <row r="152" customHeight="1" spans="6:114">
      <c r="F152" s="15"/>
    </row>
    <row r="153" customHeight="1" spans="6:114">
      <c r="F153" s="15"/>
      <c r="N153" s="15"/>
      <c r="Q153" s="15"/>
      <c r="AE153" s="63"/>
    </row>
    <row r="154" customHeight="1" spans="6:114">
      <c r="F154" s="15"/>
      <c r="N154" s="15"/>
      <c r="Q154" s="15"/>
      <c r="AE154" s="63"/>
    </row>
    <row r="155" customHeight="1" spans="6:114">
      <c r="F155" s="15"/>
      <c r="N155" s="15"/>
      <c r="Q155" s="15"/>
      <c r="BH155" s="57"/>
      <c r="BI155" s="57"/>
      <c r="BM155" s="57"/>
      <c r="BN155" s="57"/>
      <c r="BR155" s="57"/>
      <c r="BS155" s="57"/>
      <c r="DJ155" s="15"/>
    </row>
    <row r="156" customHeight="1" spans="6:114">
      <c r="F156" s="15"/>
      <c r="N156" s="15"/>
      <c r="Q156" s="15"/>
      <c r="AE156" s="63"/>
      <c r="AX156" s="87"/>
      <c r="AY156" s="57"/>
      <c r="AZ156" s="33"/>
    </row>
    <row r="157" customHeight="1" spans="6:114">
      <c r="F157" s="15"/>
      <c r="N157" s="15"/>
      <c r="Q157" s="15"/>
      <c r="AE157" s="63"/>
      <c r="AX157" s="87"/>
      <c r="AY157" s="58"/>
      <c r="AZ157" s="33"/>
    </row>
    <row r="158" customHeight="1" spans="6:114">
      <c r="F158" s="15"/>
      <c r="N158" s="15"/>
      <c r="Q158" s="15"/>
      <c r="AE158" s="63"/>
      <c r="CX158" s="50"/>
      <c r="CY158" s="57"/>
      <c r="DJ158" s="57"/>
    </row>
    <row r="159" customHeight="1" spans="6:114">
      <c r="F159" s="15"/>
      <c r="N159" s="15"/>
      <c r="Q159" s="15"/>
      <c r="AE159" s="63"/>
    </row>
    <row r="160" customHeight="1" spans="6:114">
      <c r="F160" s="15"/>
      <c r="N160" s="15"/>
      <c r="Q160" s="15"/>
      <c r="AE160" s="63"/>
    </row>
    <row r="161" customHeight="1" spans="6:114">
      <c r="F161" s="15"/>
      <c r="N161" s="15"/>
      <c r="Q161" s="15"/>
    </row>
    <row r="162" customHeight="1" spans="6:114">
      <c r="F162" s="15"/>
      <c r="M162" s="16"/>
      <c r="N162" s="15"/>
      <c r="P162" s="16"/>
      <c r="Q162" s="15"/>
      <c r="AE162" s="63"/>
      <c r="BD162" s="57"/>
      <c r="BE162" s="57"/>
      <c r="BG162" s="57"/>
      <c r="BH162" s="57"/>
      <c r="BL162" s="23"/>
    </row>
    <row r="163" customHeight="1" spans="6:114">
      <c r="F163" s="15"/>
    </row>
    <row r="164" customHeight="1" spans="6:114">
      <c r="F164" s="15"/>
      <c r="AE164" s="88"/>
      <c r="AF164" s="88"/>
      <c r="AG164" s="88"/>
      <c r="AH164" s="88"/>
      <c r="AI164" s="88"/>
    </row>
    <row r="165" customHeight="1" spans="6:114">
      <c r="F165" s="15"/>
      <c r="N165" s="15"/>
      <c r="Q165" s="15"/>
      <c r="AE165" s="86"/>
      <c r="AF165" s="86"/>
      <c r="AG165" s="86"/>
      <c r="AH165" s="86"/>
      <c r="AI165" s="86"/>
    </row>
    <row r="166" customHeight="1" spans="6:114">
      <c r="F166" s="15"/>
      <c r="N166" s="15"/>
      <c r="Q166" s="15"/>
      <c r="AE166" s="86"/>
      <c r="AF166" s="86"/>
      <c r="AG166" s="86"/>
      <c r="AH166" s="86"/>
      <c r="AI166" s="86"/>
    </row>
    <row r="167" customHeight="1" spans="6:114">
      <c r="F167" s="15"/>
      <c r="N167" s="15"/>
      <c r="Q167" s="15"/>
    </row>
    <row r="168" customHeight="1" spans="6:114">
      <c r="F168" s="15"/>
      <c r="N168" s="15"/>
      <c r="Q168" s="15"/>
      <c r="AE168" s="15"/>
      <c r="AF168" s="86"/>
      <c r="AG168" s="86"/>
      <c r="AH168" s="86"/>
      <c r="AI168" s="86"/>
    </row>
    <row r="169" customHeight="1" spans="6:114">
      <c r="F169" s="15"/>
      <c r="N169" s="15"/>
      <c r="Q169" s="15"/>
      <c r="AE169" s="67"/>
      <c r="AF169" s="86"/>
      <c r="AG169" s="86"/>
      <c r="AH169" s="86"/>
      <c r="AI169" s="86"/>
    </row>
    <row r="170" customHeight="1" spans="6:114">
      <c r="F170" s="15"/>
      <c r="N170" s="15"/>
      <c r="Q170" s="15"/>
      <c r="AE170" s="67"/>
      <c r="AF170" s="86"/>
      <c r="AG170" s="86"/>
      <c r="AH170" s="86"/>
      <c r="AI170" s="86"/>
    </row>
    <row r="171" customHeight="1" spans="6:114">
      <c r="F171" s="15"/>
      <c r="N171" s="15"/>
      <c r="Q171" s="15"/>
      <c r="AE171" s="67"/>
      <c r="AF171" s="86"/>
      <c r="AG171" s="86"/>
      <c r="AH171" s="86"/>
      <c r="AI171" s="86"/>
    </row>
    <row r="172" customHeight="1" spans="6:114">
      <c r="F172" s="15"/>
      <c r="N172" s="15"/>
      <c r="Q172" s="15"/>
      <c r="AE172" s="67"/>
      <c r="AF172" s="86"/>
      <c r="AG172" s="86"/>
      <c r="AH172" s="86"/>
      <c r="AI172" s="86"/>
    </row>
    <row r="173" customHeight="1" spans="6:114">
      <c r="F173" s="15"/>
      <c r="N173" s="15"/>
      <c r="Q173" s="15"/>
      <c r="AE173" s="63"/>
      <c r="DJ173" s="15"/>
    </row>
    <row r="174" customHeight="1" spans="6:114">
      <c r="F174" s="15"/>
      <c r="N174" s="15"/>
      <c r="Q174" s="15"/>
      <c r="AE174" s="63"/>
      <c r="DJ174" s="15"/>
    </row>
    <row r="175" customHeight="1" spans="6:114">
      <c r="F175" s="15"/>
      <c r="N175" s="15"/>
      <c r="Q175" s="15"/>
      <c r="AE175" s="63"/>
    </row>
    <row r="176" customHeight="1" spans="6:114">
      <c r="F176" s="15"/>
      <c r="N176" s="15"/>
      <c r="Q176" s="15"/>
      <c r="AE176" s="63"/>
    </row>
    <row r="177" customHeight="1" spans="6:111">
      <c r="F177" s="15"/>
      <c r="N177" s="15"/>
      <c r="Q177" s="15"/>
    </row>
    <row r="178" customHeight="1" spans="6:111">
      <c r="F178" s="15"/>
      <c r="N178" s="15"/>
      <c r="Q178" s="15"/>
      <c r="AE178" s="63"/>
    </row>
    <row r="179" customHeight="1" spans="6:111">
      <c r="F179" s="15"/>
      <c r="N179" s="15"/>
      <c r="Q179" s="15"/>
      <c r="AE179" s="63"/>
      <c r="BI179" s="57"/>
    </row>
    <row r="180" customHeight="1" spans="6:111">
      <c r="F180" s="15"/>
      <c r="N180" s="15"/>
      <c r="Q180" s="15"/>
      <c r="AE180" s="63"/>
      <c r="BD180" s="57"/>
      <c r="BE180" s="57"/>
      <c r="BG180" s="57"/>
      <c r="BH180" s="50"/>
      <c r="BL180" s="23"/>
      <c r="CX180" s="57"/>
      <c r="CY180" s="57"/>
      <c r="DC180" s="57"/>
      <c r="DD180" s="57"/>
      <c r="DE180" s="57"/>
      <c r="DF180" s="57"/>
      <c r="DG180" s="57"/>
    </row>
    <row r="181" customHeight="1" spans="6:111">
      <c r="F181" s="15"/>
      <c r="N181" s="15"/>
      <c r="Q181" s="15"/>
      <c r="AE181" s="63"/>
      <c r="BH181" s="50"/>
      <c r="DC181" s="57"/>
      <c r="DD181" s="57"/>
      <c r="DE181" s="57"/>
      <c r="DF181" s="57"/>
      <c r="DG181" s="57"/>
    </row>
    <row r="182" customHeight="1" spans="6:111">
      <c r="F182" s="15"/>
      <c r="N182" s="15"/>
      <c r="Q182" s="15"/>
      <c r="AE182" s="63"/>
      <c r="BH182" s="50"/>
      <c r="DC182" s="57"/>
      <c r="DD182" s="57"/>
      <c r="DE182" s="57"/>
      <c r="DF182" s="57"/>
      <c r="DG182" s="57"/>
    </row>
    <row r="183" customHeight="1" spans="6:111">
      <c r="F183" s="15"/>
      <c r="N183" s="15"/>
      <c r="Q183" s="15"/>
      <c r="AX183" s="57"/>
      <c r="AY183" s="58"/>
      <c r="AZ183" s="57"/>
      <c r="BD183" s="57"/>
      <c r="BE183" s="57"/>
      <c r="BG183" s="57"/>
      <c r="BI183" s="57"/>
      <c r="DC183" s="57"/>
      <c r="DD183" s="57"/>
      <c r="DE183" s="57"/>
      <c r="DF183" s="57"/>
      <c r="DG183" s="57"/>
    </row>
    <row r="184" customHeight="1" spans="6:111">
      <c r="F184" s="15"/>
      <c r="N184" s="15"/>
      <c r="Q184" s="15"/>
      <c r="AE184" s="63"/>
    </row>
    <row r="185" customHeight="1" spans="6:111">
      <c r="F185" s="15"/>
      <c r="N185" s="15"/>
      <c r="Q185" s="15"/>
      <c r="AE185" s="63"/>
    </row>
    <row r="186" customHeight="1" spans="6:111">
      <c r="F186" s="15"/>
      <c r="N186" s="15"/>
      <c r="Q186" s="15"/>
    </row>
    <row r="187" customHeight="1" spans="6:111">
      <c r="F187" s="15"/>
      <c r="AE187" s="63"/>
    </row>
    <row r="188" customHeight="1" spans="6:111">
      <c r="F188" s="15"/>
      <c r="AE188" s="63"/>
      <c r="BH188" s="50"/>
    </row>
    <row r="189" customHeight="1" spans="6:111">
      <c r="F189" s="15"/>
      <c r="AE189" s="63"/>
    </row>
    <row r="190" customHeight="1" spans="6:111">
      <c r="F190" s="15"/>
      <c r="AE190" s="63"/>
    </row>
    <row r="191" customHeight="1" spans="6:111">
      <c r="F191" s="15"/>
    </row>
    <row r="192" customHeight="1" spans="6:111">
      <c r="F192" s="15"/>
      <c r="AE192" s="63"/>
    </row>
    <row r="193" customHeight="1" spans="6:60">
      <c r="F193" s="15"/>
      <c r="AE193" s="63"/>
    </row>
    <row r="194" customHeight="1" spans="6:60">
      <c r="F194" s="15"/>
      <c r="AE194" s="63"/>
      <c r="BH194" s="57"/>
    </row>
    <row r="195" customHeight="1" spans="6:60">
      <c r="F195" s="15"/>
      <c r="AE195" s="63"/>
    </row>
  </sheetData>
  <mergeCells count="59">
    <mergeCell ref="D1:G1"/>
    <mergeCell ref="H1:K1"/>
    <mergeCell ref="L1:N1"/>
    <mergeCell ref="O1:Q1"/>
    <mergeCell ref="R1:Y1"/>
    <mergeCell ref="Z1:AI1"/>
    <mergeCell ref="AJ1:AQ1"/>
    <mergeCell ref="AR1:AW1"/>
    <mergeCell ref="AX1:BC1"/>
    <mergeCell ref="BD1:BV1"/>
    <mergeCell ref="BW1:CE1"/>
    <mergeCell ref="CF1:CN1"/>
    <mergeCell ref="CO1:CW1"/>
    <mergeCell ref="CX1:CZ1"/>
    <mergeCell ref="DA1:DB1"/>
    <mergeCell ref="DC1:DG1"/>
    <mergeCell ref="DH1:DJ1"/>
    <mergeCell ref="D2:E2"/>
    <mergeCell ref="H2:I2"/>
    <mergeCell ref="L2:M2"/>
    <mergeCell ref="O2:P2"/>
    <mergeCell ref="V2:Y2"/>
    <mergeCell ref="Z2:AD2"/>
    <mergeCell ref="AE2:AI2"/>
    <mergeCell ref="AJ2:AM2"/>
    <mergeCell ref="AN2:AQ2"/>
    <mergeCell ref="AR2:AT2"/>
    <mergeCell ref="AU2:AW2"/>
    <mergeCell ref="AX2:AZ2"/>
    <mergeCell ref="BA2:BC2"/>
    <mergeCell ref="BD2:BG2"/>
    <mergeCell ref="BH2:BL2"/>
    <mergeCell ref="BM2:BQ2"/>
    <mergeCell ref="BR2:BV2"/>
    <mergeCell ref="BW2:BZ2"/>
    <mergeCell ref="CA2:CE2"/>
    <mergeCell ref="CF2:CI2"/>
    <mergeCell ref="CJ2:CN2"/>
    <mergeCell ref="CO2:CR2"/>
    <mergeCell ref="CS2:CW2"/>
    <mergeCell ref="BH64:BL64"/>
    <mergeCell ref="A1:A3"/>
    <mergeCell ref="B1:B3"/>
    <mergeCell ref="C1:C3"/>
    <mergeCell ref="F2:F3"/>
    <mergeCell ref="G2:G3"/>
    <mergeCell ref="J2:J3"/>
    <mergeCell ref="K2:K3"/>
    <mergeCell ref="N2:N3"/>
    <mergeCell ref="Q2:Q3"/>
    <mergeCell ref="CX2:CX3"/>
    <mergeCell ref="CY2:CY3"/>
    <mergeCell ref="CZ2:CZ3"/>
    <mergeCell ref="DC2:DC3"/>
    <mergeCell ref="DD2:DD3"/>
    <mergeCell ref="DE2:DE3"/>
    <mergeCell ref="DF2:DF3"/>
    <mergeCell ref="DG2:DG3"/>
    <mergeCell ref="DL1:DL3"/>
  </mergeCells>
  <conditionalFormatting sqref="S2">
    <cfRule type="cellIs" dxfId="0" priority="3" operator="lessThan">
      <formula>50</formula>
    </cfRule>
  </conditionalFormatting>
  <conditionalFormatting sqref="T2">
    <cfRule type="cellIs" dxfId="0" priority="2" operator="lessThan">
      <formula>50</formula>
    </cfRule>
  </conditionalFormatting>
  <conditionalFormatting sqref="U2">
    <cfRule type="cellIs" dxfId="0" priority="1" operator="lessThan">
      <formula>50</formula>
    </cfRule>
  </conditionalFormatting>
  <conditionalFormatting sqref="AE2 V2 Z1:Z2 Z102:AC102 Z103:AD117 Z118:AC123 Z124:AD124 Z125:AC127 Z128:AD128 Z129:AC136 Z137:AD142 Z149:AD1048576 Z143:AC148 AE3:AH3 S3:AC3 R1:R3 AJ13:AM1048576 Z13:AD101">
    <cfRule type="cellIs" dxfId="0" priority="20" operator="lessThan">
      <formula>50</formula>
    </cfRule>
  </conditionalFormatting>
  <conditionalFormatting sqref="AN2 AJ3:AQ3 AJ1:AJ2">
    <cfRule type="cellIs" dxfId="0" priority="7" operator="lessThan">
      <formula>50</formula>
    </cfRule>
  </conditionalFormatting>
  <conditionalFormatting sqref="R4:Y1048576">
    <cfRule type="cellIs" dxfId="0" priority="23" operator="greaterThan">
      <formula>50</formula>
    </cfRule>
  </conditionalFormatting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32"/>
  <sheetViews>
    <sheetView workbookViewId="0">
      <pane xSplit="3" ySplit="2" topLeftCell="D132" activePane="bottomRight" state="frozen"/>
      <selection/>
      <selection pane="topRight"/>
      <selection pane="bottomLeft"/>
      <selection pane="bottomRight" activeCell="A145" sqref="A145"/>
    </sheetView>
  </sheetViews>
  <sheetFormatPr defaultColWidth="9" defaultRowHeight="30" customHeight="1"/>
  <cols>
    <col min="1" max="1" width="9" style="2"/>
    <col min="2" max="2" width="12" style="2" customWidth="1"/>
    <col min="3" max="3" width="24.5044247787611" style="2" customWidth="1"/>
    <col min="4" max="4" width="9" style="2"/>
    <col min="5" max="5" width="19" style="2" customWidth="1"/>
    <col min="6" max="6" width="13.5044247787611" style="1" customWidth="1"/>
    <col min="7" max="8" width="9" style="3"/>
    <col min="9" max="9" width="9" style="2"/>
    <col min="10" max="10" width="13.7522123893805" style="4" customWidth="1"/>
    <col min="11" max="12" width="9" style="1"/>
    <col min="13" max="38" width="9" style="2"/>
    <col min="39" max="39" width="10" style="2" customWidth="1"/>
    <col min="40" max="16384" width="9" style="2"/>
  </cols>
  <sheetData>
    <row r="1" customHeight="1" spans="1:39">
      <c r="A1" s="5" t="s">
        <v>349</v>
      </c>
      <c r="B1" s="6" t="s">
        <v>350</v>
      </c>
      <c r="C1" s="6" t="s">
        <v>351</v>
      </c>
      <c r="D1" s="6" t="s">
        <v>352</v>
      </c>
      <c r="E1" s="6" t="s">
        <v>353</v>
      </c>
      <c r="F1" s="7" t="s">
        <v>354</v>
      </c>
      <c r="G1" s="8" t="s">
        <v>355</v>
      </c>
      <c r="H1" s="8" t="s">
        <v>356</v>
      </c>
      <c r="I1" s="7" t="s">
        <v>357</v>
      </c>
      <c r="J1" s="7" t="s">
        <v>358</v>
      </c>
      <c r="K1" s="7" t="s">
        <v>359</v>
      </c>
      <c r="L1" s="7" t="s">
        <v>360</v>
      </c>
      <c r="M1" s="7" t="s">
        <v>361</v>
      </c>
      <c r="N1" s="7" t="s">
        <v>362</v>
      </c>
      <c r="O1" s="7" t="s">
        <v>363</v>
      </c>
      <c r="P1" s="7" t="s">
        <v>364</v>
      </c>
      <c r="Q1" s="7" t="s">
        <v>365</v>
      </c>
      <c r="R1" s="7" t="s">
        <v>366</v>
      </c>
      <c r="S1" s="7" t="s">
        <v>367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 t="s">
        <v>368</v>
      </c>
      <c r="AL1" s="6" t="s">
        <v>369</v>
      </c>
      <c r="AM1" s="7" t="s">
        <v>370</v>
      </c>
    </row>
    <row r="2" customHeight="1" spans="1:39">
      <c r="A2" s="9" t="s">
        <v>371</v>
      </c>
      <c r="B2" s="10"/>
      <c r="C2" s="10"/>
      <c r="D2" s="10"/>
      <c r="E2" s="10"/>
      <c r="F2" s="11"/>
      <c r="G2" s="12"/>
      <c r="H2" s="12"/>
      <c r="I2" s="11"/>
      <c r="J2" s="11"/>
      <c r="K2" s="11"/>
      <c r="L2" s="11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6"/>
      <c r="AM2" s="7"/>
    </row>
    <row r="3" customHeight="1" spans="1:39">
      <c r="A3" s="13">
        <v>20240220</v>
      </c>
      <c r="B3" s="14" t="s">
        <v>76</v>
      </c>
      <c r="C3" s="15">
        <v>20240204</v>
      </c>
      <c r="D3" s="15">
        <v>702.09</v>
      </c>
      <c r="E3" s="15" t="s">
        <v>372</v>
      </c>
      <c r="F3" s="15" t="s">
        <v>373</v>
      </c>
      <c r="G3" s="16">
        <v>0.9775</v>
      </c>
      <c r="H3" s="15"/>
      <c r="I3" s="4" t="s">
        <v>374</v>
      </c>
      <c r="J3" s="17" t="s">
        <v>375</v>
      </c>
      <c r="K3" s="1">
        <v>13.01</v>
      </c>
      <c r="M3" s="18"/>
      <c r="N3" s="18"/>
      <c r="O3" s="19"/>
      <c r="P3" s="19"/>
      <c r="Q3" s="19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8"/>
      <c r="AF3" s="19"/>
      <c r="AG3" s="19"/>
      <c r="AH3" s="19"/>
      <c r="AJ3" s="19"/>
      <c r="AK3" s="1">
        <f>K3-SUM(L3:AJ3)</f>
        <v>13.01</v>
      </c>
      <c r="AL3" s="20" t="str">
        <f>B3</f>
        <v>HW350001</v>
      </c>
      <c r="AM3" s="14"/>
    </row>
    <row r="4" customHeight="1" spans="1:39">
      <c r="A4" s="13">
        <v>20240306</v>
      </c>
      <c r="B4" s="15" t="s">
        <v>76</v>
      </c>
      <c r="C4" s="15">
        <v>20240304</v>
      </c>
      <c r="D4" s="15">
        <v>702.09</v>
      </c>
      <c r="E4" s="15" t="s">
        <v>372</v>
      </c>
      <c r="F4" s="15" t="s">
        <v>373</v>
      </c>
      <c r="G4" s="16">
        <v>0.9428</v>
      </c>
      <c r="H4" s="15"/>
      <c r="I4" s="4" t="s">
        <v>374</v>
      </c>
      <c r="J4" s="17" t="s">
        <v>375</v>
      </c>
      <c r="K4" s="1">
        <v>761.26</v>
      </c>
      <c r="M4" s="18"/>
      <c r="N4" s="18"/>
      <c r="O4" s="18"/>
      <c r="P4" s="18"/>
      <c r="Q4" s="18"/>
      <c r="R4" s="18"/>
      <c r="S4" s="18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8"/>
      <c r="AF4" s="19"/>
      <c r="AG4" s="19"/>
      <c r="AH4" s="19"/>
      <c r="AJ4" s="19"/>
      <c r="AK4" s="1">
        <v>0</v>
      </c>
      <c r="AL4" s="20" t="str">
        <f t="shared" ref="AL4:AL35" si="0">B4</f>
        <v>HW350001</v>
      </c>
      <c r="AM4" s="14"/>
    </row>
    <row r="5" customHeight="1" spans="1:39">
      <c r="A5" s="15">
        <v>20240429</v>
      </c>
      <c r="B5" s="15" t="s">
        <v>76</v>
      </c>
      <c r="C5" s="15">
        <v>20240425</v>
      </c>
      <c r="D5" s="15">
        <v>702.09</v>
      </c>
      <c r="E5" s="15" t="s">
        <v>376</v>
      </c>
      <c r="F5" s="15" t="s">
        <v>377</v>
      </c>
      <c r="G5" s="16">
        <v>0.9548</v>
      </c>
      <c r="H5" s="15"/>
      <c r="I5" s="4" t="s">
        <v>378</v>
      </c>
      <c r="J5" s="17" t="s">
        <v>375</v>
      </c>
      <c r="K5" s="1">
        <v>1316.52</v>
      </c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8"/>
      <c r="AF5" s="19"/>
      <c r="AG5" s="19"/>
      <c r="AH5" s="19"/>
      <c r="AJ5" s="19"/>
      <c r="AK5" s="1"/>
      <c r="AL5" s="20" t="str">
        <f t="shared" si="0"/>
        <v>HW350001</v>
      </c>
      <c r="AM5" s="14"/>
    </row>
    <row r="6" customHeight="1" spans="1:39">
      <c r="A6" s="15">
        <v>20240429</v>
      </c>
      <c r="B6" s="15" t="s">
        <v>82</v>
      </c>
      <c r="C6" s="15">
        <v>45404</v>
      </c>
      <c r="D6" s="15">
        <v>480.5</v>
      </c>
      <c r="E6" s="15" t="s">
        <v>379</v>
      </c>
      <c r="F6" s="15" t="s">
        <v>380</v>
      </c>
      <c r="G6" s="16">
        <v>0.9467</v>
      </c>
      <c r="H6" s="15"/>
      <c r="I6" s="4" t="s">
        <v>374</v>
      </c>
      <c r="J6" s="17" t="s">
        <v>375</v>
      </c>
      <c r="K6" s="1">
        <v>68.88</v>
      </c>
      <c r="M6" s="18"/>
      <c r="N6" s="18"/>
      <c r="O6" s="18"/>
      <c r="P6" s="18"/>
      <c r="Q6" s="18"/>
      <c r="R6" s="18"/>
      <c r="S6" s="18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8"/>
      <c r="AF6" s="19"/>
      <c r="AG6" s="19"/>
      <c r="AH6" s="19"/>
      <c r="AJ6" s="19"/>
      <c r="AK6" s="1"/>
      <c r="AL6" s="20" t="str">
        <f t="shared" si="0"/>
        <v>HW350002</v>
      </c>
      <c r="AM6" s="14"/>
    </row>
    <row r="7" s="1" customFormat="1" customHeight="1" spans="1:39">
      <c r="A7" s="1">
        <v>20240516</v>
      </c>
      <c r="B7" s="1" t="s">
        <v>85</v>
      </c>
      <c r="C7" s="1">
        <v>20240514</v>
      </c>
      <c r="D7" s="1">
        <v>437.46</v>
      </c>
      <c r="E7" s="1" t="s">
        <v>381</v>
      </c>
      <c r="F7" s="1" t="s">
        <v>382</v>
      </c>
      <c r="G7" s="21">
        <v>0.9824</v>
      </c>
      <c r="H7" s="21"/>
      <c r="I7" s="1" t="s">
        <v>374</v>
      </c>
      <c r="J7" s="4" t="s">
        <v>375</v>
      </c>
      <c r="K7" s="1">
        <v>20.36</v>
      </c>
      <c r="AK7" s="1">
        <v>0</v>
      </c>
      <c r="AL7" s="20" t="str">
        <f t="shared" si="0"/>
        <v>HW350003A</v>
      </c>
    </row>
    <row r="8" s="1" customFormat="1" customHeight="1" spans="1:39">
      <c r="A8" s="1">
        <v>20240606</v>
      </c>
      <c r="B8" s="1" t="s">
        <v>85</v>
      </c>
      <c r="C8" s="1">
        <v>20240606</v>
      </c>
      <c r="D8" s="1">
        <v>437.46</v>
      </c>
      <c r="E8" s="1" t="s">
        <v>381</v>
      </c>
      <c r="F8" s="1" t="s">
        <v>383</v>
      </c>
      <c r="G8" s="21">
        <v>0.9874</v>
      </c>
      <c r="H8" s="21"/>
      <c r="I8" s="1" t="s">
        <v>374</v>
      </c>
      <c r="J8" s="4"/>
      <c r="K8" s="1">
        <v>63.24</v>
      </c>
      <c r="AL8" s="20"/>
    </row>
    <row r="9" s="1" customFormat="1" customHeight="1" spans="1:39">
      <c r="A9" s="1">
        <v>20240618</v>
      </c>
      <c r="B9" s="1" t="s">
        <v>85</v>
      </c>
      <c r="C9" s="1">
        <v>20240618</v>
      </c>
      <c r="D9" s="1">
        <v>437.46</v>
      </c>
      <c r="E9" s="1" t="s">
        <v>381</v>
      </c>
      <c r="F9" s="1" t="s">
        <v>382</v>
      </c>
      <c r="G9" s="21">
        <v>0.9841</v>
      </c>
      <c r="H9" s="21"/>
      <c r="I9" s="1" t="s">
        <v>374</v>
      </c>
      <c r="J9" s="4" t="s">
        <v>375</v>
      </c>
      <c r="K9" s="1">
        <v>993.22</v>
      </c>
      <c r="AL9" s="20"/>
    </row>
    <row r="10" s="1" customFormat="1" customHeight="1" spans="1:39">
      <c r="A10" s="1">
        <v>20240614</v>
      </c>
      <c r="B10" s="1" t="s">
        <v>91</v>
      </c>
      <c r="C10" s="1">
        <v>20240522</v>
      </c>
      <c r="D10" s="1">
        <v>437.46</v>
      </c>
      <c r="E10" s="1" t="s">
        <v>381</v>
      </c>
      <c r="F10" s="1" t="s">
        <v>382</v>
      </c>
      <c r="G10" s="21">
        <v>0.9505</v>
      </c>
      <c r="H10" s="21"/>
      <c r="I10" s="1" t="s">
        <v>374</v>
      </c>
      <c r="J10" s="4" t="s">
        <v>375</v>
      </c>
      <c r="K10" s="1">
        <v>50.07</v>
      </c>
      <c r="AL10" s="20"/>
    </row>
    <row r="11" s="1" customFormat="1" customHeight="1" spans="1:39">
      <c r="A11" s="1">
        <v>20240701</v>
      </c>
      <c r="B11" s="1" t="s">
        <v>89</v>
      </c>
      <c r="C11" s="1" t="s">
        <v>384</v>
      </c>
      <c r="D11" s="1">
        <v>437.12</v>
      </c>
      <c r="E11" s="1" t="s">
        <v>385</v>
      </c>
      <c r="F11" s="1" t="s">
        <v>386</v>
      </c>
      <c r="G11" s="21">
        <v>0.956</v>
      </c>
      <c r="H11" s="21"/>
      <c r="I11" s="1" t="s">
        <v>374</v>
      </c>
      <c r="J11" s="4" t="s">
        <v>375</v>
      </c>
      <c r="K11" s="1">
        <v>114</v>
      </c>
      <c r="AL11" s="20"/>
    </row>
    <row r="12" s="1" customFormat="1" customHeight="1" spans="1:39">
      <c r="A12" s="1">
        <v>20240614</v>
      </c>
      <c r="B12" s="1" t="s">
        <v>93</v>
      </c>
      <c r="C12" s="1" t="s">
        <v>387</v>
      </c>
      <c r="D12" s="1">
        <v>390.2</v>
      </c>
      <c r="E12" s="1" t="s">
        <v>388</v>
      </c>
      <c r="F12" s="1" t="s">
        <v>386</v>
      </c>
      <c r="G12" s="21">
        <v>0.991</v>
      </c>
      <c r="H12" s="21"/>
      <c r="I12" s="1" t="s">
        <v>389</v>
      </c>
      <c r="J12" s="4" t="s">
        <v>375</v>
      </c>
      <c r="K12" s="1">
        <v>8.3</v>
      </c>
      <c r="AL12" s="20"/>
    </row>
    <row r="13" s="1" customFormat="1" customHeight="1" spans="1:39">
      <c r="A13" s="1">
        <v>20240614</v>
      </c>
      <c r="B13" s="1" t="s">
        <v>94</v>
      </c>
      <c r="C13" s="1" t="s">
        <v>390</v>
      </c>
      <c r="D13" s="1">
        <v>390.2</v>
      </c>
      <c r="E13" s="1" t="s">
        <v>388</v>
      </c>
      <c r="F13" s="1" t="s">
        <v>386</v>
      </c>
      <c r="G13" s="21">
        <v>1</v>
      </c>
      <c r="H13" s="21"/>
      <c r="I13" s="1" t="s">
        <v>389</v>
      </c>
      <c r="J13" s="4" t="s">
        <v>375</v>
      </c>
      <c r="K13" s="1">
        <v>19.2</v>
      </c>
      <c r="AL13" s="20"/>
    </row>
    <row r="14" s="1" customFormat="1" customHeight="1" spans="1:39">
      <c r="A14" s="1">
        <v>20250108</v>
      </c>
      <c r="B14" s="1" t="s">
        <v>97</v>
      </c>
      <c r="C14" s="1" t="s">
        <v>391</v>
      </c>
      <c r="D14" s="1">
        <v>330.36</v>
      </c>
      <c r="E14" s="1" t="s">
        <v>392</v>
      </c>
      <c r="F14" s="1" t="s">
        <v>393</v>
      </c>
      <c r="G14" s="21">
        <v>0.9689</v>
      </c>
      <c r="H14" s="21"/>
      <c r="I14" s="1" t="s">
        <v>374</v>
      </c>
      <c r="J14" s="4" t="s">
        <v>394</v>
      </c>
      <c r="K14" s="1">
        <v>93</v>
      </c>
      <c r="AL14" s="20"/>
    </row>
    <row r="15" s="1" customFormat="1" customHeight="1" spans="1:39">
      <c r="A15" s="1">
        <v>20250108</v>
      </c>
      <c r="B15" s="1" t="s">
        <v>99</v>
      </c>
      <c r="C15" s="1" t="s">
        <v>395</v>
      </c>
      <c r="D15" s="1">
        <v>531.55</v>
      </c>
      <c r="E15" s="1" t="s">
        <v>396</v>
      </c>
      <c r="F15" s="1" t="s">
        <v>397</v>
      </c>
      <c r="G15" s="21">
        <v>0.978</v>
      </c>
      <c r="H15" s="21"/>
      <c r="I15" s="1" t="s">
        <v>374</v>
      </c>
      <c r="J15" s="4" t="s">
        <v>394</v>
      </c>
      <c r="K15" s="1">
        <v>640</v>
      </c>
      <c r="AL15" s="20"/>
    </row>
    <row r="16" customHeight="1" spans="1:39">
      <c r="AL16" s="20"/>
    </row>
    <row r="17" customHeight="1" spans="1:39">
      <c r="AL17" s="20"/>
    </row>
    <row r="18" customHeight="1" spans="1:39">
      <c r="AL18" s="20">
        <f t="shared" si="0"/>
        <v>0</v>
      </c>
    </row>
    <row r="19" customHeight="1" spans="1:39">
      <c r="A19" s="13">
        <v>20240313</v>
      </c>
      <c r="B19" s="15" t="s">
        <v>101</v>
      </c>
      <c r="C19" s="15" t="s">
        <v>398</v>
      </c>
      <c r="D19" s="15">
        <v>778.2</v>
      </c>
      <c r="E19" s="15" t="s">
        <v>399</v>
      </c>
      <c r="F19" s="15" t="s">
        <v>400</v>
      </c>
      <c r="G19" s="16">
        <v>0.977</v>
      </c>
      <c r="H19" s="15"/>
      <c r="I19" s="4" t="s">
        <v>374</v>
      </c>
      <c r="J19" s="17" t="s">
        <v>375</v>
      </c>
      <c r="K19" s="1">
        <v>10.2</v>
      </c>
      <c r="L19" s="2"/>
      <c r="M19" s="19"/>
      <c r="N19" s="18"/>
      <c r="O19" s="19"/>
      <c r="P19" s="19"/>
      <c r="Q19" s="22"/>
      <c r="R19" s="18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8"/>
      <c r="AF19" s="19"/>
      <c r="AG19" s="19"/>
      <c r="AH19" s="19"/>
      <c r="AJ19" s="19"/>
      <c r="AK19" s="1"/>
      <c r="AL19" s="20" t="str">
        <f t="shared" si="0"/>
        <v>HW351002</v>
      </c>
      <c r="AM19" s="14"/>
    </row>
    <row r="20" customHeight="1" spans="1:39">
      <c r="A20" s="13">
        <v>20240313</v>
      </c>
      <c r="B20" s="15" t="s">
        <v>105</v>
      </c>
      <c r="C20" s="15" t="s">
        <v>401</v>
      </c>
      <c r="D20" s="15">
        <v>715.2</v>
      </c>
      <c r="E20" s="15" t="s">
        <v>402</v>
      </c>
      <c r="F20" s="15" t="s">
        <v>403</v>
      </c>
      <c r="G20" s="16">
        <v>0.914</v>
      </c>
      <c r="H20" s="15"/>
      <c r="I20" s="4" t="s">
        <v>404</v>
      </c>
      <c r="J20" s="17" t="s">
        <v>375</v>
      </c>
      <c r="K20" s="1">
        <v>3.2</v>
      </c>
      <c r="L20" s="2"/>
      <c r="M20" s="19"/>
      <c r="N20" s="18"/>
      <c r="O20" s="19"/>
      <c r="P20" s="19"/>
      <c r="Q20" s="22"/>
      <c r="R20" s="18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8"/>
      <c r="AF20" s="19"/>
      <c r="AG20" s="19"/>
      <c r="AH20" s="19"/>
      <c r="AJ20" s="19"/>
      <c r="AK20" s="1"/>
      <c r="AL20" s="20" t="str">
        <f t="shared" si="0"/>
        <v>HW351003</v>
      </c>
      <c r="AM20" s="14"/>
    </row>
    <row r="21" customHeight="1" spans="1:39">
      <c r="A21" s="15">
        <v>20240429</v>
      </c>
      <c r="B21" s="15" t="s">
        <v>108</v>
      </c>
      <c r="C21" s="15" t="s">
        <v>405</v>
      </c>
      <c r="D21" s="15">
        <v>781.21</v>
      </c>
      <c r="E21" s="15" t="s">
        <v>406</v>
      </c>
      <c r="F21" s="15" t="s">
        <v>407</v>
      </c>
      <c r="G21" s="16">
        <v>0.929</v>
      </c>
      <c r="H21" s="15"/>
      <c r="I21" s="4" t="s">
        <v>374</v>
      </c>
      <c r="J21" s="17" t="s">
        <v>375</v>
      </c>
      <c r="K21" s="1">
        <v>57.1</v>
      </c>
      <c r="L21" s="2"/>
      <c r="M21" s="19"/>
      <c r="N21" s="18"/>
      <c r="O21" s="19"/>
      <c r="P21" s="19"/>
      <c r="Q21" s="22"/>
      <c r="R21" s="18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8"/>
      <c r="AF21" s="19"/>
      <c r="AG21" s="19"/>
      <c r="AH21" s="19"/>
      <c r="AJ21" s="19"/>
      <c r="AK21" s="1"/>
      <c r="AL21" s="20"/>
      <c r="AM21" s="14"/>
    </row>
    <row r="22" customHeight="1" spans="1:39">
      <c r="A22" s="13">
        <v>20240325</v>
      </c>
      <c r="B22" s="15" t="s">
        <v>111</v>
      </c>
      <c r="C22" s="15" t="s">
        <v>408</v>
      </c>
      <c r="D22" s="15">
        <v>777.18</v>
      </c>
      <c r="E22" s="15" t="s">
        <v>409</v>
      </c>
      <c r="F22" s="15" t="s">
        <v>410</v>
      </c>
      <c r="G22" s="16">
        <v>0.984</v>
      </c>
      <c r="H22" s="15"/>
      <c r="I22" s="4" t="s">
        <v>374</v>
      </c>
      <c r="J22" s="17" t="s">
        <v>375</v>
      </c>
      <c r="K22" s="1">
        <v>8.3</v>
      </c>
      <c r="L22" s="2"/>
      <c r="M22" s="19"/>
      <c r="N22" s="18"/>
      <c r="O22" s="19"/>
      <c r="P22" s="19"/>
      <c r="Q22" s="22"/>
      <c r="R22" s="18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8"/>
      <c r="AF22" s="19"/>
      <c r="AG22" s="19"/>
      <c r="AH22" s="19"/>
      <c r="AJ22" s="19"/>
      <c r="AK22" s="1"/>
      <c r="AL22" s="20" t="str">
        <f t="shared" si="0"/>
        <v>HW351006</v>
      </c>
      <c r="AM22" s="14"/>
    </row>
    <row r="23" customHeight="1" spans="1:39">
      <c r="A23" s="15"/>
      <c r="B23" s="15"/>
      <c r="C23" s="15"/>
      <c r="D23" s="15"/>
      <c r="E23" s="15"/>
      <c r="F23" s="15"/>
      <c r="G23" s="16"/>
      <c r="H23" s="15"/>
      <c r="I23" s="4"/>
      <c r="J23" s="17"/>
      <c r="L23" s="2"/>
      <c r="M23" s="19"/>
      <c r="N23" s="18"/>
      <c r="O23" s="19"/>
      <c r="P23" s="19"/>
      <c r="Q23" s="22"/>
      <c r="R23" s="18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8"/>
      <c r="AF23" s="19"/>
      <c r="AG23" s="19"/>
      <c r="AH23" s="19"/>
      <c r="AJ23" s="19"/>
      <c r="AK23" s="1"/>
      <c r="AL23" s="20">
        <f t="shared" si="0"/>
        <v>0</v>
      </c>
      <c r="AM23" s="14"/>
    </row>
    <row r="24" customHeight="1" spans="1:39">
      <c r="A24" s="15"/>
      <c r="B24" s="15"/>
      <c r="C24" s="15"/>
      <c r="D24" s="15"/>
      <c r="E24" s="15"/>
      <c r="F24" s="15"/>
      <c r="G24" s="16"/>
      <c r="H24" s="15"/>
      <c r="I24" s="4"/>
      <c r="J24" s="17"/>
      <c r="L24" s="2"/>
      <c r="M24" s="19"/>
      <c r="N24" s="18"/>
      <c r="O24" s="19"/>
      <c r="P24" s="19"/>
      <c r="Q24" s="22"/>
      <c r="R24" s="18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8"/>
      <c r="AF24" s="19"/>
      <c r="AG24" s="19"/>
      <c r="AH24" s="19"/>
      <c r="AJ24" s="19"/>
      <c r="AK24" s="1"/>
      <c r="AL24" s="20">
        <f t="shared" si="0"/>
        <v>0</v>
      </c>
      <c r="AM24" s="14"/>
    </row>
    <row r="25" customHeight="1" spans="1:39">
      <c r="A25" s="15">
        <v>20240429</v>
      </c>
      <c r="B25" s="15" t="s">
        <v>115</v>
      </c>
      <c r="C25" s="15" t="s">
        <v>411</v>
      </c>
      <c r="D25" s="15">
        <v>702.09</v>
      </c>
      <c r="E25" s="15" t="s">
        <v>412</v>
      </c>
      <c r="F25" s="15" t="s">
        <v>373</v>
      </c>
      <c r="G25" s="16">
        <v>0.9905</v>
      </c>
      <c r="H25" s="15"/>
      <c r="I25" s="4" t="s">
        <v>374</v>
      </c>
      <c r="J25" s="17" t="s">
        <v>375</v>
      </c>
      <c r="K25" s="1">
        <v>35</v>
      </c>
      <c r="L25" s="2"/>
      <c r="M25" s="19"/>
      <c r="N25" s="18"/>
      <c r="O25" s="19"/>
      <c r="P25" s="19"/>
      <c r="Q25" s="22"/>
      <c r="R25" s="18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8"/>
      <c r="AF25" s="19"/>
      <c r="AG25" s="19"/>
      <c r="AH25" s="19"/>
      <c r="AJ25" s="19"/>
      <c r="AK25" s="1"/>
      <c r="AL25" s="20" t="str">
        <f t="shared" si="0"/>
        <v>HW352003</v>
      </c>
      <c r="AM25" s="14"/>
    </row>
    <row r="26" customHeight="1" spans="1:39">
      <c r="A26" s="13">
        <v>20240313</v>
      </c>
      <c r="B26" s="15" t="s">
        <v>118</v>
      </c>
      <c r="C26" s="15" t="s">
        <v>413</v>
      </c>
      <c r="D26" s="15">
        <v>702.09</v>
      </c>
      <c r="E26" s="15" t="s">
        <v>412</v>
      </c>
      <c r="F26" s="15" t="s">
        <v>373</v>
      </c>
      <c r="G26" s="16">
        <v>0.9904</v>
      </c>
      <c r="H26" s="15"/>
      <c r="I26" s="4" t="s">
        <v>374</v>
      </c>
      <c r="J26" s="17" t="s">
        <v>375</v>
      </c>
      <c r="K26" s="1">
        <v>4.5</v>
      </c>
      <c r="M26" s="19"/>
      <c r="N26" s="18"/>
      <c r="O26" s="19"/>
      <c r="P26" s="19"/>
      <c r="Q26" s="19"/>
      <c r="R26" s="18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8"/>
      <c r="AF26" s="19"/>
      <c r="AG26" s="19"/>
      <c r="AH26" s="19"/>
      <c r="AJ26" s="19"/>
      <c r="AK26" s="1"/>
      <c r="AL26" s="20" t="str">
        <f t="shared" si="0"/>
        <v>HW352004</v>
      </c>
      <c r="AM26" s="14"/>
    </row>
    <row r="27" customHeight="1" spans="1:39">
      <c r="A27" s="13">
        <v>20240329</v>
      </c>
      <c r="B27" s="15" t="s">
        <v>118</v>
      </c>
      <c r="C27" s="15" t="s">
        <v>414</v>
      </c>
      <c r="D27" s="15">
        <v>702.09</v>
      </c>
      <c r="E27" s="15" t="s">
        <v>412</v>
      </c>
      <c r="F27" s="15" t="s">
        <v>373</v>
      </c>
      <c r="G27" s="16">
        <v>0.9756</v>
      </c>
      <c r="H27" s="15"/>
      <c r="I27" s="4" t="s">
        <v>374</v>
      </c>
      <c r="J27" s="17" t="s">
        <v>375</v>
      </c>
      <c r="K27" s="1">
        <v>25</v>
      </c>
      <c r="M27" s="19"/>
      <c r="N27" s="18"/>
      <c r="O27" s="19"/>
      <c r="P27" s="19"/>
      <c r="Q27" s="19"/>
      <c r="R27" s="18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8"/>
      <c r="AF27" s="19"/>
      <c r="AG27" s="19"/>
      <c r="AH27" s="19"/>
      <c r="AJ27" s="19"/>
      <c r="AK27" s="1"/>
      <c r="AL27" s="20"/>
      <c r="AM27" s="14"/>
    </row>
    <row r="28" customHeight="1" spans="1:39">
      <c r="A28" s="13">
        <v>20240313</v>
      </c>
      <c r="B28" s="15" t="s">
        <v>121</v>
      </c>
      <c r="C28" s="15" t="s">
        <v>415</v>
      </c>
      <c r="D28" s="15">
        <v>711.1</v>
      </c>
      <c r="E28" s="15" t="s">
        <v>416</v>
      </c>
      <c r="F28" s="15" t="s">
        <v>417</v>
      </c>
      <c r="G28" s="16">
        <v>1</v>
      </c>
      <c r="H28" s="15"/>
      <c r="I28" s="4" t="s">
        <v>374</v>
      </c>
      <c r="J28" s="17" t="s">
        <v>375</v>
      </c>
      <c r="K28" s="1">
        <v>20</v>
      </c>
      <c r="M28" s="19"/>
      <c r="N28" s="18"/>
      <c r="O28" s="19"/>
      <c r="P28" s="19"/>
      <c r="Q28" s="19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8"/>
      <c r="AF28" s="19"/>
      <c r="AG28" s="19"/>
      <c r="AH28" s="19"/>
      <c r="AJ28" s="19"/>
      <c r="AK28" s="1"/>
      <c r="AL28" s="20" t="str">
        <f t="shared" si="0"/>
        <v>HW352007</v>
      </c>
      <c r="AM28" s="14"/>
    </row>
    <row r="29" customHeight="1" spans="1:39">
      <c r="A29" s="15">
        <v>20240429</v>
      </c>
      <c r="B29" s="15" t="s">
        <v>124</v>
      </c>
      <c r="C29" s="15" t="s">
        <v>418</v>
      </c>
      <c r="D29" s="15">
        <v>788.2</v>
      </c>
      <c r="E29" s="15" t="s">
        <v>419</v>
      </c>
      <c r="F29" s="15" t="s">
        <v>420</v>
      </c>
      <c r="G29" s="16">
        <v>0.9797</v>
      </c>
      <c r="H29" s="15"/>
      <c r="I29" s="4" t="s">
        <v>374</v>
      </c>
      <c r="J29" s="17" t="s">
        <v>375</v>
      </c>
      <c r="K29" s="1">
        <v>33</v>
      </c>
      <c r="M29" s="19"/>
      <c r="N29" s="18"/>
      <c r="O29" s="19"/>
      <c r="P29" s="19"/>
      <c r="Q29" s="19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8"/>
      <c r="AF29" s="19"/>
      <c r="AG29" s="19"/>
      <c r="AH29" s="19"/>
      <c r="AJ29" s="19"/>
      <c r="AK29" s="1"/>
      <c r="AL29" s="20" t="str">
        <f t="shared" si="0"/>
        <v>HW352010</v>
      </c>
      <c r="AM29" s="14"/>
    </row>
    <row r="30" customHeight="1" spans="1:39">
      <c r="A30" s="15">
        <v>20240429</v>
      </c>
      <c r="B30" s="15" t="s">
        <v>126</v>
      </c>
      <c r="C30" s="15" t="s">
        <v>421</v>
      </c>
      <c r="D30" s="15">
        <v>779.19</v>
      </c>
      <c r="E30" s="15" t="s">
        <v>422</v>
      </c>
      <c r="F30" s="15" t="s">
        <v>423</v>
      </c>
      <c r="G30" s="16">
        <v>0.998</v>
      </c>
      <c r="H30" s="15"/>
      <c r="I30" s="4" t="s">
        <v>374</v>
      </c>
      <c r="J30" s="17" t="s">
        <v>375</v>
      </c>
      <c r="K30" s="1">
        <v>20</v>
      </c>
      <c r="M30" s="19"/>
      <c r="N30" s="18"/>
      <c r="O30" s="19"/>
      <c r="P30" s="19"/>
      <c r="Q30" s="19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8"/>
      <c r="AF30" s="19"/>
      <c r="AG30" s="19"/>
      <c r="AH30" s="19"/>
      <c r="AJ30" s="19"/>
      <c r="AK30" s="1"/>
      <c r="AL30" s="20" t="str">
        <f t="shared" si="0"/>
        <v>HW352011</v>
      </c>
      <c r="AM30" s="14"/>
    </row>
    <row r="31" customHeight="1" spans="1:39">
      <c r="A31" s="15"/>
      <c r="B31" s="15"/>
      <c r="C31" s="15"/>
      <c r="D31" s="15"/>
      <c r="E31" s="15"/>
      <c r="F31" s="15"/>
      <c r="G31" s="16"/>
      <c r="H31" s="15"/>
      <c r="I31" s="4"/>
      <c r="J31" s="17"/>
      <c r="M31" s="19"/>
      <c r="N31" s="18"/>
      <c r="O31" s="19"/>
      <c r="P31" s="19"/>
      <c r="Q31" s="19"/>
      <c r="R31" s="18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8"/>
      <c r="AF31" s="19"/>
      <c r="AG31" s="19"/>
      <c r="AH31" s="19"/>
      <c r="AJ31" s="19"/>
      <c r="AK31" s="1"/>
      <c r="AL31" s="20"/>
      <c r="AM31" s="14"/>
    </row>
    <row r="32" customHeight="1" spans="1:39">
      <c r="A32" s="15"/>
      <c r="B32" s="15"/>
      <c r="C32" s="15"/>
      <c r="D32" s="15"/>
      <c r="E32" s="15"/>
      <c r="F32" s="15"/>
      <c r="G32" s="16"/>
      <c r="H32" s="15"/>
      <c r="I32" s="4"/>
      <c r="J32" s="17"/>
      <c r="M32" s="19"/>
      <c r="N32" s="18"/>
      <c r="O32" s="19"/>
      <c r="P32" s="19"/>
      <c r="Q32" s="19"/>
      <c r="R32" s="18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8"/>
      <c r="AF32" s="19"/>
      <c r="AG32" s="19"/>
      <c r="AH32" s="19"/>
      <c r="AJ32" s="19"/>
      <c r="AK32" s="1"/>
      <c r="AL32" s="20"/>
      <c r="AM32" s="14"/>
    </row>
    <row r="33" customHeight="1" spans="1:39">
      <c r="A33" s="15">
        <v>20240429</v>
      </c>
      <c r="B33" s="15" t="s">
        <v>128</v>
      </c>
      <c r="C33" s="15" t="s">
        <v>424</v>
      </c>
      <c r="D33" s="15">
        <v>736.08</v>
      </c>
      <c r="E33" s="15" t="s">
        <v>425</v>
      </c>
      <c r="F33" s="15" t="s">
        <v>426</v>
      </c>
      <c r="G33" s="16">
        <v>0.987</v>
      </c>
      <c r="H33" s="15"/>
      <c r="I33" s="4" t="s">
        <v>374</v>
      </c>
      <c r="J33" s="17" t="s">
        <v>375</v>
      </c>
      <c r="K33" s="1">
        <v>17.5</v>
      </c>
      <c r="M33" s="19"/>
      <c r="N33" s="18"/>
      <c r="O33" s="19"/>
      <c r="P33" s="19"/>
      <c r="Q33" s="19"/>
      <c r="R33" s="18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8"/>
      <c r="AF33" s="19"/>
      <c r="AG33" s="19"/>
      <c r="AH33" s="19"/>
      <c r="AJ33" s="19"/>
      <c r="AK33" s="1"/>
      <c r="AL33" s="20" t="str">
        <f t="shared" si="0"/>
        <v>HW354002</v>
      </c>
      <c r="AM33" s="14"/>
    </row>
    <row r="34" customHeight="1" spans="1:39">
      <c r="A34" s="13">
        <v>20240313</v>
      </c>
      <c r="B34" s="15" t="s">
        <v>130</v>
      </c>
      <c r="C34" s="15">
        <v>20240304</v>
      </c>
      <c r="D34" s="15">
        <v>699.2</v>
      </c>
      <c r="E34" s="15" t="s">
        <v>427</v>
      </c>
      <c r="F34" s="15" t="s">
        <v>428</v>
      </c>
      <c r="G34" s="16">
        <v>0.9524</v>
      </c>
      <c r="H34" s="15"/>
      <c r="I34" s="4" t="s">
        <v>374</v>
      </c>
      <c r="J34" s="17" t="s">
        <v>375</v>
      </c>
      <c r="K34" s="1">
        <v>12.27</v>
      </c>
      <c r="M34" s="18"/>
      <c r="N34" s="18"/>
      <c r="O34" s="18"/>
      <c r="P34" s="18"/>
      <c r="Q34" s="18"/>
      <c r="R34" s="18"/>
      <c r="S34" s="19"/>
      <c r="T34" s="18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8"/>
      <c r="AF34" s="19"/>
      <c r="AG34" s="19"/>
      <c r="AH34" s="19"/>
      <c r="AJ34" s="19"/>
      <c r="AK34" s="1"/>
      <c r="AL34" s="20" t="str">
        <f t="shared" si="0"/>
        <v>HW354003</v>
      </c>
      <c r="AM34" s="14"/>
    </row>
    <row r="35" customHeight="1" spans="1:39">
      <c r="A35" s="13">
        <v>20240313</v>
      </c>
      <c r="B35" s="15" t="s">
        <v>132</v>
      </c>
      <c r="C35" s="15">
        <v>202403011</v>
      </c>
      <c r="D35" s="15">
        <v>699.09</v>
      </c>
      <c r="E35" s="15" t="s">
        <v>427</v>
      </c>
      <c r="F35" s="15" t="s">
        <v>429</v>
      </c>
      <c r="G35" s="16">
        <v>0.9842</v>
      </c>
      <c r="H35" s="15"/>
      <c r="I35" s="4" t="s">
        <v>374</v>
      </c>
      <c r="J35" s="17" t="s">
        <v>375</v>
      </c>
      <c r="K35" s="1">
        <v>1.86</v>
      </c>
      <c r="M35" s="19"/>
      <c r="N35" s="18"/>
      <c r="O35" s="19"/>
      <c r="P35" s="19"/>
      <c r="Q35" s="19"/>
      <c r="R35" s="18"/>
      <c r="S35" s="18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8"/>
      <c r="AF35" s="19"/>
      <c r="AG35" s="19"/>
      <c r="AH35" s="19"/>
      <c r="AJ35" s="19"/>
      <c r="AK35" s="1"/>
      <c r="AL35" s="20" t="str">
        <f t="shared" si="0"/>
        <v>HW354003-BP</v>
      </c>
      <c r="AM35" s="14"/>
    </row>
    <row r="36" customHeight="1" spans="1:39">
      <c r="A36" s="15"/>
      <c r="B36" s="15"/>
      <c r="C36" s="15"/>
      <c r="D36" s="15"/>
      <c r="E36" s="15"/>
      <c r="F36" s="15"/>
      <c r="G36" s="16"/>
      <c r="H36" s="15"/>
      <c r="I36" s="4"/>
      <c r="J36" s="17"/>
      <c r="M36" s="19"/>
      <c r="N36" s="18"/>
      <c r="O36" s="19"/>
      <c r="P36" s="19"/>
      <c r="Q36" s="19"/>
      <c r="R36" s="18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8"/>
      <c r="AF36" s="19"/>
      <c r="AG36" s="19"/>
      <c r="AH36" s="19"/>
      <c r="AJ36" s="19"/>
      <c r="AK36" s="1"/>
      <c r="AL36" s="20"/>
      <c r="AM36" s="14"/>
    </row>
    <row r="37" customHeight="1" spans="1:39">
      <c r="A37" s="15"/>
      <c r="B37" s="15"/>
      <c r="C37" s="15"/>
      <c r="D37" s="15"/>
      <c r="E37" s="15"/>
      <c r="F37" s="15"/>
      <c r="G37" s="16"/>
      <c r="H37" s="15"/>
      <c r="I37" s="4"/>
      <c r="J37" s="17"/>
      <c r="M37" s="19"/>
      <c r="N37" s="18"/>
      <c r="O37" s="19"/>
      <c r="P37" s="19"/>
      <c r="Q37" s="19"/>
      <c r="R37" s="18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8"/>
      <c r="AF37" s="19"/>
      <c r="AG37" s="19"/>
      <c r="AH37" s="19"/>
      <c r="AJ37" s="19"/>
      <c r="AK37" s="1"/>
      <c r="AL37" s="20"/>
      <c r="AM37" s="14"/>
    </row>
    <row r="38" customHeight="1" spans="1:39">
      <c r="A38" s="15">
        <v>20240429</v>
      </c>
      <c r="B38" s="15" t="s">
        <v>134</v>
      </c>
      <c r="C38" s="15">
        <v>20240426</v>
      </c>
      <c r="D38" s="15">
        <v>509.54</v>
      </c>
      <c r="E38" s="15" t="s">
        <v>430</v>
      </c>
      <c r="F38" s="15" t="s">
        <v>431</v>
      </c>
      <c r="G38" s="16">
        <v>0.9612</v>
      </c>
      <c r="H38" s="15"/>
      <c r="I38" s="4" t="s">
        <v>374</v>
      </c>
      <c r="J38" s="17" t="s">
        <v>375</v>
      </c>
      <c r="K38" s="1">
        <v>36.54</v>
      </c>
      <c r="M38" s="19"/>
      <c r="N38" s="18"/>
      <c r="O38" s="19"/>
      <c r="P38" s="19"/>
      <c r="Q38" s="19"/>
      <c r="R38" s="18"/>
      <c r="S38" s="19"/>
      <c r="T38" s="18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8"/>
      <c r="AF38" s="19"/>
      <c r="AG38" s="19"/>
      <c r="AH38" s="19"/>
      <c r="AJ38" s="19"/>
      <c r="AK38" s="1"/>
      <c r="AL38" s="20"/>
      <c r="AM38" s="14"/>
    </row>
    <row r="39" customHeight="1" spans="1:39">
      <c r="A39" s="15">
        <v>20240429</v>
      </c>
      <c r="B39" s="15" t="s">
        <v>137</v>
      </c>
      <c r="C39" s="15">
        <v>20240426</v>
      </c>
      <c r="D39" s="15">
        <v>509.54</v>
      </c>
      <c r="E39" s="15" t="s">
        <v>430</v>
      </c>
      <c r="F39" s="15" t="s">
        <v>431</v>
      </c>
      <c r="G39" s="16">
        <v>0.9949</v>
      </c>
      <c r="H39" s="15"/>
      <c r="I39" s="4" t="s">
        <v>374</v>
      </c>
      <c r="J39" s="17" t="s">
        <v>375</v>
      </c>
      <c r="K39" s="1">
        <v>9.85</v>
      </c>
      <c r="M39" s="19"/>
      <c r="N39" s="18"/>
      <c r="O39" s="19"/>
      <c r="P39" s="19"/>
      <c r="Q39" s="19"/>
      <c r="R39" s="18"/>
      <c r="S39" s="19"/>
      <c r="T39" s="18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8"/>
      <c r="AF39" s="19"/>
      <c r="AG39" s="19"/>
      <c r="AH39" s="19"/>
      <c r="AJ39" s="19"/>
      <c r="AK39" s="1"/>
      <c r="AL39" s="20"/>
      <c r="AM39" s="14"/>
    </row>
    <row r="40" customHeight="1" spans="1:39">
      <c r="A40" s="15">
        <v>20240429</v>
      </c>
      <c r="B40" s="15" t="s">
        <v>139</v>
      </c>
      <c r="C40" s="15">
        <v>20240426</v>
      </c>
      <c r="D40" s="15">
        <v>509.54</v>
      </c>
      <c r="E40" s="15" t="s">
        <v>430</v>
      </c>
      <c r="F40" s="15" t="s">
        <v>431</v>
      </c>
      <c r="G40" s="16">
        <v>0.9275</v>
      </c>
      <c r="H40" s="15"/>
      <c r="I40" s="4" t="s">
        <v>374</v>
      </c>
      <c r="J40" s="17" t="s">
        <v>375</v>
      </c>
      <c r="K40" s="1">
        <v>7.02</v>
      </c>
      <c r="M40" s="19"/>
      <c r="N40" s="18"/>
      <c r="O40" s="19"/>
      <c r="P40" s="19"/>
      <c r="Q40" s="19"/>
      <c r="R40" s="18"/>
      <c r="S40" s="18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8"/>
      <c r="AF40" s="19"/>
      <c r="AG40" s="19"/>
      <c r="AH40" s="19"/>
      <c r="AJ40" s="19"/>
      <c r="AK40" s="1"/>
      <c r="AL40" s="20"/>
      <c r="AM40" s="14"/>
    </row>
    <row r="41" customHeight="1" spans="1:39">
      <c r="A41" s="15">
        <v>20240429</v>
      </c>
      <c r="B41" s="15" t="s">
        <v>140</v>
      </c>
      <c r="C41" s="15">
        <v>20240426</v>
      </c>
      <c r="D41" s="15">
        <v>509.54</v>
      </c>
      <c r="E41" s="15" t="s">
        <v>430</v>
      </c>
      <c r="F41" s="15" t="s">
        <v>431</v>
      </c>
      <c r="G41" s="16">
        <v>0.9697</v>
      </c>
      <c r="H41" s="15"/>
      <c r="I41" s="4" t="s">
        <v>374</v>
      </c>
      <c r="J41" s="17" t="s">
        <v>375</v>
      </c>
      <c r="K41" s="1">
        <v>2.66</v>
      </c>
      <c r="M41" s="19"/>
      <c r="N41" s="18"/>
      <c r="O41" s="19"/>
      <c r="P41" s="19"/>
      <c r="Q41" s="19"/>
      <c r="R41" s="18"/>
      <c r="S41" s="18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8"/>
      <c r="AF41" s="19"/>
      <c r="AG41" s="19"/>
      <c r="AH41" s="19"/>
      <c r="AJ41" s="19"/>
      <c r="AK41" s="1"/>
      <c r="AL41" s="20"/>
      <c r="AM41" s="14"/>
    </row>
    <row r="42" customHeight="1" spans="1:39">
      <c r="A42" s="15">
        <v>20241029</v>
      </c>
      <c r="B42" s="15" t="s">
        <v>141</v>
      </c>
      <c r="C42" s="15">
        <v>20241029</v>
      </c>
      <c r="D42" s="15">
        <v>462.47</v>
      </c>
      <c r="E42" s="15" t="s">
        <v>432</v>
      </c>
      <c r="F42" s="15" t="s">
        <v>433</v>
      </c>
      <c r="G42" s="16">
        <v>0.9392</v>
      </c>
      <c r="H42" s="15"/>
      <c r="I42" s="4" t="s">
        <v>434</v>
      </c>
      <c r="J42" s="17" t="s">
        <v>375</v>
      </c>
      <c r="K42" s="1">
        <v>5.51</v>
      </c>
      <c r="M42" s="19"/>
      <c r="N42" s="18"/>
      <c r="O42" s="19"/>
      <c r="P42" s="19"/>
      <c r="Q42" s="19"/>
      <c r="R42" s="18"/>
      <c r="S42" s="18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8"/>
      <c r="AF42" s="19"/>
      <c r="AG42" s="19"/>
      <c r="AH42" s="19"/>
      <c r="AJ42" s="19"/>
      <c r="AK42" s="1"/>
      <c r="AL42" s="20"/>
      <c r="AM42" s="14"/>
    </row>
    <row r="43" customHeight="1" spans="1:39">
      <c r="A43" s="15">
        <v>20250108</v>
      </c>
      <c r="B43" s="15" t="s">
        <v>143</v>
      </c>
      <c r="C43" s="15" t="s">
        <v>435</v>
      </c>
      <c r="D43" s="15">
        <v>453.46</v>
      </c>
      <c r="E43" s="15" t="s">
        <v>436</v>
      </c>
      <c r="F43" s="15" t="s">
        <v>437</v>
      </c>
      <c r="G43" s="16">
        <v>0.9579</v>
      </c>
      <c r="H43" s="15"/>
      <c r="I43" s="4" t="s">
        <v>404</v>
      </c>
      <c r="J43" s="17" t="s">
        <v>394</v>
      </c>
      <c r="K43" s="1">
        <v>39</v>
      </c>
      <c r="M43" s="19"/>
      <c r="N43" s="18"/>
      <c r="O43" s="19"/>
      <c r="P43" s="19"/>
      <c r="Q43" s="19"/>
      <c r="R43" s="18"/>
      <c r="S43" s="18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8"/>
      <c r="AF43" s="19"/>
      <c r="AG43" s="19"/>
      <c r="AH43" s="19"/>
      <c r="AJ43" s="19"/>
      <c r="AK43" s="1"/>
      <c r="AL43" s="20"/>
      <c r="AM43" s="14"/>
    </row>
    <row r="44" customHeight="1" spans="1:39">
      <c r="A44" s="15">
        <v>20250108</v>
      </c>
      <c r="B44" s="15" t="s">
        <v>145</v>
      </c>
      <c r="C44" s="15">
        <v>20250102</v>
      </c>
      <c r="D44" s="15">
        <v>467.49</v>
      </c>
      <c r="E44" s="15" t="s">
        <v>438</v>
      </c>
      <c r="F44" s="15" t="s">
        <v>439</v>
      </c>
      <c r="G44" s="16">
        <v>0.9702</v>
      </c>
      <c r="H44" s="15"/>
      <c r="I44" s="4" t="s">
        <v>374</v>
      </c>
      <c r="J44" s="17" t="s">
        <v>394</v>
      </c>
      <c r="K44" s="1">
        <v>15.19</v>
      </c>
      <c r="M44" s="19"/>
      <c r="N44" s="18"/>
      <c r="O44" s="19"/>
      <c r="P44" s="19"/>
      <c r="Q44" s="19"/>
      <c r="R44" s="18"/>
      <c r="S44" s="18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8"/>
      <c r="AF44" s="19"/>
      <c r="AG44" s="19"/>
      <c r="AH44" s="19"/>
      <c r="AJ44" s="19"/>
      <c r="AK44" s="1"/>
      <c r="AL44" s="20"/>
      <c r="AM44" s="14"/>
    </row>
    <row r="45" customHeight="1" spans="1:39">
      <c r="A45" s="15">
        <v>20241119</v>
      </c>
      <c r="B45" s="15" t="s">
        <v>147</v>
      </c>
      <c r="C45" s="15" t="s">
        <v>440</v>
      </c>
      <c r="D45" s="15">
        <v>450.46</v>
      </c>
      <c r="E45" s="15" t="s">
        <v>441</v>
      </c>
      <c r="F45" s="15" t="s">
        <v>442</v>
      </c>
      <c r="G45" s="16">
        <v>0.9324</v>
      </c>
      <c r="H45" s="15"/>
      <c r="I45" s="4" t="s">
        <v>404</v>
      </c>
      <c r="J45" s="17" t="s">
        <v>375</v>
      </c>
      <c r="K45" s="1">
        <v>22</v>
      </c>
      <c r="M45" s="19"/>
      <c r="N45" s="18"/>
      <c r="O45" s="19"/>
      <c r="P45" s="19"/>
      <c r="Q45" s="19"/>
      <c r="R45" s="18"/>
      <c r="S45" s="18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8"/>
      <c r="AF45" s="19"/>
      <c r="AG45" s="19"/>
      <c r="AH45" s="19"/>
      <c r="AJ45" s="19"/>
      <c r="AK45" s="1"/>
      <c r="AL45" s="20"/>
      <c r="AM45" s="14"/>
    </row>
    <row r="46" customHeight="1" spans="1:39">
      <c r="A46" s="15">
        <v>20240724</v>
      </c>
      <c r="B46" s="15" t="s">
        <v>149</v>
      </c>
      <c r="C46" s="15" t="s">
        <v>443</v>
      </c>
      <c r="D46" s="15">
        <v>469.2</v>
      </c>
      <c r="E46" s="15" t="s">
        <v>444</v>
      </c>
      <c r="F46" s="15" t="s">
        <v>445</v>
      </c>
      <c r="G46" s="16">
        <v>0.907</v>
      </c>
      <c r="H46" s="15"/>
      <c r="I46" s="4" t="s">
        <v>374</v>
      </c>
      <c r="J46" s="17" t="s">
        <v>375</v>
      </c>
      <c r="K46" s="1">
        <v>4.1</v>
      </c>
      <c r="M46" s="19"/>
      <c r="N46" s="18"/>
      <c r="O46" s="19"/>
      <c r="P46" s="19"/>
      <c r="Q46" s="19"/>
      <c r="R46" s="18"/>
      <c r="S46" s="18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8"/>
      <c r="AF46" s="19"/>
      <c r="AG46" s="19"/>
      <c r="AH46" s="19"/>
      <c r="AJ46" s="19"/>
      <c r="AK46" s="1"/>
      <c r="AL46" s="20"/>
      <c r="AM46" s="14"/>
    </row>
    <row r="47" customHeight="1" spans="1:39">
      <c r="A47" s="15">
        <v>20240717</v>
      </c>
      <c r="B47" s="15" t="s">
        <v>151</v>
      </c>
      <c r="C47" s="15" t="s">
        <v>446</v>
      </c>
      <c r="D47" s="15">
        <v>440.56</v>
      </c>
      <c r="E47" s="15" t="s">
        <v>447</v>
      </c>
      <c r="F47" s="15" t="s">
        <v>448</v>
      </c>
      <c r="G47" s="16">
        <v>0.9923</v>
      </c>
      <c r="H47" s="15"/>
      <c r="I47" s="4" t="s">
        <v>374</v>
      </c>
      <c r="J47" s="17" t="s">
        <v>375</v>
      </c>
      <c r="K47" s="1">
        <v>105</v>
      </c>
      <c r="M47" s="19"/>
      <c r="N47" s="18"/>
      <c r="O47" s="19"/>
      <c r="P47" s="19"/>
      <c r="Q47" s="19"/>
      <c r="R47" s="18"/>
      <c r="S47" s="18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8"/>
      <c r="AF47" s="19"/>
      <c r="AG47" s="19"/>
      <c r="AH47" s="19"/>
      <c r="AJ47" s="19"/>
      <c r="AK47" s="1"/>
      <c r="AL47" s="20"/>
      <c r="AM47" s="14"/>
    </row>
    <row r="48" customHeight="1" spans="1:39">
      <c r="A48" s="15">
        <v>20240729</v>
      </c>
      <c r="B48" s="15" t="s">
        <v>153</v>
      </c>
      <c r="C48" s="15">
        <v>20240729</v>
      </c>
      <c r="D48" s="15">
        <v>468.49</v>
      </c>
      <c r="E48" s="15" t="s">
        <v>449</v>
      </c>
      <c r="F48" s="15" t="s">
        <v>450</v>
      </c>
      <c r="G48" s="16">
        <v>0.9847</v>
      </c>
      <c r="H48" s="15"/>
      <c r="I48" s="4" t="s">
        <v>374</v>
      </c>
      <c r="J48" s="17" t="s">
        <v>375</v>
      </c>
      <c r="K48" s="1">
        <v>4.81</v>
      </c>
      <c r="M48" s="19"/>
      <c r="N48" s="18"/>
      <c r="O48" s="19"/>
      <c r="P48" s="19"/>
      <c r="Q48" s="19"/>
      <c r="R48" s="18"/>
      <c r="S48" s="18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8"/>
      <c r="AF48" s="19"/>
      <c r="AG48" s="19"/>
      <c r="AH48" s="19"/>
      <c r="AJ48" s="19"/>
      <c r="AK48" s="1"/>
      <c r="AL48" s="20"/>
      <c r="AM48" s="14"/>
    </row>
    <row r="49" customHeight="1" spans="1:39">
      <c r="A49" s="15">
        <v>20240717</v>
      </c>
      <c r="B49" s="15" t="s">
        <v>156</v>
      </c>
      <c r="C49" s="15">
        <v>20240715</v>
      </c>
      <c r="D49" s="15">
        <v>468.49</v>
      </c>
      <c r="E49" s="15" t="s">
        <v>449</v>
      </c>
      <c r="F49" s="15" t="s">
        <v>450</v>
      </c>
      <c r="G49" s="16">
        <v>0.9936</v>
      </c>
      <c r="H49" s="15"/>
      <c r="I49" s="4" t="s">
        <v>374</v>
      </c>
      <c r="J49" s="17" t="s">
        <v>375</v>
      </c>
      <c r="K49" s="1">
        <v>14.57</v>
      </c>
      <c r="M49" s="19"/>
      <c r="N49" s="18"/>
      <c r="O49" s="19"/>
      <c r="P49" s="19"/>
      <c r="Q49" s="19"/>
      <c r="R49" s="18"/>
      <c r="S49" s="18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8"/>
      <c r="AF49" s="19"/>
      <c r="AG49" s="19"/>
      <c r="AH49" s="19"/>
      <c r="AJ49" s="19"/>
      <c r="AK49" s="1"/>
      <c r="AL49" s="20"/>
      <c r="AM49" s="14"/>
    </row>
    <row r="50" customHeight="1" spans="1:39">
      <c r="A50" s="15">
        <v>20250108</v>
      </c>
      <c r="B50" s="15" t="s">
        <v>157</v>
      </c>
      <c r="C50" s="15" t="s">
        <v>451</v>
      </c>
      <c r="D50" s="15">
        <v>603.14</v>
      </c>
      <c r="E50" s="15" t="s">
        <v>452</v>
      </c>
      <c r="F50" s="15" t="s">
        <v>453</v>
      </c>
      <c r="G50" s="16">
        <v>0.971</v>
      </c>
      <c r="H50" s="15"/>
      <c r="I50" s="4" t="s">
        <v>374</v>
      </c>
      <c r="J50" s="17" t="s">
        <v>394</v>
      </c>
      <c r="K50" s="1">
        <v>30.2</v>
      </c>
      <c r="M50" s="19"/>
      <c r="N50" s="18"/>
      <c r="O50" s="19"/>
      <c r="P50" s="19"/>
      <c r="Q50" s="19"/>
      <c r="R50" s="18"/>
      <c r="S50" s="18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8"/>
      <c r="AF50" s="19"/>
      <c r="AG50" s="19"/>
      <c r="AH50" s="19"/>
      <c r="AJ50" s="19"/>
      <c r="AK50" s="1"/>
      <c r="AL50" s="20"/>
      <c r="AM50" s="14"/>
    </row>
    <row r="51" customHeight="1" spans="1:39">
      <c r="A51" s="15">
        <v>20250219</v>
      </c>
      <c r="B51" s="15" t="s">
        <v>159</v>
      </c>
      <c r="C51" s="15">
        <v>20250219</v>
      </c>
      <c r="D51" s="15">
        <v>603.63</v>
      </c>
      <c r="E51" s="15" t="s">
        <v>454</v>
      </c>
      <c r="F51" s="15" t="s">
        <v>455</v>
      </c>
      <c r="G51" s="16">
        <v>0.9988</v>
      </c>
      <c r="H51" s="15"/>
      <c r="I51" s="4" t="s">
        <v>374</v>
      </c>
      <c r="J51" s="17" t="s">
        <v>375</v>
      </c>
      <c r="K51" s="1">
        <v>288.7</v>
      </c>
      <c r="M51" s="19"/>
      <c r="N51" s="18"/>
      <c r="O51" s="19"/>
      <c r="P51" s="19"/>
      <c r="Q51" s="19"/>
      <c r="R51" s="18"/>
      <c r="S51" s="1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8"/>
      <c r="AF51" s="19"/>
      <c r="AG51" s="19"/>
      <c r="AH51" s="19"/>
      <c r="AJ51" s="19"/>
      <c r="AK51" s="1"/>
      <c r="AL51" s="20"/>
      <c r="AM51" s="14"/>
    </row>
    <row r="52" customHeight="1" spans="1:39">
      <c r="A52" s="15">
        <v>20250320</v>
      </c>
      <c r="B52" s="15" t="s">
        <v>159</v>
      </c>
      <c r="C52" s="15" t="s">
        <v>456</v>
      </c>
      <c r="D52" s="15">
        <v>603.63</v>
      </c>
      <c r="E52" s="15" t="s">
        <v>457</v>
      </c>
      <c r="F52" s="15" t="s">
        <v>455</v>
      </c>
      <c r="G52" s="16">
        <v>0.9748</v>
      </c>
      <c r="H52" s="15"/>
      <c r="I52" s="4" t="s">
        <v>374</v>
      </c>
      <c r="J52" s="17" t="s">
        <v>394</v>
      </c>
      <c r="K52" s="1">
        <v>480</v>
      </c>
      <c r="M52" s="19"/>
      <c r="N52" s="18"/>
      <c r="O52" s="19"/>
      <c r="P52" s="19"/>
      <c r="Q52" s="19"/>
      <c r="R52" s="18"/>
      <c r="S52" s="18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8"/>
      <c r="AF52" s="19"/>
      <c r="AG52" s="19"/>
      <c r="AH52" s="19"/>
      <c r="AJ52" s="19"/>
      <c r="AK52" s="1"/>
      <c r="AL52" s="20"/>
      <c r="AM52" s="14"/>
    </row>
    <row r="53" customHeight="1" spans="1:39">
      <c r="A53" s="15">
        <v>20250219</v>
      </c>
      <c r="B53" s="15" t="s">
        <v>163</v>
      </c>
      <c r="C53" s="15">
        <v>20250219</v>
      </c>
      <c r="D53" s="15">
        <v>603.63</v>
      </c>
      <c r="E53" s="15" t="s">
        <v>454</v>
      </c>
      <c r="F53" s="15" t="s">
        <v>455</v>
      </c>
      <c r="G53" s="16">
        <v>0.9998</v>
      </c>
      <c r="H53" s="15"/>
      <c r="I53" s="4" t="s">
        <v>374</v>
      </c>
      <c r="J53" s="17" t="s">
        <v>375</v>
      </c>
      <c r="K53" s="1">
        <v>85.1</v>
      </c>
      <c r="M53" s="19"/>
      <c r="N53" s="18"/>
      <c r="O53" s="19"/>
      <c r="P53" s="19"/>
      <c r="Q53" s="19"/>
      <c r="R53" s="18"/>
      <c r="S53" s="18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8"/>
      <c r="AF53" s="19"/>
      <c r="AG53" s="19"/>
      <c r="AH53" s="19"/>
      <c r="AJ53" s="19"/>
      <c r="AK53" s="1"/>
      <c r="AL53" s="20"/>
      <c r="AM53" s="14"/>
    </row>
    <row r="54" customHeight="1" spans="1:39">
      <c r="A54" s="15">
        <v>20240614</v>
      </c>
      <c r="B54" s="15" t="s">
        <v>165</v>
      </c>
      <c r="C54" s="15" t="s">
        <v>458</v>
      </c>
      <c r="D54" s="15">
        <v>466.5</v>
      </c>
      <c r="E54" s="15" t="s">
        <v>459</v>
      </c>
      <c r="F54" s="15" t="s">
        <v>460</v>
      </c>
      <c r="G54" s="16">
        <v>0.9979</v>
      </c>
      <c r="H54" s="15"/>
      <c r="I54" s="4" t="s">
        <v>374</v>
      </c>
      <c r="J54" s="17" t="s">
        <v>375</v>
      </c>
      <c r="K54" s="1">
        <v>87</v>
      </c>
      <c r="M54" s="19"/>
      <c r="N54" s="18"/>
      <c r="O54" s="19"/>
      <c r="P54" s="19"/>
      <c r="Q54" s="19"/>
      <c r="R54" s="18"/>
      <c r="S54" s="18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8"/>
      <c r="AF54" s="19"/>
      <c r="AG54" s="19"/>
      <c r="AH54" s="19"/>
      <c r="AJ54" s="19"/>
      <c r="AK54" s="1"/>
      <c r="AL54" s="20"/>
      <c r="AM54" s="14"/>
    </row>
    <row r="55" customHeight="1" spans="1:39">
      <c r="A55" s="15">
        <v>20240823</v>
      </c>
      <c r="B55" s="15" t="s">
        <v>168</v>
      </c>
      <c r="C55" s="15" t="s">
        <v>461</v>
      </c>
      <c r="D55" s="15">
        <v>445.48</v>
      </c>
      <c r="E55" s="15" t="s">
        <v>462</v>
      </c>
      <c r="F55" s="15" t="s">
        <v>463</v>
      </c>
      <c r="G55" s="16">
        <v>1</v>
      </c>
      <c r="H55" s="15"/>
      <c r="I55" s="4" t="s">
        <v>374</v>
      </c>
      <c r="J55" s="17" t="s">
        <v>375</v>
      </c>
      <c r="K55" s="1">
        <v>18.5</v>
      </c>
      <c r="M55" s="19"/>
      <c r="N55" s="18"/>
      <c r="O55" s="19"/>
      <c r="P55" s="19"/>
      <c r="Q55" s="19"/>
      <c r="R55" s="18"/>
      <c r="S55" s="18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8"/>
      <c r="AF55" s="19"/>
      <c r="AG55" s="19"/>
      <c r="AH55" s="19"/>
      <c r="AJ55" s="19"/>
      <c r="AK55" s="1"/>
      <c r="AL55" s="20"/>
      <c r="AM55" s="14"/>
    </row>
    <row r="56" customHeight="1" spans="1:39">
      <c r="A56" s="15">
        <v>20240823</v>
      </c>
      <c r="B56" s="15" t="s">
        <v>170</v>
      </c>
      <c r="C56" s="15" t="s">
        <v>464</v>
      </c>
      <c r="D56" s="15">
        <v>445.48</v>
      </c>
      <c r="E56" s="15" t="s">
        <v>462</v>
      </c>
      <c r="F56" s="15" t="s">
        <v>463</v>
      </c>
      <c r="G56" s="16">
        <v>1</v>
      </c>
      <c r="H56" s="15"/>
      <c r="I56" s="4" t="s">
        <v>374</v>
      </c>
      <c r="J56" s="17" t="s">
        <v>375</v>
      </c>
      <c r="K56" s="1">
        <v>18.6</v>
      </c>
      <c r="M56" s="19"/>
      <c r="N56" s="18"/>
      <c r="O56" s="19"/>
      <c r="P56" s="19"/>
      <c r="Q56" s="19"/>
      <c r="R56" s="18"/>
      <c r="S56" s="18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8"/>
      <c r="AF56" s="19"/>
      <c r="AG56" s="19"/>
      <c r="AH56" s="19"/>
      <c r="AJ56" s="19"/>
      <c r="AK56" s="1"/>
      <c r="AL56" s="20"/>
      <c r="AM56" s="14"/>
    </row>
    <row r="57" customHeight="1" spans="1:39">
      <c r="A57" s="15">
        <v>20240924</v>
      </c>
      <c r="B57" s="15" t="s">
        <v>166</v>
      </c>
      <c r="C57" s="15" t="s">
        <v>465</v>
      </c>
      <c r="D57" s="15">
        <v>409.44</v>
      </c>
      <c r="E57" s="15" t="s">
        <v>466</v>
      </c>
      <c r="F57" s="15" t="s">
        <v>467</v>
      </c>
      <c r="G57" s="16">
        <v>0.9878</v>
      </c>
      <c r="H57" s="15"/>
      <c r="I57" s="4" t="s">
        <v>374</v>
      </c>
      <c r="J57" s="17" t="s">
        <v>375</v>
      </c>
      <c r="K57" s="1">
        <v>33</v>
      </c>
      <c r="M57" s="19"/>
      <c r="N57" s="18"/>
      <c r="O57" s="19"/>
      <c r="P57" s="19"/>
      <c r="Q57" s="19"/>
      <c r="R57" s="18"/>
      <c r="S57" s="18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8"/>
      <c r="AF57" s="19"/>
      <c r="AG57" s="19"/>
      <c r="AH57" s="19"/>
      <c r="AJ57" s="19"/>
      <c r="AK57" s="1"/>
      <c r="AL57" s="20"/>
      <c r="AM57" s="14"/>
    </row>
    <row r="58" customHeight="1" spans="1:39">
      <c r="A58" s="15">
        <v>20240924</v>
      </c>
      <c r="B58" s="15" t="s">
        <v>171</v>
      </c>
      <c r="C58" s="15" t="s">
        <v>468</v>
      </c>
      <c r="D58" s="15">
        <v>471.51</v>
      </c>
      <c r="E58" s="15" t="s">
        <v>469</v>
      </c>
      <c r="F58" s="15" t="s">
        <v>470</v>
      </c>
      <c r="G58" s="16">
        <v>0.9443</v>
      </c>
      <c r="H58" s="15"/>
      <c r="I58" s="4" t="s">
        <v>374</v>
      </c>
      <c r="J58" s="17" t="s">
        <v>375</v>
      </c>
      <c r="K58" s="1">
        <v>41</v>
      </c>
      <c r="M58" s="19"/>
      <c r="N58" s="18"/>
      <c r="O58" s="19"/>
      <c r="P58" s="19"/>
      <c r="Q58" s="19"/>
      <c r="R58" s="18"/>
      <c r="S58" s="18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8"/>
      <c r="AF58" s="19"/>
      <c r="AG58" s="19"/>
      <c r="AH58" s="19"/>
      <c r="AJ58" s="19"/>
      <c r="AK58" s="1"/>
      <c r="AL58" s="20"/>
      <c r="AM58" s="14"/>
    </row>
    <row r="59" customHeight="1" spans="1:39">
      <c r="A59" s="15">
        <v>20250108</v>
      </c>
      <c r="B59" s="15" t="s">
        <v>173</v>
      </c>
      <c r="C59" s="15" t="s">
        <v>471</v>
      </c>
      <c r="D59" s="15">
        <v>577.15</v>
      </c>
      <c r="E59" s="15" t="s">
        <v>472</v>
      </c>
      <c r="F59" s="15" t="s">
        <v>473</v>
      </c>
      <c r="G59" s="16">
        <v>0.995</v>
      </c>
      <c r="H59" s="15"/>
      <c r="I59" s="4" t="s">
        <v>374</v>
      </c>
      <c r="J59" s="17" t="s">
        <v>394</v>
      </c>
      <c r="K59" s="1">
        <v>38</v>
      </c>
      <c r="M59" s="19"/>
      <c r="N59" s="18"/>
      <c r="O59" s="19"/>
      <c r="P59" s="19"/>
      <c r="Q59" s="19"/>
      <c r="R59" s="18"/>
      <c r="S59" s="18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8"/>
      <c r="AF59" s="19"/>
      <c r="AG59" s="19"/>
      <c r="AH59" s="19"/>
      <c r="AJ59" s="19"/>
      <c r="AK59" s="1"/>
      <c r="AL59" s="20"/>
      <c r="AM59" s="14"/>
    </row>
    <row r="60" customHeight="1" spans="1:39">
      <c r="A60" s="15">
        <v>20241016</v>
      </c>
      <c r="B60" s="15" t="s">
        <v>175</v>
      </c>
      <c r="C60" s="15" t="s">
        <v>474</v>
      </c>
      <c r="D60" s="15">
        <v>438.48</v>
      </c>
      <c r="E60" s="15" t="s">
        <v>475</v>
      </c>
      <c r="F60" s="15" t="s">
        <v>476</v>
      </c>
      <c r="G60" s="16">
        <v>1</v>
      </c>
      <c r="H60" s="15"/>
      <c r="I60" s="4" t="s">
        <v>374</v>
      </c>
      <c r="J60" s="17" t="s">
        <v>375</v>
      </c>
      <c r="K60" s="1">
        <v>38</v>
      </c>
      <c r="M60" s="19"/>
      <c r="N60" s="18"/>
      <c r="O60" s="19"/>
      <c r="P60" s="19"/>
      <c r="Q60" s="19"/>
      <c r="R60" s="18"/>
      <c r="S60" s="18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8"/>
      <c r="AF60" s="19"/>
      <c r="AG60" s="19"/>
      <c r="AH60" s="19"/>
      <c r="AJ60" s="19"/>
      <c r="AK60" s="1"/>
      <c r="AL60" s="20"/>
      <c r="AM60" s="14"/>
    </row>
    <row r="61" customHeight="1" spans="1:39">
      <c r="A61" s="15">
        <v>20240717</v>
      </c>
      <c r="B61" s="15" t="s">
        <v>177</v>
      </c>
      <c r="C61" s="15">
        <v>20240715</v>
      </c>
      <c r="D61" s="15">
        <v>479.5</v>
      </c>
      <c r="E61" s="15" t="s">
        <v>477</v>
      </c>
      <c r="F61" s="15" t="s">
        <v>478</v>
      </c>
      <c r="G61" s="16">
        <v>0.9558</v>
      </c>
      <c r="H61" s="15"/>
      <c r="I61" s="4" t="s">
        <v>374</v>
      </c>
      <c r="J61" s="17" t="s">
        <v>375</v>
      </c>
      <c r="K61" s="1">
        <v>20.41</v>
      </c>
      <c r="M61" s="19"/>
      <c r="N61" s="18"/>
      <c r="O61" s="19"/>
      <c r="P61" s="19"/>
      <c r="Q61" s="19"/>
      <c r="R61" s="18"/>
      <c r="S61" s="18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8"/>
      <c r="AF61" s="19"/>
      <c r="AG61" s="19"/>
      <c r="AH61" s="19"/>
      <c r="AJ61" s="19"/>
      <c r="AK61" s="1"/>
      <c r="AL61" s="20"/>
      <c r="AM61" s="14"/>
    </row>
    <row r="62" customHeight="1" spans="1:39">
      <c r="A62" s="15">
        <v>20240805</v>
      </c>
      <c r="B62" s="15" t="s">
        <v>180</v>
      </c>
      <c r="C62" s="15">
        <v>20240805</v>
      </c>
      <c r="D62" s="15">
        <v>479.5</v>
      </c>
      <c r="E62" s="15" t="s">
        <v>477</v>
      </c>
      <c r="F62" s="15" t="s">
        <v>478</v>
      </c>
      <c r="G62" s="16">
        <v>0.956</v>
      </c>
      <c r="H62" s="15"/>
      <c r="I62" s="4" t="s">
        <v>374</v>
      </c>
      <c r="J62" s="17" t="s">
        <v>375</v>
      </c>
      <c r="K62" s="1">
        <v>43.33</v>
      </c>
      <c r="M62" s="19"/>
      <c r="N62" s="18"/>
      <c r="O62" s="19"/>
      <c r="P62" s="19"/>
      <c r="Q62" s="19"/>
      <c r="R62" s="18"/>
      <c r="S62" s="18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8"/>
      <c r="AF62" s="19"/>
      <c r="AG62" s="19"/>
      <c r="AH62" s="19"/>
      <c r="AJ62" s="19"/>
      <c r="AK62" s="1"/>
      <c r="AL62" s="20"/>
      <c r="AM62" s="14"/>
    </row>
    <row r="63" customHeight="1" spans="1:39">
      <c r="A63" s="15">
        <v>20240805</v>
      </c>
      <c r="B63" s="15" t="s">
        <v>182</v>
      </c>
      <c r="C63" s="15">
        <v>20240805</v>
      </c>
      <c r="D63" s="15">
        <v>479.5</v>
      </c>
      <c r="E63" s="15" t="s">
        <v>477</v>
      </c>
      <c r="F63" s="15" t="s">
        <v>478</v>
      </c>
      <c r="G63" s="16">
        <v>0.977</v>
      </c>
      <c r="H63" s="15"/>
      <c r="I63" s="4" t="s">
        <v>374</v>
      </c>
      <c r="J63" s="17" t="s">
        <v>375</v>
      </c>
      <c r="K63" s="1">
        <v>26.34</v>
      </c>
      <c r="M63" s="19"/>
      <c r="N63" s="18"/>
      <c r="O63" s="19"/>
      <c r="P63" s="19"/>
      <c r="Q63" s="19"/>
      <c r="R63" s="18"/>
      <c r="S63" s="18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8"/>
      <c r="AF63" s="19"/>
      <c r="AG63" s="19"/>
      <c r="AH63" s="19"/>
      <c r="AJ63" s="19"/>
      <c r="AK63" s="1"/>
      <c r="AL63" s="20"/>
      <c r="AM63" s="14"/>
    </row>
    <row r="64" customHeight="1" spans="1:39">
      <c r="A64" s="15">
        <v>20250312</v>
      </c>
      <c r="B64" s="15" t="s">
        <v>184</v>
      </c>
      <c r="C64" s="15" t="s">
        <v>479</v>
      </c>
      <c r="D64" s="15">
        <v>536.15</v>
      </c>
      <c r="E64" s="15" t="s">
        <v>480</v>
      </c>
      <c r="F64" s="15" t="s">
        <v>481</v>
      </c>
      <c r="G64" s="16">
        <v>0.992</v>
      </c>
      <c r="H64" s="15"/>
      <c r="I64" s="4" t="s">
        <v>374</v>
      </c>
      <c r="J64" s="17" t="s">
        <v>394</v>
      </c>
      <c r="K64" s="1">
        <v>6.2</v>
      </c>
      <c r="M64" s="19"/>
      <c r="N64" s="18"/>
      <c r="O64" s="19"/>
      <c r="P64" s="19"/>
      <c r="Q64" s="19"/>
      <c r="R64" s="18"/>
      <c r="S64" s="18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8"/>
      <c r="AF64" s="19"/>
      <c r="AG64" s="19"/>
      <c r="AH64" s="19"/>
      <c r="AJ64" s="19"/>
      <c r="AK64" s="1"/>
      <c r="AL64" s="20"/>
      <c r="AM64" s="14"/>
    </row>
    <row r="65" customHeight="1" spans="1:39">
      <c r="A65" s="15">
        <v>20241219</v>
      </c>
      <c r="B65" s="15" t="s">
        <v>187</v>
      </c>
      <c r="C65" s="15" t="s">
        <v>482</v>
      </c>
      <c r="D65" s="15">
        <v>470.12</v>
      </c>
      <c r="E65" s="15" t="s">
        <v>483</v>
      </c>
      <c r="F65" s="15" t="s">
        <v>484</v>
      </c>
      <c r="G65" s="16">
        <v>0.99</v>
      </c>
      <c r="H65" s="15"/>
      <c r="I65" s="4" t="s">
        <v>404</v>
      </c>
      <c r="J65" s="17" t="s">
        <v>375</v>
      </c>
      <c r="K65" s="1">
        <v>34.7</v>
      </c>
      <c r="M65" s="19"/>
      <c r="N65" s="18"/>
      <c r="O65" s="19"/>
      <c r="P65" s="19"/>
      <c r="Q65" s="19"/>
      <c r="R65" s="18"/>
      <c r="S65" s="18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8"/>
      <c r="AF65" s="19"/>
      <c r="AG65" s="19"/>
      <c r="AH65" s="19"/>
      <c r="AJ65" s="19"/>
      <c r="AK65" s="1"/>
      <c r="AL65" s="20"/>
      <c r="AM65" s="14"/>
    </row>
    <row r="66" customHeight="1" spans="1:39">
      <c r="A66" s="15">
        <v>20241016</v>
      </c>
      <c r="B66" s="15" t="s">
        <v>189</v>
      </c>
      <c r="C66" s="15">
        <v>20241009</v>
      </c>
      <c r="D66" s="15">
        <v>443.52</v>
      </c>
      <c r="E66" s="15" t="s">
        <v>485</v>
      </c>
      <c r="F66" s="15" t="s">
        <v>486</v>
      </c>
      <c r="G66" s="16">
        <v>0.9917</v>
      </c>
      <c r="H66" s="15"/>
      <c r="I66" s="4" t="s">
        <v>374</v>
      </c>
      <c r="J66" s="17" t="s">
        <v>375</v>
      </c>
      <c r="K66" s="1">
        <v>8.6</v>
      </c>
      <c r="M66" s="19"/>
      <c r="N66" s="18"/>
      <c r="O66" s="19"/>
      <c r="P66" s="19"/>
      <c r="Q66" s="19"/>
      <c r="R66" s="18"/>
      <c r="S66" s="18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8"/>
      <c r="AF66" s="19"/>
      <c r="AG66" s="19"/>
      <c r="AH66" s="19"/>
      <c r="AJ66" s="19"/>
      <c r="AK66" s="1"/>
      <c r="AL66" s="20"/>
      <c r="AM66" s="14"/>
    </row>
    <row r="67" customHeight="1" spans="1:39">
      <c r="A67" s="15">
        <v>20240429</v>
      </c>
      <c r="B67" s="15" t="s">
        <v>194</v>
      </c>
      <c r="C67" s="15" t="s">
        <v>487</v>
      </c>
      <c r="D67" s="15">
        <v>442.19</v>
      </c>
      <c r="E67" s="15" t="s">
        <v>488</v>
      </c>
      <c r="F67" s="15" t="s">
        <v>489</v>
      </c>
      <c r="G67" s="16">
        <v>1</v>
      </c>
      <c r="H67" s="15"/>
      <c r="I67" s="4" t="s">
        <v>374</v>
      </c>
      <c r="J67" s="17" t="s">
        <v>375</v>
      </c>
      <c r="K67" s="1">
        <v>42.5</v>
      </c>
      <c r="M67" s="19"/>
      <c r="N67" s="18"/>
      <c r="O67" s="19"/>
      <c r="P67" s="19"/>
      <c r="Q67" s="19"/>
      <c r="R67" s="18"/>
      <c r="S67" s="18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8"/>
      <c r="AF67" s="19"/>
      <c r="AG67" s="19"/>
      <c r="AH67" s="19"/>
      <c r="AJ67" s="19"/>
      <c r="AK67" s="1"/>
      <c r="AL67" s="20"/>
      <c r="AM67" s="14"/>
    </row>
    <row r="68" customHeight="1" spans="1:39">
      <c r="A68" s="15">
        <v>20240429</v>
      </c>
      <c r="B68" s="15" t="s">
        <v>192</v>
      </c>
      <c r="C68" s="15" t="s">
        <v>490</v>
      </c>
      <c r="D68" s="15">
        <v>442.19</v>
      </c>
      <c r="E68" s="15" t="s">
        <v>488</v>
      </c>
      <c r="F68" s="15" t="s">
        <v>489</v>
      </c>
      <c r="G68" s="16">
        <v>0.954</v>
      </c>
      <c r="H68" s="15"/>
      <c r="I68" s="4" t="s">
        <v>374</v>
      </c>
      <c r="J68" s="17" t="s">
        <v>375</v>
      </c>
      <c r="K68" s="1">
        <v>14.2</v>
      </c>
      <c r="L68" s="2"/>
      <c r="M68" s="19"/>
      <c r="N68" s="18"/>
      <c r="O68" s="19"/>
      <c r="P68" s="19"/>
      <c r="Q68" s="19"/>
      <c r="R68" s="18"/>
      <c r="S68" s="18"/>
      <c r="T68" s="18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8"/>
      <c r="AF68" s="19"/>
      <c r="AG68" s="19"/>
      <c r="AH68" s="19"/>
      <c r="AJ68" s="19"/>
      <c r="AK68" s="1"/>
      <c r="AL68" s="20"/>
      <c r="AM68" s="14"/>
    </row>
    <row r="69" customHeight="1" spans="1:39">
      <c r="A69" s="15">
        <v>20240924</v>
      </c>
      <c r="B69" s="15" t="s">
        <v>195</v>
      </c>
      <c r="C69" s="15" t="s">
        <v>491</v>
      </c>
      <c r="D69" s="15">
        <v>464.15</v>
      </c>
      <c r="E69" s="15" t="s">
        <v>492</v>
      </c>
      <c r="F69" s="15" t="s">
        <v>493</v>
      </c>
      <c r="G69" s="16">
        <v>1</v>
      </c>
      <c r="H69" s="15"/>
      <c r="I69" s="4" t="s">
        <v>374</v>
      </c>
      <c r="J69" s="17" t="s">
        <v>375</v>
      </c>
      <c r="K69" s="1">
        <v>118.2</v>
      </c>
      <c r="L69" s="2"/>
      <c r="M69" s="19"/>
      <c r="N69" s="18"/>
      <c r="O69" s="19"/>
      <c r="P69" s="19"/>
      <c r="Q69" s="19"/>
      <c r="R69" s="18"/>
      <c r="S69" s="18"/>
      <c r="T69" s="18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8"/>
      <c r="AF69" s="19"/>
      <c r="AG69" s="19"/>
      <c r="AH69" s="19"/>
      <c r="AJ69" s="19"/>
      <c r="AK69" s="1"/>
      <c r="AL69" s="20"/>
      <c r="AM69" s="14"/>
    </row>
    <row r="70" customHeight="1" spans="1:39">
      <c r="A70" s="15">
        <v>20240823</v>
      </c>
      <c r="B70" s="15" t="s">
        <v>197</v>
      </c>
      <c r="C70" s="15" t="s">
        <v>494</v>
      </c>
      <c r="D70" s="15">
        <v>451.33</v>
      </c>
      <c r="E70" s="15" t="s">
        <v>495</v>
      </c>
      <c r="F70" s="15" t="s">
        <v>496</v>
      </c>
      <c r="G70" s="16">
        <v>1</v>
      </c>
      <c r="H70" s="15"/>
      <c r="I70" s="4" t="s">
        <v>374</v>
      </c>
      <c r="J70" s="17" t="s">
        <v>375</v>
      </c>
      <c r="K70" s="1">
        <v>101</v>
      </c>
      <c r="L70" s="2"/>
      <c r="M70" s="19"/>
      <c r="N70" s="18"/>
      <c r="O70" s="19"/>
      <c r="P70" s="19"/>
      <c r="Q70" s="19"/>
      <c r="R70" s="18"/>
      <c r="S70" s="18"/>
      <c r="T70" s="18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8"/>
      <c r="AF70" s="19"/>
      <c r="AG70" s="19"/>
      <c r="AH70" s="19"/>
      <c r="AJ70" s="19"/>
      <c r="AK70" s="1"/>
      <c r="AL70" s="20"/>
      <c r="AM70" s="14"/>
    </row>
    <row r="71" customHeight="1" spans="1:39">
      <c r="A71" s="15">
        <v>20240614</v>
      </c>
      <c r="B71" s="15" t="s">
        <v>199</v>
      </c>
      <c r="C71" s="15" t="s">
        <v>497</v>
      </c>
      <c r="D71" s="15">
        <v>430.2</v>
      </c>
      <c r="E71" s="15" t="s">
        <v>498</v>
      </c>
      <c r="F71" s="15" t="s">
        <v>499</v>
      </c>
      <c r="G71" s="16">
        <v>0.997</v>
      </c>
      <c r="H71" s="15"/>
      <c r="I71" s="4" t="s">
        <v>374</v>
      </c>
      <c r="J71" s="17" t="s">
        <v>375</v>
      </c>
      <c r="K71" s="1">
        <v>18.1</v>
      </c>
      <c r="L71" s="2"/>
      <c r="M71" s="19"/>
      <c r="N71" s="18"/>
      <c r="O71" s="19"/>
      <c r="P71" s="19"/>
      <c r="Q71" s="19"/>
      <c r="R71" s="18"/>
      <c r="S71" s="18"/>
      <c r="T71" s="18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8"/>
      <c r="AF71" s="19"/>
      <c r="AG71" s="19"/>
      <c r="AH71" s="19"/>
      <c r="AJ71" s="19"/>
      <c r="AK71" s="1"/>
      <c r="AL71" s="20"/>
      <c r="AM71" s="14"/>
    </row>
    <row r="72" customHeight="1" spans="1:39">
      <c r="A72" s="15">
        <v>20250108</v>
      </c>
      <c r="B72" s="15" t="s">
        <v>200</v>
      </c>
      <c r="C72" s="15">
        <v>20250106</v>
      </c>
      <c r="D72" s="15">
        <v>408.38</v>
      </c>
      <c r="E72" s="15" t="s">
        <v>500</v>
      </c>
      <c r="F72" s="15">
        <v>408.38</v>
      </c>
      <c r="G72" s="16">
        <v>0.9339</v>
      </c>
      <c r="H72" s="15"/>
      <c r="I72" s="4" t="s">
        <v>374</v>
      </c>
      <c r="J72" s="17" t="s">
        <v>394</v>
      </c>
      <c r="K72" s="1">
        <v>20.03</v>
      </c>
      <c r="L72" s="2"/>
      <c r="M72" s="19"/>
      <c r="N72" s="18"/>
      <c r="O72" s="19"/>
      <c r="P72" s="19"/>
      <c r="Q72" s="19"/>
      <c r="R72" s="18"/>
      <c r="S72" s="18"/>
      <c r="T72" s="18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8"/>
      <c r="AF72" s="19"/>
      <c r="AG72" s="19"/>
      <c r="AH72" s="19"/>
      <c r="AJ72" s="19"/>
      <c r="AK72" s="1"/>
      <c r="AL72" s="20"/>
      <c r="AM72" s="14"/>
    </row>
    <row r="73" customHeight="1" spans="1:39">
      <c r="A73" s="15">
        <v>20250108</v>
      </c>
      <c r="B73" s="15" t="s">
        <v>202</v>
      </c>
      <c r="C73" s="15">
        <v>20250106</v>
      </c>
      <c r="D73" s="15">
        <v>408.38</v>
      </c>
      <c r="E73" s="15" t="s">
        <v>500</v>
      </c>
      <c r="F73" s="15">
        <v>408.38</v>
      </c>
      <c r="G73" s="16">
        <v>0.9722</v>
      </c>
      <c r="H73" s="15"/>
      <c r="I73" s="4" t="s">
        <v>374</v>
      </c>
      <c r="J73" s="17" t="s">
        <v>394</v>
      </c>
      <c r="K73" s="1">
        <v>15.36</v>
      </c>
      <c r="L73" s="2"/>
      <c r="M73" s="19"/>
      <c r="N73" s="18"/>
      <c r="O73" s="19"/>
      <c r="P73" s="19"/>
      <c r="Q73" s="19"/>
      <c r="R73" s="18"/>
      <c r="S73" s="18"/>
      <c r="T73" s="18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8"/>
      <c r="AF73" s="19"/>
      <c r="AG73" s="19"/>
      <c r="AH73" s="19"/>
      <c r="AJ73" s="19"/>
      <c r="AK73" s="1"/>
      <c r="AL73" s="20"/>
      <c r="AM73" s="14"/>
    </row>
    <row r="74" customHeight="1" spans="1:39">
      <c r="A74" s="15">
        <v>20250108</v>
      </c>
      <c r="B74" s="15" t="s">
        <v>204</v>
      </c>
      <c r="C74" s="15">
        <v>20250106</v>
      </c>
      <c r="D74" s="15">
        <v>408.38</v>
      </c>
      <c r="E74" s="15" t="s">
        <v>500</v>
      </c>
      <c r="F74" s="15">
        <v>408.38</v>
      </c>
      <c r="G74" s="16">
        <v>0.9838</v>
      </c>
      <c r="H74" s="15"/>
      <c r="I74" s="4" t="s">
        <v>374</v>
      </c>
      <c r="J74" s="17" t="s">
        <v>394</v>
      </c>
      <c r="K74" s="1">
        <v>15.21</v>
      </c>
      <c r="L74" s="2"/>
      <c r="M74" s="19"/>
      <c r="N74" s="18"/>
      <c r="O74" s="19"/>
      <c r="P74" s="19"/>
      <c r="Q74" s="19"/>
      <c r="R74" s="18"/>
      <c r="S74" s="18"/>
      <c r="T74" s="18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8"/>
      <c r="AF74" s="19"/>
      <c r="AG74" s="19"/>
      <c r="AH74" s="19"/>
      <c r="AJ74" s="19"/>
      <c r="AK74" s="1"/>
      <c r="AL74" s="20"/>
      <c r="AM74" s="14"/>
    </row>
    <row r="75" customHeight="1" spans="1:39">
      <c r="A75" s="15">
        <v>20241119</v>
      </c>
      <c r="B75" s="15" t="s">
        <v>205</v>
      </c>
      <c r="C75" s="15" t="s">
        <v>501</v>
      </c>
      <c r="D75" s="15" t="s">
        <v>502</v>
      </c>
      <c r="E75" s="15" t="s">
        <v>503</v>
      </c>
      <c r="F75" s="15" t="s">
        <v>504</v>
      </c>
      <c r="G75" s="16">
        <v>0.923</v>
      </c>
      <c r="H75" s="15"/>
      <c r="I75" s="4" t="s">
        <v>374</v>
      </c>
      <c r="J75" s="17" t="s">
        <v>375</v>
      </c>
      <c r="K75" s="1">
        <v>22</v>
      </c>
      <c r="L75" s="2"/>
      <c r="M75" s="19"/>
      <c r="N75" s="18"/>
      <c r="O75" s="19"/>
      <c r="P75" s="19"/>
      <c r="Q75" s="19"/>
      <c r="R75" s="18"/>
      <c r="S75" s="18"/>
      <c r="T75" s="18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8"/>
      <c r="AF75" s="19"/>
      <c r="AG75" s="19"/>
      <c r="AH75" s="19"/>
      <c r="AJ75" s="19"/>
      <c r="AK75" s="1"/>
      <c r="AL75" s="20"/>
      <c r="AM75" s="14"/>
    </row>
    <row r="76" customHeight="1" spans="1:39">
      <c r="A76" s="15">
        <v>20240614</v>
      </c>
      <c r="B76" s="15" t="s">
        <v>206</v>
      </c>
      <c r="C76" s="15">
        <v>20240531</v>
      </c>
      <c r="D76" s="15">
        <v>455.45</v>
      </c>
      <c r="E76" s="15" t="s">
        <v>505</v>
      </c>
      <c r="F76" s="15" t="s">
        <v>506</v>
      </c>
      <c r="G76" s="16">
        <v>0.9548</v>
      </c>
      <c r="H76" s="15"/>
      <c r="I76" s="4" t="s">
        <v>374</v>
      </c>
      <c r="J76" s="17" t="s">
        <v>375</v>
      </c>
      <c r="K76" s="1">
        <v>32.86</v>
      </c>
      <c r="L76" s="2"/>
      <c r="M76" s="19"/>
      <c r="N76" s="18"/>
      <c r="O76" s="19"/>
      <c r="P76" s="19"/>
      <c r="Q76" s="19"/>
      <c r="R76" s="18"/>
      <c r="S76" s="18"/>
      <c r="T76" s="18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8"/>
      <c r="AF76" s="19"/>
      <c r="AG76" s="19"/>
      <c r="AH76" s="19"/>
      <c r="AJ76" s="19"/>
      <c r="AK76" s="1"/>
      <c r="AL76" s="20"/>
      <c r="AM76" s="14"/>
    </row>
    <row r="77" customHeight="1" spans="1:39">
      <c r="A77" s="15">
        <v>20240614</v>
      </c>
      <c r="B77" s="15" t="s">
        <v>209</v>
      </c>
      <c r="C77" s="15">
        <v>20240531</v>
      </c>
      <c r="D77" s="15">
        <v>455.45</v>
      </c>
      <c r="E77" s="15" t="s">
        <v>505</v>
      </c>
      <c r="F77" s="15" t="s">
        <v>506</v>
      </c>
      <c r="G77" s="16">
        <v>0.8872</v>
      </c>
      <c r="H77" s="15"/>
      <c r="I77" s="4" t="s">
        <v>374</v>
      </c>
      <c r="J77" s="17" t="s">
        <v>375</v>
      </c>
      <c r="K77" s="1">
        <v>7.22</v>
      </c>
      <c r="L77" s="2"/>
      <c r="M77" s="19"/>
      <c r="N77" s="18"/>
      <c r="O77" s="19"/>
      <c r="P77" s="19"/>
      <c r="Q77" s="19"/>
      <c r="R77" s="18"/>
      <c r="S77" s="18"/>
      <c r="T77" s="18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8"/>
      <c r="AF77" s="19"/>
      <c r="AG77" s="19"/>
      <c r="AH77" s="19"/>
      <c r="AJ77" s="19"/>
      <c r="AK77" s="1"/>
      <c r="AL77" s="20"/>
      <c r="AM77" s="14"/>
    </row>
    <row r="78" customHeight="1" spans="1:39">
      <c r="A78" s="15">
        <v>20240614</v>
      </c>
      <c r="B78" s="15" t="s">
        <v>210</v>
      </c>
      <c r="C78" s="15">
        <v>20240531</v>
      </c>
      <c r="D78" s="15">
        <v>455.45</v>
      </c>
      <c r="E78" s="15" t="s">
        <v>505</v>
      </c>
      <c r="F78" s="15" t="s">
        <v>506</v>
      </c>
      <c r="G78" s="16">
        <v>0.9382</v>
      </c>
      <c r="H78" s="15"/>
      <c r="I78" s="4" t="s">
        <v>507</v>
      </c>
      <c r="J78" s="17" t="s">
        <v>375</v>
      </c>
      <c r="K78" s="1">
        <v>35.15</v>
      </c>
      <c r="L78" s="2"/>
      <c r="M78" s="19"/>
      <c r="N78" s="18"/>
      <c r="O78" s="19"/>
      <c r="P78" s="19"/>
      <c r="Q78" s="19"/>
      <c r="R78" s="18"/>
      <c r="S78" s="18"/>
      <c r="T78" s="18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8"/>
      <c r="AF78" s="19"/>
      <c r="AG78" s="19"/>
      <c r="AH78" s="19"/>
      <c r="AJ78" s="19"/>
      <c r="AK78" s="1"/>
      <c r="AL78" s="20"/>
      <c r="AM78" s="14"/>
    </row>
    <row r="79" customHeight="1" spans="1:39">
      <c r="A79" s="15">
        <v>20240613</v>
      </c>
      <c r="B79" s="15" t="s">
        <v>211</v>
      </c>
      <c r="C79" s="15">
        <v>20240612</v>
      </c>
      <c r="D79" s="15">
        <v>451.49</v>
      </c>
      <c r="E79" s="15" t="s">
        <v>508</v>
      </c>
      <c r="F79" s="15" t="s">
        <v>509</v>
      </c>
      <c r="G79" s="16">
        <v>0.996</v>
      </c>
      <c r="H79" s="15"/>
      <c r="I79" s="4" t="s">
        <v>374</v>
      </c>
      <c r="J79" s="17" t="s">
        <v>375</v>
      </c>
      <c r="K79" s="1">
        <v>51.29</v>
      </c>
      <c r="L79" s="2"/>
      <c r="M79" s="19"/>
      <c r="N79" s="18"/>
      <c r="O79" s="19"/>
      <c r="P79" s="19"/>
      <c r="Q79" s="19"/>
      <c r="R79" s="18"/>
      <c r="S79" s="18"/>
      <c r="T79" s="18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8"/>
      <c r="AF79" s="19"/>
      <c r="AG79" s="19"/>
      <c r="AH79" s="19"/>
      <c r="AJ79" s="19"/>
      <c r="AK79" s="1"/>
      <c r="AL79" s="20"/>
      <c r="AM79" s="14"/>
    </row>
    <row r="80" customHeight="1" spans="1:39">
      <c r="A80" s="15">
        <v>20240613</v>
      </c>
      <c r="B80" s="15" t="s">
        <v>214</v>
      </c>
      <c r="C80" s="15">
        <v>20240612</v>
      </c>
      <c r="D80" s="15">
        <v>451.49</v>
      </c>
      <c r="E80" s="15" t="s">
        <v>508</v>
      </c>
      <c r="F80" s="15" t="s">
        <v>510</v>
      </c>
      <c r="G80" s="16">
        <v>0.9649</v>
      </c>
      <c r="H80" s="15"/>
      <c r="I80" s="4" t="s">
        <v>374</v>
      </c>
      <c r="J80" s="17" t="s">
        <v>375</v>
      </c>
      <c r="K80" s="1">
        <v>34.76</v>
      </c>
      <c r="L80" s="2"/>
      <c r="M80" s="19"/>
      <c r="N80" s="18"/>
      <c r="O80" s="19"/>
      <c r="P80" s="19"/>
      <c r="Q80" s="19"/>
      <c r="R80" s="18"/>
      <c r="S80" s="18"/>
      <c r="T80" s="18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8"/>
      <c r="AF80" s="19"/>
      <c r="AG80" s="19"/>
      <c r="AH80" s="19"/>
      <c r="AJ80" s="19"/>
      <c r="AK80" s="1"/>
      <c r="AL80" s="20"/>
      <c r="AM80" s="14"/>
    </row>
    <row r="81" customHeight="1" spans="1:39">
      <c r="A81" s="15">
        <v>20241016</v>
      </c>
      <c r="B81" s="15" t="s">
        <v>215</v>
      </c>
      <c r="C81" s="15" t="s">
        <v>511</v>
      </c>
      <c r="D81" s="15">
        <v>537.19</v>
      </c>
      <c r="E81" s="15" t="s">
        <v>512</v>
      </c>
      <c r="F81" s="15" t="s">
        <v>513</v>
      </c>
      <c r="G81" s="16">
        <v>0.992</v>
      </c>
      <c r="H81" s="15"/>
      <c r="I81" s="4" t="s">
        <v>374</v>
      </c>
      <c r="J81" s="17" t="s">
        <v>375</v>
      </c>
      <c r="K81" s="1">
        <v>102</v>
      </c>
      <c r="L81" s="2"/>
      <c r="M81" s="19"/>
      <c r="N81" s="18"/>
      <c r="O81" s="19"/>
      <c r="P81" s="19"/>
      <c r="Q81" s="19"/>
      <c r="R81" s="18"/>
      <c r="S81" s="18"/>
      <c r="T81" s="18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8"/>
      <c r="AF81" s="19"/>
      <c r="AG81" s="19"/>
      <c r="AH81" s="19"/>
      <c r="AJ81" s="19"/>
      <c r="AK81" s="1"/>
      <c r="AL81" s="20"/>
      <c r="AM81" s="14"/>
    </row>
    <row r="82" customHeight="1" spans="1:39">
      <c r="A82" s="15">
        <v>20241030</v>
      </c>
      <c r="B82" s="15" t="s">
        <v>217</v>
      </c>
      <c r="C82" s="15" t="s">
        <v>514</v>
      </c>
      <c r="D82" s="15">
        <v>542.16</v>
      </c>
      <c r="E82" s="15" t="s">
        <v>515</v>
      </c>
      <c r="F82" s="15" t="s">
        <v>516</v>
      </c>
      <c r="G82" s="16">
        <v>0.996</v>
      </c>
      <c r="H82" s="15"/>
      <c r="I82" s="4" t="s">
        <v>374</v>
      </c>
      <c r="J82" s="17" t="s">
        <v>375</v>
      </c>
      <c r="K82" s="1">
        <v>78</v>
      </c>
      <c r="L82" s="2"/>
      <c r="M82" s="19"/>
      <c r="N82" s="18"/>
      <c r="O82" s="19"/>
      <c r="P82" s="19"/>
      <c r="Q82" s="19"/>
      <c r="R82" s="18"/>
      <c r="S82" s="18"/>
      <c r="T82" s="18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8"/>
      <c r="AF82" s="19"/>
      <c r="AG82" s="19"/>
      <c r="AH82" s="19"/>
      <c r="AJ82" s="19"/>
      <c r="AK82" s="1"/>
      <c r="AL82" s="20"/>
      <c r="AM82" s="14"/>
    </row>
    <row r="83" customHeight="1" spans="1:39">
      <c r="A83" s="15">
        <v>20240717</v>
      </c>
      <c r="B83" s="15" t="s">
        <v>219</v>
      </c>
      <c r="C83" s="15">
        <v>20240715</v>
      </c>
      <c r="D83" s="15">
        <v>429.54</v>
      </c>
      <c r="E83" s="15" t="s">
        <v>517</v>
      </c>
      <c r="F83" s="15" t="s">
        <v>518</v>
      </c>
      <c r="G83" s="16">
        <v>0.9758</v>
      </c>
      <c r="H83" s="15"/>
      <c r="I83" s="4" t="s">
        <v>374</v>
      </c>
      <c r="J83" s="17" t="s">
        <v>375</v>
      </c>
      <c r="K83" s="1">
        <v>1.88</v>
      </c>
      <c r="L83" s="2"/>
      <c r="M83" s="19"/>
      <c r="N83" s="18"/>
      <c r="O83" s="19"/>
      <c r="P83" s="19"/>
      <c r="Q83" s="19"/>
      <c r="R83" s="18"/>
      <c r="S83" s="18"/>
      <c r="T83" s="18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8"/>
      <c r="AF83" s="19"/>
      <c r="AG83" s="19"/>
      <c r="AH83" s="19"/>
      <c r="AJ83" s="19"/>
      <c r="AK83" s="1"/>
      <c r="AL83" s="20"/>
      <c r="AM83" s="14"/>
    </row>
    <row r="84" customHeight="1" spans="1:39">
      <c r="A84" s="15">
        <v>20240819</v>
      </c>
      <c r="B84" s="15" t="s">
        <v>221</v>
      </c>
      <c r="C84" s="15">
        <v>20240819</v>
      </c>
      <c r="D84" s="15">
        <v>457.55</v>
      </c>
      <c r="E84" s="15" t="s">
        <v>519</v>
      </c>
      <c r="F84" s="15" t="s">
        <v>520</v>
      </c>
      <c r="G84" s="16">
        <v>0.966</v>
      </c>
      <c r="H84" s="15"/>
      <c r="I84" s="4" t="s">
        <v>374</v>
      </c>
      <c r="J84" s="17" t="s">
        <v>375</v>
      </c>
      <c r="K84" s="1">
        <v>7.2</v>
      </c>
      <c r="L84" s="2"/>
      <c r="M84" s="19"/>
      <c r="N84" s="18"/>
      <c r="O84" s="19"/>
      <c r="P84" s="19"/>
      <c r="Q84" s="19"/>
      <c r="R84" s="18"/>
      <c r="S84" s="18"/>
      <c r="T84" s="18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8"/>
      <c r="AF84" s="19"/>
      <c r="AG84" s="19"/>
      <c r="AH84" s="19"/>
      <c r="AJ84" s="19"/>
      <c r="AK84" s="1"/>
      <c r="AL84" s="20"/>
      <c r="AM84" s="14"/>
    </row>
    <row r="85" customHeight="1" spans="1:39">
      <c r="A85" s="15">
        <v>20240909</v>
      </c>
      <c r="B85" s="15" t="s">
        <v>221</v>
      </c>
      <c r="C85" s="15">
        <v>20240906</v>
      </c>
      <c r="D85" s="15">
        <v>457.55</v>
      </c>
      <c r="E85" s="15" t="s">
        <v>519</v>
      </c>
      <c r="F85" s="15" t="s">
        <v>521</v>
      </c>
      <c r="G85" s="16">
        <v>0.999</v>
      </c>
      <c r="H85" s="15"/>
      <c r="I85" s="4" t="s">
        <v>374</v>
      </c>
      <c r="J85" s="17" t="s">
        <v>375</v>
      </c>
      <c r="K85" s="1">
        <v>57.8</v>
      </c>
      <c r="L85" s="2"/>
      <c r="M85" s="19"/>
      <c r="N85" s="18"/>
      <c r="O85" s="19"/>
      <c r="P85" s="19"/>
      <c r="Q85" s="19"/>
      <c r="R85" s="18"/>
      <c r="S85" s="18"/>
      <c r="T85" s="18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8"/>
      <c r="AF85" s="19"/>
      <c r="AG85" s="19"/>
      <c r="AH85" s="19"/>
      <c r="AJ85" s="19"/>
      <c r="AK85" s="1"/>
      <c r="AL85" s="20"/>
      <c r="AM85" s="14"/>
    </row>
    <row r="86" customHeight="1" spans="1:39">
      <c r="A86" s="15">
        <v>20240717</v>
      </c>
      <c r="B86" s="15" t="s">
        <v>224</v>
      </c>
      <c r="C86" s="15" t="s">
        <v>522</v>
      </c>
      <c r="D86" s="15">
        <v>456.56</v>
      </c>
      <c r="E86" s="15" t="s">
        <v>523</v>
      </c>
      <c r="F86" s="15" t="s">
        <v>524</v>
      </c>
      <c r="G86" s="16">
        <v>0.91</v>
      </c>
      <c r="H86" s="15"/>
      <c r="I86" s="4" t="s">
        <v>374</v>
      </c>
      <c r="J86" s="17" t="s">
        <v>375</v>
      </c>
      <c r="K86" s="1">
        <v>8.8</v>
      </c>
      <c r="L86" s="2"/>
      <c r="M86" s="19"/>
      <c r="N86" s="18"/>
      <c r="O86" s="19"/>
      <c r="P86" s="19"/>
      <c r="Q86" s="19"/>
      <c r="R86" s="18"/>
      <c r="S86" s="18"/>
      <c r="T86" s="18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8"/>
      <c r="AF86" s="19"/>
      <c r="AG86" s="19"/>
      <c r="AH86" s="19"/>
      <c r="AJ86" s="19"/>
      <c r="AK86" s="1"/>
      <c r="AL86" s="20"/>
      <c r="AM86" s="14"/>
    </row>
    <row r="87" customHeight="1" spans="1:39">
      <c r="A87" s="15">
        <v>20240805</v>
      </c>
      <c r="B87" s="15" t="s">
        <v>525</v>
      </c>
      <c r="C87" s="15" t="s">
        <v>526</v>
      </c>
      <c r="D87" s="15">
        <v>456.56</v>
      </c>
      <c r="E87" s="15" t="s">
        <v>523</v>
      </c>
      <c r="F87" s="15" t="s">
        <v>524</v>
      </c>
      <c r="G87" s="16">
        <v>0.97</v>
      </c>
      <c r="H87" s="15"/>
      <c r="I87" s="4" t="s">
        <v>374</v>
      </c>
      <c r="J87" s="17" t="s">
        <v>375</v>
      </c>
      <c r="K87" s="1">
        <v>60.1</v>
      </c>
      <c r="L87" s="2"/>
      <c r="M87" s="19"/>
      <c r="N87" s="18"/>
      <c r="O87" s="19"/>
      <c r="P87" s="19"/>
      <c r="Q87" s="19"/>
      <c r="R87" s="18"/>
      <c r="S87" s="18"/>
      <c r="T87" s="18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8"/>
      <c r="AF87" s="19"/>
      <c r="AG87" s="19"/>
      <c r="AH87" s="19"/>
      <c r="AJ87" s="19"/>
      <c r="AK87" s="1"/>
      <c r="AL87" s="20"/>
      <c r="AM87" s="14"/>
    </row>
    <row r="88" customHeight="1" spans="1:39">
      <c r="A88" s="15">
        <v>20240909</v>
      </c>
      <c r="B88" s="15" t="s">
        <v>229</v>
      </c>
      <c r="C88" s="15">
        <v>20240906</v>
      </c>
      <c r="D88" s="15">
        <v>504.47</v>
      </c>
      <c r="E88" s="15" t="s">
        <v>527</v>
      </c>
      <c r="F88" s="15" t="s">
        <v>528</v>
      </c>
      <c r="G88" s="16">
        <v>0.9971</v>
      </c>
      <c r="H88" s="15"/>
      <c r="I88" s="4" t="s">
        <v>374</v>
      </c>
      <c r="J88" s="17" t="s">
        <v>375</v>
      </c>
      <c r="K88" s="1">
        <v>27.79</v>
      </c>
      <c r="L88" s="2"/>
      <c r="M88" s="19"/>
      <c r="N88" s="18"/>
      <c r="O88" s="19"/>
      <c r="P88" s="19"/>
      <c r="Q88" s="19"/>
      <c r="R88" s="18"/>
      <c r="S88" s="18"/>
      <c r="T88" s="18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8"/>
      <c r="AF88" s="19"/>
      <c r="AG88" s="19"/>
      <c r="AH88" s="19"/>
      <c r="AJ88" s="19"/>
      <c r="AK88" s="1"/>
      <c r="AL88" s="20"/>
      <c r="AM88" s="14"/>
    </row>
    <row r="89" customHeight="1" spans="1:39">
      <c r="A89" s="15">
        <v>20240701</v>
      </c>
      <c r="B89" s="15" t="s">
        <v>232</v>
      </c>
      <c r="C89" s="15">
        <v>20240628</v>
      </c>
      <c r="D89" s="15">
        <v>453.46</v>
      </c>
      <c r="E89" s="15" t="s">
        <v>529</v>
      </c>
      <c r="F89" s="15" t="s">
        <v>437</v>
      </c>
      <c r="G89" s="21">
        <v>0.9828</v>
      </c>
      <c r="H89" s="21"/>
      <c r="I89" s="23" t="s">
        <v>374</v>
      </c>
      <c r="J89" s="4" t="s">
        <v>375</v>
      </c>
      <c r="K89" s="23">
        <v>1.18</v>
      </c>
      <c r="M89" s="19"/>
      <c r="N89" s="19"/>
      <c r="O89" s="19"/>
      <c r="Q89" s="19"/>
      <c r="R89" s="18"/>
      <c r="S89" s="18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J89" s="19"/>
      <c r="AK89" s="1"/>
      <c r="AL89" s="20"/>
      <c r="AM89" s="14"/>
    </row>
    <row r="90" customHeight="1" spans="1:39">
      <c r="A90" s="15">
        <v>20240821</v>
      </c>
      <c r="B90" s="15" t="s">
        <v>234</v>
      </c>
      <c r="C90" s="15" t="s">
        <v>530</v>
      </c>
      <c r="D90" s="15">
        <v>544.46</v>
      </c>
      <c r="E90" s="15" t="s">
        <v>531</v>
      </c>
      <c r="F90" s="15" t="s">
        <v>532</v>
      </c>
      <c r="G90" s="21">
        <v>1</v>
      </c>
      <c r="H90" s="21"/>
      <c r="I90" s="23" t="s">
        <v>374</v>
      </c>
      <c r="J90" s="4" t="s">
        <v>375</v>
      </c>
      <c r="K90" s="23">
        <v>11.1</v>
      </c>
      <c r="M90" s="19"/>
      <c r="N90" s="19"/>
      <c r="O90" s="19"/>
      <c r="Q90" s="19"/>
      <c r="R90" s="18"/>
      <c r="S90" s="18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J90" s="19"/>
      <c r="AK90" s="1"/>
      <c r="AL90" s="20"/>
      <c r="AM90" s="14"/>
    </row>
    <row r="91" s="1" customFormat="1" customHeight="1" spans="1:39">
      <c r="A91" s="15">
        <v>20240701</v>
      </c>
      <c r="B91" s="1" t="s">
        <v>236</v>
      </c>
      <c r="C91" s="1">
        <v>20240628</v>
      </c>
      <c r="D91" s="1">
        <v>436.47</v>
      </c>
      <c r="E91" s="1" t="s">
        <v>533</v>
      </c>
      <c r="F91" s="1" t="s">
        <v>534</v>
      </c>
      <c r="G91" s="21">
        <v>0.9989</v>
      </c>
      <c r="H91" s="21"/>
      <c r="I91" s="1" t="s">
        <v>374</v>
      </c>
      <c r="J91" s="4" t="s">
        <v>375</v>
      </c>
      <c r="K91" s="24">
        <v>1</v>
      </c>
      <c r="AL91" s="20"/>
    </row>
    <row r="92" s="1" customFormat="1" customHeight="1" spans="1:39">
      <c r="A92" s="15">
        <v>20241211</v>
      </c>
      <c r="B92" s="1" t="s">
        <v>237</v>
      </c>
      <c r="C92" s="1">
        <v>20241206</v>
      </c>
      <c r="D92" s="1">
        <v>471.45</v>
      </c>
      <c r="E92" s="1" t="s">
        <v>535</v>
      </c>
      <c r="F92" s="1" t="s">
        <v>536</v>
      </c>
      <c r="G92" s="21">
        <v>0.9487</v>
      </c>
      <c r="H92" s="21"/>
      <c r="I92" s="1" t="s">
        <v>374</v>
      </c>
      <c r="J92" s="4" t="s">
        <v>375</v>
      </c>
      <c r="K92" s="24">
        <v>7.23</v>
      </c>
      <c r="AL92" s="20"/>
    </row>
    <row r="93" s="1" customFormat="1" customHeight="1" spans="1:39">
      <c r="A93" s="15">
        <v>20230821</v>
      </c>
      <c r="B93" s="1" t="s">
        <v>240</v>
      </c>
      <c r="C93" s="1" t="s">
        <v>537</v>
      </c>
      <c r="D93" s="1">
        <v>544.46</v>
      </c>
      <c r="E93" s="1" t="s">
        <v>531</v>
      </c>
      <c r="F93" s="1" t="s">
        <v>532</v>
      </c>
      <c r="G93" s="21">
        <v>0.9</v>
      </c>
      <c r="H93" s="21"/>
      <c r="I93" s="1" t="s">
        <v>538</v>
      </c>
      <c r="J93" s="4" t="s">
        <v>375</v>
      </c>
      <c r="K93" s="24">
        <v>2.7</v>
      </c>
      <c r="AL93" s="20"/>
    </row>
    <row r="94" s="1" customFormat="1" customHeight="1" spans="1:39">
      <c r="A94" s="15">
        <v>20241030</v>
      </c>
      <c r="B94" s="1" t="s">
        <v>241</v>
      </c>
      <c r="C94" s="1" t="s">
        <v>539</v>
      </c>
      <c r="D94" s="1">
        <v>410.42</v>
      </c>
      <c r="E94" s="1" t="s">
        <v>540</v>
      </c>
      <c r="F94" s="1" t="s">
        <v>541</v>
      </c>
      <c r="G94" s="21">
        <v>0.9935</v>
      </c>
      <c r="H94" s="21"/>
      <c r="I94" s="1" t="s">
        <v>374</v>
      </c>
      <c r="J94" s="4" t="s">
        <v>375</v>
      </c>
      <c r="K94" s="24">
        <v>13.5</v>
      </c>
      <c r="AL94" s="20"/>
    </row>
    <row r="95" s="1" customFormat="1" customHeight="1" spans="1:39">
      <c r="A95" s="15">
        <v>20240805</v>
      </c>
      <c r="B95" s="1" t="s">
        <v>242</v>
      </c>
      <c r="C95" s="1" t="s">
        <v>542</v>
      </c>
      <c r="D95" s="1">
        <v>454.12</v>
      </c>
      <c r="E95" s="1" t="s">
        <v>543</v>
      </c>
      <c r="F95" s="1" t="s">
        <v>544</v>
      </c>
      <c r="G95" s="21">
        <v>0.967</v>
      </c>
      <c r="H95" s="21"/>
      <c r="I95" s="1" t="s">
        <v>374</v>
      </c>
      <c r="J95" s="4" t="s">
        <v>375</v>
      </c>
      <c r="K95" s="24">
        <v>60.4</v>
      </c>
      <c r="AL95" s="20"/>
    </row>
    <row r="96" s="1" customFormat="1" customHeight="1" spans="1:39">
      <c r="A96" s="15">
        <v>20240805</v>
      </c>
      <c r="B96" s="1" t="s">
        <v>244</v>
      </c>
      <c r="C96" s="1" t="s">
        <v>545</v>
      </c>
      <c r="D96" s="1">
        <v>412.15</v>
      </c>
      <c r="E96" s="1" t="s">
        <v>546</v>
      </c>
      <c r="F96" s="1" t="s">
        <v>547</v>
      </c>
      <c r="G96" s="21">
        <v>0.973</v>
      </c>
      <c r="H96" s="21"/>
      <c r="I96" s="1" t="s">
        <v>374</v>
      </c>
      <c r="J96" s="4" t="s">
        <v>375</v>
      </c>
      <c r="K96" s="24">
        <v>40.1</v>
      </c>
      <c r="AL96" s="20"/>
    </row>
    <row r="97" s="1" customFormat="1" customHeight="1" spans="1:38">
      <c r="A97" s="15">
        <v>20240805</v>
      </c>
      <c r="B97" s="1" t="s">
        <v>246</v>
      </c>
      <c r="C97" s="1" t="s">
        <v>548</v>
      </c>
      <c r="D97" s="1">
        <v>423.88</v>
      </c>
      <c r="E97" s="1" t="s">
        <v>549</v>
      </c>
      <c r="F97" s="1" t="s">
        <v>550</v>
      </c>
      <c r="G97" s="21">
        <v>0.9733</v>
      </c>
      <c r="H97" s="21"/>
      <c r="I97" s="1" t="s">
        <v>374</v>
      </c>
      <c r="J97" s="4" t="s">
        <v>375</v>
      </c>
      <c r="K97" s="24">
        <v>49</v>
      </c>
      <c r="AL97" s="20"/>
    </row>
    <row r="98" s="1" customFormat="1" customHeight="1" spans="1:38">
      <c r="A98" s="15">
        <v>20241030</v>
      </c>
      <c r="B98" s="1" t="s">
        <v>248</v>
      </c>
      <c r="C98" s="1" t="s">
        <v>551</v>
      </c>
      <c r="D98" s="1">
        <v>518.15</v>
      </c>
      <c r="E98" s="1" t="s">
        <v>552</v>
      </c>
      <c r="F98" s="1" t="s">
        <v>553</v>
      </c>
      <c r="G98" s="21">
        <v>0.977</v>
      </c>
      <c r="H98" s="21"/>
      <c r="I98" s="1" t="s">
        <v>374</v>
      </c>
      <c r="J98" s="4" t="s">
        <v>375</v>
      </c>
      <c r="K98" s="24">
        <v>8.2</v>
      </c>
      <c r="AL98" s="20"/>
    </row>
    <row r="99" s="1" customFormat="1" customHeight="1" spans="1:38">
      <c r="A99" s="15">
        <v>20241122</v>
      </c>
      <c r="B99" s="1" t="s">
        <v>248</v>
      </c>
      <c r="C99" s="1" t="s">
        <v>554</v>
      </c>
      <c r="D99" s="1">
        <v>518.15</v>
      </c>
      <c r="E99" s="1" t="s">
        <v>552</v>
      </c>
      <c r="F99" s="1" t="s">
        <v>553</v>
      </c>
      <c r="G99" s="21">
        <v>0.955</v>
      </c>
      <c r="H99" s="21"/>
      <c r="I99" s="1" t="s">
        <v>404</v>
      </c>
      <c r="J99" s="4" t="s">
        <v>375</v>
      </c>
      <c r="K99" s="24">
        <v>66.2</v>
      </c>
      <c r="AL99" s="20"/>
    </row>
    <row r="100" s="1" customFormat="1" customHeight="1" spans="1:38">
      <c r="A100" s="15">
        <v>20240909</v>
      </c>
      <c r="B100" s="1" t="s">
        <v>252</v>
      </c>
      <c r="C100" s="1" t="s">
        <v>555</v>
      </c>
      <c r="D100" s="1">
        <v>479.61</v>
      </c>
      <c r="E100" s="1" t="s">
        <v>556</v>
      </c>
      <c r="F100" s="1" t="s">
        <v>557</v>
      </c>
      <c r="G100" s="21">
        <v>0.9531</v>
      </c>
      <c r="H100" s="21"/>
      <c r="I100" s="1" t="s">
        <v>374</v>
      </c>
      <c r="J100" s="4" t="s">
        <v>375</v>
      </c>
      <c r="K100" s="24">
        <v>103.1</v>
      </c>
      <c r="AL100" s="20"/>
    </row>
    <row r="101" s="1" customFormat="1" customHeight="1" spans="1:38">
      <c r="A101" s="15">
        <v>20240730</v>
      </c>
      <c r="B101" s="1" t="s">
        <v>254</v>
      </c>
      <c r="C101" s="1" t="s">
        <v>558</v>
      </c>
      <c r="D101" s="1">
        <v>406.1</v>
      </c>
      <c r="E101" s="1" t="s">
        <v>559</v>
      </c>
      <c r="F101" s="1" t="s">
        <v>560</v>
      </c>
      <c r="G101" s="21">
        <v>0.976</v>
      </c>
      <c r="H101" s="24"/>
      <c r="I101" s="1" t="s">
        <v>374</v>
      </c>
      <c r="J101" s="4" t="s">
        <v>375</v>
      </c>
      <c r="K101" s="24">
        <v>58.2</v>
      </c>
      <c r="AL101" s="20"/>
    </row>
    <row r="102" s="1" customFormat="1" customHeight="1" spans="1:38">
      <c r="A102" s="15">
        <v>20240909</v>
      </c>
      <c r="B102" s="1" t="s">
        <v>256</v>
      </c>
      <c r="C102" s="1">
        <v>20240906</v>
      </c>
      <c r="D102" s="1">
        <v>429.54</v>
      </c>
      <c r="E102" s="1" t="s">
        <v>517</v>
      </c>
      <c r="F102" s="1" t="s">
        <v>561</v>
      </c>
      <c r="G102" s="21">
        <v>0.9906</v>
      </c>
      <c r="H102" s="24"/>
      <c r="I102" s="1" t="s">
        <v>374</v>
      </c>
      <c r="J102" s="4" t="s">
        <v>375</v>
      </c>
      <c r="K102" s="24">
        <v>1.43</v>
      </c>
      <c r="AL102" s="20"/>
    </row>
    <row r="103" s="1" customFormat="1" customHeight="1" spans="1:38">
      <c r="A103" s="15">
        <v>20240827</v>
      </c>
      <c r="B103" s="1" t="s">
        <v>257</v>
      </c>
      <c r="C103" s="1" t="s">
        <v>562</v>
      </c>
      <c r="D103" s="1">
        <v>438.34</v>
      </c>
      <c r="E103" s="1" t="s">
        <v>563</v>
      </c>
      <c r="F103" s="1" t="s">
        <v>564</v>
      </c>
      <c r="G103" s="25">
        <v>0.985</v>
      </c>
      <c r="H103" s="26"/>
      <c r="I103" s="24" t="s">
        <v>374</v>
      </c>
      <c r="J103" s="4" t="s">
        <v>375</v>
      </c>
      <c r="K103" s="24">
        <v>24.3</v>
      </c>
      <c r="AL103" s="20"/>
    </row>
    <row r="104" s="1" customFormat="1" customHeight="1" spans="1:38">
      <c r="A104" s="15">
        <v>20240925</v>
      </c>
      <c r="B104" s="1" t="s">
        <v>259</v>
      </c>
      <c r="C104" s="1" t="s">
        <v>565</v>
      </c>
      <c r="D104" s="1">
        <v>460.5</v>
      </c>
      <c r="E104" s="1" t="s">
        <v>566</v>
      </c>
      <c r="F104" s="1" t="s">
        <v>567</v>
      </c>
      <c r="G104" s="25">
        <v>0.9835</v>
      </c>
      <c r="H104" s="26"/>
      <c r="I104" s="24" t="s">
        <v>374</v>
      </c>
      <c r="J104" s="4" t="s">
        <v>375</v>
      </c>
      <c r="K104" s="24">
        <v>33</v>
      </c>
      <c r="AL104" s="20"/>
    </row>
    <row r="105" s="1" customFormat="1" customHeight="1" spans="1:38">
      <c r="A105" s="15">
        <v>20240909</v>
      </c>
      <c r="B105" s="1" t="s">
        <v>261</v>
      </c>
      <c r="C105" s="1" t="s">
        <v>568</v>
      </c>
      <c r="D105" s="1">
        <v>492.16</v>
      </c>
      <c r="E105" s="1" t="s">
        <v>569</v>
      </c>
      <c r="F105" s="1" t="s">
        <v>570</v>
      </c>
      <c r="G105" s="25">
        <v>0.976</v>
      </c>
      <c r="H105" s="26"/>
      <c r="I105" s="24" t="s">
        <v>374</v>
      </c>
      <c r="J105" s="4" t="s">
        <v>375</v>
      </c>
      <c r="K105" s="24">
        <v>17.4</v>
      </c>
      <c r="AL105" s="20"/>
    </row>
    <row r="106" s="1" customFormat="1" customHeight="1" spans="1:38">
      <c r="A106" s="15">
        <v>20240909</v>
      </c>
      <c r="B106" s="1" t="s">
        <v>264</v>
      </c>
      <c r="C106" s="1" t="s">
        <v>571</v>
      </c>
      <c r="D106" s="1">
        <v>508.16</v>
      </c>
      <c r="E106" s="1" t="s">
        <v>572</v>
      </c>
      <c r="F106" s="1" t="s">
        <v>573</v>
      </c>
      <c r="G106" s="25">
        <v>0.969</v>
      </c>
      <c r="H106" s="26"/>
      <c r="I106" s="24" t="s">
        <v>374</v>
      </c>
      <c r="J106" s="4" t="s">
        <v>375</v>
      </c>
      <c r="K106" s="24">
        <v>14.5</v>
      </c>
      <c r="AL106" s="20"/>
    </row>
    <row r="107" s="1" customFormat="1" customHeight="1" spans="1:38">
      <c r="A107" s="15">
        <v>20240912</v>
      </c>
      <c r="B107" s="1" t="s">
        <v>264</v>
      </c>
      <c r="C107" s="1" t="s">
        <v>574</v>
      </c>
      <c r="D107" s="1">
        <v>508.16</v>
      </c>
      <c r="E107" s="1" t="s">
        <v>572</v>
      </c>
      <c r="F107" s="1" t="s">
        <v>573</v>
      </c>
      <c r="G107" s="25">
        <v>1</v>
      </c>
      <c r="H107" s="26"/>
      <c r="I107" s="24" t="s">
        <v>374</v>
      </c>
      <c r="J107" s="4" t="s">
        <v>375</v>
      </c>
      <c r="K107" s="24">
        <v>15.4</v>
      </c>
      <c r="AL107" s="20"/>
    </row>
    <row r="108" s="1" customFormat="1" customHeight="1" spans="1:38">
      <c r="A108" s="15">
        <v>20241107</v>
      </c>
      <c r="B108" s="1" t="s">
        <v>267</v>
      </c>
      <c r="C108" s="1" t="s">
        <v>575</v>
      </c>
      <c r="D108" s="1">
        <v>430.14</v>
      </c>
      <c r="E108" s="1" t="s">
        <v>576</v>
      </c>
      <c r="F108" s="1" t="s">
        <v>577</v>
      </c>
      <c r="G108" s="25">
        <v>0.988</v>
      </c>
      <c r="H108" s="26"/>
      <c r="I108" s="24" t="s">
        <v>374</v>
      </c>
      <c r="J108" s="4" t="s">
        <v>375</v>
      </c>
      <c r="K108" s="24">
        <v>68.2</v>
      </c>
      <c r="AL108" s="20"/>
    </row>
    <row r="109" s="1" customFormat="1" customHeight="1" spans="1:38">
      <c r="A109" s="15">
        <v>20241107</v>
      </c>
      <c r="B109" s="1" t="s">
        <v>269</v>
      </c>
      <c r="C109" s="1" t="s">
        <v>578</v>
      </c>
      <c r="D109" s="1">
        <v>452.12</v>
      </c>
      <c r="E109" s="1" t="s">
        <v>579</v>
      </c>
      <c r="F109" s="1" t="s">
        <v>580</v>
      </c>
      <c r="G109" s="25">
        <v>0.94</v>
      </c>
      <c r="H109" s="25"/>
      <c r="I109" s="26" t="s">
        <v>374</v>
      </c>
      <c r="J109" s="4" t="s">
        <v>375</v>
      </c>
      <c r="K109" s="24">
        <v>65</v>
      </c>
      <c r="AL109" s="20"/>
    </row>
    <row r="110" s="1" customFormat="1" customHeight="1" spans="1:38">
      <c r="A110" s="15">
        <v>20241119</v>
      </c>
      <c r="B110" s="1" t="s">
        <v>271</v>
      </c>
      <c r="C110" s="1" t="s">
        <v>581</v>
      </c>
      <c r="D110" s="1">
        <v>556.13</v>
      </c>
      <c r="E110" s="1" t="s">
        <v>582</v>
      </c>
      <c r="F110" s="1" t="s">
        <v>583</v>
      </c>
      <c r="G110" s="21">
        <v>0.944</v>
      </c>
      <c r="H110" s="21"/>
      <c r="I110" s="1" t="s">
        <v>374</v>
      </c>
      <c r="J110" s="4" t="s">
        <v>375</v>
      </c>
      <c r="K110" s="1">
        <v>105</v>
      </c>
      <c r="AL110" s="20"/>
    </row>
    <row r="111" s="1" customFormat="1" customHeight="1" spans="1:38">
      <c r="A111" s="15">
        <v>20241119</v>
      </c>
      <c r="B111" s="1" t="s">
        <v>274</v>
      </c>
      <c r="C111" s="1" t="s">
        <v>584</v>
      </c>
      <c r="D111" s="1">
        <v>532.17</v>
      </c>
      <c r="E111" s="1" t="s">
        <v>585</v>
      </c>
      <c r="F111" s="1" t="s">
        <v>586</v>
      </c>
      <c r="G111" s="21">
        <v>0.989</v>
      </c>
      <c r="H111" s="21"/>
      <c r="I111" s="1" t="s">
        <v>374</v>
      </c>
      <c r="J111" s="4" t="s">
        <v>375</v>
      </c>
      <c r="K111" s="24">
        <v>40</v>
      </c>
      <c r="AL111" s="20"/>
    </row>
    <row r="112" s="1" customFormat="1" customHeight="1" spans="1:38">
      <c r="A112" s="15">
        <v>20241119</v>
      </c>
      <c r="B112" s="1" t="s">
        <v>277</v>
      </c>
      <c r="C112" s="1" t="s">
        <v>587</v>
      </c>
      <c r="D112" s="1">
        <v>600.16</v>
      </c>
      <c r="E112" s="1" t="s">
        <v>588</v>
      </c>
      <c r="F112" s="1" t="s">
        <v>589</v>
      </c>
      <c r="G112" s="21">
        <v>0.993</v>
      </c>
      <c r="H112" s="21"/>
      <c r="I112" s="1" t="s">
        <v>374</v>
      </c>
      <c r="J112" s="4" t="s">
        <v>375</v>
      </c>
      <c r="K112" s="24">
        <v>88</v>
      </c>
      <c r="AL112" s="20"/>
    </row>
    <row r="113" s="1" customFormat="1" customHeight="1" spans="1:38">
      <c r="A113" s="15">
        <v>20250312</v>
      </c>
      <c r="B113" s="1" t="s">
        <v>280</v>
      </c>
      <c r="C113" s="1" t="s">
        <v>590</v>
      </c>
      <c r="D113" s="1">
        <v>574.12</v>
      </c>
      <c r="E113" s="1" t="s">
        <v>591</v>
      </c>
      <c r="F113" s="1" t="s">
        <v>592</v>
      </c>
      <c r="G113" s="21">
        <v>1</v>
      </c>
      <c r="H113" s="21"/>
      <c r="I113" s="1" t="s">
        <v>593</v>
      </c>
      <c r="J113" s="4" t="s">
        <v>394</v>
      </c>
      <c r="K113" s="24">
        <v>32</v>
      </c>
      <c r="AL113" s="20"/>
    </row>
    <row r="114" s="1" customFormat="1" customHeight="1" spans="1:38">
      <c r="A114" s="15">
        <v>20241230</v>
      </c>
      <c r="B114" s="1" t="s">
        <v>288</v>
      </c>
      <c r="C114" s="1">
        <v>20241224</v>
      </c>
      <c r="D114" s="1">
        <v>530.55</v>
      </c>
      <c r="E114" s="1" t="s">
        <v>594</v>
      </c>
      <c r="F114" s="1" t="s">
        <v>595</v>
      </c>
      <c r="G114" s="21">
        <v>0.9674</v>
      </c>
      <c r="H114" s="21"/>
      <c r="I114" s="1" t="s">
        <v>374</v>
      </c>
      <c r="J114" s="4" t="s">
        <v>394</v>
      </c>
      <c r="K114" s="24">
        <v>3.4</v>
      </c>
      <c r="AL114" s="20"/>
    </row>
    <row r="115" s="1" customFormat="1" customHeight="1" spans="1:38">
      <c r="A115" s="15">
        <v>20241230</v>
      </c>
      <c r="B115" s="1" t="s">
        <v>290</v>
      </c>
      <c r="C115" s="1">
        <v>20241224</v>
      </c>
      <c r="D115" s="1">
        <v>530.55</v>
      </c>
      <c r="E115" s="1" t="s">
        <v>596</v>
      </c>
      <c r="F115" s="1" t="s">
        <v>597</v>
      </c>
      <c r="G115" s="21">
        <v>0.9674</v>
      </c>
      <c r="H115" s="21"/>
      <c r="I115" s="1" t="s">
        <v>598</v>
      </c>
      <c r="J115" s="4" t="s">
        <v>394</v>
      </c>
      <c r="K115" s="24">
        <v>0.82</v>
      </c>
      <c r="AL115" s="20"/>
    </row>
    <row r="116" s="1" customFormat="1" customHeight="1" spans="1:38">
      <c r="A116" s="15">
        <v>20241211</v>
      </c>
      <c r="B116" s="1" t="s">
        <v>292</v>
      </c>
      <c r="C116" s="1" t="s">
        <v>599</v>
      </c>
      <c r="D116" s="1">
        <v>585.15</v>
      </c>
      <c r="E116" s="1" t="s">
        <v>600</v>
      </c>
      <c r="F116" s="1" t="s">
        <v>601</v>
      </c>
      <c r="G116" s="21">
        <v>0.987</v>
      </c>
      <c r="H116" s="21"/>
      <c r="I116" s="1" t="s">
        <v>374</v>
      </c>
      <c r="J116" s="4" t="s">
        <v>375</v>
      </c>
      <c r="K116" s="24">
        <v>42</v>
      </c>
      <c r="AL116" s="20"/>
    </row>
    <row r="117" s="1" customFormat="1" customHeight="1" spans="1:38">
      <c r="A117" s="15">
        <v>20250521</v>
      </c>
      <c r="B117" s="1" t="s">
        <v>292</v>
      </c>
      <c r="C117" s="1" t="s">
        <v>602</v>
      </c>
      <c r="D117" s="1">
        <v>585.15</v>
      </c>
      <c r="E117" s="1" t="s">
        <v>600</v>
      </c>
      <c r="F117" s="1" t="s">
        <v>601</v>
      </c>
      <c r="G117" s="21">
        <v>0.983</v>
      </c>
      <c r="H117" s="21"/>
      <c r="I117" s="1" t="s">
        <v>374</v>
      </c>
      <c r="J117" s="4" t="s">
        <v>375</v>
      </c>
      <c r="K117" s="24">
        <v>283.4</v>
      </c>
      <c r="AL117" s="20"/>
    </row>
    <row r="118" s="1" customFormat="1" customHeight="1" spans="1:38">
      <c r="A118" s="15">
        <v>20241211</v>
      </c>
      <c r="B118" s="1" t="s">
        <v>295</v>
      </c>
      <c r="C118" s="1" t="s">
        <v>603</v>
      </c>
      <c r="D118" s="1">
        <v>535.58</v>
      </c>
      <c r="E118" s="1" t="s">
        <v>604</v>
      </c>
      <c r="F118" s="1" t="s">
        <v>605</v>
      </c>
      <c r="G118" s="21">
        <v>0.9743</v>
      </c>
      <c r="H118" s="21"/>
      <c r="I118" s="1" t="s">
        <v>374</v>
      </c>
      <c r="J118" s="4" t="s">
        <v>375</v>
      </c>
      <c r="K118" s="24">
        <v>30</v>
      </c>
      <c r="AL118" s="20"/>
    </row>
    <row r="119" s="1" customFormat="1" customHeight="1" spans="1:38">
      <c r="A119" s="15"/>
      <c r="B119" s="1" t="s">
        <v>298</v>
      </c>
      <c r="C119" s="1" t="s">
        <v>606</v>
      </c>
      <c r="D119" s="1">
        <v>519.53</v>
      </c>
      <c r="E119" s="1" t="s">
        <v>607</v>
      </c>
      <c r="F119" s="1" t="s">
        <v>608</v>
      </c>
      <c r="G119" s="21">
        <v>0.9829</v>
      </c>
      <c r="H119" s="21"/>
      <c r="I119" s="1" t="s">
        <v>374</v>
      </c>
      <c r="J119" s="4" t="s">
        <v>394</v>
      </c>
      <c r="K119" s="24">
        <v>5</v>
      </c>
      <c r="AL119" s="20"/>
    </row>
    <row r="120" s="1" customFormat="1" customHeight="1" spans="1:38">
      <c r="A120" s="15">
        <v>20250312</v>
      </c>
      <c r="B120" s="1" t="s">
        <v>300</v>
      </c>
      <c r="C120" s="1" t="s">
        <v>609</v>
      </c>
      <c r="D120" s="1">
        <v>602.64</v>
      </c>
      <c r="E120" s="1" t="s">
        <v>610</v>
      </c>
      <c r="F120" s="1" t="s">
        <v>611</v>
      </c>
      <c r="G120" s="21">
        <v>0.9782</v>
      </c>
      <c r="H120" s="21"/>
      <c r="I120" s="1" t="s">
        <v>374</v>
      </c>
      <c r="J120" s="4" t="s">
        <v>394</v>
      </c>
      <c r="K120" s="24">
        <v>33</v>
      </c>
      <c r="AL120" s="20"/>
    </row>
    <row r="121" s="1" customFormat="1" customHeight="1" spans="1:38">
      <c r="A121" s="15">
        <v>20250508</v>
      </c>
      <c r="B121" s="1" t="s">
        <v>300</v>
      </c>
      <c r="C121" s="1" t="s">
        <v>612</v>
      </c>
      <c r="D121" s="1">
        <v>602.15</v>
      </c>
      <c r="E121" s="1" t="s">
        <v>610</v>
      </c>
      <c r="F121" s="1" t="s">
        <v>613</v>
      </c>
      <c r="G121" s="21">
        <v>0.964</v>
      </c>
      <c r="H121" s="21"/>
      <c r="I121" s="1" t="s">
        <v>374</v>
      </c>
      <c r="J121" s="4" t="s">
        <v>375</v>
      </c>
      <c r="K121" s="24">
        <v>330</v>
      </c>
      <c r="AL121" s="20"/>
    </row>
    <row r="122" s="1" customFormat="1" customHeight="1" spans="1:38">
      <c r="A122" s="15">
        <v>20241211</v>
      </c>
      <c r="B122" s="1" t="s">
        <v>303</v>
      </c>
      <c r="C122" s="1" t="s">
        <v>614</v>
      </c>
      <c r="D122" s="1">
        <v>596.13</v>
      </c>
      <c r="E122" s="1" t="s">
        <v>615</v>
      </c>
      <c r="F122" s="1" t="s">
        <v>616</v>
      </c>
      <c r="G122" s="21">
        <v>0.94</v>
      </c>
      <c r="H122" s="21"/>
      <c r="I122" s="1" t="s">
        <v>374</v>
      </c>
      <c r="J122" s="4" t="s">
        <v>375</v>
      </c>
      <c r="K122" s="24">
        <v>36</v>
      </c>
      <c r="AL122" s="20"/>
    </row>
    <row r="123" s="1" customFormat="1" customHeight="1" spans="1:38">
      <c r="A123" s="15">
        <v>20250108</v>
      </c>
      <c r="B123" s="1" t="s">
        <v>306</v>
      </c>
      <c r="C123" s="1" t="s">
        <v>617</v>
      </c>
      <c r="D123" s="1">
        <v>534.16</v>
      </c>
      <c r="E123" s="1" t="s">
        <v>618</v>
      </c>
      <c r="F123" s="1" t="s">
        <v>619</v>
      </c>
      <c r="G123" s="21">
        <v>0.938</v>
      </c>
      <c r="H123" s="21"/>
      <c r="I123" s="1" t="s">
        <v>374</v>
      </c>
      <c r="J123" s="4" t="s">
        <v>394</v>
      </c>
      <c r="K123" s="24">
        <v>4.5</v>
      </c>
      <c r="AL123" s="20"/>
    </row>
    <row r="124" s="1" customFormat="1" customHeight="1" spans="1:38">
      <c r="A124" s="15">
        <v>20250108</v>
      </c>
      <c r="B124" s="1" t="s">
        <v>307</v>
      </c>
      <c r="C124" s="1" t="s">
        <v>620</v>
      </c>
      <c r="D124" s="1">
        <v>570.63</v>
      </c>
      <c r="E124" s="1" t="s">
        <v>621</v>
      </c>
      <c r="F124" s="1" t="s">
        <v>622</v>
      </c>
      <c r="G124" s="21">
        <v>0.961</v>
      </c>
      <c r="H124" s="21"/>
      <c r="I124" s="1" t="s">
        <v>374</v>
      </c>
      <c r="J124" s="4" t="s">
        <v>394</v>
      </c>
      <c r="K124" s="24">
        <v>21.5</v>
      </c>
      <c r="AL124" s="20"/>
    </row>
    <row r="125" s="1" customFormat="1" customHeight="1" spans="1:38">
      <c r="A125" s="15">
        <v>20241211</v>
      </c>
      <c r="B125" s="1" t="s">
        <v>309</v>
      </c>
      <c r="C125" s="1" t="s">
        <v>623</v>
      </c>
      <c r="D125" s="1">
        <v>570.14</v>
      </c>
      <c r="E125" s="1" t="s">
        <v>624</v>
      </c>
      <c r="F125" s="1" t="s">
        <v>625</v>
      </c>
      <c r="G125" s="21">
        <v>0.991</v>
      </c>
      <c r="H125" s="21"/>
      <c r="I125" s="1" t="s">
        <v>374</v>
      </c>
      <c r="J125" s="4" t="s">
        <v>375</v>
      </c>
      <c r="K125" s="24">
        <v>31</v>
      </c>
      <c r="AL125" s="20"/>
    </row>
    <row r="126" s="1" customFormat="1" customHeight="1" spans="1:38">
      <c r="A126" s="15">
        <v>20250108</v>
      </c>
      <c r="B126" s="1" t="s">
        <v>312</v>
      </c>
      <c r="C126" s="1">
        <v>20241231</v>
      </c>
      <c r="D126" s="1">
        <v>552.98</v>
      </c>
      <c r="E126" s="1" t="s">
        <v>626</v>
      </c>
      <c r="F126" s="1" t="s">
        <v>627</v>
      </c>
      <c r="G126" s="21">
        <v>0.99</v>
      </c>
      <c r="H126" s="21"/>
      <c r="I126" s="1" t="s">
        <v>374</v>
      </c>
      <c r="J126" s="4" t="s">
        <v>394</v>
      </c>
      <c r="K126" s="24">
        <v>2.11</v>
      </c>
      <c r="AL126" s="20"/>
    </row>
    <row r="127" s="1" customFormat="1" customHeight="1" spans="1:38">
      <c r="A127" s="15">
        <v>20241219</v>
      </c>
      <c r="B127" s="1" t="s">
        <v>314</v>
      </c>
      <c r="C127" s="1" t="s">
        <v>628</v>
      </c>
      <c r="D127" s="1">
        <v>543.55</v>
      </c>
      <c r="E127" s="1" t="s">
        <v>629</v>
      </c>
      <c r="F127" s="1" t="s">
        <v>630</v>
      </c>
      <c r="G127" s="25">
        <v>0.9728</v>
      </c>
      <c r="H127" s="25"/>
      <c r="I127" s="1" t="s">
        <v>374</v>
      </c>
      <c r="J127" s="4" t="s">
        <v>375</v>
      </c>
      <c r="K127" s="24">
        <v>43</v>
      </c>
      <c r="AL127" s="20"/>
    </row>
    <row r="128" s="1" customFormat="1" customHeight="1" spans="1:38">
      <c r="A128" s="15">
        <v>20241219</v>
      </c>
      <c r="B128" s="1" t="s">
        <v>316</v>
      </c>
      <c r="C128" s="1" t="s">
        <v>631</v>
      </c>
      <c r="D128" s="1">
        <v>568.15</v>
      </c>
      <c r="E128" s="1" t="s">
        <v>632</v>
      </c>
      <c r="F128" s="1" t="s">
        <v>633</v>
      </c>
      <c r="G128" s="21">
        <v>1</v>
      </c>
      <c r="H128" s="21"/>
      <c r="I128" s="1" t="s">
        <v>374</v>
      </c>
      <c r="J128" s="4" t="s">
        <v>375</v>
      </c>
      <c r="K128" s="24">
        <v>80.3</v>
      </c>
      <c r="AL128" s="20"/>
    </row>
    <row r="129" s="1" customFormat="1" customHeight="1" spans="1:39">
      <c r="A129" s="15">
        <v>20241231</v>
      </c>
      <c r="B129" s="1" t="s">
        <v>319</v>
      </c>
      <c r="C129" s="1" t="s">
        <v>634</v>
      </c>
      <c r="D129" s="1">
        <v>584.16</v>
      </c>
      <c r="E129" s="1" t="s">
        <v>635</v>
      </c>
      <c r="F129" s="1" t="s">
        <v>636</v>
      </c>
      <c r="G129" s="25">
        <v>0.992</v>
      </c>
      <c r="H129" s="25"/>
      <c r="I129" s="1" t="s">
        <v>374</v>
      </c>
      <c r="J129" s="4" t="s">
        <v>394</v>
      </c>
      <c r="K129" s="24">
        <v>43</v>
      </c>
      <c r="AL129" s="20"/>
    </row>
    <row r="130" s="1" customFormat="1" customHeight="1" spans="1:39">
      <c r="A130" s="15">
        <v>20241230</v>
      </c>
      <c r="B130" s="1" t="s">
        <v>322</v>
      </c>
      <c r="C130" s="1" t="s">
        <v>637</v>
      </c>
      <c r="D130" s="1">
        <v>558.14</v>
      </c>
      <c r="E130" s="1" t="s">
        <v>638</v>
      </c>
      <c r="F130" s="1" t="s">
        <v>639</v>
      </c>
      <c r="G130" s="21">
        <v>0.985</v>
      </c>
      <c r="H130" s="21"/>
      <c r="I130" s="24" t="s">
        <v>374</v>
      </c>
      <c r="J130" s="4" t="s">
        <v>394</v>
      </c>
      <c r="K130" s="26">
        <v>60.2</v>
      </c>
      <c r="AL130" s="20"/>
    </row>
    <row r="131" s="1" customFormat="1" customHeight="1" spans="1:39">
      <c r="A131" s="15">
        <v>20250312</v>
      </c>
      <c r="B131" s="1" t="s">
        <v>325</v>
      </c>
      <c r="C131" s="1" t="s">
        <v>640</v>
      </c>
      <c r="D131" s="1">
        <v>576.13</v>
      </c>
      <c r="E131" s="1" t="s">
        <v>641</v>
      </c>
      <c r="F131" s="1" t="s">
        <v>642</v>
      </c>
      <c r="G131" s="21">
        <v>0.9713</v>
      </c>
      <c r="H131" s="21"/>
      <c r="I131" s="26" t="s">
        <v>374</v>
      </c>
      <c r="J131" s="4" t="s">
        <v>394</v>
      </c>
      <c r="K131" s="24">
        <v>70.2</v>
      </c>
      <c r="AL131" s="20"/>
      <c r="AM131" s="24"/>
    </row>
    <row r="132" s="1" customFormat="1" customHeight="1" spans="1:39">
      <c r="A132" s="15">
        <v>20250312</v>
      </c>
      <c r="B132" s="1" t="s">
        <v>328</v>
      </c>
      <c r="C132" s="1" t="s">
        <v>643</v>
      </c>
      <c r="D132" s="1">
        <v>588.13</v>
      </c>
      <c r="E132" s="1" t="s">
        <v>644</v>
      </c>
      <c r="F132" s="1" t="s">
        <v>645</v>
      </c>
      <c r="G132" s="21">
        <v>0.9362</v>
      </c>
      <c r="H132" s="21"/>
      <c r="I132" s="26" t="s">
        <v>374</v>
      </c>
      <c r="J132" s="4" t="s">
        <v>394</v>
      </c>
      <c r="K132" s="24">
        <v>69.3</v>
      </c>
      <c r="AL132" s="20"/>
      <c r="AM132" s="24"/>
    </row>
    <row r="133" s="1" customFormat="1" customHeight="1" spans="1:39">
      <c r="A133" s="15">
        <v>20250417</v>
      </c>
      <c r="B133" s="1" t="s">
        <v>331</v>
      </c>
      <c r="C133" s="1">
        <v>20250417</v>
      </c>
      <c r="D133" s="1">
        <v>588.13</v>
      </c>
      <c r="E133" s="1" t="s">
        <v>644</v>
      </c>
      <c r="F133" s="1" t="s">
        <v>646</v>
      </c>
      <c r="G133" s="21">
        <v>0.9609</v>
      </c>
      <c r="H133" s="21"/>
      <c r="I133" s="26" t="s">
        <v>434</v>
      </c>
      <c r="J133" s="4"/>
      <c r="K133" s="24">
        <v>258.92</v>
      </c>
      <c r="AL133" s="20"/>
      <c r="AM133" s="24"/>
    </row>
    <row r="134" s="1" customFormat="1" customHeight="1" spans="1:39">
      <c r="A134" s="15">
        <v>20250417</v>
      </c>
      <c r="B134" s="1" t="s">
        <v>333</v>
      </c>
      <c r="C134" s="1">
        <v>20250417</v>
      </c>
      <c r="D134" s="1">
        <v>588.13</v>
      </c>
      <c r="E134" s="1" t="s">
        <v>644</v>
      </c>
      <c r="F134" s="1" t="s">
        <v>646</v>
      </c>
      <c r="G134" s="21">
        <v>0.957</v>
      </c>
      <c r="H134" s="21"/>
      <c r="I134" s="26" t="s">
        <v>434</v>
      </c>
      <c r="J134" s="4"/>
      <c r="K134" s="24">
        <v>273.81</v>
      </c>
      <c r="AL134" s="20"/>
      <c r="AM134" s="24"/>
    </row>
    <row r="135" s="1" customFormat="1" customHeight="1" spans="1:39">
      <c r="A135" s="15">
        <v>20250327</v>
      </c>
      <c r="B135" s="1" t="s">
        <v>335</v>
      </c>
      <c r="C135" s="1" t="s">
        <v>647</v>
      </c>
      <c r="D135" s="1">
        <v>602.15</v>
      </c>
      <c r="E135" s="1" t="s">
        <v>610</v>
      </c>
      <c r="F135" s="1" t="s">
        <v>648</v>
      </c>
      <c r="G135" s="21">
        <v>0.983</v>
      </c>
      <c r="H135" s="21"/>
      <c r="I135" s="26" t="s">
        <v>374</v>
      </c>
      <c r="J135" s="4" t="s">
        <v>394</v>
      </c>
      <c r="K135" s="24">
        <v>31.5</v>
      </c>
      <c r="AL135" s="20"/>
      <c r="AM135" s="24"/>
    </row>
    <row r="136" s="1" customFormat="1" customHeight="1" spans="1:39">
      <c r="A136" s="15">
        <v>20250327</v>
      </c>
      <c r="B136" s="1" t="s">
        <v>337</v>
      </c>
      <c r="C136" s="1" t="s">
        <v>649</v>
      </c>
      <c r="D136" s="1">
        <v>614.15</v>
      </c>
      <c r="E136" s="1" t="s">
        <v>650</v>
      </c>
      <c r="F136" s="1" t="s">
        <v>651</v>
      </c>
      <c r="G136" s="21">
        <v>0.98</v>
      </c>
      <c r="H136" s="21"/>
      <c r="I136" s="26" t="s">
        <v>374</v>
      </c>
      <c r="J136" s="4" t="s">
        <v>394</v>
      </c>
      <c r="K136" s="24">
        <v>39</v>
      </c>
      <c r="AL136" s="20"/>
      <c r="AM136" s="24"/>
    </row>
    <row r="137" s="1" customFormat="1" customHeight="1" spans="1:39">
      <c r="A137" s="15">
        <v>20250508</v>
      </c>
      <c r="B137" s="1" t="s">
        <v>339</v>
      </c>
      <c r="C137" s="1" t="s">
        <v>652</v>
      </c>
      <c r="D137" s="1">
        <v>614.15</v>
      </c>
      <c r="E137" s="1" t="s">
        <v>650</v>
      </c>
      <c r="F137" s="1" t="s">
        <v>651</v>
      </c>
      <c r="G137" s="21">
        <v>1</v>
      </c>
      <c r="H137" s="21"/>
      <c r="I137" s="26" t="s">
        <v>374</v>
      </c>
      <c r="J137" s="4" t="s">
        <v>375</v>
      </c>
      <c r="K137" s="24">
        <v>27</v>
      </c>
      <c r="AL137" s="20"/>
      <c r="AM137" s="24"/>
    </row>
    <row r="138" s="1" customFormat="1" customHeight="1" spans="1:39">
      <c r="A138" s="15">
        <v>20250508</v>
      </c>
      <c r="B138" s="1" t="s">
        <v>341</v>
      </c>
      <c r="C138" s="1" t="s">
        <v>653</v>
      </c>
      <c r="D138" s="1">
        <v>618.15</v>
      </c>
      <c r="E138" s="1" t="s">
        <v>654</v>
      </c>
      <c r="F138" s="1" t="s">
        <v>655</v>
      </c>
      <c r="G138" s="25">
        <v>0.995</v>
      </c>
      <c r="H138" s="25"/>
      <c r="I138" s="1" t="s">
        <v>374</v>
      </c>
      <c r="J138" s="4" t="s">
        <v>375</v>
      </c>
      <c r="K138" s="24">
        <v>37</v>
      </c>
      <c r="AL138" s="20"/>
    </row>
    <row r="139" s="1" customFormat="1" customHeight="1" spans="1:39">
      <c r="A139" s="15">
        <v>20250508</v>
      </c>
      <c r="B139" s="1" t="s">
        <v>343</v>
      </c>
      <c r="C139" s="1" t="s">
        <v>656</v>
      </c>
      <c r="D139" s="1">
        <v>624.13</v>
      </c>
      <c r="E139" s="1" t="s">
        <v>657</v>
      </c>
      <c r="F139" s="1" t="s">
        <v>658</v>
      </c>
      <c r="G139" s="25">
        <v>0.973</v>
      </c>
      <c r="H139" s="25"/>
      <c r="I139" s="1" t="s">
        <v>374</v>
      </c>
      <c r="J139" s="4" t="s">
        <v>375</v>
      </c>
      <c r="K139" s="24">
        <v>13.9</v>
      </c>
      <c r="AL139" s="20"/>
    </row>
    <row r="140" s="1" customFormat="1" customHeight="1" spans="1:39">
      <c r="A140" s="15">
        <v>20250521</v>
      </c>
      <c r="B140" s="1" t="s">
        <v>345</v>
      </c>
      <c r="C140" s="1" t="s">
        <v>659</v>
      </c>
      <c r="D140" s="1">
        <v>633.15</v>
      </c>
      <c r="E140" s="1" t="s">
        <v>660</v>
      </c>
      <c r="F140" s="1" t="s">
        <v>661</v>
      </c>
      <c r="G140" s="25">
        <v>0.995</v>
      </c>
      <c r="H140" s="25"/>
      <c r="I140" s="1" t="s">
        <v>374</v>
      </c>
      <c r="J140" s="4" t="s">
        <v>375</v>
      </c>
      <c r="K140" s="24">
        <v>27</v>
      </c>
      <c r="AL140" s="20"/>
    </row>
    <row r="141" s="1" customFormat="1" customHeight="1" spans="1:39">
      <c r="A141" s="15">
        <v>20250526</v>
      </c>
      <c r="B141" s="1" t="s">
        <v>347</v>
      </c>
      <c r="C141" s="1" t="s">
        <v>662</v>
      </c>
      <c r="D141" s="1">
        <v>604.13</v>
      </c>
      <c r="E141" s="1" t="s">
        <v>663</v>
      </c>
      <c r="F141" s="1" t="s">
        <v>664</v>
      </c>
      <c r="G141" s="25">
        <v>1</v>
      </c>
      <c r="H141" s="25"/>
      <c r="I141" s="1" t="s">
        <v>374</v>
      </c>
      <c r="J141" s="4" t="s">
        <v>375</v>
      </c>
      <c r="K141" s="24">
        <v>28</v>
      </c>
      <c r="AL141" s="20"/>
    </row>
    <row r="142" s="1" customFormat="1" customHeight="1" spans="1:39">
      <c r="A142" s="15">
        <v>20250612</v>
      </c>
      <c r="B142" s="1" t="s">
        <v>665</v>
      </c>
      <c r="C142" s="1" t="s">
        <v>666</v>
      </c>
      <c r="D142" s="1">
        <v>604.62</v>
      </c>
      <c r="E142" s="1" t="s">
        <v>667</v>
      </c>
      <c r="F142" s="1" t="s">
        <v>668</v>
      </c>
      <c r="G142" s="27">
        <v>0.9961</v>
      </c>
      <c r="H142" s="27">
        <v>2.83</v>
      </c>
      <c r="I142" s="4" t="s">
        <v>374</v>
      </c>
      <c r="J142" s="26" t="s">
        <v>394</v>
      </c>
      <c r="K142" s="26" t="s">
        <v>669</v>
      </c>
      <c r="AL142" s="20"/>
    </row>
    <row r="143" s="1" customFormat="1" customHeight="1" spans="1:39">
      <c r="A143" s="15">
        <v>20250612</v>
      </c>
      <c r="B143" s="1" t="s">
        <v>670</v>
      </c>
      <c r="C143" s="1" t="s">
        <v>666</v>
      </c>
      <c r="D143" s="1">
        <v>604.62</v>
      </c>
      <c r="E143" s="1" t="s">
        <v>667</v>
      </c>
      <c r="F143" s="1" t="s">
        <v>668</v>
      </c>
      <c r="G143" s="27">
        <v>1</v>
      </c>
      <c r="H143" s="27">
        <v>2.83</v>
      </c>
      <c r="I143" s="4" t="s">
        <v>374</v>
      </c>
      <c r="J143" s="26" t="s">
        <v>394</v>
      </c>
      <c r="K143" s="26" t="s">
        <v>671</v>
      </c>
      <c r="AL143" s="20"/>
    </row>
    <row r="144" s="1" customFormat="1" customHeight="1" spans="1:39">
      <c r="A144" s="15">
        <v>20250612</v>
      </c>
      <c r="B144" s="4" t="s">
        <v>672</v>
      </c>
      <c r="C144" s="1" t="s">
        <v>673</v>
      </c>
      <c r="D144" s="1">
        <v>604.62</v>
      </c>
      <c r="E144" s="1" t="s">
        <v>667</v>
      </c>
      <c r="F144" s="1" t="s">
        <v>668</v>
      </c>
      <c r="G144" s="27">
        <v>1</v>
      </c>
      <c r="H144" s="27">
        <v>2.83</v>
      </c>
      <c r="I144" s="4" t="s">
        <v>374</v>
      </c>
      <c r="J144" s="26" t="s">
        <v>394</v>
      </c>
      <c r="K144" s="26" t="s">
        <v>674</v>
      </c>
      <c r="AL144" s="20"/>
    </row>
    <row r="145" s="1" customFormat="1" customHeight="1" spans="1:38">
      <c r="A145" s="15">
        <v>20250612</v>
      </c>
      <c r="B145" s="1" t="s">
        <v>675</v>
      </c>
      <c r="C145" s="1" t="s">
        <v>673</v>
      </c>
      <c r="D145" s="1">
        <v>604.62</v>
      </c>
      <c r="E145" s="1" t="s">
        <v>667</v>
      </c>
      <c r="F145" s="1" t="s">
        <v>668</v>
      </c>
      <c r="G145" s="27">
        <v>0.9974</v>
      </c>
      <c r="H145" s="27">
        <v>2.83</v>
      </c>
      <c r="I145" s="4" t="s">
        <v>374</v>
      </c>
      <c r="J145" s="26" t="s">
        <v>394</v>
      </c>
      <c r="K145" s="26" t="s">
        <v>676</v>
      </c>
      <c r="AL145" s="20"/>
    </row>
    <row r="146" s="1" customFormat="1" customHeight="1" spans="1:38">
      <c r="A146" s="15"/>
      <c r="B146" s="4"/>
      <c r="G146" s="27"/>
      <c r="H146" s="27"/>
      <c r="I146" s="4"/>
      <c r="J146" s="26"/>
      <c r="K146" s="26"/>
      <c r="AL146" s="20"/>
    </row>
    <row r="147" s="1" customFormat="1" customHeight="1" spans="1:38">
      <c r="A147" s="15"/>
      <c r="B147" s="4"/>
      <c r="G147" s="27"/>
      <c r="H147" s="27"/>
      <c r="I147" s="4"/>
      <c r="J147" s="26"/>
      <c r="K147" s="26"/>
      <c r="AL147" s="20"/>
    </row>
    <row r="148" s="1" customFormat="1" customHeight="1" spans="1:38">
      <c r="A148" s="15"/>
      <c r="B148" s="4"/>
      <c r="G148" s="27"/>
      <c r="H148" s="27"/>
      <c r="I148" s="4"/>
      <c r="J148" s="26"/>
      <c r="K148" s="26"/>
      <c r="AL148" s="20"/>
    </row>
    <row r="149" s="1" customFormat="1" customHeight="1" spans="1:38">
      <c r="A149" s="15"/>
      <c r="B149" s="4"/>
      <c r="G149" s="28"/>
      <c r="H149" s="28"/>
      <c r="I149" s="26"/>
      <c r="J149" s="26"/>
      <c r="K149" s="24"/>
      <c r="AL149" s="20"/>
    </row>
    <row r="150" s="1" customFormat="1" customHeight="1" spans="1:38">
      <c r="A150" s="15"/>
      <c r="G150" s="21"/>
      <c r="H150" s="21"/>
      <c r="I150" s="4"/>
      <c r="J150" s="26"/>
      <c r="K150" s="26"/>
      <c r="P150" s="29"/>
      <c r="AL150" s="20"/>
    </row>
    <row r="151" s="1" customFormat="1" customHeight="1" spans="1:38">
      <c r="A151" s="15"/>
      <c r="G151" s="25"/>
      <c r="H151" s="25"/>
      <c r="J151" s="4"/>
      <c r="K151" s="24"/>
      <c r="P151" s="29"/>
      <c r="AL151" s="20"/>
    </row>
    <row r="152" s="1" customFormat="1" customHeight="1" spans="1:38">
      <c r="A152" s="15"/>
      <c r="G152" s="21"/>
      <c r="H152" s="24"/>
      <c r="I152" s="4"/>
      <c r="J152" s="26"/>
      <c r="K152" s="26"/>
      <c r="P152" s="29"/>
      <c r="AL152" s="20"/>
    </row>
    <row r="153" s="1" customFormat="1" customHeight="1" spans="1:38">
      <c r="A153" s="15"/>
      <c r="G153" s="21"/>
      <c r="H153" s="24"/>
      <c r="I153" s="4"/>
      <c r="J153" s="26"/>
      <c r="K153" s="26"/>
      <c r="P153" s="29"/>
      <c r="AL153" s="20"/>
    </row>
    <row r="154" s="1" customFormat="1" customHeight="1" spans="1:38">
      <c r="A154" s="15"/>
      <c r="G154" s="21"/>
      <c r="H154" s="24"/>
      <c r="I154" s="4"/>
      <c r="J154" s="26"/>
      <c r="K154" s="26"/>
      <c r="P154" s="29"/>
      <c r="AL154" s="20"/>
    </row>
    <row r="155" s="1" customFormat="1" customHeight="1" spans="1:38">
      <c r="A155" s="15"/>
      <c r="G155" s="21"/>
      <c r="H155" s="24"/>
      <c r="I155" s="4"/>
      <c r="J155" s="26"/>
      <c r="K155" s="26"/>
      <c r="P155" s="29"/>
      <c r="AL155" s="20"/>
    </row>
    <row r="156" s="1" customFormat="1" customHeight="1" spans="1:38">
      <c r="A156" s="15"/>
      <c r="G156" s="21"/>
      <c r="H156" s="24"/>
      <c r="I156" s="4"/>
      <c r="J156" s="26"/>
      <c r="K156" s="26"/>
      <c r="P156" s="29"/>
      <c r="AL156" s="20"/>
    </row>
    <row r="157" s="1" customFormat="1" customHeight="1" spans="1:38">
      <c r="A157" s="15"/>
      <c r="G157" s="21"/>
      <c r="H157" s="24"/>
      <c r="I157" s="4"/>
      <c r="J157" s="26"/>
      <c r="K157" s="26"/>
      <c r="P157" s="29"/>
      <c r="AL157" s="20"/>
    </row>
    <row r="158" s="1" customFormat="1" customHeight="1" spans="1:38">
      <c r="A158" s="15"/>
      <c r="B158" s="4"/>
      <c r="G158" s="25"/>
      <c r="H158" s="25"/>
      <c r="J158" s="4"/>
      <c r="K158" s="24"/>
      <c r="AL158" s="20"/>
    </row>
    <row r="159" s="1" customFormat="1" customHeight="1" spans="1:38">
      <c r="A159" s="15"/>
      <c r="G159" s="25"/>
      <c r="H159" s="25"/>
      <c r="J159" s="4"/>
      <c r="K159" s="24"/>
      <c r="AL159" s="20"/>
    </row>
    <row r="160" s="1" customFormat="1" customHeight="1" spans="1:38">
      <c r="AL160" s="20"/>
    </row>
    <row r="161" s="1" customFormat="1" customHeight="1" spans="1:38">
      <c r="A161" s="15"/>
      <c r="G161" s="25"/>
      <c r="H161" s="25"/>
      <c r="I161" s="24"/>
      <c r="J161" s="4"/>
      <c r="K161" s="26"/>
      <c r="AL161" s="20"/>
    </row>
    <row r="162" s="1" customFormat="1" customHeight="1" spans="1:38">
      <c r="A162" s="15"/>
      <c r="G162" s="25"/>
      <c r="H162" s="25"/>
      <c r="I162" s="24"/>
      <c r="J162" s="4"/>
      <c r="K162" s="26"/>
      <c r="AL162" s="20"/>
    </row>
    <row r="163" s="1" customFormat="1" customHeight="1" spans="1:38">
      <c r="A163" s="15"/>
      <c r="G163" s="25"/>
      <c r="H163" s="25"/>
      <c r="I163" s="24"/>
      <c r="J163" s="4"/>
      <c r="K163" s="26"/>
      <c r="AL163" s="20"/>
    </row>
    <row r="164" s="1" customFormat="1" customHeight="1" spans="1:38">
      <c r="A164" s="13"/>
      <c r="G164" s="25"/>
      <c r="H164" s="25"/>
      <c r="I164" s="24"/>
      <c r="J164" s="4"/>
      <c r="K164" s="26"/>
      <c r="AL164" s="20"/>
    </row>
    <row r="165" s="1" customFormat="1" customHeight="1" spans="1:38">
      <c r="A165" s="15"/>
      <c r="G165" s="25"/>
      <c r="H165" s="25"/>
      <c r="I165" s="24"/>
      <c r="J165" s="4"/>
      <c r="K165" s="26"/>
      <c r="AL165" s="20"/>
    </row>
    <row r="166" s="1" customFormat="1" customHeight="1" spans="1:38">
      <c r="A166" s="15"/>
      <c r="G166" s="25"/>
      <c r="H166" s="25"/>
      <c r="I166" s="24"/>
      <c r="J166" s="4"/>
      <c r="K166" s="26"/>
      <c r="AL166" s="20"/>
    </row>
    <row r="167" s="1" customFormat="1" customHeight="1" spans="1:38">
      <c r="A167" s="15"/>
      <c r="G167" s="25"/>
      <c r="H167" s="25"/>
      <c r="I167" s="24"/>
      <c r="J167" s="4"/>
      <c r="K167" s="26"/>
      <c r="AL167" s="20"/>
    </row>
    <row r="168" s="1" customFormat="1" customHeight="1" spans="1:38">
      <c r="A168" s="15"/>
      <c r="G168" s="25"/>
      <c r="H168" s="25"/>
      <c r="I168" s="24"/>
      <c r="J168" s="4"/>
      <c r="K168" s="26"/>
      <c r="AL168" s="20"/>
    </row>
    <row r="169" s="1" customFormat="1" customHeight="1" spans="1:38">
      <c r="A169" s="15"/>
      <c r="G169" s="25"/>
      <c r="H169" s="25"/>
      <c r="I169" s="24"/>
      <c r="J169" s="4"/>
      <c r="K169" s="26"/>
      <c r="AL169" s="20"/>
    </row>
    <row r="170" s="1" customFormat="1" customHeight="1" spans="1:38">
      <c r="A170" s="15"/>
      <c r="G170" s="25"/>
      <c r="H170" s="25"/>
      <c r="I170" s="24"/>
      <c r="J170" s="4"/>
      <c r="K170" s="26"/>
      <c r="AL170" s="20"/>
    </row>
    <row r="171" s="1" customFormat="1" customHeight="1" spans="1:38">
      <c r="A171" s="15"/>
      <c r="G171" s="25"/>
      <c r="H171" s="25"/>
      <c r="I171" s="24"/>
      <c r="J171" s="4"/>
      <c r="K171" s="26"/>
      <c r="AL171" s="20"/>
    </row>
    <row r="172" s="1" customFormat="1" customHeight="1" spans="1:38">
      <c r="A172" s="15"/>
      <c r="G172" s="25"/>
      <c r="H172" s="25"/>
      <c r="I172" s="24"/>
      <c r="J172" s="4"/>
      <c r="K172" s="26"/>
      <c r="AL172" s="20"/>
    </row>
    <row r="173" s="1" customFormat="1" customHeight="1" spans="1:38">
      <c r="A173" s="15"/>
      <c r="G173" s="25"/>
      <c r="H173" s="25"/>
      <c r="I173" s="24"/>
      <c r="J173" s="4"/>
      <c r="K173" s="26"/>
      <c r="AL173" s="20"/>
    </row>
    <row r="174" s="1" customFormat="1" customHeight="1" spans="1:38">
      <c r="A174" s="15"/>
      <c r="G174" s="25"/>
      <c r="H174" s="25"/>
      <c r="I174" s="24"/>
      <c r="J174" s="4"/>
      <c r="K174" s="26"/>
      <c r="AL174" s="20"/>
    </row>
    <row r="175" s="1" customFormat="1" customHeight="1" spans="1:38">
      <c r="A175" s="15"/>
      <c r="G175" s="25"/>
      <c r="H175" s="25"/>
      <c r="J175" s="4"/>
      <c r="K175" s="24"/>
      <c r="AL175" s="20"/>
    </row>
    <row r="176" s="1" customFormat="1" customHeight="1" spans="1:38">
      <c r="A176" s="13"/>
      <c r="G176" s="25"/>
      <c r="H176" s="25"/>
      <c r="J176" s="4"/>
      <c r="K176" s="24"/>
      <c r="AL176" s="20"/>
    </row>
    <row r="177" s="1" customFormat="1" customHeight="1" spans="1:39">
      <c r="A177" s="15"/>
      <c r="G177" s="25"/>
      <c r="H177" s="25"/>
      <c r="K177" s="24"/>
      <c r="L177" s="24"/>
      <c r="M177" s="24"/>
      <c r="N177" s="24"/>
      <c r="AL177" s="20"/>
      <c r="AM177" s="4"/>
    </row>
    <row r="178" s="1" customFormat="1" customHeight="1" spans="1:39">
      <c r="A178" s="15"/>
      <c r="G178" s="21"/>
      <c r="H178" s="21"/>
      <c r="I178" s="24"/>
      <c r="K178" s="24"/>
      <c r="M178" s="24"/>
      <c r="N178" s="24"/>
      <c r="AL178" s="20"/>
    </row>
    <row r="179" s="1" customFormat="1" customHeight="1" spans="1:39">
      <c r="A179" s="15"/>
      <c r="G179" s="21"/>
      <c r="H179" s="21"/>
      <c r="I179" s="24"/>
      <c r="K179" s="24"/>
      <c r="M179" s="24"/>
      <c r="N179" s="24"/>
      <c r="AL179" s="20"/>
    </row>
    <row r="180" s="1" customFormat="1" customHeight="1" spans="1:39">
      <c r="A180" s="15"/>
      <c r="G180" s="21"/>
      <c r="H180" s="21"/>
      <c r="I180" s="24"/>
      <c r="J180" s="4"/>
      <c r="K180" s="24"/>
      <c r="M180" s="24"/>
      <c r="N180" s="24"/>
      <c r="AL180" s="20"/>
    </row>
    <row r="181" s="1" customFormat="1" customHeight="1" spans="1:39">
      <c r="A181" s="15"/>
      <c r="G181" s="21"/>
      <c r="H181" s="21"/>
      <c r="I181" s="24"/>
      <c r="J181" s="4"/>
      <c r="K181" s="24"/>
      <c r="M181" s="24"/>
      <c r="N181" s="24"/>
      <c r="AL181" s="20"/>
    </row>
    <row r="182" s="1" customFormat="1" customHeight="1" spans="1:39">
      <c r="A182" s="15"/>
      <c r="G182" s="21"/>
      <c r="H182" s="21"/>
      <c r="I182" s="24"/>
      <c r="J182" s="4"/>
      <c r="K182" s="24"/>
      <c r="M182" s="24"/>
      <c r="N182" s="24"/>
      <c r="AL182" s="20"/>
    </row>
    <row r="183" s="1" customFormat="1" customHeight="1" spans="1:39">
      <c r="A183" s="15"/>
      <c r="G183" s="21"/>
      <c r="H183" s="21"/>
      <c r="I183" s="24"/>
      <c r="K183" s="24"/>
      <c r="M183" s="24"/>
      <c r="N183" s="24"/>
      <c r="AL183" s="20"/>
    </row>
    <row r="184" s="1" customFormat="1" customHeight="1" spans="1:39">
      <c r="A184" s="15"/>
      <c r="G184" s="25"/>
      <c r="H184" s="25"/>
      <c r="K184" s="24"/>
      <c r="AL184" s="20"/>
    </row>
    <row r="185" s="1" customFormat="1" customHeight="1" spans="1:39">
      <c r="A185" s="15"/>
      <c r="G185" s="25"/>
      <c r="H185" s="25"/>
      <c r="J185" s="4"/>
      <c r="K185" s="24"/>
      <c r="AL185" s="20"/>
    </row>
    <row r="186" s="1" customFormat="1" customHeight="1" spans="1:39">
      <c r="A186" s="15"/>
      <c r="G186" s="21"/>
      <c r="H186" s="21"/>
      <c r="I186" s="24"/>
      <c r="K186" s="26"/>
      <c r="AL186" s="20"/>
    </row>
    <row r="187" s="1" customFormat="1" customHeight="1" spans="1:39">
      <c r="A187" s="15"/>
      <c r="G187" s="21"/>
      <c r="H187" s="21"/>
      <c r="I187" s="24"/>
      <c r="K187" s="26"/>
      <c r="AL187" s="20"/>
    </row>
    <row r="188" s="1" customFormat="1" customHeight="1" spans="1:39">
      <c r="A188" s="15"/>
      <c r="G188" s="21"/>
      <c r="H188" s="21"/>
      <c r="I188" s="26"/>
      <c r="J188" s="4"/>
      <c r="K188" s="24"/>
      <c r="V188" s="29"/>
      <c r="AL188" s="20"/>
      <c r="AM188" s="24"/>
    </row>
    <row r="189" s="1" customFormat="1" customHeight="1" spans="1:39">
      <c r="A189" s="15"/>
      <c r="G189" s="21"/>
      <c r="H189" s="21"/>
      <c r="I189" s="26"/>
      <c r="J189" s="4"/>
      <c r="K189" s="24"/>
      <c r="V189" s="29"/>
      <c r="AL189" s="20"/>
      <c r="AM189" s="24"/>
    </row>
    <row r="190" s="1" customFormat="1" customHeight="1" spans="1:39">
      <c r="A190" s="15"/>
      <c r="G190" s="21"/>
      <c r="H190" s="21"/>
      <c r="I190" s="26"/>
      <c r="K190" s="24"/>
      <c r="AL190" s="20"/>
      <c r="AM190" s="24"/>
    </row>
    <row r="191" s="1" customFormat="1" customHeight="1" spans="1:39">
      <c r="A191" s="15"/>
      <c r="G191" s="21"/>
      <c r="H191" s="21"/>
      <c r="I191" s="24"/>
      <c r="K191" s="24"/>
      <c r="AL191" s="20"/>
      <c r="AM191" s="26"/>
    </row>
    <row r="192" s="1" customFormat="1" customHeight="1" spans="1:39">
      <c r="A192" s="15"/>
      <c r="G192" s="21"/>
      <c r="H192" s="21"/>
      <c r="I192" s="24"/>
      <c r="K192" s="24"/>
      <c r="AL192" s="20"/>
      <c r="AM192" s="26"/>
    </row>
    <row r="193" s="1" customFormat="1" customHeight="1" spans="1:39">
      <c r="A193" s="15"/>
      <c r="G193" s="21"/>
      <c r="H193" s="21"/>
      <c r="I193" s="24"/>
      <c r="K193" s="24"/>
      <c r="AL193" s="20"/>
      <c r="AM193" s="26"/>
    </row>
    <row r="194" s="1" customFormat="1" customHeight="1" spans="1:39">
      <c r="A194" s="15"/>
      <c r="G194" s="21"/>
      <c r="H194" s="21"/>
      <c r="I194" s="24"/>
      <c r="K194" s="24"/>
      <c r="AL194" s="20"/>
      <c r="AM194" s="26"/>
    </row>
    <row r="195" s="1" customFormat="1" customHeight="1" spans="1:39">
      <c r="A195" s="15"/>
      <c r="G195" s="21"/>
      <c r="H195" s="21"/>
      <c r="I195" s="24"/>
      <c r="K195" s="24"/>
      <c r="AL195" s="20"/>
      <c r="AM195" s="26"/>
    </row>
    <row r="196" s="1" customFormat="1" customHeight="1" spans="1:39">
      <c r="A196" s="15"/>
      <c r="G196" s="21"/>
      <c r="H196" s="21"/>
      <c r="I196" s="24"/>
      <c r="K196" s="24"/>
      <c r="AL196" s="20"/>
      <c r="AM196" s="26"/>
    </row>
    <row r="197" s="1" customFormat="1" customHeight="1" spans="1:39">
      <c r="A197" s="15"/>
      <c r="G197" s="21"/>
      <c r="H197" s="21"/>
      <c r="I197" s="26"/>
      <c r="J197" s="4"/>
      <c r="K197" s="24"/>
      <c r="AL197" s="20"/>
      <c r="AM197" s="24"/>
    </row>
    <row r="198" s="1" customFormat="1" customHeight="1" spans="1:39">
      <c r="A198" s="15"/>
      <c r="G198" s="21"/>
      <c r="H198" s="21"/>
      <c r="I198" s="26"/>
      <c r="J198" s="4"/>
      <c r="K198" s="24"/>
      <c r="AL198" s="20"/>
      <c r="AM198" s="24"/>
    </row>
    <row r="199" s="1" customFormat="1" customHeight="1" spans="1:39">
      <c r="A199" s="15"/>
      <c r="G199" s="25"/>
      <c r="H199" s="25"/>
      <c r="K199" s="24"/>
      <c r="AL199" s="20"/>
    </row>
    <row r="200" s="1" customFormat="1" customHeight="1" spans="1:39">
      <c r="A200" s="15"/>
      <c r="G200" s="25"/>
      <c r="H200" s="25"/>
      <c r="K200" s="24"/>
      <c r="AL200" s="20"/>
    </row>
    <row r="201" s="1" customFormat="1" customHeight="1" spans="1:39">
      <c r="A201" s="15"/>
      <c r="G201" s="25"/>
      <c r="H201" s="25"/>
      <c r="J201" s="4"/>
      <c r="K201" s="24"/>
      <c r="AL201" s="20"/>
    </row>
    <row r="202" s="1" customFormat="1" customHeight="1" spans="1:39">
      <c r="A202" s="15"/>
      <c r="G202" s="25"/>
      <c r="H202" s="25"/>
      <c r="J202" s="4"/>
      <c r="K202" s="24"/>
      <c r="AL202" s="20"/>
    </row>
    <row r="203" s="1" customFormat="1" customHeight="1" spans="1:39">
      <c r="A203" s="15"/>
      <c r="G203" s="21"/>
      <c r="H203" s="21"/>
      <c r="I203" s="24"/>
      <c r="K203" s="26"/>
      <c r="AL203" s="20"/>
    </row>
    <row r="204" s="1" customFormat="1" customHeight="1" spans="1:39">
      <c r="A204" s="15"/>
      <c r="G204" s="21"/>
      <c r="H204" s="21"/>
      <c r="I204" s="24"/>
      <c r="K204" s="26"/>
      <c r="AL204" s="20"/>
    </row>
    <row r="205" s="1" customFormat="1" customHeight="1" spans="1:39">
      <c r="A205" s="15"/>
      <c r="G205" s="25"/>
      <c r="H205" s="25"/>
      <c r="J205" s="4"/>
      <c r="K205" s="24"/>
      <c r="AL205" s="20"/>
    </row>
    <row r="206" s="1" customFormat="1" customHeight="1" spans="1:39">
      <c r="A206" s="15"/>
      <c r="G206" s="25"/>
      <c r="H206" s="25"/>
      <c r="J206" s="4"/>
      <c r="K206" s="24"/>
      <c r="AL206" s="20"/>
    </row>
    <row r="207" s="1" customFormat="1" customHeight="1" spans="1:39">
      <c r="A207" s="15"/>
      <c r="G207" s="25"/>
      <c r="H207" s="25"/>
      <c r="J207" s="4"/>
      <c r="K207" s="24"/>
      <c r="AL207" s="20"/>
    </row>
    <row r="208" s="1" customFormat="1" customHeight="1" spans="1:39">
      <c r="A208" s="15"/>
      <c r="G208" s="25"/>
      <c r="H208" s="25"/>
      <c r="J208" s="4"/>
      <c r="K208" s="24"/>
      <c r="AL208" s="20"/>
    </row>
    <row r="209" s="1" customFormat="1" customHeight="1" spans="1:38">
      <c r="A209" s="15"/>
      <c r="G209" s="25"/>
      <c r="H209" s="25"/>
      <c r="J209" s="4"/>
      <c r="K209" s="24"/>
      <c r="AL209" s="20"/>
    </row>
    <row r="210" s="1" customFormat="1" customHeight="1" spans="1:38">
      <c r="A210" s="15"/>
      <c r="G210" s="25"/>
      <c r="H210" s="25"/>
      <c r="J210" s="4"/>
      <c r="K210" s="24"/>
      <c r="AL210" s="20"/>
    </row>
    <row r="211" s="1" customFormat="1" customHeight="1" spans="1:38">
      <c r="A211" s="15"/>
      <c r="G211" s="25"/>
      <c r="H211" s="4"/>
      <c r="J211" s="4"/>
      <c r="K211" s="24"/>
      <c r="AL211" s="20"/>
    </row>
    <row r="212" s="1" customFormat="1" customHeight="1" spans="1:38">
      <c r="A212" s="15"/>
      <c r="G212" s="25"/>
      <c r="H212" s="4"/>
      <c r="J212" s="4"/>
      <c r="K212" s="24"/>
      <c r="AL212" s="20"/>
    </row>
    <row r="213" s="1" customFormat="1" customHeight="1" spans="1:38">
      <c r="A213" s="13"/>
      <c r="G213" s="25"/>
      <c r="H213" s="25"/>
      <c r="K213" s="24"/>
      <c r="AL213" s="20"/>
    </row>
    <row r="214" s="1" customFormat="1" customHeight="1" spans="1:38">
      <c r="A214" s="15"/>
      <c r="G214" s="25"/>
      <c r="H214" s="25"/>
      <c r="K214" s="24"/>
      <c r="AL214" s="20"/>
    </row>
    <row r="215" s="1" customFormat="1" customHeight="1" spans="1:38">
      <c r="A215" s="13"/>
      <c r="G215" s="25"/>
      <c r="H215" s="25"/>
      <c r="K215" s="24"/>
      <c r="AL215" s="20"/>
    </row>
    <row r="216" s="1" customFormat="1" customHeight="1" spans="1:38">
      <c r="A216" s="15"/>
      <c r="G216" s="21"/>
      <c r="H216" s="21"/>
      <c r="I216" s="24"/>
      <c r="J216" s="4"/>
      <c r="AL216" s="20"/>
    </row>
    <row r="217" s="1" customFormat="1" customHeight="1" spans="1:38">
      <c r="A217" s="15"/>
      <c r="G217" s="21"/>
      <c r="H217" s="21"/>
      <c r="I217" s="24"/>
      <c r="J217" s="4"/>
      <c r="AL217" s="20"/>
    </row>
    <row r="218" s="1" customFormat="1" customHeight="1" spans="1:38">
      <c r="A218" s="15"/>
      <c r="G218" s="21"/>
      <c r="H218" s="21"/>
      <c r="I218" s="24"/>
      <c r="J218" s="4"/>
      <c r="AL218" s="20"/>
    </row>
    <row r="219" s="1" customFormat="1" customHeight="1" spans="1:38">
      <c r="A219" s="15"/>
      <c r="G219" s="21"/>
      <c r="H219" s="21"/>
      <c r="I219" s="24"/>
      <c r="J219" s="4"/>
      <c r="AL219" s="20"/>
    </row>
    <row r="220" s="1" customFormat="1" customHeight="1" spans="1:38">
      <c r="A220" s="15"/>
      <c r="G220" s="21"/>
      <c r="H220" s="21"/>
      <c r="I220" s="24"/>
      <c r="J220" s="4"/>
      <c r="AL220" s="20"/>
    </row>
    <row r="221" s="1" customFormat="1" customHeight="1" spans="1:38">
      <c r="A221" s="15"/>
      <c r="G221" s="21"/>
      <c r="H221" s="21"/>
      <c r="I221" s="24"/>
      <c r="J221" s="4"/>
      <c r="AL221" s="20"/>
    </row>
    <row r="222" s="1" customFormat="1" customHeight="1" spans="1:38">
      <c r="A222" s="15"/>
      <c r="G222" s="21"/>
      <c r="H222" s="21"/>
      <c r="I222" s="24"/>
      <c r="J222" s="4"/>
      <c r="AL222" s="20"/>
    </row>
    <row r="223" s="1" customFormat="1" customHeight="1" spans="1:38">
      <c r="A223" s="15"/>
      <c r="G223" s="21"/>
      <c r="H223" s="21"/>
      <c r="I223" s="24"/>
      <c r="J223" s="4"/>
      <c r="AL223" s="20"/>
    </row>
    <row r="224" s="1" customFormat="1" customHeight="1" spans="1:38">
      <c r="A224" s="15"/>
      <c r="G224" s="21"/>
      <c r="H224" s="21"/>
      <c r="I224" s="24"/>
      <c r="J224" s="4"/>
      <c r="AL224" s="20"/>
    </row>
    <row r="225" s="1" customFormat="1" customHeight="1" spans="1:38">
      <c r="A225" s="15"/>
      <c r="G225" s="21"/>
      <c r="H225" s="21"/>
      <c r="I225" s="24"/>
      <c r="J225" s="4"/>
      <c r="AL225" s="20"/>
    </row>
    <row r="226" s="1" customFormat="1" customHeight="1" spans="1:38">
      <c r="A226" s="15"/>
      <c r="G226" s="21"/>
      <c r="H226" s="21"/>
      <c r="I226" s="24"/>
      <c r="J226" s="4"/>
      <c r="AL226" s="20"/>
    </row>
    <row r="227" s="1" customFormat="1" customHeight="1" spans="1:38">
      <c r="A227" s="15"/>
      <c r="G227" s="25"/>
      <c r="H227" s="25"/>
      <c r="J227" s="4"/>
      <c r="K227" s="24"/>
      <c r="AL227" s="20"/>
    </row>
    <row r="228" s="1" customFormat="1" customHeight="1" spans="1:38">
      <c r="A228" s="15"/>
      <c r="G228" s="25"/>
      <c r="H228" s="25"/>
      <c r="J228" s="4"/>
      <c r="K228" s="24"/>
      <c r="AL228" s="20"/>
    </row>
    <row r="229" s="1" customFormat="1" customHeight="1" spans="1:38">
      <c r="A229" s="15"/>
      <c r="G229" s="25"/>
      <c r="H229" s="25"/>
      <c r="J229" s="4"/>
      <c r="K229" s="24"/>
      <c r="AL229" s="20"/>
    </row>
    <row r="230" s="1" customFormat="1" customHeight="1" spans="1:38">
      <c r="A230" s="15"/>
      <c r="G230" s="25"/>
      <c r="H230" s="25"/>
      <c r="J230" s="4"/>
      <c r="K230" s="24"/>
      <c r="AL230" s="20"/>
    </row>
    <row r="231" s="1" customFormat="1" customHeight="1" spans="1:38">
      <c r="A231" s="15"/>
      <c r="G231" s="25"/>
      <c r="H231" s="25"/>
      <c r="J231" s="4"/>
      <c r="K231" s="24"/>
      <c r="AL231" s="20"/>
    </row>
    <row r="232" s="1" customFormat="1" customHeight="1" spans="1:38">
      <c r="G232" s="21"/>
      <c r="H232" s="21"/>
      <c r="J232" s="4"/>
    </row>
  </sheetData>
  <conditionalFormatting sqref="AK26:AK28">
    <cfRule type="cellIs" dxfId="1" priority="1" operator="equal">
      <formula>0</formula>
    </cfRule>
  </conditionalFormatting>
  <conditionalFormatting sqref="AK216:AL231 AK3:AL3 AK19:AK25 AK4:AK6 AL4:AL215 AK29:AK215">
    <cfRule type="cellIs" dxfId="1" priority="5" operator="equal">
      <formula>0</formula>
    </cfRule>
  </conditionalFormatting>
  <pageMargins left="0.7" right="0.7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EO035</vt:lpstr>
      <vt:lpstr>化合物结存信息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sun</dc:creator>
  <cp:lastModifiedBy>吴宏辉</cp:lastModifiedBy>
  <dcterms:created xsi:type="dcterms:W3CDTF">2006-09-13T11:21:00Z</dcterms:created>
  <dcterms:modified xsi:type="dcterms:W3CDTF">2026-06-27T07:53:21Z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6CCED26CB73E478592526A419944852C_12</vt:lpwstr>
  </property>
  <property fmtid="{D5CDD505-2E9C-101B-9397-08002B2CF9AE}" pid="4" name="CalculationRule">
    <vt:i4>0</vt:i4>
  </property>
</Properties>
</file>